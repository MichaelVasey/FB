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FB/Melatonin/"/>
    </mc:Choice>
  </mc:AlternateContent>
  <bookViews>
    <workbookView xWindow="140" yWindow="460" windowWidth="27080" windowHeight="15460" tabRatio="500" activeTab="1"/>
  </bookViews>
  <sheets>
    <sheet name="Adverse effects (%)" sheetId="5" r:id="rId1"/>
    <sheet name="Random-Controlled Abs. AE (%)" sheetId="11" r:id="rId2"/>
    <sheet name="Adverse effects (%) High - Low" sheetId="10" r:id="rId3"/>
    <sheet name="AE (%) Split (10%)" sheetId="9" r:id="rId4"/>
    <sheet name="Random-Controlled Only" sheetId="6" r:id="rId5"/>
    <sheet name="AE+ Only" sheetId="7" r:id="rId6"/>
    <sheet name="Adverse effects" sheetId="4" r:id="rId7"/>
    <sheet name="Summaries" sheetId="2" r:id="rId8"/>
    <sheet name="Search" sheetId="1" r:id="rId9"/>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S67" i="11" l="1"/>
  <c r="BS68" i="11"/>
  <c r="BT68" i="11"/>
  <c r="P60" i="11"/>
  <c r="AZ59" i="11"/>
  <c r="AF31" i="11"/>
  <c r="BJ21" i="11"/>
  <c r="L21" i="11"/>
  <c r="P21" i="11"/>
  <c r="T21" i="11"/>
  <c r="X21" i="11"/>
  <c r="AB21" i="11"/>
  <c r="AF21" i="11"/>
  <c r="AJ21" i="11"/>
  <c r="AN21" i="11"/>
  <c r="AR21" i="11"/>
  <c r="AV21" i="11"/>
  <c r="AZ21" i="11"/>
  <c r="BD21" i="11"/>
  <c r="BH21" i="11"/>
  <c r="BL21" i="11"/>
  <c r="BP21" i="11"/>
  <c r="BT21" i="11"/>
  <c r="BX21" i="11"/>
  <c r="CB21" i="11"/>
  <c r="CF21" i="11"/>
  <c r="CJ21" i="11"/>
  <c r="CN21" i="11"/>
  <c r="N64" i="11"/>
  <c r="N63" i="11"/>
  <c r="N62" i="11"/>
  <c r="N61" i="11"/>
  <c r="N60" i="11"/>
  <c r="N59" i="11"/>
  <c r="N58" i="11"/>
  <c r="N56" i="11"/>
  <c r="N55" i="11"/>
  <c r="N54" i="11"/>
  <c r="N53" i="11"/>
  <c r="N52" i="11"/>
  <c r="N51" i="11"/>
  <c r="N50" i="11"/>
  <c r="N49" i="11"/>
  <c r="N48" i="11"/>
  <c r="N47" i="11"/>
  <c r="N46" i="11"/>
  <c r="N45" i="11"/>
  <c r="N44" i="11"/>
  <c r="N43" i="11"/>
  <c r="N42" i="11"/>
  <c r="N41" i="11"/>
  <c r="N40" i="11"/>
  <c r="N39" i="11"/>
  <c r="N38" i="11"/>
  <c r="N37" i="11"/>
  <c r="N36" i="11"/>
  <c r="N35" i="11"/>
  <c r="N34" i="11"/>
  <c r="N33" i="11"/>
  <c r="N32" i="11"/>
  <c r="N31" i="11"/>
  <c r="N30" i="11"/>
  <c r="N29" i="11"/>
  <c r="N28" i="11"/>
  <c r="N27" i="11"/>
  <c r="N26" i="11"/>
  <c r="N25" i="11"/>
  <c r="N24" i="11"/>
  <c r="N23" i="11"/>
  <c r="N22" i="11"/>
  <c r="N20" i="11"/>
  <c r="N19" i="11"/>
  <c r="N18" i="11"/>
  <c r="N17" i="11"/>
  <c r="N16" i="11"/>
  <c r="N15" i="11"/>
  <c r="N14" i="11"/>
  <c r="N13" i="11"/>
  <c r="N12" i="11"/>
  <c r="N11" i="11"/>
  <c r="R64" i="11"/>
  <c r="R63" i="11"/>
  <c r="R62" i="11"/>
  <c r="R61" i="11"/>
  <c r="R60" i="11"/>
  <c r="R59" i="11"/>
  <c r="R58" i="11"/>
  <c r="R56" i="11"/>
  <c r="R55" i="11"/>
  <c r="R54" i="11"/>
  <c r="R53" i="11"/>
  <c r="R52" i="11"/>
  <c r="R51" i="11"/>
  <c r="R50" i="11"/>
  <c r="R49" i="11"/>
  <c r="R48" i="11"/>
  <c r="R47" i="11"/>
  <c r="R46" i="11"/>
  <c r="R45" i="11"/>
  <c r="R44" i="11"/>
  <c r="R43" i="11"/>
  <c r="R42" i="11"/>
  <c r="R41" i="11"/>
  <c r="R40" i="11"/>
  <c r="R39" i="11"/>
  <c r="R38" i="11"/>
  <c r="R37" i="11"/>
  <c r="R36" i="11"/>
  <c r="R35" i="11"/>
  <c r="R34" i="11"/>
  <c r="R33" i="11"/>
  <c r="R32" i="11"/>
  <c r="R31" i="11"/>
  <c r="R30" i="11"/>
  <c r="R29" i="11"/>
  <c r="R28" i="11"/>
  <c r="R27" i="11"/>
  <c r="R26" i="11"/>
  <c r="R25" i="11"/>
  <c r="R24" i="11"/>
  <c r="R23" i="11"/>
  <c r="R22" i="11"/>
  <c r="R20" i="11"/>
  <c r="R19" i="11"/>
  <c r="R18" i="11"/>
  <c r="R17" i="11"/>
  <c r="R16" i="11"/>
  <c r="R15" i="11"/>
  <c r="R14" i="11"/>
  <c r="R13" i="11"/>
  <c r="R12" i="11"/>
  <c r="R11" i="11"/>
  <c r="V64" i="11"/>
  <c r="V63" i="11"/>
  <c r="V62" i="11"/>
  <c r="V61" i="11"/>
  <c r="V60" i="11"/>
  <c r="V59" i="11"/>
  <c r="V58"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0" i="11"/>
  <c r="V19" i="11"/>
  <c r="V18" i="11"/>
  <c r="V17" i="11"/>
  <c r="V16" i="11"/>
  <c r="V15" i="11"/>
  <c r="V14" i="11"/>
  <c r="V13" i="11"/>
  <c r="V12" i="11"/>
  <c r="V11" i="11"/>
  <c r="Z64" i="11"/>
  <c r="Z63" i="11"/>
  <c r="Z62" i="11"/>
  <c r="Z61" i="11"/>
  <c r="Z60" i="11"/>
  <c r="Z59" i="11"/>
  <c r="Z58" i="11"/>
  <c r="Z56" i="11"/>
  <c r="Z55" i="11"/>
  <c r="Z54" i="11"/>
  <c r="Z53" i="11"/>
  <c r="Z52" i="11"/>
  <c r="Z51" i="11"/>
  <c r="Z50" i="11"/>
  <c r="Z49" i="11"/>
  <c r="Z48" i="11"/>
  <c r="Z47" i="11"/>
  <c r="Z46" i="11"/>
  <c r="Z45" i="11"/>
  <c r="Z44" i="11"/>
  <c r="Z43" i="11"/>
  <c r="Z42" i="11"/>
  <c r="Z41" i="11"/>
  <c r="Z40" i="11"/>
  <c r="Z39" i="11"/>
  <c r="Z38" i="11"/>
  <c r="Z37" i="11"/>
  <c r="Z36" i="11"/>
  <c r="Z35" i="11"/>
  <c r="Z34" i="11"/>
  <c r="Z33" i="11"/>
  <c r="Z32" i="11"/>
  <c r="Z31" i="11"/>
  <c r="Z30" i="11"/>
  <c r="Z29" i="11"/>
  <c r="Z28" i="11"/>
  <c r="Z27" i="11"/>
  <c r="Z26" i="11"/>
  <c r="Z25" i="11"/>
  <c r="Z24" i="11"/>
  <c r="Z23" i="11"/>
  <c r="Z22" i="11"/>
  <c r="Z20" i="11"/>
  <c r="Z19" i="11"/>
  <c r="Z18" i="11"/>
  <c r="Z17" i="11"/>
  <c r="Z16" i="11"/>
  <c r="Z15" i="11"/>
  <c r="Z14" i="11"/>
  <c r="Z13" i="11"/>
  <c r="Z12" i="11"/>
  <c r="Z11" i="11"/>
  <c r="AD64" i="11"/>
  <c r="AD63" i="11"/>
  <c r="AD62" i="11"/>
  <c r="AD61" i="11"/>
  <c r="AD60" i="11"/>
  <c r="AD59" i="11"/>
  <c r="AD58" i="11"/>
  <c r="AD56" i="11"/>
  <c r="AD55" i="11"/>
  <c r="AD54" i="11"/>
  <c r="AD53" i="11"/>
  <c r="AD52" i="11"/>
  <c r="AD51" i="11"/>
  <c r="AD50" i="11"/>
  <c r="AD49" i="11"/>
  <c r="AD48" i="11"/>
  <c r="AD47" i="11"/>
  <c r="AD46" i="11"/>
  <c r="AD45" i="11"/>
  <c r="AD44" i="11"/>
  <c r="AD43" i="11"/>
  <c r="AD42" i="11"/>
  <c r="AD41" i="11"/>
  <c r="AD40" i="11"/>
  <c r="AD39" i="11"/>
  <c r="AD38" i="11"/>
  <c r="AD37" i="11"/>
  <c r="AD36" i="11"/>
  <c r="AD35" i="11"/>
  <c r="AD34" i="11"/>
  <c r="AD33" i="11"/>
  <c r="AD32" i="11"/>
  <c r="AD31" i="11"/>
  <c r="AD30" i="11"/>
  <c r="AD29" i="11"/>
  <c r="AD28" i="11"/>
  <c r="AD27" i="11"/>
  <c r="AD26" i="11"/>
  <c r="AD25" i="11"/>
  <c r="AD24" i="11"/>
  <c r="AD23" i="11"/>
  <c r="AD22" i="11"/>
  <c r="AD20" i="11"/>
  <c r="AD19" i="11"/>
  <c r="AD18" i="11"/>
  <c r="AD17" i="11"/>
  <c r="AD16" i="11"/>
  <c r="AD15" i="11"/>
  <c r="AD14" i="11"/>
  <c r="AD13" i="11"/>
  <c r="AD12" i="11"/>
  <c r="AD11" i="11"/>
  <c r="AH64" i="11"/>
  <c r="AH63" i="11"/>
  <c r="AH62" i="11"/>
  <c r="AH61" i="11"/>
  <c r="AH60" i="11"/>
  <c r="AH59" i="11"/>
  <c r="AH58" i="11"/>
  <c r="AH56" i="11"/>
  <c r="AH55" i="11"/>
  <c r="AH54" i="11"/>
  <c r="AH53" i="11"/>
  <c r="AH52" i="11"/>
  <c r="AH51" i="11"/>
  <c r="AH50" i="11"/>
  <c r="AH49" i="11"/>
  <c r="AH48" i="11"/>
  <c r="AH47" i="11"/>
  <c r="AH46" i="11"/>
  <c r="AH44" i="11"/>
  <c r="AH43" i="11"/>
  <c r="AH42" i="11"/>
  <c r="AH41" i="11"/>
  <c r="AH40" i="11"/>
  <c r="AH39" i="11"/>
  <c r="AH38" i="11"/>
  <c r="AH37" i="11"/>
  <c r="AH36" i="11"/>
  <c r="AH35" i="11"/>
  <c r="AH34" i="11"/>
  <c r="AH33" i="11"/>
  <c r="AH32" i="11"/>
  <c r="AH31" i="11"/>
  <c r="AH30" i="11"/>
  <c r="AH29" i="11"/>
  <c r="AH28" i="11"/>
  <c r="AH27" i="11"/>
  <c r="AH26" i="11"/>
  <c r="AH25" i="11"/>
  <c r="AH24" i="11"/>
  <c r="AH23" i="11"/>
  <c r="AH22" i="11"/>
  <c r="AH20" i="11"/>
  <c r="AH19" i="11"/>
  <c r="AH18" i="11"/>
  <c r="AH17" i="11"/>
  <c r="AH16" i="11"/>
  <c r="AH15" i="11"/>
  <c r="AH14" i="11"/>
  <c r="AH13" i="11"/>
  <c r="AH12" i="11"/>
  <c r="AH11" i="11"/>
  <c r="AL64" i="11"/>
  <c r="AL63" i="11"/>
  <c r="AL62" i="11"/>
  <c r="AL61" i="11"/>
  <c r="AL60" i="11"/>
  <c r="AL59" i="11"/>
  <c r="AL58" i="11"/>
  <c r="AL56" i="11"/>
  <c r="AL55" i="11"/>
  <c r="AL54" i="11"/>
  <c r="AL53" i="11"/>
  <c r="AL52" i="11"/>
  <c r="AL51" i="11"/>
  <c r="AL50" i="11"/>
  <c r="AL49" i="11"/>
  <c r="AL48" i="11"/>
  <c r="AL47" i="11"/>
  <c r="AL46" i="11"/>
  <c r="AL45" i="11"/>
  <c r="AL44" i="11"/>
  <c r="AL43" i="11"/>
  <c r="AL42" i="11"/>
  <c r="AL41" i="11"/>
  <c r="AL40" i="11"/>
  <c r="AL39" i="11"/>
  <c r="AL38" i="11"/>
  <c r="AL37" i="11"/>
  <c r="AL36" i="11"/>
  <c r="AL35" i="11"/>
  <c r="AL34" i="11"/>
  <c r="AL33" i="11"/>
  <c r="AL32" i="11"/>
  <c r="AL31" i="11"/>
  <c r="AL30" i="11"/>
  <c r="AL29" i="11"/>
  <c r="AL28" i="11"/>
  <c r="AL27" i="11"/>
  <c r="AL26" i="11"/>
  <c r="AL25" i="11"/>
  <c r="AL24" i="11"/>
  <c r="AL23" i="11"/>
  <c r="AL22" i="11"/>
  <c r="AL20" i="11"/>
  <c r="AL19" i="11"/>
  <c r="AL18" i="11"/>
  <c r="AL17" i="11"/>
  <c r="AL16" i="11"/>
  <c r="AL15" i="11"/>
  <c r="AL14" i="11"/>
  <c r="AL13" i="11"/>
  <c r="AL12" i="11"/>
  <c r="AL11" i="11"/>
  <c r="AP64" i="11"/>
  <c r="AP63" i="11"/>
  <c r="AP62" i="11"/>
  <c r="AP61" i="11"/>
  <c r="AP60" i="11"/>
  <c r="AP59" i="11"/>
  <c r="AP58" i="11"/>
  <c r="AP56" i="11"/>
  <c r="AP55" i="11"/>
  <c r="AP54" i="11"/>
  <c r="AP53" i="11"/>
  <c r="AP52" i="11"/>
  <c r="AP51" i="11"/>
  <c r="AP50" i="11"/>
  <c r="AP49" i="11"/>
  <c r="AP48" i="11"/>
  <c r="AP47" i="11"/>
  <c r="AP46" i="11"/>
  <c r="AP45" i="11"/>
  <c r="AP44" i="11"/>
  <c r="AP43" i="11"/>
  <c r="AP42" i="11"/>
  <c r="AP41" i="11"/>
  <c r="AP40" i="11"/>
  <c r="AP39" i="11"/>
  <c r="AP38" i="11"/>
  <c r="AP37" i="11"/>
  <c r="AP36" i="11"/>
  <c r="AP35" i="11"/>
  <c r="AP34" i="11"/>
  <c r="AP33" i="11"/>
  <c r="AP32" i="11"/>
  <c r="AP31" i="11"/>
  <c r="AP30" i="11"/>
  <c r="AP29" i="11"/>
  <c r="AP28" i="11"/>
  <c r="AP27" i="11"/>
  <c r="AP26" i="11"/>
  <c r="AP25" i="11"/>
  <c r="AP24" i="11"/>
  <c r="AP23" i="11"/>
  <c r="AP22" i="11"/>
  <c r="AP20" i="11"/>
  <c r="AP19" i="11"/>
  <c r="AP18" i="11"/>
  <c r="AP17" i="11"/>
  <c r="AP16" i="11"/>
  <c r="AP15" i="11"/>
  <c r="AP14" i="11"/>
  <c r="AP13" i="11"/>
  <c r="AP12" i="11"/>
  <c r="AP11" i="11"/>
  <c r="AT64" i="11"/>
  <c r="AT63" i="11"/>
  <c r="AT62" i="11"/>
  <c r="AT61" i="11"/>
  <c r="AT60" i="11"/>
  <c r="AT59" i="11"/>
  <c r="AT58" i="11"/>
  <c r="AT56" i="11"/>
  <c r="AT55" i="11"/>
  <c r="AT54" i="11"/>
  <c r="AT53" i="11"/>
  <c r="AT52" i="11"/>
  <c r="AT51" i="11"/>
  <c r="AT50" i="11"/>
  <c r="AT49" i="11"/>
  <c r="AT48" i="11"/>
  <c r="AT47" i="11"/>
  <c r="AT46" i="11"/>
  <c r="AT45" i="11"/>
  <c r="AT44" i="11"/>
  <c r="AT43" i="11"/>
  <c r="AT42" i="11"/>
  <c r="AT41" i="11"/>
  <c r="AT40" i="11"/>
  <c r="AT39" i="11"/>
  <c r="AT38" i="11"/>
  <c r="AT37" i="11"/>
  <c r="AT36" i="11"/>
  <c r="AT35" i="11"/>
  <c r="AT34" i="11"/>
  <c r="AT33" i="11"/>
  <c r="AT32" i="11"/>
  <c r="AT31" i="11"/>
  <c r="AT30" i="11"/>
  <c r="AT29" i="11"/>
  <c r="AT28" i="11"/>
  <c r="AT27" i="11"/>
  <c r="AT26" i="11"/>
  <c r="AT25" i="11"/>
  <c r="AT24" i="11"/>
  <c r="AT23" i="11"/>
  <c r="AT22" i="11"/>
  <c r="AT20" i="11"/>
  <c r="AT19" i="11"/>
  <c r="AT18" i="11"/>
  <c r="AT17" i="11"/>
  <c r="AT16" i="11"/>
  <c r="AT15" i="11"/>
  <c r="AT14" i="11"/>
  <c r="AT13" i="11"/>
  <c r="AT12" i="11"/>
  <c r="AT11" i="11"/>
  <c r="AX64" i="11"/>
  <c r="AX63" i="11"/>
  <c r="AX62" i="11"/>
  <c r="AX61" i="11"/>
  <c r="AX60" i="11"/>
  <c r="AX59" i="11"/>
  <c r="AX58" i="11"/>
  <c r="AX56" i="11"/>
  <c r="AX55" i="11"/>
  <c r="AX54" i="11"/>
  <c r="AX53" i="11"/>
  <c r="AX52" i="11"/>
  <c r="AX51" i="11"/>
  <c r="AX50" i="11"/>
  <c r="AX49" i="11"/>
  <c r="AX48" i="11"/>
  <c r="AX47" i="11"/>
  <c r="AX46" i="11"/>
  <c r="AX45" i="11"/>
  <c r="AX44" i="11"/>
  <c r="AX43" i="11"/>
  <c r="AX42" i="11"/>
  <c r="AX41" i="11"/>
  <c r="AX40" i="11"/>
  <c r="AX39" i="11"/>
  <c r="AX38" i="11"/>
  <c r="AX37" i="11"/>
  <c r="AX36" i="11"/>
  <c r="AX35" i="11"/>
  <c r="AX34" i="11"/>
  <c r="AX33" i="11"/>
  <c r="AX32" i="11"/>
  <c r="AX31" i="11"/>
  <c r="AX30" i="11"/>
  <c r="AX29" i="11"/>
  <c r="AX28" i="11"/>
  <c r="AX27" i="11"/>
  <c r="AX26" i="11"/>
  <c r="AX25" i="11"/>
  <c r="AX24" i="11"/>
  <c r="AX23" i="11"/>
  <c r="AX22" i="11"/>
  <c r="AX20" i="11"/>
  <c r="AX19" i="11"/>
  <c r="AX18" i="11"/>
  <c r="AX17" i="11"/>
  <c r="AX16" i="11"/>
  <c r="AX15" i="11"/>
  <c r="AX14" i="11"/>
  <c r="AX13" i="11"/>
  <c r="AX12" i="11"/>
  <c r="AX11" i="11"/>
  <c r="BB64" i="11"/>
  <c r="BB63" i="11"/>
  <c r="BB62" i="11"/>
  <c r="BB61" i="11"/>
  <c r="BB60" i="11"/>
  <c r="BB59" i="11"/>
  <c r="BB58" i="11"/>
  <c r="BB56" i="11"/>
  <c r="BB55" i="11"/>
  <c r="BB54" i="11"/>
  <c r="BB53" i="11"/>
  <c r="BB52" i="11"/>
  <c r="BB51" i="11"/>
  <c r="BB50" i="11"/>
  <c r="BB49" i="11"/>
  <c r="BB48" i="11"/>
  <c r="BB47" i="11"/>
  <c r="BB46" i="11"/>
  <c r="BB45" i="11"/>
  <c r="BB44" i="11"/>
  <c r="BB43" i="11"/>
  <c r="BB42" i="11"/>
  <c r="BB41" i="11"/>
  <c r="BB40" i="11"/>
  <c r="BB39" i="11"/>
  <c r="BB38" i="11"/>
  <c r="BB37" i="11"/>
  <c r="BB36" i="11"/>
  <c r="BB35" i="11"/>
  <c r="BB34" i="11"/>
  <c r="BB33" i="11"/>
  <c r="BB32" i="11"/>
  <c r="BB31" i="11"/>
  <c r="BB30" i="11"/>
  <c r="BB29" i="11"/>
  <c r="BB28" i="11"/>
  <c r="BB27" i="11"/>
  <c r="BB26" i="11"/>
  <c r="BB25" i="11"/>
  <c r="BB24" i="11"/>
  <c r="BB23" i="11"/>
  <c r="BB22" i="11"/>
  <c r="BB20" i="11"/>
  <c r="BB19" i="11"/>
  <c r="BB18" i="11"/>
  <c r="BB17" i="11"/>
  <c r="BB16" i="11"/>
  <c r="BB15" i="11"/>
  <c r="BB14" i="11"/>
  <c r="BB12" i="11"/>
  <c r="BB11" i="11"/>
  <c r="CP64" i="11"/>
  <c r="CP63" i="11"/>
  <c r="CP62" i="11"/>
  <c r="CP61" i="11"/>
  <c r="CP60" i="11"/>
  <c r="CP59" i="11"/>
  <c r="CP58" i="11"/>
  <c r="CP56" i="11"/>
  <c r="CP55" i="11"/>
  <c r="CP54" i="11"/>
  <c r="CP53" i="11"/>
  <c r="CP52" i="11"/>
  <c r="CP51" i="11"/>
  <c r="CP50" i="11"/>
  <c r="CP49" i="11"/>
  <c r="CP48" i="11"/>
  <c r="CP47" i="11"/>
  <c r="CP46" i="11"/>
  <c r="CP45" i="11"/>
  <c r="CP44" i="11"/>
  <c r="CP43" i="11"/>
  <c r="CP42" i="11"/>
  <c r="CP41" i="11"/>
  <c r="CP40" i="11"/>
  <c r="CP39" i="11"/>
  <c r="CP38" i="11"/>
  <c r="CP37" i="11"/>
  <c r="CP36" i="11"/>
  <c r="CP35" i="11"/>
  <c r="CP34" i="11"/>
  <c r="CP33" i="11"/>
  <c r="CP32" i="11"/>
  <c r="CP31" i="11"/>
  <c r="CP30" i="11"/>
  <c r="CP29" i="11"/>
  <c r="CP28" i="11"/>
  <c r="CP27" i="11"/>
  <c r="CP26" i="11"/>
  <c r="CP25" i="11"/>
  <c r="CP24" i="11"/>
  <c r="CP23" i="11"/>
  <c r="CP22" i="11"/>
  <c r="CP20" i="11"/>
  <c r="CP19" i="11"/>
  <c r="CP18" i="11"/>
  <c r="CP17" i="11"/>
  <c r="CP16" i="11"/>
  <c r="CP15" i="11"/>
  <c r="CP14" i="11"/>
  <c r="CP13" i="11"/>
  <c r="CP12" i="11"/>
  <c r="CP11" i="11"/>
  <c r="CL64" i="11"/>
  <c r="CL63" i="11"/>
  <c r="CL62" i="11"/>
  <c r="CL61" i="11"/>
  <c r="CL60" i="11"/>
  <c r="CL59" i="11"/>
  <c r="CL58" i="11"/>
  <c r="CL56" i="11"/>
  <c r="CL55" i="11"/>
  <c r="CL54" i="11"/>
  <c r="CL53" i="11"/>
  <c r="CL52" i="11"/>
  <c r="CL51" i="11"/>
  <c r="CL50" i="11"/>
  <c r="CL49" i="11"/>
  <c r="CL48" i="11"/>
  <c r="CL47" i="11"/>
  <c r="CL46" i="11"/>
  <c r="CL45" i="11"/>
  <c r="CL44" i="11"/>
  <c r="CL43" i="11"/>
  <c r="CL42" i="11"/>
  <c r="CL41" i="11"/>
  <c r="CL40" i="11"/>
  <c r="CL39" i="11"/>
  <c r="CL38" i="11"/>
  <c r="CL37" i="11"/>
  <c r="CL36" i="11"/>
  <c r="CL35" i="11"/>
  <c r="CL34" i="11"/>
  <c r="CL33" i="11"/>
  <c r="CL32" i="11"/>
  <c r="CL31" i="11"/>
  <c r="CL30" i="11"/>
  <c r="CL29" i="11"/>
  <c r="CL28" i="11"/>
  <c r="CL27" i="11"/>
  <c r="CL26" i="11"/>
  <c r="CL25" i="11"/>
  <c r="CL24" i="11"/>
  <c r="CL23" i="11"/>
  <c r="CL22" i="11"/>
  <c r="CL20" i="11"/>
  <c r="CL19" i="11"/>
  <c r="CL18" i="11"/>
  <c r="CL17" i="11"/>
  <c r="CL16" i="11"/>
  <c r="CL15" i="11"/>
  <c r="CL14" i="11"/>
  <c r="CL13" i="11"/>
  <c r="CL12" i="11"/>
  <c r="CL11" i="11"/>
  <c r="CH64" i="11"/>
  <c r="CH63" i="11"/>
  <c r="CH62" i="11"/>
  <c r="CH61" i="11"/>
  <c r="CH60" i="11"/>
  <c r="CH59" i="11"/>
  <c r="CH58" i="11"/>
  <c r="CH56" i="11"/>
  <c r="CH55" i="11"/>
  <c r="CH54" i="11"/>
  <c r="CH53" i="11"/>
  <c r="CH52" i="11"/>
  <c r="CH51" i="11"/>
  <c r="CH50" i="11"/>
  <c r="CH49" i="11"/>
  <c r="CH48" i="11"/>
  <c r="CH47" i="11"/>
  <c r="CH46" i="11"/>
  <c r="CH45" i="11"/>
  <c r="CH44" i="11"/>
  <c r="CH43" i="11"/>
  <c r="CH42" i="11"/>
  <c r="CH41" i="11"/>
  <c r="CH40" i="11"/>
  <c r="CH39" i="11"/>
  <c r="CH38" i="11"/>
  <c r="CH37" i="11"/>
  <c r="CH36" i="11"/>
  <c r="CH35" i="11"/>
  <c r="CH34" i="11"/>
  <c r="CH33" i="11"/>
  <c r="CH32" i="11"/>
  <c r="CH31" i="11"/>
  <c r="CH30" i="11"/>
  <c r="CH29" i="11"/>
  <c r="CH28" i="11"/>
  <c r="CH27" i="11"/>
  <c r="CH26" i="11"/>
  <c r="CH25" i="11"/>
  <c r="CH24" i="11"/>
  <c r="CH23" i="11"/>
  <c r="CH22" i="11"/>
  <c r="CH20" i="11"/>
  <c r="CH19" i="11"/>
  <c r="CH18" i="11"/>
  <c r="CH17" i="11"/>
  <c r="CH16" i="11"/>
  <c r="CH15" i="11"/>
  <c r="CH14" i="11"/>
  <c r="CH13" i="11"/>
  <c r="CH12" i="11"/>
  <c r="CH11" i="11"/>
  <c r="CD64" i="11"/>
  <c r="CD63" i="11"/>
  <c r="CD62" i="11"/>
  <c r="CD61" i="11"/>
  <c r="CD60" i="11"/>
  <c r="CD59" i="11"/>
  <c r="CD58" i="11"/>
  <c r="CD56" i="11"/>
  <c r="CD55" i="11"/>
  <c r="CD54" i="11"/>
  <c r="CD53" i="11"/>
  <c r="CD52" i="11"/>
  <c r="CD51" i="11"/>
  <c r="CD50" i="11"/>
  <c r="CD49" i="11"/>
  <c r="CD48" i="11"/>
  <c r="CD47" i="11"/>
  <c r="CD46" i="11"/>
  <c r="CD45" i="11"/>
  <c r="CD44" i="11"/>
  <c r="CD43" i="11"/>
  <c r="CD42" i="11"/>
  <c r="CD41" i="11"/>
  <c r="CD40" i="11"/>
  <c r="CD39" i="11"/>
  <c r="CD38" i="11"/>
  <c r="CD37" i="11"/>
  <c r="CD36" i="11"/>
  <c r="CD35" i="11"/>
  <c r="CD34" i="11"/>
  <c r="CD33" i="11"/>
  <c r="CD32" i="11"/>
  <c r="CD31" i="11"/>
  <c r="CD30" i="11"/>
  <c r="CD29" i="11"/>
  <c r="CD28" i="11"/>
  <c r="CD27" i="11"/>
  <c r="CD26" i="11"/>
  <c r="CD25" i="11"/>
  <c r="CD24" i="11"/>
  <c r="CD23" i="11"/>
  <c r="CD22" i="11"/>
  <c r="CD20" i="11"/>
  <c r="CD19" i="11"/>
  <c r="CD18" i="11"/>
  <c r="CD17" i="11"/>
  <c r="CD16" i="11"/>
  <c r="CD15" i="11"/>
  <c r="CD14" i="11"/>
  <c r="CD13" i="11"/>
  <c r="CD12" i="11"/>
  <c r="CD11" i="11"/>
  <c r="BZ64" i="11"/>
  <c r="BZ63" i="11"/>
  <c r="BZ62" i="11"/>
  <c r="BZ61" i="11"/>
  <c r="BZ60" i="11"/>
  <c r="BZ59" i="11"/>
  <c r="BZ58" i="11"/>
  <c r="BZ56" i="11"/>
  <c r="BZ55" i="11"/>
  <c r="BZ54" i="11"/>
  <c r="BZ53" i="11"/>
  <c r="BZ52" i="11"/>
  <c r="BZ51" i="11"/>
  <c r="BZ50" i="11"/>
  <c r="BZ49" i="11"/>
  <c r="BZ48" i="11"/>
  <c r="BZ47" i="11"/>
  <c r="BZ46" i="11"/>
  <c r="BZ45" i="11"/>
  <c r="BZ44" i="11"/>
  <c r="BZ43" i="11"/>
  <c r="BZ42" i="11"/>
  <c r="BZ41" i="11"/>
  <c r="BZ40" i="11"/>
  <c r="BZ39" i="11"/>
  <c r="BZ38" i="11"/>
  <c r="BZ37" i="11"/>
  <c r="BZ36" i="11"/>
  <c r="BZ35" i="11"/>
  <c r="BZ34" i="11"/>
  <c r="BZ33" i="11"/>
  <c r="BZ32" i="11"/>
  <c r="BZ31" i="11"/>
  <c r="BZ30" i="11"/>
  <c r="BZ29" i="11"/>
  <c r="BZ28" i="11"/>
  <c r="BZ27" i="11"/>
  <c r="BZ26" i="11"/>
  <c r="BZ25" i="11"/>
  <c r="BZ24" i="11"/>
  <c r="BZ23" i="11"/>
  <c r="BZ22" i="11"/>
  <c r="BZ20" i="11"/>
  <c r="BZ19" i="11"/>
  <c r="BZ18" i="11"/>
  <c r="BZ17" i="11"/>
  <c r="BZ16" i="11"/>
  <c r="BZ15" i="11"/>
  <c r="BZ14" i="11"/>
  <c r="BZ13" i="11"/>
  <c r="BZ12" i="11"/>
  <c r="BZ11" i="11"/>
  <c r="BV64" i="11"/>
  <c r="BV63" i="11"/>
  <c r="BV62" i="11"/>
  <c r="BV61" i="11"/>
  <c r="BV60" i="11"/>
  <c r="BV59" i="11"/>
  <c r="BV58" i="11"/>
  <c r="BV56" i="11"/>
  <c r="BV55" i="11"/>
  <c r="BV54" i="11"/>
  <c r="BV53" i="11"/>
  <c r="BV52" i="11"/>
  <c r="BV51" i="11"/>
  <c r="BV50" i="11"/>
  <c r="BV49" i="11"/>
  <c r="BV48" i="11"/>
  <c r="BV47" i="11"/>
  <c r="BV46" i="11"/>
  <c r="BV45" i="11"/>
  <c r="BV44" i="11"/>
  <c r="BV43" i="11"/>
  <c r="BV42" i="11"/>
  <c r="BV41" i="11"/>
  <c r="BV40" i="11"/>
  <c r="BV39" i="11"/>
  <c r="BV38" i="11"/>
  <c r="BV37" i="11"/>
  <c r="BV36" i="11"/>
  <c r="BV35" i="11"/>
  <c r="BV34" i="11"/>
  <c r="BV33" i="11"/>
  <c r="BV32" i="11"/>
  <c r="BV31" i="11"/>
  <c r="BV30" i="11"/>
  <c r="BV29" i="11"/>
  <c r="BV28" i="11"/>
  <c r="BV27" i="11"/>
  <c r="BV26" i="11"/>
  <c r="BV25" i="11"/>
  <c r="BV24" i="11"/>
  <c r="BV23" i="11"/>
  <c r="BV22" i="11"/>
  <c r="BV20" i="11"/>
  <c r="BV19" i="11"/>
  <c r="BV18" i="11"/>
  <c r="BV17" i="11"/>
  <c r="BV16" i="11"/>
  <c r="BV15" i="11"/>
  <c r="BV14" i="11"/>
  <c r="BV13" i="11"/>
  <c r="BV12" i="11"/>
  <c r="BV11" i="11"/>
  <c r="BR64" i="11"/>
  <c r="BR63" i="11"/>
  <c r="BR62" i="11"/>
  <c r="BR61" i="11"/>
  <c r="BR60" i="11"/>
  <c r="BR59" i="11"/>
  <c r="BR58" i="11"/>
  <c r="BR56" i="11"/>
  <c r="BR55" i="11"/>
  <c r="BR54" i="11"/>
  <c r="BR53" i="11"/>
  <c r="BR52" i="11"/>
  <c r="BR51" i="11"/>
  <c r="BR50" i="11"/>
  <c r="BR49" i="11"/>
  <c r="BR48" i="11"/>
  <c r="BR47" i="11"/>
  <c r="BR46" i="11"/>
  <c r="BR45" i="11"/>
  <c r="BR44" i="11"/>
  <c r="BR43" i="11"/>
  <c r="BR42" i="11"/>
  <c r="BR41" i="11"/>
  <c r="BR40" i="11"/>
  <c r="BR39" i="11"/>
  <c r="BR38" i="11"/>
  <c r="BR37" i="11"/>
  <c r="BR36" i="11"/>
  <c r="BR35" i="11"/>
  <c r="BR34" i="11"/>
  <c r="BR33" i="11"/>
  <c r="BR32" i="11"/>
  <c r="BR31" i="11"/>
  <c r="BR30" i="11"/>
  <c r="BR29" i="11"/>
  <c r="BR28" i="11"/>
  <c r="BR27" i="11"/>
  <c r="BR26" i="11"/>
  <c r="BR25" i="11"/>
  <c r="BR24" i="11"/>
  <c r="BR23" i="11"/>
  <c r="BR22" i="11"/>
  <c r="BR20" i="11"/>
  <c r="BR19" i="11"/>
  <c r="BR18" i="11"/>
  <c r="BR17" i="11"/>
  <c r="BR16" i="11"/>
  <c r="BR15" i="11"/>
  <c r="BR14" i="11"/>
  <c r="BR13" i="11"/>
  <c r="BR12" i="11"/>
  <c r="BR11" i="11"/>
  <c r="BN64" i="11"/>
  <c r="BN63" i="11"/>
  <c r="BN62" i="11"/>
  <c r="BN61" i="11"/>
  <c r="BN60" i="11"/>
  <c r="BN59" i="11"/>
  <c r="BN58" i="11"/>
  <c r="BN56" i="11"/>
  <c r="BN55" i="11"/>
  <c r="BN54" i="11"/>
  <c r="BN53" i="11"/>
  <c r="BN52" i="11"/>
  <c r="BN51" i="11"/>
  <c r="BN50" i="11"/>
  <c r="BN49" i="11"/>
  <c r="BN48" i="11"/>
  <c r="BN47" i="11"/>
  <c r="BN46" i="11"/>
  <c r="BN45" i="11"/>
  <c r="BN44" i="11"/>
  <c r="BN43" i="11"/>
  <c r="BN42" i="11"/>
  <c r="BN41" i="11"/>
  <c r="BN40" i="11"/>
  <c r="BN39" i="11"/>
  <c r="BN38" i="11"/>
  <c r="BN37" i="11"/>
  <c r="BN36" i="11"/>
  <c r="BN35" i="11"/>
  <c r="BN34" i="11"/>
  <c r="BN33" i="11"/>
  <c r="BN32" i="11"/>
  <c r="BN31" i="11"/>
  <c r="BN30" i="11"/>
  <c r="BN29" i="11"/>
  <c r="BN28" i="11"/>
  <c r="BN27" i="11"/>
  <c r="BN26" i="11"/>
  <c r="BN25" i="11"/>
  <c r="BN24" i="11"/>
  <c r="BN23" i="11"/>
  <c r="BN22" i="11"/>
  <c r="BN20" i="11"/>
  <c r="BN19" i="11"/>
  <c r="BN18" i="11"/>
  <c r="BN17" i="11"/>
  <c r="BN16" i="11"/>
  <c r="BN15" i="11"/>
  <c r="BN14" i="11"/>
  <c r="BN13" i="11"/>
  <c r="BN12" i="11"/>
  <c r="BN11" i="11"/>
  <c r="BJ64" i="11"/>
  <c r="BJ63" i="11"/>
  <c r="BJ62" i="11"/>
  <c r="BJ61" i="11"/>
  <c r="BJ60" i="11"/>
  <c r="BJ59" i="11"/>
  <c r="BJ58" i="11"/>
  <c r="BJ56" i="11"/>
  <c r="BJ55" i="11"/>
  <c r="BJ54" i="11"/>
  <c r="BJ53" i="11"/>
  <c r="BJ52" i="11"/>
  <c r="BJ51" i="11"/>
  <c r="BJ50" i="11"/>
  <c r="BJ49" i="11"/>
  <c r="BJ48" i="11"/>
  <c r="BJ47" i="11"/>
  <c r="BJ46" i="11"/>
  <c r="BJ45" i="11"/>
  <c r="BJ44" i="11"/>
  <c r="BJ43" i="11"/>
  <c r="BJ42" i="11"/>
  <c r="BJ41" i="11"/>
  <c r="BJ40" i="11"/>
  <c r="BJ39" i="11"/>
  <c r="BJ38" i="11"/>
  <c r="BJ37" i="11"/>
  <c r="BJ36" i="11"/>
  <c r="BJ35" i="11"/>
  <c r="BJ34" i="11"/>
  <c r="BJ33" i="11"/>
  <c r="BJ32" i="11"/>
  <c r="BJ31" i="11"/>
  <c r="BJ30" i="11"/>
  <c r="BJ29" i="11"/>
  <c r="BJ28" i="11"/>
  <c r="BJ27" i="11"/>
  <c r="BJ26" i="11"/>
  <c r="BJ25" i="11"/>
  <c r="BJ24" i="11"/>
  <c r="BJ23" i="11"/>
  <c r="BJ22" i="11"/>
  <c r="BJ20" i="11"/>
  <c r="BJ19" i="11"/>
  <c r="BJ18" i="11"/>
  <c r="BJ17" i="11"/>
  <c r="BJ16" i="11"/>
  <c r="BJ15" i="11"/>
  <c r="BJ14" i="11"/>
  <c r="BJ13" i="11"/>
  <c r="BJ12" i="11"/>
  <c r="BJ11" i="11"/>
  <c r="BF64" i="11"/>
  <c r="BF63" i="11"/>
  <c r="BF62" i="11"/>
  <c r="BF61" i="11"/>
  <c r="BF60" i="11"/>
  <c r="BF59" i="11"/>
  <c r="BF58" i="11"/>
  <c r="BF56" i="11"/>
  <c r="BF55" i="11"/>
  <c r="BF54" i="11"/>
  <c r="BF53" i="11"/>
  <c r="BF52" i="11"/>
  <c r="BF51" i="11"/>
  <c r="BF50" i="11"/>
  <c r="BF49" i="11"/>
  <c r="BF48" i="11"/>
  <c r="BF47" i="11"/>
  <c r="BF46" i="11"/>
  <c r="BF45" i="11"/>
  <c r="BF44" i="11"/>
  <c r="BF43" i="11"/>
  <c r="BF42" i="11"/>
  <c r="BF41" i="11"/>
  <c r="BF40" i="11"/>
  <c r="BF39" i="11"/>
  <c r="BF38" i="11"/>
  <c r="BF37" i="11"/>
  <c r="BF36" i="11"/>
  <c r="BF35" i="11"/>
  <c r="BF34" i="11"/>
  <c r="BF33" i="11"/>
  <c r="BF32" i="11"/>
  <c r="BF31" i="11"/>
  <c r="BF30" i="11"/>
  <c r="BF29" i="11"/>
  <c r="BF28" i="11"/>
  <c r="BF27" i="11"/>
  <c r="BF26" i="11"/>
  <c r="BF25" i="11"/>
  <c r="BF24" i="11"/>
  <c r="BF23" i="11"/>
  <c r="BF22" i="11"/>
  <c r="BF20" i="11"/>
  <c r="BF19" i="11"/>
  <c r="BF18" i="11"/>
  <c r="BF17" i="11"/>
  <c r="BF16" i="11"/>
  <c r="BF15" i="11"/>
  <c r="BF14" i="11"/>
  <c r="BF13" i="11"/>
  <c r="BF12" i="11"/>
  <c r="BF11" i="11"/>
  <c r="BB13" i="11"/>
  <c r="CM67" i="11"/>
  <c r="CM68" i="11"/>
  <c r="CN68" i="11"/>
  <c r="CI67" i="11"/>
  <c r="CI68" i="11"/>
  <c r="CJ68" i="11"/>
  <c r="CE67" i="11"/>
  <c r="CE68" i="11"/>
  <c r="CF68" i="11"/>
  <c r="CA67" i="11"/>
  <c r="CA68" i="11"/>
  <c r="CB68" i="11"/>
  <c r="BW67" i="11"/>
  <c r="BW68" i="11"/>
  <c r="BX68" i="11"/>
  <c r="BO67" i="11"/>
  <c r="BO68" i="11"/>
  <c r="BP68" i="11"/>
  <c r="BK67" i="11"/>
  <c r="BK68" i="11"/>
  <c r="BL68" i="11"/>
  <c r="BG67" i="11"/>
  <c r="BG68" i="11"/>
  <c r="BH68" i="11"/>
  <c r="BC67" i="11"/>
  <c r="BC68" i="11"/>
  <c r="BD68" i="11"/>
  <c r="AY67" i="11"/>
  <c r="AY68" i="11"/>
  <c r="AZ68" i="11"/>
  <c r="AU67" i="11"/>
  <c r="AU68" i="11"/>
  <c r="AV68" i="11"/>
  <c r="AQ67" i="11"/>
  <c r="AQ68" i="11"/>
  <c r="AR68" i="11"/>
  <c r="AM67" i="11"/>
  <c r="AM68" i="11"/>
  <c r="AN68" i="11"/>
  <c r="AI67" i="11"/>
  <c r="AI68" i="11"/>
  <c r="AJ68" i="11"/>
  <c r="AE67" i="11"/>
  <c r="AE68" i="11"/>
  <c r="AF68" i="11"/>
  <c r="AA67" i="11"/>
  <c r="AA68" i="11"/>
  <c r="AB68" i="11"/>
  <c r="W67" i="11"/>
  <c r="W68" i="11"/>
  <c r="X68" i="11"/>
  <c r="S67" i="11"/>
  <c r="S68" i="11"/>
  <c r="T68" i="11"/>
  <c r="O67" i="11"/>
  <c r="O68" i="11"/>
  <c r="P68" i="11"/>
  <c r="K67" i="11"/>
  <c r="K68" i="11"/>
  <c r="L68" i="11"/>
  <c r="H67" i="11"/>
  <c r="CN67" i="11"/>
  <c r="CJ67" i="11"/>
  <c r="CF67" i="11"/>
  <c r="CB67" i="11"/>
  <c r="BX67" i="11"/>
  <c r="BT67" i="11"/>
  <c r="BP67" i="11"/>
  <c r="BL67" i="11"/>
  <c r="BH67" i="11"/>
  <c r="BD67" i="11"/>
  <c r="AZ67" i="11"/>
  <c r="AV67" i="11"/>
  <c r="AR67" i="11"/>
  <c r="AN67" i="11"/>
  <c r="AJ67" i="11"/>
  <c r="AF67" i="11"/>
  <c r="AB67" i="11"/>
  <c r="X67" i="11"/>
  <c r="T67" i="11"/>
  <c r="P67" i="11"/>
  <c r="L67" i="11"/>
  <c r="CN64" i="11"/>
  <c r="CJ64" i="11"/>
  <c r="CF64" i="11"/>
  <c r="CB64" i="11"/>
  <c r="BX64" i="11"/>
  <c r="BT64" i="11"/>
  <c r="BP64" i="11"/>
  <c r="BL64" i="11"/>
  <c r="BH64" i="11"/>
  <c r="BD64" i="11"/>
  <c r="AZ64" i="11"/>
  <c r="AV64" i="11"/>
  <c r="AR64" i="11"/>
  <c r="AN64" i="11"/>
  <c r="AJ64" i="11"/>
  <c r="AF64" i="11"/>
  <c r="AB64" i="11"/>
  <c r="X64" i="11"/>
  <c r="T64" i="11"/>
  <c r="P64" i="11"/>
  <c r="L64" i="11"/>
  <c r="CN63" i="11"/>
  <c r="CJ63" i="11"/>
  <c r="CF63" i="11"/>
  <c r="CB63" i="11"/>
  <c r="BX63" i="11"/>
  <c r="BT63" i="11"/>
  <c r="BP63" i="11"/>
  <c r="BL63" i="11"/>
  <c r="BH63" i="11"/>
  <c r="BD63" i="11"/>
  <c r="AZ63" i="11"/>
  <c r="AV63" i="11"/>
  <c r="AR63" i="11"/>
  <c r="AN63" i="11"/>
  <c r="AJ63" i="11"/>
  <c r="AF63" i="11"/>
  <c r="AB63" i="11"/>
  <c r="X63" i="11"/>
  <c r="T63" i="11"/>
  <c r="P63" i="11"/>
  <c r="L63" i="11"/>
  <c r="CN62" i="11"/>
  <c r="CJ62" i="11"/>
  <c r="CF62" i="11"/>
  <c r="CB62" i="11"/>
  <c r="BX62" i="11"/>
  <c r="BT62" i="11"/>
  <c r="BP62" i="11"/>
  <c r="BL62" i="11"/>
  <c r="BH62" i="11"/>
  <c r="BD62" i="11"/>
  <c r="AZ62" i="11"/>
  <c r="AV62" i="11"/>
  <c r="AR62" i="11"/>
  <c r="AN62" i="11"/>
  <c r="AJ62" i="11"/>
  <c r="AF62" i="11"/>
  <c r="AB62" i="11"/>
  <c r="X62" i="11"/>
  <c r="T62" i="11"/>
  <c r="P62" i="11"/>
  <c r="L62" i="11"/>
  <c r="CN61" i="11"/>
  <c r="CJ61" i="11"/>
  <c r="CF61" i="11"/>
  <c r="CB61" i="11"/>
  <c r="BX61" i="11"/>
  <c r="BT61" i="11"/>
  <c r="BP61" i="11"/>
  <c r="BL61" i="11"/>
  <c r="BH61" i="11"/>
  <c r="BD61" i="11"/>
  <c r="AZ61" i="11"/>
  <c r="AV61" i="11"/>
  <c r="AR61" i="11"/>
  <c r="AN61" i="11"/>
  <c r="AJ61" i="11"/>
  <c r="AF61" i="11"/>
  <c r="AB61" i="11"/>
  <c r="X61" i="11"/>
  <c r="T61" i="11"/>
  <c r="P61" i="11"/>
  <c r="L61" i="11"/>
  <c r="CN60" i="11"/>
  <c r="CJ60" i="11"/>
  <c r="CF60" i="11"/>
  <c r="CB60" i="11"/>
  <c r="BX60" i="11"/>
  <c r="BT60" i="11"/>
  <c r="BP60" i="11"/>
  <c r="BL60" i="11"/>
  <c r="BH60" i="11"/>
  <c r="BD60" i="11"/>
  <c r="AZ60" i="11"/>
  <c r="AR60" i="11"/>
  <c r="AN60" i="11"/>
  <c r="AJ60" i="11"/>
  <c r="AF60" i="11"/>
  <c r="AB60" i="11"/>
  <c r="X60" i="11"/>
  <c r="T60" i="11"/>
  <c r="L60" i="11"/>
  <c r="CN59" i="11"/>
  <c r="CJ59" i="11"/>
  <c r="CF59" i="11"/>
  <c r="CB59" i="11"/>
  <c r="BX59" i="11"/>
  <c r="BT59" i="11"/>
  <c r="BP59" i="11"/>
  <c r="BL59" i="11"/>
  <c r="BH59" i="11"/>
  <c r="BD59" i="11"/>
  <c r="AV59" i="11"/>
  <c r="AR59" i="11"/>
  <c r="AN59" i="11"/>
  <c r="AJ59" i="11"/>
  <c r="AF59" i="11"/>
  <c r="AB59" i="11"/>
  <c r="X59" i="11"/>
  <c r="T59" i="11"/>
  <c r="P59" i="11"/>
  <c r="L59" i="11"/>
  <c r="CN58" i="11"/>
  <c r="CJ58" i="11"/>
  <c r="CF58" i="11"/>
  <c r="CB58" i="11"/>
  <c r="BX58" i="11"/>
  <c r="BT58" i="11"/>
  <c r="BP58" i="11"/>
  <c r="BL58" i="11"/>
  <c r="BH58" i="11"/>
  <c r="BD58" i="11"/>
  <c r="AZ58" i="11"/>
  <c r="AV58" i="11"/>
  <c r="AR58" i="11"/>
  <c r="AN58" i="11"/>
  <c r="AJ58" i="11"/>
  <c r="AF58" i="11"/>
  <c r="AB58" i="11"/>
  <c r="X58" i="11"/>
  <c r="T58" i="11"/>
  <c r="P58" i="11"/>
  <c r="L58" i="11"/>
  <c r="CN56" i="11"/>
  <c r="CJ56" i="11"/>
  <c r="CF56" i="11"/>
  <c r="CB56" i="11"/>
  <c r="BX56" i="11"/>
  <c r="BT56" i="11"/>
  <c r="BP56" i="11"/>
  <c r="BL56" i="11"/>
  <c r="BH56" i="11"/>
  <c r="BD56" i="11"/>
  <c r="AZ56" i="11"/>
  <c r="AV56" i="11"/>
  <c r="AR56" i="11"/>
  <c r="AN56" i="11"/>
  <c r="AJ56" i="11"/>
  <c r="AF56" i="11"/>
  <c r="AB56" i="11"/>
  <c r="X56" i="11"/>
  <c r="T56" i="11"/>
  <c r="P56" i="11"/>
  <c r="L56" i="11"/>
  <c r="CN55" i="11"/>
  <c r="CJ55" i="11"/>
  <c r="CF55" i="11"/>
  <c r="CB55" i="11"/>
  <c r="BX55" i="11"/>
  <c r="BT55" i="11"/>
  <c r="BP55" i="11"/>
  <c r="BL55" i="11"/>
  <c r="BH55" i="11"/>
  <c r="BD55" i="11"/>
  <c r="AZ55" i="11"/>
  <c r="AV55" i="11"/>
  <c r="AR55" i="11"/>
  <c r="AN55" i="11"/>
  <c r="AJ55" i="11"/>
  <c r="AF55" i="11"/>
  <c r="AB55" i="11"/>
  <c r="X55" i="11"/>
  <c r="T55" i="11"/>
  <c r="P55" i="11"/>
  <c r="L55" i="11"/>
  <c r="CN54" i="11"/>
  <c r="CJ54" i="11"/>
  <c r="CF54" i="11"/>
  <c r="CB54" i="11"/>
  <c r="BX54" i="11"/>
  <c r="BT54" i="11"/>
  <c r="BP54" i="11"/>
  <c r="BL54" i="11"/>
  <c r="BH54" i="11"/>
  <c r="BD54" i="11"/>
  <c r="AZ54" i="11"/>
  <c r="AV54" i="11"/>
  <c r="AR54" i="11"/>
  <c r="AN54" i="11"/>
  <c r="AJ54" i="11"/>
  <c r="AF54" i="11"/>
  <c r="AB54" i="11"/>
  <c r="X54" i="11"/>
  <c r="T54" i="11"/>
  <c r="P54" i="11"/>
  <c r="L54" i="11"/>
  <c r="CN53" i="11"/>
  <c r="CJ53" i="11"/>
  <c r="CF53" i="11"/>
  <c r="CB53" i="11"/>
  <c r="BX53" i="11"/>
  <c r="BT53" i="11"/>
  <c r="BP53" i="11"/>
  <c r="BL53" i="11"/>
  <c r="BH53" i="11"/>
  <c r="BD53" i="11"/>
  <c r="AZ53" i="11"/>
  <c r="AV53" i="11"/>
  <c r="AR53" i="11"/>
  <c r="AN53" i="11"/>
  <c r="AJ53" i="11"/>
  <c r="AF53" i="11"/>
  <c r="AB53" i="11"/>
  <c r="X53" i="11"/>
  <c r="T53" i="11"/>
  <c r="P53" i="11"/>
  <c r="L53" i="11"/>
  <c r="CN52" i="11"/>
  <c r="CJ52" i="11"/>
  <c r="CF52" i="11"/>
  <c r="CB52" i="11"/>
  <c r="BX52" i="11"/>
  <c r="BT52" i="11"/>
  <c r="BP52" i="11"/>
  <c r="BL52" i="11"/>
  <c r="BH52" i="11"/>
  <c r="BD52" i="11"/>
  <c r="AZ52" i="11"/>
  <c r="AV52" i="11"/>
  <c r="AR52" i="11"/>
  <c r="AN52" i="11"/>
  <c r="AJ52" i="11"/>
  <c r="AF52" i="11"/>
  <c r="AB52" i="11"/>
  <c r="X52" i="11"/>
  <c r="T52" i="11"/>
  <c r="P52" i="11"/>
  <c r="L52" i="11"/>
  <c r="CN51" i="11"/>
  <c r="CJ51" i="11"/>
  <c r="CF51" i="11"/>
  <c r="CB51" i="11"/>
  <c r="BX51" i="11"/>
  <c r="BT51" i="11"/>
  <c r="BP51" i="11"/>
  <c r="BL51" i="11"/>
  <c r="BH51" i="11"/>
  <c r="BD51" i="11"/>
  <c r="AZ51" i="11"/>
  <c r="AV51" i="11"/>
  <c r="AR51" i="11"/>
  <c r="AN51" i="11"/>
  <c r="AJ51" i="11"/>
  <c r="AF51" i="11"/>
  <c r="AB51" i="11"/>
  <c r="X51" i="11"/>
  <c r="T51" i="11"/>
  <c r="P51" i="11"/>
  <c r="L51" i="11"/>
  <c r="CN50" i="11"/>
  <c r="CJ50" i="11"/>
  <c r="CF50" i="11"/>
  <c r="CB50" i="11"/>
  <c r="BX50" i="11"/>
  <c r="BT50" i="11"/>
  <c r="BP50" i="11"/>
  <c r="BL50" i="11"/>
  <c r="BH50" i="11"/>
  <c r="BD50" i="11"/>
  <c r="AZ50" i="11"/>
  <c r="AV50" i="11"/>
  <c r="AR50" i="11"/>
  <c r="AN50" i="11"/>
  <c r="AJ50" i="11"/>
  <c r="AF50" i="11"/>
  <c r="AB50" i="11"/>
  <c r="X50" i="11"/>
  <c r="T50" i="11"/>
  <c r="P50" i="11"/>
  <c r="L50" i="11"/>
  <c r="CN49" i="11"/>
  <c r="CJ49" i="11"/>
  <c r="CF49" i="11"/>
  <c r="CB49" i="11"/>
  <c r="BX49" i="11"/>
  <c r="BT49" i="11"/>
  <c r="BP49" i="11"/>
  <c r="BL49" i="11"/>
  <c r="BH49" i="11"/>
  <c r="BD49" i="11"/>
  <c r="AZ49" i="11"/>
  <c r="AV49" i="11"/>
  <c r="AR49" i="11"/>
  <c r="AN49" i="11"/>
  <c r="AJ49" i="11"/>
  <c r="AF49" i="11"/>
  <c r="AB49" i="11"/>
  <c r="X49" i="11"/>
  <c r="T49" i="11"/>
  <c r="P49" i="11"/>
  <c r="L49" i="11"/>
  <c r="CN48" i="11"/>
  <c r="CJ48" i="11"/>
  <c r="CF48" i="11"/>
  <c r="CB48" i="11"/>
  <c r="BX48" i="11"/>
  <c r="BT48" i="11"/>
  <c r="BP48" i="11"/>
  <c r="BL48" i="11"/>
  <c r="BH48" i="11"/>
  <c r="BD48" i="11"/>
  <c r="AZ48" i="11"/>
  <c r="AV48" i="11"/>
  <c r="AR48" i="11"/>
  <c r="AN48" i="11"/>
  <c r="AJ48" i="11"/>
  <c r="AF48" i="11"/>
  <c r="AB48" i="11"/>
  <c r="X48" i="11"/>
  <c r="T48" i="11"/>
  <c r="P48" i="11"/>
  <c r="L48" i="11"/>
  <c r="CN47" i="11"/>
  <c r="CJ47" i="11"/>
  <c r="CF47" i="11"/>
  <c r="CB47" i="11"/>
  <c r="BX47" i="11"/>
  <c r="BT47" i="11"/>
  <c r="BP47" i="11"/>
  <c r="BL47" i="11"/>
  <c r="BH47" i="11"/>
  <c r="BD47" i="11"/>
  <c r="AZ47" i="11"/>
  <c r="AV47" i="11"/>
  <c r="AR47" i="11"/>
  <c r="AN47" i="11"/>
  <c r="AJ47" i="11"/>
  <c r="AF47" i="11"/>
  <c r="AB47" i="11"/>
  <c r="X47" i="11"/>
  <c r="T47" i="11"/>
  <c r="P47" i="11"/>
  <c r="L47" i="11"/>
  <c r="CN46" i="11"/>
  <c r="CJ46" i="11"/>
  <c r="CF46" i="11"/>
  <c r="CB46" i="11"/>
  <c r="BX46" i="11"/>
  <c r="BT46" i="11"/>
  <c r="BP46" i="11"/>
  <c r="BL46" i="11"/>
  <c r="BH46" i="11"/>
  <c r="BD46" i="11"/>
  <c r="AZ46" i="11"/>
  <c r="AV46" i="11"/>
  <c r="AR46" i="11"/>
  <c r="AN46" i="11"/>
  <c r="AJ46" i="11"/>
  <c r="AF46" i="11"/>
  <c r="AB46" i="11"/>
  <c r="X46" i="11"/>
  <c r="T46" i="11"/>
  <c r="P46" i="11"/>
  <c r="L46" i="11"/>
  <c r="CN45" i="11"/>
  <c r="CJ45" i="11"/>
  <c r="CF45" i="11"/>
  <c r="CB45" i="11"/>
  <c r="BX45" i="11"/>
  <c r="BT45" i="11"/>
  <c r="BP45" i="11"/>
  <c r="BL45" i="11"/>
  <c r="BH45" i="11"/>
  <c r="BD45" i="11"/>
  <c r="AZ45" i="11"/>
  <c r="AV45" i="11"/>
  <c r="AR45" i="11"/>
  <c r="AN45" i="11"/>
  <c r="AJ45" i="11"/>
  <c r="AB45" i="11"/>
  <c r="X45" i="11"/>
  <c r="T45" i="11"/>
  <c r="P45" i="11"/>
  <c r="L45" i="11"/>
  <c r="CN44" i="11"/>
  <c r="CJ44" i="11"/>
  <c r="CF44" i="11"/>
  <c r="CB44" i="11"/>
  <c r="BX44" i="11"/>
  <c r="BT44" i="11"/>
  <c r="BP44" i="11"/>
  <c r="BL44" i="11"/>
  <c r="BH44" i="11"/>
  <c r="BD44" i="11"/>
  <c r="AZ44" i="11"/>
  <c r="AV44" i="11"/>
  <c r="AR44" i="11"/>
  <c r="AN44" i="11"/>
  <c r="AJ44" i="11"/>
  <c r="AF44" i="11"/>
  <c r="AB44" i="11"/>
  <c r="X44" i="11"/>
  <c r="T44" i="11"/>
  <c r="P44" i="11"/>
  <c r="L44" i="11"/>
  <c r="CN43" i="11"/>
  <c r="CJ43" i="11"/>
  <c r="CF43" i="11"/>
  <c r="CB43" i="11"/>
  <c r="BX43" i="11"/>
  <c r="BT43" i="11"/>
  <c r="BP43" i="11"/>
  <c r="BL43" i="11"/>
  <c r="BH43" i="11"/>
  <c r="BD43" i="11"/>
  <c r="AZ43" i="11"/>
  <c r="AV43" i="11"/>
  <c r="AR43" i="11"/>
  <c r="AN43" i="11"/>
  <c r="AJ43" i="11"/>
  <c r="AF43" i="11"/>
  <c r="AB43" i="11"/>
  <c r="X43" i="11"/>
  <c r="T43" i="11"/>
  <c r="P43" i="11"/>
  <c r="L43" i="11"/>
  <c r="CN42" i="11"/>
  <c r="CJ42" i="11"/>
  <c r="CF42" i="11"/>
  <c r="CB42" i="11"/>
  <c r="BX42" i="11"/>
  <c r="BT42" i="11"/>
  <c r="BP42" i="11"/>
  <c r="BL42" i="11"/>
  <c r="BH42" i="11"/>
  <c r="BD42" i="11"/>
  <c r="AZ42" i="11"/>
  <c r="AV42" i="11"/>
  <c r="AR42" i="11"/>
  <c r="AN42" i="11"/>
  <c r="AJ42" i="11"/>
  <c r="AF42" i="11"/>
  <c r="AB42" i="11"/>
  <c r="X42" i="11"/>
  <c r="T42" i="11"/>
  <c r="P42" i="11"/>
  <c r="L42" i="11"/>
  <c r="CN41" i="11"/>
  <c r="CJ41" i="11"/>
  <c r="CF41" i="11"/>
  <c r="CB41" i="11"/>
  <c r="BX41" i="11"/>
  <c r="BT41" i="11"/>
  <c r="BP41" i="11"/>
  <c r="BL41" i="11"/>
  <c r="BH41" i="11"/>
  <c r="BD41" i="11"/>
  <c r="AZ41" i="11"/>
  <c r="AV41" i="11"/>
  <c r="AR41" i="11"/>
  <c r="AN41" i="11"/>
  <c r="AJ41" i="11"/>
  <c r="AF41" i="11"/>
  <c r="AB41" i="11"/>
  <c r="X41" i="11"/>
  <c r="T41" i="11"/>
  <c r="P41" i="11"/>
  <c r="L41" i="11"/>
  <c r="CN40" i="11"/>
  <c r="CJ40" i="11"/>
  <c r="CF40" i="11"/>
  <c r="CB40" i="11"/>
  <c r="BX40" i="11"/>
  <c r="BT40" i="11"/>
  <c r="BP40" i="11"/>
  <c r="BL40" i="11"/>
  <c r="BH40" i="11"/>
  <c r="BD40" i="11"/>
  <c r="AZ40" i="11"/>
  <c r="AV40" i="11"/>
  <c r="AR40" i="11"/>
  <c r="AN40" i="11"/>
  <c r="AJ40" i="11"/>
  <c r="AF40" i="11"/>
  <c r="AB40" i="11"/>
  <c r="X40" i="11"/>
  <c r="T40" i="11"/>
  <c r="P40" i="11"/>
  <c r="L40" i="11"/>
  <c r="CN39" i="11"/>
  <c r="CJ39" i="11"/>
  <c r="CF39" i="11"/>
  <c r="CB39" i="11"/>
  <c r="BX39" i="11"/>
  <c r="BT39" i="11"/>
  <c r="BP39" i="11"/>
  <c r="BL39" i="11"/>
  <c r="BH39" i="11"/>
  <c r="BD39" i="11"/>
  <c r="AZ39" i="11"/>
  <c r="AV39" i="11"/>
  <c r="AR39" i="11"/>
  <c r="AN39" i="11"/>
  <c r="AJ39" i="11"/>
  <c r="AF39" i="11"/>
  <c r="AB39" i="11"/>
  <c r="X39" i="11"/>
  <c r="T39" i="11"/>
  <c r="P39" i="11"/>
  <c r="L39" i="11"/>
  <c r="CN38" i="11"/>
  <c r="CJ38" i="11"/>
  <c r="CF38" i="11"/>
  <c r="CB38" i="11"/>
  <c r="BX38" i="11"/>
  <c r="BT38" i="11"/>
  <c r="BP38" i="11"/>
  <c r="BL38" i="11"/>
  <c r="BH38" i="11"/>
  <c r="BD38" i="11"/>
  <c r="AZ38" i="11"/>
  <c r="AV38" i="11"/>
  <c r="AR38" i="11"/>
  <c r="AN38" i="11"/>
  <c r="AJ38" i="11"/>
  <c r="AF38" i="11"/>
  <c r="AB38" i="11"/>
  <c r="X38" i="11"/>
  <c r="T38" i="11"/>
  <c r="P38" i="11"/>
  <c r="L38" i="11"/>
  <c r="CN37" i="11"/>
  <c r="CJ37" i="11"/>
  <c r="CF37" i="11"/>
  <c r="CB37" i="11"/>
  <c r="BX37" i="11"/>
  <c r="BT37" i="11"/>
  <c r="BP37" i="11"/>
  <c r="BL37" i="11"/>
  <c r="BH37" i="11"/>
  <c r="BD37" i="11"/>
  <c r="AZ37" i="11"/>
  <c r="AV37" i="11"/>
  <c r="AR37" i="11"/>
  <c r="AN37" i="11"/>
  <c r="AJ37" i="11"/>
  <c r="AF37" i="11"/>
  <c r="AB37" i="11"/>
  <c r="X37" i="11"/>
  <c r="T37" i="11"/>
  <c r="P37" i="11"/>
  <c r="L37" i="11"/>
  <c r="CN36" i="11"/>
  <c r="CJ36" i="11"/>
  <c r="CF36" i="11"/>
  <c r="CB36" i="11"/>
  <c r="BX36" i="11"/>
  <c r="BT36" i="11"/>
  <c r="BP36" i="11"/>
  <c r="BL36" i="11"/>
  <c r="BH36" i="11"/>
  <c r="BD36" i="11"/>
  <c r="AZ36" i="11"/>
  <c r="AV36" i="11"/>
  <c r="AR36" i="11"/>
  <c r="AN36" i="11"/>
  <c r="AJ36" i="11"/>
  <c r="AF36" i="11"/>
  <c r="AB36" i="11"/>
  <c r="X36" i="11"/>
  <c r="T36" i="11"/>
  <c r="P36" i="11"/>
  <c r="L36" i="11"/>
  <c r="CN35" i="11"/>
  <c r="CJ35" i="11"/>
  <c r="CF35" i="11"/>
  <c r="CB35" i="11"/>
  <c r="BX35" i="11"/>
  <c r="BT35" i="11"/>
  <c r="BP35" i="11"/>
  <c r="BL35" i="11"/>
  <c r="BH35" i="11"/>
  <c r="BD35" i="11"/>
  <c r="AZ35" i="11"/>
  <c r="AV35" i="11"/>
  <c r="AR35" i="11"/>
  <c r="AN35" i="11"/>
  <c r="AJ35" i="11"/>
  <c r="AF35" i="11"/>
  <c r="AB35" i="11"/>
  <c r="X35" i="11"/>
  <c r="T35" i="11"/>
  <c r="P35" i="11"/>
  <c r="L35" i="11"/>
  <c r="CN34" i="11"/>
  <c r="CJ34" i="11"/>
  <c r="CF34" i="11"/>
  <c r="CB34" i="11"/>
  <c r="BX34" i="11"/>
  <c r="BT34" i="11"/>
  <c r="BP34" i="11"/>
  <c r="BL34" i="11"/>
  <c r="BH34" i="11"/>
  <c r="BD34" i="11"/>
  <c r="AZ34" i="11"/>
  <c r="AV34" i="11"/>
  <c r="AR34" i="11"/>
  <c r="AN34" i="11"/>
  <c r="AJ34" i="11"/>
  <c r="AF34" i="11"/>
  <c r="AB34" i="11"/>
  <c r="X34" i="11"/>
  <c r="T34" i="11"/>
  <c r="P34" i="11"/>
  <c r="L34" i="11"/>
  <c r="CN33" i="11"/>
  <c r="CJ33" i="11"/>
  <c r="CF33" i="11"/>
  <c r="CB33" i="11"/>
  <c r="BX33" i="11"/>
  <c r="BT33" i="11"/>
  <c r="BP33" i="11"/>
  <c r="BL33" i="11"/>
  <c r="BH33" i="11"/>
  <c r="BD33" i="11"/>
  <c r="AZ33" i="11"/>
  <c r="AV33" i="11"/>
  <c r="AR33" i="11"/>
  <c r="AN33" i="11"/>
  <c r="AJ33" i="11"/>
  <c r="AF33" i="11"/>
  <c r="AB33" i="11"/>
  <c r="X33" i="11"/>
  <c r="T33" i="11"/>
  <c r="P33" i="11"/>
  <c r="L33" i="11"/>
  <c r="CN32" i="11"/>
  <c r="CJ32" i="11"/>
  <c r="CF32" i="11"/>
  <c r="CB32" i="11"/>
  <c r="BX32" i="11"/>
  <c r="BT32" i="11"/>
  <c r="BP32" i="11"/>
  <c r="BL32" i="11"/>
  <c r="BH32" i="11"/>
  <c r="BD32" i="11"/>
  <c r="AZ32" i="11"/>
  <c r="AV32" i="11"/>
  <c r="AR32" i="11"/>
  <c r="AN32" i="11"/>
  <c r="AJ32" i="11"/>
  <c r="AF32" i="11"/>
  <c r="AB32" i="11"/>
  <c r="X32" i="11"/>
  <c r="T32" i="11"/>
  <c r="P32" i="11"/>
  <c r="L32" i="11"/>
  <c r="CN31" i="11"/>
  <c r="CJ31" i="11"/>
  <c r="CF31" i="11"/>
  <c r="CB31" i="11"/>
  <c r="BX31" i="11"/>
  <c r="BT31" i="11"/>
  <c r="BP31" i="11"/>
  <c r="BL31" i="11"/>
  <c r="BH31" i="11"/>
  <c r="BD31" i="11"/>
  <c r="AZ31" i="11"/>
  <c r="AV31" i="11"/>
  <c r="AR31" i="11"/>
  <c r="AN31" i="11"/>
  <c r="AJ31" i="11"/>
  <c r="AB31" i="11"/>
  <c r="X31" i="11"/>
  <c r="T31" i="11"/>
  <c r="P31" i="11"/>
  <c r="L31" i="11"/>
  <c r="CN30" i="11"/>
  <c r="CJ30" i="11"/>
  <c r="CF30" i="11"/>
  <c r="CB30" i="11"/>
  <c r="BX30" i="11"/>
  <c r="BT30" i="11"/>
  <c r="BP30" i="11"/>
  <c r="BL30" i="11"/>
  <c r="BH30" i="11"/>
  <c r="BD30" i="11"/>
  <c r="AZ30" i="11"/>
  <c r="AV30" i="11"/>
  <c r="AR30" i="11"/>
  <c r="AN30" i="11"/>
  <c r="AJ30" i="11"/>
  <c r="AF30" i="11"/>
  <c r="AB30" i="11"/>
  <c r="X30" i="11"/>
  <c r="T30" i="11"/>
  <c r="P30" i="11"/>
  <c r="L30" i="11"/>
  <c r="CN29" i="11"/>
  <c r="CJ29" i="11"/>
  <c r="CF29" i="11"/>
  <c r="CB29" i="11"/>
  <c r="BX29" i="11"/>
  <c r="BT29" i="11"/>
  <c r="BP29" i="11"/>
  <c r="BL29" i="11"/>
  <c r="BH29" i="11"/>
  <c r="BD29" i="11"/>
  <c r="AZ29" i="11"/>
  <c r="AV29" i="11"/>
  <c r="AR29" i="11"/>
  <c r="AN29" i="11"/>
  <c r="AJ29" i="11"/>
  <c r="AF29" i="11"/>
  <c r="AB29" i="11"/>
  <c r="X29" i="11"/>
  <c r="T29" i="11"/>
  <c r="P29" i="11"/>
  <c r="L29" i="11"/>
  <c r="CN28" i="11"/>
  <c r="CJ28" i="11"/>
  <c r="CF28" i="11"/>
  <c r="CB28" i="11"/>
  <c r="BX28" i="11"/>
  <c r="BT28" i="11"/>
  <c r="BP28" i="11"/>
  <c r="BL28" i="11"/>
  <c r="BH28" i="11"/>
  <c r="BD28" i="11"/>
  <c r="AZ28" i="11"/>
  <c r="AV28" i="11"/>
  <c r="AR28" i="11"/>
  <c r="AN28" i="11"/>
  <c r="AJ28" i="11"/>
  <c r="AF28" i="11"/>
  <c r="AB28" i="11"/>
  <c r="X28" i="11"/>
  <c r="T28" i="11"/>
  <c r="P28" i="11"/>
  <c r="L28" i="11"/>
  <c r="CN27" i="11"/>
  <c r="CJ27" i="11"/>
  <c r="CF27" i="11"/>
  <c r="CB27" i="11"/>
  <c r="BX27" i="11"/>
  <c r="BT27" i="11"/>
  <c r="BP27" i="11"/>
  <c r="BL27" i="11"/>
  <c r="BH27" i="11"/>
  <c r="BD27" i="11"/>
  <c r="AZ27" i="11"/>
  <c r="AV27" i="11"/>
  <c r="AR27" i="11"/>
  <c r="AN27" i="11"/>
  <c r="AJ27" i="11"/>
  <c r="AF27" i="11"/>
  <c r="AB27" i="11"/>
  <c r="X27" i="11"/>
  <c r="T27" i="11"/>
  <c r="P27" i="11"/>
  <c r="L27" i="11"/>
  <c r="CN26" i="11"/>
  <c r="CJ26" i="11"/>
  <c r="CF26" i="11"/>
  <c r="CB26" i="11"/>
  <c r="BX26" i="11"/>
  <c r="BT26" i="11"/>
  <c r="BP26" i="11"/>
  <c r="BL26" i="11"/>
  <c r="BH26" i="11"/>
  <c r="BD26" i="11"/>
  <c r="AZ26" i="11"/>
  <c r="AV26" i="11"/>
  <c r="AR26" i="11"/>
  <c r="AN26" i="11"/>
  <c r="AJ26" i="11"/>
  <c r="AF26" i="11"/>
  <c r="AB26" i="11"/>
  <c r="X26" i="11"/>
  <c r="T26" i="11"/>
  <c r="P26" i="11"/>
  <c r="L26" i="11"/>
  <c r="CN25" i="11"/>
  <c r="CJ25" i="11"/>
  <c r="CF25" i="11"/>
  <c r="CB25" i="11"/>
  <c r="BX25" i="11"/>
  <c r="BT25" i="11"/>
  <c r="BP25" i="11"/>
  <c r="BL25" i="11"/>
  <c r="BH25" i="11"/>
  <c r="BD25" i="11"/>
  <c r="AZ25" i="11"/>
  <c r="AV25" i="11"/>
  <c r="AR25" i="11"/>
  <c r="AN25" i="11"/>
  <c r="AJ25" i="11"/>
  <c r="AF25" i="11"/>
  <c r="AB25" i="11"/>
  <c r="X25" i="11"/>
  <c r="T25" i="11"/>
  <c r="P25" i="11"/>
  <c r="L25" i="11"/>
  <c r="CN24" i="11"/>
  <c r="CJ24" i="11"/>
  <c r="CF24" i="11"/>
  <c r="CB24" i="11"/>
  <c r="BX24" i="11"/>
  <c r="BT24" i="11"/>
  <c r="BP24" i="11"/>
  <c r="BL24" i="11"/>
  <c r="BH24" i="11"/>
  <c r="BD24" i="11"/>
  <c r="AZ24" i="11"/>
  <c r="AV24" i="11"/>
  <c r="AR24" i="11"/>
  <c r="AN24" i="11"/>
  <c r="AJ24" i="11"/>
  <c r="AF24" i="11"/>
  <c r="AB24" i="11"/>
  <c r="X24" i="11"/>
  <c r="T24" i="11"/>
  <c r="P24" i="11"/>
  <c r="L24" i="11"/>
  <c r="CN23" i="11"/>
  <c r="CJ23" i="11"/>
  <c r="CF23" i="11"/>
  <c r="CB23" i="11"/>
  <c r="BX23" i="11"/>
  <c r="BT23" i="11"/>
  <c r="BP23" i="11"/>
  <c r="BL23" i="11"/>
  <c r="BH23" i="11"/>
  <c r="BD23" i="11"/>
  <c r="AZ23" i="11"/>
  <c r="AV23" i="11"/>
  <c r="AR23" i="11"/>
  <c r="AN23" i="11"/>
  <c r="AJ23" i="11"/>
  <c r="AF23" i="11"/>
  <c r="AB23" i="11"/>
  <c r="X23" i="11"/>
  <c r="T23" i="11"/>
  <c r="P23" i="11"/>
  <c r="L23" i="11"/>
  <c r="CN22" i="11"/>
  <c r="CJ22" i="11"/>
  <c r="CF22" i="11"/>
  <c r="CB22" i="11"/>
  <c r="BX22" i="11"/>
  <c r="BT22" i="11"/>
  <c r="BP22" i="11"/>
  <c r="BL22" i="11"/>
  <c r="BH22" i="11"/>
  <c r="BD22" i="11"/>
  <c r="AZ22" i="11"/>
  <c r="AV22" i="11"/>
  <c r="AR22" i="11"/>
  <c r="AN22" i="11"/>
  <c r="AJ22" i="11"/>
  <c r="AF22" i="11"/>
  <c r="AB22" i="11"/>
  <c r="X22" i="11"/>
  <c r="T22" i="11"/>
  <c r="P22" i="11"/>
  <c r="L22" i="11"/>
  <c r="CN20" i="11"/>
  <c r="CJ20" i="11"/>
  <c r="CF20" i="11"/>
  <c r="CB20" i="11"/>
  <c r="BX20" i="11"/>
  <c r="BT20" i="11"/>
  <c r="BP20" i="11"/>
  <c r="BL20" i="11"/>
  <c r="BH20" i="11"/>
  <c r="BD20" i="11"/>
  <c r="AZ20" i="11"/>
  <c r="AV20" i="11"/>
  <c r="AR20" i="11"/>
  <c r="AN20" i="11"/>
  <c r="AJ20" i="11"/>
  <c r="AF20" i="11"/>
  <c r="AB20" i="11"/>
  <c r="X20" i="11"/>
  <c r="T20" i="11"/>
  <c r="P20" i="11"/>
  <c r="L20" i="11"/>
  <c r="CN19" i="11"/>
  <c r="CJ19" i="11"/>
  <c r="CF19" i="11"/>
  <c r="CB19" i="11"/>
  <c r="BX19" i="11"/>
  <c r="BT19" i="11"/>
  <c r="BP19" i="11"/>
  <c r="BL19" i="11"/>
  <c r="BH19" i="11"/>
  <c r="BD19" i="11"/>
  <c r="AZ19" i="11"/>
  <c r="AV19" i="11"/>
  <c r="AR19" i="11"/>
  <c r="AN19" i="11"/>
  <c r="AJ19" i="11"/>
  <c r="AF19" i="11"/>
  <c r="AB19" i="11"/>
  <c r="X19" i="11"/>
  <c r="T19" i="11"/>
  <c r="P19" i="11"/>
  <c r="L19" i="11"/>
  <c r="CN18" i="11"/>
  <c r="CJ18" i="11"/>
  <c r="CF18" i="11"/>
  <c r="CB18" i="11"/>
  <c r="BX18" i="11"/>
  <c r="BT18" i="11"/>
  <c r="BP18" i="11"/>
  <c r="BL18" i="11"/>
  <c r="BH18" i="11"/>
  <c r="BD18" i="11"/>
  <c r="AZ18" i="11"/>
  <c r="AV18" i="11"/>
  <c r="AR18" i="11"/>
  <c r="AN18" i="11"/>
  <c r="AJ18" i="11"/>
  <c r="AF18" i="11"/>
  <c r="AB18" i="11"/>
  <c r="X18" i="11"/>
  <c r="T18" i="11"/>
  <c r="P18" i="11"/>
  <c r="L18" i="11"/>
  <c r="CN17" i="11"/>
  <c r="CJ17" i="11"/>
  <c r="CF17" i="11"/>
  <c r="CB17" i="11"/>
  <c r="BX17" i="11"/>
  <c r="BT17" i="11"/>
  <c r="BP17" i="11"/>
  <c r="BL17" i="11"/>
  <c r="BH17" i="11"/>
  <c r="BD17" i="11"/>
  <c r="AZ17" i="11"/>
  <c r="AV17" i="11"/>
  <c r="AR17" i="11"/>
  <c r="AN17" i="11"/>
  <c r="AJ17" i="11"/>
  <c r="AF17" i="11"/>
  <c r="AB17" i="11"/>
  <c r="X17" i="11"/>
  <c r="T17" i="11"/>
  <c r="P17" i="11"/>
  <c r="L17" i="11"/>
  <c r="CN16" i="11"/>
  <c r="CJ16" i="11"/>
  <c r="CF16" i="11"/>
  <c r="CB16" i="11"/>
  <c r="BX16" i="11"/>
  <c r="BT16" i="11"/>
  <c r="BP16" i="11"/>
  <c r="BL16" i="11"/>
  <c r="BH16" i="11"/>
  <c r="BD16" i="11"/>
  <c r="AZ16" i="11"/>
  <c r="AV16" i="11"/>
  <c r="AR16" i="11"/>
  <c r="AN16" i="11"/>
  <c r="AJ16" i="11"/>
  <c r="AF16" i="11"/>
  <c r="AB16" i="11"/>
  <c r="X16" i="11"/>
  <c r="T16" i="11"/>
  <c r="P16" i="11"/>
  <c r="L16" i="11"/>
  <c r="CN15" i="11"/>
  <c r="CJ15" i="11"/>
  <c r="CF15" i="11"/>
  <c r="CB15" i="11"/>
  <c r="BX15" i="11"/>
  <c r="BT15" i="11"/>
  <c r="BP15" i="11"/>
  <c r="BL15" i="11"/>
  <c r="BH15" i="11"/>
  <c r="BD15" i="11"/>
  <c r="AZ15" i="11"/>
  <c r="AV15" i="11"/>
  <c r="AR15" i="11"/>
  <c r="AN15" i="11"/>
  <c r="AJ15" i="11"/>
  <c r="AF15" i="11"/>
  <c r="AB15" i="11"/>
  <c r="X15" i="11"/>
  <c r="T15" i="11"/>
  <c r="P15" i="11"/>
  <c r="L15" i="11"/>
  <c r="CN14" i="11"/>
  <c r="CJ14" i="11"/>
  <c r="CF14" i="11"/>
  <c r="CB14" i="11"/>
  <c r="BX14" i="11"/>
  <c r="BT14" i="11"/>
  <c r="BP14" i="11"/>
  <c r="BL14" i="11"/>
  <c r="BH14" i="11"/>
  <c r="BD14" i="11"/>
  <c r="AZ14" i="11"/>
  <c r="AV14" i="11"/>
  <c r="AR14" i="11"/>
  <c r="AN14" i="11"/>
  <c r="AJ14" i="11"/>
  <c r="AF14" i="11"/>
  <c r="AB14" i="11"/>
  <c r="X14" i="11"/>
  <c r="T14" i="11"/>
  <c r="P14" i="11"/>
  <c r="L14" i="11"/>
  <c r="CN13" i="11"/>
  <c r="CJ13" i="11"/>
  <c r="CF13" i="11"/>
  <c r="CB13" i="11"/>
  <c r="BX13" i="11"/>
  <c r="BT13" i="11"/>
  <c r="BP13" i="11"/>
  <c r="BL13" i="11"/>
  <c r="BH13" i="11"/>
  <c r="BD13" i="11"/>
  <c r="AZ13" i="11"/>
  <c r="AV13" i="11"/>
  <c r="AR13" i="11"/>
  <c r="AN13" i="11"/>
  <c r="AJ13" i="11"/>
  <c r="AF13" i="11"/>
  <c r="AB13" i="11"/>
  <c r="X13" i="11"/>
  <c r="T13" i="11"/>
  <c r="P13" i="11"/>
  <c r="L13" i="11"/>
  <c r="CN12" i="11"/>
  <c r="CJ12" i="11"/>
  <c r="CF12" i="11"/>
  <c r="CB12" i="11"/>
  <c r="BX12" i="11"/>
  <c r="BT12" i="11"/>
  <c r="BP12" i="11"/>
  <c r="BL12" i="11"/>
  <c r="BH12" i="11"/>
  <c r="BD12" i="11"/>
  <c r="AZ12" i="11"/>
  <c r="AV12" i="11"/>
  <c r="AR12" i="11"/>
  <c r="AN12" i="11"/>
  <c r="AJ12" i="11"/>
  <c r="AF12" i="11"/>
  <c r="AB12" i="11"/>
  <c r="X12" i="11"/>
  <c r="T12" i="11"/>
  <c r="P12" i="11"/>
  <c r="L12" i="11"/>
  <c r="CN11" i="11"/>
  <c r="CJ11" i="11"/>
  <c r="CF11" i="11"/>
  <c r="CB11" i="11"/>
  <c r="BX11" i="11"/>
  <c r="BT11" i="11"/>
  <c r="BP11" i="11"/>
  <c r="BL11" i="11"/>
  <c r="BH11" i="11"/>
  <c r="BD11" i="11"/>
  <c r="AZ11" i="11"/>
  <c r="AV11" i="11"/>
  <c r="AR11" i="11"/>
  <c r="AN11" i="11"/>
  <c r="AJ11" i="11"/>
  <c r="AF11" i="11"/>
  <c r="AB11" i="11"/>
  <c r="X11" i="11"/>
  <c r="T11" i="11"/>
  <c r="P11" i="11"/>
  <c r="L11" i="11"/>
  <c r="AY67" i="6"/>
  <c r="AY68" i="6"/>
  <c r="AZ68" i="6"/>
  <c r="AS67" i="6"/>
  <c r="AS68" i="6"/>
  <c r="AT68" i="6"/>
  <c r="AQ67" i="6"/>
  <c r="AQ68" i="6"/>
  <c r="AR68" i="6"/>
  <c r="AW67" i="6"/>
  <c r="AW68" i="6"/>
  <c r="AX68" i="6"/>
  <c r="AU67" i="6"/>
  <c r="AU68" i="6"/>
  <c r="AV68" i="6"/>
  <c r="AO116" i="10"/>
  <c r="AO117" i="10"/>
  <c r="AP117" i="10"/>
  <c r="U116" i="10"/>
  <c r="U117" i="10"/>
  <c r="V117" i="10"/>
  <c r="AC116" i="10"/>
  <c r="AC117" i="10"/>
  <c r="AD117" i="10"/>
  <c r="W116" i="10"/>
  <c r="W117" i="10"/>
  <c r="X117" i="10"/>
  <c r="S116" i="10"/>
  <c r="S117" i="10"/>
  <c r="T117" i="10"/>
  <c r="AA116" i="10"/>
  <c r="AA117" i="10"/>
  <c r="AB117" i="10"/>
  <c r="AQ116" i="10"/>
  <c r="AQ117" i="10"/>
  <c r="AR117" i="10"/>
  <c r="AI116" i="10"/>
  <c r="AI117" i="10"/>
  <c r="AJ117" i="10"/>
  <c r="AW116" i="10"/>
  <c r="AW117" i="10"/>
  <c r="AX117" i="10"/>
  <c r="Y116" i="10"/>
  <c r="Y117" i="10"/>
  <c r="Z117" i="10"/>
  <c r="Q116" i="10"/>
  <c r="Q117" i="10"/>
  <c r="R117" i="10"/>
  <c r="AU116" i="10"/>
  <c r="AU117" i="10"/>
  <c r="AV117" i="10"/>
  <c r="AE116" i="10"/>
  <c r="AE117" i="10"/>
  <c r="AF117" i="10"/>
  <c r="K116" i="10"/>
  <c r="K117" i="10"/>
  <c r="L117" i="10"/>
  <c r="M116" i="10"/>
  <c r="M117" i="10"/>
  <c r="N117" i="10"/>
  <c r="O116" i="10"/>
  <c r="O117" i="10"/>
  <c r="P117" i="10"/>
  <c r="AY117" i="10"/>
  <c r="AK116" i="10"/>
  <c r="AK117" i="10"/>
  <c r="AL117" i="10"/>
  <c r="AS116" i="10"/>
  <c r="AS117" i="10"/>
  <c r="AT117" i="10"/>
  <c r="AM116" i="10"/>
  <c r="AM117" i="10"/>
  <c r="AN117" i="10"/>
  <c r="AG116" i="10"/>
  <c r="AG117" i="10"/>
  <c r="AH117" i="10"/>
  <c r="H116" i="10"/>
  <c r="AP116" i="10"/>
  <c r="V116" i="10"/>
  <c r="AD116" i="10"/>
  <c r="X116" i="10"/>
  <c r="T116" i="10"/>
  <c r="AB116" i="10"/>
  <c r="AR116" i="10"/>
  <c r="AJ116" i="10"/>
  <c r="AX116" i="10"/>
  <c r="Z116" i="10"/>
  <c r="R116" i="10"/>
  <c r="AV116" i="10"/>
  <c r="AF116" i="10"/>
  <c r="L116" i="10"/>
  <c r="N116" i="10"/>
  <c r="P116" i="10"/>
  <c r="AY116" i="10"/>
  <c r="AZ116" i="10"/>
  <c r="AL116" i="10"/>
  <c r="AT116" i="10"/>
  <c r="AN116" i="10"/>
  <c r="AH116" i="10"/>
  <c r="AP113" i="10"/>
  <c r="V113" i="10"/>
  <c r="AD113" i="10"/>
  <c r="X113" i="10"/>
  <c r="T113" i="10"/>
  <c r="AB113" i="10"/>
  <c r="AR113" i="10"/>
  <c r="AJ113" i="10"/>
  <c r="AX113" i="10"/>
  <c r="Z113" i="10"/>
  <c r="R113" i="10"/>
  <c r="AV113" i="10"/>
  <c r="AF113" i="10"/>
  <c r="L113" i="10"/>
  <c r="N113" i="10"/>
  <c r="P113" i="10"/>
  <c r="AZ113" i="10"/>
  <c r="AL113" i="10"/>
  <c r="AT113" i="10"/>
  <c r="AN113" i="10"/>
  <c r="AH113" i="10"/>
  <c r="AP112" i="10"/>
  <c r="V112" i="10"/>
  <c r="AD112" i="10"/>
  <c r="X112" i="10"/>
  <c r="T112" i="10"/>
  <c r="AB112" i="10"/>
  <c r="AR112" i="10"/>
  <c r="AJ112" i="10"/>
  <c r="AX112" i="10"/>
  <c r="Z112" i="10"/>
  <c r="R112" i="10"/>
  <c r="AV112" i="10"/>
  <c r="AF112" i="10"/>
  <c r="L112" i="10"/>
  <c r="N112" i="10"/>
  <c r="P112" i="10"/>
  <c r="AZ112" i="10"/>
  <c r="AL112" i="10"/>
  <c r="AT112" i="10"/>
  <c r="AN112" i="10"/>
  <c r="AH112" i="10"/>
  <c r="AP111" i="10"/>
  <c r="V111" i="10"/>
  <c r="AD111" i="10"/>
  <c r="X111" i="10"/>
  <c r="T111" i="10"/>
  <c r="AB111" i="10"/>
  <c r="AR111" i="10"/>
  <c r="AJ111" i="10"/>
  <c r="AX111" i="10"/>
  <c r="Z111" i="10"/>
  <c r="R111" i="10"/>
  <c r="AV111" i="10"/>
  <c r="AF111" i="10"/>
  <c r="L111" i="10"/>
  <c r="N111" i="10"/>
  <c r="P111" i="10"/>
  <c r="AZ111" i="10"/>
  <c r="AL111" i="10"/>
  <c r="AT111" i="10"/>
  <c r="AN111" i="10"/>
  <c r="AH111" i="10"/>
  <c r="AP110" i="10"/>
  <c r="V110" i="10"/>
  <c r="AD110" i="10"/>
  <c r="X110" i="10"/>
  <c r="T110" i="10"/>
  <c r="AB110" i="10"/>
  <c r="AR110" i="10"/>
  <c r="AJ110" i="10"/>
  <c r="AX110" i="10"/>
  <c r="Z110" i="10"/>
  <c r="R110" i="10"/>
  <c r="AV110" i="10"/>
  <c r="AF110" i="10"/>
  <c r="L110" i="10"/>
  <c r="N110" i="10"/>
  <c r="P110" i="10"/>
  <c r="AZ110" i="10"/>
  <c r="AL110" i="10"/>
  <c r="AT110" i="10"/>
  <c r="AN110" i="10"/>
  <c r="AH110" i="10"/>
  <c r="AP109" i="10"/>
  <c r="V109" i="10"/>
  <c r="AD109" i="10"/>
  <c r="X109" i="10"/>
  <c r="T109" i="10"/>
  <c r="AB109" i="10"/>
  <c r="AR109" i="10"/>
  <c r="AJ109" i="10"/>
  <c r="AX109" i="10"/>
  <c r="Z109" i="10"/>
  <c r="R109" i="10"/>
  <c r="AV109" i="10"/>
  <c r="AF109" i="10"/>
  <c r="L109" i="10"/>
  <c r="N109" i="10"/>
  <c r="P109" i="10"/>
  <c r="AZ109" i="10"/>
  <c r="AL109" i="10"/>
  <c r="AT109" i="10"/>
  <c r="AN109" i="10"/>
  <c r="AH109" i="10"/>
  <c r="AP108" i="10"/>
  <c r="V108" i="10"/>
  <c r="AD108" i="10"/>
  <c r="X108" i="10"/>
  <c r="T108" i="10"/>
  <c r="AB108" i="10"/>
  <c r="AR108" i="10"/>
  <c r="AJ108" i="10"/>
  <c r="AX108" i="10"/>
  <c r="Z108" i="10"/>
  <c r="R108" i="10"/>
  <c r="AV108" i="10"/>
  <c r="AF108" i="10"/>
  <c r="L108" i="10"/>
  <c r="N108" i="10"/>
  <c r="P108" i="10"/>
  <c r="AZ108" i="10"/>
  <c r="AL108" i="10"/>
  <c r="AT108" i="10"/>
  <c r="AN108" i="10"/>
  <c r="AH108" i="10"/>
  <c r="AP107" i="10"/>
  <c r="V107" i="10"/>
  <c r="AD107" i="10"/>
  <c r="X107" i="10"/>
  <c r="T107" i="10"/>
  <c r="AB107" i="10"/>
  <c r="AR107" i="10"/>
  <c r="AJ107" i="10"/>
  <c r="AX107" i="10"/>
  <c r="Z107" i="10"/>
  <c r="R107" i="10"/>
  <c r="AV107" i="10"/>
  <c r="AF107" i="10"/>
  <c r="L107" i="10"/>
  <c r="N107" i="10"/>
  <c r="P107" i="10"/>
  <c r="AZ107" i="10"/>
  <c r="AL107" i="10"/>
  <c r="AT107" i="10"/>
  <c r="AN107" i="10"/>
  <c r="AH107" i="10"/>
  <c r="AP106" i="10"/>
  <c r="V106" i="10"/>
  <c r="AD106" i="10"/>
  <c r="X106" i="10"/>
  <c r="T106" i="10"/>
  <c r="AB106" i="10"/>
  <c r="AR106" i="10"/>
  <c r="AJ106" i="10"/>
  <c r="AX106" i="10"/>
  <c r="Z106" i="10"/>
  <c r="R106" i="10"/>
  <c r="AV106" i="10"/>
  <c r="AF106" i="10"/>
  <c r="L106" i="10"/>
  <c r="N106" i="10"/>
  <c r="P106" i="10"/>
  <c r="AZ106" i="10"/>
  <c r="AL106" i="10"/>
  <c r="AT106" i="10"/>
  <c r="AN106" i="10"/>
  <c r="AH106" i="10"/>
  <c r="AP105" i="10"/>
  <c r="V105" i="10"/>
  <c r="AD105" i="10"/>
  <c r="X105" i="10"/>
  <c r="T105" i="10"/>
  <c r="AR105" i="10"/>
  <c r="AJ105" i="10"/>
  <c r="AX105" i="10"/>
  <c r="Z105" i="10"/>
  <c r="R105" i="10"/>
  <c r="AV105" i="10"/>
  <c r="AF105" i="10"/>
  <c r="N105" i="10"/>
  <c r="P105" i="10"/>
  <c r="AZ105" i="10"/>
  <c r="AL105" i="10"/>
  <c r="AT105" i="10"/>
  <c r="AN105" i="10"/>
  <c r="AH105" i="10"/>
  <c r="AP104" i="10"/>
  <c r="V104" i="10"/>
  <c r="AD104" i="10"/>
  <c r="X104" i="10"/>
  <c r="T104" i="10"/>
  <c r="AB104" i="10"/>
  <c r="AR104" i="10"/>
  <c r="AJ104" i="10"/>
  <c r="AX104" i="10"/>
  <c r="Z104" i="10"/>
  <c r="R104" i="10"/>
  <c r="AV104" i="10"/>
  <c r="AF104" i="10"/>
  <c r="L104" i="10"/>
  <c r="N104" i="10"/>
  <c r="P104" i="10"/>
  <c r="AZ104" i="10"/>
  <c r="AL104" i="10"/>
  <c r="AT104" i="10"/>
  <c r="AN104" i="10"/>
  <c r="AP103" i="10"/>
  <c r="V103" i="10"/>
  <c r="AD103" i="10"/>
  <c r="X103" i="10"/>
  <c r="T103" i="10"/>
  <c r="AB103" i="10"/>
  <c r="AR103" i="10"/>
  <c r="AJ103" i="10"/>
  <c r="AX103" i="10"/>
  <c r="Z103" i="10"/>
  <c r="R103" i="10"/>
  <c r="AV103" i="10"/>
  <c r="AF103" i="10"/>
  <c r="L103" i="10"/>
  <c r="N103" i="10"/>
  <c r="P103" i="10"/>
  <c r="AZ103" i="10"/>
  <c r="AL103" i="10"/>
  <c r="AT103" i="10"/>
  <c r="AN103" i="10"/>
  <c r="AH103" i="10"/>
  <c r="AP102" i="10"/>
  <c r="V102" i="10"/>
  <c r="AD102" i="10"/>
  <c r="X102" i="10"/>
  <c r="T102" i="10"/>
  <c r="AB102" i="10"/>
  <c r="AR102" i="10"/>
  <c r="AJ102" i="10"/>
  <c r="AX102" i="10"/>
  <c r="Z102" i="10"/>
  <c r="R102" i="10"/>
  <c r="AV102" i="10"/>
  <c r="AF102" i="10"/>
  <c r="L102" i="10"/>
  <c r="N102" i="10"/>
  <c r="P102" i="10"/>
  <c r="AZ102" i="10"/>
  <c r="AL102" i="10"/>
  <c r="AT102" i="10"/>
  <c r="AN102" i="10"/>
  <c r="AH102" i="10"/>
  <c r="AP101" i="10"/>
  <c r="AD101" i="10"/>
  <c r="X101" i="10"/>
  <c r="T101" i="10"/>
  <c r="AB101" i="10"/>
  <c r="AR101" i="10"/>
  <c r="AJ101" i="10"/>
  <c r="AX101" i="10"/>
  <c r="Z101" i="10"/>
  <c r="R101" i="10"/>
  <c r="AV101" i="10"/>
  <c r="AF101" i="10"/>
  <c r="L101" i="10"/>
  <c r="N101" i="10"/>
  <c r="P101" i="10"/>
  <c r="AZ101" i="10"/>
  <c r="AL101" i="10"/>
  <c r="AT101" i="10"/>
  <c r="AN101" i="10"/>
  <c r="AH101" i="10"/>
  <c r="AP100" i="10"/>
  <c r="V100" i="10"/>
  <c r="AD100" i="10"/>
  <c r="X100" i="10"/>
  <c r="T100" i="10"/>
  <c r="AB100" i="10"/>
  <c r="AR100" i="10"/>
  <c r="AJ100" i="10"/>
  <c r="AX100" i="10"/>
  <c r="Z100" i="10"/>
  <c r="R100" i="10"/>
  <c r="AV100" i="10"/>
  <c r="AF100" i="10"/>
  <c r="L100" i="10"/>
  <c r="N100" i="10"/>
  <c r="P100" i="10"/>
  <c r="AZ100" i="10"/>
  <c r="AL100" i="10"/>
  <c r="AT100" i="10"/>
  <c r="AN100" i="10"/>
  <c r="AH100" i="10"/>
  <c r="AP99" i="10"/>
  <c r="V99" i="10"/>
  <c r="AD99" i="10"/>
  <c r="X99" i="10"/>
  <c r="T99" i="10"/>
  <c r="AB99" i="10"/>
  <c r="AR99" i="10"/>
  <c r="AJ99" i="10"/>
  <c r="AX99" i="10"/>
  <c r="Z99" i="10"/>
  <c r="R99" i="10"/>
  <c r="AV99" i="10"/>
  <c r="AF99" i="10"/>
  <c r="L99" i="10"/>
  <c r="N99" i="10"/>
  <c r="P99" i="10"/>
  <c r="AZ99" i="10"/>
  <c r="AL99" i="10"/>
  <c r="AT99" i="10"/>
  <c r="AN99" i="10"/>
  <c r="AH99" i="10"/>
  <c r="AP98" i="10"/>
  <c r="V98" i="10"/>
  <c r="AD98" i="10"/>
  <c r="X98" i="10"/>
  <c r="T98" i="10"/>
  <c r="AB98" i="10"/>
  <c r="AR98" i="10"/>
  <c r="AJ98" i="10"/>
  <c r="AX98" i="10"/>
  <c r="Z98" i="10"/>
  <c r="R98" i="10"/>
  <c r="AV98" i="10"/>
  <c r="AF98" i="10"/>
  <c r="L98" i="10"/>
  <c r="N98" i="10"/>
  <c r="P98" i="10"/>
  <c r="AZ98" i="10"/>
  <c r="AL98" i="10"/>
  <c r="AT98" i="10"/>
  <c r="AN98" i="10"/>
  <c r="AH98" i="10"/>
  <c r="AP97" i="10"/>
  <c r="V97" i="10"/>
  <c r="AD97" i="10"/>
  <c r="X97" i="10"/>
  <c r="T97" i="10"/>
  <c r="AB97" i="10"/>
  <c r="AR97" i="10"/>
  <c r="AJ97" i="10"/>
  <c r="AX97" i="10"/>
  <c r="Z97" i="10"/>
  <c r="R97" i="10"/>
  <c r="AV97" i="10"/>
  <c r="AF97" i="10"/>
  <c r="L97" i="10"/>
  <c r="N97" i="10"/>
  <c r="P97" i="10"/>
  <c r="AZ97" i="10"/>
  <c r="AL97" i="10"/>
  <c r="AT97" i="10"/>
  <c r="AN97" i="10"/>
  <c r="AH97" i="10"/>
  <c r="AP96" i="10"/>
  <c r="V96" i="10"/>
  <c r="AD96" i="10"/>
  <c r="X96" i="10"/>
  <c r="T96" i="10"/>
  <c r="AB96" i="10"/>
  <c r="AR96" i="10"/>
  <c r="AJ96" i="10"/>
  <c r="AX96" i="10"/>
  <c r="Z96" i="10"/>
  <c r="R96" i="10"/>
  <c r="AV96" i="10"/>
  <c r="AF96" i="10"/>
  <c r="L96" i="10"/>
  <c r="N96" i="10"/>
  <c r="P96" i="10"/>
  <c r="AZ96" i="10"/>
  <c r="AL96" i="10"/>
  <c r="AT96" i="10"/>
  <c r="AN96" i="10"/>
  <c r="AH96" i="10"/>
  <c r="AP95" i="10"/>
  <c r="V95" i="10"/>
  <c r="AD95" i="10"/>
  <c r="X95" i="10"/>
  <c r="T95" i="10"/>
  <c r="AB95" i="10"/>
  <c r="AR95" i="10"/>
  <c r="AJ95" i="10"/>
  <c r="AX95" i="10"/>
  <c r="Z95" i="10"/>
  <c r="R95" i="10"/>
  <c r="AV95" i="10"/>
  <c r="AF95" i="10"/>
  <c r="L95" i="10"/>
  <c r="N95" i="10"/>
  <c r="P95" i="10"/>
  <c r="AZ95" i="10"/>
  <c r="AL95" i="10"/>
  <c r="AT95" i="10"/>
  <c r="AN95" i="10"/>
  <c r="AH95" i="10"/>
  <c r="AP94" i="10"/>
  <c r="V94" i="10"/>
  <c r="AD94" i="10"/>
  <c r="X94" i="10"/>
  <c r="T94" i="10"/>
  <c r="AB94" i="10"/>
  <c r="AR94" i="10"/>
  <c r="AJ94" i="10"/>
  <c r="AX94" i="10"/>
  <c r="Z94" i="10"/>
  <c r="R94" i="10"/>
  <c r="AV94" i="10"/>
  <c r="AF94" i="10"/>
  <c r="L94" i="10"/>
  <c r="N94" i="10"/>
  <c r="P94" i="10"/>
  <c r="AZ94" i="10"/>
  <c r="AL94" i="10"/>
  <c r="AT94" i="10"/>
  <c r="AN94" i="10"/>
  <c r="AH94" i="10"/>
  <c r="AP93" i="10"/>
  <c r="V93" i="10"/>
  <c r="AD93" i="10"/>
  <c r="X93" i="10"/>
  <c r="T93" i="10"/>
  <c r="AB93" i="10"/>
  <c r="AR93" i="10"/>
  <c r="AJ93" i="10"/>
  <c r="AX93" i="10"/>
  <c r="Z93" i="10"/>
  <c r="R93" i="10"/>
  <c r="AV93" i="10"/>
  <c r="AF93" i="10"/>
  <c r="L93" i="10"/>
  <c r="N93" i="10"/>
  <c r="P93" i="10"/>
  <c r="AZ93" i="10"/>
  <c r="AL93" i="10"/>
  <c r="AT93" i="10"/>
  <c r="AN93" i="10"/>
  <c r="AH93" i="10"/>
  <c r="AP92" i="10"/>
  <c r="V92" i="10"/>
  <c r="AD92" i="10"/>
  <c r="X92" i="10"/>
  <c r="T92" i="10"/>
  <c r="AB92" i="10"/>
  <c r="AR92" i="10"/>
  <c r="AJ92" i="10"/>
  <c r="AX92" i="10"/>
  <c r="Z92" i="10"/>
  <c r="R92" i="10"/>
  <c r="AV92" i="10"/>
  <c r="AF92" i="10"/>
  <c r="L92" i="10"/>
  <c r="N92" i="10"/>
  <c r="P92" i="10"/>
  <c r="AZ92" i="10"/>
  <c r="AL92" i="10"/>
  <c r="AT92" i="10"/>
  <c r="AN92" i="10"/>
  <c r="AH92" i="10"/>
  <c r="AP91" i="10"/>
  <c r="V91" i="10"/>
  <c r="AD91" i="10"/>
  <c r="X91" i="10"/>
  <c r="T91" i="10"/>
  <c r="AB91" i="10"/>
  <c r="AR91" i="10"/>
  <c r="AJ91" i="10"/>
  <c r="AX91" i="10"/>
  <c r="Z91" i="10"/>
  <c r="R91" i="10"/>
  <c r="AV91" i="10"/>
  <c r="AF91" i="10"/>
  <c r="L91" i="10"/>
  <c r="N91" i="10"/>
  <c r="P91" i="10"/>
  <c r="AZ91" i="10"/>
  <c r="AL91" i="10"/>
  <c r="AT91" i="10"/>
  <c r="AN91" i="10"/>
  <c r="AH91" i="10"/>
  <c r="AP90" i="10"/>
  <c r="V90" i="10"/>
  <c r="AD90" i="10"/>
  <c r="X90" i="10"/>
  <c r="T90" i="10"/>
  <c r="AB90" i="10"/>
  <c r="AR90" i="10"/>
  <c r="AJ90" i="10"/>
  <c r="AX90" i="10"/>
  <c r="Z90" i="10"/>
  <c r="R90" i="10"/>
  <c r="AV90" i="10"/>
  <c r="AF90" i="10"/>
  <c r="L90" i="10"/>
  <c r="N90" i="10"/>
  <c r="P90" i="10"/>
  <c r="AZ90" i="10"/>
  <c r="AL90" i="10"/>
  <c r="AT90" i="10"/>
  <c r="AN90" i="10"/>
  <c r="AH90" i="10"/>
  <c r="AP89" i="10"/>
  <c r="V89" i="10"/>
  <c r="AD89" i="10"/>
  <c r="X89" i="10"/>
  <c r="T89" i="10"/>
  <c r="AB89" i="10"/>
  <c r="AR89" i="10"/>
  <c r="AJ89" i="10"/>
  <c r="AX89" i="10"/>
  <c r="Z89" i="10"/>
  <c r="R89" i="10"/>
  <c r="AV89" i="10"/>
  <c r="AF89" i="10"/>
  <c r="L89" i="10"/>
  <c r="N89" i="10"/>
  <c r="P89" i="10"/>
  <c r="AZ89" i="10"/>
  <c r="AL89" i="10"/>
  <c r="AT89" i="10"/>
  <c r="AN89" i="10"/>
  <c r="AH89" i="10"/>
  <c r="AP88" i="10"/>
  <c r="V88" i="10"/>
  <c r="AD88" i="10"/>
  <c r="X88" i="10"/>
  <c r="T88" i="10"/>
  <c r="AB88" i="10"/>
  <c r="AR88" i="10"/>
  <c r="AJ88" i="10"/>
  <c r="AX88" i="10"/>
  <c r="Z88" i="10"/>
  <c r="R88" i="10"/>
  <c r="AV88" i="10"/>
  <c r="AF88" i="10"/>
  <c r="L88" i="10"/>
  <c r="N88" i="10"/>
  <c r="P88" i="10"/>
  <c r="AZ88" i="10"/>
  <c r="AL88" i="10"/>
  <c r="AT88" i="10"/>
  <c r="AN88" i="10"/>
  <c r="AH88" i="10"/>
  <c r="AP87" i="10"/>
  <c r="V87" i="10"/>
  <c r="AD87" i="10"/>
  <c r="X87" i="10"/>
  <c r="T87" i="10"/>
  <c r="AB87" i="10"/>
  <c r="AR87" i="10"/>
  <c r="AJ87" i="10"/>
  <c r="AX87" i="10"/>
  <c r="Z87" i="10"/>
  <c r="R87" i="10"/>
  <c r="AV87" i="10"/>
  <c r="AF87" i="10"/>
  <c r="L87" i="10"/>
  <c r="N87" i="10"/>
  <c r="P87" i="10"/>
  <c r="AZ87" i="10"/>
  <c r="AL87" i="10"/>
  <c r="AT87" i="10"/>
  <c r="AN87" i="10"/>
  <c r="AH87" i="10"/>
  <c r="AP86" i="10"/>
  <c r="V86" i="10"/>
  <c r="AD86" i="10"/>
  <c r="X86" i="10"/>
  <c r="T86" i="10"/>
  <c r="AB86" i="10"/>
  <c r="AR86" i="10"/>
  <c r="AJ86" i="10"/>
  <c r="AX86" i="10"/>
  <c r="Z86" i="10"/>
  <c r="R86" i="10"/>
  <c r="AV86" i="10"/>
  <c r="AF86" i="10"/>
  <c r="L86" i="10"/>
  <c r="N86" i="10"/>
  <c r="P86" i="10"/>
  <c r="AZ86" i="10"/>
  <c r="AL86" i="10"/>
  <c r="AT86" i="10"/>
  <c r="AN86" i="10"/>
  <c r="AH86" i="10"/>
  <c r="AP85" i="10"/>
  <c r="V85" i="10"/>
  <c r="AD85" i="10"/>
  <c r="X85" i="10"/>
  <c r="T85" i="10"/>
  <c r="AB85" i="10"/>
  <c r="AR85" i="10"/>
  <c r="AJ85" i="10"/>
  <c r="AX85" i="10"/>
  <c r="Z85" i="10"/>
  <c r="R85" i="10"/>
  <c r="AV85" i="10"/>
  <c r="AF85" i="10"/>
  <c r="L85" i="10"/>
  <c r="N85" i="10"/>
  <c r="P85" i="10"/>
  <c r="AZ85" i="10"/>
  <c r="AL85" i="10"/>
  <c r="AT85" i="10"/>
  <c r="AN85" i="10"/>
  <c r="AH85" i="10"/>
  <c r="AP84" i="10"/>
  <c r="V84" i="10"/>
  <c r="AD84" i="10"/>
  <c r="X84" i="10"/>
  <c r="T84" i="10"/>
  <c r="AB84" i="10"/>
  <c r="AR84" i="10"/>
  <c r="AJ84" i="10"/>
  <c r="AX84" i="10"/>
  <c r="Z84" i="10"/>
  <c r="R84" i="10"/>
  <c r="AV84" i="10"/>
  <c r="AF84" i="10"/>
  <c r="L84" i="10"/>
  <c r="N84" i="10"/>
  <c r="P84" i="10"/>
  <c r="AZ84" i="10"/>
  <c r="AL84" i="10"/>
  <c r="AT84" i="10"/>
  <c r="AN84" i="10"/>
  <c r="AH84" i="10"/>
  <c r="AP83" i="10"/>
  <c r="V83" i="10"/>
  <c r="AD83" i="10"/>
  <c r="X83" i="10"/>
  <c r="T83" i="10"/>
  <c r="AB83" i="10"/>
  <c r="AR83" i="10"/>
  <c r="AJ83" i="10"/>
  <c r="AX83" i="10"/>
  <c r="Z83" i="10"/>
  <c r="R83" i="10"/>
  <c r="AV83" i="10"/>
  <c r="AF83" i="10"/>
  <c r="L83" i="10"/>
  <c r="N83" i="10"/>
  <c r="P83" i="10"/>
  <c r="AZ83" i="10"/>
  <c r="AL83" i="10"/>
  <c r="AT83" i="10"/>
  <c r="AN83" i="10"/>
  <c r="AH83" i="10"/>
  <c r="AP82" i="10"/>
  <c r="V82" i="10"/>
  <c r="AD82" i="10"/>
  <c r="X82" i="10"/>
  <c r="T82" i="10"/>
  <c r="AB82" i="10"/>
  <c r="AR82" i="10"/>
  <c r="AJ82" i="10"/>
  <c r="AX82" i="10"/>
  <c r="Z82" i="10"/>
  <c r="R82" i="10"/>
  <c r="AV82" i="10"/>
  <c r="AF82" i="10"/>
  <c r="L82" i="10"/>
  <c r="N82" i="10"/>
  <c r="P82" i="10"/>
  <c r="AZ82" i="10"/>
  <c r="AL82" i="10"/>
  <c r="AT82" i="10"/>
  <c r="AN82" i="10"/>
  <c r="AH82" i="10"/>
  <c r="AP81" i="10"/>
  <c r="V81" i="10"/>
  <c r="AD81" i="10"/>
  <c r="X81" i="10"/>
  <c r="T81" i="10"/>
  <c r="AB81" i="10"/>
  <c r="AR81" i="10"/>
  <c r="AJ81" i="10"/>
  <c r="AX81" i="10"/>
  <c r="Z81" i="10"/>
  <c r="R81" i="10"/>
  <c r="AV81" i="10"/>
  <c r="AF81" i="10"/>
  <c r="L81" i="10"/>
  <c r="N81" i="10"/>
  <c r="P81" i="10"/>
  <c r="AZ81" i="10"/>
  <c r="AL81" i="10"/>
  <c r="AT81" i="10"/>
  <c r="AN81" i="10"/>
  <c r="AH81" i="10"/>
  <c r="AP80" i="10"/>
  <c r="V80" i="10"/>
  <c r="AD80" i="10"/>
  <c r="X80" i="10"/>
  <c r="T80" i="10"/>
  <c r="AB80" i="10"/>
  <c r="AR80" i="10"/>
  <c r="AJ80" i="10"/>
  <c r="AX80" i="10"/>
  <c r="Z80" i="10"/>
  <c r="R80" i="10"/>
  <c r="AV80" i="10"/>
  <c r="AF80" i="10"/>
  <c r="L80" i="10"/>
  <c r="N80" i="10"/>
  <c r="P80" i="10"/>
  <c r="AZ80" i="10"/>
  <c r="AL80" i="10"/>
  <c r="AT80" i="10"/>
  <c r="AN80" i="10"/>
  <c r="AH80" i="10"/>
  <c r="AP79" i="10"/>
  <c r="V79" i="10"/>
  <c r="AD79" i="10"/>
  <c r="X79" i="10"/>
  <c r="T79" i="10"/>
  <c r="AB79" i="10"/>
  <c r="AR79" i="10"/>
  <c r="AJ79" i="10"/>
  <c r="AX79" i="10"/>
  <c r="Z79" i="10"/>
  <c r="R79" i="10"/>
  <c r="AV79" i="10"/>
  <c r="AF79" i="10"/>
  <c r="L79" i="10"/>
  <c r="N79" i="10"/>
  <c r="P79" i="10"/>
  <c r="AZ79" i="10"/>
  <c r="AL79" i="10"/>
  <c r="AT79" i="10"/>
  <c r="AN79" i="10"/>
  <c r="AH79" i="10"/>
  <c r="AP78" i="10"/>
  <c r="V78" i="10"/>
  <c r="AD78" i="10"/>
  <c r="X78" i="10"/>
  <c r="T78" i="10"/>
  <c r="AB78" i="10"/>
  <c r="AR78" i="10"/>
  <c r="AJ78" i="10"/>
  <c r="AX78" i="10"/>
  <c r="Z78" i="10"/>
  <c r="R78" i="10"/>
  <c r="AV78" i="10"/>
  <c r="AF78" i="10"/>
  <c r="L78" i="10"/>
  <c r="N78" i="10"/>
  <c r="P78" i="10"/>
  <c r="AZ78" i="10"/>
  <c r="AL78" i="10"/>
  <c r="AT78" i="10"/>
  <c r="AN78" i="10"/>
  <c r="AH78" i="10"/>
  <c r="AP77" i="10"/>
  <c r="V77" i="10"/>
  <c r="AD77" i="10"/>
  <c r="X77" i="10"/>
  <c r="T77" i="10"/>
  <c r="AB77" i="10"/>
  <c r="AR77" i="10"/>
  <c r="AJ77" i="10"/>
  <c r="AX77" i="10"/>
  <c r="Z77" i="10"/>
  <c r="R77" i="10"/>
  <c r="AV77" i="10"/>
  <c r="AF77" i="10"/>
  <c r="L77" i="10"/>
  <c r="N77" i="10"/>
  <c r="P77" i="10"/>
  <c r="AZ77" i="10"/>
  <c r="AL77" i="10"/>
  <c r="AT77" i="10"/>
  <c r="AN77" i="10"/>
  <c r="AH77" i="10"/>
  <c r="AP76" i="10"/>
  <c r="V76" i="10"/>
  <c r="AD76" i="10"/>
  <c r="X76" i="10"/>
  <c r="T76" i="10"/>
  <c r="AB76" i="10"/>
  <c r="AR76" i="10"/>
  <c r="AJ76" i="10"/>
  <c r="AX76" i="10"/>
  <c r="Z76" i="10"/>
  <c r="R76" i="10"/>
  <c r="AV76" i="10"/>
  <c r="AF76" i="10"/>
  <c r="L76" i="10"/>
  <c r="N76" i="10"/>
  <c r="P76" i="10"/>
  <c r="AZ76" i="10"/>
  <c r="AL76" i="10"/>
  <c r="AT76" i="10"/>
  <c r="AN76" i="10"/>
  <c r="AH76" i="10"/>
  <c r="AP75" i="10"/>
  <c r="V75" i="10"/>
  <c r="AD75" i="10"/>
  <c r="X75" i="10"/>
  <c r="T75" i="10"/>
  <c r="AB75" i="10"/>
  <c r="AR75" i="10"/>
  <c r="AJ75" i="10"/>
  <c r="AX75" i="10"/>
  <c r="Z75" i="10"/>
  <c r="R75" i="10"/>
  <c r="AV75" i="10"/>
  <c r="AF75" i="10"/>
  <c r="L75" i="10"/>
  <c r="N75" i="10"/>
  <c r="P75" i="10"/>
  <c r="AZ75" i="10"/>
  <c r="AL75" i="10"/>
  <c r="AT75" i="10"/>
  <c r="AN75" i="10"/>
  <c r="AH75" i="10"/>
  <c r="AP74" i="10"/>
  <c r="V74" i="10"/>
  <c r="AD74" i="10"/>
  <c r="X74" i="10"/>
  <c r="T74" i="10"/>
  <c r="AB74" i="10"/>
  <c r="AR74" i="10"/>
  <c r="AJ74" i="10"/>
  <c r="AX74" i="10"/>
  <c r="Z74" i="10"/>
  <c r="R74" i="10"/>
  <c r="AV74" i="10"/>
  <c r="AF74" i="10"/>
  <c r="L74" i="10"/>
  <c r="N74" i="10"/>
  <c r="P74" i="10"/>
  <c r="AZ74" i="10"/>
  <c r="AL74" i="10"/>
  <c r="AT74" i="10"/>
  <c r="AN74" i="10"/>
  <c r="AH74" i="10"/>
  <c r="AP73" i="10"/>
  <c r="V73" i="10"/>
  <c r="AD73" i="10"/>
  <c r="X73" i="10"/>
  <c r="T73" i="10"/>
  <c r="AB73" i="10"/>
  <c r="AR73" i="10"/>
  <c r="AJ73" i="10"/>
  <c r="AX73" i="10"/>
  <c r="Z73" i="10"/>
  <c r="R73" i="10"/>
  <c r="AV73" i="10"/>
  <c r="AF73" i="10"/>
  <c r="L73" i="10"/>
  <c r="N73" i="10"/>
  <c r="P73" i="10"/>
  <c r="AZ73" i="10"/>
  <c r="AL73" i="10"/>
  <c r="AT73" i="10"/>
  <c r="AN73" i="10"/>
  <c r="AH73" i="10"/>
  <c r="AP72" i="10"/>
  <c r="V72" i="10"/>
  <c r="AD72" i="10"/>
  <c r="X72" i="10"/>
  <c r="T72" i="10"/>
  <c r="AB72" i="10"/>
  <c r="AR72" i="10"/>
  <c r="AJ72" i="10"/>
  <c r="AX72" i="10"/>
  <c r="Z72" i="10"/>
  <c r="R72" i="10"/>
  <c r="AV72" i="10"/>
  <c r="AF72" i="10"/>
  <c r="L72" i="10"/>
  <c r="N72" i="10"/>
  <c r="P72" i="10"/>
  <c r="AZ72" i="10"/>
  <c r="AL72" i="10"/>
  <c r="AT72" i="10"/>
  <c r="AN72" i="10"/>
  <c r="AH72" i="10"/>
  <c r="AP71" i="10"/>
  <c r="V71" i="10"/>
  <c r="AD71" i="10"/>
  <c r="X71" i="10"/>
  <c r="T71" i="10"/>
  <c r="AB71" i="10"/>
  <c r="AR71" i="10"/>
  <c r="AJ71" i="10"/>
  <c r="AX71" i="10"/>
  <c r="Z71" i="10"/>
  <c r="R71" i="10"/>
  <c r="AV71" i="10"/>
  <c r="AF71" i="10"/>
  <c r="L71" i="10"/>
  <c r="N71" i="10"/>
  <c r="P71" i="10"/>
  <c r="AZ71" i="10"/>
  <c r="AL71" i="10"/>
  <c r="AT71" i="10"/>
  <c r="AN71" i="10"/>
  <c r="AH71" i="10"/>
  <c r="AP70" i="10"/>
  <c r="V70" i="10"/>
  <c r="AD70" i="10"/>
  <c r="X70" i="10"/>
  <c r="T70" i="10"/>
  <c r="AB70" i="10"/>
  <c r="AR70" i="10"/>
  <c r="AJ70" i="10"/>
  <c r="AX70" i="10"/>
  <c r="Z70" i="10"/>
  <c r="R70" i="10"/>
  <c r="AV70" i="10"/>
  <c r="AF70" i="10"/>
  <c r="L70" i="10"/>
  <c r="N70" i="10"/>
  <c r="P70" i="10"/>
  <c r="AZ70" i="10"/>
  <c r="AL70" i="10"/>
  <c r="AT70" i="10"/>
  <c r="AN70" i="10"/>
  <c r="AH70" i="10"/>
  <c r="AP69" i="10"/>
  <c r="V69" i="10"/>
  <c r="AD69" i="10"/>
  <c r="X69" i="10"/>
  <c r="T69" i="10"/>
  <c r="AB69" i="10"/>
  <c r="AR69" i="10"/>
  <c r="AJ69" i="10"/>
  <c r="AX69" i="10"/>
  <c r="Z69" i="10"/>
  <c r="R69" i="10"/>
  <c r="AV69" i="10"/>
  <c r="AF69" i="10"/>
  <c r="L69" i="10"/>
  <c r="N69" i="10"/>
  <c r="P69" i="10"/>
  <c r="AZ69" i="10"/>
  <c r="AL69" i="10"/>
  <c r="AT69" i="10"/>
  <c r="AN69" i="10"/>
  <c r="AH69" i="10"/>
  <c r="AP68" i="10"/>
  <c r="V68" i="10"/>
  <c r="AD68" i="10"/>
  <c r="X68" i="10"/>
  <c r="T68" i="10"/>
  <c r="AB68" i="10"/>
  <c r="AR68" i="10"/>
  <c r="AJ68" i="10"/>
  <c r="AX68" i="10"/>
  <c r="Z68" i="10"/>
  <c r="R68" i="10"/>
  <c r="AV68" i="10"/>
  <c r="AF68" i="10"/>
  <c r="L68" i="10"/>
  <c r="N68" i="10"/>
  <c r="P68" i="10"/>
  <c r="AZ68" i="10"/>
  <c r="AL68" i="10"/>
  <c r="AT68" i="10"/>
  <c r="AN68" i="10"/>
  <c r="AH68" i="10"/>
  <c r="AP67" i="10"/>
  <c r="V67" i="10"/>
  <c r="AD67" i="10"/>
  <c r="X67" i="10"/>
  <c r="T67" i="10"/>
  <c r="AB67" i="10"/>
  <c r="AR67" i="10"/>
  <c r="AJ67" i="10"/>
  <c r="AX67" i="10"/>
  <c r="Z67" i="10"/>
  <c r="R67" i="10"/>
  <c r="AV67" i="10"/>
  <c r="AF67" i="10"/>
  <c r="L67" i="10"/>
  <c r="N67" i="10"/>
  <c r="P67" i="10"/>
  <c r="AZ67" i="10"/>
  <c r="AL67" i="10"/>
  <c r="AT67" i="10"/>
  <c r="AN67" i="10"/>
  <c r="AH67" i="10"/>
  <c r="AP66" i="10"/>
  <c r="V66" i="10"/>
  <c r="AD66" i="10"/>
  <c r="X66" i="10"/>
  <c r="T66" i="10"/>
  <c r="AB66" i="10"/>
  <c r="AR66" i="10"/>
  <c r="AJ66" i="10"/>
  <c r="AX66" i="10"/>
  <c r="Z66" i="10"/>
  <c r="R66" i="10"/>
  <c r="AV66" i="10"/>
  <c r="AF66" i="10"/>
  <c r="L66" i="10"/>
  <c r="N66" i="10"/>
  <c r="P66" i="10"/>
  <c r="AZ66" i="10"/>
  <c r="AL66" i="10"/>
  <c r="AT66" i="10"/>
  <c r="AN66" i="10"/>
  <c r="AH66" i="10"/>
  <c r="AP65" i="10"/>
  <c r="V65" i="10"/>
  <c r="AD65" i="10"/>
  <c r="X65" i="10"/>
  <c r="T65" i="10"/>
  <c r="AB65" i="10"/>
  <c r="AR65" i="10"/>
  <c r="AJ65" i="10"/>
  <c r="AX65" i="10"/>
  <c r="Z65" i="10"/>
  <c r="R65" i="10"/>
  <c r="AV65" i="10"/>
  <c r="AF65" i="10"/>
  <c r="L65" i="10"/>
  <c r="N65" i="10"/>
  <c r="P65" i="10"/>
  <c r="AZ65" i="10"/>
  <c r="AL65" i="10"/>
  <c r="AT65" i="10"/>
  <c r="AN65" i="10"/>
  <c r="AH65" i="10"/>
  <c r="AP64" i="10"/>
  <c r="V64" i="10"/>
  <c r="AD64" i="10"/>
  <c r="X64" i="10"/>
  <c r="T64" i="10"/>
  <c r="AB64" i="10"/>
  <c r="AR64" i="10"/>
  <c r="AJ64" i="10"/>
  <c r="AX64" i="10"/>
  <c r="Z64" i="10"/>
  <c r="R64" i="10"/>
  <c r="AV64" i="10"/>
  <c r="AF64" i="10"/>
  <c r="L64" i="10"/>
  <c r="N64" i="10"/>
  <c r="P64" i="10"/>
  <c r="AZ64" i="10"/>
  <c r="AL64" i="10"/>
  <c r="AT64" i="10"/>
  <c r="AN64" i="10"/>
  <c r="AH64" i="10"/>
  <c r="AP63" i="10"/>
  <c r="V63" i="10"/>
  <c r="AD63" i="10"/>
  <c r="X63" i="10"/>
  <c r="T63" i="10"/>
  <c r="AB63" i="10"/>
  <c r="AR63" i="10"/>
  <c r="AJ63" i="10"/>
  <c r="AX63" i="10"/>
  <c r="Z63" i="10"/>
  <c r="R63" i="10"/>
  <c r="AV63" i="10"/>
  <c r="AF63" i="10"/>
  <c r="L63" i="10"/>
  <c r="N63" i="10"/>
  <c r="P63" i="10"/>
  <c r="AZ63" i="10"/>
  <c r="AL63" i="10"/>
  <c r="AT63" i="10"/>
  <c r="AN63" i="10"/>
  <c r="AH63" i="10"/>
  <c r="AP62" i="10"/>
  <c r="V62" i="10"/>
  <c r="AD62" i="10"/>
  <c r="X62" i="10"/>
  <c r="T62" i="10"/>
  <c r="AB62" i="10"/>
  <c r="AR62" i="10"/>
  <c r="AJ62" i="10"/>
  <c r="AX62" i="10"/>
  <c r="Z62" i="10"/>
  <c r="R62" i="10"/>
  <c r="AV62" i="10"/>
  <c r="AF62" i="10"/>
  <c r="L62" i="10"/>
  <c r="N62" i="10"/>
  <c r="P62" i="10"/>
  <c r="AZ62" i="10"/>
  <c r="AL62" i="10"/>
  <c r="AT62" i="10"/>
  <c r="AN62" i="10"/>
  <c r="AH62" i="10"/>
  <c r="AP61" i="10"/>
  <c r="V61" i="10"/>
  <c r="AD61" i="10"/>
  <c r="X61" i="10"/>
  <c r="T61" i="10"/>
  <c r="AB61" i="10"/>
  <c r="AR61" i="10"/>
  <c r="AJ61" i="10"/>
  <c r="AX61" i="10"/>
  <c r="Z61" i="10"/>
  <c r="R61" i="10"/>
  <c r="AV61" i="10"/>
  <c r="AF61" i="10"/>
  <c r="L61" i="10"/>
  <c r="N61" i="10"/>
  <c r="P61" i="10"/>
  <c r="AZ61" i="10"/>
  <c r="AL61" i="10"/>
  <c r="AT61" i="10"/>
  <c r="AN61" i="10"/>
  <c r="AH61" i="10"/>
  <c r="AP60" i="10"/>
  <c r="V60" i="10"/>
  <c r="AD60" i="10"/>
  <c r="X60" i="10"/>
  <c r="T60" i="10"/>
  <c r="AB60" i="10"/>
  <c r="AR60" i="10"/>
  <c r="AJ60" i="10"/>
  <c r="AX60" i="10"/>
  <c r="Z60" i="10"/>
  <c r="R60" i="10"/>
  <c r="AV60" i="10"/>
  <c r="AF60" i="10"/>
  <c r="L60" i="10"/>
  <c r="N60" i="10"/>
  <c r="P60" i="10"/>
  <c r="AZ60" i="10"/>
  <c r="AL60" i="10"/>
  <c r="AT60" i="10"/>
  <c r="AN60" i="10"/>
  <c r="AH60" i="10"/>
  <c r="AP59" i="10"/>
  <c r="V59" i="10"/>
  <c r="AD59" i="10"/>
  <c r="X59" i="10"/>
  <c r="T59" i="10"/>
  <c r="AB59" i="10"/>
  <c r="AR59" i="10"/>
  <c r="AJ59" i="10"/>
  <c r="AX59" i="10"/>
  <c r="Z59" i="10"/>
  <c r="R59" i="10"/>
  <c r="AV59" i="10"/>
  <c r="AF59" i="10"/>
  <c r="L59" i="10"/>
  <c r="N59" i="10"/>
  <c r="P59" i="10"/>
  <c r="AZ59" i="10"/>
  <c r="AL59" i="10"/>
  <c r="AT59" i="10"/>
  <c r="AN59" i="10"/>
  <c r="AH59" i="10"/>
  <c r="AP58" i="10"/>
  <c r="V58" i="10"/>
  <c r="AD58" i="10"/>
  <c r="X58" i="10"/>
  <c r="T58" i="10"/>
  <c r="AB58" i="10"/>
  <c r="AR58" i="10"/>
  <c r="AJ58" i="10"/>
  <c r="AX58" i="10"/>
  <c r="Z58" i="10"/>
  <c r="R58" i="10"/>
  <c r="AV58" i="10"/>
  <c r="AF58" i="10"/>
  <c r="L58" i="10"/>
  <c r="N58" i="10"/>
  <c r="P58" i="10"/>
  <c r="AZ58" i="10"/>
  <c r="AL58" i="10"/>
  <c r="AT58" i="10"/>
  <c r="AN58" i="10"/>
  <c r="AH58" i="10"/>
  <c r="AP57" i="10"/>
  <c r="V57" i="10"/>
  <c r="AD57" i="10"/>
  <c r="X57" i="10"/>
  <c r="T57" i="10"/>
  <c r="AB57" i="10"/>
  <c r="AR57" i="10"/>
  <c r="AJ57" i="10"/>
  <c r="AX57" i="10"/>
  <c r="Z57" i="10"/>
  <c r="R57" i="10"/>
  <c r="AV57" i="10"/>
  <c r="AF57" i="10"/>
  <c r="L57" i="10"/>
  <c r="N57" i="10"/>
  <c r="P57" i="10"/>
  <c r="AZ57" i="10"/>
  <c r="AL57" i="10"/>
  <c r="AT57" i="10"/>
  <c r="AN57" i="10"/>
  <c r="AH57" i="10"/>
  <c r="AP56" i="10"/>
  <c r="V56" i="10"/>
  <c r="AD56" i="10"/>
  <c r="X56" i="10"/>
  <c r="T56" i="10"/>
  <c r="AB56" i="10"/>
  <c r="AR56" i="10"/>
  <c r="AJ56" i="10"/>
  <c r="AX56" i="10"/>
  <c r="Z56" i="10"/>
  <c r="R56" i="10"/>
  <c r="AV56" i="10"/>
  <c r="AF56" i="10"/>
  <c r="L56" i="10"/>
  <c r="N56" i="10"/>
  <c r="P56" i="10"/>
  <c r="AZ56" i="10"/>
  <c r="AL56" i="10"/>
  <c r="AT56" i="10"/>
  <c r="AN56" i="10"/>
  <c r="AH56" i="10"/>
  <c r="AP55" i="10"/>
  <c r="V55" i="10"/>
  <c r="AD55" i="10"/>
  <c r="X55" i="10"/>
  <c r="T55" i="10"/>
  <c r="AB55" i="10"/>
  <c r="AR55" i="10"/>
  <c r="AJ55" i="10"/>
  <c r="AX55" i="10"/>
  <c r="Z55" i="10"/>
  <c r="R55" i="10"/>
  <c r="AV55" i="10"/>
  <c r="AF55" i="10"/>
  <c r="L55" i="10"/>
  <c r="N55" i="10"/>
  <c r="P55" i="10"/>
  <c r="AZ55" i="10"/>
  <c r="AL55" i="10"/>
  <c r="AT55" i="10"/>
  <c r="AN55" i="10"/>
  <c r="AH55" i="10"/>
  <c r="AP54" i="10"/>
  <c r="V54" i="10"/>
  <c r="AD54" i="10"/>
  <c r="X54" i="10"/>
  <c r="T54" i="10"/>
  <c r="AB54" i="10"/>
  <c r="AR54" i="10"/>
  <c r="AJ54" i="10"/>
  <c r="AX54" i="10"/>
  <c r="Z54" i="10"/>
  <c r="R54" i="10"/>
  <c r="AV54" i="10"/>
  <c r="AF54" i="10"/>
  <c r="L54" i="10"/>
  <c r="N54" i="10"/>
  <c r="P54" i="10"/>
  <c r="AZ54" i="10"/>
  <c r="AL54" i="10"/>
  <c r="AT54" i="10"/>
  <c r="AN54" i="10"/>
  <c r="AH54" i="10"/>
  <c r="AP53" i="10"/>
  <c r="V53" i="10"/>
  <c r="AD53" i="10"/>
  <c r="X53" i="10"/>
  <c r="T53" i="10"/>
  <c r="AB53" i="10"/>
  <c r="AR53" i="10"/>
  <c r="AJ53" i="10"/>
  <c r="AX53" i="10"/>
  <c r="Z53" i="10"/>
  <c r="R53" i="10"/>
  <c r="AV53" i="10"/>
  <c r="AF53" i="10"/>
  <c r="L53" i="10"/>
  <c r="N53" i="10"/>
  <c r="P53" i="10"/>
  <c r="AZ53" i="10"/>
  <c r="AL53" i="10"/>
  <c r="AT53" i="10"/>
  <c r="AN53" i="10"/>
  <c r="AH53" i="10"/>
  <c r="AP52" i="10"/>
  <c r="V52" i="10"/>
  <c r="AD52" i="10"/>
  <c r="X52" i="10"/>
  <c r="T52" i="10"/>
  <c r="AB52" i="10"/>
  <c r="AR52" i="10"/>
  <c r="AJ52" i="10"/>
  <c r="AX52" i="10"/>
  <c r="Z52" i="10"/>
  <c r="R52" i="10"/>
  <c r="AV52" i="10"/>
  <c r="AF52" i="10"/>
  <c r="L52" i="10"/>
  <c r="N52" i="10"/>
  <c r="P52" i="10"/>
  <c r="AZ52" i="10"/>
  <c r="AL52" i="10"/>
  <c r="AT52" i="10"/>
  <c r="AN52" i="10"/>
  <c r="AH52" i="10"/>
  <c r="AP51" i="10"/>
  <c r="V51" i="10"/>
  <c r="AD51" i="10"/>
  <c r="X51" i="10"/>
  <c r="T51" i="10"/>
  <c r="AB51" i="10"/>
  <c r="AR51" i="10"/>
  <c r="AJ51" i="10"/>
  <c r="AX51" i="10"/>
  <c r="Z51" i="10"/>
  <c r="R51" i="10"/>
  <c r="AV51" i="10"/>
  <c r="AF51" i="10"/>
  <c r="L51" i="10"/>
  <c r="N51" i="10"/>
  <c r="P51" i="10"/>
  <c r="AZ51" i="10"/>
  <c r="AL51" i="10"/>
  <c r="AT51" i="10"/>
  <c r="AN51" i="10"/>
  <c r="AH51" i="10"/>
  <c r="AP50" i="10"/>
  <c r="V50" i="10"/>
  <c r="AD50" i="10"/>
  <c r="X50" i="10"/>
  <c r="T50" i="10"/>
  <c r="AB50" i="10"/>
  <c r="AR50" i="10"/>
  <c r="AJ50" i="10"/>
  <c r="AX50" i="10"/>
  <c r="Z50" i="10"/>
  <c r="R50" i="10"/>
  <c r="AV50" i="10"/>
  <c r="AF50" i="10"/>
  <c r="L50" i="10"/>
  <c r="N50" i="10"/>
  <c r="P50" i="10"/>
  <c r="AZ50" i="10"/>
  <c r="AL50" i="10"/>
  <c r="AT50" i="10"/>
  <c r="AN50" i="10"/>
  <c r="AH50" i="10"/>
  <c r="AP49" i="10"/>
  <c r="V49" i="10"/>
  <c r="AD49" i="10"/>
  <c r="X49" i="10"/>
  <c r="T49" i="10"/>
  <c r="AB49" i="10"/>
  <c r="AR49" i="10"/>
  <c r="AJ49" i="10"/>
  <c r="AX49" i="10"/>
  <c r="Z49" i="10"/>
  <c r="R49" i="10"/>
  <c r="AV49" i="10"/>
  <c r="AF49" i="10"/>
  <c r="L49" i="10"/>
  <c r="N49" i="10"/>
  <c r="P49" i="10"/>
  <c r="AZ49" i="10"/>
  <c r="AL49" i="10"/>
  <c r="AT49" i="10"/>
  <c r="AN49" i="10"/>
  <c r="AH49" i="10"/>
  <c r="AP48" i="10"/>
  <c r="V48" i="10"/>
  <c r="AD48" i="10"/>
  <c r="X48" i="10"/>
  <c r="T48" i="10"/>
  <c r="AB48" i="10"/>
  <c r="AR48" i="10"/>
  <c r="AJ48" i="10"/>
  <c r="AX48" i="10"/>
  <c r="Z48" i="10"/>
  <c r="R48" i="10"/>
  <c r="AV48" i="10"/>
  <c r="AF48" i="10"/>
  <c r="L48" i="10"/>
  <c r="N48" i="10"/>
  <c r="P48" i="10"/>
  <c r="AZ48" i="10"/>
  <c r="AL48" i="10"/>
  <c r="AT48" i="10"/>
  <c r="AN48" i="10"/>
  <c r="AH48" i="10"/>
  <c r="AP47" i="10"/>
  <c r="AD47" i="10"/>
  <c r="X47" i="10"/>
  <c r="T47" i="10"/>
  <c r="AB47" i="10"/>
  <c r="AR47" i="10"/>
  <c r="AJ47" i="10"/>
  <c r="AX47" i="10"/>
  <c r="Z47" i="10"/>
  <c r="R47" i="10"/>
  <c r="AV47" i="10"/>
  <c r="AF47" i="10"/>
  <c r="L47" i="10"/>
  <c r="N47" i="10"/>
  <c r="P47" i="10"/>
  <c r="AZ47" i="10"/>
  <c r="AL47" i="10"/>
  <c r="AT47" i="10"/>
  <c r="AN47" i="10"/>
  <c r="AH47" i="10"/>
  <c r="AP46" i="10"/>
  <c r="V46" i="10"/>
  <c r="AD46" i="10"/>
  <c r="X46" i="10"/>
  <c r="T46" i="10"/>
  <c r="AB46" i="10"/>
  <c r="AR46" i="10"/>
  <c r="AJ46" i="10"/>
  <c r="AX46" i="10"/>
  <c r="Z46" i="10"/>
  <c r="R46" i="10"/>
  <c r="AV46" i="10"/>
  <c r="AF46" i="10"/>
  <c r="L46" i="10"/>
  <c r="N46" i="10"/>
  <c r="P46" i="10"/>
  <c r="AZ46" i="10"/>
  <c r="AL46" i="10"/>
  <c r="AT46" i="10"/>
  <c r="AN46" i="10"/>
  <c r="AH46" i="10"/>
  <c r="AP45" i="10"/>
  <c r="V45" i="10"/>
  <c r="AD45" i="10"/>
  <c r="X45" i="10"/>
  <c r="T45" i="10"/>
  <c r="AB45" i="10"/>
  <c r="AR45" i="10"/>
  <c r="AJ45" i="10"/>
  <c r="AX45" i="10"/>
  <c r="Z45" i="10"/>
  <c r="R45" i="10"/>
  <c r="AV45" i="10"/>
  <c r="AF45" i="10"/>
  <c r="L45" i="10"/>
  <c r="N45" i="10"/>
  <c r="P45" i="10"/>
  <c r="AZ45" i="10"/>
  <c r="AL45" i="10"/>
  <c r="AT45" i="10"/>
  <c r="AN45" i="10"/>
  <c r="AH45" i="10"/>
  <c r="AP44" i="10"/>
  <c r="V44" i="10"/>
  <c r="AD44" i="10"/>
  <c r="X44" i="10"/>
  <c r="T44" i="10"/>
  <c r="AB44" i="10"/>
  <c r="AR44" i="10"/>
  <c r="AJ44" i="10"/>
  <c r="AX44" i="10"/>
  <c r="Z44" i="10"/>
  <c r="R44" i="10"/>
  <c r="AV44" i="10"/>
  <c r="AF44" i="10"/>
  <c r="L44" i="10"/>
  <c r="N44" i="10"/>
  <c r="P44" i="10"/>
  <c r="AZ44" i="10"/>
  <c r="AL44" i="10"/>
  <c r="AT44" i="10"/>
  <c r="AN44" i="10"/>
  <c r="AH44" i="10"/>
  <c r="AP43" i="10"/>
  <c r="V43" i="10"/>
  <c r="AD43" i="10"/>
  <c r="X43" i="10"/>
  <c r="T43" i="10"/>
  <c r="AB43" i="10"/>
  <c r="AR43" i="10"/>
  <c r="AJ43" i="10"/>
  <c r="AX43" i="10"/>
  <c r="Z43" i="10"/>
  <c r="R43" i="10"/>
  <c r="AV43" i="10"/>
  <c r="AF43" i="10"/>
  <c r="L43" i="10"/>
  <c r="N43" i="10"/>
  <c r="P43" i="10"/>
  <c r="AZ43" i="10"/>
  <c r="AL43" i="10"/>
  <c r="AT43" i="10"/>
  <c r="AN43" i="10"/>
  <c r="AH43" i="10"/>
  <c r="AP42" i="10"/>
  <c r="V42" i="10"/>
  <c r="AD42" i="10"/>
  <c r="X42" i="10"/>
  <c r="T42" i="10"/>
  <c r="AB42" i="10"/>
  <c r="AR42" i="10"/>
  <c r="AJ42" i="10"/>
  <c r="AX42" i="10"/>
  <c r="Z42" i="10"/>
  <c r="R42" i="10"/>
  <c r="AV42" i="10"/>
  <c r="AF42" i="10"/>
  <c r="L42" i="10"/>
  <c r="N42" i="10"/>
  <c r="P42" i="10"/>
  <c r="AZ42" i="10"/>
  <c r="AL42" i="10"/>
  <c r="AT42" i="10"/>
  <c r="AN42" i="10"/>
  <c r="AH42" i="10"/>
  <c r="AP41" i="10"/>
  <c r="V41" i="10"/>
  <c r="AD41" i="10"/>
  <c r="X41" i="10"/>
  <c r="T41" i="10"/>
  <c r="AB41" i="10"/>
  <c r="AR41" i="10"/>
  <c r="AJ41" i="10"/>
  <c r="AX41" i="10"/>
  <c r="Z41" i="10"/>
  <c r="R41" i="10"/>
  <c r="AV41" i="10"/>
  <c r="AF41" i="10"/>
  <c r="L41" i="10"/>
  <c r="N41" i="10"/>
  <c r="P41" i="10"/>
  <c r="AZ41" i="10"/>
  <c r="AL41" i="10"/>
  <c r="AT41" i="10"/>
  <c r="AN41" i="10"/>
  <c r="AH41" i="10"/>
  <c r="AP40" i="10"/>
  <c r="V40" i="10"/>
  <c r="AD40" i="10"/>
  <c r="X40" i="10"/>
  <c r="T40" i="10"/>
  <c r="AB40" i="10"/>
  <c r="AR40" i="10"/>
  <c r="AJ40" i="10"/>
  <c r="AX40" i="10"/>
  <c r="Z40" i="10"/>
  <c r="R40" i="10"/>
  <c r="AV40" i="10"/>
  <c r="AF40" i="10"/>
  <c r="L40" i="10"/>
  <c r="N40" i="10"/>
  <c r="P40" i="10"/>
  <c r="AZ40" i="10"/>
  <c r="AL40" i="10"/>
  <c r="AT40" i="10"/>
  <c r="AN40" i="10"/>
  <c r="AH40" i="10"/>
  <c r="AP39" i="10"/>
  <c r="V39" i="10"/>
  <c r="AD39" i="10"/>
  <c r="X39" i="10"/>
  <c r="T39" i="10"/>
  <c r="AB39" i="10"/>
  <c r="AR39" i="10"/>
  <c r="AJ39" i="10"/>
  <c r="AX39" i="10"/>
  <c r="Z39" i="10"/>
  <c r="R39" i="10"/>
  <c r="AV39" i="10"/>
  <c r="AF39" i="10"/>
  <c r="L39" i="10"/>
  <c r="N39" i="10"/>
  <c r="P39" i="10"/>
  <c r="AZ39" i="10"/>
  <c r="AL39" i="10"/>
  <c r="AT39" i="10"/>
  <c r="AN39" i="10"/>
  <c r="AH39" i="10"/>
  <c r="AP38" i="10"/>
  <c r="V38" i="10"/>
  <c r="AD38" i="10"/>
  <c r="X38" i="10"/>
  <c r="T38" i="10"/>
  <c r="AB38" i="10"/>
  <c r="AR38" i="10"/>
  <c r="AJ38" i="10"/>
  <c r="AX38" i="10"/>
  <c r="Z38" i="10"/>
  <c r="R38" i="10"/>
  <c r="AV38" i="10"/>
  <c r="AF38" i="10"/>
  <c r="L38" i="10"/>
  <c r="N38" i="10"/>
  <c r="P38" i="10"/>
  <c r="AZ38" i="10"/>
  <c r="AL38" i="10"/>
  <c r="AT38" i="10"/>
  <c r="AN38" i="10"/>
  <c r="AH38" i="10"/>
  <c r="AP37" i="10"/>
  <c r="V37" i="10"/>
  <c r="AD37" i="10"/>
  <c r="X37" i="10"/>
  <c r="T37" i="10"/>
  <c r="AB37" i="10"/>
  <c r="AR37" i="10"/>
  <c r="AJ37" i="10"/>
  <c r="AX37" i="10"/>
  <c r="Z37" i="10"/>
  <c r="R37" i="10"/>
  <c r="AV37" i="10"/>
  <c r="AF37" i="10"/>
  <c r="L37" i="10"/>
  <c r="N37" i="10"/>
  <c r="P37" i="10"/>
  <c r="AZ37" i="10"/>
  <c r="AL37" i="10"/>
  <c r="AT37" i="10"/>
  <c r="AN37" i="10"/>
  <c r="AH37" i="10"/>
  <c r="AP36" i="10"/>
  <c r="V36" i="10"/>
  <c r="AD36" i="10"/>
  <c r="X36" i="10"/>
  <c r="T36" i="10"/>
  <c r="AB36" i="10"/>
  <c r="AR36" i="10"/>
  <c r="AJ36" i="10"/>
  <c r="AX36" i="10"/>
  <c r="Z36" i="10"/>
  <c r="R36" i="10"/>
  <c r="AV36" i="10"/>
  <c r="AF36" i="10"/>
  <c r="L36" i="10"/>
  <c r="N36" i="10"/>
  <c r="P36" i="10"/>
  <c r="AZ36" i="10"/>
  <c r="AL36" i="10"/>
  <c r="AT36" i="10"/>
  <c r="AN36" i="10"/>
  <c r="AH36" i="10"/>
  <c r="AP35" i="10"/>
  <c r="V35" i="10"/>
  <c r="AD35" i="10"/>
  <c r="X35" i="10"/>
  <c r="T35" i="10"/>
  <c r="AB35" i="10"/>
  <c r="AR35" i="10"/>
  <c r="AJ35" i="10"/>
  <c r="AX35" i="10"/>
  <c r="Z35" i="10"/>
  <c r="R35" i="10"/>
  <c r="AV35" i="10"/>
  <c r="AF35" i="10"/>
  <c r="L35" i="10"/>
  <c r="N35" i="10"/>
  <c r="P35" i="10"/>
  <c r="AZ35" i="10"/>
  <c r="AL35" i="10"/>
  <c r="AT35" i="10"/>
  <c r="AN35" i="10"/>
  <c r="AH35" i="10"/>
  <c r="AP34" i="10"/>
  <c r="V34" i="10"/>
  <c r="AD34" i="10"/>
  <c r="X34" i="10"/>
  <c r="T34" i="10"/>
  <c r="AB34" i="10"/>
  <c r="AR34" i="10"/>
  <c r="AJ34" i="10"/>
  <c r="AX34" i="10"/>
  <c r="Z34" i="10"/>
  <c r="R34" i="10"/>
  <c r="AV34" i="10"/>
  <c r="AF34" i="10"/>
  <c r="L34" i="10"/>
  <c r="N34" i="10"/>
  <c r="P34" i="10"/>
  <c r="AZ34" i="10"/>
  <c r="AL34" i="10"/>
  <c r="AT34" i="10"/>
  <c r="AN34" i="10"/>
  <c r="AH34" i="10"/>
  <c r="AP33" i="10"/>
  <c r="V33" i="10"/>
  <c r="AD33" i="10"/>
  <c r="X33" i="10"/>
  <c r="T33" i="10"/>
  <c r="AB33" i="10"/>
  <c r="AR33" i="10"/>
  <c r="AJ33" i="10"/>
  <c r="AX33" i="10"/>
  <c r="Z33" i="10"/>
  <c r="R33" i="10"/>
  <c r="AV33" i="10"/>
  <c r="AF33" i="10"/>
  <c r="L33" i="10"/>
  <c r="N33" i="10"/>
  <c r="P33" i="10"/>
  <c r="AZ33" i="10"/>
  <c r="AL33" i="10"/>
  <c r="AT33" i="10"/>
  <c r="AN33" i="10"/>
  <c r="AH33" i="10"/>
  <c r="AP32" i="10"/>
  <c r="V32" i="10"/>
  <c r="AD32" i="10"/>
  <c r="X32" i="10"/>
  <c r="T32" i="10"/>
  <c r="AB32" i="10"/>
  <c r="AR32" i="10"/>
  <c r="AJ32" i="10"/>
  <c r="AX32" i="10"/>
  <c r="Z32" i="10"/>
  <c r="R32" i="10"/>
  <c r="AV32" i="10"/>
  <c r="AF32" i="10"/>
  <c r="L32" i="10"/>
  <c r="N32" i="10"/>
  <c r="P32" i="10"/>
  <c r="AZ32" i="10"/>
  <c r="AL32" i="10"/>
  <c r="AT32" i="10"/>
  <c r="AN32" i="10"/>
  <c r="AH32" i="10"/>
  <c r="AP31" i="10"/>
  <c r="V31" i="10"/>
  <c r="AD31" i="10"/>
  <c r="X31" i="10"/>
  <c r="T31" i="10"/>
  <c r="AB31" i="10"/>
  <c r="AR31" i="10"/>
  <c r="AJ31" i="10"/>
  <c r="AX31" i="10"/>
  <c r="Z31" i="10"/>
  <c r="R31" i="10"/>
  <c r="AV31" i="10"/>
  <c r="AF31" i="10"/>
  <c r="L31" i="10"/>
  <c r="N31" i="10"/>
  <c r="P31" i="10"/>
  <c r="AZ31" i="10"/>
  <c r="AL31" i="10"/>
  <c r="AT31" i="10"/>
  <c r="AN31" i="10"/>
  <c r="AH31" i="10"/>
  <c r="AP30" i="10"/>
  <c r="V30" i="10"/>
  <c r="AD30" i="10"/>
  <c r="X30" i="10"/>
  <c r="T30" i="10"/>
  <c r="AB30" i="10"/>
  <c r="AR30" i="10"/>
  <c r="AJ30" i="10"/>
  <c r="AX30" i="10"/>
  <c r="Z30" i="10"/>
  <c r="R30" i="10"/>
  <c r="AV30" i="10"/>
  <c r="AF30" i="10"/>
  <c r="L30" i="10"/>
  <c r="N30" i="10"/>
  <c r="P30" i="10"/>
  <c r="AZ30" i="10"/>
  <c r="AL30" i="10"/>
  <c r="AT30" i="10"/>
  <c r="AN30" i="10"/>
  <c r="AH30" i="10"/>
  <c r="AP29" i="10"/>
  <c r="V29" i="10"/>
  <c r="AD29" i="10"/>
  <c r="X29" i="10"/>
  <c r="T29" i="10"/>
  <c r="AB29" i="10"/>
  <c r="AR29" i="10"/>
  <c r="AJ29" i="10"/>
  <c r="AX29" i="10"/>
  <c r="Z29" i="10"/>
  <c r="R29" i="10"/>
  <c r="AV29" i="10"/>
  <c r="AF29" i="10"/>
  <c r="L29" i="10"/>
  <c r="N29" i="10"/>
  <c r="P29" i="10"/>
  <c r="AZ29" i="10"/>
  <c r="AL29" i="10"/>
  <c r="AT29" i="10"/>
  <c r="AN29" i="10"/>
  <c r="AH29" i="10"/>
  <c r="AP28" i="10"/>
  <c r="V28" i="10"/>
  <c r="AD28" i="10"/>
  <c r="X28" i="10"/>
  <c r="T28" i="10"/>
  <c r="AB28" i="10"/>
  <c r="AR28" i="10"/>
  <c r="AJ28" i="10"/>
  <c r="AX28" i="10"/>
  <c r="Z28" i="10"/>
  <c r="R28" i="10"/>
  <c r="AV28" i="10"/>
  <c r="AF28" i="10"/>
  <c r="L28" i="10"/>
  <c r="N28" i="10"/>
  <c r="P28" i="10"/>
  <c r="AZ28" i="10"/>
  <c r="AL28" i="10"/>
  <c r="AT28" i="10"/>
  <c r="AN28" i="10"/>
  <c r="AH28" i="10"/>
  <c r="AP27" i="10"/>
  <c r="V27" i="10"/>
  <c r="AD27" i="10"/>
  <c r="X27" i="10"/>
  <c r="T27" i="10"/>
  <c r="AB27" i="10"/>
  <c r="AR27" i="10"/>
  <c r="AJ27" i="10"/>
  <c r="AX27" i="10"/>
  <c r="Z27" i="10"/>
  <c r="R27" i="10"/>
  <c r="AV27" i="10"/>
  <c r="AF27" i="10"/>
  <c r="L27" i="10"/>
  <c r="N27" i="10"/>
  <c r="P27" i="10"/>
  <c r="AZ27" i="10"/>
  <c r="AL27" i="10"/>
  <c r="AT27" i="10"/>
  <c r="AN27" i="10"/>
  <c r="AH27" i="10"/>
  <c r="AP26" i="10"/>
  <c r="V26" i="10"/>
  <c r="AD26" i="10"/>
  <c r="X26" i="10"/>
  <c r="T26" i="10"/>
  <c r="AB26" i="10"/>
  <c r="AR26" i="10"/>
  <c r="AJ26" i="10"/>
  <c r="AX26" i="10"/>
  <c r="Z26" i="10"/>
  <c r="R26" i="10"/>
  <c r="AV26" i="10"/>
  <c r="AF26" i="10"/>
  <c r="L26" i="10"/>
  <c r="N26" i="10"/>
  <c r="P26" i="10"/>
  <c r="AZ26" i="10"/>
  <c r="AL26" i="10"/>
  <c r="AT26" i="10"/>
  <c r="AN26" i="10"/>
  <c r="AH26" i="10"/>
  <c r="AP25" i="10"/>
  <c r="V25" i="10"/>
  <c r="AD25" i="10"/>
  <c r="X25" i="10"/>
  <c r="T25" i="10"/>
  <c r="AB25" i="10"/>
  <c r="AR25" i="10"/>
  <c r="AJ25" i="10"/>
  <c r="AX25" i="10"/>
  <c r="Z25" i="10"/>
  <c r="R25" i="10"/>
  <c r="AV25" i="10"/>
  <c r="AF25" i="10"/>
  <c r="L25" i="10"/>
  <c r="N25" i="10"/>
  <c r="P25" i="10"/>
  <c r="AZ25" i="10"/>
  <c r="AL25" i="10"/>
  <c r="AT25" i="10"/>
  <c r="AN25" i="10"/>
  <c r="AH25" i="10"/>
  <c r="AP24" i="10"/>
  <c r="V24" i="10"/>
  <c r="AD24" i="10"/>
  <c r="X24" i="10"/>
  <c r="T24" i="10"/>
  <c r="AB24" i="10"/>
  <c r="AR24" i="10"/>
  <c r="AJ24" i="10"/>
  <c r="AX24" i="10"/>
  <c r="Z24" i="10"/>
  <c r="R24" i="10"/>
  <c r="AV24" i="10"/>
  <c r="AF24" i="10"/>
  <c r="L24" i="10"/>
  <c r="N24" i="10"/>
  <c r="P24" i="10"/>
  <c r="AZ24" i="10"/>
  <c r="AL24" i="10"/>
  <c r="AT24" i="10"/>
  <c r="AN24" i="10"/>
  <c r="AH24" i="10"/>
  <c r="AP23" i="10"/>
  <c r="V23" i="10"/>
  <c r="AD23" i="10"/>
  <c r="X23" i="10"/>
  <c r="T23" i="10"/>
  <c r="AB23" i="10"/>
  <c r="AR23" i="10"/>
  <c r="AJ23" i="10"/>
  <c r="AX23" i="10"/>
  <c r="Z23" i="10"/>
  <c r="R23" i="10"/>
  <c r="AV23" i="10"/>
  <c r="AF23" i="10"/>
  <c r="L23" i="10"/>
  <c r="N23" i="10"/>
  <c r="P23" i="10"/>
  <c r="AZ23" i="10"/>
  <c r="AL23" i="10"/>
  <c r="AT23" i="10"/>
  <c r="AN23" i="10"/>
  <c r="AH23" i="10"/>
  <c r="AP22" i="10"/>
  <c r="V22" i="10"/>
  <c r="AD22" i="10"/>
  <c r="X22" i="10"/>
  <c r="T22" i="10"/>
  <c r="AB22" i="10"/>
  <c r="AR22" i="10"/>
  <c r="AJ22" i="10"/>
  <c r="AX22" i="10"/>
  <c r="Z22" i="10"/>
  <c r="R22" i="10"/>
  <c r="AV22" i="10"/>
  <c r="AF22" i="10"/>
  <c r="L22" i="10"/>
  <c r="N22" i="10"/>
  <c r="P22" i="10"/>
  <c r="AZ22" i="10"/>
  <c r="AL22" i="10"/>
  <c r="AT22" i="10"/>
  <c r="AN22" i="10"/>
  <c r="AH22" i="10"/>
  <c r="AP21" i="10"/>
  <c r="V21" i="10"/>
  <c r="AD21" i="10"/>
  <c r="X21" i="10"/>
  <c r="T21" i="10"/>
  <c r="AB21" i="10"/>
  <c r="AR21" i="10"/>
  <c r="AJ21" i="10"/>
  <c r="AX21" i="10"/>
  <c r="Z21" i="10"/>
  <c r="R21" i="10"/>
  <c r="AV21" i="10"/>
  <c r="AF21" i="10"/>
  <c r="L21" i="10"/>
  <c r="N21" i="10"/>
  <c r="P21" i="10"/>
  <c r="AZ21" i="10"/>
  <c r="AL21" i="10"/>
  <c r="AT21" i="10"/>
  <c r="AN21" i="10"/>
  <c r="AH21" i="10"/>
  <c r="AP20" i="10"/>
  <c r="V20" i="10"/>
  <c r="AD20" i="10"/>
  <c r="X20" i="10"/>
  <c r="T20" i="10"/>
  <c r="AB20" i="10"/>
  <c r="AR20" i="10"/>
  <c r="AJ20" i="10"/>
  <c r="AX20" i="10"/>
  <c r="Z20" i="10"/>
  <c r="R20" i="10"/>
  <c r="AV20" i="10"/>
  <c r="AF20" i="10"/>
  <c r="L20" i="10"/>
  <c r="N20" i="10"/>
  <c r="P20" i="10"/>
  <c r="AZ20" i="10"/>
  <c r="AL20" i="10"/>
  <c r="AT20" i="10"/>
  <c r="AN20" i="10"/>
  <c r="AH20" i="10"/>
  <c r="AP19" i="10"/>
  <c r="V19" i="10"/>
  <c r="AD19" i="10"/>
  <c r="X19" i="10"/>
  <c r="T19" i="10"/>
  <c r="AB19" i="10"/>
  <c r="AR19" i="10"/>
  <c r="AJ19" i="10"/>
  <c r="AX19" i="10"/>
  <c r="Z19" i="10"/>
  <c r="R19" i="10"/>
  <c r="AV19" i="10"/>
  <c r="AF19" i="10"/>
  <c r="L19" i="10"/>
  <c r="N19" i="10"/>
  <c r="P19" i="10"/>
  <c r="AZ19" i="10"/>
  <c r="AL19" i="10"/>
  <c r="AT19" i="10"/>
  <c r="AN19" i="10"/>
  <c r="AH19" i="10"/>
  <c r="AP18" i="10"/>
  <c r="V18" i="10"/>
  <c r="AD18" i="10"/>
  <c r="X18" i="10"/>
  <c r="T18" i="10"/>
  <c r="AB18" i="10"/>
  <c r="AR18" i="10"/>
  <c r="AJ18" i="10"/>
  <c r="AX18" i="10"/>
  <c r="Z18" i="10"/>
  <c r="R18" i="10"/>
  <c r="AV18" i="10"/>
  <c r="AF18" i="10"/>
  <c r="L18" i="10"/>
  <c r="N18" i="10"/>
  <c r="P18" i="10"/>
  <c r="AZ18" i="10"/>
  <c r="AL18" i="10"/>
  <c r="AT18" i="10"/>
  <c r="AN18" i="10"/>
  <c r="AH18" i="10"/>
  <c r="AP17" i="10"/>
  <c r="V17" i="10"/>
  <c r="AD17" i="10"/>
  <c r="X17" i="10"/>
  <c r="T17" i="10"/>
  <c r="AB17" i="10"/>
  <c r="AR17" i="10"/>
  <c r="AJ17" i="10"/>
  <c r="AX17" i="10"/>
  <c r="Z17" i="10"/>
  <c r="R17" i="10"/>
  <c r="AV17" i="10"/>
  <c r="AF17" i="10"/>
  <c r="L17" i="10"/>
  <c r="N17" i="10"/>
  <c r="P17" i="10"/>
  <c r="AZ17" i="10"/>
  <c r="AL17" i="10"/>
  <c r="AT17" i="10"/>
  <c r="AN17" i="10"/>
  <c r="AH17" i="10"/>
  <c r="AP16" i="10"/>
  <c r="V16" i="10"/>
  <c r="AD16" i="10"/>
  <c r="X16" i="10"/>
  <c r="T16" i="10"/>
  <c r="AB16" i="10"/>
  <c r="AR16" i="10"/>
  <c r="AJ16" i="10"/>
  <c r="AX16" i="10"/>
  <c r="Z16" i="10"/>
  <c r="R16" i="10"/>
  <c r="AV16" i="10"/>
  <c r="AF16" i="10"/>
  <c r="L16" i="10"/>
  <c r="N16" i="10"/>
  <c r="P16" i="10"/>
  <c r="AZ16" i="10"/>
  <c r="AL16" i="10"/>
  <c r="AT16" i="10"/>
  <c r="AN16" i="10"/>
  <c r="AH16" i="10"/>
  <c r="AP15" i="10"/>
  <c r="V15" i="10"/>
  <c r="AD15" i="10"/>
  <c r="X15" i="10"/>
  <c r="T15" i="10"/>
  <c r="AB15" i="10"/>
  <c r="AR15" i="10"/>
  <c r="AJ15" i="10"/>
  <c r="AX15" i="10"/>
  <c r="Z15" i="10"/>
  <c r="R15" i="10"/>
  <c r="AV15" i="10"/>
  <c r="AF15" i="10"/>
  <c r="L15" i="10"/>
  <c r="N15" i="10"/>
  <c r="P15" i="10"/>
  <c r="AZ15" i="10"/>
  <c r="AL15" i="10"/>
  <c r="AT15" i="10"/>
  <c r="AN15" i="10"/>
  <c r="AH15" i="10"/>
  <c r="AP14" i="10"/>
  <c r="V14" i="10"/>
  <c r="AD14" i="10"/>
  <c r="X14" i="10"/>
  <c r="T14" i="10"/>
  <c r="AB14" i="10"/>
  <c r="AR14" i="10"/>
  <c r="AJ14" i="10"/>
  <c r="AX14" i="10"/>
  <c r="Z14" i="10"/>
  <c r="R14" i="10"/>
  <c r="AV14" i="10"/>
  <c r="AF14" i="10"/>
  <c r="L14" i="10"/>
  <c r="N14" i="10"/>
  <c r="P14" i="10"/>
  <c r="AZ14" i="10"/>
  <c r="AL14" i="10"/>
  <c r="AT14" i="10"/>
  <c r="AN14" i="10"/>
  <c r="AH14" i="10"/>
  <c r="AP13" i="10"/>
  <c r="V13" i="10"/>
  <c r="AD13" i="10"/>
  <c r="X13" i="10"/>
  <c r="T13" i="10"/>
  <c r="AB13" i="10"/>
  <c r="AR13" i="10"/>
  <c r="AJ13" i="10"/>
  <c r="AX13" i="10"/>
  <c r="Z13" i="10"/>
  <c r="R13" i="10"/>
  <c r="AV13" i="10"/>
  <c r="AF13" i="10"/>
  <c r="L13" i="10"/>
  <c r="N13" i="10"/>
  <c r="P13" i="10"/>
  <c r="AZ13" i="10"/>
  <c r="AL13" i="10"/>
  <c r="AT13" i="10"/>
  <c r="AN13" i="10"/>
  <c r="AH13" i="10"/>
  <c r="AP12" i="10"/>
  <c r="V12" i="10"/>
  <c r="AD12" i="10"/>
  <c r="X12" i="10"/>
  <c r="T12" i="10"/>
  <c r="AB12" i="10"/>
  <c r="AR12" i="10"/>
  <c r="AJ12" i="10"/>
  <c r="AX12" i="10"/>
  <c r="Z12" i="10"/>
  <c r="R12" i="10"/>
  <c r="AV12" i="10"/>
  <c r="AF12" i="10"/>
  <c r="L12" i="10"/>
  <c r="N12" i="10"/>
  <c r="P12" i="10"/>
  <c r="AZ12" i="10"/>
  <c r="AL12" i="10"/>
  <c r="AT12" i="10"/>
  <c r="AN12" i="10"/>
  <c r="AH12" i="10"/>
  <c r="AP11" i="10"/>
  <c r="V11" i="10"/>
  <c r="AD11" i="10"/>
  <c r="X11" i="10"/>
  <c r="T11" i="10"/>
  <c r="AB11" i="10"/>
  <c r="AR11" i="10"/>
  <c r="AJ11" i="10"/>
  <c r="AX11" i="10"/>
  <c r="Z11" i="10"/>
  <c r="R11" i="10"/>
  <c r="AV11" i="10"/>
  <c r="AF11" i="10"/>
  <c r="L11" i="10"/>
  <c r="N11" i="10"/>
  <c r="P11" i="10"/>
  <c r="AZ11" i="10"/>
  <c r="AL11" i="10"/>
  <c r="AT11" i="10"/>
  <c r="AN11" i="10"/>
  <c r="AH11" i="10"/>
  <c r="AD79" i="9"/>
  <c r="AB79" i="9"/>
  <c r="Z79" i="9"/>
  <c r="X79" i="9"/>
  <c r="V79" i="9"/>
  <c r="T79" i="9"/>
  <c r="R79" i="9"/>
  <c r="P79" i="9"/>
  <c r="N79" i="9"/>
  <c r="L79" i="9"/>
  <c r="AD53" i="9"/>
  <c r="AB53" i="9"/>
  <c r="Z53" i="9"/>
  <c r="X53" i="9"/>
  <c r="V53" i="9"/>
  <c r="T53" i="9"/>
  <c r="R53" i="9"/>
  <c r="P53" i="9"/>
  <c r="N53" i="9"/>
  <c r="L53" i="9"/>
  <c r="AI67" i="6"/>
  <c r="AI68" i="6"/>
  <c r="AJ68" i="6"/>
  <c r="H67" i="6"/>
  <c r="AJ67" i="6"/>
  <c r="U67" i="6"/>
  <c r="U68" i="6"/>
  <c r="V68" i="6"/>
  <c r="V67" i="6"/>
  <c r="AZ67" i="6"/>
  <c r="AO67" i="6"/>
  <c r="AO68" i="6"/>
  <c r="AP68" i="6"/>
  <c r="AP67" i="6"/>
  <c r="S67" i="6"/>
  <c r="S68" i="6"/>
  <c r="T68" i="6"/>
  <c r="T67" i="6"/>
  <c r="AC67" i="6"/>
  <c r="AC68" i="6"/>
  <c r="AD68" i="6"/>
  <c r="AD67" i="6"/>
  <c r="AM67" i="6"/>
  <c r="AM68" i="6"/>
  <c r="AN68" i="6"/>
  <c r="AN67" i="6"/>
  <c r="AG67" i="6"/>
  <c r="AG68" i="6"/>
  <c r="AH68" i="6"/>
  <c r="AH67" i="6"/>
  <c r="AT67" i="6"/>
  <c r="AA67" i="6"/>
  <c r="AA68" i="6"/>
  <c r="AB68" i="6"/>
  <c r="AB67" i="6"/>
  <c r="K67" i="6"/>
  <c r="K68" i="6"/>
  <c r="L68" i="6"/>
  <c r="L67" i="6"/>
  <c r="AR67" i="6"/>
  <c r="Y67" i="6"/>
  <c r="Y68" i="6"/>
  <c r="Z68" i="6"/>
  <c r="Z67" i="6"/>
  <c r="M67" i="6"/>
  <c r="M68" i="6"/>
  <c r="N68" i="6"/>
  <c r="N67" i="6"/>
  <c r="O67" i="6"/>
  <c r="O68" i="6"/>
  <c r="P68" i="6"/>
  <c r="P67" i="6"/>
  <c r="Q67" i="6"/>
  <c r="Q68" i="6"/>
  <c r="R68" i="6"/>
  <c r="R67" i="6"/>
  <c r="AX67" i="6"/>
  <c r="W67" i="6"/>
  <c r="W68" i="6"/>
  <c r="X68" i="6"/>
  <c r="X67" i="6"/>
  <c r="AK67" i="6"/>
  <c r="AK68" i="6"/>
  <c r="AL68" i="6"/>
  <c r="AL67" i="6"/>
  <c r="AV67" i="6"/>
  <c r="AE68" i="6"/>
  <c r="AE67" i="6"/>
  <c r="U208" i="9"/>
  <c r="U209" i="9"/>
  <c r="V209" i="9"/>
  <c r="H208" i="9"/>
  <c r="V208" i="9"/>
  <c r="W208" i="9"/>
  <c r="W209" i="9"/>
  <c r="X209" i="9"/>
  <c r="X208" i="9"/>
  <c r="O208" i="9"/>
  <c r="O209" i="9"/>
  <c r="P209" i="9"/>
  <c r="P208" i="9"/>
  <c r="AC208" i="9"/>
  <c r="AC209" i="9"/>
  <c r="AD209" i="9"/>
  <c r="AD208" i="9"/>
  <c r="AA208" i="9"/>
  <c r="AA209" i="9"/>
  <c r="AB209" i="9"/>
  <c r="AB208" i="9"/>
  <c r="K208" i="9"/>
  <c r="K209" i="9"/>
  <c r="L209" i="9"/>
  <c r="L208" i="9"/>
  <c r="AE208" i="9"/>
  <c r="AE209" i="9"/>
  <c r="AF208" i="9"/>
  <c r="Q208" i="9"/>
  <c r="Q209" i="9"/>
  <c r="R209" i="9"/>
  <c r="R208" i="9"/>
  <c r="Y208" i="9"/>
  <c r="Y209" i="9"/>
  <c r="Z209" i="9"/>
  <c r="Z208" i="9"/>
  <c r="S208" i="9"/>
  <c r="S209" i="9"/>
  <c r="T209" i="9"/>
  <c r="T208" i="9"/>
  <c r="M209" i="9"/>
  <c r="M208" i="9"/>
  <c r="AY116" i="5"/>
  <c r="AY117" i="5"/>
  <c r="AZ117" i="5"/>
  <c r="AZ116" i="5"/>
  <c r="AW116" i="5"/>
  <c r="AW117" i="5"/>
  <c r="AX117" i="5"/>
  <c r="AX116" i="5"/>
  <c r="AU116" i="5"/>
  <c r="AU117" i="5"/>
  <c r="AV117" i="5"/>
  <c r="AV116" i="5"/>
  <c r="AS116" i="5"/>
  <c r="AS117" i="5"/>
  <c r="AT117" i="5"/>
  <c r="AT116" i="5"/>
  <c r="AQ116" i="5"/>
  <c r="AQ117" i="5"/>
  <c r="AR117" i="5"/>
  <c r="AR116" i="5"/>
  <c r="AO116" i="5"/>
  <c r="AO117" i="5"/>
  <c r="AP117" i="5"/>
  <c r="AP116" i="5"/>
  <c r="AM116" i="5"/>
  <c r="AM117" i="5"/>
  <c r="AN117" i="5"/>
  <c r="AN116" i="5"/>
  <c r="AK116" i="5"/>
  <c r="AK117" i="5"/>
  <c r="AL117" i="5"/>
  <c r="AL116" i="5"/>
  <c r="AI116" i="5"/>
  <c r="AI117" i="5"/>
  <c r="AJ117" i="5"/>
  <c r="AJ116" i="5"/>
  <c r="AG116" i="5"/>
  <c r="AG117" i="5"/>
  <c r="AH117" i="5"/>
  <c r="AH116" i="5"/>
  <c r="AE116" i="5"/>
  <c r="AE117" i="5"/>
  <c r="AF117" i="5"/>
  <c r="AF116" i="5"/>
  <c r="AC116" i="5"/>
  <c r="AC117" i="5"/>
  <c r="AD117" i="5"/>
  <c r="AD116" i="5"/>
  <c r="AA116" i="5"/>
  <c r="AA117" i="5"/>
  <c r="AB117" i="5"/>
  <c r="AB116" i="5"/>
  <c r="Y116" i="5"/>
  <c r="Y117" i="5"/>
  <c r="Z117" i="5"/>
  <c r="Z116" i="5"/>
  <c r="W116" i="5"/>
  <c r="W117" i="5"/>
  <c r="X117" i="5"/>
  <c r="X116" i="5"/>
  <c r="U116" i="5"/>
  <c r="U117" i="5"/>
  <c r="V117" i="5"/>
  <c r="V116" i="5"/>
  <c r="R117" i="5"/>
  <c r="P117" i="5"/>
  <c r="N117" i="5"/>
  <c r="L117" i="5"/>
  <c r="S116" i="5"/>
  <c r="S117" i="5"/>
  <c r="T116" i="5"/>
  <c r="Q116" i="5"/>
  <c r="Q117" i="5"/>
  <c r="R116" i="5"/>
  <c r="O116" i="5"/>
  <c r="O117" i="5"/>
  <c r="P116" i="5"/>
  <c r="M116" i="5"/>
  <c r="M117" i="5"/>
  <c r="N116" i="5"/>
  <c r="K117" i="5"/>
  <c r="K116" i="5"/>
  <c r="H116" i="5"/>
  <c r="U97" i="9"/>
  <c r="U98" i="9"/>
  <c r="V98" i="9"/>
  <c r="H97" i="9"/>
  <c r="V97" i="9"/>
  <c r="AC97" i="9"/>
  <c r="AC98" i="9"/>
  <c r="AD98" i="9"/>
  <c r="AD97" i="9"/>
  <c r="W97" i="9"/>
  <c r="W98" i="9"/>
  <c r="X98" i="9"/>
  <c r="X97" i="9"/>
  <c r="S97" i="9"/>
  <c r="S98" i="9"/>
  <c r="T98" i="9"/>
  <c r="T97" i="9"/>
  <c r="AA97" i="9"/>
  <c r="AA98" i="9"/>
  <c r="AB98" i="9"/>
  <c r="AB97" i="9"/>
  <c r="Y97" i="9"/>
  <c r="Y98" i="9"/>
  <c r="Z98" i="9"/>
  <c r="Z97" i="9"/>
  <c r="Q97" i="9"/>
  <c r="Q98" i="9"/>
  <c r="R98" i="9"/>
  <c r="R97" i="9"/>
  <c r="K97" i="9"/>
  <c r="K98" i="9"/>
  <c r="L98" i="9"/>
  <c r="L97" i="9"/>
  <c r="M97" i="9"/>
  <c r="M98" i="9"/>
  <c r="N98" i="9"/>
  <c r="N97" i="9"/>
  <c r="O97" i="9"/>
  <c r="O98" i="9"/>
  <c r="N209" i="9"/>
  <c r="N208" i="9"/>
  <c r="V205" i="9"/>
  <c r="X205" i="9"/>
  <c r="P205" i="9"/>
  <c r="AD205" i="9"/>
  <c r="AB205" i="9"/>
  <c r="L205" i="9"/>
  <c r="AF205" i="9"/>
  <c r="R205" i="9"/>
  <c r="Z205" i="9"/>
  <c r="T205" i="9"/>
  <c r="N205" i="9"/>
  <c r="V204" i="9"/>
  <c r="X204" i="9"/>
  <c r="P204" i="9"/>
  <c r="AD204" i="9"/>
  <c r="AB204" i="9"/>
  <c r="L204" i="9"/>
  <c r="AF204" i="9"/>
  <c r="R204" i="9"/>
  <c r="Z204" i="9"/>
  <c r="T204" i="9"/>
  <c r="N204" i="9"/>
  <c r="V203" i="9"/>
  <c r="X203" i="9"/>
  <c r="P203" i="9"/>
  <c r="AD203" i="9"/>
  <c r="AB203" i="9"/>
  <c r="L203" i="9"/>
  <c r="AF203" i="9"/>
  <c r="R203" i="9"/>
  <c r="Z203" i="9"/>
  <c r="T203" i="9"/>
  <c r="N203" i="9"/>
  <c r="V202" i="9"/>
  <c r="X202" i="9"/>
  <c r="P202" i="9"/>
  <c r="AD202" i="9"/>
  <c r="AB202" i="9"/>
  <c r="L202" i="9"/>
  <c r="AF202" i="9"/>
  <c r="R202" i="9"/>
  <c r="Z202" i="9"/>
  <c r="T202" i="9"/>
  <c r="N202" i="9"/>
  <c r="V201" i="9"/>
  <c r="X201" i="9"/>
  <c r="P201" i="9"/>
  <c r="AD201" i="9"/>
  <c r="AB201" i="9"/>
  <c r="L201" i="9"/>
  <c r="AF201" i="9"/>
  <c r="R201" i="9"/>
  <c r="Z201" i="9"/>
  <c r="T201" i="9"/>
  <c r="N201" i="9"/>
  <c r="V200" i="9"/>
  <c r="X200" i="9"/>
  <c r="P200" i="9"/>
  <c r="AD200" i="9"/>
  <c r="AB200" i="9"/>
  <c r="L200" i="9"/>
  <c r="AF200" i="9"/>
  <c r="R200" i="9"/>
  <c r="Z200" i="9"/>
  <c r="T200" i="9"/>
  <c r="N200" i="9"/>
  <c r="V199" i="9"/>
  <c r="X199" i="9"/>
  <c r="P199" i="9"/>
  <c r="AD199" i="9"/>
  <c r="AB199" i="9"/>
  <c r="L199" i="9"/>
  <c r="AF199" i="9"/>
  <c r="R199" i="9"/>
  <c r="Z199" i="9"/>
  <c r="T199" i="9"/>
  <c r="N199" i="9"/>
  <c r="V198" i="9"/>
  <c r="X198" i="9"/>
  <c r="P198" i="9"/>
  <c r="AD198" i="9"/>
  <c r="AB198" i="9"/>
  <c r="L198" i="9"/>
  <c r="AF198" i="9"/>
  <c r="R198" i="9"/>
  <c r="Z198" i="9"/>
  <c r="T198" i="9"/>
  <c r="N198" i="9"/>
  <c r="V197" i="9"/>
  <c r="X197" i="9"/>
  <c r="P197" i="9"/>
  <c r="AD197" i="9"/>
  <c r="AB197" i="9"/>
  <c r="L197" i="9"/>
  <c r="AF197" i="9"/>
  <c r="R197" i="9"/>
  <c r="Z197" i="9"/>
  <c r="T197" i="9"/>
  <c r="V196" i="9"/>
  <c r="X196" i="9"/>
  <c r="P196" i="9"/>
  <c r="AD196" i="9"/>
  <c r="AB196" i="9"/>
  <c r="L196" i="9"/>
  <c r="AF196" i="9"/>
  <c r="R196" i="9"/>
  <c r="Z196" i="9"/>
  <c r="T196" i="9"/>
  <c r="N196" i="9"/>
  <c r="V195" i="9"/>
  <c r="X195" i="9"/>
  <c r="P195" i="9"/>
  <c r="AD195" i="9"/>
  <c r="AB195" i="9"/>
  <c r="L195" i="9"/>
  <c r="AF195" i="9"/>
  <c r="R195" i="9"/>
  <c r="Z195" i="9"/>
  <c r="T195" i="9"/>
  <c r="N195" i="9"/>
  <c r="V194" i="9"/>
  <c r="X194" i="9"/>
  <c r="P194" i="9"/>
  <c r="AD194" i="9"/>
  <c r="AB194" i="9"/>
  <c r="L194" i="9"/>
  <c r="AF194" i="9"/>
  <c r="R194" i="9"/>
  <c r="Z194" i="9"/>
  <c r="T194" i="9"/>
  <c r="N194" i="9"/>
  <c r="V193" i="9"/>
  <c r="X193" i="9"/>
  <c r="P193" i="9"/>
  <c r="AD193" i="9"/>
  <c r="AB193" i="9"/>
  <c r="L193" i="9"/>
  <c r="AF193" i="9"/>
  <c r="R193" i="9"/>
  <c r="Z193" i="9"/>
  <c r="T193" i="9"/>
  <c r="N193" i="9"/>
  <c r="V192" i="9"/>
  <c r="X192" i="9"/>
  <c r="P192" i="9"/>
  <c r="AD192" i="9"/>
  <c r="AB192" i="9"/>
  <c r="L192" i="9"/>
  <c r="AF192" i="9"/>
  <c r="R192" i="9"/>
  <c r="Z192" i="9"/>
  <c r="T192" i="9"/>
  <c r="N192" i="9"/>
  <c r="V191" i="9"/>
  <c r="X191" i="9"/>
  <c r="P191" i="9"/>
  <c r="AD191" i="9"/>
  <c r="AB191" i="9"/>
  <c r="L191" i="9"/>
  <c r="AF191" i="9"/>
  <c r="R191" i="9"/>
  <c r="Z191" i="9"/>
  <c r="T191" i="9"/>
  <c r="N191" i="9"/>
  <c r="V190" i="9"/>
  <c r="X190" i="9"/>
  <c r="P190" i="9"/>
  <c r="AD190" i="9"/>
  <c r="AB190" i="9"/>
  <c r="L190" i="9"/>
  <c r="AF190" i="9"/>
  <c r="R190" i="9"/>
  <c r="Z190" i="9"/>
  <c r="T190" i="9"/>
  <c r="N190" i="9"/>
  <c r="V189" i="9"/>
  <c r="X189" i="9"/>
  <c r="P189" i="9"/>
  <c r="AD189" i="9"/>
  <c r="AB189" i="9"/>
  <c r="L189" i="9"/>
  <c r="AF189" i="9"/>
  <c r="R189" i="9"/>
  <c r="Z189" i="9"/>
  <c r="T189" i="9"/>
  <c r="N189" i="9"/>
  <c r="V188" i="9"/>
  <c r="X188" i="9"/>
  <c r="P188" i="9"/>
  <c r="AD188" i="9"/>
  <c r="AB188" i="9"/>
  <c r="L188" i="9"/>
  <c r="AF188" i="9"/>
  <c r="R188" i="9"/>
  <c r="Z188" i="9"/>
  <c r="T188" i="9"/>
  <c r="N188" i="9"/>
  <c r="V187" i="9"/>
  <c r="X187" i="9"/>
  <c r="P187" i="9"/>
  <c r="AD187" i="9"/>
  <c r="AB187" i="9"/>
  <c r="L187" i="9"/>
  <c r="AF187" i="9"/>
  <c r="R187" i="9"/>
  <c r="Z187" i="9"/>
  <c r="T187" i="9"/>
  <c r="N187" i="9"/>
  <c r="V186" i="9"/>
  <c r="X186" i="9"/>
  <c r="P186" i="9"/>
  <c r="AD186" i="9"/>
  <c r="AB186" i="9"/>
  <c r="L186" i="9"/>
  <c r="AF186" i="9"/>
  <c r="R186" i="9"/>
  <c r="Z186" i="9"/>
  <c r="T186" i="9"/>
  <c r="N186" i="9"/>
  <c r="V185" i="9"/>
  <c r="X185" i="9"/>
  <c r="P185" i="9"/>
  <c r="AD185" i="9"/>
  <c r="AB185" i="9"/>
  <c r="L185" i="9"/>
  <c r="AF185" i="9"/>
  <c r="R185" i="9"/>
  <c r="Z185" i="9"/>
  <c r="T185" i="9"/>
  <c r="N185" i="9"/>
  <c r="V184" i="9"/>
  <c r="X184" i="9"/>
  <c r="P184" i="9"/>
  <c r="AD184" i="9"/>
  <c r="AB184" i="9"/>
  <c r="L184" i="9"/>
  <c r="AF184" i="9"/>
  <c r="R184" i="9"/>
  <c r="Z184" i="9"/>
  <c r="T184" i="9"/>
  <c r="N184" i="9"/>
  <c r="V183" i="9"/>
  <c r="X183" i="9"/>
  <c r="P183" i="9"/>
  <c r="AD183" i="9"/>
  <c r="AB183" i="9"/>
  <c r="L183" i="9"/>
  <c r="AF183" i="9"/>
  <c r="R183" i="9"/>
  <c r="Z183" i="9"/>
  <c r="T183" i="9"/>
  <c r="N183" i="9"/>
  <c r="V182" i="9"/>
  <c r="X182" i="9"/>
  <c r="P182" i="9"/>
  <c r="AD182" i="9"/>
  <c r="AB182" i="9"/>
  <c r="L182" i="9"/>
  <c r="AF182" i="9"/>
  <c r="R182" i="9"/>
  <c r="Z182" i="9"/>
  <c r="T182" i="9"/>
  <c r="N182" i="9"/>
  <c r="V181" i="9"/>
  <c r="X181" i="9"/>
  <c r="P181" i="9"/>
  <c r="AD181" i="9"/>
  <c r="AB181" i="9"/>
  <c r="L181" i="9"/>
  <c r="AF181" i="9"/>
  <c r="R181" i="9"/>
  <c r="Z181" i="9"/>
  <c r="T181" i="9"/>
  <c r="N181" i="9"/>
  <c r="V180" i="9"/>
  <c r="X180" i="9"/>
  <c r="P180" i="9"/>
  <c r="AD180" i="9"/>
  <c r="AB180" i="9"/>
  <c r="L180" i="9"/>
  <c r="AF180" i="9"/>
  <c r="R180" i="9"/>
  <c r="Z180" i="9"/>
  <c r="T180" i="9"/>
  <c r="N180" i="9"/>
  <c r="V179" i="9"/>
  <c r="X179" i="9"/>
  <c r="P179" i="9"/>
  <c r="AD179" i="9"/>
  <c r="AB179" i="9"/>
  <c r="L179" i="9"/>
  <c r="AF179" i="9"/>
  <c r="R179" i="9"/>
  <c r="Z179" i="9"/>
  <c r="T179" i="9"/>
  <c r="N179" i="9"/>
  <c r="V178" i="9"/>
  <c r="X178" i="9"/>
  <c r="P178" i="9"/>
  <c r="AD178" i="9"/>
  <c r="AB178" i="9"/>
  <c r="L178" i="9"/>
  <c r="AF178" i="9"/>
  <c r="R178" i="9"/>
  <c r="Z178" i="9"/>
  <c r="T178" i="9"/>
  <c r="N178" i="9"/>
  <c r="V177" i="9"/>
  <c r="X177" i="9"/>
  <c r="P177" i="9"/>
  <c r="AD177" i="9"/>
  <c r="AB177" i="9"/>
  <c r="L177" i="9"/>
  <c r="AF177" i="9"/>
  <c r="R177" i="9"/>
  <c r="Z177" i="9"/>
  <c r="T177" i="9"/>
  <c r="N177" i="9"/>
  <c r="V176" i="9"/>
  <c r="X176" i="9"/>
  <c r="P176" i="9"/>
  <c r="AD176" i="9"/>
  <c r="AB176" i="9"/>
  <c r="L176" i="9"/>
  <c r="AF176" i="9"/>
  <c r="R176" i="9"/>
  <c r="Z176" i="9"/>
  <c r="T176" i="9"/>
  <c r="N176" i="9"/>
  <c r="V175" i="9"/>
  <c r="X175" i="9"/>
  <c r="P175" i="9"/>
  <c r="AD175" i="9"/>
  <c r="AB175" i="9"/>
  <c r="L175" i="9"/>
  <c r="AF175" i="9"/>
  <c r="R175" i="9"/>
  <c r="Z175" i="9"/>
  <c r="T175" i="9"/>
  <c r="N175" i="9"/>
  <c r="V174" i="9"/>
  <c r="X174" i="9"/>
  <c r="P174" i="9"/>
  <c r="AD174" i="9"/>
  <c r="AB174" i="9"/>
  <c r="L174" i="9"/>
  <c r="AF174" i="9"/>
  <c r="R174" i="9"/>
  <c r="Z174" i="9"/>
  <c r="T174" i="9"/>
  <c r="N174" i="9"/>
  <c r="V173" i="9"/>
  <c r="X173" i="9"/>
  <c r="P173" i="9"/>
  <c r="AD173" i="9"/>
  <c r="AB173" i="9"/>
  <c r="L173" i="9"/>
  <c r="AF173" i="9"/>
  <c r="R173" i="9"/>
  <c r="Z173" i="9"/>
  <c r="T173" i="9"/>
  <c r="N173" i="9"/>
  <c r="V172" i="9"/>
  <c r="X172" i="9"/>
  <c r="P172" i="9"/>
  <c r="AD172" i="9"/>
  <c r="AB172" i="9"/>
  <c r="L172" i="9"/>
  <c r="AF172" i="9"/>
  <c r="R172" i="9"/>
  <c r="Z172" i="9"/>
  <c r="T172" i="9"/>
  <c r="N172" i="9"/>
  <c r="V171" i="9"/>
  <c r="X171" i="9"/>
  <c r="P171" i="9"/>
  <c r="AD171" i="9"/>
  <c r="AB171" i="9"/>
  <c r="L171" i="9"/>
  <c r="AF171" i="9"/>
  <c r="R171" i="9"/>
  <c r="Z171" i="9"/>
  <c r="T171" i="9"/>
  <c r="N171" i="9"/>
  <c r="V170" i="9"/>
  <c r="X170" i="9"/>
  <c r="P170" i="9"/>
  <c r="AD170" i="9"/>
  <c r="AB170" i="9"/>
  <c r="L170" i="9"/>
  <c r="AF170" i="9"/>
  <c r="R170" i="9"/>
  <c r="Z170" i="9"/>
  <c r="T170" i="9"/>
  <c r="N170" i="9"/>
  <c r="V169" i="9"/>
  <c r="X169" i="9"/>
  <c r="P169" i="9"/>
  <c r="AD169" i="9"/>
  <c r="AB169" i="9"/>
  <c r="L169" i="9"/>
  <c r="AF169" i="9"/>
  <c r="R169" i="9"/>
  <c r="Z169" i="9"/>
  <c r="T169" i="9"/>
  <c r="N169" i="9"/>
  <c r="V168" i="9"/>
  <c r="X168" i="9"/>
  <c r="P168" i="9"/>
  <c r="AD168" i="9"/>
  <c r="AB168" i="9"/>
  <c r="L168" i="9"/>
  <c r="AF168" i="9"/>
  <c r="R168" i="9"/>
  <c r="Z168" i="9"/>
  <c r="T168" i="9"/>
  <c r="N168" i="9"/>
  <c r="V167" i="9"/>
  <c r="X167" i="9"/>
  <c r="P167" i="9"/>
  <c r="AD167" i="9"/>
  <c r="AB167" i="9"/>
  <c r="L167" i="9"/>
  <c r="AF167" i="9"/>
  <c r="R167" i="9"/>
  <c r="Z167" i="9"/>
  <c r="T167" i="9"/>
  <c r="N167" i="9"/>
  <c r="V166" i="9"/>
  <c r="X166" i="9"/>
  <c r="P166" i="9"/>
  <c r="AD166" i="9"/>
  <c r="AB166" i="9"/>
  <c r="L166" i="9"/>
  <c r="AF166" i="9"/>
  <c r="R166" i="9"/>
  <c r="Z166" i="9"/>
  <c r="T166" i="9"/>
  <c r="N166" i="9"/>
  <c r="V165" i="9"/>
  <c r="X165" i="9"/>
  <c r="P165" i="9"/>
  <c r="AD165" i="9"/>
  <c r="AB165" i="9"/>
  <c r="L165" i="9"/>
  <c r="AF165" i="9"/>
  <c r="R165" i="9"/>
  <c r="Z165" i="9"/>
  <c r="T165" i="9"/>
  <c r="N165" i="9"/>
  <c r="V164" i="9"/>
  <c r="X164" i="9"/>
  <c r="P164" i="9"/>
  <c r="AD164" i="9"/>
  <c r="AB164" i="9"/>
  <c r="L164" i="9"/>
  <c r="AF164" i="9"/>
  <c r="R164" i="9"/>
  <c r="Z164" i="9"/>
  <c r="T164" i="9"/>
  <c r="N164" i="9"/>
  <c r="V163" i="9"/>
  <c r="X163" i="9"/>
  <c r="P163" i="9"/>
  <c r="AD163" i="9"/>
  <c r="AB163" i="9"/>
  <c r="L163" i="9"/>
  <c r="AF163" i="9"/>
  <c r="R163" i="9"/>
  <c r="Z163" i="9"/>
  <c r="T163" i="9"/>
  <c r="N163" i="9"/>
  <c r="V162" i="9"/>
  <c r="X162" i="9"/>
  <c r="P162" i="9"/>
  <c r="AD162" i="9"/>
  <c r="AB162" i="9"/>
  <c r="L162" i="9"/>
  <c r="AF162" i="9"/>
  <c r="R162" i="9"/>
  <c r="Z162" i="9"/>
  <c r="T162" i="9"/>
  <c r="N162" i="9"/>
  <c r="V161" i="9"/>
  <c r="X161" i="9"/>
  <c r="P161" i="9"/>
  <c r="AD161" i="9"/>
  <c r="AB161" i="9"/>
  <c r="L161" i="9"/>
  <c r="AF161" i="9"/>
  <c r="R161" i="9"/>
  <c r="Z161" i="9"/>
  <c r="T161" i="9"/>
  <c r="N161" i="9"/>
  <c r="V160" i="9"/>
  <c r="X160" i="9"/>
  <c r="P160" i="9"/>
  <c r="AD160" i="9"/>
  <c r="AB160" i="9"/>
  <c r="L160" i="9"/>
  <c r="AF160" i="9"/>
  <c r="R160" i="9"/>
  <c r="Z160" i="9"/>
  <c r="T160" i="9"/>
  <c r="N160" i="9"/>
  <c r="V159" i="9"/>
  <c r="X159" i="9"/>
  <c r="P159" i="9"/>
  <c r="AD159" i="9"/>
  <c r="AB159" i="9"/>
  <c r="L159" i="9"/>
  <c r="AF159" i="9"/>
  <c r="R159" i="9"/>
  <c r="Z159" i="9"/>
  <c r="T159" i="9"/>
  <c r="N159" i="9"/>
  <c r="V158" i="9"/>
  <c r="X158" i="9"/>
  <c r="P158" i="9"/>
  <c r="AD158" i="9"/>
  <c r="AB158" i="9"/>
  <c r="L158" i="9"/>
  <c r="AF158" i="9"/>
  <c r="R158" i="9"/>
  <c r="Z158" i="9"/>
  <c r="T158" i="9"/>
  <c r="N158" i="9"/>
  <c r="V157" i="9"/>
  <c r="X157" i="9"/>
  <c r="P157" i="9"/>
  <c r="AD157" i="9"/>
  <c r="AB157" i="9"/>
  <c r="L157" i="9"/>
  <c r="AF157" i="9"/>
  <c r="R157" i="9"/>
  <c r="Z157" i="9"/>
  <c r="T157" i="9"/>
  <c r="N157" i="9"/>
  <c r="V156" i="9"/>
  <c r="X156" i="9"/>
  <c r="P156" i="9"/>
  <c r="AD156" i="9"/>
  <c r="AB156" i="9"/>
  <c r="L156" i="9"/>
  <c r="AF156" i="9"/>
  <c r="R156" i="9"/>
  <c r="Z156" i="9"/>
  <c r="T156" i="9"/>
  <c r="N156" i="9"/>
  <c r="V155" i="9"/>
  <c r="X155" i="9"/>
  <c r="P155" i="9"/>
  <c r="AD155" i="9"/>
  <c r="AB155" i="9"/>
  <c r="L155" i="9"/>
  <c r="AF155" i="9"/>
  <c r="R155" i="9"/>
  <c r="Z155" i="9"/>
  <c r="T155" i="9"/>
  <c r="N155" i="9"/>
  <c r="V154" i="9"/>
  <c r="X154" i="9"/>
  <c r="P154" i="9"/>
  <c r="AD154" i="9"/>
  <c r="AB154" i="9"/>
  <c r="L154" i="9"/>
  <c r="AF154" i="9"/>
  <c r="R154" i="9"/>
  <c r="Z154" i="9"/>
  <c r="T154" i="9"/>
  <c r="N154" i="9"/>
  <c r="V153" i="9"/>
  <c r="X153" i="9"/>
  <c r="P153" i="9"/>
  <c r="AD153" i="9"/>
  <c r="AB153" i="9"/>
  <c r="L153" i="9"/>
  <c r="AF153" i="9"/>
  <c r="R153" i="9"/>
  <c r="Z153" i="9"/>
  <c r="T153" i="9"/>
  <c r="N153" i="9"/>
  <c r="V152" i="9"/>
  <c r="X152" i="9"/>
  <c r="P152" i="9"/>
  <c r="AD152" i="9"/>
  <c r="AB152" i="9"/>
  <c r="L152" i="9"/>
  <c r="AF152" i="9"/>
  <c r="R152" i="9"/>
  <c r="Z152" i="9"/>
  <c r="T152" i="9"/>
  <c r="N152" i="9"/>
  <c r="V151" i="9"/>
  <c r="X151" i="9"/>
  <c r="P151" i="9"/>
  <c r="AD151" i="9"/>
  <c r="AB151" i="9"/>
  <c r="L151" i="9"/>
  <c r="AF151" i="9"/>
  <c r="R151" i="9"/>
  <c r="Z151" i="9"/>
  <c r="T151" i="9"/>
  <c r="N151" i="9"/>
  <c r="V150" i="9"/>
  <c r="X150" i="9"/>
  <c r="P150" i="9"/>
  <c r="AD150" i="9"/>
  <c r="AB150" i="9"/>
  <c r="L150" i="9"/>
  <c r="AF150" i="9"/>
  <c r="R150" i="9"/>
  <c r="Z150" i="9"/>
  <c r="T150" i="9"/>
  <c r="N150" i="9"/>
  <c r="V149" i="9"/>
  <c r="X149" i="9"/>
  <c r="P149" i="9"/>
  <c r="AD149" i="9"/>
  <c r="AB149" i="9"/>
  <c r="L149" i="9"/>
  <c r="AF149" i="9"/>
  <c r="R149" i="9"/>
  <c r="Z149" i="9"/>
  <c r="T149" i="9"/>
  <c r="N149" i="9"/>
  <c r="V148" i="9"/>
  <c r="X148" i="9"/>
  <c r="P148" i="9"/>
  <c r="AD148" i="9"/>
  <c r="AB148" i="9"/>
  <c r="L148" i="9"/>
  <c r="AF148" i="9"/>
  <c r="R148" i="9"/>
  <c r="Z148" i="9"/>
  <c r="T148" i="9"/>
  <c r="N148" i="9"/>
  <c r="V147" i="9"/>
  <c r="X147" i="9"/>
  <c r="P147" i="9"/>
  <c r="AD147" i="9"/>
  <c r="AB147" i="9"/>
  <c r="L147" i="9"/>
  <c r="AF147" i="9"/>
  <c r="R147" i="9"/>
  <c r="Z147" i="9"/>
  <c r="T147" i="9"/>
  <c r="N147" i="9"/>
  <c r="V146" i="9"/>
  <c r="X146" i="9"/>
  <c r="P146" i="9"/>
  <c r="AD146" i="9"/>
  <c r="AB146" i="9"/>
  <c r="L146" i="9"/>
  <c r="AF146" i="9"/>
  <c r="R146" i="9"/>
  <c r="Z146" i="9"/>
  <c r="T146" i="9"/>
  <c r="N146" i="9"/>
  <c r="V145" i="9"/>
  <c r="X145" i="9"/>
  <c r="P145" i="9"/>
  <c r="AD145" i="9"/>
  <c r="AB145" i="9"/>
  <c r="L145" i="9"/>
  <c r="AF145" i="9"/>
  <c r="R145" i="9"/>
  <c r="Z145" i="9"/>
  <c r="T145" i="9"/>
  <c r="N145" i="9"/>
  <c r="V144" i="9"/>
  <c r="X144" i="9"/>
  <c r="P144" i="9"/>
  <c r="AD144" i="9"/>
  <c r="AB144" i="9"/>
  <c r="L144" i="9"/>
  <c r="AF144" i="9"/>
  <c r="R144" i="9"/>
  <c r="Z144" i="9"/>
  <c r="T144" i="9"/>
  <c r="N144" i="9"/>
  <c r="V143" i="9"/>
  <c r="X143" i="9"/>
  <c r="P143" i="9"/>
  <c r="AD143" i="9"/>
  <c r="AB143" i="9"/>
  <c r="L143" i="9"/>
  <c r="AF143" i="9"/>
  <c r="R143" i="9"/>
  <c r="Z143" i="9"/>
  <c r="T143" i="9"/>
  <c r="N143" i="9"/>
  <c r="V142" i="9"/>
  <c r="X142" i="9"/>
  <c r="P142" i="9"/>
  <c r="AD142" i="9"/>
  <c r="AB142" i="9"/>
  <c r="L142" i="9"/>
  <c r="AF142" i="9"/>
  <c r="R142" i="9"/>
  <c r="Z142" i="9"/>
  <c r="T142" i="9"/>
  <c r="N142" i="9"/>
  <c r="V141" i="9"/>
  <c r="X141" i="9"/>
  <c r="P141" i="9"/>
  <c r="AD141" i="9"/>
  <c r="AB141" i="9"/>
  <c r="L141" i="9"/>
  <c r="AF141" i="9"/>
  <c r="R141" i="9"/>
  <c r="Z141" i="9"/>
  <c r="T141" i="9"/>
  <c r="N141" i="9"/>
  <c r="V140" i="9"/>
  <c r="X140" i="9"/>
  <c r="P140" i="9"/>
  <c r="AD140" i="9"/>
  <c r="AB140" i="9"/>
  <c r="L140" i="9"/>
  <c r="AF140" i="9"/>
  <c r="R140" i="9"/>
  <c r="Z140" i="9"/>
  <c r="T140" i="9"/>
  <c r="N140" i="9"/>
  <c r="V139" i="9"/>
  <c r="X139" i="9"/>
  <c r="P139" i="9"/>
  <c r="AD139" i="9"/>
  <c r="AB139" i="9"/>
  <c r="L139" i="9"/>
  <c r="AF139" i="9"/>
  <c r="R139" i="9"/>
  <c r="Z139" i="9"/>
  <c r="T139" i="9"/>
  <c r="N139" i="9"/>
  <c r="V138" i="9"/>
  <c r="X138" i="9"/>
  <c r="P138" i="9"/>
  <c r="AD138" i="9"/>
  <c r="AB138" i="9"/>
  <c r="L138" i="9"/>
  <c r="AF138" i="9"/>
  <c r="R138" i="9"/>
  <c r="Z138" i="9"/>
  <c r="T138" i="9"/>
  <c r="N138" i="9"/>
  <c r="V137" i="9"/>
  <c r="X137" i="9"/>
  <c r="P137" i="9"/>
  <c r="AD137" i="9"/>
  <c r="AB137" i="9"/>
  <c r="L137" i="9"/>
  <c r="AF137" i="9"/>
  <c r="R137" i="9"/>
  <c r="Z137" i="9"/>
  <c r="T137" i="9"/>
  <c r="N137" i="9"/>
  <c r="V136" i="9"/>
  <c r="X136" i="9"/>
  <c r="P136" i="9"/>
  <c r="AD136" i="9"/>
  <c r="AB136" i="9"/>
  <c r="L136" i="9"/>
  <c r="AF136" i="9"/>
  <c r="R136" i="9"/>
  <c r="Z136" i="9"/>
  <c r="T136" i="9"/>
  <c r="N136" i="9"/>
  <c r="V135" i="9"/>
  <c r="X135" i="9"/>
  <c r="P135" i="9"/>
  <c r="AD135" i="9"/>
  <c r="AB135" i="9"/>
  <c r="L135" i="9"/>
  <c r="AF135" i="9"/>
  <c r="R135" i="9"/>
  <c r="Z135" i="9"/>
  <c r="T135" i="9"/>
  <c r="N135" i="9"/>
  <c r="V134" i="9"/>
  <c r="X134" i="9"/>
  <c r="P134" i="9"/>
  <c r="AD134" i="9"/>
  <c r="AB134" i="9"/>
  <c r="L134" i="9"/>
  <c r="AF134" i="9"/>
  <c r="R134" i="9"/>
  <c r="Z134" i="9"/>
  <c r="T134" i="9"/>
  <c r="N134" i="9"/>
  <c r="V133" i="9"/>
  <c r="X133" i="9"/>
  <c r="P133" i="9"/>
  <c r="AD133" i="9"/>
  <c r="AB133" i="9"/>
  <c r="L133" i="9"/>
  <c r="AF133" i="9"/>
  <c r="R133" i="9"/>
  <c r="Z133" i="9"/>
  <c r="T133" i="9"/>
  <c r="N133" i="9"/>
  <c r="V132" i="9"/>
  <c r="X132" i="9"/>
  <c r="P132" i="9"/>
  <c r="AD132" i="9"/>
  <c r="AB132" i="9"/>
  <c r="L132" i="9"/>
  <c r="AF132" i="9"/>
  <c r="R132" i="9"/>
  <c r="Z132" i="9"/>
  <c r="T132" i="9"/>
  <c r="N132" i="9"/>
  <c r="V131" i="9"/>
  <c r="X131" i="9"/>
  <c r="P131" i="9"/>
  <c r="AD131" i="9"/>
  <c r="AB131" i="9"/>
  <c r="L131" i="9"/>
  <c r="AF131" i="9"/>
  <c r="R131" i="9"/>
  <c r="Z131" i="9"/>
  <c r="T131" i="9"/>
  <c r="N131" i="9"/>
  <c r="V130" i="9"/>
  <c r="X130" i="9"/>
  <c r="P130" i="9"/>
  <c r="AD130" i="9"/>
  <c r="AB130" i="9"/>
  <c r="L130" i="9"/>
  <c r="AF130" i="9"/>
  <c r="R130" i="9"/>
  <c r="Z130" i="9"/>
  <c r="T130" i="9"/>
  <c r="N130" i="9"/>
  <c r="V129" i="9"/>
  <c r="X129" i="9"/>
  <c r="P129" i="9"/>
  <c r="AD129" i="9"/>
  <c r="AB129" i="9"/>
  <c r="L129" i="9"/>
  <c r="AF129" i="9"/>
  <c r="R129" i="9"/>
  <c r="Z129" i="9"/>
  <c r="T129" i="9"/>
  <c r="N129" i="9"/>
  <c r="V128" i="9"/>
  <c r="X128" i="9"/>
  <c r="P128" i="9"/>
  <c r="AD128" i="9"/>
  <c r="AB128" i="9"/>
  <c r="L128" i="9"/>
  <c r="AF128" i="9"/>
  <c r="R128" i="9"/>
  <c r="Z128" i="9"/>
  <c r="T128" i="9"/>
  <c r="N128" i="9"/>
  <c r="V127" i="9"/>
  <c r="X127" i="9"/>
  <c r="P127" i="9"/>
  <c r="AD127" i="9"/>
  <c r="AB127" i="9"/>
  <c r="L127" i="9"/>
  <c r="AF127" i="9"/>
  <c r="R127" i="9"/>
  <c r="Z127" i="9"/>
  <c r="T127" i="9"/>
  <c r="N127" i="9"/>
  <c r="V126" i="9"/>
  <c r="X126" i="9"/>
  <c r="P126" i="9"/>
  <c r="AD126" i="9"/>
  <c r="AB126" i="9"/>
  <c r="L126" i="9"/>
  <c r="AF126" i="9"/>
  <c r="R126" i="9"/>
  <c r="Z126" i="9"/>
  <c r="T126" i="9"/>
  <c r="N126" i="9"/>
  <c r="V125" i="9"/>
  <c r="X125" i="9"/>
  <c r="P125" i="9"/>
  <c r="AD125" i="9"/>
  <c r="AB125" i="9"/>
  <c r="L125" i="9"/>
  <c r="AF125" i="9"/>
  <c r="R125" i="9"/>
  <c r="Z125" i="9"/>
  <c r="T125" i="9"/>
  <c r="N125" i="9"/>
  <c r="V124" i="9"/>
  <c r="X124" i="9"/>
  <c r="P124" i="9"/>
  <c r="AD124" i="9"/>
  <c r="AB124" i="9"/>
  <c r="L124" i="9"/>
  <c r="AF124" i="9"/>
  <c r="R124" i="9"/>
  <c r="Z124" i="9"/>
  <c r="T124" i="9"/>
  <c r="N124" i="9"/>
  <c r="V123" i="9"/>
  <c r="X123" i="9"/>
  <c r="P123" i="9"/>
  <c r="AD123" i="9"/>
  <c r="AB123" i="9"/>
  <c r="L123" i="9"/>
  <c r="AF123" i="9"/>
  <c r="R123" i="9"/>
  <c r="Z123" i="9"/>
  <c r="T123" i="9"/>
  <c r="N123" i="9"/>
  <c r="V122" i="9"/>
  <c r="X122" i="9"/>
  <c r="P122" i="9"/>
  <c r="AD122" i="9"/>
  <c r="AB122" i="9"/>
  <c r="L122" i="9"/>
  <c r="AF122" i="9"/>
  <c r="R122" i="9"/>
  <c r="Z122" i="9"/>
  <c r="T122" i="9"/>
  <c r="N122" i="9"/>
  <c r="P98" i="9"/>
  <c r="P97" i="9"/>
  <c r="V94" i="9"/>
  <c r="AD94" i="9"/>
  <c r="X94" i="9"/>
  <c r="T94" i="9"/>
  <c r="AB94" i="9"/>
  <c r="Z94" i="9"/>
  <c r="R94" i="9"/>
  <c r="L94" i="9"/>
  <c r="N94" i="9"/>
  <c r="P94" i="9"/>
  <c r="V93" i="9"/>
  <c r="AD93" i="9"/>
  <c r="X93" i="9"/>
  <c r="T93" i="9"/>
  <c r="AB93" i="9"/>
  <c r="Z93" i="9"/>
  <c r="R93" i="9"/>
  <c r="L93" i="9"/>
  <c r="N93" i="9"/>
  <c r="P93" i="9"/>
  <c r="V92" i="9"/>
  <c r="AD92" i="9"/>
  <c r="X92" i="9"/>
  <c r="T92" i="9"/>
  <c r="AB92" i="9"/>
  <c r="Z92" i="9"/>
  <c r="R92" i="9"/>
  <c r="L92" i="9"/>
  <c r="N92" i="9"/>
  <c r="P92" i="9"/>
  <c r="V91" i="9"/>
  <c r="AD91" i="9"/>
  <c r="X91" i="9"/>
  <c r="T91" i="9"/>
  <c r="AB91" i="9"/>
  <c r="Z91" i="9"/>
  <c r="R91" i="9"/>
  <c r="L91" i="9"/>
  <c r="N91" i="9"/>
  <c r="P91" i="9"/>
  <c r="V90" i="9"/>
  <c r="AD90" i="9"/>
  <c r="X90" i="9"/>
  <c r="T90" i="9"/>
  <c r="AB90" i="9"/>
  <c r="Z90" i="9"/>
  <c r="R90" i="9"/>
  <c r="L90" i="9"/>
  <c r="N90" i="9"/>
  <c r="P90" i="9"/>
  <c r="V89" i="9"/>
  <c r="AD89" i="9"/>
  <c r="X89" i="9"/>
  <c r="T89" i="9"/>
  <c r="AB89" i="9"/>
  <c r="Z89" i="9"/>
  <c r="R89" i="9"/>
  <c r="L89" i="9"/>
  <c r="N89" i="9"/>
  <c r="P89" i="9"/>
  <c r="V88" i="9"/>
  <c r="AD88" i="9"/>
  <c r="X88" i="9"/>
  <c r="T88" i="9"/>
  <c r="AB88" i="9"/>
  <c r="Z88" i="9"/>
  <c r="R88" i="9"/>
  <c r="L88" i="9"/>
  <c r="N88" i="9"/>
  <c r="P88" i="9"/>
  <c r="V87" i="9"/>
  <c r="AD87" i="9"/>
  <c r="X87" i="9"/>
  <c r="T87" i="9"/>
  <c r="Z87" i="9"/>
  <c r="R87" i="9"/>
  <c r="N87" i="9"/>
  <c r="P87" i="9"/>
  <c r="V86" i="9"/>
  <c r="AD86" i="9"/>
  <c r="X86" i="9"/>
  <c r="T86" i="9"/>
  <c r="AB86" i="9"/>
  <c r="Z86" i="9"/>
  <c r="R86" i="9"/>
  <c r="L86" i="9"/>
  <c r="N86" i="9"/>
  <c r="P86" i="9"/>
  <c r="V85" i="9"/>
  <c r="AD85" i="9"/>
  <c r="X85" i="9"/>
  <c r="T85" i="9"/>
  <c r="AB85" i="9"/>
  <c r="Z85" i="9"/>
  <c r="R85" i="9"/>
  <c r="L85" i="9"/>
  <c r="N85" i="9"/>
  <c r="P85" i="9"/>
  <c r="V84" i="9"/>
  <c r="AD84" i="9"/>
  <c r="X84" i="9"/>
  <c r="T84" i="9"/>
  <c r="AB84" i="9"/>
  <c r="Z84" i="9"/>
  <c r="R84" i="9"/>
  <c r="L84" i="9"/>
  <c r="N84" i="9"/>
  <c r="P84" i="9"/>
  <c r="AD83" i="9"/>
  <c r="X83" i="9"/>
  <c r="T83" i="9"/>
  <c r="AB83" i="9"/>
  <c r="Z83" i="9"/>
  <c r="R83" i="9"/>
  <c r="L83" i="9"/>
  <c r="N83" i="9"/>
  <c r="P83" i="9"/>
  <c r="V82" i="9"/>
  <c r="AD82" i="9"/>
  <c r="X82" i="9"/>
  <c r="T82" i="9"/>
  <c r="AB82" i="9"/>
  <c r="Z82" i="9"/>
  <c r="R82" i="9"/>
  <c r="L82" i="9"/>
  <c r="N82" i="9"/>
  <c r="P82" i="9"/>
  <c r="V81" i="9"/>
  <c r="AD81" i="9"/>
  <c r="X81" i="9"/>
  <c r="T81" i="9"/>
  <c r="AB81" i="9"/>
  <c r="Z81" i="9"/>
  <c r="R81" i="9"/>
  <c r="L81" i="9"/>
  <c r="N81" i="9"/>
  <c r="P81" i="9"/>
  <c r="V80" i="9"/>
  <c r="AD80" i="9"/>
  <c r="X80" i="9"/>
  <c r="T80" i="9"/>
  <c r="AB80" i="9"/>
  <c r="Z80" i="9"/>
  <c r="R80" i="9"/>
  <c r="L80" i="9"/>
  <c r="N80" i="9"/>
  <c r="P80" i="9"/>
  <c r="V78" i="9"/>
  <c r="AD78" i="9"/>
  <c r="X78" i="9"/>
  <c r="T78" i="9"/>
  <c r="AB78" i="9"/>
  <c r="Z78" i="9"/>
  <c r="R78" i="9"/>
  <c r="L78" i="9"/>
  <c r="N78" i="9"/>
  <c r="P78" i="9"/>
  <c r="V77" i="9"/>
  <c r="AD77" i="9"/>
  <c r="X77" i="9"/>
  <c r="T77" i="9"/>
  <c r="AB77" i="9"/>
  <c r="Z77" i="9"/>
  <c r="R77" i="9"/>
  <c r="L77" i="9"/>
  <c r="N77" i="9"/>
  <c r="P77" i="9"/>
  <c r="V76" i="9"/>
  <c r="AD76" i="9"/>
  <c r="X76" i="9"/>
  <c r="T76" i="9"/>
  <c r="AB76" i="9"/>
  <c r="Z76" i="9"/>
  <c r="R76" i="9"/>
  <c r="L76" i="9"/>
  <c r="N76" i="9"/>
  <c r="P76" i="9"/>
  <c r="V75" i="9"/>
  <c r="AD75" i="9"/>
  <c r="X75" i="9"/>
  <c r="T75" i="9"/>
  <c r="AB75" i="9"/>
  <c r="Z75" i="9"/>
  <c r="R75" i="9"/>
  <c r="L75" i="9"/>
  <c r="N75" i="9"/>
  <c r="P75" i="9"/>
  <c r="V74" i="9"/>
  <c r="AD74" i="9"/>
  <c r="X74" i="9"/>
  <c r="T74" i="9"/>
  <c r="AB74" i="9"/>
  <c r="Z74" i="9"/>
  <c r="R74" i="9"/>
  <c r="L74" i="9"/>
  <c r="N74" i="9"/>
  <c r="P74" i="9"/>
  <c r="V73" i="9"/>
  <c r="AD73" i="9"/>
  <c r="X73" i="9"/>
  <c r="T73" i="9"/>
  <c r="AB73" i="9"/>
  <c r="Z73" i="9"/>
  <c r="R73" i="9"/>
  <c r="L73" i="9"/>
  <c r="N73" i="9"/>
  <c r="P73" i="9"/>
  <c r="V72" i="9"/>
  <c r="AD72" i="9"/>
  <c r="X72" i="9"/>
  <c r="T72" i="9"/>
  <c r="AB72" i="9"/>
  <c r="Z72" i="9"/>
  <c r="R72" i="9"/>
  <c r="L72" i="9"/>
  <c r="N72" i="9"/>
  <c r="P72" i="9"/>
  <c r="V71" i="9"/>
  <c r="AD71" i="9"/>
  <c r="X71" i="9"/>
  <c r="T71" i="9"/>
  <c r="AB71" i="9"/>
  <c r="Z71" i="9"/>
  <c r="R71" i="9"/>
  <c r="L71" i="9"/>
  <c r="N71" i="9"/>
  <c r="P71" i="9"/>
  <c r="V70" i="9"/>
  <c r="AD70" i="9"/>
  <c r="X70" i="9"/>
  <c r="T70" i="9"/>
  <c r="AB70" i="9"/>
  <c r="Z70" i="9"/>
  <c r="R70" i="9"/>
  <c r="L70" i="9"/>
  <c r="N70" i="9"/>
  <c r="P70" i="9"/>
  <c r="V69" i="9"/>
  <c r="AD69" i="9"/>
  <c r="X69" i="9"/>
  <c r="T69" i="9"/>
  <c r="AB69" i="9"/>
  <c r="Z69" i="9"/>
  <c r="R69" i="9"/>
  <c r="L69" i="9"/>
  <c r="N69" i="9"/>
  <c r="P69" i="9"/>
  <c r="V68" i="9"/>
  <c r="AD68" i="9"/>
  <c r="X68" i="9"/>
  <c r="T68" i="9"/>
  <c r="AB68" i="9"/>
  <c r="Z68" i="9"/>
  <c r="R68" i="9"/>
  <c r="L68" i="9"/>
  <c r="N68" i="9"/>
  <c r="P68" i="9"/>
  <c r="V67" i="9"/>
  <c r="AD67" i="9"/>
  <c r="X67" i="9"/>
  <c r="T67" i="9"/>
  <c r="AB67" i="9"/>
  <c r="Z67" i="9"/>
  <c r="R67" i="9"/>
  <c r="L67" i="9"/>
  <c r="N67" i="9"/>
  <c r="P67" i="9"/>
  <c r="V66" i="9"/>
  <c r="AD66" i="9"/>
  <c r="X66" i="9"/>
  <c r="T66" i="9"/>
  <c r="AB66" i="9"/>
  <c r="Z66" i="9"/>
  <c r="R66" i="9"/>
  <c r="L66" i="9"/>
  <c r="N66" i="9"/>
  <c r="P66" i="9"/>
  <c r="V65" i="9"/>
  <c r="AD65" i="9"/>
  <c r="X65" i="9"/>
  <c r="T65" i="9"/>
  <c r="AB65" i="9"/>
  <c r="Z65" i="9"/>
  <c r="R65" i="9"/>
  <c r="L65" i="9"/>
  <c r="N65" i="9"/>
  <c r="P65" i="9"/>
  <c r="V64" i="9"/>
  <c r="AD64" i="9"/>
  <c r="X64" i="9"/>
  <c r="T64" i="9"/>
  <c r="AB64" i="9"/>
  <c r="Z64" i="9"/>
  <c r="R64" i="9"/>
  <c r="L64" i="9"/>
  <c r="N64" i="9"/>
  <c r="P64" i="9"/>
  <c r="V63" i="9"/>
  <c r="AD63" i="9"/>
  <c r="X63" i="9"/>
  <c r="T63" i="9"/>
  <c r="AB63" i="9"/>
  <c r="Z63" i="9"/>
  <c r="R63" i="9"/>
  <c r="L63" i="9"/>
  <c r="N63" i="9"/>
  <c r="P63" i="9"/>
  <c r="V62" i="9"/>
  <c r="AD62" i="9"/>
  <c r="X62" i="9"/>
  <c r="T62" i="9"/>
  <c r="AB62" i="9"/>
  <c r="Z62" i="9"/>
  <c r="R62" i="9"/>
  <c r="L62" i="9"/>
  <c r="N62" i="9"/>
  <c r="P62" i="9"/>
  <c r="V61" i="9"/>
  <c r="AD61" i="9"/>
  <c r="X61" i="9"/>
  <c r="T61" i="9"/>
  <c r="AB61" i="9"/>
  <c r="Z61" i="9"/>
  <c r="R61" i="9"/>
  <c r="L61" i="9"/>
  <c r="N61" i="9"/>
  <c r="P61" i="9"/>
  <c r="V60" i="9"/>
  <c r="AD60" i="9"/>
  <c r="X60" i="9"/>
  <c r="T60" i="9"/>
  <c r="AB60" i="9"/>
  <c r="Z60" i="9"/>
  <c r="R60" i="9"/>
  <c r="L60" i="9"/>
  <c r="N60" i="9"/>
  <c r="P60" i="9"/>
  <c r="V59" i="9"/>
  <c r="AD59" i="9"/>
  <c r="X59" i="9"/>
  <c r="T59" i="9"/>
  <c r="AB59" i="9"/>
  <c r="Z59" i="9"/>
  <c r="R59" i="9"/>
  <c r="L59" i="9"/>
  <c r="N59" i="9"/>
  <c r="P59" i="9"/>
  <c r="V58" i="9"/>
  <c r="AD58" i="9"/>
  <c r="X58" i="9"/>
  <c r="T58" i="9"/>
  <c r="AB58" i="9"/>
  <c r="Z58" i="9"/>
  <c r="R58" i="9"/>
  <c r="L58" i="9"/>
  <c r="N58" i="9"/>
  <c r="P58" i="9"/>
  <c r="V57" i="9"/>
  <c r="AD57" i="9"/>
  <c r="X57" i="9"/>
  <c r="T57" i="9"/>
  <c r="AB57" i="9"/>
  <c r="Z57" i="9"/>
  <c r="R57" i="9"/>
  <c r="L57" i="9"/>
  <c r="N57" i="9"/>
  <c r="P57" i="9"/>
  <c r="V56" i="9"/>
  <c r="AD56" i="9"/>
  <c r="X56" i="9"/>
  <c r="T56" i="9"/>
  <c r="AB56" i="9"/>
  <c r="Z56" i="9"/>
  <c r="R56" i="9"/>
  <c r="L56" i="9"/>
  <c r="N56" i="9"/>
  <c r="P56" i="9"/>
  <c r="V55" i="9"/>
  <c r="AD55" i="9"/>
  <c r="X55" i="9"/>
  <c r="T55" i="9"/>
  <c r="AB55" i="9"/>
  <c r="Z55" i="9"/>
  <c r="R55" i="9"/>
  <c r="L55" i="9"/>
  <c r="N55" i="9"/>
  <c r="P55" i="9"/>
  <c r="V54" i="9"/>
  <c r="AD54" i="9"/>
  <c r="X54" i="9"/>
  <c r="T54" i="9"/>
  <c r="AB54" i="9"/>
  <c r="Z54" i="9"/>
  <c r="R54" i="9"/>
  <c r="L54" i="9"/>
  <c r="N54" i="9"/>
  <c r="P54" i="9"/>
  <c r="V52" i="9"/>
  <c r="AD52" i="9"/>
  <c r="X52" i="9"/>
  <c r="T52" i="9"/>
  <c r="AB52" i="9"/>
  <c r="Z52" i="9"/>
  <c r="R52" i="9"/>
  <c r="L52" i="9"/>
  <c r="N52" i="9"/>
  <c r="P52" i="9"/>
  <c r="V51" i="9"/>
  <c r="AD51" i="9"/>
  <c r="X51" i="9"/>
  <c r="T51" i="9"/>
  <c r="AB51" i="9"/>
  <c r="Z51" i="9"/>
  <c r="R51" i="9"/>
  <c r="L51" i="9"/>
  <c r="N51" i="9"/>
  <c r="P51" i="9"/>
  <c r="V50" i="9"/>
  <c r="AD50" i="9"/>
  <c r="X50" i="9"/>
  <c r="T50" i="9"/>
  <c r="AB50" i="9"/>
  <c r="Z50" i="9"/>
  <c r="R50" i="9"/>
  <c r="L50" i="9"/>
  <c r="N50" i="9"/>
  <c r="P50" i="9"/>
  <c r="V49" i="9"/>
  <c r="AD49" i="9"/>
  <c r="X49" i="9"/>
  <c r="T49" i="9"/>
  <c r="AB49" i="9"/>
  <c r="Z49" i="9"/>
  <c r="R49" i="9"/>
  <c r="L49" i="9"/>
  <c r="N49" i="9"/>
  <c r="P49" i="9"/>
  <c r="V48" i="9"/>
  <c r="AD48" i="9"/>
  <c r="X48" i="9"/>
  <c r="T48" i="9"/>
  <c r="AB48" i="9"/>
  <c r="Z48" i="9"/>
  <c r="R48" i="9"/>
  <c r="L48" i="9"/>
  <c r="N48" i="9"/>
  <c r="P48" i="9"/>
  <c r="V47" i="9"/>
  <c r="AD47" i="9"/>
  <c r="X47" i="9"/>
  <c r="T47" i="9"/>
  <c r="AB47" i="9"/>
  <c r="Z47" i="9"/>
  <c r="R47" i="9"/>
  <c r="L47" i="9"/>
  <c r="N47" i="9"/>
  <c r="P47" i="9"/>
  <c r="V46" i="9"/>
  <c r="AD46" i="9"/>
  <c r="X46" i="9"/>
  <c r="T46" i="9"/>
  <c r="AB46" i="9"/>
  <c r="Z46" i="9"/>
  <c r="R46" i="9"/>
  <c r="L46" i="9"/>
  <c r="N46" i="9"/>
  <c r="P46" i="9"/>
  <c r="V45" i="9"/>
  <c r="AD45" i="9"/>
  <c r="X45" i="9"/>
  <c r="T45" i="9"/>
  <c r="AB45" i="9"/>
  <c r="Z45" i="9"/>
  <c r="R45" i="9"/>
  <c r="L45" i="9"/>
  <c r="N45" i="9"/>
  <c r="P45" i="9"/>
  <c r="V44" i="9"/>
  <c r="AD44" i="9"/>
  <c r="X44" i="9"/>
  <c r="T44" i="9"/>
  <c r="AB44" i="9"/>
  <c r="Z44" i="9"/>
  <c r="R44" i="9"/>
  <c r="L44" i="9"/>
  <c r="N44" i="9"/>
  <c r="P44" i="9"/>
  <c r="V43" i="9"/>
  <c r="AD43" i="9"/>
  <c r="X43" i="9"/>
  <c r="T43" i="9"/>
  <c r="AB43" i="9"/>
  <c r="Z43" i="9"/>
  <c r="R43" i="9"/>
  <c r="L43" i="9"/>
  <c r="N43" i="9"/>
  <c r="P43" i="9"/>
  <c r="V42" i="9"/>
  <c r="AD42" i="9"/>
  <c r="X42" i="9"/>
  <c r="T42" i="9"/>
  <c r="AB42" i="9"/>
  <c r="Z42" i="9"/>
  <c r="R42" i="9"/>
  <c r="L42" i="9"/>
  <c r="N42" i="9"/>
  <c r="P42" i="9"/>
  <c r="V41" i="9"/>
  <c r="AD41" i="9"/>
  <c r="X41" i="9"/>
  <c r="T41" i="9"/>
  <c r="AB41" i="9"/>
  <c r="Z41" i="9"/>
  <c r="R41" i="9"/>
  <c r="L41" i="9"/>
  <c r="N41" i="9"/>
  <c r="P41" i="9"/>
  <c r="AD40" i="9"/>
  <c r="X40" i="9"/>
  <c r="T40" i="9"/>
  <c r="AB40" i="9"/>
  <c r="Z40" i="9"/>
  <c r="R40" i="9"/>
  <c r="L40" i="9"/>
  <c r="N40" i="9"/>
  <c r="P40" i="9"/>
  <c r="V39" i="9"/>
  <c r="AD39" i="9"/>
  <c r="X39" i="9"/>
  <c r="T39" i="9"/>
  <c r="AB39" i="9"/>
  <c r="Z39" i="9"/>
  <c r="R39" i="9"/>
  <c r="L39" i="9"/>
  <c r="N39" i="9"/>
  <c r="P39" i="9"/>
  <c r="V38" i="9"/>
  <c r="AD38" i="9"/>
  <c r="X38" i="9"/>
  <c r="T38" i="9"/>
  <c r="AB38" i="9"/>
  <c r="Z38" i="9"/>
  <c r="R38" i="9"/>
  <c r="L38" i="9"/>
  <c r="N38" i="9"/>
  <c r="P38" i="9"/>
  <c r="V37" i="9"/>
  <c r="AD37" i="9"/>
  <c r="X37" i="9"/>
  <c r="T37" i="9"/>
  <c r="AB37" i="9"/>
  <c r="Z37" i="9"/>
  <c r="R37" i="9"/>
  <c r="L37" i="9"/>
  <c r="N37" i="9"/>
  <c r="P37" i="9"/>
  <c r="V36" i="9"/>
  <c r="AD36" i="9"/>
  <c r="X36" i="9"/>
  <c r="T36" i="9"/>
  <c r="AB36" i="9"/>
  <c r="Z36" i="9"/>
  <c r="R36" i="9"/>
  <c r="L36" i="9"/>
  <c r="N36" i="9"/>
  <c r="P36" i="9"/>
  <c r="V35" i="9"/>
  <c r="AD35" i="9"/>
  <c r="X35" i="9"/>
  <c r="T35" i="9"/>
  <c r="AB35" i="9"/>
  <c r="Z35" i="9"/>
  <c r="R35" i="9"/>
  <c r="L35" i="9"/>
  <c r="N35" i="9"/>
  <c r="P35" i="9"/>
  <c r="V34" i="9"/>
  <c r="AD34" i="9"/>
  <c r="X34" i="9"/>
  <c r="T34" i="9"/>
  <c r="AB34" i="9"/>
  <c r="Z34" i="9"/>
  <c r="R34" i="9"/>
  <c r="L34" i="9"/>
  <c r="N34" i="9"/>
  <c r="P34" i="9"/>
  <c r="V33" i="9"/>
  <c r="AD33" i="9"/>
  <c r="X33" i="9"/>
  <c r="T33" i="9"/>
  <c r="AB33" i="9"/>
  <c r="Z33" i="9"/>
  <c r="R33" i="9"/>
  <c r="L33" i="9"/>
  <c r="N33" i="9"/>
  <c r="P33" i="9"/>
  <c r="V32" i="9"/>
  <c r="AD32" i="9"/>
  <c r="X32" i="9"/>
  <c r="T32" i="9"/>
  <c r="AB32" i="9"/>
  <c r="Z32" i="9"/>
  <c r="R32" i="9"/>
  <c r="L32" i="9"/>
  <c r="N32" i="9"/>
  <c r="P32" i="9"/>
  <c r="V31" i="9"/>
  <c r="AD31" i="9"/>
  <c r="X31" i="9"/>
  <c r="T31" i="9"/>
  <c r="AB31" i="9"/>
  <c r="Z31" i="9"/>
  <c r="R31" i="9"/>
  <c r="L31" i="9"/>
  <c r="N31" i="9"/>
  <c r="P31" i="9"/>
  <c r="V30" i="9"/>
  <c r="AD30" i="9"/>
  <c r="X30" i="9"/>
  <c r="T30" i="9"/>
  <c r="AB30" i="9"/>
  <c r="Z30" i="9"/>
  <c r="R30" i="9"/>
  <c r="L30" i="9"/>
  <c r="N30" i="9"/>
  <c r="P30" i="9"/>
  <c r="V29" i="9"/>
  <c r="AD29" i="9"/>
  <c r="X29" i="9"/>
  <c r="T29" i="9"/>
  <c r="AB29" i="9"/>
  <c r="Z29" i="9"/>
  <c r="R29" i="9"/>
  <c r="L29" i="9"/>
  <c r="N29" i="9"/>
  <c r="P29" i="9"/>
  <c r="V28" i="9"/>
  <c r="AD28" i="9"/>
  <c r="X28" i="9"/>
  <c r="T28" i="9"/>
  <c r="AB28" i="9"/>
  <c r="Z28" i="9"/>
  <c r="R28" i="9"/>
  <c r="L28" i="9"/>
  <c r="N28" i="9"/>
  <c r="P28" i="9"/>
  <c r="V27" i="9"/>
  <c r="AD27" i="9"/>
  <c r="X27" i="9"/>
  <c r="T27" i="9"/>
  <c r="AB27" i="9"/>
  <c r="Z27" i="9"/>
  <c r="R27" i="9"/>
  <c r="L27" i="9"/>
  <c r="N27" i="9"/>
  <c r="P27" i="9"/>
  <c r="V26" i="9"/>
  <c r="AD26" i="9"/>
  <c r="X26" i="9"/>
  <c r="T26" i="9"/>
  <c r="AB26" i="9"/>
  <c r="Z26" i="9"/>
  <c r="R26" i="9"/>
  <c r="L26" i="9"/>
  <c r="N26" i="9"/>
  <c r="P26" i="9"/>
  <c r="V25" i="9"/>
  <c r="AD25" i="9"/>
  <c r="X25" i="9"/>
  <c r="T25" i="9"/>
  <c r="AB25" i="9"/>
  <c r="Z25" i="9"/>
  <c r="R25" i="9"/>
  <c r="L25" i="9"/>
  <c r="N25" i="9"/>
  <c r="P25" i="9"/>
  <c r="V24" i="9"/>
  <c r="AD24" i="9"/>
  <c r="X24" i="9"/>
  <c r="T24" i="9"/>
  <c r="AB24" i="9"/>
  <c r="Z24" i="9"/>
  <c r="R24" i="9"/>
  <c r="L24" i="9"/>
  <c r="N24" i="9"/>
  <c r="P24" i="9"/>
  <c r="V23" i="9"/>
  <c r="AD23" i="9"/>
  <c r="X23" i="9"/>
  <c r="T23" i="9"/>
  <c r="AB23" i="9"/>
  <c r="Z23" i="9"/>
  <c r="R23" i="9"/>
  <c r="L23" i="9"/>
  <c r="N23" i="9"/>
  <c r="P23" i="9"/>
  <c r="V22" i="9"/>
  <c r="AD22" i="9"/>
  <c r="X22" i="9"/>
  <c r="T22" i="9"/>
  <c r="AB22" i="9"/>
  <c r="Z22" i="9"/>
  <c r="R22" i="9"/>
  <c r="L22" i="9"/>
  <c r="N22" i="9"/>
  <c r="P22" i="9"/>
  <c r="V21" i="9"/>
  <c r="AD21" i="9"/>
  <c r="X21" i="9"/>
  <c r="T21" i="9"/>
  <c r="AB21" i="9"/>
  <c r="Z21" i="9"/>
  <c r="R21" i="9"/>
  <c r="L21" i="9"/>
  <c r="N21" i="9"/>
  <c r="P21" i="9"/>
  <c r="V20" i="9"/>
  <c r="AD20" i="9"/>
  <c r="X20" i="9"/>
  <c r="T20" i="9"/>
  <c r="AB20" i="9"/>
  <c r="Z20" i="9"/>
  <c r="R20" i="9"/>
  <c r="L20" i="9"/>
  <c r="N20" i="9"/>
  <c r="P20" i="9"/>
  <c r="V19" i="9"/>
  <c r="AD19" i="9"/>
  <c r="X19" i="9"/>
  <c r="T19" i="9"/>
  <c r="AB19" i="9"/>
  <c r="Z19" i="9"/>
  <c r="R19" i="9"/>
  <c r="L19" i="9"/>
  <c r="N19" i="9"/>
  <c r="P19" i="9"/>
  <c r="V18" i="9"/>
  <c r="AD18" i="9"/>
  <c r="X18" i="9"/>
  <c r="T18" i="9"/>
  <c r="AB18" i="9"/>
  <c r="Z18" i="9"/>
  <c r="R18" i="9"/>
  <c r="L18" i="9"/>
  <c r="N18" i="9"/>
  <c r="P18" i="9"/>
  <c r="V17" i="9"/>
  <c r="AD17" i="9"/>
  <c r="X17" i="9"/>
  <c r="T17" i="9"/>
  <c r="AB17" i="9"/>
  <c r="Z17" i="9"/>
  <c r="R17" i="9"/>
  <c r="L17" i="9"/>
  <c r="N17" i="9"/>
  <c r="P17" i="9"/>
  <c r="V16" i="9"/>
  <c r="AD16" i="9"/>
  <c r="X16" i="9"/>
  <c r="T16" i="9"/>
  <c r="AB16" i="9"/>
  <c r="Z16" i="9"/>
  <c r="R16" i="9"/>
  <c r="L16" i="9"/>
  <c r="N16" i="9"/>
  <c r="P16" i="9"/>
  <c r="V15" i="9"/>
  <c r="AD15" i="9"/>
  <c r="X15" i="9"/>
  <c r="T15" i="9"/>
  <c r="AB15" i="9"/>
  <c r="Z15" i="9"/>
  <c r="R15" i="9"/>
  <c r="L15" i="9"/>
  <c r="N15" i="9"/>
  <c r="P15" i="9"/>
  <c r="V14" i="9"/>
  <c r="AD14" i="9"/>
  <c r="X14" i="9"/>
  <c r="T14" i="9"/>
  <c r="AB14" i="9"/>
  <c r="Z14" i="9"/>
  <c r="R14" i="9"/>
  <c r="L14" i="9"/>
  <c r="N14" i="9"/>
  <c r="P14" i="9"/>
  <c r="V13" i="9"/>
  <c r="AD13" i="9"/>
  <c r="X13" i="9"/>
  <c r="T13" i="9"/>
  <c r="AB13" i="9"/>
  <c r="Z13" i="9"/>
  <c r="R13" i="9"/>
  <c r="L13" i="9"/>
  <c r="N13" i="9"/>
  <c r="P13" i="9"/>
  <c r="V12" i="9"/>
  <c r="AD12" i="9"/>
  <c r="X12" i="9"/>
  <c r="T12" i="9"/>
  <c r="AB12" i="9"/>
  <c r="Z12" i="9"/>
  <c r="R12" i="9"/>
  <c r="L12" i="9"/>
  <c r="N12" i="9"/>
  <c r="P12" i="9"/>
  <c r="V11" i="9"/>
  <c r="AD11" i="9"/>
  <c r="X11" i="9"/>
  <c r="T11" i="9"/>
  <c r="AB11" i="9"/>
  <c r="Z11" i="9"/>
  <c r="R11" i="9"/>
  <c r="L11" i="9"/>
  <c r="N11" i="9"/>
  <c r="P11" i="9"/>
  <c r="AO45" i="7"/>
  <c r="AO46" i="7"/>
  <c r="AP46" i="7"/>
  <c r="U45" i="7"/>
  <c r="U46" i="7"/>
  <c r="V46" i="7"/>
  <c r="AC45" i="7"/>
  <c r="AC46" i="7"/>
  <c r="AD46" i="7"/>
  <c r="W45" i="7"/>
  <c r="W46" i="7"/>
  <c r="X46" i="7"/>
  <c r="S45" i="7"/>
  <c r="S46" i="7"/>
  <c r="T46" i="7"/>
  <c r="AA45" i="7"/>
  <c r="AA46" i="7"/>
  <c r="AB46" i="7"/>
  <c r="AQ45" i="7"/>
  <c r="AQ46" i="7"/>
  <c r="AR46" i="7"/>
  <c r="AI45" i="7"/>
  <c r="AI46" i="7"/>
  <c r="AJ46" i="7"/>
  <c r="AW45" i="7"/>
  <c r="AW46" i="7"/>
  <c r="AX46" i="7"/>
  <c r="Y45" i="7"/>
  <c r="Y46" i="7"/>
  <c r="Z46" i="7"/>
  <c r="Q45" i="7"/>
  <c r="Q46" i="7"/>
  <c r="R46" i="7"/>
  <c r="AU45" i="7"/>
  <c r="AU46" i="7"/>
  <c r="AV46" i="7"/>
  <c r="AE45" i="7"/>
  <c r="AE46" i="7"/>
  <c r="AF46" i="7"/>
  <c r="K45" i="7"/>
  <c r="K46" i="7"/>
  <c r="L46" i="7"/>
  <c r="M45" i="7"/>
  <c r="M46" i="7"/>
  <c r="N46" i="7"/>
  <c r="O45" i="7"/>
  <c r="O46" i="7"/>
  <c r="P46" i="7"/>
  <c r="AY46" i="7"/>
  <c r="AK45" i="7"/>
  <c r="AK46" i="7"/>
  <c r="AL46" i="7"/>
  <c r="AS45" i="7"/>
  <c r="AS46" i="7"/>
  <c r="AT46" i="7"/>
  <c r="AM45" i="7"/>
  <c r="AM46" i="7"/>
  <c r="AN46" i="7"/>
  <c r="AG45" i="7"/>
  <c r="AG46" i="7"/>
  <c r="AH46" i="7"/>
  <c r="H45" i="7"/>
  <c r="AP45" i="7"/>
  <c r="V45" i="7"/>
  <c r="AD45" i="7"/>
  <c r="X45" i="7"/>
  <c r="T45" i="7"/>
  <c r="AB45" i="7"/>
  <c r="AR45" i="7"/>
  <c r="AJ45" i="7"/>
  <c r="AX45" i="7"/>
  <c r="Z45" i="7"/>
  <c r="R45" i="7"/>
  <c r="AV45" i="7"/>
  <c r="AF45" i="7"/>
  <c r="L45" i="7"/>
  <c r="N45" i="7"/>
  <c r="P45" i="7"/>
  <c r="AY45" i="7"/>
  <c r="AZ45" i="7"/>
  <c r="AL45" i="7"/>
  <c r="AT45" i="7"/>
  <c r="AN45" i="7"/>
  <c r="AH45" i="7"/>
  <c r="AP42" i="7"/>
  <c r="V42" i="7"/>
  <c r="AD42" i="7"/>
  <c r="X42" i="7"/>
  <c r="T42" i="7"/>
  <c r="AB42" i="7"/>
  <c r="AR42" i="7"/>
  <c r="AJ42" i="7"/>
  <c r="AX42" i="7"/>
  <c r="Z42" i="7"/>
  <c r="R42" i="7"/>
  <c r="AV42" i="7"/>
  <c r="AF42" i="7"/>
  <c r="L42" i="7"/>
  <c r="N42" i="7"/>
  <c r="P42" i="7"/>
  <c r="AZ42" i="7"/>
  <c r="AL42" i="7"/>
  <c r="AT42" i="7"/>
  <c r="AN42" i="7"/>
  <c r="AH42" i="7"/>
  <c r="AP41" i="7"/>
  <c r="V41" i="7"/>
  <c r="AD41" i="7"/>
  <c r="X41" i="7"/>
  <c r="T41" i="7"/>
  <c r="AB41" i="7"/>
  <c r="AR41" i="7"/>
  <c r="AJ41" i="7"/>
  <c r="AX41" i="7"/>
  <c r="Z41" i="7"/>
  <c r="R41" i="7"/>
  <c r="AV41" i="7"/>
  <c r="AF41" i="7"/>
  <c r="L41" i="7"/>
  <c r="N41" i="7"/>
  <c r="P41" i="7"/>
  <c r="AZ41" i="7"/>
  <c r="AL41" i="7"/>
  <c r="AT41" i="7"/>
  <c r="AN41" i="7"/>
  <c r="AH41" i="7"/>
  <c r="AP40" i="7"/>
  <c r="V40" i="7"/>
  <c r="AD40" i="7"/>
  <c r="X40" i="7"/>
  <c r="T40" i="7"/>
  <c r="AR40" i="7"/>
  <c r="AJ40" i="7"/>
  <c r="AX40" i="7"/>
  <c r="Z40" i="7"/>
  <c r="R40" i="7"/>
  <c r="AV40" i="7"/>
  <c r="AF40" i="7"/>
  <c r="N40" i="7"/>
  <c r="P40" i="7"/>
  <c r="AZ40" i="7"/>
  <c r="AL40" i="7"/>
  <c r="AT40" i="7"/>
  <c r="AN40" i="7"/>
  <c r="AH40" i="7"/>
  <c r="AP39" i="7"/>
  <c r="V39" i="7"/>
  <c r="AD39" i="7"/>
  <c r="X39" i="7"/>
  <c r="T39" i="7"/>
  <c r="AB39" i="7"/>
  <c r="AR39" i="7"/>
  <c r="AJ39" i="7"/>
  <c r="AX39" i="7"/>
  <c r="Z39" i="7"/>
  <c r="R39" i="7"/>
  <c r="AV39" i="7"/>
  <c r="AF39" i="7"/>
  <c r="L39" i="7"/>
  <c r="N39" i="7"/>
  <c r="P39" i="7"/>
  <c r="AZ39" i="7"/>
  <c r="AL39" i="7"/>
  <c r="AT39" i="7"/>
  <c r="AN39" i="7"/>
  <c r="AP38" i="7"/>
  <c r="V38" i="7"/>
  <c r="AD38" i="7"/>
  <c r="X38" i="7"/>
  <c r="T38" i="7"/>
  <c r="AB38" i="7"/>
  <c r="AR38" i="7"/>
  <c r="AJ38" i="7"/>
  <c r="AX38" i="7"/>
  <c r="Z38" i="7"/>
  <c r="R38" i="7"/>
  <c r="AV38" i="7"/>
  <c r="AF38" i="7"/>
  <c r="L38" i="7"/>
  <c r="N38" i="7"/>
  <c r="P38" i="7"/>
  <c r="AZ38" i="7"/>
  <c r="AL38" i="7"/>
  <c r="AT38" i="7"/>
  <c r="AN38" i="7"/>
  <c r="AH38" i="7"/>
  <c r="AP37" i="7"/>
  <c r="V37" i="7"/>
  <c r="AD37" i="7"/>
  <c r="X37" i="7"/>
  <c r="T37" i="7"/>
  <c r="AB37" i="7"/>
  <c r="AR37" i="7"/>
  <c r="AJ37" i="7"/>
  <c r="AX37" i="7"/>
  <c r="Z37" i="7"/>
  <c r="R37" i="7"/>
  <c r="AV37" i="7"/>
  <c r="AF37" i="7"/>
  <c r="L37" i="7"/>
  <c r="N37" i="7"/>
  <c r="P37" i="7"/>
  <c r="AZ37" i="7"/>
  <c r="AL37" i="7"/>
  <c r="AT37" i="7"/>
  <c r="AN37" i="7"/>
  <c r="AH37" i="7"/>
  <c r="AP36" i="7"/>
  <c r="V36" i="7"/>
  <c r="AD36" i="7"/>
  <c r="X36" i="7"/>
  <c r="T36" i="7"/>
  <c r="AB36" i="7"/>
  <c r="AR36" i="7"/>
  <c r="AJ36" i="7"/>
  <c r="AX36" i="7"/>
  <c r="Z36" i="7"/>
  <c r="R36" i="7"/>
  <c r="AV36" i="7"/>
  <c r="AF36" i="7"/>
  <c r="L36" i="7"/>
  <c r="N36" i="7"/>
  <c r="P36" i="7"/>
  <c r="AZ36" i="7"/>
  <c r="AL36" i="7"/>
  <c r="AT36" i="7"/>
  <c r="AN36" i="7"/>
  <c r="AH36" i="7"/>
  <c r="AP35" i="7"/>
  <c r="V35" i="7"/>
  <c r="AD35" i="7"/>
  <c r="X35" i="7"/>
  <c r="T35" i="7"/>
  <c r="AB35" i="7"/>
  <c r="AR35" i="7"/>
  <c r="AJ35" i="7"/>
  <c r="AX35" i="7"/>
  <c r="Z35" i="7"/>
  <c r="R35" i="7"/>
  <c r="AV35" i="7"/>
  <c r="AF35" i="7"/>
  <c r="L35" i="7"/>
  <c r="N35" i="7"/>
  <c r="P35" i="7"/>
  <c r="AZ35" i="7"/>
  <c r="AL35" i="7"/>
  <c r="AT35" i="7"/>
  <c r="AN35" i="7"/>
  <c r="AH35" i="7"/>
  <c r="AP34" i="7"/>
  <c r="V34" i="7"/>
  <c r="AD34" i="7"/>
  <c r="X34" i="7"/>
  <c r="T34" i="7"/>
  <c r="AB34" i="7"/>
  <c r="AR34" i="7"/>
  <c r="AJ34" i="7"/>
  <c r="AX34" i="7"/>
  <c r="Z34" i="7"/>
  <c r="R34" i="7"/>
  <c r="AV34" i="7"/>
  <c r="AF34" i="7"/>
  <c r="L34" i="7"/>
  <c r="N34" i="7"/>
  <c r="P34" i="7"/>
  <c r="AZ34" i="7"/>
  <c r="AL34" i="7"/>
  <c r="AT34" i="7"/>
  <c r="AN34" i="7"/>
  <c r="AH34" i="7"/>
  <c r="AP33" i="7"/>
  <c r="V33" i="7"/>
  <c r="AD33" i="7"/>
  <c r="X33" i="7"/>
  <c r="T33" i="7"/>
  <c r="AB33" i="7"/>
  <c r="AR33" i="7"/>
  <c r="AJ33" i="7"/>
  <c r="AX33" i="7"/>
  <c r="Z33" i="7"/>
  <c r="R33" i="7"/>
  <c r="AV33" i="7"/>
  <c r="AF33" i="7"/>
  <c r="L33" i="7"/>
  <c r="N33" i="7"/>
  <c r="P33" i="7"/>
  <c r="AZ33" i="7"/>
  <c r="AL33" i="7"/>
  <c r="AT33" i="7"/>
  <c r="AN33" i="7"/>
  <c r="AH33" i="7"/>
  <c r="AP32" i="7"/>
  <c r="V32" i="7"/>
  <c r="AD32" i="7"/>
  <c r="X32" i="7"/>
  <c r="T32" i="7"/>
  <c r="AB32" i="7"/>
  <c r="AR32" i="7"/>
  <c r="AJ32" i="7"/>
  <c r="AX32" i="7"/>
  <c r="Z32" i="7"/>
  <c r="R32" i="7"/>
  <c r="AV32" i="7"/>
  <c r="AF32" i="7"/>
  <c r="L32" i="7"/>
  <c r="N32" i="7"/>
  <c r="P32" i="7"/>
  <c r="AZ32" i="7"/>
  <c r="AL32" i="7"/>
  <c r="AT32" i="7"/>
  <c r="AN32" i="7"/>
  <c r="AH32" i="7"/>
  <c r="AP31" i="7"/>
  <c r="V31" i="7"/>
  <c r="AD31" i="7"/>
  <c r="X31" i="7"/>
  <c r="T31" i="7"/>
  <c r="AB31" i="7"/>
  <c r="AR31" i="7"/>
  <c r="AJ31" i="7"/>
  <c r="AX31" i="7"/>
  <c r="Z31" i="7"/>
  <c r="R31" i="7"/>
  <c r="AV31" i="7"/>
  <c r="AF31" i="7"/>
  <c r="L31" i="7"/>
  <c r="N31" i="7"/>
  <c r="P31" i="7"/>
  <c r="AZ31" i="7"/>
  <c r="AL31" i="7"/>
  <c r="AT31" i="7"/>
  <c r="AN31" i="7"/>
  <c r="AH31" i="7"/>
  <c r="AP30" i="7"/>
  <c r="V30" i="7"/>
  <c r="AD30" i="7"/>
  <c r="X30" i="7"/>
  <c r="T30" i="7"/>
  <c r="AB30" i="7"/>
  <c r="AR30" i="7"/>
  <c r="AJ30" i="7"/>
  <c r="AX30" i="7"/>
  <c r="Z30" i="7"/>
  <c r="R30" i="7"/>
  <c r="AV30" i="7"/>
  <c r="AF30" i="7"/>
  <c r="L30" i="7"/>
  <c r="N30" i="7"/>
  <c r="P30" i="7"/>
  <c r="AZ30" i="7"/>
  <c r="AL30" i="7"/>
  <c r="AT30" i="7"/>
  <c r="AN30" i="7"/>
  <c r="AH30" i="7"/>
  <c r="AP29" i="7"/>
  <c r="V29" i="7"/>
  <c r="AD29" i="7"/>
  <c r="X29" i="7"/>
  <c r="T29" i="7"/>
  <c r="AB29" i="7"/>
  <c r="AR29" i="7"/>
  <c r="AJ29" i="7"/>
  <c r="AX29" i="7"/>
  <c r="Z29" i="7"/>
  <c r="R29" i="7"/>
  <c r="AV29" i="7"/>
  <c r="AF29" i="7"/>
  <c r="L29" i="7"/>
  <c r="N29" i="7"/>
  <c r="P29" i="7"/>
  <c r="AZ29" i="7"/>
  <c r="AL29" i="7"/>
  <c r="AT29" i="7"/>
  <c r="AN29" i="7"/>
  <c r="AH29" i="7"/>
  <c r="AP28" i="7"/>
  <c r="V28" i="7"/>
  <c r="AD28" i="7"/>
  <c r="X28" i="7"/>
  <c r="T28" i="7"/>
  <c r="AB28" i="7"/>
  <c r="AR28" i="7"/>
  <c r="AJ28" i="7"/>
  <c r="AX28" i="7"/>
  <c r="Z28" i="7"/>
  <c r="R28" i="7"/>
  <c r="AV28" i="7"/>
  <c r="AF28" i="7"/>
  <c r="L28" i="7"/>
  <c r="N28" i="7"/>
  <c r="P28" i="7"/>
  <c r="AZ28" i="7"/>
  <c r="AL28" i="7"/>
  <c r="AT28" i="7"/>
  <c r="AN28" i="7"/>
  <c r="AH28" i="7"/>
  <c r="AP27" i="7"/>
  <c r="V27" i="7"/>
  <c r="AD27" i="7"/>
  <c r="X27" i="7"/>
  <c r="T27" i="7"/>
  <c r="AB27" i="7"/>
  <c r="AR27" i="7"/>
  <c r="AJ27" i="7"/>
  <c r="AX27" i="7"/>
  <c r="Z27" i="7"/>
  <c r="R27" i="7"/>
  <c r="AV27" i="7"/>
  <c r="AF27" i="7"/>
  <c r="L27" i="7"/>
  <c r="N27" i="7"/>
  <c r="P27" i="7"/>
  <c r="AZ27" i="7"/>
  <c r="AL27" i="7"/>
  <c r="AT27" i="7"/>
  <c r="AN27" i="7"/>
  <c r="AH27" i="7"/>
  <c r="AP26" i="7"/>
  <c r="V26" i="7"/>
  <c r="AD26" i="7"/>
  <c r="X26" i="7"/>
  <c r="T26" i="7"/>
  <c r="AB26" i="7"/>
  <c r="AR26" i="7"/>
  <c r="AJ26" i="7"/>
  <c r="AX26" i="7"/>
  <c r="Z26" i="7"/>
  <c r="R26" i="7"/>
  <c r="AV26" i="7"/>
  <c r="AF26" i="7"/>
  <c r="L26" i="7"/>
  <c r="N26" i="7"/>
  <c r="P26" i="7"/>
  <c r="AZ26" i="7"/>
  <c r="AL26" i="7"/>
  <c r="AT26" i="7"/>
  <c r="AN26" i="7"/>
  <c r="AH26" i="7"/>
  <c r="AP25" i="7"/>
  <c r="V25" i="7"/>
  <c r="AD25" i="7"/>
  <c r="X25" i="7"/>
  <c r="T25" i="7"/>
  <c r="AB25" i="7"/>
  <c r="AR25" i="7"/>
  <c r="AJ25" i="7"/>
  <c r="AX25" i="7"/>
  <c r="Z25" i="7"/>
  <c r="R25" i="7"/>
  <c r="AV25" i="7"/>
  <c r="AF25" i="7"/>
  <c r="L25" i="7"/>
  <c r="N25" i="7"/>
  <c r="P25" i="7"/>
  <c r="AZ25" i="7"/>
  <c r="AL25" i="7"/>
  <c r="AT25" i="7"/>
  <c r="AN25" i="7"/>
  <c r="AH25" i="7"/>
  <c r="AP24" i="7"/>
  <c r="V24" i="7"/>
  <c r="AD24" i="7"/>
  <c r="X24" i="7"/>
  <c r="T24" i="7"/>
  <c r="AB24" i="7"/>
  <c r="AR24" i="7"/>
  <c r="AJ24" i="7"/>
  <c r="AX24" i="7"/>
  <c r="Z24" i="7"/>
  <c r="R24" i="7"/>
  <c r="AV24" i="7"/>
  <c r="AF24" i="7"/>
  <c r="L24" i="7"/>
  <c r="N24" i="7"/>
  <c r="P24" i="7"/>
  <c r="AZ24" i="7"/>
  <c r="AL24" i="7"/>
  <c r="AT24" i="7"/>
  <c r="AN24" i="7"/>
  <c r="AH24" i="7"/>
  <c r="AP23" i="7"/>
  <c r="AD23" i="7"/>
  <c r="X23" i="7"/>
  <c r="T23" i="7"/>
  <c r="AB23" i="7"/>
  <c r="AR23" i="7"/>
  <c r="AJ23" i="7"/>
  <c r="AX23" i="7"/>
  <c r="Z23" i="7"/>
  <c r="R23" i="7"/>
  <c r="AV23" i="7"/>
  <c r="AF23" i="7"/>
  <c r="L23" i="7"/>
  <c r="N23" i="7"/>
  <c r="P23" i="7"/>
  <c r="AZ23" i="7"/>
  <c r="AL23" i="7"/>
  <c r="AT23" i="7"/>
  <c r="AN23" i="7"/>
  <c r="AH23" i="7"/>
  <c r="AP22" i="7"/>
  <c r="V22" i="7"/>
  <c r="AD22" i="7"/>
  <c r="X22" i="7"/>
  <c r="T22" i="7"/>
  <c r="AB22" i="7"/>
  <c r="AR22" i="7"/>
  <c r="AJ22" i="7"/>
  <c r="AX22" i="7"/>
  <c r="Z22" i="7"/>
  <c r="R22" i="7"/>
  <c r="AV22" i="7"/>
  <c r="AF22" i="7"/>
  <c r="L22" i="7"/>
  <c r="N22" i="7"/>
  <c r="P22" i="7"/>
  <c r="AZ22" i="7"/>
  <c r="AL22" i="7"/>
  <c r="AT22" i="7"/>
  <c r="AN22" i="7"/>
  <c r="AH22" i="7"/>
  <c r="AP21" i="7"/>
  <c r="V21" i="7"/>
  <c r="AD21" i="7"/>
  <c r="X21" i="7"/>
  <c r="T21" i="7"/>
  <c r="AB21" i="7"/>
  <c r="AR21" i="7"/>
  <c r="AJ21" i="7"/>
  <c r="AX21" i="7"/>
  <c r="Z21" i="7"/>
  <c r="R21" i="7"/>
  <c r="AV21" i="7"/>
  <c r="AF21" i="7"/>
  <c r="L21" i="7"/>
  <c r="N21" i="7"/>
  <c r="P21" i="7"/>
  <c r="AZ21" i="7"/>
  <c r="AL21" i="7"/>
  <c r="AT21" i="7"/>
  <c r="AN21" i="7"/>
  <c r="AH21" i="7"/>
  <c r="AP20" i="7"/>
  <c r="V20" i="7"/>
  <c r="AD20" i="7"/>
  <c r="X20" i="7"/>
  <c r="T20" i="7"/>
  <c r="AB20" i="7"/>
  <c r="AR20" i="7"/>
  <c r="AJ20" i="7"/>
  <c r="AX20" i="7"/>
  <c r="Z20" i="7"/>
  <c r="R20" i="7"/>
  <c r="AV20" i="7"/>
  <c r="AF20" i="7"/>
  <c r="L20" i="7"/>
  <c r="N20" i="7"/>
  <c r="P20" i="7"/>
  <c r="AZ20" i="7"/>
  <c r="AL20" i="7"/>
  <c r="AT20" i="7"/>
  <c r="AN20" i="7"/>
  <c r="AH20" i="7"/>
  <c r="AP19" i="7"/>
  <c r="V19" i="7"/>
  <c r="AD19" i="7"/>
  <c r="X19" i="7"/>
  <c r="T19" i="7"/>
  <c r="AB19" i="7"/>
  <c r="AR19" i="7"/>
  <c r="AJ19" i="7"/>
  <c r="AX19" i="7"/>
  <c r="Z19" i="7"/>
  <c r="R19" i="7"/>
  <c r="AV19" i="7"/>
  <c r="AF19" i="7"/>
  <c r="L19" i="7"/>
  <c r="N19" i="7"/>
  <c r="P19" i="7"/>
  <c r="AZ19" i="7"/>
  <c r="AL19" i="7"/>
  <c r="AT19" i="7"/>
  <c r="AN19" i="7"/>
  <c r="AH19" i="7"/>
  <c r="AP18" i="7"/>
  <c r="V18" i="7"/>
  <c r="AD18" i="7"/>
  <c r="X18" i="7"/>
  <c r="T18" i="7"/>
  <c r="AB18" i="7"/>
  <c r="AR18" i="7"/>
  <c r="AJ18" i="7"/>
  <c r="AX18" i="7"/>
  <c r="Z18" i="7"/>
  <c r="R18" i="7"/>
  <c r="AV18" i="7"/>
  <c r="AF18" i="7"/>
  <c r="L18" i="7"/>
  <c r="N18" i="7"/>
  <c r="P18" i="7"/>
  <c r="AZ18" i="7"/>
  <c r="AL18" i="7"/>
  <c r="AT18" i="7"/>
  <c r="AN18" i="7"/>
  <c r="AH18" i="7"/>
  <c r="AP17" i="7"/>
  <c r="V17" i="7"/>
  <c r="AD17" i="7"/>
  <c r="X17" i="7"/>
  <c r="T17" i="7"/>
  <c r="AB17" i="7"/>
  <c r="AR17" i="7"/>
  <c r="AJ17" i="7"/>
  <c r="AX17" i="7"/>
  <c r="Z17" i="7"/>
  <c r="R17" i="7"/>
  <c r="AV17" i="7"/>
  <c r="AF17" i="7"/>
  <c r="L17" i="7"/>
  <c r="N17" i="7"/>
  <c r="P17" i="7"/>
  <c r="AZ17" i="7"/>
  <c r="AL17" i="7"/>
  <c r="AT17" i="7"/>
  <c r="AN17" i="7"/>
  <c r="AH17" i="7"/>
  <c r="AP16" i="7"/>
  <c r="V16" i="7"/>
  <c r="AD16" i="7"/>
  <c r="X16" i="7"/>
  <c r="T16" i="7"/>
  <c r="AB16" i="7"/>
  <c r="AR16" i="7"/>
  <c r="AJ16" i="7"/>
  <c r="AX16" i="7"/>
  <c r="Z16" i="7"/>
  <c r="R16" i="7"/>
  <c r="AV16" i="7"/>
  <c r="AF16" i="7"/>
  <c r="L16" i="7"/>
  <c r="N16" i="7"/>
  <c r="P16" i="7"/>
  <c r="AZ16" i="7"/>
  <c r="AL16" i="7"/>
  <c r="AT16" i="7"/>
  <c r="AN16" i="7"/>
  <c r="AH16" i="7"/>
  <c r="AP15" i="7"/>
  <c r="V15" i="7"/>
  <c r="AD15" i="7"/>
  <c r="X15" i="7"/>
  <c r="T15" i="7"/>
  <c r="AB15" i="7"/>
  <c r="AR15" i="7"/>
  <c r="AJ15" i="7"/>
  <c r="AX15" i="7"/>
  <c r="Z15" i="7"/>
  <c r="R15" i="7"/>
  <c r="AV15" i="7"/>
  <c r="AF15" i="7"/>
  <c r="L15" i="7"/>
  <c r="N15" i="7"/>
  <c r="P15" i="7"/>
  <c r="AZ15" i="7"/>
  <c r="AL15" i="7"/>
  <c r="AT15" i="7"/>
  <c r="AN15" i="7"/>
  <c r="AH15" i="7"/>
  <c r="AP14" i="7"/>
  <c r="V14" i="7"/>
  <c r="AD14" i="7"/>
  <c r="X14" i="7"/>
  <c r="T14" i="7"/>
  <c r="AB14" i="7"/>
  <c r="AR14" i="7"/>
  <c r="AJ14" i="7"/>
  <c r="AX14" i="7"/>
  <c r="Z14" i="7"/>
  <c r="R14" i="7"/>
  <c r="AV14" i="7"/>
  <c r="AF14" i="7"/>
  <c r="L14" i="7"/>
  <c r="N14" i="7"/>
  <c r="P14" i="7"/>
  <c r="AZ14" i="7"/>
  <c r="AL14" i="7"/>
  <c r="AT14" i="7"/>
  <c r="AN14" i="7"/>
  <c r="AH14" i="7"/>
  <c r="AP13" i="7"/>
  <c r="V13" i="7"/>
  <c r="AD13" i="7"/>
  <c r="X13" i="7"/>
  <c r="T13" i="7"/>
  <c r="AB13" i="7"/>
  <c r="AR13" i="7"/>
  <c r="AJ13" i="7"/>
  <c r="AX13" i="7"/>
  <c r="Z13" i="7"/>
  <c r="R13" i="7"/>
  <c r="AV13" i="7"/>
  <c r="AF13" i="7"/>
  <c r="L13" i="7"/>
  <c r="N13" i="7"/>
  <c r="P13" i="7"/>
  <c r="AZ13" i="7"/>
  <c r="AL13" i="7"/>
  <c r="AT13" i="7"/>
  <c r="AN13" i="7"/>
  <c r="AH13" i="7"/>
  <c r="AP12" i="7"/>
  <c r="V12" i="7"/>
  <c r="AD12" i="7"/>
  <c r="X12" i="7"/>
  <c r="T12" i="7"/>
  <c r="AB12" i="7"/>
  <c r="AR12" i="7"/>
  <c r="AJ12" i="7"/>
  <c r="AX12" i="7"/>
  <c r="Z12" i="7"/>
  <c r="R12" i="7"/>
  <c r="AV12" i="7"/>
  <c r="AF12" i="7"/>
  <c r="L12" i="7"/>
  <c r="N12" i="7"/>
  <c r="P12" i="7"/>
  <c r="AZ12" i="7"/>
  <c r="AL12" i="7"/>
  <c r="AT12" i="7"/>
  <c r="AN12" i="7"/>
  <c r="AH12" i="7"/>
  <c r="AP11" i="7"/>
  <c r="V11" i="7"/>
  <c r="AD11" i="7"/>
  <c r="X11" i="7"/>
  <c r="T11" i="7"/>
  <c r="AB11" i="7"/>
  <c r="AR11" i="7"/>
  <c r="AJ11" i="7"/>
  <c r="AX11" i="7"/>
  <c r="Z11" i="7"/>
  <c r="R11" i="7"/>
  <c r="AV11" i="7"/>
  <c r="AF11" i="7"/>
  <c r="L11" i="7"/>
  <c r="N11" i="7"/>
  <c r="P11" i="7"/>
  <c r="AZ11" i="7"/>
  <c r="AL11" i="7"/>
  <c r="AT11" i="7"/>
  <c r="AN11" i="7"/>
  <c r="AH11" i="7"/>
  <c r="AF68" i="6"/>
  <c r="AF67" i="6"/>
  <c r="AJ64" i="6"/>
  <c r="V64" i="6"/>
  <c r="AZ64" i="6"/>
  <c r="AP64" i="6"/>
  <c r="T64" i="6"/>
  <c r="AD64" i="6"/>
  <c r="AN64" i="6"/>
  <c r="AH64" i="6"/>
  <c r="AT64" i="6"/>
  <c r="AB64" i="6"/>
  <c r="L64" i="6"/>
  <c r="AR64" i="6"/>
  <c r="Z64" i="6"/>
  <c r="N64" i="6"/>
  <c r="P64" i="6"/>
  <c r="R64" i="6"/>
  <c r="AX64" i="6"/>
  <c r="X64" i="6"/>
  <c r="AL64" i="6"/>
  <c r="AV64" i="6"/>
  <c r="AF64" i="6"/>
  <c r="AJ63" i="6"/>
  <c r="V63" i="6"/>
  <c r="AZ63" i="6"/>
  <c r="AP63" i="6"/>
  <c r="T63" i="6"/>
  <c r="AD63" i="6"/>
  <c r="AN63" i="6"/>
  <c r="AH63" i="6"/>
  <c r="AT63" i="6"/>
  <c r="AB63" i="6"/>
  <c r="L63" i="6"/>
  <c r="AR63" i="6"/>
  <c r="Z63" i="6"/>
  <c r="N63" i="6"/>
  <c r="P63" i="6"/>
  <c r="R63" i="6"/>
  <c r="AX63" i="6"/>
  <c r="X63" i="6"/>
  <c r="AL63" i="6"/>
  <c r="AV63" i="6"/>
  <c r="AF63" i="6"/>
  <c r="AJ62" i="6"/>
  <c r="V62" i="6"/>
  <c r="AZ62" i="6"/>
  <c r="AP62" i="6"/>
  <c r="T62" i="6"/>
  <c r="AD62" i="6"/>
  <c r="AN62" i="6"/>
  <c r="AH62" i="6"/>
  <c r="AT62" i="6"/>
  <c r="AB62" i="6"/>
  <c r="L62" i="6"/>
  <c r="AR62" i="6"/>
  <c r="Z62" i="6"/>
  <c r="N62" i="6"/>
  <c r="P62" i="6"/>
  <c r="R62" i="6"/>
  <c r="AX62" i="6"/>
  <c r="X62" i="6"/>
  <c r="AL62" i="6"/>
  <c r="AV62" i="6"/>
  <c r="AF62" i="6"/>
  <c r="AJ61" i="6"/>
  <c r="V61" i="6"/>
  <c r="AZ61" i="6"/>
  <c r="AP61" i="6"/>
  <c r="T61" i="6"/>
  <c r="AD61" i="6"/>
  <c r="AN61" i="6"/>
  <c r="AH61" i="6"/>
  <c r="AT61" i="6"/>
  <c r="AB61" i="6"/>
  <c r="L61" i="6"/>
  <c r="AR61" i="6"/>
  <c r="Z61" i="6"/>
  <c r="N61" i="6"/>
  <c r="P61" i="6"/>
  <c r="R61" i="6"/>
  <c r="AX61" i="6"/>
  <c r="X61" i="6"/>
  <c r="AL61" i="6"/>
  <c r="AV61" i="6"/>
  <c r="AF61" i="6"/>
  <c r="AJ60" i="6"/>
  <c r="V60" i="6"/>
  <c r="AZ60" i="6"/>
  <c r="AP60" i="6"/>
  <c r="T60" i="6"/>
  <c r="AN60" i="6"/>
  <c r="AH60" i="6"/>
  <c r="AT60" i="6"/>
  <c r="AB60" i="6"/>
  <c r="L60" i="6"/>
  <c r="AR60" i="6"/>
  <c r="Z60" i="6"/>
  <c r="P60" i="6"/>
  <c r="R60" i="6"/>
  <c r="AX60" i="6"/>
  <c r="X60" i="6"/>
  <c r="AL60" i="6"/>
  <c r="AV60" i="6"/>
  <c r="AF60" i="6"/>
  <c r="AJ59" i="6"/>
  <c r="V59" i="6"/>
  <c r="AZ59" i="6"/>
  <c r="AP59" i="6"/>
  <c r="T59" i="6"/>
  <c r="AD59" i="6"/>
  <c r="AN59" i="6"/>
  <c r="AH59" i="6"/>
  <c r="AT59" i="6"/>
  <c r="AB59" i="6"/>
  <c r="L59" i="6"/>
  <c r="AR59" i="6"/>
  <c r="Z59" i="6"/>
  <c r="N59" i="6"/>
  <c r="P59" i="6"/>
  <c r="R59" i="6"/>
  <c r="AX59" i="6"/>
  <c r="X59" i="6"/>
  <c r="AL59" i="6"/>
  <c r="AV59" i="6"/>
  <c r="AJ58" i="6"/>
  <c r="V58" i="6"/>
  <c r="AZ58" i="6"/>
  <c r="AP58" i="6"/>
  <c r="T58" i="6"/>
  <c r="AD58" i="6"/>
  <c r="AN58" i="6"/>
  <c r="AH58" i="6"/>
  <c r="AT58" i="6"/>
  <c r="AB58" i="6"/>
  <c r="L58" i="6"/>
  <c r="AR58" i="6"/>
  <c r="Z58" i="6"/>
  <c r="N58" i="6"/>
  <c r="P58" i="6"/>
  <c r="R58" i="6"/>
  <c r="AX58" i="6"/>
  <c r="X58" i="6"/>
  <c r="AL58" i="6"/>
  <c r="AV58" i="6"/>
  <c r="AF58" i="6"/>
  <c r="AJ57" i="6"/>
  <c r="V57" i="6"/>
  <c r="AZ57" i="6"/>
  <c r="AP57" i="6"/>
  <c r="T57" i="6"/>
  <c r="AD57" i="6"/>
  <c r="AN57" i="6"/>
  <c r="AH57" i="6"/>
  <c r="AT57" i="6"/>
  <c r="AB57" i="6"/>
  <c r="L57" i="6"/>
  <c r="AR57" i="6"/>
  <c r="Z57" i="6"/>
  <c r="N57" i="6"/>
  <c r="P57" i="6"/>
  <c r="R57" i="6"/>
  <c r="AX57" i="6"/>
  <c r="X57" i="6"/>
  <c r="AL57" i="6"/>
  <c r="AV57" i="6"/>
  <c r="AF57" i="6"/>
  <c r="AJ56" i="6"/>
  <c r="V56" i="6"/>
  <c r="AZ56" i="6"/>
  <c r="AP56" i="6"/>
  <c r="T56" i="6"/>
  <c r="AD56" i="6"/>
  <c r="AN56" i="6"/>
  <c r="AH56" i="6"/>
  <c r="AT56" i="6"/>
  <c r="AB56" i="6"/>
  <c r="L56" i="6"/>
  <c r="AR56" i="6"/>
  <c r="Z56" i="6"/>
  <c r="N56" i="6"/>
  <c r="P56" i="6"/>
  <c r="R56" i="6"/>
  <c r="AX56" i="6"/>
  <c r="X56" i="6"/>
  <c r="AL56" i="6"/>
  <c r="AV56" i="6"/>
  <c r="AF56" i="6"/>
  <c r="AJ55" i="6"/>
  <c r="V55" i="6"/>
  <c r="AZ55" i="6"/>
  <c r="AP55" i="6"/>
  <c r="T55" i="6"/>
  <c r="AD55" i="6"/>
  <c r="AN55" i="6"/>
  <c r="AH55" i="6"/>
  <c r="AT55" i="6"/>
  <c r="AB55" i="6"/>
  <c r="L55" i="6"/>
  <c r="AR55" i="6"/>
  <c r="Z55" i="6"/>
  <c r="N55" i="6"/>
  <c r="P55" i="6"/>
  <c r="R55" i="6"/>
  <c r="AX55" i="6"/>
  <c r="X55" i="6"/>
  <c r="AL55" i="6"/>
  <c r="AV55" i="6"/>
  <c r="AF55" i="6"/>
  <c r="AJ54" i="6"/>
  <c r="V54" i="6"/>
  <c r="AZ54" i="6"/>
  <c r="AP54" i="6"/>
  <c r="T54" i="6"/>
  <c r="AD54" i="6"/>
  <c r="AN54" i="6"/>
  <c r="AH54" i="6"/>
  <c r="AT54" i="6"/>
  <c r="AB54" i="6"/>
  <c r="L54" i="6"/>
  <c r="AR54" i="6"/>
  <c r="Z54" i="6"/>
  <c r="N54" i="6"/>
  <c r="P54" i="6"/>
  <c r="R54" i="6"/>
  <c r="AX54" i="6"/>
  <c r="X54" i="6"/>
  <c r="AL54" i="6"/>
  <c r="AV54" i="6"/>
  <c r="AF54" i="6"/>
  <c r="AJ53" i="6"/>
  <c r="V53" i="6"/>
  <c r="AZ53" i="6"/>
  <c r="AP53" i="6"/>
  <c r="T53" i="6"/>
  <c r="AD53" i="6"/>
  <c r="AN53" i="6"/>
  <c r="AH53" i="6"/>
  <c r="AT53" i="6"/>
  <c r="AB53" i="6"/>
  <c r="L53" i="6"/>
  <c r="AR53" i="6"/>
  <c r="Z53" i="6"/>
  <c r="N53" i="6"/>
  <c r="P53" i="6"/>
  <c r="R53" i="6"/>
  <c r="AX53" i="6"/>
  <c r="X53" i="6"/>
  <c r="AL53" i="6"/>
  <c r="AV53" i="6"/>
  <c r="AF53" i="6"/>
  <c r="AJ52" i="6"/>
  <c r="V52" i="6"/>
  <c r="AZ52" i="6"/>
  <c r="AP52" i="6"/>
  <c r="T52" i="6"/>
  <c r="AD52" i="6"/>
  <c r="AN52" i="6"/>
  <c r="AH52" i="6"/>
  <c r="AT52" i="6"/>
  <c r="AB52" i="6"/>
  <c r="L52" i="6"/>
  <c r="AR52" i="6"/>
  <c r="Z52" i="6"/>
  <c r="N52" i="6"/>
  <c r="P52" i="6"/>
  <c r="R52" i="6"/>
  <c r="AX52" i="6"/>
  <c r="X52" i="6"/>
  <c r="AL52" i="6"/>
  <c r="AV52" i="6"/>
  <c r="AF52" i="6"/>
  <c r="AJ51" i="6"/>
  <c r="V51" i="6"/>
  <c r="AZ51" i="6"/>
  <c r="AP51" i="6"/>
  <c r="T51" i="6"/>
  <c r="AD51" i="6"/>
  <c r="AN51" i="6"/>
  <c r="AH51" i="6"/>
  <c r="AT51" i="6"/>
  <c r="AB51" i="6"/>
  <c r="L51" i="6"/>
  <c r="AR51" i="6"/>
  <c r="Z51" i="6"/>
  <c r="N51" i="6"/>
  <c r="P51" i="6"/>
  <c r="R51" i="6"/>
  <c r="AX51" i="6"/>
  <c r="X51" i="6"/>
  <c r="AL51" i="6"/>
  <c r="AV51" i="6"/>
  <c r="AF51" i="6"/>
  <c r="AJ50" i="6"/>
  <c r="V50" i="6"/>
  <c r="AZ50" i="6"/>
  <c r="AP50" i="6"/>
  <c r="T50" i="6"/>
  <c r="AD50" i="6"/>
  <c r="AN50" i="6"/>
  <c r="AH50" i="6"/>
  <c r="AT50" i="6"/>
  <c r="AB50" i="6"/>
  <c r="L50" i="6"/>
  <c r="AR50" i="6"/>
  <c r="Z50" i="6"/>
  <c r="N50" i="6"/>
  <c r="P50" i="6"/>
  <c r="R50" i="6"/>
  <c r="AX50" i="6"/>
  <c r="X50" i="6"/>
  <c r="AL50" i="6"/>
  <c r="AV50" i="6"/>
  <c r="AF50" i="6"/>
  <c r="AJ49" i="6"/>
  <c r="V49" i="6"/>
  <c r="AZ49" i="6"/>
  <c r="AP49" i="6"/>
  <c r="T49" i="6"/>
  <c r="AD49" i="6"/>
  <c r="AN49" i="6"/>
  <c r="AH49" i="6"/>
  <c r="AT49" i="6"/>
  <c r="AB49" i="6"/>
  <c r="L49" i="6"/>
  <c r="AR49" i="6"/>
  <c r="Z49" i="6"/>
  <c r="N49" i="6"/>
  <c r="P49" i="6"/>
  <c r="R49" i="6"/>
  <c r="AX49" i="6"/>
  <c r="X49" i="6"/>
  <c r="AL49" i="6"/>
  <c r="AV49" i="6"/>
  <c r="AF49" i="6"/>
  <c r="AJ48" i="6"/>
  <c r="V48" i="6"/>
  <c r="AZ48" i="6"/>
  <c r="AP48" i="6"/>
  <c r="T48" i="6"/>
  <c r="AD48" i="6"/>
  <c r="AN48" i="6"/>
  <c r="AH48" i="6"/>
  <c r="AT48" i="6"/>
  <c r="AB48" i="6"/>
  <c r="L48" i="6"/>
  <c r="AR48" i="6"/>
  <c r="Z48" i="6"/>
  <c r="N48" i="6"/>
  <c r="P48" i="6"/>
  <c r="R48" i="6"/>
  <c r="AX48" i="6"/>
  <c r="X48" i="6"/>
  <c r="AL48" i="6"/>
  <c r="AV48" i="6"/>
  <c r="AF48" i="6"/>
  <c r="AJ47" i="6"/>
  <c r="V47" i="6"/>
  <c r="AZ47" i="6"/>
  <c r="AP47" i="6"/>
  <c r="T47" i="6"/>
  <c r="AD47" i="6"/>
  <c r="AN47" i="6"/>
  <c r="AH47" i="6"/>
  <c r="AT47" i="6"/>
  <c r="AB47" i="6"/>
  <c r="L47" i="6"/>
  <c r="AR47" i="6"/>
  <c r="Z47" i="6"/>
  <c r="N47" i="6"/>
  <c r="P47" i="6"/>
  <c r="R47" i="6"/>
  <c r="AX47" i="6"/>
  <c r="X47" i="6"/>
  <c r="AL47" i="6"/>
  <c r="AV47" i="6"/>
  <c r="AF47" i="6"/>
  <c r="AJ46" i="6"/>
  <c r="V46" i="6"/>
  <c r="AZ46" i="6"/>
  <c r="AP46" i="6"/>
  <c r="T46" i="6"/>
  <c r="AD46" i="6"/>
  <c r="AN46" i="6"/>
  <c r="AH46" i="6"/>
  <c r="AT46" i="6"/>
  <c r="AB46" i="6"/>
  <c r="L46" i="6"/>
  <c r="AR46" i="6"/>
  <c r="Z46" i="6"/>
  <c r="N46" i="6"/>
  <c r="P46" i="6"/>
  <c r="R46" i="6"/>
  <c r="AX46" i="6"/>
  <c r="X46" i="6"/>
  <c r="AL46" i="6"/>
  <c r="AV46" i="6"/>
  <c r="AF46" i="6"/>
  <c r="AJ45" i="6"/>
  <c r="V45" i="6"/>
  <c r="AZ45" i="6"/>
  <c r="AP45" i="6"/>
  <c r="T45" i="6"/>
  <c r="AD45" i="6"/>
  <c r="AN45" i="6"/>
  <c r="AH45" i="6"/>
  <c r="AT45" i="6"/>
  <c r="AB45" i="6"/>
  <c r="L45" i="6"/>
  <c r="AR45" i="6"/>
  <c r="Z45" i="6"/>
  <c r="N45" i="6"/>
  <c r="P45" i="6"/>
  <c r="R45" i="6"/>
  <c r="AX45" i="6"/>
  <c r="X45" i="6"/>
  <c r="AL45" i="6"/>
  <c r="AV45" i="6"/>
  <c r="AF45" i="6"/>
  <c r="AJ44" i="6"/>
  <c r="V44" i="6"/>
  <c r="AZ44" i="6"/>
  <c r="AP44" i="6"/>
  <c r="T44" i="6"/>
  <c r="AD44" i="6"/>
  <c r="AN44" i="6"/>
  <c r="AH44" i="6"/>
  <c r="AT44" i="6"/>
  <c r="AB44" i="6"/>
  <c r="L44" i="6"/>
  <c r="AR44" i="6"/>
  <c r="Z44" i="6"/>
  <c r="N44" i="6"/>
  <c r="P44" i="6"/>
  <c r="R44" i="6"/>
  <c r="AX44" i="6"/>
  <c r="X44" i="6"/>
  <c r="AL44" i="6"/>
  <c r="AV44" i="6"/>
  <c r="AF44" i="6"/>
  <c r="AJ43" i="6"/>
  <c r="V43" i="6"/>
  <c r="AZ43" i="6"/>
  <c r="AP43" i="6"/>
  <c r="T43" i="6"/>
  <c r="AD43" i="6"/>
  <c r="AN43" i="6"/>
  <c r="AH43" i="6"/>
  <c r="AT43" i="6"/>
  <c r="AB43" i="6"/>
  <c r="L43" i="6"/>
  <c r="AR43" i="6"/>
  <c r="Z43" i="6"/>
  <c r="N43" i="6"/>
  <c r="P43" i="6"/>
  <c r="R43" i="6"/>
  <c r="AX43" i="6"/>
  <c r="X43" i="6"/>
  <c r="AL43" i="6"/>
  <c r="AV43" i="6"/>
  <c r="AF43" i="6"/>
  <c r="AJ42" i="6"/>
  <c r="V42" i="6"/>
  <c r="AZ42" i="6"/>
  <c r="AP42" i="6"/>
  <c r="T42" i="6"/>
  <c r="AD42" i="6"/>
  <c r="AN42" i="6"/>
  <c r="AH42" i="6"/>
  <c r="AT42" i="6"/>
  <c r="AB42" i="6"/>
  <c r="L42" i="6"/>
  <c r="AR42" i="6"/>
  <c r="Z42" i="6"/>
  <c r="N42" i="6"/>
  <c r="P42" i="6"/>
  <c r="R42" i="6"/>
  <c r="AX42" i="6"/>
  <c r="X42" i="6"/>
  <c r="AL42" i="6"/>
  <c r="AV42" i="6"/>
  <c r="AF42" i="6"/>
  <c r="AJ41" i="6"/>
  <c r="V41" i="6"/>
  <c r="AZ41" i="6"/>
  <c r="AP41" i="6"/>
  <c r="T41" i="6"/>
  <c r="AD41" i="6"/>
  <c r="AN41" i="6"/>
  <c r="AH41" i="6"/>
  <c r="AT41" i="6"/>
  <c r="AB41" i="6"/>
  <c r="L41" i="6"/>
  <c r="AR41" i="6"/>
  <c r="Z41" i="6"/>
  <c r="N41" i="6"/>
  <c r="P41" i="6"/>
  <c r="R41" i="6"/>
  <c r="AX41" i="6"/>
  <c r="X41" i="6"/>
  <c r="AL41" i="6"/>
  <c r="AV41" i="6"/>
  <c r="AF41" i="6"/>
  <c r="AJ40" i="6"/>
  <c r="V40" i="6"/>
  <c r="AZ40" i="6"/>
  <c r="AP40" i="6"/>
  <c r="T40" i="6"/>
  <c r="AD40" i="6"/>
  <c r="AN40" i="6"/>
  <c r="AH40" i="6"/>
  <c r="AT40" i="6"/>
  <c r="AB40" i="6"/>
  <c r="L40" i="6"/>
  <c r="AR40" i="6"/>
  <c r="Z40" i="6"/>
  <c r="N40" i="6"/>
  <c r="P40" i="6"/>
  <c r="R40" i="6"/>
  <c r="AX40" i="6"/>
  <c r="X40" i="6"/>
  <c r="AL40" i="6"/>
  <c r="AV40" i="6"/>
  <c r="AF40" i="6"/>
  <c r="AJ39" i="6"/>
  <c r="V39" i="6"/>
  <c r="AZ39" i="6"/>
  <c r="AP39" i="6"/>
  <c r="T39" i="6"/>
  <c r="AD39" i="6"/>
  <c r="AN39" i="6"/>
  <c r="AH39" i="6"/>
  <c r="AT39" i="6"/>
  <c r="AB39" i="6"/>
  <c r="L39" i="6"/>
  <c r="AR39" i="6"/>
  <c r="Z39" i="6"/>
  <c r="N39" i="6"/>
  <c r="P39" i="6"/>
  <c r="R39" i="6"/>
  <c r="AX39" i="6"/>
  <c r="X39" i="6"/>
  <c r="AL39" i="6"/>
  <c r="AV39" i="6"/>
  <c r="AF39" i="6"/>
  <c r="AJ38" i="6"/>
  <c r="V38" i="6"/>
  <c r="AZ38" i="6"/>
  <c r="AP38" i="6"/>
  <c r="T38" i="6"/>
  <c r="AD38" i="6"/>
  <c r="AN38" i="6"/>
  <c r="AH38" i="6"/>
  <c r="AT38" i="6"/>
  <c r="AB38" i="6"/>
  <c r="L38" i="6"/>
  <c r="AR38" i="6"/>
  <c r="Z38" i="6"/>
  <c r="N38" i="6"/>
  <c r="P38" i="6"/>
  <c r="R38" i="6"/>
  <c r="AX38" i="6"/>
  <c r="X38" i="6"/>
  <c r="AL38" i="6"/>
  <c r="AV38" i="6"/>
  <c r="AF38" i="6"/>
  <c r="AJ37" i="6"/>
  <c r="V37" i="6"/>
  <c r="AZ37" i="6"/>
  <c r="AP37" i="6"/>
  <c r="T37" i="6"/>
  <c r="AD37" i="6"/>
  <c r="AN37" i="6"/>
  <c r="AH37" i="6"/>
  <c r="AT37" i="6"/>
  <c r="AB37" i="6"/>
  <c r="L37" i="6"/>
  <c r="AR37" i="6"/>
  <c r="Z37" i="6"/>
  <c r="N37" i="6"/>
  <c r="P37" i="6"/>
  <c r="R37" i="6"/>
  <c r="AX37" i="6"/>
  <c r="X37" i="6"/>
  <c r="AL37" i="6"/>
  <c r="AV37" i="6"/>
  <c r="AF37" i="6"/>
  <c r="AJ36" i="6"/>
  <c r="V36" i="6"/>
  <c r="AZ36" i="6"/>
  <c r="AP36" i="6"/>
  <c r="T36" i="6"/>
  <c r="AD36" i="6"/>
  <c r="AN36" i="6"/>
  <c r="AH36" i="6"/>
  <c r="AT36" i="6"/>
  <c r="AB36" i="6"/>
  <c r="L36" i="6"/>
  <c r="AR36" i="6"/>
  <c r="Z36" i="6"/>
  <c r="N36" i="6"/>
  <c r="P36" i="6"/>
  <c r="R36" i="6"/>
  <c r="AX36" i="6"/>
  <c r="X36" i="6"/>
  <c r="AL36" i="6"/>
  <c r="AV36" i="6"/>
  <c r="AF36" i="6"/>
  <c r="AJ35" i="6"/>
  <c r="V35" i="6"/>
  <c r="AZ35" i="6"/>
  <c r="AP35" i="6"/>
  <c r="T35" i="6"/>
  <c r="AD35" i="6"/>
  <c r="AN35" i="6"/>
  <c r="AH35" i="6"/>
  <c r="AT35" i="6"/>
  <c r="AB35" i="6"/>
  <c r="L35" i="6"/>
  <c r="AR35" i="6"/>
  <c r="Z35" i="6"/>
  <c r="N35" i="6"/>
  <c r="P35" i="6"/>
  <c r="R35" i="6"/>
  <c r="AX35" i="6"/>
  <c r="X35" i="6"/>
  <c r="AL35" i="6"/>
  <c r="AV35" i="6"/>
  <c r="AF35" i="6"/>
  <c r="AJ34" i="6"/>
  <c r="V34" i="6"/>
  <c r="AZ34" i="6"/>
  <c r="AP34" i="6"/>
  <c r="T34" i="6"/>
  <c r="AD34" i="6"/>
  <c r="AN34" i="6"/>
  <c r="AH34" i="6"/>
  <c r="AT34" i="6"/>
  <c r="AB34" i="6"/>
  <c r="L34" i="6"/>
  <c r="AR34" i="6"/>
  <c r="Z34" i="6"/>
  <c r="N34" i="6"/>
  <c r="P34" i="6"/>
  <c r="R34" i="6"/>
  <c r="AX34" i="6"/>
  <c r="X34" i="6"/>
  <c r="AL34" i="6"/>
  <c r="AV34" i="6"/>
  <c r="AF34" i="6"/>
  <c r="AJ33" i="6"/>
  <c r="V33" i="6"/>
  <c r="AZ33" i="6"/>
  <c r="AP33" i="6"/>
  <c r="T33" i="6"/>
  <c r="AD33" i="6"/>
  <c r="AN33" i="6"/>
  <c r="AH33" i="6"/>
  <c r="AT33" i="6"/>
  <c r="AB33" i="6"/>
  <c r="L33" i="6"/>
  <c r="AR33" i="6"/>
  <c r="Z33" i="6"/>
  <c r="N33" i="6"/>
  <c r="P33" i="6"/>
  <c r="R33" i="6"/>
  <c r="AX33" i="6"/>
  <c r="X33" i="6"/>
  <c r="AL33" i="6"/>
  <c r="AV33" i="6"/>
  <c r="AF33" i="6"/>
  <c r="AJ32" i="6"/>
  <c r="V32" i="6"/>
  <c r="AZ32" i="6"/>
  <c r="AP32" i="6"/>
  <c r="T32" i="6"/>
  <c r="AD32" i="6"/>
  <c r="AN32" i="6"/>
  <c r="AH32" i="6"/>
  <c r="AT32" i="6"/>
  <c r="AB32" i="6"/>
  <c r="L32" i="6"/>
  <c r="AR32" i="6"/>
  <c r="Z32" i="6"/>
  <c r="N32" i="6"/>
  <c r="P32" i="6"/>
  <c r="R32" i="6"/>
  <c r="AX32" i="6"/>
  <c r="X32" i="6"/>
  <c r="AL32" i="6"/>
  <c r="AV32" i="6"/>
  <c r="AF32" i="6"/>
  <c r="AJ31" i="6"/>
  <c r="V31" i="6"/>
  <c r="AZ31" i="6"/>
  <c r="AP31" i="6"/>
  <c r="T31" i="6"/>
  <c r="AD31" i="6"/>
  <c r="AN31" i="6"/>
  <c r="AH31" i="6"/>
  <c r="AT31" i="6"/>
  <c r="AB31" i="6"/>
  <c r="L31" i="6"/>
  <c r="AR31" i="6"/>
  <c r="Z31" i="6"/>
  <c r="N31" i="6"/>
  <c r="P31" i="6"/>
  <c r="R31" i="6"/>
  <c r="AX31" i="6"/>
  <c r="X31" i="6"/>
  <c r="AL31" i="6"/>
  <c r="AV31" i="6"/>
  <c r="AF31" i="6"/>
  <c r="AJ30" i="6"/>
  <c r="AZ30" i="6"/>
  <c r="AP30" i="6"/>
  <c r="T30" i="6"/>
  <c r="AD30" i="6"/>
  <c r="AN30" i="6"/>
  <c r="AH30" i="6"/>
  <c r="AT30" i="6"/>
  <c r="AB30" i="6"/>
  <c r="L30" i="6"/>
  <c r="AR30" i="6"/>
  <c r="Z30" i="6"/>
  <c r="N30" i="6"/>
  <c r="P30" i="6"/>
  <c r="R30" i="6"/>
  <c r="AX30" i="6"/>
  <c r="X30" i="6"/>
  <c r="AL30" i="6"/>
  <c r="AV30" i="6"/>
  <c r="AF30" i="6"/>
  <c r="AJ29" i="6"/>
  <c r="V29" i="6"/>
  <c r="AZ29" i="6"/>
  <c r="AP29" i="6"/>
  <c r="T29" i="6"/>
  <c r="AD29" i="6"/>
  <c r="AN29" i="6"/>
  <c r="AH29" i="6"/>
  <c r="AT29" i="6"/>
  <c r="AB29" i="6"/>
  <c r="L29" i="6"/>
  <c r="AR29" i="6"/>
  <c r="Z29" i="6"/>
  <c r="N29" i="6"/>
  <c r="P29" i="6"/>
  <c r="R29" i="6"/>
  <c r="AX29" i="6"/>
  <c r="X29" i="6"/>
  <c r="AL29" i="6"/>
  <c r="AV29" i="6"/>
  <c r="AF29" i="6"/>
  <c r="AJ28" i="6"/>
  <c r="V28" i="6"/>
  <c r="AZ28" i="6"/>
  <c r="AP28" i="6"/>
  <c r="T28" i="6"/>
  <c r="AD28" i="6"/>
  <c r="AN28" i="6"/>
  <c r="AH28" i="6"/>
  <c r="AT28" i="6"/>
  <c r="AB28" i="6"/>
  <c r="L28" i="6"/>
  <c r="AR28" i="6"/>
  <c r="Z28" i="6"/>
  <c r="N28" i="6"/>
  <c r="P28" i="6"/>
  <c r="R28" i="6"/>
  <c r="AX28" i="6"/>
  <c r="X28" i="6"/>
  <c r="AL28" i="6"/>
  <c r="AV28" i="6"/>
  <c r="AF28" i="6"/>
  <c r="AJ27" i="6"/>
  <c r="V27" i="6"/>
  <c r="AZ27" i="6"/>
  <c r="AP27" i="6"/>
  <c r="T27" i="6"/>
  <c r="AD27" i="6"/>
  <c r="AN27" i="6"/>
  <c r="AH27" i="6"/>
  <c r="AT27" i="6"/>
  <c r="AB27" i="6"/>
  <c r="L27" i="6"/>
  <c r="AR27" i="6"/>
  <c r="Z27" i="6"/>
  <c r="N27" i="6"/>
  <c r="P27" i="6"/>
  <c r="R27" i="6"/>
  <c r="AX27" i="6"/>
  <c r="X27" i="6"/>
  <c r="AL27" i="6"/>
  <c r="AV27" i="6"/>
  <c r="AF27" i="6"/>
  <c r="AJ26" i="6"/>
  <c r="V26" i="6"/>
  <c r="AZ26" i="6"/>
  <c r="AP26" i="6"/>
  <c r="T26" i="6"/>
  <c r="AD26" i="6"/>
  <c r="AN26" i="6"/>
  <c r="AH26" i="6"/>
  <c r="AT26" i="6"/>
  <c r="AB26" i="6"/>
  <c r="L26" i="6"/>
  <c r="AR26" i="6"/>
  <c r="Z26" i="6"/>
  <c r="N26" i="6"/>
  <c r="P26" i="6"/>
  <c r="R26" i="6"/>
  <c r="AX26" i="6"/>
  <c r="X26" i="6"/>
  <c r="AL26" i="6"/>
  <c r="AV26" i="6"/>
  <c r="AF26" i="6"/>
  <c r="AJ25" i="6"/>
  <c r="V25" i="6"/>
  <c r="AZ25" i="6"/>
  <c r="AP25" i="6"/>
  <c r="T25" i="6"/>
  <c r="AD25" i="6"/>
  <c r="AN25" i="6"/>
  <c r="AH25" i="6"/>
  <c r="AT25" i="6"/>
  <c r="AB25" i="6"/>
  <c r="L25" i="6"/>
  <c r="AR25" i="6"/>
  <c r="Z25" i="6"/>
  <c r="N25" i="6"/>
  <c r="P25" i="6"/>
  <c r="R25" i="6"/>
  <c r="AX25" i="6"/>
  <c r="X25" i="6"/>
  <c r="AL25" i="6"/>
  <c r="AV25" i="6"/>
  <c r="AF25" i="6"/>
  <c r="AJ24" i="6"/>
  <c r="V24" i="6"/>
  <c r="AZ24" i="6"/>
  <c r="AP24" i="6"/>
  <c r="T24" i="6"/>
  <c r="AD24" i="6"/>
  <c r="AN24" i="6"/>
  <c r="AH24" i="6"/>
  <c r="AT24" i="6"/>
  <c r="AB24" i="6"/>
  <c r="L24" i="6"/>
  <c r="AR24" i="6"/>
  <c r="Z24" i="6"/>
  <c r="N24" i="6"/>
  <c r="P24" i="6"/>
  <c r="R24" i="6"/>
  <c r="AX24" i="6"/>
  <c r="X24" i="6"/>
  <c r="AL24" i="6"/>
  <c r="AV24" i="6"/>
  <c r="AF24" i="6"/>
  <c r="AJ23" i="6"/>
  <c r="V23" i="6"/>
  <c r="AZ23" i="6"/>
  <c r="AP23" i="6"/>
  <c r="T23" i="6"/>
  <c r="AD23" i="6"/>
  <c r="AN23" i="6"/>
  <c r="AH23" i="6"/>
  <c r="AT23" i="6"/>
  <c r="AB23" i="6"/>
  <c r="L23" i="6"/>
  <c r="AR23" i="6"/>
  <c r="Z23" i="6"/>
  <c r="N23" i="6"/>
  <c r="P23" i="6"/>
  <c r="R23" i="6"/>
  <c r="AX23" i="6"/>
  <c r="X23" i="6"/>
  <c r="AL23" i="6"/>
  <c r="AV23" i="6"/>
  <c r="AF23" i="6"/>
  <c r="AJ22" i="6"/>
  <c r="V22" i="6"/>
  <c r="AZ22" i="6"/>
  <c r="AP22" i="6"/>
  <c r="T22" i="6"/>
  <c r="AD22" i="6"/>
  <c r="AN22" i="6"/>
  <c r="AH22" i="6"/>
  <c r="AT22" i="6"/>
  <c r="AB22" i="6"/>
  <c r="L22" i="6"/>
  <c r="AR22" i="6"/>
  <c r="Z22" i="6"/>
  <c r="N22" i="6"/>
  <c r="P22" i="6"/>
  <c r="R22" i="6"/>
  <c r="AX22" i="6"/>
  <c r="X22" i="6"/>
  <c r="AL22" i="6"/>
  <c r="AV22" i="6"/>
  <c r="AF22" i="6"/>
  <c r="AJ21" i="6"/>
  <c r="V21" i="6"/>
  <c r="AZ21" i="6"/>
  <c r="AP21" i="6"/>
  <c r="T21" i="6"/>
  <c r="AD21" i="6"/>
  <c r="AN21" i="6"/>
  <c r="AH21" i="6"/>
  <c r="AT21" i="6"/>
  <c r="AB21" i="6"/>
  <c r="L21" i="6"/>
  <c r="AR21" i="6"/>
  <c r="Z21" i="6"/>
  <c r="N21" i="6"/>
  <c r="P21" i="6"/>
  <c r="R21" i="6"/>
  <c r="AX21" i="6"/>
  <c r="X21" i="6"/>
  <c r="AL21" i="6"/>
  <c r="AV21" i="6"/>
  <c r="AF21" i="6"/>
  <c r="AJ20" i="6"/>
  <c r="V20" i="6"/>
  <c r="AZ20" i="6"/>
  <c r="AP20" i="6"/>
  <c r="T20" i="6"/>
  <c r="AD20" i="6"/>
  <c r="AN20" i="6"/>
  <c r="AH20" i="6"/>
  <c r="AT20" i="6"/>
  <c r="AB20" i="6"/>
  <c r="L20" i="6"/>
  <c r="AR20" i="6"/>
  <c r="Z20" i="6"/>
  <c r="N20" i="6"/>
  <c r="P20" i="6"/>
  <c r="R20" i="6"/>
  <c r="AX20" i="6"/>
  <c r="X20" i="6"/>
  <c r="AL20" i="6"/>
  <c r="AV20" i="6"/>
  <c r="AF20" i="6"/>
  <c r="AJ19" i="6"/>
  <c r="V19" i="6"/>
  <c r="AZ19" i="6"/>
  <c r="AP19" i="6"/>
  <c r="T19" i="6"/>
  <c r="AD19" i="6"/>
  <c r="AN19" i="6"/>
  <c r="AH19" i="6"/>
  <c r="AT19" i="6"/>
  <c r="AB19" i="6"/>
  <c r="L19" i="6"/>
  <c r="AR19" i="6"/>
  <c r="Z19" i="6"/>
  <c r="N19" i="6"/>
  <c r="P19" i="6"/>
  <c r="R19" i="6"/>
  <c r="AX19" i="6"/>
  <c r="X19" i="6"/>
  <c r="AL19" i="6"/>
  <c r="AV19" i="6"/>
  <c r="AF19" i="6"/>
  <c r="AJ18" i="6"/>
  <c r="V18" i="6"/>
  <c r="AZ18" i="6"/>
  <c r="AP18" i="6"/>
  <c r="T18" i="6"/>
  <c r="AD18" i="6"/>
  <c r="AN18" i="6"/>
  <c r="AH18" i="6"/>
  <c r="AT18" i="6"/>
  <c r="AB18" i="6"/>
  <c r="L18" i="6"/>
  <c r="AR18" i="6"/>
  <c r="Z18" i="6"/>
  <c r="N18" i="6"/>
  <c r="P18" i="6"/>
  <c r="R18" i="6"/>
  <c r="AX18" i="6"/>
  <c r="X18" i="6"/>
  <c r="AL18" i="6"/>
  <c r="AV18" i="6"/>
  <c r="AF18" i="6"/>
  <c r="AJ17" i="6"/>
  <c r="V17" i="6"/>
  <c r="AZ17" i="6"/>
  <c r="AP17" i="6"/>
  <c r="T17" i="6"/>
  <c r="AD17" i="6"/>
  <c r="AN17" i="6"/>
  <c r="AH17" i="6"/>
  <c r="AT17" i="6"/>
  <c r="AB17" i="6"/>
  <c r="L17" i="6"/>
  <c r="AR17" i="6"/>
  <c r="Z17" i="6"/>
  <c r="N17" i="6"/>
  <c r="P17" i="6"/>
  <c r="R17" i="6"/>
  <c r="AX17" i="6"/>
  <c r="X17" i="6"/>
  <c r="AL17" i="6"/>
  <c r="AV17" i="6"/>
  <c r="AF17" i="6"/>
  <c r="AJ16" i="6"/>
  <c r="V16" i="6"/>
  <c r="AZ16" i="6"/>
  <c r="AP16" i="6"/>
  <c r="T16" i="6"/>
  <c r="AD16" i="6"/>
  <c r="AN16" i="6"/>
  <c r="AH16" i="6"/>
  <c r="AT16" i="6"/>
  <c r="AB16" i="6"/>
  <c r="L16" i="6"/>
  <c r="AR16" i="6"/>
  <c r="Z16" i="6"/>
  <c r="N16" i="6"/>
  <c r="P16" i="6"/>
  <c r="R16" i="6"/>
  <c r="AX16" i="6"/>
  <c r="X16" i="6"/>
  <c r="AL16" i="6"/>
  <c r="AV16" i="6"/>
  <c r="AF16" i="6"/>
  <c r="AJ15" i="6"/>
  <c r="V15" i="6"/>
  <c r="AZ15" i="6"/>
  <c r="AP15" i="6"/>
  <c r="T15" i="6"/>
  <c r="AD15" i="6"/>
  <c r="AN15" i="6"/>
  <c r="AH15" i="6"/>
  <c r="AT15" i="6"/>
  <c r="AB15" i="6"/>
  <c r="L15" i="6"/>
  <c r="AR15" i="6"/>
  <c r="Z15" i="6"/>
  <c r="N15" i="6"/>
  <c r="P15" i="6"/>
  <c r="R15" i="6"/>
  <c r="AX15" i="6"/>
  <c r="X15" i="6"/>
  <c r="AL15" i="6"/>
  <c r="AV15" i="6"/>
  <c r="AF15" i="6"/>
  <c r="AJ14" i="6"/>
  <c r="V14" i="6"/>
  <c r="AZ14" i="6"/>
  <c r="AP14" i="6"/>
  <c r="T14" i="6"/>
  <c r="AD14" i="6"/>
  <c r="AN14" i="6"/>
  <c r="AH14" i="6"/>
  <c r="AT14" i="6"/>
  <c r="AB14" i="6"/>
  <c r="L14" i="6"/>
  <c r="AR14" i="6"/>
  <c r="Z14" i="6"/>
  <c r="N14" i="6"/>
  <c r="P14" i="6"/>
  <c r="R14" i="6"/>
  <c r="AX14" i="6"/>
  <c r="X14" i="6"/>
  <c r="AL14" i="6"/>
  <c r="AV14" i="6"/>
  <c r="AF14" i="6"/>
  <c r="AJ13" i="6"/>
  <c r="V13" i="6"/>
  <c r="AZ13" i="6"/>
  <c r="AP13" i="6"/>
  <c r="T13" i="6"/>
  <c r="AD13" i="6"/>
  <c r="AN13" i="6"/>
  <c r="AH13" i="6"/>
  <c r="AT13" i="6"/>
  <c r="AB13" i="6"/>
  <c r="L13" i="6"/>
  <c r="AR13" i="6"/>
  <c r="Z13" i="6"/>
  <c r="N13" i="6"/>
  <c r="P13" i="6"/>
  <c r="R13" i="6"/>
  <c r="AX13" i="6"/>
  <c r="X13" i="6"/>
  <c r="AL13" i="6"/>
  <c r="AV13" i="6"/>
  <c r="AF13" i="6"/>
  <c r="AJ12" i="6"/>
  <c r="V12" i="6"/>
  <c r="AZ12" i="6"/>
  <c r="AP12" i="6"/>
  <c r="T12" i="6"/>
  <c r="AD12" i="6"/>
  <c r="AN12" i="6"/>
  <c r="AH12" i="6"/>
  <c r="AT12" i="6"/>
  <c r="AB12" i="6"/>
  <c r="L12" i="6"/>
  <c r="AR12" i="6"/>
  <c r="Z12" i="6"/>
  <c r="N12" i="6"/>
  <c r="P12" i="6"/>
  <c r="R12" i="6"/>
  <c r="AX12" i="6"/>
  <c r="X12" i="6"/>
  <c r="AL12" i="6"/>
  <c r="AV12" i="6"/>
  <c r="AF12" i="6"/>
  <c r="AJ11" i="6"/>
  <c r="V11" i="6"/>
  <c r="AZ11" i="6"/>
  <c r="AP11" i="6"/>
  <c r="T11" i="6"/>
  <c r="AD11" i="6"/>
  <c r="AN11" i="6"/>
  <c r="AH11" i="6"/>
  <c r="AT11" i="6"/>
  <c r="AB11" i="6"/>
  <c r="L11" i="6"/>
  <c r="AR11" i="6"/>
  <c r="Z11" i="6"/>
  <c r="N11" i="6"/>
  <c r="P11" i="6"/>
  <c r="R11" i="6"/>
  <c r="AX11" i="6"/>
  <c r="X11" i="6"/>
  <c r="AL11" i="6"/>
  <c r="AV11" i="6"/>
  <c r="AF11" i="6"/>
  <c r="AC76" i="4"/>
  <c r="AB76" i="4"/>
  <c r="AA76" i="4"/>
  <c r="Z76" i="4"/>
  <c r="Y76" i="4"/>
  <c r="X76" i="4"/>
  <c r="W76" i="4"/>
  <c r="V76" i="4"/>
  <c r="U76" i="4"/>
  <c r="T76" i="4"/>
  <c r="S76" i="4"/>
  <c r="R76" i="4"/>
  <c r="Q76" i="4"/>
  <c r="P76" i="4"/>
  <c r="O76" i="4"/>
  <c r="N76" i="4"/>
  <c r="M76" i="4"/>
  <c r="L76" i="4"/>
  <c r="K76" i="4"/>
  <c r="J76" i="4"/>
  <c r="L36" i="5"/>
  <c r="N36" i="5"/>
  <c r="P36" i="5"/>
  <c r="R36" i="5"/>
  <c r="T36" i="5"/>
  <c r="V36" i="5"/>
  <c r="X36" i="5"/>
  <c r="Z36" i="5"/>
  <c r="AB36" i="5"/>
  <c r="AD36" i="5"/>
  <c r="AF36" i="5"/>
  <c r="AH36" i="5"/>
  <c r="AJ36" i="5"/>
  <c r="AL36" i="5"/>
  <c r="AN36" i="5"/>
  <c r="AP36" i="5"/>
  <c r="AR36" i="5"/>
  <c r="AT36" i="5"/>
  <c r="AV36" i="5"/>
  <c r="AX36" i="5"/>
  <c r="AZ36" i="5"/>
  <c r="AZ113" i="5"/>
  <c r="AZ112" i="5"/>
  <c r="AZ111" i="5"/>
  <c r="AZ110" i="5"/>
  <c r="AZ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Z83" i="5"/>
  <c r="AZ82" i="5"/>
  <c r="AZ81" i="5"/>
  <c r="AZ80" i="5"/>
  <c r="AZ79" i="5"/>
  <c r="AZ78" i="5"/>
  <c r="AZ77" i="5"/>
  <c r="AZ76" i="5"/>
  <c r="AZ75" i="5"/>
  <c r="AZ74" i="5"/>
  <c r="AZ73" i="5"/>
  <c r="AZ72" i="5"/>
  <c r="AZ71" i="5"/>
  <c r="AZ70" i="5"/>
  <c r="AZ69" i="5"/>
  <c r="AZ68" i="5"/>
  <c r="AZ67" i="5"/>
  <c r="AZ66" i="5"/>
  <c r="AZ65" i="5"/>
  <c r="AZ64" i="5"/>
  <c r="AZ63" i="5"/>
  <c r="AZ62" i="5"/>
  <c r="AZ61" i="5"/>
  <c r="AZ60" i="5"/>
  <c r="AZ59" i="5"/>
  <c r="AZ58" i="5"/>
  <c r="AZ57" i="5"/>
  <c r="AZ56" i="5"/>
  <c r="AZ55" i="5"/>
  <c r="AZ54" i="5"/>
  <c r="AZ53" i="5"/>
  <c r="AZ52" i="5"/>
  <c r="AZ51" i="5"/>
  <c r="AZ50" i="5"/>
  <c r="AZ49" i="5"/>
  <c r="AZ48" i="5"/>
  <c r="AZ46" i="5"/>
  <c r="AZ45" i="5"/>
  <c r="AZ44" i="5"/>
  <c r="AZ43" i="5"/>
  <c r="AZ42" i="5"/>
  <c r="AZ41" i="5"/>
  <c r="AZ40" i="5"/>
  <c r="AZ39" i="5"/>
  <c r="AZ38" i="5"/>
  <c r="AZ37" i="5"/>
  <c r="AZ35" i="5"/>
  <c r="AZ34" i="5"/>
  <c r="AZ33" i="5"/>
  <c r="AZ32" i="5"/>
  <c r="AZ31" i="5"/>
  <c r="AZ30" i="5"/>
  <c r="AZ29" i="5"/>
  <c r="AZ28" i="5"/>
  <c r="AZ27" i="5"/>
  <c r="AZ26" i="5"/>
  <c r="AZ25" i="5"/>
  <c r="AZ24" i="5"/>
  <c r="AZ23" i="5"/>
  <c r="AZ22" i="5"/>
  <c r="AZ21" i="5"/>
  <c r="AZ20" i="5"/>
  <c r="AZ19" i="5"/>
  <c r="AZ18" i="5"/>
  <c r="AZ17" i="5"/>
  <c r="AZ16" i="5"/>
  <c r="AZ15" i="5"/>
  <c r="AZ14" i="5"/>
  <c r="AZ13" i="5"/>
  <c r="AZ12" i="5"/>
  <c r="AZ11" i="5"/>
  <c r="AX113" i="5"/>
  <c r="AX112" i="5"/>
  <c r="AX111" i="5"/>
  <c r="AX110" i="5"/>
  <c r="AX109" i="5"/>
  <c r="AX108" i="5"/>
  <c r="AX107" i="5"/>
  <c r="AX106" i="5"/>
  <c r="AX105" i="5"/>
  <c r="AX104" i="5"/>
  <c r="AX103" i="5"/>
  <c r="AX102" i="5"/>
  <c r="AX100" i="5"/>
  <c r="AX99" i="5"/>
  <c r="AX98" i="5"/>
  <c r="AX97" i="5"/>
  <c r="AX96" i="5"/>
  <c r="AX95" i="5"/>
  <c r="AX94" i="5"/>
  <c r="AX93" i="5"/>
  <c r="AX92" i="5"/>
  <c r="AX91" i="5"/>
  <c r="AX90" i="5"/>
  <c r="AX89" i="5"/>
  <c r="AX88" i="5"/>
  <c r="AX87" i="5"/>
  <c r="AX86" i="5"/>
  <c r="AX85" i="5"/>
  <c r="AX84" i="5"/>
  <c r="AX83" i="5"/>
  <c r="AX82" i="5"/>
  <c r="AX81" i="5"/>
  <c r="AX80" i="5"/>
  <c r="AX79" i="5"/>
  <c r="AX78" i="5"/>
  <c r="AX77" i="5"/>
  <c r="AX76" i="5"/>
  <c r="AX75" i="5"/>
  <c r="AX74" i="5"/>
  <c r="AX73" i="5"/>
  <c r="AX72" i="5"/>
  <c r="AX71" i="5"/>
  <c r="AX70" i="5"/>
  <c r="AX69" i="5"/>
  <c r="AX68" i="5"/>
  <c r="AX67" i="5"/>
  <c r="AX66" i="5"/>
  <c r="AX65" i="5"/>
  <c r="AX64" i="5"/>
  <c r="AX63" i="5"/>
  <c r="AX62" i="5"/>
  <c r="AX61" i="5"/>
  <c r="AX60" i="5"/>
  <c r="AX59" i="5"/>
  <c r="AX58" i="5"/>
  <c r="AX57" i="5"/>
  <c r="AX56" i="5"/>
  <c r="AX55" i="5"/>
  <c r="AX54" i="5"/>
  <c r="AX53" i="5"/>
  <c r="AX52" i="5"/>
  <c r="AX51" i="5"/>
  <c r="AX50" i="5"/>
  <c r="AX49" i="5"/>
  <c r="AX48" i="5"/>
  <c r="AZ47" i="5"/>
  <c r="AX46" i="5"/>
  <c r="AX45" i="5"/>
  <c r="AX44" i="5"/>
  <c r="AX43" i="5"/>
  <c r="AX42" i="5"/>
  <c r="AX41" i="5"/>
  <c r="AX40" i="5"/>
  <c r="AX39" i="5"/>
  <c r="AX38" i="5"/>
  <c r="AX37" i="5"/>
  <c r="AX35" i="5"/>
  <c r="AX34" i="5"/>
  <c r="AX33" i="5"/>
  <c r="AX32" i="5"/>
  <c r="AX31" i="5"/>
  <c r="AX30" i="5"/>
  <c r="AX29" i="5"/>
  <c r="AX28" i="5"/>
  <c r="AX27" i="5"/>
  <c r="AX26" i="5"/>
  <c r="AX25" i="5"/>
  <c r="AX24" i="5"/>
  <c r="AX23" i="5"/>
  <c r="AX22" i="5"/>
  <c r="AX21" i="5"/>
  <c r="AX20" i="5"/>
  <c r="AX19" i="5"/>
  <c r="AX18" i="5"/>
  <c r="AX17" i="5"/>
  <c r="AX16" i="5"/>
  <c r="AX15" i="5"/>
  <c r="AX14" i="5"/>
  <c r="AX13" i="5"/>
  <c r="AX12" i="5"/>
  <c r="AX11" i="5"/>
  <c r="AV113" i="5"/>
  <c r="AV112" i="5"/>
  <c r="AV111" i="5"/>
  <c r="AV110" i="5"/>
  <c r="AV109" i="5"/>
  <c r="AV108" i="5"/>
  <c r="AV107" i="5"/>
  <c r="AV106" i="5"/>
  <c r="AV105" i="5"/>
  <c r="AV104" i="5"/>
  <c r="AV103" i="5"/>
  <c r="AV102" i="5"/>
  <c r="AV101" i="5"/>
  <c r="AV100" i="5"/>
  <c r="AV99" i="5"/>
  <c r="AV98" i="5"/>
  <c r="AV97" i="5"/>
  <c r="AV96" i="5"/>
  <c r="AV95" i="5"/>
  <c r="AV94" i="5"/>
  <c r="AV93" i="5"/>
  <c r="AV92" i="5"/>
  <c r="AV91" i="5"/>
  <c r="AV90" i="5"/>
  <c r="AV89" i="5"/>
  <c r="AV88" i="5"/>
  <c r="AV87" i="5"/>
  <c r="AV86" i="5"/>
  <c r="AV85" i="5"/>
  <c r="AV84" i="5"/>
  <c r="AV83" i="5"/>
  <c r="AV82" i="5"/>
  <c r="AV81" i="5"/>
  <c r="AV80" i="5"/>
  <c r="AV79" i="5"/>
  <c r="AV78" i="5"/>
  <c r="AV77" i="5"/>
  <c r="AV76" i="5"/>
  <c r="AV75" i="5"/>
  <c r="AV74" i="5"/>
  <c r="AV73" i="5"/>
  <c r="AV72" i="5"/>
  <c r="AV71" i="5"/>
  <c r="AV70" i="5"/>
  <c r="AV69" i="5"/>
  <c r="AV68" i="5"/>
  <c r="AV67" i="5"/>
  <c r="AV66" i="5"/>
  <c r="AV65" i="5"/>
  <c r="AV64" i="5"/>
  <c r="AV63" i="5"/>
  <c r="AV62" i="5"/>
  <c r="AV61" i="5"/>
  <c r="AV60" i="5"/>
  <c r="AV59" i="5"/>
  <c r="AV58" i="5"/>
  <c r="AV57" i="5"/>
  <c r="AV56" i="5"/>
  <c r="AV55" i="5"/>
  <c r="AV54" i="5"/>
  <c r="AV53" i="5"/>
  <c r="AV52" i="5"/>
  <c r="AV51" i="5"/>
  <c r="AV50" i="5"/>
  <c r="AV49" i="5"/>
  <c r="AV48" i="5"/>
  <c r="AV47" i="5"/>
  <c r="AV46" i="5"/>
  <c r="AV45" i="5"/>
  <c r="AV44" i="5"/>
  <c r="AV43" i="5"/>
  <c r="AV42" i="5"/>
  <c r="AV41" i="5"/>
  <c r="AV40" i="5"/>
  <c r="AV39" i="5"/>
  <c r="AV38" i="5"/>
  <c r="AV37" i="5"/>
  <c r="AV35" i="5"/>
  <c r="AV34" i="5"/>
  <c r="AV33" i="5"/>
  <c r="AV32" i="5"/>
  <c r="AV31" i="5"/>
  <c r="AV30" i="5"/>
  <c r="AV29" i="5"/>
  <c r="AV28" i="5"/>
  <c r="AV27" i="5"/>
  <c r="AV26" i="5"/>
  <c r="AV25" i="5"/>
  <c r="AV24" i="5"/>
  <c r="AV23" i="5"/>
  <c r="AV22" i="5"/>
  <c r="AV21" i="5"/>
  <c r="AV20" i="5"/>
  <c r="AV19" i="5"/>
  <c r="AV18" i="5"/>
  <c r="AV17" i="5"/>
  <c r="AV16" i="5"/>
  <c r="AV15" i="5"/>
  <c r="AV14" i="5"/>
  <c r="AV13" i="5"/>
  <c r="AV12" i="5"/>
  <c r="AV11" i="5"/>
  <c r="AT113" i="5"/>
  <c r="AT112" i="5"/>
  <c r="AT111" i="5"/>
  <c r="AT110" i="5"/>
  <c r="AT109" i="5"/>
  <c r="AT108" i="5"/>
  <c r="AT107" i="5"/>
  <c r="AT106" i="5"/>
  <c r="AT105" i="5"/>
  <c r="AT104" i="5"/>
  <c r="AT103" i="5"/>
  <c r="AT102" i="5"/>
  <c r="AT101" i="5"/>
  <c r="AT100" i="5"/>
  <c r="AT99" i="5"/>
  <c r="AT98" i="5"/>
  <c r="AT97" i="5"/>
  <c r="AT96" i="5"/>
  <c r="AT95" i="5"/>
  <c r="AT94" i="5"/>
  <c r="AT93" i="5"/>
  <c r="AT92" i="5"/>
  <c r="AT91" i="5"/>
  <c r="AT90" i="5"/>
  <c r="AT89" i="5"/>
  <c r="AT88" i="5"/>
  <c r="AT87" i="5"/>
  <c r="AT86" i="5"/>
  <c r="AT85" i="5"/>
  <c r="AT84" i="5"/>
  <c r="AT83" i="5"/>
  <c r="AT82" i="5"/>
  <c r="AT81" i="5"/>
  <c r="AT80" i="5"/>
  <c r="AT79" i="5"/>
  <c r="AT78" i="5"/>
  <c r="AT77" i="5"/>
  <c r="AT76" i="5"/>
  <c r="AT75" i="5"/>
  <c r="AT74" i="5"/>
  <c r="AT73" i="5"/>
  <c r="AT72" i="5"/>
  <c r="AT71" i="5"/>
  <c r="AT70" i="5"/>
  <c r="AT69" i="5"/>
  <c r="AT68" i="5"/>
  <c r="AT67" i="5"/>
  <c r="AT66" i="5"/>
  <c r="AT65" i="5"/>
  <c r="AT64" i="5"/>
  <c r="AT63" i="5"/>
  <c r="AT62" i="5"/>
  <c r="AT61" i="5"/>
  <c r="AT60" i="5"/>
  <c r="AT59" i="5"/>
  <c r="AT58" i="5"/>
  <c r="AT57" i="5"/>
  <c r="AT56" i="5"/>
  <c r="AT55" i="5"/>
  <c r="AT54" i="5"/>
  <c r="AT53" i="5"/>
  <c r="AT52" i="5"/>
  <c r="AT51" i="5"/>
  <c r="AT50" i="5"/>
  <c r="AT49" i="5"/>
  <c r="AT48" i="5"/>
  <c r="AT47" i="5"/>
  <c r="AT46" i="5"/>
  <c r="AT45" i="5"/>
  <c r="AT44" i="5"/>
  <c r="AT43" i="5"/>
  <c r="AT42" i="5"/>
  <c r="AT41" i="5"/>
  <c r="AT40" i="5"/>
  <c r="AT39" i="5"/>
  <c r="AT38" i="5"/>
  <c r="AT37" i="5"/>
  <c r="AT35" i="5"/>
  <c r="AT34" i="5"/>
  <c r="AT33" i="5"/>
  <c r="AT32" i="5"/>
  <c r="AT31" i="5"/>
  <c r="AT30" i="5"/>
  <c r="AT29" i="5"/>
  <c r="AT28" i="5"/>
  <c r="AT27" i="5"/>
  <c r="AT26" i="5"/>
  <c r="AT25" i="5"/>
  <c r="AT24" i="5"/>
  <c r="AT23" i="5"/>
  <c r="AT22" i="5"/>
  <c r="AT21" i="5"/>
  <c r="AT20" i="5"/>
  <c r="AT19" i="5"/>
  <c r="AT18" i="5"/>
  <c r="AT17" i="5"/>
  <c r="AT16" i="5"/>
  <c r="AT15" i="5"/>
  <c r="AT14" i="5"/>
  <c r="AT13" i="5"/>
  <c r="AT12" i="5"/>
  <c r="AT11" i="5"/>
  <c r="AR113" i="5"/>
  <c r="AR112" i="5"/>
  <c r="AR111" i="5"/>
  <c r="AR110" i="5"/>
  <c r="AR109" i="5"/>
  <c r="AR108" i="5"/>
  <c r="AR107" i="5"/>
  <c r="AR106" i="5"/>
  <c r="AR105" i="5"/>
  <c r="AR104" i="5"/>
  <c r="AR103" i="5"/>
  <c r="AR102" i="5"/>
  <c r="AR101" i="5"/>
  <c r="AR100" i="5"/>
  <c r="AR99" i="5"/>
  <c r="AR98" i="5"/>
  <c r="AR97" i="5"/>
  <c r="AR96" i="5"/>
  <c r="AR95" i="5"/>
  <c r="AR94" i="5"/>
  <c r="AR93" i="5"/>
  <c r="AR92" i="5"/>
  <c r="AR91" i="5"/>
  <c r="AR90" i="5"/>
  <c r="AR89" i="5"/>
  <c r="AR88" i="5"/>
  <c r="AR87" i="5"/>
  <c r="AR86" i="5"/>
  <c r="AR85" i="5"/>
  <c r="AR84" i="5"/>
  <c r="AR83" i="5"/>
  <c r="AR82" i="5"/>
  <c r="AR81" i="5"/>
  <c r="AR80" i="5"/>
  <c r="AR79" i="5"/>
  <c r="AR78" i="5"/>
  <c r="AR77" i="5"/>
  <c r="AR76" i="5"/>
  <c r="AR75" i="5"/>
  <c r="AR74" i="5"/>
  <c r="AR73" i="5"/>
  <c r="AR72" i="5"/>
  <c r="AR71" i="5"/>
  <c r="AR70" i="5"/>
  <c r="AR69" i="5"/>
  <c r="AR68" i="5"/>
  <c r="AR67" i="5"/>
  <c r="AR66" i="5"/>
  <c r="AR65" i="5"/>
  <c r="AR64" i="5"/>
  <c r="AR63" i="5"/>
  <c r="AR62" i="5"/>
  <c r="AR61" i="5"/>
  <c r="AR60" i="5"/>
  <c r="AR59" i="5"/>
  <c r="AR58" i="5"/>
  <c r="AR57" i="5"/>
  <c r="AR56" i="5"/>
  <c r="AR55" i="5"/>
  <c r="AR54" i="5"/>
  <c r="AR53" i="5"/>
  <c r="AR52" i="5"/>
  <c r="AR51" i="5"/>
  <c r="AR50" i="5"/>
  <c r="AR49" i="5"/>
  <c r="AR48" i="5"/>
  <c r="AR47" i="5"/>
  <c r="AR46" i="5"/>
  <c r="AR45" i="5"/>
  <c r="AR44" i="5"/>
  <c r="AR43" i="5"/>
  <c r="AR42" i="5"/>
  <c r="AR41" i="5"/>
  <c r="AR40" i="5"/>
  <c r="AR39" i="5"/>
  <c r="AR38" i="5"/>
  <c r="AR37" i="5"/>
  <c r="AR35" i="5"/>
  <c r="AR34" i="5"/>
  <c r="AR33" i="5"/>
  <c r="AR32" i="5"/>
  <c r="AR31" i="5"/>
  <c r="AR30" i="5"/>
  <c r="AR29" i="5"/>
  <c r="AR28" i="5"/>
  <c r="AR27" i="5"/>
  <c r="AR26" i="5"/>
  <c r="AR25" i="5"/>
  <c r="AR24" i="5"/>
  <c r="AR23" i="5"/>
  <c r="AR22" i="5"/>
  <c r="AR21" i="5"/>
  <c r="AR20" i="5"/>
  <c r="AR19" i="5"/>
  <c r="AR18" i="5"/>
  <c r="AR17" i="5"/>
  <c r="AR16" i="5"/>
  <c r="AR15" i="5"/>
  <c r="AR14" i="5"/>
  <c r="AR13" i="5"/>
  <c r="AR12" i="5"/>
  <c r="AR11" i="5"/>
  <c r="AP113" i="5"/>
  <c r="AP112" i="5"/>
  <c r="AP111" i="5"/>
  <c r="AP110" i="5"/>
  <c r="AP109" i="5"/>
  <c r="AP108" i="5"/>
  <c r="AP107" i="5"/>
  <c r="AP106" i="5"/>
  <c r="AP104" i="5"/>
  <c r="AP103" i="5"/>
  <c r="AP102" i="5"/>
  <c r="AP101" i="5"/>
  <c r="AP100" i="5"/>
  <c r="AP99" i="5"/>
  <c r="AP98" i="5"/>
  <c r="AP97" i="5"/>
  <c r="AP96" i="5"/>
  <c r="AP95" i="5"/>
  <c r="AP94" i="5"/>
  <c r="AP93" i="5"/>
  <c r="AP92" i="5"/>
  <c r="AP91" i="5"/>
  <c r="AP90" i="5"/>
  <c r="AP89" i="5"/>
  <c r="AP88" i="5"/>
  <c r="AP87" i="5"/>
  <c r="AP86" i="5"/>
  <c r="AP85" i="5"/>
  <c r="AP84" i="5"/>
  <c r="AP83" i="5"/>
  <c r="AP82" i="5"/>
  <c r="AP81" i="5"/>
  <c r="AP80" i="5"/>
  <c r="AP79" i="5"/>
  <c r="AP78" i="5"/>
  <c r="AP77" i="5"/>
  <c r="AP76" i="5"/>
  <c r="AP75" i="5"/>
  <c r="AP74" i="5"/>
  <c r="AP73" i="5"/>
  <c r="AP72" i="5"/>
  <c r="AP71" i="5"/>
  <c r="AP70" i="5"/>
  <c r="AP69" i="5"/>
  <c r="AP68" i="5"/>
  <c r="AP67" i="5"/>
  <c r="AP66" i="5"/>
  <c r="AP65" i="5"/>
  <c r="AP64" i="5"/>
  <c r="AP63" i="5"/>
  <c r="AP62" i="5"/>
  <c r="AP61" i="5"/>
  <c r="AP60" i="5"/>
  <c r="AP59" i="5"/>
  <c r="AP58" i="5"/>
  <c r="AP57" i="5"/>
  <c r="AP56" i="5"/>
  <c r="AP55" i="5"/>
  <c r="AP54" i="5"/>
  <c r="AP53" i="5"/>
  <c r="AP52" i="5"/>
  <c r="AP51" i="5"/>
  <c r="AP50" i="5"/>
  <c r="AP49" i="5"/>
  <c r="AP48" i="5"/>
  <c r="AP47" i="5"/>
  <c r="AP46" i="5"/>
  <c r="AP45" i="5"/>
  <c r="AP44" i="5"/>
  <c r="AP43" i="5"/>
  <c r="AP42" i="5"/>
  <c r="AP41" i="5"/>
  <c r="AP40" i="5"/>
  <c r="AP39" i="5"/>
  <c r="AP38" i="5"/>
  <c r="AP37" i="5"/>
  <c r="AP35" i="5"/>
  <c r="AP34" i="5"/>
  <c r="AP33" i="5"/>
  <c r="AP32" i="5"/>
  <c r="AP31" i="5"/>
  <c r="AP30" i="5"/>
  <c r="AP29" i="5"/>
  <c r="AP28" i="5"/>
  <c r="AP27" i="5"/>
  <c r="AP26" i="5"/>
  <c r="AP25" i="5"/>
  <c r="AP24" i="5"/>
  <c r="AP23" i="5"/>
  <c r="AP22" i="5"/>
  <c r="AP21" i="5"/>
  <c r="AP20" i="5"/>
  <c r="AP19" i="5"/>
  <c r="AP18" i="5"/>
  <c r="AP17" i="5"/>
  <c r="AP16" i="5"/>
  <c r="AP15" i="5"/>
  <c r="AP14" i="5"/>
  <c r="AP13" i="5"/>
  <c r="AP12" i="5"/>
  <c r="AP11" i="5"/>
  <c r="AN113" i="5"/>
  <c r="AN112" i="5"/>
  <c r="AN111" i="5"/>
  <c r="AN110" i="5"/>
  <c r="AN109" i="5"/>
  <c r="AN108" i="5"/>
  <c r="AN107" i="5"/>
  <c r="AN106" i="5"/>
  <c r="AN105" i="5"/>
  <c r="AN104" i="5"/>
  <c r="AN103" i="5"/>
  <c r="AN102" i="5"/>
  <c r="AN101" i="5"/>
  <c r="AN100" i="5"/>
  <c r="AN99" i="5"/>
  <c r="AN98" i="5"/>
  <c r="AN97" i="5"/>
  <c r="AN96" i="5"/>
  <c r="AN95" i="5"/>
  <c r="AN94" i="5"/>
  <c r="AN93" i="5"/>
  <c r="AN92" i="5"/>
  <c r="AN91" i="5"/>
  <c r="AN90" i="5"/>
  <c r="AN89" i="5"/>
  <c r="AN88" i="5"/>
  <c r="AN87" i="5"/>
  <c r="AN86" i="5"/>
  <c r="AN85" i="5"/>
  <c r="AN84" i="5"/>
  <c r="AN83" i="5"/>
  <c r="AN82" i="5"/>
  <c r="AN81" i="5"/>
  <c r="AN80" i="5"/>
  <c r="AN79" i="5"/>
  <c r="AN78" i="5"/>
  <c r="AN77" i="5"/>
  <c r="AN76" i="5"/>
  <c r="AN75" i="5"/>
  <c r="AN74" i="5"/>
  <c r="AN73" i="5"/>
  <c r="AN72" i="5"/>
  <c r="AN71" i="5"/>
  <c r="AN70" i="5"/>
  <c r="AN69" i="5"/>
  <c r="AN68" i="5"/>
  <c r="AN67" i="5"/>
  <c r="AN66" i="5"/>
  <c r="AN65" i="5"/>
  <c r="AN64" i="5"/>
  <c r="AN63" i="5"/>
  <c r="AN62" i="5"/>
  <c r="AN61" i="5"/>
  <c r="AN60" i="5"/>
  <c r="AN59" i="5"/>
  <c r="AN58" i="5"/>
  <c r="AN57" i="5"/>
  <c r="AN56" i="5"/>
  <c r="AN55" i="5"/>
  <c r="AN54" i="5"/>
  <c r="AN53" i="5"/>
  <c r="AN52" i="5"/>
  <c r="AN51" i="5"/>
  <c r="AN50" i="5"/>
  <c r="AN49" i="5"/>
  <c r="AN48" i="5"/>
  <c r="AN47" i="5"/>
  <c r="AN46" i="5"/>
  <c r="AN45" i="5"/>
  <c r="AN44" i="5"/>
  <c r="AN43" i="5"/>
  <c r="AN42" i="5"/>
  <c r="AN41" i="5"/>
  <c r="AN40" i="5"/>
  <c r="AN39" i="5"/>
  <c r="AN38" i="5"/>
  <c r="AN37" i="5"/>
  <c r="AN35" i="5"/>
  <c r="AN34" i="5"/>
  <c r="AN33" i="5"/>
  <c r="AN32" i="5"/>
  <c r="AN31" i="5"/>
  <c r="AN30" i="5"/>
  <c r="AN29" i="5"/>
  <c r="AN28" i="5"/>
  <c r="AN27" i="5"/>
  <c r="AN26" i="5"/>
  <c r="AN25" i="5"/>
  <c r="AN24" i="5"/>
  <c r="AN23" i="5"/>
  <c r="AN22" i="5"/>
  <c r="AN21" i="5"/>
  <c r="AN20" i="5"/>
  <c r="AN19" i="5"/>
  <c r="AN18" i="5"/>
  <c r="AN17" i="5"/>
  <c r="AN16" i="5"/>
  <c r="AN15" i="5"/>
  <c r="AN14" i="5"/>
  <c r="AN13" i="5"/>
  <c r="AN12" i="5"/>
  <c r="AN11" i="5"/>
  <c r="AL113" i="5"/>
  <c r="AL112" i="5"/>
  <c r="AL111" i="5"/>
  <c r="AL110" i="5"/>
  <c r="AL109" i="5"/>
  <c r="AL108" i="5"/>
  <c r="AL107" i="5"/>
  <c r="AL106" i="5"/>
  <c r="AL105" i="5"/>
  <c r="AL104" i="5"/>
  <c r="AL103" i="5"/>
  <c r="AL102" i="5"/>
  <c r="AL101" i="5"/>
  <c r="AL100" i="5"/>
  <c r="AL99" i="5"/>
  <c r="AL98" i="5"/>
  <c r="AL97" i="5"/>
  <c r="AL96" i="5"/>
  <c r="AL95" i="5"/>
  <c r="AL94" i="5"/>
  <c r="AL93" i="5"/>
  <c r="AL92" i="5"/>
  <c r="AL91" i="5"/>
  <c r="AL90" i="5"/>
  <c r="AL89" i="5"/>
  <c r="AL88" i="5"/>
  <c r="AL87" i="5"/>
  <c r="AL86" i="5"/>
  <c r="AL85" i="5"/>
  <c r="AL84" i="5"/>
  <c r="AL83" i="5"/>
  <c r="AL82" i="5"/>
  <c r="AL81" i="5"/>
  <c r="AL80" i="5"/>
  <c r="AL79" i="5"/>
  <c r="AL78" i="5"/>
  <c r="AL77" i="5"/>
  <c r="AL76" i="5"/>
  <c r="AL75" i="5"/>
  <c r="AL74" i="5"/>
  <c r="AL73" i="5"/>
  <c r="AL72" i="5"/>
  <c r="AL71" i="5"/>
  <c r="AL70" i="5"/>
  <c r="AL69" i="5"/>
  <c r="AL68" i="5"/>
  <c r="AL67" i="5"/>
  <c r="AL66" i="5"/>
  <c r="AL65" i="5"/>
  <c r="AL64" i="5"/>
  <c r="AL63" i="5"/>
  <c r="AL62" i="5"/>
  <c r="AL61" i="5"/>
  <c r="AL60" i="5"/>
  <c r="AL59" i="5"/>
  <c r="AL58" i="5"/>
  <c r="AL57" i="5"/>
  <c r="AL56" i="5"/>
  <c r="AL55" i="5"/>
  <c r="AL54" i="5"/>
  <c r="AL53" i="5"/>
  <c r="AL52" i="5"/>
  <c r="AL51" i="5"/>
  <c r="AL50" i="5"/>
  <c r="AL49" i="5"/>
  <c r="AL48" i="5"/>
  <c r="AL47" i="5"/>
  <c r="AL46" i="5"/>
  <c r="AL45" i="5"/>
  <c r="AL44" i="5"/>
  <c r="AL43" i="5"/>
  <c r="AL42" i="5"/>
  <c r="AL41" i="5"/>
  <c r="AL40" i="5"/>
  <c r="AL39" i="5"/>
  <c r="AL38" i="5"/>
  <c r="AL37" i="5"/>
  <c r="AL35" i="5"/>
  <c r="AL34" i="5"/>
  <c r="AL33" i="5"/>
  <c r="AL32" i="5"/>
  <c r="AL31" i="5"/>
  <c r="AL30" i="5"/>
  <c r="AL29" i="5"/>
  <c r="AL28" i="5"/>
  <c r="AL27" i="5"/>
  <c r="AL26" i="5"/>
  <c r="AL25" i="5"/>
  <c r="AL24" i="5"/>
  <c r="AL23" i="5"/>
  <c r="AL22" i="5"/>
  <c r="AL21" i="5"/>
  <c r="AL20" i="5"/>
  <c r="AL19" i="5"/>
  <c r="AL18" i="5"/>
  <c r="AL17" i="5"/>
  <c r="AL16" i="5"/>
  <c r="AL15" i="5"/>
  <c r="AL14" i="5"/>
  <c r="AL13" i="5"/>
  <c r="AL12" i="5"/>
  <c r="AL11" i="5"/>
  <c r="AJ113" i="5"/>
  <c r="AJ112" i="5"/>
  <c r="AJ111" i="5"/>
  <c r="AJ110" i="5"/>
  <c r="AJ109" i="5"/>
  <c r="AJ108" i="5"/>
  <c r="AJ107" i="5"/>
  <c r="AJ106" i="5"/>
  <c r="AJ105" i="5"/>
  <c r="AJ104" i="5"/>
  <c r="AJ103" i="5"/>
  <c r="AJ102" i="5"/>
  <c r="AJ101" i="5"/>
  <c r="AJ100" i="5"/>
  <c r="AJ99" i="5"/>
  <c r="AJ98" i="5"/>
  <c r="AJ97" i="5"/>
  <c r="AJ96" i="5"/>
  <c r="AJ95" i="5"/>
  <c r="AJ94" i="5"/>
  <c r="AJ93" i="5"/>
  <c r="AJ92" i="5"/>
  <c r="AJ91" i="5"/>
  <c r="AJ90" i="5"/>
  <c r="AJ89" i="5"/>
  <c r="AJ88" i="5"/>
  <c r="AJ87" i="5"/>
  <c r="AJ86" i="5"/>
  <c r="AJ85" i="5"/>
  <c r="AJ84" i="5"/>
  <c r="AJ83" i="5"/>
  <c r="AJ82" i="5"/>
  <c r="AJ81" i="5"/>
  <c r="AJ80" i="5"/>
  <c r="AJ79" i="5"/>
  <c r="AJ78" i="5"/>
  <c r="AJ77" i="5"/>
  <c r="AJ76" i="5"/>
  <c r="AJ75" i="5"/>
  <c r="AJ74" i="5"/>
  <c r="AJ73" i="5"/>
  <c r="AJ72" i="5"/>
  <c r="AJ71" i="5"/>
  <c r="AJ70" i="5"/>
  <c r="AJ69" i="5"/>
  <c r="AJ68" i="5"/>
  <c r="AJ67" i="5"/>
  <c r="AJ66" i="5"/>
  <c r="AJ65" i="5"/>
  <c r="AJ64" i="5"/>
  <c r="AJ63" i="5"/>
  <c r="AJ62" i="5"/>
  <c r="AJ61" i="5"/>
  <c r="AJ60" i="5"/>
  <c r="AJ59" i="5"/>
  <c r="AJ58" i="5"/>
  <c r="AJ57" i="5"/>
  <c r="AJ56" i="5"/>
  <c r="AJ55" i="5"/>
  <c r="AJ54" i="5"/>
  <c r="AJ53" i="5"/>
  <c r="AJ52" i="5"/>
  <c r="AJ51" i="5"/>
  <c r="AJ50" i="5"/>
  <c r="AJ49" i="5"/>
  <c r="AJ48" i="5"/>
  <c r="AJ47" i="5"/>
  <c r="AJ46" i="5"/>
  <c r="AJ45" i="5"/>
  <c r="AJ44" i="5"/>
  <c r="AJ43" i="5"/>
  <c r="AJ42" i="5"/>
  <c r="AJ41" i="5"/>
  <c r="AJ40" i="5"/>
  <c r="AJ39" i="5"/>
  <c r="AJ38" i="5"/>
  <c r="AJ37" i="5"/>
  <c r="AJ35" i="5"/>
  <c r="AJ34" i="5"/>
  <c r="AJ33" i="5"/>
  <c r="AJ32" i="5"/>
  <c r="AJ31" i="5"/>
  <c r="AJ30" i="5"/>
  <c r="AJ29" i="5"/>
  <c r="AJ28" i="5"/>
  <c r="AJ27" i="5"/>
  <c r="AJ26" i="5"/>
  <c r="AJ25" i="5"/>
  <c r="AJ24" i="5"/>
  <c r="AJ23" i="5"/>
  <c r="AJ22" i="5"/>
  <c r="AJ21" i="5"/>
  <c r="AJ20" i="5"/>
  <c r="AJ19" i="5"/>
  <c r="AJ18" i="5"/>
  <c r="AJ17" i="5"/>
  <c r="AJ16" i="5"/>
  <c r="AJ15" i="5"/>
  <c r="AJ14" i="5"/>
  <c r="AJ13" i="5"/>
  <c r="AJ12" i="5"/>
  <c r="AJ11" i="5"/>
  <c r="AH113" i="5"/>
  <c r="AH112" i="5"/>
  <c r="AH111" i="5"/>
  <c r="AH110" i="5"/>
  <c r="AH109" i="5"/>
  <c r="AH108" i="5"/>
  <c r="AH107" i="5"/>
  <c r="AH106" i="5"/>
  <c r="AH105" i="5"/>
  <c r="AH104" i="5"/>
  <c r="AH103" i="5"/>
  <c r="AH102" i="5"/>
  <c r="AH101" i="5"/>
  <c r="AH100" i="5"/>
  <c r="AH99" i="5"/>
  <c r="AH98" i="5"/>
  <c r="AH97" i="5"/>
  <c r="AH96" i="5"/>
  <c r="AH95" i="5"/>
  <c r="AH94" i="5"/>
  <c r="AH93" i="5"/>
  <c r="AH92" i="5"/>
  <c r="AH91" i="5"/>
  <c r="AH90" i="5"/>
  <c r="AH89" i="5"/>
  <c r="AH88" i="5"/>
  <c r="AH87" i="5"/>
  <c r="AH86" i="5"/>
  <c r="AH85" i="5"/>
  <c r="AH84" i="5"/>
  <c r="AH83" i="5"/>
  <c r="AH82" i="5"/>
  <c r="AH81" i="5"/>
  <c r="AH80" i="5"/>
  <c r="AH79" i="5"/>
  <c r="AH78" i="5"/>
  <c r="AH77" i="5"/>
  <c r="AH76" i="5"/>
  <c r="AH75" i="5"/>
  <c r="AH74" i="5"/>
  <c r="AH73" i="5"/>
  <c r="AH72" i="5"/>
  <c r="AH71" i="5"/>
  <c r="AH70" i="5"/>
  <c r="AH69" i="5"/>
  <c r="AH68" i="5"/>
  <c r="AH67" i="5"/>
  <c r="AH66" i="5"/>
  <c r="AH65" i="5"/>
  <c r="AH64" i="5"/>
  <c r="AH63" i="5"/>
  <c r="AH62" i="5"/>
  <c r="AH61" i="5"/>
  <c r="AH60" i="5"/>
  <c r="AH59" i="5"/>
  <c r="AH58" i="5"/>
  <c r="AH57" i="5"/>
  <c r="AH56" i="5"/>
  <c r="AH55" i="5"/>
  <c r="AH54" i="5"/>
  <c r="AH53" i="5"/>
  <c r="AH52" i="5"/>
  <c r="AH51" i="5"/>
  <c r="AH50" i="5"/>
  <c r="AH49" i="5"/>
  <c r="AH48" i="5"/>
  <c r="AH47" i="5"/>
  <c r="AH46" i="5"/>
  <c r="AH45" i="5"/>
  <c r="AH44" i="5"/>
  <c r="AH43" i="5"/>
  <c r="AH42" i="5"/>
  <c r="AH41" i="5"/>
  <c r="AH40" i="5"/>
  <c r="AH39" i="5"/>
  <c r="AH38" i="5"/>
  <c r="AH37" i="5"/>
  <c r="AH35" i="5"/>
  <c r="AH34" i="5"/>
  <c r="AH33" i="5"/>
  <c r="AH32" i="5"/>
  <c r="AH31" i="5"/>
  <c r="AH30" i="5"/>
  <c r="AH29" i="5"/>
  <c r="AH28" i="5"/>
  <c r="AH27" i="5"/>
  <c r="AH26" i="5"/>
  <c r="AH25" i="5"/>
  <c r="AH24" i="5"/>
  <c r="AH23" i="5"/>
  <c r="AH22" i="5"/>
  <c r="AH21" i="5"/>
  <c r="AH20" i="5"/>
  <c r="AH19" i="5"/>
  <c r="AH18" i="5"/>
  <c r="AH17" i="5"/>
  <c r="AH16" i="5"/>
  <c r="AH15" i="5"/>
  <c r="AH14" i="5"/>
  <c r="AH13" i="5"/>
  <c r="AH12" i="5"/>
  <c r="AH11" i="5"/>
  <c r="AF113" i="5"/>
  <c r="AF112" i="5"/>
  <c r="AF111" i="5"/>
  <c r="AF110" i="5"/>
  <c r="AF109" i="5"/>
  <c r="AF108" i="5"/>
  <c r="AF107" i="5"/>
  <c r="AF106" i="5"/>
  <c r="AF105" i="5"/>
  <c r="AF104" i="5"/>
  <c r="AF103" i="5"/>
  <c r="AF102" i="5"/>
  <c r="AF101" i="5"/>
  <c r="AF100" i="5"/>
  <c r="AF99" i="5"/>
  <c r="AF98" i="5"/>
  <c r="AF97" i="5"/>
  <c r="AF96" i="5"/>
  <c r="AF95" i="5"/>
  <c r="AF94" i="5"/>
  <c r="AF93" i="5"/>
  <c r="AF92" i="5"/>
  <c r="AF91" i="5"/>
  <c r="AF90" i="5"/>
  <c r="AF89" i="5"/>
  <c r="AF88" i="5"/>
  <c r="AF87" i="5"/>
  <c r="AF86" i="5"/>
  <c r="AF85" i="5"/>
  <c r="AF84" i="5"/>
  <c r="AF83" i="5"/>
  <c r="AF82" i="5"/>
  <c r="AF81" i="5"/>
  <c r="AF80" i="5"/>
  <c r="AF79" i="5"/>
  <c r="AF78" i="5"/>
  <c r="AF77" i="5"/>
  <c r="AF76" i="5"/>
  <c r="AF75" i="5"/>
  <c r="AF74" i="5"/>
  <c r="AF73" i="5"/>
  <c r="AF72" i="5"/>
  <c r="AF71" i="5"/>
  <c r="AF70" i="5"/>
  <c r="AF69" i="5"/>
  <c r="AF68" i="5"/>
  <c r="AF67" i="5"/>
  <c r="AF66" i="5"/>
  <c r="AF65" i="5"/>
  <c r="AF64" i="5"/>
  <c r="AF63" i="5"/>
  <c r="AF62" i="5"/>
  <c r="AF61" i="5"/>
  <c r="AF60" i="5"/>
  <c r="AF59" i="5"/>
  <c r="AF58" i="5"/>
  <c r="AF57" i="5"/>
  <c r="AF56" i="5"/>
  <c r="AF55" i="5"/>
  <c r="AF54" i="5"/>
  <c r="AF53" i="5"/>
  <c r="AF52" i="5"/>
  <c r="AF51" i="5"/>
  <c r="AF50" i="5"/>
  <c r="AF49" i="5"/>
  <c r="AF48" i="5"/>
  <c r="AF47" i="5"/>
  <c r="AF46" i="5"/>
  <c r="AF45" i="5"/>
  <c r="AF44" i="5"/>
  <c r="AF43" i="5"/>
  <c r="AF42" i="5"/>
  <c r="AF41" i="5"/>
  <c r="AF40" i="5"/>
  <c r="AF39" i="5"/>
  <c r="AF38" i="5"/>
  <c r="AF37" i="5"/>
  <c r="AF35" i="5"/>
  <c r="AF34" i="5"/>
  <c r="AF33" i="5"/>
  <c r="AF32" i="5"/>
  <c r="AF31" i="5"/>
  <c r="AF30" i="5"/>
  <c r="AF29" i="5"/>
  <c r="AF28" i="5"/>
  <c r="AF27" i="5"/>
  <c r="AF26" i="5"/>
  <c r="AF25" i="5"/>
  <c r="AF24" i="5"/>
  <c r="AF23" i="5"/>
  <c r="AF22" i="5"/>
  <c r="AF21" i="5"/>
  <c r="AF20" i="5"/>
  <c r="AF19" i="5"/>
  <c r="AF18" i="5"/>
  <c r="AF17" i="5"/>
  <c r="AF16" i="5"/>
  <c r="AF15" i="5"/>
  <c r="AF14" i="5"/>
  <c r="AF13" i="5"/>
  <c r="AF12" i="5"/>
  <c r="AF11" i="5"/>
  <c r="AD113" i="5"/>
  <c r="AD112" i="5"/>
  <c r="AD111" i="5"/>
  <c r="AD110" i="5"/>
  <c r="AD109" i="5"/>
  <c r="AD108" i="5"/>
  <c r="AD107" i="5"/>
  <c r="AD106" i="5"/>
  <c r="AD105" i="5"/>
  <c r="AD104" i="5"/>
  <c r="AD103" i="5"/>
  <c r="AD102" i="5"/>
  <c r="AD101" i="5"/>
  <c r="AD100" i="5"/>
  <c r="AD99" i="5"/>
  <c r="AD98" i="5"/>
  <c r="AD97" i="5"/>
  <c r="AD96" i="5"/>
  <c r="AD95" i="5"/>
  <c r="AD94" i="5"/>
  <c r="AD93" i="5"/>
  <c r="AD92" i="5"/>
  <c r="AD91" i="5"/>
  <c r="AD90" i="5"/>
  <c r="AD89" i="5"/>
  <c r="AD88" i="5"/>
  <c r="AD87" i="5"/>
  <c r="AD86" i="5"/>
  <c r="AD85" i="5"/>
  <c r="AD84" i="5"/>
  <c r="AD83" i="5"/>
  <c r="AD82" i="5"/>
  <c r="AD81" i="5"/>
  <c r="AD80" i="5"/>
  <c r="AD79" i="5"/>
  <c r="AD78" i="5"/>
  <c r="AD77" i="5"/>
  <c r="AD76" i="5"/>
  <c r="AD75" i="5"/>
  <c r="AD74" i="5"/>
  <c r="AD73" i="5"/>
  <c r="AD72" i="5"/>
  <c r="AD71" i="5"/>
  <c r="AD70" i="5"/>
  <c r="AD69" i="5"/>
  <c r="AD68" i="5"/>
  <c r="AD67" i="5"/>
  <c r="AD66" i="5"/>
  <c r="AD65" i="5"/>
  <c r="AD64" i="5"/>
  <c r="AD63" i="5"/>
  <c r="AD62" i="5"/>
  <c r="AD61" i="5"/>
  <c r="AD60" i="5"/>
  <c r="AD59" i="5"/>
  <c r="AD58" i="5"/>
  <c r="AD57" i="5"/>
  <c r="AD56" i="5"/>
  <c r="AD55" i="5"/>
  <c r="AD54" i="5"/>
  <c r="AD53" i="5"/>
  <c r="AD52" i="5"/>
  <c r="AD51" i="5"/>
  <c r="AD50" i="5"/>
  <c r="AD49" i="5"/>
  <c r="AD48" i="5"/>
  <c r="AD47" i="5"/>
  <c r="AD46" i="5"/>
  <c r="AD45" i="5"/>
  <c r="AD44" i="5"/>
  <c r="AD43" i="5"/>
  <c r="AD42" i="5"/>
  <c r="AD41" i="5"/>
  <c r="AD40" i="5"/>
  <c r="AD39" i="5"/>
  <c r="AD38" i="5"/>
  <c r="AD37" i="5"/>
  <c r="AD35" i="5"/>
  <c r="AD34" i="5"/>
  <c r="AD33" i="5"/>
  <c r="AD32" i="5"/>
  <c r="AD31" i="5"/>
  <c r="AD30" i="5"/>
  <c r="AD29" i="5"/>
  <c r="AD28" i="5"/>
  <c r="AD27" i="5"/>
  <c r="AD26" i="5"/>
  <c r="AD25" i="5"/>
  <c r="AD24" i="5"/>
  <c r="AD23" i="5"/>
  <c r="AD22" i="5"/>
  <c r="AD21" i="5"/>
  <c r="AD20" i="5"/>
  <c r="AD19" i="5"/>
  <c r="AD18" i="5"/>
  <c r="AD17" i="5"/>
  <c r="AD16" i="5"/>
  <c r="AD15" i="5"/>
  <c r="AD14" i="5"/>
  <c r="AD13" i="5"/>
  <c r="AD12" i="5"/>
  <c r="AD11"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B88" i="5"/>
  <c r="AB87" i="5"/>
  <c r="AB86" i="5"/>
  <c r="AB85" i="5"/>
  <c r="AB84" i="5"/>
  <c r="AB83" i="5"/>
  <c r="AB82" i="5"/>
  <c r="AB81" i="5"/>
  <c r="AB80" i="5"/>
  <c r="AB79" i="5"/>
  <c r="AB78" i="5"/>
  <c r="AB77" i="5"/>
  <c r="AB76" i="5"/>
  <c r="AB75" i="5"/>
  <c r="AB74" i="5"/>
  <c r="AB73" i="5"/>
  <c r="AB72" i="5"/>
  <c r="AB71" i="5"/>
  <c r="AB70" i="5"/>
  <c r="AB69" i="5"/>
  <c r="AB68" i="5"/>
  <c r="AB67" i="5"/>
  <c r="AB66" i="5"/>
  <c r="AB65" i="5"/>
  <c r="AB64" i="5"/>
  <c r="AB63" i="5"/>
  <c r="AB62" i="5"/>
  <c r="AB61" i="5"/>
  <c r="AB60" i="5"/>
  <c r="AB59" i="5"/>
  <c r="AB58" i="5"/>
  <c r="AB57" i="5"/>
  <c r="AB56" i="5"/>
  <c r="AB55" i="5"/>
  <c r="AB54" i="5"/>
  <c r="AB53" i="5"/>
  <c r="AB52" i="5"/>
  <c r="AB51" i="5"/>
  <c r="AB50" i="5"/>
  <c r="AB49" i="5"/>
  <c r="AB48" i="5"/>
  <c r="AB47" i="5"/>
  <c r="AB46" i="5"/>
  <c r="AB45" i="5"/>
  <c r="AB44" i="5"/>
  <c r="AB43" i="5"/>
  <c r="AB42" i="5"/>
  <c r="AB41" i="5"/>
  <c r="AB40" i="5"/>
  <c r="AB39" i="5"/>
  <c r="AB38" i="5"/>
  <c r="AB37" i="5"/>
  <c r="AB35" i="5"/>
  <c r="AB34" i="5"/>
  <c r="AB33" i="5"/>
  <c r="AB32" i="5"/>
  <c r="AB31" i="5"/>
  <c r="AB30" i="5"/>
  <c r="AB29" i="5"/>
  <c r="AB28" i="5"/>
  <c r="AB27" i="5"/>
  <c r="AB26" i="5"/>
  <c r="AB25" i="5"/>
  <c r="AB24" i="5"/>
  <c r="AB23" i="5"/>
  <c r="AB22" i="5"/>
  <c r="AB21" i="5"/>
  <c r="AB20" i="5"/>
  <c r="AB19" i="5"/>
  <c r="AB18" i="5"/>
  <c r="AB17" i="5"/>
  <c r="AB16" i="5"/>
  <c r="AB15" i="5"/>
  <c r="AB14" i="5"/>
  <c r="AB13" i="5"/>
  <c r="AB12" i="5"/>
  <c r="AB11" i="5"/>
  <c r="Z113" i="5"/>
  <c r="Z112" i="5"/>
  <c r="Z111" i="5"/>
  <c r="Z110" i="5"/>
  <c r="Z109" i="5"/>
  <c r="Z108" i="5"/>
  <c r="Z107" i="5"/>
  <c r="Z106" i="5"/>
  <c r="Z104" i="5"/>
  <c r="Z103" i="5"/>
  <c r="Z102" i="5"/>
  <c r="Z101" i="5"/>
  <c r="Z100" i="5"/>
  <c r="Z99" i="5"/>
  <c r="Z98" i="5"/>
  <c r="Z97" i="5"/>
  <c r="Z96" i="5"/>
  <c r="Z95" i="5"/>
  <c r="Z94" i="5"/>
  <c r="Z93" i="5"/>
  <c r="Z92" i="5"/>
  <c r="Z91" i="5"/>
  <c r="Z90" i="5"/>
  <c r="Z89" i="5"/>
  <c r="Z88" i="5"/>
  <c r="Z87" i="5"/>
  <c r="Z86" i="5"/>
  <c r="Z85" i="5"/>
  <c r="Z84" i="5"/>
  <c r="Z83" i="5"/>
  <c r="Z82" i="5"/>
  <c r="Z81" i="5"/>
  <c r="Z80" i="5"/>
  <c r="Z79" i="5"/>
  <c r="Z78" i="5"/>
  <c r="Z77" i="5"/>
  <c r="Z76" i="5"/>
  <c r="Z75" i="5"/>
  <c r="Z74" i="5"/>
  <c r="Z73" i="5"/>
  <c r="Z72" i="5"/>
  <c r="Z71" i="5"/>
  <c r="Z70" i="5"/>
  <c r="Z69" i="5"/>
  <c r="Z68" i="5"/>
  <c r="Z67" i="5"/>
  <c r="Z66" i="5"/>
  <c r="Z65" i="5"/>
  <c r="Z64" i="5"/>
  <c r="Z63" i="5"/>
  <c r="Z62" i="5"/>
  <c r="Z61" i="5"/>
  <c r="Z60" i="5"/>
  <c r="Z59" i="5"/>
  <c r="Z58" i="5"/>
  <c r="Z57" i="5"/>
  <c r="Z56" i="5"/>
  <c r="Z55" i="5"/>
  <c r="Z54" i="5"/>
  <c r="Z53" i="5"/>
  <c r="Z52" i="5"/>
  <c r="Z51" i="5"/>
  <c r="Z50" i="5"/>
  <c r="Z49" i="5"/>
  <c r="Z48" i="5"/>
  <c r="Z47" i="5"/>
  <c r="Z46" i="5"/>
  <c r="Z45" i="5"/>
  <c r="Z44" i="5"/>
  <c r="Z43" i="5"/>
  <c r="Z42" i="5"/>
  <c r="Z41" i="5"/>
  <c r="Z40" i="5"/>
  <c r="Z39" i="5"/>
  <c r="Z38" i="5"/>
  <c r="Z37" i="5"/>
  <c r="Z35" i="5"/>
  <c r="Z34" i="5"/>
  <c r="Z33" i="5"/>
  <c r="Z32" i="5"/>
  <c r="Z31" i="5"/>
  <c r="Z30" i="5"/>
  <c r="Z29" i="5"/>
  <c r="Z28" i="5"/>
  <c r="Z27" i="5"/>
  <c r="Z26" i="5"/>
  <c r="Z25" i="5"/>
  <c r="Z24" i="5"/>
  <c r="Z23" i="5"/>
  <c r="Z22" i="5"/>
  <c r="Z21" i="5"/>
  <c r="Z20" i="5"/>
  <c r="Z19" i="5"/>
  <c r="Z18" i="5"/>
  <c r="Z17" i="5"/>
  <c r="Z16" i="5"/>
  <c r="Z15" i="5"/>
  <c r="Z14" i="5"/>
  <c r="Z13" i="5"/>
  <c r="Z12" i="5"/>
  <c r="Z11" i="5"/>
  <c r="X113" i="5"/>
  <c r="X112" i="5"/>
  <c r="X111" i="5"/>
  <c r="X110" i="5"/>
  <c r="X109" i="5"/>
  <c r="X108" i="5"/>
  <c r="X107" i="5"/>
  <c r="X106" i="5"/>
  <c r="X105" i="5"/>
  <c r="X104" i="5"/>
  <c r="X103" i="5"/>
  <c r="X102" i="5"/>
  <c r="X101" i="5"/>
  <c r="X100" i="5"/>
  <c r="X99" i="5"/>
  <c r="X98" i="5"/>
  <c r="X97" i="5"/>
  <c r="X96" i="5"/>
  <c r="X95" i="5"/>
  <c r="X94" i="5"/>
  <c r="X93" i="5"/>
  <c r="X92" i="5"/>
  <c r="X91" i="5"/>
  <c r="X90" i="5"/>
  <c r="X89" i="5"/>
  <c r="X88" i="5"/>
  <c r="X87" i="5"/>
  <c r="X86" i="5"/>
  <c r="X85" i="5"/>
  <c r="X84" i="5"/>
  <c r="X83" i="5"/>
  <c r="X82" i="5"/>
  <c r="X81" i="5"/>
  <c r="X80" i="5"/>
  <c r="X79" i="5"/>
  <c r="X78" i="5"/>
  <c r="X77" i="5"/>
  <c r="X76" i="5"/>
  <c r="X75" i="5"/>
  <c r="X74" i="5"/>
  <c r="X73" i="5"/>
  <c r="X72" i="5"/>
  <c r="X71" i="5"/>
  <c r="X70" i="5"/>
  <c r="X69" i="5"/>
  <c r="X68" i="5"/>
  <c r="X67" i="5"/>
  <c r="X66" i="5"/>
  <c r="X65" i="5"/>
  <c r="X64" i="5"/>
  <c r="X63" i="5"/>
  <c r="X62" i="5"/>
  <c r="X61" i="5"/>
  <c r="X60" i="5"/>
  <c r="X59" i="5"/>
  <c r="X58" i="5"/>
  <c r="X57" i="5"/>
  <c r="X56" i="5"/>
  <c r="X55" i="5"/>
  <c r="X54" i="5"/>
  <c r="X53" i="5"/>
  <c r="X52" i="5"/>
  <c r="X51" i="5"/>
  <c r="X50" i="5"/>
  <c r="X49" i="5"/>
  <c r="X48" i="5"/>
  <c r="X47" i="5"/>
  <c r="X46" i="5"/>
  <c r="X45" i="5"/>
  <c r="X44" i="5"/>
  <c r="X43" i="5"/>
  <c r="X42" i="5"/>
  <c r="X41" i="5"/>
  <c r="X40" i="5"/>
  <c r="X39" i="5"/>
  <c r="X38" i="5"/>
  <c r="X37" i="5"/>
  <c r="X35" i="5"/>
  <c r="X34" i="5"/>
  <c r="X33" i="5"/>
  <c r="X32" i="5"/>
  <c r="X31" i="5"/>
  <c r="X30" i="5"/>
  <c r="X29" i="5"/>
  <c r="X28" i="5"/>
  <c r="X27" i="5"/>
  <c r="X26" i="5"/>
  <c r="X25" i="5"/>
  <c r="X24" i="5"/>
  <c r="X23" i="5"/>
  <c r="X22" i="5"/>
  <c r="X21" i="5"/>
  <c r="X20" i="5"/>
  <c r="X19" i="5"/>
  <c r="X18" i="5"/>
  <c r="X17" i="5"/>
  <c r="X16" i="5"/>
  <c r="X15" i="5"/>
  <c r="X14" i="5"/>
  <c r="X13" i="5"/>
  <c r="X12" i="5"/>
  <c r="X11"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2" i="5"/>
  <c r="V71" i="5"/>
  <c r="V70" i="5"/>
  <c r="V69" i="5"/>
  <c r="V68" i="5"/>
  <c r="V67" i="5"/>
  <c r="V66" i="5"/>
  <c r="V65" i="5"/>
  <c r="V64" i="5"/>
  <c r="V63" i="5"/>
  <c r="V62" i="5"/>
  <c r="V61" i="5"/>
  <c r="V60" i="5"/>
  <c r="V59" i="5"/>
  <c r="V58" i="5"/>
  <c r="V57" i="5"/>
  <c r="V56" i="5"/>
  <c r="V55" i="5"/>
  <c r="V54" i="5"/>
  <c r="V53" i="5"/>
  <c r="V52" i="5"/>
  <c r="V51" i="5"/>
  <c r="V50" i="5"/>
  <c r="V49" i="5"/>
  <c r="V48" i="5"/>
  <c r="V47" i="5"/>
  <c r="V46" i="5"/>
  <c r="V45" i="5"/>
  <c r="V44" i="5"/>
  <c r="V43" i="5"/>
  <c r="V42" i="5"/>
  <c r="V41" i="5"/>
  <c r="V40" i="5"/>
  <c r="V39" i="5"/>
  <c r="V38" i="5"/>
  <c r="V37" i="5"/>
  <c r="V35" i="5"/>
  <c r="V34" i="5"/>
  <c r="V33" i="5"/>
  <c r="V32" i="5"/>
  <c r="V31" i="5"/>
  <c r="V30" i="5"/>
  <c r="V29" i="5"/>
  <c r="V28" i="5"/>
  <c r="V27" i="5"/>
  <c r="V26" i="5"/>
  <c r="V25" i="5"/>
  <c r="V24" i="5"/>
  <c r="V23" i="5"/>
  <c r="V22" i="5"/>
  <c r="V21" i="5"/>
  <c r="V20" i="5"/>
  <c r="V19" i="5"/>
  <c r="V18" i="5"/>
  <c r="V17" i="5"/>
  <c r="V16" i="5"/>
  <c r="V15" i="5"/>
  <c r="V14" i="5"/>
  <c r="V13" i="5"/>
  <c r="V12" i="5"/>
  <c r="V11" i="5"/>
  <c r="T113" i="5"/>
  <c r="T112" i="5"/>
  <c r="T111" i="5"/>
  <c r="T110" i="5"/>
  <c r="T109" i="5"/>
  <c r="T108" i="5"/>
  <c r="T107" i="5"/>
  <c r="T106" i="5"/>
  <c r="T105" i="5"/>
  <c r="T104" i="5"/>
  <c r="T103" i="5"/>
  <c r="T102" i="5"/>
  <c r="T101" i="5"/>
  <c r="T100" i="5"/>
  <c r="T99" i="5"/>
  <c r="T98" i="5"/>
  <c r="T97" i="5"/>
  <c r="T96" i="5"/>
  <c r="T95" i="5"/>
  <c r="T94" i="5"/>
  <c r="T93" i="5"/>
  <c r="T92" i="5"/>
  <c r="T91" i="5"/>
  <c r="T90" i="5"/>
  <c r="T89" i="5"/>
  <c r="T88" i="5"/>
  <c r="T87" i="5"/>
  <c r="T86" i="5"/>
  <c r="T85" i="5"/>
  <c r="T84" i="5"/>
  <c r="T83" i="5"/>
  <c r="T82" i="5"/>
  <c r="T81" i="5"/>
  <c r="T80" i="5"/>
  <c r="T79" i="5"/>
  <c r="T78" i="5"/>
  <c r="T77" i="5"/>
  <c r="T76" i="5"/>
  <c r="T75" i="5"/>
  <c r="T74" i="5"/>
  <c r="T73" i="5"/>
  <c r="T72" i="5"/>
  <c r="T71" i="5"/>
  <c r="T70" i="5"/>
  <c r="T69" i="5"/>
  <c r="T68" i="5"/>
  <c r="T67" i="5"/>
  <c r="T66" i="5"/>
  <c r="T65" i="5"/>
  <c r="T64" i="5"/>
  <c r="T63" i="5"/>
  <c r="T62" i="5"/>
  <c r="T61" i="5"/>
  <c r="T60" i="5"/>
  <c r="T59" i="5"/>
  <c r="T58" i="5"/>
  <c r="T57" i="5"/>
  <c r="T56" i="5"/>
  <c r="T55" i="5"/>
  <c r="T54" i="5"/>
  <c r="T53" i="5"/>
  <c r="T52" i="5"/>
  <c r="T51" i="5"/>
  <c r="T50" i="5"/>
  <c r="T49" i="5"/>
  <c r="T48" i="5"/>
  <c r="T47" i="5"/>
  <c r="T46" i="5"/>
  <c r="T45" i="5"/>
  <c r="T44" i="5"/>
  <c r="T43" i="5"/>
  <c r="T42" i="5"/>
  <c r="T41" i="5"/>
  <c r="T40" i="5"/>
  <c r="T39" i="5"/>
  <c r="T38" i="5"/>
  <c r="T37" i="5"/>
  <c r="T35" i="5"/>
  <c r="T34" i="5"/>
  <c r="T33" i="5"/>
  <c r="T32" i="5"/>
  <c r="T31" i="5"/>
  <c r="T30" i="5"/>
  <c r="T29" i="5"/>
  <c r="T28" i="5"/>
  <c r="T27" i="5"/>
  <c r="T26" i="5"/>
  <c r="T25" i="5"/>
  <c r="T24" i="5"/>
  <c r="T23" i="5"/>
  <c r="T22" i="5"/>
  <c r="T21" i="5"/>
  <c r="T20" i="5"/>
  <c r="T19" i="5"/>
  <c r="T18" i="5"/>
  <c r="T17" i="5"/>
  <c r="T16" i="5"/>
  <c r="T15" i="5"/>
  <c r="T14" i="5"/>
  <c r="T13" i="5"/>
  <c r="T12" i="5"/>
  <c r="T11" i="5"/>
  <c r="R113" i="5"/>
  <c r="R112" i="5"/>
  <c r="R111" i="5"/>
  <c r="R110" i="5"/>
  <c r="R109" i="5"/>
  <c r="R108" i="5"/>
  <c r="R107" i="5"/>
  <c r="R106" i="5"/>
  <c r="R105" i="5"/>
  <c r="R104" i="5"/>
  <c r="R103" i="5"/>
  <c r="R102" i="5"/>
  <c r="R101" i="5"/>
  <c r="R100" i="5"/>
  <c r="R99" i="5"/>
  <c r="R98" i="5"/>
  <c r="R97" i="5"/>
  <c r="R96" i="5"/>
  <c r="R95" i="5"/>
  <c r="R94" i="5"/>
  <c r="R93" i="5"/>
  <c r="R92" i="5"/>
  <c r="R91" i="5"/>
  <c r="R90" i="5"/>
  <c r="R89" i="5"/>
  <c r="R88" i="5"/>
  <c r="R87" i="5"/>
  <c r="R86" i="5"/>
  <c r="R85" i="5"/>
  <c r="R84" i="5"/>
  <c r="R83" i="5"/>
  <c r="R82" i="5"/>
  <c r="R81" i="5"/>
  <c r="R80" i="5"/>
  <c r="R79" i="5"/>
  <c r="R78" i="5"/>
  <c r="R77" i="5"/>
  <c r="R76" i="5"/>
  <c r="R75" i="5"/>
  <c r="R74" i="5"/>
  <c r="R73" i="5"/>
  <c r="R72" i="5"/>
  <c r="R71" i="5"/>
  <c r="R70" i="5"/>
  <c r="R69" i="5"/>
  <c r="R68" i="5"/>
  <c r="R67" i="5"/>
  <c r="R66" i="5"/>
  <c r="R65" i="5"/>
  <c r="R64" i="5"/>
  <c r="R63" i="5"/>
  <c r="R62" i="5"/>
  <c r="R61" i="5"/>
  <c r="R60" i="5"/>
  <c r="R59" i="5"/>
  <c r="R58" i="5"/>
  <c r="R57" i="5"/>
  <c r="R56" i="5"/>
  <c r="R55" i="5"/>
  <c r="R54" i="5"/>
  <c r="R53" i="5"/>
  <c r="R52" i="5"/>
  <c r="R51" i="5"/>
  <c r="R50" i="5"/>
  <c r="R49" i="5"/>
  <c r="R48" i="5"/>
  <c r="R47" i="5"/>
  <c r="R46" i="5"/>
  <c r="R45" i="5"/>
  <c r="R44" i="5"/>
  <c r="R43" i="5"/>
  <c r="R42" i="5"/>
  <c r="R41" i="5"/>
  <c r="R40" i="5"/>
  <c r="R39" i="5"/>
  <c r="R38" i="5"/>
  <c r="R37" i="5"/>
  <c r="R35" i="5"/>
  <c r="R34" i="5"/>
  <c r="R33" i="5"/>
  <c r="R32" i="5"/>
  <c r="R31" i="5"/>
  <c r="R30" i="5"/>
  <c r="R29" i="5"/>
  <c r="R28" i="5"/>
  <c r="R27" i="5"/>
  <c r="R26" i="5"/>
  <c r="R25" i="5"/>
  <c r="R24" i="5"/>
  <c r="R23" i="5"/>
  <c r="R22" i="5"/>
  <c r="R21" i="5"/>
  <c r="R20" i="5"/>
  <c r="R19" i="5"/>
  <c r="R18" i="5"/>
  <c r="R17" i="5"/>
  <c r="R16" i="5"/>
  <c r="R15" i="5"/>
  <c r="R14" i="5"/>
  <c r="R13" i="5"/>
  <c r="R12" i="5"/>
  <c r="R11"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5" i="5"/>
  <c r="P34" i="5"/>
  <c r="P33" i="5"/>
  <c r="P32" i="5"/>
  <c r="P31" i="5"/>
  <c r="P30" i="5"/>
  <c r="P29" i="5"/>
  <c r="P28" i="5"/>
  <c r="P27" i="5"/>
  <c r="P26" i="5"/>
  <c r="P25" i="5"/>
  <c r="P24" i="5"/>
  <c r="P23" i="5"/>
  <c r="P22" i="5"/>
  <c r="P21" i="5"/>
  <c r="P20" i="5"/>
  <c r="P19" i="5"/>
  <c r="P18" i="5"/>
  <c r="P17" i="5"/>
  <c r="P16" i="5"/>
  <c r="P15" i="5"/>
  <c r="P14" i="5"/>
  <c r="P13" i="5"/>
  <c r="P12" i="5"/>
  <c r="P11" i="5"/>
  <c r="N113" i="5"/>
  <c r="N112" i="5"/>
  <c r="N111" i="5"/>
  <c r="N110" i="5"/>
  <c r="N109" i="5"/>
  <c r="N108" i="5"/>
  <c r="N107" i="5"/>
  <c r="N106" i="5"/>
  <c r="N105" i="5"/>
  <c r="N104" i="5"/>
  <c r="N103" i="5"/>
  <c r="N102" i="5"/>
  <c r="N101" i="5"/>
  <c r="N100" i="5"/>
  <c r="N99" i="5"/>
  <c r="N98" i="5"/>
  <c r="N97" i="5"/>
  <c r="N96" i="5"/>
  <c r="N95" i="5"/>
  <c r="N94" i="5"/>
  <c r="N93" i="5"/>
  <c r="N92" i="5"/>
  <c r="N91" i="5"/>
  <c r="N90" i="5"/>
  <c r="N89" i="5"/>
  <c r="N88" i="5"/>
  <c r="N87" i="5"/>
  <c r="N86" i="5"/>
  <c r="N85" i="5"/>
  <c r="N84" i="5"/>
  <c r="N83" i="5"/>
  <c r="N82" i="5"/>
  <c r="N81" i="5"/>
  <c r="N80" i="5"/>
  <c r="N79" i="5"/>
  <c r="N78" i="5"/>
  <c r="N77" i="5"/>
  <c r="N76" i="5"/>
  <c r="N75" i="5"/>
  <c r="N74" i="5"/>
  <c r="N73" i="5"/>
  <c r="N72" i="5"/>
  <c r="N71" i="5"/>
  <c r="N70" i="5"/>
  <c r="N69" i="5"/>
  <c r="N68" i="5"/>
  <c r="N67" i="5"/>
  <c r="N66" i="5"/>
  <c r="N65" i="5"/>
  <c r="N64" i="5"/>
  <c r="N63" i="5"/>
  <c r="N62" i="5"/>
  <c r="N61" i="5"/>
  <c r="N60" i="5"/>
  <c r="N59" i="5"/>
  <c r="N58" i="5"/>
  <c r="N57" i="5"/>
  <c r="N56" i="5"/>
  <c r="N55" i="5"/>
  <c r="N54" i="5"/>
  <c r="N53" i="5"/>
  <c r="N52" i="5"/>
  <c r="N51" i="5"/>
  <c r="N50" i="5"/>
  <c r="N49" i="5"/>
  <c r="N48" i="5"/>
  <c r="N47" i="5"/>
  <c r="N46" i="5"/>
  <c r="N45" i="5"/>
  <c r="N44" i="5"/>
  <c r="N43" i="5"/>
  <c r="N42" i="5"/>
  <c r="N41" i="5"/>
  <c r="N40" i="5"/>
  <c r="N39" i="5"/>
  <c r="N38" i="5"/>
  <c r="N37" i="5"/>
  <c r="N35" i="5"/>
  <c r="N34" i="5"/>
  <c r="N33" i="5"/>
  <c r="N32" i="5"/>
  <c r="N31" i="5"/>
  <c r="N30" i="5"/>
  <c r="N29" i="5"/>
  <c r="N28" i="5"/>
  <c r="N27" i="5"/>
  <c r="N26" i="5"/>
  <c r="N25" i="5"/>
  <c r="N24" i="5"/>
  <c r="N23" i="5"/>
  <c r="N22" i="5"/>
  <c r="N21" i="5"/>
  <c r="N20" i="5"/>
  <c r="N19" i="5"/>
  <c r="N18" i="5"/>
  <c r="N17" i="5"/>
  <c r="N16" i="5"/>
  <c r="N15" i="5"/>
  <c r="N14" i="5"/>
  <c r="N12" i="5"/>
  <c r="N11" i="5"/>
  <c r="L113" i="5"/>
  <c r="L112" i="5"/>
  <c r="L111" i="5"/>
  <c r="L110" i="5"/>
  <c r="L109" i="5"/>
  <c r="L108" i="5"/>
  <c r="L107" i="5"/>
  <c r="L106" i="5"/>
  <c r="L105" i="5"/>
  <c r="L103" i="5"/>
  <c r="L102" i="5"/>
  <c r="L101" i="5"/>
  <c r="L100" i="5"/>
  <c r="L99" i="5"/>
  <c r="L98" i="5"/>
  <c r="L97" i="5"/>
  <c r="L96" i="5"/>
  <c r="L95" i="5"/>
  <c r="L94" i="5"/>
  <c r="L93" i="5"/>
  <c r="L92" i="5"/>
  <c r="L91" i="5"/>
  <c r="L90" i="5"/>
  <c r="L89" i="5"/>
  <c r="L88" i="5"/>
  <c r="L87" i="5"/>
  <c r="L86" i="5"/>
  <c r="L85" i="5"/>
  <c r="L84" i="5"/>
  <c r="L83" i="5"/>
  <c r="L82" i="5"/>
  <c r="L81" i="5"/>
  <c r="L80" i="5"/>
  <c r="L79" i="5"/>
  <c r="L78" i="5"/>
  <c r="L77" i="5"/>
  <c r="L76" i="5"/>
  <c r="L75" i="5"/>
  <c r="L74" i="5"/>
  <c r="L73" i="5"/>
  <c r="L72" i="5"/>
  <c r="L71" i="5"/>
  <c r="L70" i="5"/>
  <c r="L69" i="5"/>
  <c r="L68" i="5"/>
  <c r="L67" i="5"/>
  <c r="L66" i="5"/>
  <c r="L65" i="5"/>
  <c r="L64" i="5"/>
  <c r="L63" i="5"/>
  <c r="L62" i="5"/>
  <c r="L61" i="5"/>
  <c r="L60" i="5"/>
  <c r="L59" i="5"/>
  <c r="L58" i="5"/>
  <c r="L57" i="5"/>
  <c r="L56" i="5"/>
  <c r="L55" i="5"/>
  <c r="L54" i="5"/>
  <c r="L53" i="5"/>
  <c r="L52" i="5"/>
  <c r="L51" i="5"/>
  <c r="L50" i="5"/>
  <c r="L49" i="5"/>
  <c r="L48" i="5"/>
  <c r="L47" i="5"/>
  <c r="L46" i="5"/>
  <c r="L45" i="5"/>
  <c r="L44" i="5"/>
  <c r="L43" i="5"/>
  <c r="L42" i="5"/>
  <c r="L41" i="5"/>
  <c r="L40" i="5"/>
  <c r="L39" i="5"/>
  <c r="L38" i="5"/>
  <c r="L37" i="5"/>
  <c r="L35" i="5"/>
  <c r="L34" i="5"/>
  <c r="L33" i="5"/>
  <c r="L32" i="5"/>
  <c r="L31" i="5"/>
  <c r="L30" i="5"/>
  <c r="L29" i="5"/>
  <c r="L28" i="5"/>
  <c r="L27" i="5"/>
  <c r="L26" i="5"/>
  <c r="L25" i="5"/>
  <c r="L24" i="5"/>
  <c r="L23" i="5"/>
  <c r="L22" i="5"/>
  <c r="L21" i="5"/>
  <c r="L20" i="5"/>
  <c r="L19" i="5"/>
  <c r="L18" i="5"/>
  <c r="L17" i="5"/>
  <c r="L16" i="5"/>
  <c r="L15" i="5"/>
  <c r="L14" i="5"/>
  <c r="L13" i="5"/>
  <c r="L11" i="5"/>
  <c r="L116" i="5"/>
  <c r="N13" i="5"/>
  <c r="L12" i="5"/>
</calcChain>
</file>

<file path=xl/sharedStrings.xml><?xml version="1.0" encoding="utf-8"?>
<sst xmlns="http://schemas.openxmlformats.org/spreadsheetml/2006/main" count="4224" uniqueCount="473">
  <si>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</si>
  <si>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</si>
  <si>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</si>
  <si>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</si>
  <si>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</si>
  <si>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</si>
  <si>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</si>
  <si>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</si>
  <si>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</si>
  <si>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</si>
  <si>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</si>
  <si>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</si>
  <si>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</si>
  <si>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</si>
  <si>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</si>
  <si>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</si>
  <si>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</si>
  <si>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</si>
  <si>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</si>
  <si>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</si>
  <si>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</si>
  <si>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</si>
  <si>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</si>
  <si>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</si>
  <si>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</si>
  <si>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</si>
  <si>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</si>
  <si>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</si>
  <si>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</si>
  <si>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</si>
  <si>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</si>
  <si>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</si>
  <si>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</si>
  <si>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</si>
  <si>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</si>
  <si>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</si>
  <si>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</si>
  <si>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</si>
  <si>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</si>
  <si>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</si>
  <si>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</si>
  <si>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</si>
  <si>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</si>
  <si>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</si>
  <si>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</si>
  <si>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</si>
  <si>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</si>
  <si>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</si>
  <si>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</si>
  <si>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</si>
  <si>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</si>
  <si>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</si>
  <si>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</si>
  <si>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</si>
  <si>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</si>
  <si>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</si>
  <si>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</si>
  <si>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</si>
  <si>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</si>
  <si>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</si>
  <si>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</si>
  <si>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</si>
  <si>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</si>
  <si>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</si>
  <si>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</si>
  <si>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</si>
  <si>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</si>
  <si>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</si>
  <si>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</si>
  <si>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</si>
  <si>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</si>
  <si>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</si>
  <si>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Effect of melatonin on depressive symptoms and anxiety undergoing breast cancer surgery: a randomized, double-blind, placebo-controlled trial</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</si>
  <si>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</si>
  <si>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</si>
  <si>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</si>
  <si>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</si>
  <si>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</si>
  <si>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</si>
  <si>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</si>
  <si>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</si>
  <si>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</si>
  <si>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</si>
  <si>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</si>
  <si>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</si>
  <si>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</si>
  <si>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</si>
  <si>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</si>
  <si>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</si>
  <si>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</si>
  <si>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</si>
  <si>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</si>
  <si>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</si>
  <si>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</si>
  <si>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</si>
  <si>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</si>
  <si>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</si>
  <si>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</si>
  <si>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</si>
  <si>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</si>
  <si>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</si>
  <si>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</si>
  <si>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</si>
  <si>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</si>
  <si>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</si>
  <si>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</si>
  <si>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</si>
  <si>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</si>
  <si>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</si>
  <si>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</si>
  <si>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</si>
  <si>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</si>
  <si>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</si>
  <si>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</si>
  <si>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</si>
  <si>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</si>
  <si>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</si>
  <si>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</si>
  <si>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</si>
  <si>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</si>
  <si>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</si>
  <si>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</si>
  <si>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</si>
  <si>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</si>
  <si>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</si>
  <si>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</si>
  <si>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</si>
  <si>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</si>
  <si>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</si>
  <si>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</si>
  <si>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</si>
  <si>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</si>
  <si>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</si>
  <si>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</si>
  <si>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</si>
  <si>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</si>
  <si>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</si>
  <si>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</si>
  <si>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</si>
  <si>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</si>
  <si>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</si>
  <si>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</si>
  <si>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</si>
  <si>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</si>
  <si>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</si>
  <si>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</si>
  <si>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</si>
  <si>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</si>
  <si>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Comparative Review of Approved Melatonin Agonists for the Treatment of Circadian Rhythm Sleep-Wake Disorders</t>
  </si>
  <si>
    <t>Williams, Wilbur P; McLin, Dewey E; et al</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</si>
  <si>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</si>
  <si>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</si>
  <si>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</si>
  <si>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</si>
  <si>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</si>
  <si>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</si>
  <si>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</si>
  <si>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Relavance</t>
  </si>
  <si>
    <t>oral melatonin "puberty onset"</t>
  </si>
  <si>
    <t>Safety of Melatonin in Long-Term Use</t>
  </si>
  <si>
    <t>Josephine Arendt</t>
  </si>
  <si>
    <t>Headache</t>
  </si>
  <si>
    <t>Dizziness</t>
  </si>
  <si>
    <t>Nausea</t>
  </si>
  <si>
    <t>Seizure +</t>
  </si>
  <si>
    <t>Puberty -</t>
  </si>
  <si>
    <t>No. Patients</t>
  </si>
  <si>
    <t>Adverse effects</t>
  </si>
  <si>
    <t>Enuresis</t>
  </si>
  <si>
    <t>Sleepiness +</t>
  </si>
  <si>
    <t>Children with autistic spetrum disorders; Mild side-effects in 3 children; No increase in seizures or new-onset seizures.</t>
  </si>
  <si>
    <t>0.75 - 6</t>
  </si>
  <si>
    <t>3 - 12</t>
  </si>
  <si>
    <t>Delusions /
Hallucinations</t>
  </si>
  <si>
    <t xml:space="preserve">3 </t>
  </si>
  <si>
    <t>Duration</t>
  </si>
  <si>
    <t>4wks</t>
  </si>
  <si>
    <t>No significant change in asthma symptoms.</t>
  </si>
  <si>
    <t>Adverse effects resolved with decreases dosage.</t>
  </si>
  <si>
    <t>Few minor and/or temporary adverse effects recorded. No change in seizure frequency reported.</t>
  </si>
  <si>
    <t>Review of randomized control trials. No evidence of adverse effects.</t>
  </si>
  <si>
    <t>Review of randomized and non-randomized control trials. Occurrence of reported adverse effects was similar for melatonin and placebo.</t>
  </si>
  <si>
    <t>Dysphoric Mood</t>
  </si>
  <si>
    <t>Concentration -</t>
  </si>
  <si>
    <t>Anorexia</t>
  </si>
  <si>
    <t>Insomnia / Disturbed sleep</t>
  </si>
  <si>
    <t>Fatigue +</t>
  </si>
  <si>
    <t>Appetite -</t>
  </si>
  <si>
    <t>Follow up study. Caregivers interviewed every 3 months for up to 3.8 yrs after intitial trial. No reports of adverse effects.</t>
  </si>
  <si>
    <t>5</t>
  </si>
  <si>
    <t>"Almost no side-effects" reported.</t>
  </si>
  <si>
    <t>1wk</t>
  </si>
  <si>
    <t>20 - 100</t>
  </si>
  <si>
    <t>Dose (mg/day)</t>
  </si>
  <si>
    <t>No defintive adverse effects.</t>
  </si>
  <si>
    <t>No side-effects reported.</t>
  </si>
  <si>
    <t>No adverse effects reported.</t>
  </si>
  <si>
    <t>0.5 - 12</t>
  </si>
  <si>
    <t>Doses ranged between 150mg/day (1 patient) and 1600mg/day (1 patient). Adverse effects figures record no. patients not no. occurences.</t>
  </si>
  <si>
    <t>1 adverse effect (not specified) considered related to melatonin was reported.</t>
  </si>
  <si>
    <t>Review of 12 studies found "only few and minor side effects".</t>
  </si>
  <si>
    <t>6 - 9</t>
  </si>
  <si>
    <t>"No adverse event warranting discontinuation of therapy observered".</t>
  </si>
  <si>
    <t>6</t>
  </si>
  <si>
    <t>No differences in side effects were found between melatonin and placebo group.</t>
  </si>
  <si>
    <t>0.5 - 8</t>
  </si>
  <si>
    <t>Review of jet-lag studies found no adverse effects except drowsiness.</t>
  </si>
  <si>
    <t>3.7 yr follow-up study. No "serious adverse effect or treatment related co-morbidities were reported".</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</si>
  <si>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</si>
  <si>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</si>
  <si>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</si>
  <si>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</si>
  <si>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</si>
  <si>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</si>
  <si>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</si>
  <si>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</si>
  <si>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</si>
  <si>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</si>
  <si>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</si>
  <si>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</si>
  <si>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</si>
  <si>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Meta-analysis of 7 trials with 221 participants. "No safety concerns raised".</t>
  </si>
  <si>
    <t>Decrease in "sperm concentration and motility below the normal range" in 2 out of 8 men.</t>
  </si>
  <si>
    <t>Unsteadiness</t>
  </si>
  <si>
    <t>Review of 6 studies. 4 studies reported no adverse effects or adverse effects not recorded.</t>
  </si>
  <si>
    <t>2.5 - 5</t>
  </si>
  <si>
    <t>2 - 12mths</t>
  </si>
  <si>
    <t>Hyperkinesia</t>
  </si>
  <si>
    <t>Diplopia</t>
  </si>
  <si>
    <t>Fever</t>
  </si>
  <si>
    <t>Other</t>
  </si>
  <si>
    <t>Other adverse effects included: Gadtro-intestinal disorders (3); Menorrhagia (3); Pigmentation (3); Ankle oedema (2); Flushing (2); Hepatic pain (1); Hyperglycaemia (1); Thrombosis (1)</t>
  </si>
  <si>
    <t>50</t>
  </si>
  <si>
    <t>3wks</t>
  </si>
  <si>
    <t>Strange taste / 
Dry mouth</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</si>
  <si>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</si>
  <si>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</si>
  <si>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</si>
  <si>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</si>
  <si>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</si>
  <si>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</si>
  <si>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</si>
  <si>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</si>
  <si>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t>3dy</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</si>
  <si>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</si>
  <si>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</si>
  <si>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10</t>
  </si>
  <si>
    <r>
      <t xml:space="preserve">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</si>
  <si>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Four patients had increased (or new) seizure activity. All seizure activity returned to baseline levels after withdrawal of melatonin.</t>
  </si>
  <si>
    <t>*One child reported to have developed epilepsy 4 months after start of trial.</t>
  </si>
  <si>
    <t>1 - 7</t>
  </si>
  <si>
    <t>8mths</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</si>
  <si>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</si>
  <si>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3 - 6</t>
  </si>
  <si>
    <r>
      <t>No "significant" adverse effects reported.</t>
    </r>
    <r>
      <rPr>
        <b/>
        <i/>
        <sz val="12"/>
        <color rgb="FF53669E"/>
        <rFont val="Calibri"/>
        <scheme val="minor"/>
      </rPr>
      <t xml:space="preserve"> Access to abstract only.</t>
    </r>
  </si>
  <si>
    <t>0.3 - 10</t>
  </si>
  <si>
    <t>1 - 4.6yrs</t>
  </si>
  <si>
    <t>^</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</si>
  <si>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</si>
  <si>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</si>
  <si>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</si>
  <si>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</si>
  <si>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</si>
  <si>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</si>
  <si>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</si>
  <si>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</si>
  <si>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Table cells coloured solid blue indicate that adverse effect was reported in patients in the study group but with no details of number of occurrences or patients experiencing the adverse effect.</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</si>
  <si>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</si>
  <si>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Pubmed</t>
  </si>
  <si>
    <t>http://www.ncbi.nlm.nih.gov/pmc/</t>
  </si>
  <si>
    <t>Melatonin ("adverse effects" OR "side effects" OR "adverse events") (oral OR exogenous)</t>
  </si>
  <si>
    <t>Default</t>
  </si>
  <si>
    <t>Strange taste/ 
Dry mouth</t>
  </si>
  <si>
    <t>Insomnia/
Disturbed sleep</t>
  </si>
  <si>
    <t>Delusions/
Hallucinations</t>
  </si>
  <si>
    <t>Dysphoric
 Mood</t>
  </si>
  <si>
    <t>n</t>
  </si>
  <si>
    <t>%</t>
  </si>
  <si>
    <t>N</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</si>
  <si>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</si>
  <si>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</si>
  <si>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</si>
  <si>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</si>
  <si>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</si>
  <si>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</si>
  <si>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</si>
  <si>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 xml:space="preserve">Guardiola-Lemaitre, Béatrice </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</si>
  <si>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</si>
  <si>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</si>
  <si>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</si>
  <si>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</si>
  <si>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</si>
  <si>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</si>
  <si>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</si>
  <si>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</si>
  <si>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</si>
  <si>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</si>
  <si>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</si>
  <si>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</si>
  <si>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</si>
  <si>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</si>
  <si>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</si>
  <si>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</si>
  <si>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</si>
  <si>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</si>
  <si>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</si>
  <si>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</si>
  <si>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</si>
  <si>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</si>
  <si>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</si>
  <si>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</si>
  <si>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</si>
  <si>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</si>
  <si>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</si>
  <si>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</si>
  <si>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</si>
  <si>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</si>
  <si>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</si>
  <si>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</si>
  <si>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</si>
  <si>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</si>
  <si>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</si>
  <si>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</si>
  <si>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</si>
  <si>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</si>
  <si>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</si>
  <si>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</si>
  <si>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</si>
  <si>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</si>
  <si>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</si>
  <si>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</si>
  <si>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</si>
  <si>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</si>
  <si>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</si>
  <si>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</si>
  <si>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</si>
  <si>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</si>
  <si>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</si>
  <si>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</si>
  <si>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</si>
  <si>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</si>
  <si>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</si>
  <si>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</si>
  <si>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</si>
  <si>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</si>
  <si>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</si>
  <si>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</si>
  <si>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</si>
  <si>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</si>
  <si>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</si>
  <si>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</si>
  <si>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</si>
  <si>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</si>
  <si>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</si>
  <si>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</si>
  <si>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</si>
  <si>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</si>
  <si>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</si>
  <si>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</si>
  <si>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</si>
  <si>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</si>
  <si>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</si>
  <si>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</si>
  <si>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</si>
  <si>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</si>
  <si>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</si>
  <si>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</si>
  <si>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</si>
  <si>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</si>
  <si>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</si>
  <si>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</si>
  <si>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</si>
  <si>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</si>
  <si>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</si>
  <si>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</si>
  <si>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</si>
  <si>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"No significant adverse effects"</t>
  </si>
  <si>
    <t>3d</t>
  </si>
  <si>
    <t>Other side effect was decreased performance in hours between melatonin administration and sleep</t>
  </si>
  <si>
    <t>1 patient excluded after 1 week after development of mixed affective state. Increase in agitation reported in one other patient.</t>
  </si>
  <si>
    <t>0.1 - 10</t>
  </si>
  <si>
    <t>Decrease in subjective feelings of "vigor" reported</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</si>
  <si>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</si>
  <si>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</si>
  <si>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</si>
  <si>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</si>
  <si>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</si>
  <si>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</si>
  <si>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</si>
  <si>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</si>
  <si>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</si>
  <si>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</si>
  <si>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No significant side effects were observed. Drowsiness reported in 2 patients which resolved after 2 days.</t>
  </si>
  <si>
    <t>2d</t>
  </si>
  <si>
    <t>"Clear decrement in neurobehavioural functions as measured by the Psychomotor Vigilance Test lasted for 6h after melatonin administration (particularly in the lapse domain and median reaction time)…"</t>
  </si>
  <si>
    <t>1yr</t>
  </si>
  <si>
    <t>"No major side effects" were reported in patients taking melotonin</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</si>
  <si>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</si>
  <si>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</si>
  <si>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</si>
  <si>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</si>
  <si>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</si>
  <si>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</si>
  <si>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</si>
  <si>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</si>
  <si>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</si>
  <si>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</si>
  <si>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</si>
  <si>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</si>
  <si>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</si>
  <si>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</si>
  <si>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</si>
  <si>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</si>
  <si>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</si>
  <si>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3yrs</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</si>
  <si>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</si>
  <si>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</si>
  <si>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</si>
  <si>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</si>
  <si>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</si>
  <si>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</si>
  <si>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</si>
  <si>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</si>
  <si>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</si>
  <si>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</si>
  <si>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</si>
  <si>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</si>
  <si>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</si>
  <si>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</si>
  <si>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</si>
  <si>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</si>
  <si>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</si>
  <si>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</si>
  <si>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</si>
  <si>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</si>
  <si>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</si>
  <si>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</si>
  <si>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</si>
  <si>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</si>
  <si>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8 Drug-related adverse events. Total no. adverse events in melatonin group was 32.</t>
  </si>
  <si>
    <t xml:space="preserve">Total reported occurences:  </t>
  </si>
  <si>
    <t>Adverse effects &gt;= 10%</t>
  </si>
  <si>
    <t>Melatonin adverse effects &gt;= 10%</t>
  </si>
  <si>
    <t>Melatonin adverse effects &lt; 10%</t>
  </si>
  <si>
    <t>Adverse effects &lt; 10%</t>
  </si>
  <si>
    <t>n (placebo)</t>
  </si>
  <si>
    <t>Δ (n - n(p))</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</si>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</sst>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sz val="12"/>
      <color theme="0"/>
      <name val="Calibri"/>
      <family val="2"/>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s>
  <fills count="17">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rgb="FF95B6EC"/>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E6F1FF"/>
        <bgColor indexed="64"/>
      </patternFill>
    </fill>
    <fill>
      <patternFill patternType="solid">
        <fgColor rgb="FFC1D2F1"/>
        <bgColor indexed="64"/>
      </patternFill>
    </fill>
  </fills>
  <borders count="137">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style="thin">
        <color rgb="FF95B6EC"/>
      </left>
      <right style="thin">
        <color rgb="FF95B6EC"/>
      </right>
      <top style="thin">
        <color rgb="FF95B6EC"/>
      </top>
      <bottom style="medium">
        <color theme="4" tint="-0.24994659260841701"/>
      </bottom>
      <diagonal/>
    </border>
    <border>
      <left style="thin">
        <color rgb="FF95B6EC"/>
      </left>
      <right style="thin">
        <color rgb="FF95B6EC"/>
      </right>
      <top style="thin">
        <color rgb="FF95B6EC"/>
      </top>
      <bottom style="thin">
        <color rgb="FF95B6EC"/>
      </bottom>
      <diagonal/>
    </border>
    <border>
      <left style="thin">
        <color rgb="FF95B6EC"/>
      </left>
      <right style="thin">
        <color rgb="FF95B6EC"/>
      </right>
      <top style="medium">
        <color theme="4" tint="-0.24994659260841701"/>
      </top>
      <bottom style="thin">
        <color rgb="FF95B6EC"/>
      </bottom>
      <diagonal/>
    </border>
    <border>
      <left style="thin">
        <color rgb="FF839FDE"/>
      </left>
      <right style="thin">
        <color rgb="FF95B6EC"/>
      </right>
      <top style="thin">
        <color rgb="FF839FDE"/>
      </top>
      <bottom style="thin">
        <color rgb="FF839FDE"/>
      </bottom>
      <diagonal/>
    </border>
    <border>
      <left style="thin">
        <color rgb="FFB0B0FF"/>
      </left>
      <right style="thin">
        <color rgb="FF839FDE"/>
      </right>
      <top style="thin">
        <color rgb="FFB0B0FF"/>
      </top>
      <bottom/>
      <diagonal/>
    </border>
    <border>
      <left style="thin">
        <color rgb="FFB0B0FF"/>
      </left>
      <right style="thin">
        <color rgb="FF839FDE"/>
      </right>
      <top/>
      <bottom/>
      <diagonal/>
    </border>
    <border>
      <left style="thin">
        <color rgb="FFB0B0FF"/>
      </left>
      <right style="thin">
        <color rgb="FF839FDE"/>
      </right>
      <top/>
      <bottom style="medium">
        <color theme="4" tint="-0.24994659260841701"/>
      </bottom>
      <diagonal/>
    </border>
    <border>
      <left style="thin">
        <color rgb="FFB0B0FF"/>
      </left>
      <right style="thin">
        <color rgb="FF839FDE"/>
      </right>
      <top style="thin">
        <color rgb="FFB0B0FF"/>
      </top>
      <bottom style="thin">
        <color rgb="FFB0B0FF"/>
      </bottom>
      <diagonal/>
    </border>
    <border>
      <left/>
      <right/>
      <top/>
      <bottom style="thin">
        <color rgb="FF95B6EC"/>
      </bottom>
      <diagonal/>
    </border>
    <border>
      <left style="thin">
        <color rgb="FF95B6EC"/>
      </left>
      <right style="thin">
        <color rgb="FF95B6EC"/>
      </right>
      <top style="thin">
        <color rgb="FF95B6EC"/>
      </top>
      <bottom/>
      <diagonal/>
    </border>
    <border>
      <left style="thin">
        <color rgb="FF95B6EC"/>
      </left>
      <right style="thin">
        <color rgb="FF95B6EC"/>
      </right>
      <top/>
      <bottom/>
      <diagonal/>
    </border>
    <border>
      <left style="thin">
        <color rgb="FF95B6EC"/>
      </left>
      <right style="thin">
        <color rgb="FF95B6EC"/>
      </right>
      <top/>
      <bottom style="medium">
        <color theme="4" tint="-0.24994659260841701"/>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style="thin">
        <color rgb="FF839FDE"/>
      </top>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B0B0FF"/>
      </left>
      <right style="thin">
        <color rgb="FF839FDE"/>
      </right>
      <top/>
      <bottom style="thin">
        <color rgb="FFB0B0FF"/>
      </bottom>
      <diagonal/>
    </border>
    <border>
      <left style="thin">
        <color rgb="FF839FDE"/>
      </left>
      <right style="thin">
        <color rgb="FF95B6EC"/>
      </right>
      <top/>
      <bottom style="thin">
        <color rgb="FF839FDE"/>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thin">
        <color rgb="FF839FDE"/>
      </left>
      <right style="thin">
        <color rgb="FF839FDE"/>
      </right>
      <top style="thin">
        <color rgb="FF839FDE"/>
      </top>
      <bottom/>
      <diagonal/>
    </border>
    <border>
      <left style="thin">
        <color rgb="FF839FDE"/>
      </left>
      <right style="thin">
        <color rgb="FF839FDE"/>
      </right>
      <top/>
      <bottom/>
      <diagonal/>
    </border>
    <border>
      <left style="thin">
        <color rgb="FF839FDE"/>
      </left>
      <right style="thin">
        <color rgb="FF839FDE"/>
      </right>
      <top/>
      <bottom style="medium">
        <color theme="4" tint="-0.24994659260841701"/>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medium">
        <color rgb="FF95B6EC"/>
      </left>
      <right style="thin">
        <color rgb="FF95B6EC"/>
      </right>
      <top style="medium">
        <color theme="4" tint="-0.24994659260841701"/>
      </top>
      <bottom style="thin">
        <color rgb="FF95B6EC"/>
      </bottom>
      <diagonal/>
    </border>
    <border>
      <left style="thin">
        <color rgb="FF95B6EC"/>
      </left>
      <right style="medium">
        <color rgb="FF95B6EC"/>
      </right>
      <top style="medium">
        <color theme="4" tint="-0.24994659260841701"/>
      </top>
      <bottom style="thin">
        <color rgb="FF95B6EC"/>
      </bottom>
      <diagonal/>
    </border>
    <border>
      <left style="thin">
        <color rgb="FF95B6EC"/>
      </left>
      <right style="thin">
        <color rgb="FF95B6EC"/>
      </right>
      <top style="thin">
        <color rgb="FF95B6EC"/>
      </top>
      <bottom style="medium">
        <color rgb="FF95B6EC"/>
      </bottom>
      <diagonal/>
    </border>
    <border>
      <left style="medium">
        <color rgb="FF839FDE"/>
      </left>
      <right style="thin">
        <color rgb="FF95B6EC"/>
      </right>
      <top style="medium">
        <color rgb="FF839FDE"/>
      </top>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medium">
        <color rgb="FF839FDE"/>
      </left>
      <right style="thin">
        <color rgb="FF95B6EC"/>
      </right>
      <top/>
      <bottom style="medium">
        <color theme="4" tint="-0.24994659260841701"/>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medium">
        <color theme="4" tint="-0.24994659260841701"/>
      </top>
      <bottom style="thin">
        <color rgb="FF839FDE"/>
      </bottom>
      <diagonal/>
    </border>
    <border>
      <left style="thin">
        <color rgb="FF839FDE"/>
      </left>
      <right style="medium">
        <color rgb="FF95B6EC"/>
      </right>
      <top style="medium">
        <color theme="4" tint="-0.24994659260841701"/>
      </top>
      <bottom style="thin">
        <color rgb="FF839FDE"/>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medium">
        <color theme="4" tint="-0.24994659260841701"/>
      </top>
      <bottom style="thin">
        <color rgb="FFB0B0FF"/>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thin">
        <color rgb="FF95B6EC"/>
      </left>
      <right style="thin">
        <color rgb="FF95B6EC"/>
      </right>
      <top/>
      <bottom style="thin">
        <color rgb="FF95B6EC"/>
      </bottom>
      <diagonal/>
    </border>
    <border>
      <left style="thin">
        <color rgb="FF95B6EC"/>
      </left>
      <right style="medium">
        <color rgb="FF95B6EC"/>
      </right>
      <top style="medium">
        <color rgb="FF95B6EC"/>
      </top>
      <bottom style="medium">
        <color rgb="FF95B6EC"/>
      </bottom>
      <diagonal/>
    </border>
    <border>
      <left style="medium">
        <color rgb="FF95B6EC"/>
      </left>
      <right style="thin">
        <color rgb="FF95B6EC"/>
      </right>
      <top style="medium">
        <color rgb="FF95B6EC"/>
      </top>
      <bottom style="medium">
        <color rgb="FF95B6EC"/>
      </bottom>
      <diagonal/>
    </border>
    <border>
      <left style="thin">
        <color rgb="FF95B6EC"/>
      </left>
      <right style="thin">
        <color rgb="FF95B6EC"/>
      </right>
      <top style="medium">
        <color rgb="FF95B6EC"/>
      </top>
      <bottom style="medium">
        <color rgb="FF95B6EC"/>
      </bottom>
      <diagonal/>
    </border>
    <border>
      <left style="medium">
        <color rgb="FF00B0F0"/>
      </left>
      <right style="medium">
        <color rgb="FF00B0F0"/>
      </right>
      <top style="medium">
        <color rgb="FF00B0F0"/>
      </top>
      <bottom style="thin">
        <color rgb="FF00B0F0"/>
      </bottom>
      <diagonal/>
    </border>
    <border>
      <left style="medium">
        <color rgb="FF00B0F0"/>
      </left>
      <right style="medium">
        <color rgb="FF00B0F0"/>
      </right>
      <top style="thin">
        <color rgb="FF00B0F0"/>
      </top>
      <bottom style="thin">
        <color rgb="FF00B0F0"/>
      </bottom>
      <diagonal/>
    </border>
    <border>
      <left style="medium">
        <color rgb="FF00B0F0"/>
      </left>
      <right style="medium">
        <color rgb="FF00B0F0"/>
      </right>
      <top style="thin">
        <color rgb="FF00B0F0"/>
      </top>
      <bottom style="medium">
        <color rgb="FF00B0F0"/>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95B6EC"/>
      </right>
      <top/>
      <bottom style="thin">
        <color rgb="FF839FDE"/>
      </bottom>
      <diagonal/>
    </border>
  </borders>
  <cellStyleXfs count="3">
    <xf numFmtId="0" fontId="0" fillId="0" borderId="0"/>
    <xf numFmtId="0" fontId="8" fillId="0" borderId="0" applyNumberFormat="0" applyFill="0" applyBorder="0" applyAlignment="0" applyProtection="0"/>
    <xf numFmtId="0" fontId="9" fillId="0" borderId="0" applyNumberFormat="0" applyFill="0" applyBorder="0" applyAlignment="0" applyProtection="0"/>
  </cellStyleXfs>
  <cellXfs count="285">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0" xfId="0" applyFont="1"/>
    <xf numFmtId="0" fontId="6" fillId="0" borderId="3" xfId="0" applyFont="1" applyBorder="1"/>
    <xf numFmtId="0" fontId="6" fillId="0" borderId="3" xfId="0" applyFont="1" applyBorder="1" applyAlignment="1">
      <alignment horizontal="center"/>
    </xf>
    <xf numFmtId="0" fontId="6" fillId="0" borderId="0" xfId="0" applyFont="1"/>
    <xf numFmtId="0" fontId="7" fillId="0" borderId="0" xfId="0" applyFont="1"/>
    <xf numFmtId="0" fontId="7" fillId="0" borderId="0" xfId="0" applyFont="1" applyAlignment="1">
      <alignment horizontal="center"/>
    </xf>
    <xf numFmtId="49" fontId="7" fillId="0" borderId="0" xfId="0" applyNumberFormat="1" applyFont="1" applyAlignment="1">
      <alignment horizontal="center"/>
    </xf>
    <xf numFmtId="0" fontId="7" fillId="2" borderId="6" xfId="0" applyFont="1" applyFill="1" applyBorder="1" applyAlignment="1">
      <alignment horizontal="center"/>
    </xf>
    <xf numFmtId="49" fontId="7" fillId="4" borderId="7" xfId="0" applyNumberFormat="1" applyFont="1" applyFill="1" applyBorder="1" applyAlignment="1">
      <alignment horizontal="center"/>
    </xf>
    <xf numFmtId="0" fontId="7" fillId="3" borderId="11" xfId="0" applyFont="1" applyFill="1" applyBorder="1" applyAlignment="1">
      <alignment horizontal="center"/>
    </xf>
    <xf numFmtId="0" fontId="7" fillId="5" borderId="6" xfId="0" applyFont="1" applyFill="1" applyBorder="1" applyAlignment="1">
      <alignment horizontal="center"/>
    </xf>
    <xf numFmtId="0" fontId="7" fillId="5" borderId="5" xfId="0" applyFont="1" applyFill="1" applyBorder="1" applyAlignment="1">
      <alignment horizontal="center"/>
    </xf>
    <xf numFmtId="49" fontId="7" fillId="2" borderId="0" xfId="0" applyNumberFormat="1" applyFont="1" applyFill="1" applyBorder="1" applyAlignment="1">
      <alignment horizontal="center"/>
    </xf>
    <xf numFmtId="0" fontId="2" fillId="6" borderId="0" xfId="0" applyFont="1" applyFill="1" applyAlignment="1">
      <alignment horizontal="left"/>
    </xf>
    <xf numFmtId="0" fontId="3" fillId="6" borderId="0" xfId="0" applyFont="1" applyFill="1"/>
    <xf numFmtId="0" fontId="3" fillId="6" borderId="0" xfId="0" applyFont="1" applyFill="1" applyAlignment="1">
      <alignment horizontal="center"/>
    </xf>
    <xf numFmtId="3" fontId="3" fillId="6" borderId="0" xfId="0" applyNumberFormat="1" applyFont="1" applyFill="1"/>
    <xf numFmtId="0" fontId="7" fillId="2" borderId="16" xfId="0" applyFont="1" applyFill="1" applyBorder="1" applyAlignment="1">
      <alignment horizontal="center"/>
    </xf>
    <xf numFmtId="0" fontId="7" fillId="2" borderId="16" xfId="0" applyFont="1" applyFill="1" applyBorder="1" applyAlignment="1">
      <alignment horizontal="center"/>
    </xf>
    <xf numFmtId="49" fontId="7" fillId="4" borderId="23" xfId="0" applyNumberFormat="1" applyFont="1" applyFill="1" applyBorder="1" applyAlignment="1">
      <alignment horizontal="center"/>
    </xf>
    <xf numFmtId="0" fontId="7" fillId="2" borderId="27" xfId="0" applyFont="1" applyFill="1" applyBorder="1" applyAlignment="1">
      <alignment horizontal="center"/>
    </xf>
    <xf numFmtId="0" fontId="7" fillId="2" borderId="29" xfId="0" applyFont="1" applyFill="1" applyBorder="1" applyAlignment="1">
      <alignment horizontal="center"/>
    </xf>
    <xf numFmtId="0" fontId="7" fillId="2" borderId="41" xfId="0" applyFont="1" applyFill="1" applyBorder="1" applyAlignment="1">
      <alignment horizontal="center"/>
    </xf>
    <xf numFmtId="164" fontId="7" fillId="2" borderId="39" xfId="0" applyNumberFormat="1" applyFont="1" applyFill="1" applyBorder="1" applyAlignment="1">
      <alignment horizontal="center"/>
    </xf>
    <xf numFmtId="164" fontId="7" fillId="2" borderId="40" xfId="0" applyNumberFormat="1" applyFont="1" applyFill="1" applyBorder="1" applyAlignment="1">
      <alignment horizontal="center"/>
    </xf>
    <xf numFmtId="0" fontId="7" fillId="7" borderId="27" xfId="0" applyFont="1" applyFill="1" applyBorder="1" applyAlignment="1">
      <alignment horizontal="center"/>
    </xf>
    <xf numFmtId="164" fontId="7" fillId="7" borderId="39" xfId="0" applyNumberFormat="1" applyFont="1" applyFill="1" applyBorder="1" applyAlignment="1">
      <alignment horizontal="center"/>
    </xf>
    <xf numFmtId="0" fontId="7" fillId="7" borderId="16" xfId="0" applyFont="1" applyFill="1" applyBorder="1" applyAlignment="1">
      <alignment horizontal="center"/>
    </xf>
    <xf numFmtId="0" fontId="6" fillId="0" borderId="0" xfId="0" applyFont="1" applyAlignment="1">
      <alignment horizontal="center"/>
    </xf>
    <xf numFmtId="0" fontId="6" fillId="3" borderId="65" xfId="0" applyFont="1" applyFill="1" applyBorder="1" applyAlignment="1">
      <alignment horizontal="center"/>
    </xf>
    <xf numFmtId="0" fontId="6" fillId="0" borderId="0" xfId="0" applyFont="1" applyAlignment="1">
      <alignment horizontal="right"/>
    </xf>
    <xf numFmtId="0" fontId="6" fillId="3" borderId="71" xfId="0" applyFont="1" applyFill="1" applyBorder="1" applyAlignment="1">
      <alignment horizontal="center"/>
    </xf>
    <xf numFmtId="0" fontId="6" fillId="8" borderId="73" xfId="0" applyFont="1" applyFill="1" applyBorder="1" applyAlignment="1">
      <alignment horizontal="center"/>
    </xf>
    <xf numFmtId="0" fontId="6" fillId="7" borderId="74" xfId="0" applyFont="1" applyFill="1" applyBorder="1" applyAlignment="1">
      <alignment horizontal="center"/>
    </xf>
    <xf numFmtId="0" fontId="18" fillId="10" borderId="75" xfId="0" applyFont="1" applyFill="1" applyBorder="1" applyAlignment="1">
      <alignment horizontal="center"/>
    </xf>
    <xf numFmtId="0" fontId="6" fillId="9" borderId="76" xfId="0" applyFont="1" applyFill="1" applyBorder="1" applyAlignment="1">
      <alignment horizontal="center"/>
    </xf>
    <xf numFmtId="0" fontId="7" fillId="10" borderId="0" xfId="0" applyFont="1" applyFill="1"/>
    <xf numFmtId="0" fontId="7" fillId="10" borderId="0" xfId="0" applyFont="1" applyFill="1" applyAlignment="1">
      <alignment horizontal="center"/>
    </xf>
    <xf numFmtId="0" fontId="10" fillId="7" borderId="59" xfId="0" applyFont="1" applyFill="1" applyBorder="1" applyAlignment="1">
      <alignment horizontal="center"/>
    </xf>
    <xf numFmtId="164" fontId="10" fillId="7" borderId="60" xfId="0" applyNumberFormat="1" applyFont="1" applyFill="1" applyBorder="1" applyAlignment="1">
      <alignment horizontal="center"/>
    </xf>
    <xf numFmtId="0" fontId="10" fillId="7" borderId="27" xfId="0" applyFont="1" applyFill="1" applyBorder="1" applyAlignment="1">
      <alignment horizontal="center"/>
    </xf>
    <xf numFmtId="164" fontId="10" fillId="7" borderId="62" xfId="0" applyNumberFormat="1" applyFont="1" applyFill="1" applyBorder="1" applyAlignment="1">
      <alignment horizontal="center"/>
    </xf>
    <xf numFmtId="0" fontId="21" fillId="2" borderId="72" xfId="0" applyFont="1" applyFill="1" applyBorder="1" applyAlignment="1">
      <alignment horizontal="right"/>
    </xf>
    <xf numFmtId="0" fontId="7" fillId="2" borderId="51" xfId="0" applyFont="1" applyFill="1" applyBorder="1"/>
    <xf numFmtId="0" fontId="7" fillId="2" borderId="54" xfId="0" applyFont="1" applyFill="1" applyBorder="1" applyAlignment="1">
      <alignment vertical="top" wrapText="1"/>
    </xf>
    <xf numFmtId="0" fontId="10" fillId="7" borderId="77" xfId="0" applyFont="1" applyFill="1" applyBorder="1" applyAlignment="1">
      <alignment horizontal="center"/>
    </xf>
    <xf numFmtId="0" fontId="7" fillId="2" borderId="16" xfId="0" applyFont="1" applyFill="1" applyBorder="1" applyAlignment="1">
      <alignment horizontal="center"/>
    </xf>
    <xf numFmtId="0" fontId="7" fillId="11" borderId="0" xfId="0" applyFont="1" applyFill="1"/>
    <xf numFmtId="0" fontId="7" fillId="4" borderId="0" xfId="0" applyFont="1" applyFill="1"/>
    <xf numFmtId="0" fontId="7" fillId="0" borderId="0" xfId="0" applyFont="1" applyBorder="1"/>
    <xf numFmtId="0" fontId="7" fillId="0" borderId="0" xfId="0" applyFont="1" applyBorder="1" applyAlignment="1">
      <alignment horizontal="center"/>
    </xf>
    <xf numFmtId="0" fontId="7" fillId="3" borderId="79" xfId="0" applyFont="1" applyFill="1" applyBorder="1" applyAlignment="1">
      <alignment horizontal="center"/>
    </xf>
    <xf numFmtId="49" fontId="7" fillId="4" borderId="80" xfId="0" applyNumberFormat="1" applyFont="1" applyFill="1" applyBorder="1" applyAlignment="1">
      <alignment horizontal="center"/>
    </xf>
    <xf numFmtId="49" fontId="7" fillId="4" borderId="81" xfId="0" applyNumberFormat="1" applyFont="1" applyFill="1" applyBorder="1" applyAlignment="1">
      <alignment horizontal="center"/>
    </xf>
    <xf numFmtId="0" fontId="7" fillId="7" borderId="82" xfId="0" applyFont="1" applyFill="1" applyBorder="1" applyAlignment="1">
      <alignment horizontal="center"/>
    </xf>
    <xf numFmtId="164" fontId="7" fillId="7" borderId="83" xfId="0" applyNumberFormat="1" applyFont="1" applyFill="1" applyBorder="1" applyAlignment="1">
      <alignment horizontal="center"/>
    </xf>
    <xf numFmtId="0" fontId="7" fillId="2" borderId="82" xfId="0" applyFont="1" applyFill="1" applyBorder="1" applyAlignment="1">
      <alignment horizontal="center"/>
    </xf>
    <xf numFmtId="164" fontId="7" fillId="2" borderId="83" xfId="0" applyNumberFormat="1" applyFont="1" applyFill="1" applyBorder="1" applyAlignment="1">
      <alignment horizontal="center"/>
    </xf>
    <xf numFmtId="0" fontId="7" fillId="2" borderId="18" xfId="0" applyFont="1" applyFill="1" applyBorder="1" applyAlignment="1">
      <alignment horizontal="center"/>
    </xf>
    <xf numFmtId="0" fontId="13" fillId="2" borderId="84" xfId="0" applyFont="1" applyFill="1" applyBorder="1" applyAlignment="1">
      <alignment horizontal="center" vertical="center" textRotation="90"/>
    </xf>
    <xf numFmtId="0" fontId="13" fillId="2" borderId="84" xfId="0" applyFont="1" applyFill="1" applyBorder="1" applyAlignment="1">
      <alignment horizontal="center" vertical="center" textRotation="90" wrapText="1"/>
    </xf>
    <xf numFmtId="0" fontId="13" fillId="2" borderId="86" xfId="0" applyFont="1" applyFill="1" applyBorder="1" applyAlignment="1">
      <alignment horizontal="center" vertical="center" textRotation="90"/>
    </xf>
    <xf numFmtId="0" fontId="7" fillId="2" borderId="43" xfId="0" applyFont="1" applyFill="1" applyBorder="1" applyAlignment="1">
      <alignment horizontal="center"/>
    </xf>
    <xf numFmtId="164" fontId="7" fillId="2" borderId="47" xfId="0" applyNumberFormat="1" applyFont="1" applyFill="1" applyBorder="1" applyAlignment="1">
      <alignment horizontal="center"/>
    </xf>
    <xf numFmtId="0" fontId="7" fillId="2" borderId="17" xfId="0" applyFont="1" applyFill="1" applyBorder="1" applyAlignment="1">
      <alignment horizontal="center"/>
    </xf>
    <xf numFmtId="0" fontId="7" fillId="2" borderId="5" xfId="0" applyFont="1" applyFill="1" applyBorder="1" applyAlignment="1">
      <alignment horizontal="center"/>
    </xf>
    <xf numFmtId="0" fontId="7" fillId="2" borderId="16" xfId="0" applyFont="1" applyFill="1" applyBorder="1" applyAlignment="1">
      <alignment horizontal="center"/>
    </xf>
    <xf numFmtId="0" fontId="7" fillId="2" borderId="0" xfId="0" applyFont="1" applyFill="1" applyBorder="1" applyAlignment="1">
      <alignment horizontal="center"/>
    </xf>
    <xf numFmtId="0" fontId="7" fillId="2" borderId="31" xfId="0" applyFont="1" applyFill="1" applyBorder="1" applyAlignment="1">
      <alignment horizontal="center"/>
    </xf>
    <xf numFmtId="164" fontId="13" fillId="2" borderId="85" xfId="0" applyNumberFormat="1" applyFont="1" applyFill="1" applyBorder="1" applyAlignment="1">
      <alignment horizontal="center" vertical="center" textRotation="90"/>
    </xf>
    <xf numFmtId="164" fontId="13" fillId="2" borderId="47" xfId="0" applyNumberFormat="1" applyFont="1" applyFill="1" applyBorder="1" applyAlignment="1">
      <alignment horizontal="center" vertical="center" textRotation="90"/>
    </xf>
    <xf numFmtId="49" fontId="7" fillId="4" borderId="7" xfId="0" applyNumberFormat="1" applyFont="1" applyFill="1" applyBorder="1" applyAlignment="1">
      <alignment horizontal="center" shrinkToFit="1"/>
    </xf>
    <xf numFmtId="49" fontId="7" fillId="4" borderId="23" xfId="0" applyNumberFormat="1" applyFont="1" applyFill="1" applyBorder="1" applyAlignment="1">
      <alignment horizontal="center" shrinkToFit="1"/>
    </xf>
    <xf numFmtId="0" fontId="7" fillId="0" borderId="0" xfId="0" applyFont="1" applyAlignment="1">
      <alignment horizontal="center" shrinkToFit="1"/>
    </xf>
    <xf numFmtId="0" fontId="7" fillId="10" borderId="0" xfId="0" applyFont="1" applyFill="1" applyAlignment="1">
      <alignment horizontal="center" shrinkToFit="1"/>
    </xf>
    <xf numFmtId="0" fontId="7" fillId="12" borderId="0" xfId="0" applyFont="1" applyFill="1"/>
    <xf numFmtId="0" fontId="7" fillId="13" borderId="0" xfId="0" applyFont="1" applyFill="1"/>
    <xf numFmtId="0" fontId="7" fillId="14" borderId="0" xfId="0" applyFont="1" applyFill="1"/>
    <xf numFmtId="0" fontId="7" fillId="5" borderId="99" xfId="0" applyFont="1" applyFill="1" applyBorder="1" applyAlignment="1">
      <alignment horizontal="center"/>
    </xf>
    <xf numFmtId="0" fontId="7" fillId="2" borderId="100" xfId="0" applyFont="1" applyFill="1" applyBorder="1" applyAlignment="1">
      <alignment horizontal="center"/>
    </xf>
    <xf numFmtId="0" fontId="7" fillId="2" borderId="39" xfId="0" applyFont="1" applyFill="1" applyBorder="1" applyAlignment="1">
      <alignment horizontal="center"/>
    </xf>
    <xf numFmtId="0" fontId="7" fillId="5" borderId="27" xfId="0" applyFont="1" applyFill="1" applyBorder="1" applyAlignment="1">
      <alignment horizontal="center"/>
    </xf>
    <xf numFmtId="0" fontId="7" fillId="5" borderId="39" xfId="0" applyFont="1" applyFill="1" applyBorder="1" applyAlignment="1">
      <alignment horizontal="center"/>
    </xf>
    <xf numFmtId="0" fontId="7" fillId="2" borderId="101" xfId="0" applyFont="1" applyFill="1" applyBorder="1" applyAlignment="1">
      <alignment horizontal="center"/>
    </xf>
    <xf numFmtId="0" fontId="7" fillId="2" borderId="40" xfId="0" applyFont="1" applyFill="1" applyBorder="1" applyAlignment="1">
      <alignment horizontal="center"/>
    </xf>
    <xf numFmtId="49" fontId="7" fillId="4" borderId="108" xfId="0" applyNumberFormat="1" applyFont="1" applyFill="1" applyBorder="1" applyAlignment="1">
      <alignment horizontal="center"/>
    </xf>
    <xf numFmtId="49" fontId="7" fillId="4" borderId="109" xfId="0" applyNumberFormat="1" applyFont="1" applyFill="1" applyBorder="1" applyAlignment="1">
      <alignment horizontal="center"/>
    </xf>
    <xf numFmtId="49" fontId="7" fillId="4" borderId="110" xfId="0" applyNumberFormat="1" applyFont="1" applyFill="1" applyBorder="1" applyAlignment="1">
      <alignment horizontal="center"/>
    </xf>
    <xf numFmtId="49" fontId="7" fillId="4" borderId="111" xfId="0" applyNumberFormat="1" applyFont="1" applyFill="1" applyBorder="1" applyAlignment="1">
      <alignment horizontal="center"/>
    </xf>
    <xf numFmtId="49" fontId="7" fillId="4" borderId="112" xfId="0" applyNumberFormat="1" applyFont="1" applyFill="1" applyBorder="1" applyAlignment="1">
      <alignment horizontal="center"/>
    </xf>
    <xf numFmtId="49" fontId="7" fillId="4" borderId="113" xfId="0" applyNumberFormat="1" applyFont="1" applyFill="1" applyBorder="1" applyAlignment="1">
      <alignment horizontal="center"/>
    </xf>
    <xf numFmtId="0" fontId="7" fillId="3" borderId="117" xfId="0" applyFont="1" applyFill="1" applyBorder="1" applyAlignment="1">
      <alignment horizontal="center"/>
    </xf>
    <xf numFmtId="0" fontId="7" fillId="3" borderId="118" xfId="0" applyFont="1" applyFill="1" applyBorder="1" applyAlignment="1">
      <alignment horizontal="center"/>
    </xf>
    <xf numFmtId="0" fontId="7" fillId="3" borderId="119" xfId="0" applyFont="1" applyFill="1" applyBorder="1" applyAlignment="1">
      <alignment horizontal="center"/>
    </xf>
    <xf numFmtId="49" fontId="7" fillId="2" borderId="31" xfId="0" applyNumberFormat="1" applyFont="1" applyFill="1" applyBorder="1" applyAlignment="1">
      <alignment horizontal="center"/>
    </xf>
    <xf numFmtId="49" fontId="7" fillId="2" borderId="26" xfId="0" applyNumberFormat="1" applyFont="1" applyFill="1" applyBorder="1" applyAlignment="1">
      <alignment horizontal="center"/>
    </xf>
    <xf numFmtId="49" fontId="7" fillId="2" borderId="30" xfId="0" applyNumberFormat="1" applyFont="1" applyFill="1" applyBorder="1" applyAlignment="1">
      <alignment horizontal="center"/>
    </xf>
    <xf numFmtId="49" fontId="7" fillId="2" borderId="33" xfId="0" applyNumberFormat="1" applyFont="1" applyFill="1" applyBorder="1" applyAlignment="1">
      <alignment horizontal="center"/>
    </xf>
    <xf numFmtId="49" fontId="7" fillId="2" borderId="25" xfId="0" applyNumberFormat="1" applyFont="1" applyFill="1" applyBorder="1" applyAlignment="1">
      <alignment horizontal="center"/>
    </xf>
    <xf numFmtId="49" fontId="7" fillId="2" borderId="48" xfId="0" applyNumberFormat="1" applyFont="1" applyFill="1" applyBorder="1" applyAlignment="1">
      <alignment horizontal="center"/>
    </xf>
    <xf numFmtId="0" fontId="6" fillId="2" borderId="122" xfId="0" applyFont="1" applyFill="1" applyBorder="1" applyAlignment="1">
      <alignment horizontal="center"/>
    </xf>
    <xf numFmtId="0" fontId="6" fillId="2" borderId="123" xfId="0" applyFont="1" applyFill="1" applyBorder="1" applyAlignment="1">
      <alignment horizontal="center"/>
    </xf>
    <xf numFmtId="0" fontId="6" fillId="2" borderId="121" xfId="0" applyFont="1" applyFill="1" applyBorder="1" applyAlignment="1">
      <alignment horizontal="center"/>
    </xf>
    <xf numFmtId="0" fontId="7" fillId="0" borderId="31" xfId="0" applyFont="1" applyBorder="1" applyAlignment="1"/>
    <xf numFmtId="0" fontId="6" fillId="0" borderId="127" xfId="0" applyFont="1" applyBorder="1"/>
    <xf numFmtId="0" fontId="6" fillId="0" borderId="78" xfId="0" applyFont="1" applyBorder="1"/>
    <xf numFmtId="0" fontId="7" fillId="0" borderId="78" xfId="0" applyFont="1" applyBorder="1"/>
    <xf numFmtId="0" fontId="13" fillId="16" borderId="84" xfId="0" applyFont="1" applyFill="1" applyBorder="1" applyAlignment="1">
      <alignment horizontal="center" vertical="center" textRotation="90"/>
    </xf>
    <xf numFmtId="0" fontId="7" fillId="16" borderId="27" xfId="0" applyFont="1" applyFill="1" applyBorder="1" applyAlignment="1">
      <alignment horizontal="center"/>
    </xf>
    <xf numFmtId="0" fontId="7" fillId="16" borderId="43" xfId="0" applyFont="1" applyFill="1" applyBorder="1" applyAlignment="1">
      <alignment horizontal="center"/>
    </xf>
    <xf numFmtId="0" fontId="7" fillId="16" borderId="29" xfId="0" applyFont="1" applyFill="1" applyBorder="1" applyAlignment="1">
      <alignment horizontal="center"/>
    </xf>
    <xf numFmtId="0" fontId="13" fillId="16" borderId="85" xfId="0" applyFont="1" applyFill="1" applyBorder="1" applyAlignment="1">
      <alignment horizontal="center" vertical="center" textRotation="90"/>
    </xf>
    <xf numFmtId="0" fontId="7" fillId="16" borderId="39" xfId="0" applyFont="1" applyFill="1" applyBorder="1" applyAlignment="1">
      <alignment horizontal="center"/>
    </xf>
    <xf numFmtId="0" fontId="7" fillId="16" borderId="47" xfId="0" applyFont="1" applyFill="1" applyBorder="1" applyAlignment="1">
      <alignment horizontal="center"/>
    </xf>
    <xf numFmtId="0" fontId="7" fillId="16" borderId="40" xfId="0" applyFont="1" applyFill="1" applyBorder="1" applyAlignment="1">
      <alignment horizontal="center"/>
    </xf>
    <xf numFmtId="1" fontId="7" fillId="16" borderId="39" xfId="0" applyNumberFormat="1" applyFont="1" applyFill="1" applyBorder="1" applyAlignment="1">
      <alignment horizontal="center"/>
    </xf>
    <xf numFmtId="0" fontId="6" fillId="0" borderId="0" xfId="0" applyFont="1" applyBorder="1" applyAlignment="1">
      <alignment horizontal="center" textRotation="90"/>
    </xf>
    <xf numFmtId="0" fontId="6" fillId="0" borderId="78" xfId="0" applyFont="1" applyBorder="1" applyAlignment="1">
      <alignment horizontal="center" textRotation="90"/>
    </xf>
    <xf numFmtId="0" fontId="6" fillId="0" borderId="0" xfId="0" applyFont="1" applyBorder="1" applyAlignment="1">
      <alignment horizontal="center" textRotation="90" wrapText="1"/>
    </xf>
    <xf numFmtId="0" fontId="6" fillId="0" borderId="78" xfId="0" applyFont="1" applyBorder="1" applyAlignment="1">
      <alignment horizontal="center" textRotation="90" wrapText="1"/>
    </xf>
    <xf numFmtId="0" fontId="12" fillId="2" borderId="97" xfId="0" applyFont="1" applyFill="1" applyBorder="1" applyAlignment="1">
      <alignment horizontal="center" vertical="center" wrapText="1"/>
    </xf>
    <xf numFmtId="0" fontId="12" fillId="2" borderId="98" xfId="0" applyFont="1" applyFill="1" applyBorder="1" applyAlignment="1">
      <alignment horizontal="center" vertical="center" wrapText="1"/>
    </xf>
    <xf numFmtId="0" fontId="11" fillId="2" borderId="96" xfId="0" applyFont="1" applyFill="1" applyBorder="1" applyAlignment="1">
      <alignment horizontal="center" vertical="center"/>
    </xf>
    <xf numFmtId="0" fontId="11" fillId="2" borderId="97" xfId="0" applyFont="1" applyFill="1" applyBorder="1" applyAlignment="1">
      <alignment horizontal="center" vertical="center"/>
    </xf>
    <xf numFmtId="0" fontId="13" fillId="2" borderId="27" xfId="0" applyFont="1" applyFill="1" applyBorder="1" applyAlignment="1">
      <alignment horizontal="center" vertical="center" textRotation="90"/>
    </xf>
    <xf numFmtId="0" fontId="13" fillId="2" borderId="28" xfId="0" applyFont="1" applyFill="1" applyBorder="1" applyAlignment="1">
      <alignment horizontal="center" vertical="center" textRotation="90"/>
    </xf>
    <xf numFmtId="0" fontId="6" fillId="0" borderId="3" xfId="0" applyFont="1" applyBorder="1" applyAlignment="1">
      <alignment horizontal="center" textRotation="90"/>
    </xf>
    <xf numFmtId="0" fontId="6" fillId="3" borderId="8" xfId="0" applyFont="1" applyFill="1" applyBorder="1" applyAlignment="1">
      <alignment horizontal="center" textRotation="90"/>
    </xf>
    <xf numFmtId="0" fontId="6" fillId="3" borderId="9" xfId="0" applyFont="1" applyFill="1" applyBorder="1" applyAlignment="1">
      <alignment horizontal="center" textRotation="90"/>
    </xf>
    <xf numFmtId="0" fontId="6" fillId="3" borderId="10" xfId="0" applyFont="1" applyFill="1" applyBorder="1" applyAlignment="1">
      <alignment horizontal="center" textRotation="90"/>
    </xf>
    <xf numFmtId="49" fontId="6" fillId="4" borderId="87" xfId="0" applyNumberFormat="1" applyFont="1" applyFill="1" applyBorder="1" applyAlignment="1">
      <alignment horizontal="center" textRotation="90" shrinkToFit="1"/>
    </xf>
    <xf numFmtId="49" fontId="6" fillId="4" borderId="88" xfId="0" applyNumberFormat="1" applyFont="1" applyFill="1" applyBorder="1" applyAlignment="1">
      <alignment horizontal="center" textRotation="90" shrinkToFit="1"/>
    </xf>
    <xf numFmtId="49" fontId="6" fillId="4" borderId="89" xfId="0" applyNumberFormat="1" applyFont="1" applyFill="1" applyBorder="1" applyAlignment="1">
      <alignment horizontal="center" textRotation="90" shrinkToFit="1"/>
    </xf>
    <xf numFmtId="49" fontId="6" fillId="4" borderId="20" xfId="0" applyNumberFormat="1" applyFont="1" applyFill="1" applyBorder="1" applyAlignment="1">
      <alignment horizontal="center" textRotation="90"/>
    </xf>
    <xf numFmtId="49" fontId="6" fillId="4" borderId="21" xfId="0" applyNumberFormat="1" applyFont="1" applyFill="1" applyBorder="1" applyAlignment="1">
      <alignment horizontal="center" textRotation="90"/>
    </xf>
    <xf numFmtId="49" fontId="6" fillId="4" borderId="22" xfId="0" applyNumberFormat="1" applyFont="1" applyFill="1" applyBorder="1" applyAlignment="1">
      <alignment horizontal="center" textRotation="90"/>
    </xf>
    <xf numFmtId="0" fontId="13" fillId="2" borderId="43" xfId="0" applyFont="1" applyFill="1" applyBorder="1" applyAlignment="1">
      <alignment horizontal="center" vertical="center" textRotation="90"/>
    </xf>
    <xf numFmtId="0" fontId="13" fillId="2" borderId="44" xfId="0" applyFont="1" applyFill="1" applyBorder="1" applyAlignment="1">
      <alignment horizontal="center" vertical="center" textRotation="90"/>
    </xf>
    <xf numFmtId="0" fontId="13" fillId="2" borderId="45" xfId="0" applyFont="1" applyFill="1" applyBorder="1" applyAlignment="1">
      <alignment horizontal="center" vertical="center" textRotation="90"/>
    </xf>
    <xf numFmtId="0" fontId="13" fillId="2" borderId="52" xfId="0" applyFont="1" applyFill="1" applyBorder="1" applyAlignment="1">
      <alignment horizontal="center" vertical="center" textRotation="90"/>
    </xf>
    <xf numFmtId="0" fontId="13" fillId="2" borderId="53" xfId="0" applyFont="1" applyFill="1" applyBorder="1" applyAlignment="1">
      <alignment horizontal="center" vertical="center" textRotation="90"/>
    </xf>
    <xf numFmtId="0" fontId="13" fillId="2" borderId="55" xfId="0" applyFont="1" applyFill="1" applyBorder="1" applyAlignment="1">
      <alignment horizontal="center" vertical="center" textRotation="90"/>
    </xf>
    <xf numFmtId="0" fontId="13" fillId="2" borderId="56" xfId="0" applyFont="1" applyFill="1" applyBorder="1" applyAlignment="1">
      <alignment horizontal="center" vertical="center" textRotation="90"/>
    </xf>
    <xf numFmtId="0" fontId="13" fillId="2" borderId="61" xfId="0" applyFont="1" applyFill="1" applyBorder="1" applyAlignment="1">
      <alignment horizontal="center" vertical="center" textRotation="90"/>
    </xf>
    <xf numFmtId="0" fontId="6" fillId="2" borderId="33" xfId="0" applyFont="1" applyFill="1" applyBorder="1" applyAlignment="1">
      <alignment horizontal="center" vertical="center"/>
    </xf>
    <xf numFmtId="0" fontId="6" fillId="2" borderId="24" xfId="0" applyFont="1" applyFill="1" applyBorder="1" applyAlignment="1">
      <alignment horizontal="center" vertical="center"/>
    </xf>
    <xf numFmtId="0" fontId="6" fillId="2" borderId="25" xfId="0" applyFont="1" applyFill="1" applyBorder="1" applyAlignment="1">
      <alignment horizontal="center" vertical="center"/>
    </xf>
    <xf numFmtId="0" fontId="6" fillId="2" borderId="26" xfId="0" applyFont="1" applyFill="1" applyBorder="1" applyAlignment="1">
      <alignment horizontal="center" vertical="center"/>
    </xf>
    <xf numFmtId="0" fontId="6" fillId="2" borderId="32" xfId="0" applyFont="1" applyFill="1" applyBorder="1" applyAlignment="1">
      <alignment horizontal="center" vertical="center"/>
    </xf>
    <xf numFmtId="0" fontId="6" fillId="2" borderId="42" xfId="0" applyFont="1" applyFill="1" applyBorder="1" applyAlignment="1">
      <alignment horizontal="center" vertical="center"/>
    </xf>
    <xf numFmtId="0" fontId="6" fillId="2" borderId="33" xfId="0" applyFont="1" applyFill="1" applyBorder="1" applyAlignment="1">
      <alignment horizontal="center" vertical="center" wrapText="1"/>
    </xf>
    <xf numFmtId="0" fontId="13" fillId="2" borderId="27" xfId="0" applyFont="1" applyFill="1" applyBorder="1" applyAlignment="1">
      <alignment horizontal="center" vertical="center" textRotation="90" wrapText="1"/>
    </xf>
    <xf numFmtId="0" fontId="13" fillId="2" borderId="39" xfId="0" applyFont="1" applyFill="1" applyBorder="1" applyAlignment="1">
      <alignment horizontal="center" vertical="center" textRotation="90"/>
    </xf>
    <xf numFmtId="0" fontId="13" fillId="2" borderId="38" xfId="0" applyFont="1" applyFill="1" applyBorder="1" applyAlignment="1">
      <alignment horizontal="center" vertical="center" textRotation="90"/>
    </xf>
    <xf numFmtId="0" fontId="13" fillId="2" borderId="19" xfId="0" applyFont="1" applyFill="1" applyBorder="1" applyAlignment="1">
      <alignment horizontal="center" vertical="center" textRotation="90"/>
    </xf>
    <xf numFmtId="0" fontId="13" fillId="2" borderId="46" xfId="0" applyFont="1" applyFill="1" applyBorder="1" applyAlignment="1">
      <alignment horizontal="center" vertical="center" textRotation="90"/>
    </xf>
    <xf numFmtId="0" fontId="13" fillId="2" borderId="28" xfId="0" applyFont="1" applyFill="1" applyBorder="1" applyAlignment="1">
      <alignment horizontal="center" vertical="center" textRotation="90" wrapText="1"/>
    </xf>
    <xf numFmtId="0" fontId="13" fillId="2" borderId="43" xfId="0" applyFont="1" applyFill="1" applyBorder="1" applyAlignment="1">
      <alignment horizontal="center" vertical="center" textRotation="90" wrapText="1"/>
    </xf>
    <xf numFmtId="0" fontId="13" fillId="2" borderId="44" xfId="0" applyFont="1" applyFill="1" applyBorder="1" applyAlignment="1">
      <alignment horizontal="center" vertical="center" textRotation="90" wrapText="1"/>
    </xf>
    <xf numFmtId="0" fontId="13" fillId="2" borderId="45" xfId="0" applyFont="1" applyFill="1" applyBorder="1" applyAlignment="1">
      <alignment horizontal="center" vertical="center" textRotation="90" wrapText="1"/>
    </xf>
    <xf numFmtId="0" fontId="13" fillId="3" borderId="66" xfId="0" applyFont="1" applyFill="1" applyBorder="1" applyAlignment="1">
      <alignment horizontal="center" vertical="center" textRotation="90"/>
    </xf>
    <xf numFmtId="0" fontId="13" fillId="3" borderId="67" xfId="0" applyFont="1" applyFill="1" applyBorder="1" applyAlignment="1">
      <alignment horizontal="center" vertical="center" textRotation="90"/>
    </xf>
    <xf numFmtId="0" fontId="13" fillId="3" borderId="68" xfId="0" applyFont="1" applyFill="1" applyBorder="1" applyAlignment="1">
      <alignment horizontal="center" vertical="center" textRotation="90"/>
    </xf>
    <xf numFmtId="0" fontId="7" fillId="2" borderId="69" xfId="0" applyFont="1" applyFill="1" applyBorder="1" applyAlignment="1">
      <alignment horizontal="center"/>
    </xf>
    <xf numFmtId="0" fontId="7" fillId="2" borderId="49" xfId="0" applyFont="1" applyFill="1" applyBorder="1" applyAlignment="1">
      <alignment horizontal="center"/>
    </xf>
    <xf numFmtId="0" fontId="7" fillId="2" borderId="25" xfId="0" applyFont="1" applyFill="1" applyBorder="1" applyAlignment="1">
      <alignment horizontal="center"/>
    </xf>
    <xf numFmtId="0" fontId="7" fillId="2" borderId="0" xfId="0" applyFont="1" applyFill="1" applyBorder="1" applyAlignment="1">
      <alignment horizontal="center"/>
    </xf>
    <xf numFmtId="0" fontId="7" fillId="2" borderId="70" xfId="0" applyFont="1" applyFill="1" applyBorder="1" applyAlignment="1">
      <alignment horizontal="center"/>
    </xf>
    <xf numFmtId="0" fontId="7" fillId="2" borderId="50" xfId="0" applyFont="1" applyFill="1" applyBorder="1" applyAlignment="1">
      <alignment horizontal="center"/>
    </xf>
    <xf numFmtId="0" fontId="6" fillId="2" borderId="35" xfId="0" applyFont="1" applyFill="1" applyBorder="1" applyAlignment="1">
      <alignment horizontal="center" vertical="center"/>
    </xf>
    <xf numFmtId="0" fontId="6" fillId="2" borderId="37" xfId="0" applyFont="1" applyFill="1" applyBorder="1" applyAlignment="1">
      <alignment horizontal="center" vertical="center"/>
    </xf>
    <xf numFmtId="0" fontId="6" fillId="2" borderId="48" xfId="0" applyFont="1" applyFill="1" applyBorder="1" applyAlignment="1">
      <alignment horizontal="center" vertical="center"/>
    </xf>
    <xf numFmtId="0" fontId="6" fillId="2" borderId="30" xfId="0" applyFont="1" applyFill="1" applyBorder="1" applyAlignment="1">
      <alignment horizontal="center" vertical="center"/>
    </xf>
    <xf numFmtId="0" fontId="6" fillId="2" borderId="35" xfId="0" applyFont="1" applyFill="1" applyBorder="1" applyAlignment="1">
      <alignment horizontal="center" vertical="center" wrapText="1"/>
    </xf>
    <xf numFmtId="0" fontId="6" fillId="2" borderId="51" xfId="0" applyFont="1" applyFill="1" applyBorder="1" applyAlignment="1">
      <alignment horizontal="left" vertical="top" wrapText="1"/>
    </xf>
    <xf numFmtId="0" fontId="6" fillId="2" borderId="54" xfId="0" applyFont="1" applyFill="1" applyBorder="1" applyAlignment="1">
      <alignment horizontal="left" vertical="top" wrapText="1"/>
    </xf>
    <xf numFmtId="0" fontId="6" fillId="2" borderId="57" xfId="0" applyFont="1" applyFill="1" applyBorder="1" applyAlignment="1">
      <alignment horizontal="left" vertical="top" wrapText="1"/>
    </xf>
    <xf numFmtId="0" fontId="6" fillId="2" borderId="58" xfId="0" applyFont="1" applyFill="1" applyBorder="1" applyAlignment="1">
      <alignment horizontal="left" vertical="top" wrapText="1"/>
    </xf>
    <xf numFmtId="0" fontId="14" fillId="2" borderId="90" xfId="0" applyFont="1" applyFill="1" applyBorder="1" applyAlignment="1">
      <alignment horizontal="center"/>
    </xf>
    <xf numFmtId="0" fontId="14" fillId="2" borderId="91" xfId="0" applyFont="1" applyFill="1" applyBorder="1" applyAlignment="1">
      <alignment horizontal="center"/>
    </xf>
    <xf numFmtId="0" fontId="14" fillId="2" borderId="92" xfId="0" applyFont="1" applyFill="1" applyBorder="1" applyAlignment="1">
      <alignment horizontal="center"/>
    </xf>
    <xf numFmtId="0" fontId="14" fillId="2" borderId="93" xfId="0" applyFont="1" applyFill="1" applyBorder="1" applyAlignment="1">
      <alignment horizontal="center"/>
    </xf>
    <xf numFmtId="0" fontId="14" fillId="2" borderId="94" xfId="0" applyFont="1" applyFill="1" applyBorder="1" applyAlignment="1">
      <alignment horizontal="center"/>
    </xf>
    <xf numFmtId="0" fontId="14" fillId="2" borderId="95" xfId="0" applyFont="1" applyFill="1" applyBorder="1" applyAlignment="1">
      <alignment horizontal="center"/>
    </xf>
    <xf numFmtId="0" fontId="6" fillId="2" borderId="24" xfId="0" applyFont="1" applyFill="1" applyBorder="1" applyAlignment="1">
      <alignment horizontal="center" vertical="center" wrapText="1"/>
    </xf>
    <xf numFmtId="0" fontId="6" fillId="2" borderId="25" xfId="0" applyFont="1" applyFill="1" applyBorder="1" applyAlignment="1">
      <alignment horizontal="center" vertical="center" wrapText="1"/>
    </xf>
    <xf numFmtId="0" fontId="6" fillId="2" borderId="26"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6" fillId="2" borderId="42" xfId="0" applyFont="1" applyFill="1" applyBorder="1" applyAlignment="1">
      <alignment horizontal="center" vertical="center" wrapText="1"/>
    </xf>
    <xf numFmtId="0" fontId="6" fillId="2" borderId="36" xfId="0" applyFont="1" applyFill="1" applyBorder="1" applyAlignment="1">
      <alignment horizontal="center" vertical="center"/>
    </xf>
    <xf numFmtId="0" fontId="6" fillId="2" borderId="0" xfId="0" applyFont="1" applyFill="1" applyBorder="1" applyAlignment="1">
      <alignment horizontal="center" vertical="center"/>
    </xf>
    <xf numFmtId="0" fontId="6" fillId="2" borderId="31" xfId="0" applyFont="1" applyFill="1" applyBorder="1" applyAlignment="1">
      <alignment horizontal="center" vertical="center"/>
    </xf>
    <xf numFmtId="0" fontId="6" fillId="2" borderId="34" xfId="0" applyFont="1" applyFill="1" applyBorder="1" applyAlignment="1">
      <alignment horizontal="center" vertical="center"/>
    </xf>
    <xf numFmtId="0" fontId="6" fillId="2" borderId="12" xfId="0" applyFont="1" applyFill="1" applyBorder="1" applyAlignment="1">
      <alignment horizontal="center" vertical="center"/>
    </xf>
    <xf numFmtId="0" fontId="13" fillId="2" borderId="47" xfId="0" applyFont="1" applyFill="1" applyBorder="1" applyAlignment="1">
      <alignment horizontal="center" vertical="center" textRotation="90"/>
    </xf>
    <xf numFmtId="0" fontId="13" fillId="2" borderId="63" xfId="0" applyFont="1" applyFill="1" applyBorder="1" applyAlignment="1">
      <alignment horizontal="center" vertical="center" textRotation="90"/>
    </xf>
    <xf numFmtId="0" fontId="13" fillId="2" borderId="64" xfId="0" applyFont="1" applyFill="1" applyBorder="1" applyAlignment="1">
      <alignment horizontal="center" vertical="center" textRotation="90"/>
    </xf>
    <xf numFmtId="0" fontId="6" fillId="2" borderId="131" xfId="0" applyFont="1" applyFill="1" applyBorder="1" applyAlignment="1">
      <alignment horizontal="center" vertical="center"/>
    </xf>
    <xf numFmtId="0" fontId="6" fillId="2" borderId="133" xfId="0" applyFont="1" applyFill="1" applyBorder="1" applyAlignment="1">
      <alignment horizontal="center" vertical="center"/>
    </xf>
    <xf numFmtId="0" fontId="6" fillId="2" borderId="132" xfId="0" applyFont="1" applyFill="1" applyBorder="1" applyAlignment="1">
      <alignment horizontal="center" vertical="center"/>
    </xf>
    <xf numFmtId="0" fontId="6" fillId="2" borderId="36"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2" borderId="131" xfId="0" applyFont="1" applyFill="1" applyBorder="1" applyAlignment="1">
      <alignment horizontal="center" vertical="center" wrapText="1"/>
    </xf>
    <xf numFmtId="0" fontId="6" fillId="2" borderId="133" xfId="0" applyFont="1" applyFill="1" applyBorder="1" applyAlignment="1">
      <alignment horizontal="center" vertical="center" wrapText="1"/>
    </xf>
    <xf numFmtId="0" fontId="6" fillId="2" borderId="132" xfId="0" applyFont="1" applyFill="1" applyBorder="1" applyAlignment="1">
      <alignment horizontal="center" vertical="center" wrapText="1"/>
    </xf>
    <xf numFmtId="0" fontId="6" fillId="2" borderId="34"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14" fillId="2" borderId="128" xfId="0" applyFont="1" applyFill="1" applyBorder="1" applyAlignment="1">
      <alignment horizontal="center"/>
    </xf>
    <xf numFmtId="0" fontId="14" fillId="2" borderId="129" xfId="0" applyFont="1" applyFill="1" applyBorder="1" applyAlignment="1">
      <alignment horizontal="center"/>
    </xf>
    <xf numFmtId="0" fontId="14" fillId="2" borderId="130" xfId="0" applyFont="1" applyFill="1" applyBorder="1" applyAlignment="1">
      <alignment horizontal="center"/>
    </xf>
    <xf numFmtId="0" fontId="13" fillId="16" borderId="27" xfId="0" applyFont="1" applyFill="1" applyBorder="1" applyAlignment="1">
      <alignment horizontal="center" vertical="center" textRotation="90"/>
    </xf>
    <xf numFmtId="0" fontId="13" fillId="16" borderId="28" xfId="0" applyFont="1" applyFill="1" applyBorder="1" applyAlignment="1">
      <alignment horizontal="center" vertical="center" textRotation="90"/>
    </xf>
    <xf numFmtId="0" fontId="13" fillId="16" borderId="39" xfId="0" applyFont="1" applyFill="1" applyBorder="1" applyAlignment="1">
      <alignment horizontal="center" vertical="center" textRotation="90"/>
    </xf>
    <xf numFmtId="0" fontId="13" fillId="16" borderId="38" xfId="0" applyFont="1" applyFill="1" applyBorder="1" applyAlignment="1">
      <alignment horizontal="center" vertical="center" textRotation="90"/>
    </xf>
    <xf numFmtId="0" fontId="13" fillId="16" borderId="53" xfId="0" applyFont="1" applyFill="1" applyBorder="1" applyAlignment="1">
      <alignment horizontal="center" vertical="center" textRotation="90"/>
    </xf>
    <xf numFmtId="0" fontId="13" fillId="16" borderId="104" xfId="0" applyFont="1" applyFill="1" applyBorder="1" applyAlignment="1">
      <alignment horizontal="center" vertical="center" textRotation="90"/>
    </xf>
    <xf numFmtId="0" fontId="13" fillId="16" borderId="134" xfId="0" applyFont="1" applyFill="1" applyBorder="1" applyAlignment="1">
      <alignment horizontal="center" vertical="center" textRotation="90"/>
    </xf>
    <xf numFmtId="0" fontId="13" fillId="16" borderId="47" xfId="0" applyFont="1" applyFill="1" applyBorder="1" applyAlignment="1">
      <alignment horizontal="center" vertical="center" textRotation="90"/>
    </xf>
    <xf numFmtId="0" fontId="13" fillId="16" borderId="63" xfId="0" applyFont="1" applyFill="1" applyBorder="1" applyAlignment="1">
      <alignment horizontal="center" vertical="center" textRotation="90"/>
    </xf>
    <xf numFmtId="0" fontId="13" fillId="16" borderId="136" xfId="0" applyFont="1" applyFill="1" applyBorder="1" applyAlignment="1">
      <alignment horizontal="center" vertical="center" textRotation="90"/>
    </xf>
    <xf numFmtId="0" fontId="13" fillId="16" borderId="55" xfId="0" applyFont="1" applyFill="1" applyBorder="1" applyAlignment="1">
      <alignment horizontal="center" vertical="center" textRotation="90"/>
    </xf>
    <xf numFmtId="0" fontId="13" fillId="16" borderId="56" xfId="0" applyFont="1" applyFill="1" applyBorder="1" applyAlignment="1">
      <alignment horizontal="center" vertical="center" textRotation="90"/>
    </xf>
    <xf numFmtId="0" fontId="13" fillId="16" borderId="135" xfId="0" applyFont="1" applyFill="1" applyBorder="1" applyAlignment="1">
      <alignment horizontal="center" vertical="center" textRotation="90"/>
    </xf>
    <xf numFmtId="0" fontId="11" fillId="15" borderId="124" xfId="0" applyFont="1" applyFill="1" applyBorder="1" applyAlignment="1">
      <alignment horizontal="center" vertical="center"/>
    </xf>
    <xf numFmtId="0" fontId="11" fillId="15" borderId="125" xfId="0" applyFont="1" applyFill="1" applyBorder="1" applyAlignment="1">
      <alignment horizontal="center" vertical="center"/>
    </xf>
    <xf numFmtId="0" fontId="12" fillId="15" borderId="125" xfId="0" applyFont="1" applyFill="1" applyBorder="1" applyAlignment="1">
      <alignment horizontal="center" vertical="center" wrapText="1"/>
    </xf>
    <xf numFmtId="0" fontId="12" fillId="15" borderId="126" xfId="0" applyFont="1" applyFill="1" applyBorder="1" applyAlignment="1">
      <alignment horizontal="center" vertical="center" wrapText="1"/>
    </xf>
    <xf numFmtId="0" fontId="6" fillId="2" borderId="120" xfId="0" applyFont="1" applyFill="1" applyBorder="1" applyAlignment="1">
      <alignment horizontal="center" textRotation="90" wrapText="1"/>
    </xf>
    <xf numFmtId="0" fontId="6" fillId="2" borderId="5" xfId="0" applyFont="1" applyFill="1" applyBorder="1" applyAlignment="1">
      <alignment horizontal="center" textRotation="90"/>
    </xf>
    <xf numFmtId="0" fontId="6" fillId="2" borderId="4" xfId="0" applyFont="1" applyFill="1" applyBorder="1" applyAlignment="1">
      <alignment horizontal="center" textRotation="90"/>
    </xf>
    <xf numFmtId="0" fontId="6" fillId="2" borderId="120" xfId="0" applyFont="1" applyFill="1" applyBorder="1" applyAlignment="1">
      <alignment horizontal="center" textRotation="90"/>
    </xf>
    <xf numFmtId="0" fontId="6" fillId="2" borderId="13" xfId="0" applyFont="1" applyFill="1" applyBorder="1" applyAlignment="1">
      <alignment horizontal="center" textRotation="90"/>
    </xf>
    <xf numFmtId="49" fontId="6" fillId="4" borderId="103" xfId="0" applyNumberFormat="1" applyFont="1" applyFill="1" applyBorder="1" applyAlignment="1">
      <alignment horizontal="center" textRotation="90"/>
    </xf>
    <xf numFmtId="49" fontId="6" fillId="4" borderId="105" xfId="0" applyNumberFormat="1" applyFont="1" applyFill="1" applyBorder="1" applyAlignment="1">
      <alignment horizontal="center" textRotation="90"/>
    </xf>
    <xf numFmtId="49" fontId="6" fillId="4" borderId="107" xfId="0" applyNumberFormat="1" applyFont="1" applyFill="1" applyBorder="1" applyAlignment="1">
      <alignment horizontal="center" textRotation="90"/>
    </xf>
    <xf numFmtId="0" fontId="6" fillId="2" borderId="5" xfId="0" applyFont="1" applyFill="1" applyBorder="1" applyAlignment="1">
      <alignment horizontal="center" textRotation="90" wrapText="1"/>
    </xf>
    <xf numFmtId="0" fontId="6" fillId="2" borderId="4" xfId="0" applyFont="1" applyFill="1" applyBorder="1" applyAlignment="1">
      <alignment horizontal="center" textRotation="90" wrapText="1"/>
    </xf>
    <xf numFmtId="0" fontId="14" fillId="2" borderId="90" xfId="0" applyFont="1" applyFill="1" applyBorder="1" applyAlignment="1">
      <alignment horizontal="center" vertical="center"/>
    </xf>
    <xf numFmtId="0" fontId="14" fillId="2" borderId="91" xfId="0" applyFont="1" applyFill="1" applyBorder="1" applyAlignment="1">
      <alignment horizontal="center" vertical="center"/>
    </xf>
    <xf numFmtId="0" fontId="14" fillId="2" borderId="92" xfId="0" applyFont="1" applyFill="1" applyBorder="1" applyAlignment="1">
      <alignment horizontal="center" vertical="center"/>
    </xf>
    <xf numFmtId="0" fontId="6" fillId="2" borderId="82" xfId="0" applyFont="1" applyFill="1" applyBorder="1" applyAlignment="1">
      <alignment horizontal="center" textRotation="90"/>
    </xf>
    <xf numFmtId="0" fontId="6" fillId="2" borderId="27" xfId="0" applyFont="1" applyFill="1" applyBorder="1" applyAlignment="1">
      <alignment horizontal="center" textRotation="90"/>
    </xf>
    <xf numFmtId="0" fontId="6" fillId="2" borderId="28" xfId="0" applyFont="1" applyFill="1" applyBorder="1" applyAlignment="1">
      <alignment horizontal="center" textRotation="90"/>
    </xf>
    <xf numFmtId="0" fontId="6" fillId="2" borderId="14" xfId="0" applyFont="1" applyFill="1" applyBorder="1" applyAlignment="1">
      <alignment horizontal="center" textRotation="90"/>
    </xf>
    <xf numFmtId="0" fontId="6" fillId="2" borderId="15" xfId="0" applyFont="1" applyFill="1" applyBorder="1" applyAlignment="1">
      <alignment horizontal="center" textRotation="90"/>
    </xf>
    <xf numFmtId="0" fontId="6" fillId="2" borderId="83" xfId="0" applyFont="1" applyFill="1" applyBorder="1" applyAlignment="1">
      <alignment horizontal="center" textRotation="90"/>
    </xf>
    <xf numFmtId="0" fontId="6" fillId="2" borderId="39" xfId="0" applyFont="1" applyFill="1" applyBorder="1" applyAlignment="1">
      <alignment horizontal="center" textRotation="90"/>
    </xf>
    <xf numFmtId="0" fontId="6" fillId="2" borderId="38" xfId="0" applyFont="1" applyFill="1" applyBorder="1" applyAlignment="1">
      <alignment horizontal="center" textRotation="90"/>
    </xf>
    <xf numFmtId="0" fontId="6" fillId="2" borderId="14" xfId="0" applyFont="1" applyFill="1" applyBorder="1" applyAlignment="1">
      <alignment horizontal="center" textRotation="90" wrapText="1"/>
    </xf>
    <xf numFmtId="0" fontId="6" fillId="2" borderId="15" xfId="0" applyFont="1" applyFill="1" applyBorder="1" applyAlignment="1">
      <alignment horizontal="center" textRotation="90" wrapText="1"/>
    </xf>
    <xf numFmtId="0" fontId="6" fillId="2" borderId="90" xfId="0" applyFont="1" applyFill="1" applyBorder="1" applyAlignment="1">
      <alignment horizontal="right" vertical="center"/>
    </xf>
    <xf numFmtId="0" fontId="6" fillId="2" borderId="91" xfId="0" applyFont="1" applyFill="1" applyBorder="1" applyAlignment="1">
      <alignment horizontal="right" vertical="center"/>
    </xf>
    <xf numFmtId="0" fontId="6" fillId="2" borderId="92" xfId="0" applyFont="1" applyFill="1" applyBorder="1" applyAlignment="1">
      <alignment horizontal="right" vertical="center"/>
    </xf>
    <xf numFmtId="0" fontId="6" fillId="3" borderId="114" xfId="0" applyFont="1" applyFill="1" applyBorder="1" applyAlignment="1">
      <alignment horizontal="center" textRotation="90"/>
    </xf>
    <xf numFmtId="0" fontId="6" fillId="3" borderId="115" xfId="0" applyFont="1" applyFill="1" applyBorder="1" applyAlignment="1">
      <alignment horizontal="center" textRotation="90"/>
    </xf>
    <xf numFmtId="0" fontId="6" fillId="3" borderId="116" xfId="0" applyFont="1" applyFill="1" applyBorder="1" applyAlignment="1">
      <alignment horizontal="center" textRotation="90"/>
    </xf>
    <xf numFmtId="49" fontId="6" fillId="4" borderId="102" xfId="0" applyNumberFormat="1" applyFont="1" applyFill="1" applyBorder="1" applyAlignment="1">
      <alignment horizontal="center" textRotation="90"/>
    </xf>
    <xf numFmtId="49" fontId="6" fillId="4" borderId="104" xfId="0" applyNumberFormat="1" applyFont="1" applyFill="1" applyBorder="1" applyAlignment="1">
      <alignment horizontal="center" textRotation="90"/>
    </xf>
    <xf numFmtId="49" fontId="6" fillId="4" borderId="106" xfId="0" applyNumberFormat="1" applyFont="1" applyFill="1" applyBorder="1" applyAlignment="1">
      <alignment horizontal="center" textRotation="90"/>
    </xf>
    <xf numFmtId="0" fontId="6" fillId="2" borderId="13" xfId="0" applyFont="1" applyFill="1" applyBorder="1" applyAlignment="1">
      <alignment horizontal="center" textRotation="90" wrapText="1"/>
    </xf>
    <xf numFmtId="0" fontId="6" fillId="2" borderId="18" xfId="0" applyFont="1" applyFill="1" applyBorder="1" applyAlignment="1">
      <alignment horizontal="center" textRotation="90"/>
    </xf>
    <xf numFmtId="0" fontId="6" fillId="2" borderId="16" xfId="0" applyFont="1" applyFill="1" applyBorder="1" applyAlignment="1">
      <alignment horizontal="center" textRotation="90"/>
    </xf>
    <xf numFmtId="0" fontId="6" fillId="2" borderId="17" xfId="0" applyFont="1" applyFill="1" applyBorder="1" applyAlignment="1">
      <alignment horizontal="center" textRotation="90"/>
    </xf>
    <xf numFmtId="0" fontId="6" fillId="2" borderId="47" xfId="0" applyFont="1" applyFill="1" applyBorder="1" applyAlignment="1">
      <alignment horizontal="center" textRotation="90"/>
    </xf>
    <xf numFmtId="0" fontId="4" fillId="0" borderId="0" xfId="0" applyFont="1" applyAlignment="1">
      <alignment horizontal="center"/>
    </xf>
  </cellXfs>
  <cellStyles count="3">
    <cellStyle name="Followed Hyperlink" xfId="2" builtinId="9" hidden="1"/>
    <cellStyle name="Hyperlink" xfId="1"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C1D2F1"/>
      <color rgb="FFD4EEFE"/>
      <color rgb="FFE5EAF4"/>
      <color rgb="FF8BABE6"/>
      <color rgb="FFA1E258"/>
      <color rgb="FFF65AA7"/>
      <color rgb="FF9AD8FF"/>
      <color rgb="FFDDF8FF"/>
      <color rgb="FF73D62A"/>
      <color rgb="FFE24C5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6"/>
  <sheetViews>
    <sheetView showRuler="0" topLeftCell="AU80" workbookViewId="0">
      <selection activeCell="BA101" sqref="BA101"/>
    </sheetView>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98" t="s">
        <v>167</v>
      </c>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199"/>
      <c r="AS2" s="199"/>
      <c r="AT2" s="199"/>
      <c r="AU2" s="199"/>
      <c r="AV2" s="199"/>
      <c r="AW2" s="199"/>
      <c r="AX2" s="199"/>
      <c r="AY2" s="199"/>
      <c r="AZ2" s="200"/>
    </row>
    <row r="3" spans="1:53" ht="16" customHeight="1" x14ac:dyDescent="0.2">
      <c r="D3" s="142" t="s">
        <v>265</v>
      </c>
      <c r="K3" s="164" t="s">
        <v>161</v>
      </c>
      <c r="L3" s="165"/>
      <c r="M3" s="164" t="s">
        <v>229</v>
      </c>
      <c r="N3" s="165"/>
      <c r="O3" s="164" t="s">
        <v>163</v>
      </c>
      <c r="P3" s="165"/>
      <c r="Q3" s="164" t="s">
        <v>162</v>
      </c>
      <c r="R3" s="165"/>
      <c r="S3" s="164" t="s">
        <v>223</v>
      </c>
      <c r="T3" s="165"/>
      <c r="U3" s="164" t="s">
        <v>169</v>
      </c>
      <c r="V3" s="165"/>
      <c r="W3" s="170" t="s">
        <v>273</v>
      </c>
      <c r="X3" s="165"/>
      <c r="Y3" s="164" t="s">
        <v>186</v>
      </c>
      <c r="Z3" s="165"/>
      <c r="AA3" s="170" t="s">
        <v>274</v>
      </c>
      <c r="AB3" s="165"/>
      <c r="AC3" s="164" t="s">
        <v>228</v>
      </c>
      <c r="AD3" s="165"/>
      <c r="AE3" s="170" t="s">
        <v>275</v>
      </c>
      <c r="AF3" s="165"/>
      <c r="AG3" s="164" t="s">
        <v>183</v>
      </c>
      <c r="AH3" s="165"/>
      <c r="AI3" s="164" t="s">
        <v>227</v>
      </c>
      <c r="AJ3" s="165"/>
      <c r="AK3" s="164" t="s">
        <v>168</v>
      </c>
      <c r="AL3" s="165"/>
      <c r="AM3" s="170" t="s">
        <v>272</v>
      </c>
      <c r="AN3" s="165"/>
      <c r="AO3" s="164" t="s">
        <v>187</v>
      </c>
      <c r="AP3" s="165"/>
      <c r="AQ3" s="164" t="s">
        <v>184</v>
      </c>
      <c r="AR3" s="165"/>
      <c r="AS3" s="164" t="s">
        <v>164</v>
      </c>
      <c r="AT3" s="165"/>
      <c r="AU3" s="164" t="s">
        <v>165</v>
      </c>
      <c r="AV3" s="165"/>
      <c r="AW3" s="212" t="s">
        <v>230</v>
      </c>
      <c r="AX3" s="165"/>
      <c r="AY3" s="170" t="s">
        <v>420</v>
      </c>
      <c r="AZ3" s="204"/>
    </row>
    <row r="4" spans="1:53" ht="20" customHeight="1" x14ac:dyDescent="0.2">
      <c r="B4" s="97"/>
      <c r="D4" s="143"/>
      <c r="K4" s="166"/>
      <c r="L4" s="167"/>
      <c r="M4" s="166"/>
      <c r="N4" s="167"/>
      <c r="O4" s="166"/>
      <c r="P4" s="167"/>
      <c r="Q4" s="166"/>
      <c r="R4" s="167"/>
      <c r="S4" s="166"/>
      <c r="T4" s="167"/>
      <c r="U4" s="166"/>
      <c r="V4" s="167"/>
      <c r="W4" s="166"/>
      <c r="X4" s="167"/>
      <c r="Y4" s="166"/>
      <c r="Z4" s="167"/>
      <c r="AA4" s="166"/>
      <c r="AB4" s="167"/>
      <c r="AC4" s="166"/>
      <c r="AD4" s="167"/>
      <c r="AE4" s="166"/>
      <c r="AF4" s="167"/>
      <c r="AG4" s="166"/>
      <c r="AH4" s="167"/>
      <c r="AI4" s="166"/>
      <c r="AJ4" s="167"/>
      <c r="AK4" s="166"/>
      <c r="AL4" s="167"/>
      <c r="AM4" s="166"/>
      <c r="AN4" s="167"/>
      <c r="AO4" s="166"/>
      <c r="AP4" s="167"/>
      <c r="AQ4" s="166"/>
      <c r="AR4" s="167"/>
      <c r="AS4" s="166"/>
      <c r="AT4" s="167"/>
      <c r="AU4" s="166"/>
      <c r="AV4" s="167"/>
      <c r="AW4" s="210"/>
      <c r="AX4" s="167"/>
      <c r="AY4" s="205"/>
      <c r="AZ4" s="206"/>
    </row>
    <row r="5" spans="1:53" ht="20" customHeight="1" x14ac:dyDescent="0.2">
      <c r="A5" s="68"/>
      <c r="B5" s="96"/>
      <c r="D5" s="140" t="s">
        <v>282</v>
      </c>
      <c r="I5" s="25"/>
      <c r="J5" s="25"/>
      <c r="K5" s="168"/>
      <c r="L5" s="169"/>
      <c r="M5" s="168"/>
      <c r="N5" s="169"/>
      <c r="O5" s="168"/>
      <c r="P5" s="169"/>
      <c r="Q5" s="168"/>
      <c r="R5" s="169"/>
      <c r="S5" s="168"/>
      <c r="T5" s="169"/>
      <c r="U5" s="168"/>
      <c r="V5" s="169"/>
      <c r="W5" s="168"/>
      <c r="X5" s="169"/>
      <c r="Y5" s="168"/>
      <c r="Z5" s="169"/>
      <c r="AA5" s="168"/>
      <c r="AB5" s="169"/>
      <c r="AC5" s="168"/>
      <c r="AD5" s="169"/>
      <c r="AE5" s="168"/>
      <c r="AF5" s="169"/>
      <c r="AG5" s="168"/>
      <c r="AH5" s="169"/>
      <c r="AI5" s="168"/>
      <c r="AJ5" s="169"/>
      <c r="AK5" s="168"/>
      <c r="AL5" s="169"/>
      <c r="AM5" s="168"/>
      <c r="AN5" s="169"/>
      <c r="AO5" s="168"/>
      <c r="AP5" s="169"/>
      <c r="AQ5" s="168"/>
      <c r="AR5" s="169"/>
      <c r="AS5" s="168"/>
      <c r="AT5" s="169"/>
      <c r="AU5" s="168"/>
      <c r="AV5" s="169"/>
      <c r="AW5" s="213"/>
      <c r="AX5" s="169"/>
      <c r="AY5" s="207"/>
      <c r="AZ5" s="208"/>
    </row>
    <row r="6" spans="1:53" ht="20" customHeight="1" x14ac:dyDescent="0.2">
      <c r="A6" s="67"/>
      <c r="B6" s="95"/>
      <c r="D6" s="140"/>
      <c r="G6" s="136" t="s">
        <v>24</v>
      </c>
      <c r="H6" s="147" t="s">
        <v>365</v>
      </c>
      <c r="I6" s="150" t="s">
        <v>363</v>
      </c>
      <c r="J6" s="153" t="s">
        <v>364</v>
      </c>
      <c r="K6" s="156" t="s">
        <v>276</v>
      </c>
      <c r="L6" s="214" t="s">
        <v>277</v>
      </c>
      <c r="M6" s="144" t="s">
        <v>276</v>
      </c>
      <c r="N6" s="172" t="s">
        <v>277</v>
      </c>
      <c r="O6" s="144" t="s">
        <v>276</v>
      </c>
      <c r="P6" s="172" t="s">
        <v>277</v>
      </c>
      <c r="Q6" s="144" t="s">
        <v>276</v>
      </c>
      <c r="R6" s="172" t="s">
        <v>277</v>
      </c>
      <c r="S6" s="144" t="s">
        <v>276</v>
      </c>
      <c r="T6" s="172" t="s">
        <v>277</v>
      </c>
      <c r="U6" s="144" t="s">
        <v>276</v>
      </c>
      <c r="V6" s="172" t="s">
        <v>277</v>
      </c>
      <c r="W6" s="171" t="s">
        <v>276</v>
      </c>
      <c r="X6" s="172" t="s">
        <v>277</v>
      </c>
      <c r="Y6" s="177" t="s">
        <v>276</v>
      </c>
      <c r="Z6" s="172" t="s">
        <v>277</v>
      </c>
      <c r="AA6" s="171" t="s">
        <v>276</v>
      </c>
      <c r="AB6" s="172" t="s">
        <v>277</v>
      </c>
      <c r="AC6" s="144" t="s">
        <v>276</v>
      </c>
      <c r="AD6" s="172" t="s">
        <v>277</v>
      </c>
      <c r="AE6" s="144" t="s">
        <v>276</v>
      </c>
      <c r="AF6" s="172" t="s">
        <v>277</v>
      </c>
      <c r="AG6" s="144" t="s">
        <v>276</v>
      </c>
      <c r="AH6" s="172" t="s">
        <v>277</v>
      </c>
      <c r="AI6" s="144" t="s">
        <v>276</v>
      </c>
      <c r="AJ6" s="172" t="s">
        <v>277</v>
      </c>
      <c r="AK6" s="144" t="s">
        <v>276</v>
      </c>
      <c r="AL6" s="172" t="s">
        <v>277</v>
      </c>
      <c r="AM6" s="171" t="s">
        <v>276</v>
      </c>
      <c r="AN6" s="172" t="s">
        <v>277</v>
      </c>
      <c r="AO6" s="144" t="s">
        <v>276</v>
      </c>
      <c r="AP6" s="172" t="s">
        <v>277</v>
      </c>
      <c r="AQ6" s="144" t="s">
        <v>276</v>
      </c>
      <c r="AR6" s="172" t="s">
        <v>277</v>
      </c>
      <c r="AS6" s="144" t="s">
        <v>276</v>
      </c>
      <c r="AT6" s="172" t="s">
        <v>277</v>
      </c>
      <c r="AU6" s="156" t="s">
        <v>276</v>
      </c>
      <c r="AV6" s="172" t="s">
        <v>277</v>
      </c>
      <c r="AW6" s="174" t="s">
        <v>276</v>
      </c>
      <c r="AX6" s="172" t="s">
        <v>277</v>
      </c>
      <c r="AY6" s="174" t="s">
        <v>276</v>
      </c>
      <c r="AZ6" s="172" t="s">
        <v>277</v>
      </c>
    </row>
    <row r="7" spans="1:53" ht="20" customHeight="1" thickBot="1" x14ac:dyDescent="0.25">
      <c r="A7" s="136" t="s">
        <v>285</v>
      </c>
      <c r="B7" s="138" t="s">
        <v>369</v>
      </c>
      <c r="D7" s="141"/>
      <c r="G7" s="136"/>
      <c r="H7" s="148"/>
      <c r="I7" s="151"/>
      <c r="J7" s="154"/>
      <c r="K7" s="157"/>
      <c r="L7" s="215"/>
      <c r="M7" s="144"/>
      <c r="N7" s="172"/>
      <c r="O7" s="144"/>
      <c r="P7" s="172"/>
      <c r="Q7" s="144"/>
      <c r="R7" s="172"/>
      <c r="S7" s="144"/>
      <c r="T7" s="172"/>
      <c r="U7" s="144"/>
      <c r="V7" s="172"/>
      <c r="W7" s="171"/>
      <c r="X7" s="172"/>
      <c r="Y7" s="178"/>
      <c r="Z7" s="172"/>
      <c r="AA7" s="171"/>
      <c r="AB7" s="172"/>
      <c r="AC7" s="144"/>
      <c r="AD7" s="172"/>
      <c r="AE7" s="144"/>
      <c r="AF7" s="172"/>
      <c r="AG7" s="144"/>
      <c r="AH7" s="172"/>
      <c r="AI7" s="144"/>
      <c r="AJ7" s="172"/>
      <c r="AK7" s="144"/>
      <c r="AL7" s="172"/>
      <c r="AM7" s="144"/>
      <c r="AN7" s="172"/>
      <c r="AO7" s="144"/>
      <c r="AP7" s="172"/>
      <c r="AQ7" s="144"/>
      <c r="AR7" s="172"/>
      <c r="AS7" s="144"/>
      <c r="AT7" s="172"/>
      <c r="AU7" s="157"/>
      <c r="AV7" s="172"/>
      <c r="AW7" s="174"/>
      <c r="AX7" s="172"/>
      <c r="AY7" s="174"/>
      <c r="AZ7" s="172"/>
    </row>
    <row r="8" spans="1:53" ht="20" customHeight="1" x14ac:dyDescent="0.2">
      <c r="A8" s="136"/>
      <c r="B8" s="138"/>
      <c r="G8" s="136"/>
      <c r="H8" s="148"/>
      <c r="I8" s="151"/>
      <c r="J8" s="154"/>
      <c r="K8" s="157"/>
      <c r="L8" s="215"/>
      <c r="M8" s="144"/>
      <c r="N8" s="172"/>
      <c r="O8" s="144"/>
      <c r="P8" s="172"/>
      <c r="Q8" s="144"/>
      <c r="R8" s="172"/>
      <c r="S8" s="144"/>
      <c r="T8" s="172"/>
      <c r="U8" s="144"/>
      <c r="V8" s="172"/>
      <c r="W8" s="171"/>
      <c r="X8" s="172"/>
      <c r="Y8" s="178"/>
      <c r="Z8" s="172"/>
      <c r="AA8" s="171"/>
      <c r="AB8" s="172"/>
      <c r="AC8" s="144"/>
      <c r="AD8" s="172"/>
      <c r="AE8" s="144"/>
      <c r="AF8" s="172"/>
      <c r="AG8" s="144"/>
      <c r="AH8" s="172"/>
      <c r="AI8" s="144"/>
      <c r="AJ8" s="172"/>
      <c r="AK8" s="144"/>
      <c r="AL8" s="172"/>
      <c r="AM8" s="144"/>
      <c r="AN8" s="172"/>
      <c r="AO8" s="144"/>
      <c r="AP8" s="172"/>
      <c r="AQ8" s="144"/>
      <c r="AR8" s="172"/>
      <c r="AS8" s="144"/>
      <c r="AT8" s="172"/>
      <c r="AU8" s="157"/>
      <c r="AV8" s="172"/>
      <c r="AW8" s="174"/>
      <c r="AX8" s="172"/>
      <c r="AY8" s="174"/>
      <c r="AZ8" s="172"/>
    </row>
    <row r="9" spans="1:53" ht="20" customHeight="1" x14ac:dyDescent="0.2">
      <c r="A9" s="136"/>
      <c r="B9" s="138"/>
      <c r="G9" s="136"/>
      <c r="H9" s="148"/>
      <c r="I9" s="151"/>
      <c r="J9" s="154"/>
      <c r="K9" s="157"/>
      <c r="L9" s="215"/>
      <c r="M9" s="144"/>
      <c r="N9" s="172"/>
      <c r="O9" s="144"/>
      <c r="P9" s="172"/>
      <c r="Q9" s="144"/>
      <c r="R9" s="172"/>
      <c r="S9" s="144"/>
      <c r="T9" s="172"/>
      <c r="U9" s="144"/>
      <c r="V9" s="172"/>
      <c r="W9" s="171"/>
      <c r="X9" s="172"/>
      <c r="Y9" s="178"/>
      <c r="Z9" s="172"/>
      <c r="AA9" s="171"/>
      <c r="AB9" s="172"/>
      <c r="AC9" s="144"/>
      <c r="AD9" s="172"/>
      <c r="AE9" s="144"/>
      <c r="AF9" s="172"/>
      <c r="AG9" s="144"/>
      <c r="AH9" s="172"/>
      <c r="AI9" s="144"/>
      <c r="AJ9" s="172"/>
      <c r="AK9" s="144"/>
      <c r="AL9" s="172"/>
      <c r="AM9" s="144"/>
      <c r="AN9" s="172"/>
      <c r="AO9" s="144"/>
      <c r="AP9" s="172"/>
      <c r="AQ9" s="144"/>
      <c r="AR9" s="172"/>
      <c r="AS9" s="144"/>
      <c r="AT9" s="172"/>
      <c r="AU9" s="157"/>
      <c r="AV9" s="172"/>
      <c r="AW9" s="174"/>
      <c r="AX9" s="172"/>
      <c r="AY9" s="174"/>
      <c r="AZ9" s="172"/>
    </row>
    <row r="10" spans="1:53" s="23" customFormat="1" ht="20" customHeight="1" thickBot="1" x14ac:dyDescent="0.25">
      <c r="A10" s="137"/>
      <c r="B10" s="139"/>
      <c r="C10" s="22" t="s">
        <v>20</v>
      </c>
      <c r="D10" s="21" t="s">
        <v>21</v>
      </c>
      <c r="E10" s="21" t="s">
        <v>22</v>
      </c>
      <c r="F10" s="22" t="s">
        <v>23</v>
      </c>
      <c r="G10" s="146"/>
      <c r="H10" s="149"/>
      <c r="I10" s="152"/>
      <c r="J10" s="155"/>
      <c r="K10" s="158"/>
      <c r="L10" s="216"/>
      <c r="M10" s="145"/>
      <c r="N10" s="173"/>
      <c r="O10" s="145"/>
      <c r="P10" s="173"/>
      <c r="Q10" s="145"/>
      <c r="R10" s="173"/>
      <c r="S10" s="145"/>
      <c r="T10" s="173"/>
      <c r="U10" s="145"/>
      <c r="V10" s="173"/>
      <c r="W10" s="176"/>
      <c r="X10" s="173"/>
      <c r="Y10" s="179"/>
      <c r="Z10" s="173"/>
      <c r="AA10" s="176"/>
      <c r="AB10" s="173"/>
      <c r="AC10" s="145"/>
      <c r="AD10" s="173"/>
      <c r="AE10" s="145"/>
      <c r="AF10" s="173"/>
      <c r="AG10" s="145"/>
      <c r="AH10" s="173"/>
      <c r="AI10" s="145"/>
      <c r="AJ10" s="173"/>
      <c r="AK10" s="145"/>
      <c r="AL10" s="173"/>
      <c r="AM10" s="145"/>
      <c r="AN10" s="173"/>
      <c r="AO10" s="145"/>
      <c r="AP10" s="173"/>
      <c r="AQ10" s="145"/>
      <c r="AR10" s="173"/>
      <c r="AS10" s="145"/>
      <c r="AT10" s="173"/>
      <c r="AU10" s="158"/>
      <c r="AV10" s="173"/>
      <c r="AW10" s="175"/>
      <c r="AX10" s="173"/>
      <c r="AY10" s="175"/>
      <c r="AZ10" s="173"/>
      <c r="BA10" s="21" t="s">
        <v>25</v>
      </c>
    </row>
    <row r="11" spans="1:53" s="23" customFormat="1" ht="20" customHeight="1" x14ac:dyDescent="0.2">
      <c r="A11" s="67"/>
      <c r="B11" s="97"/>
      <c r="C11" s="70" t="s">
        <v>86</v>
      </c>
      <c r="D11" s="69" t="s">
        <v>287</v>
      </c>
      <c r="E11" s="69" t="s">
        <v>288</v>
      </c>
      <c r="F11" s="70">
        <v>2015</v>
      </c>
      <c r="G11" s="70"/>
      <c r="H11" s="71">
        <v>81</v>
      </c>
      <c r="I11" s="72" t="s">
        <v>366</v>
      </c>
      <c r="J11" s="73" t="s">
        <v>367</v>
      </c>
      <c r="K11" s="79"/>
      <c r="L11" s="89" t="str">
        <f t="shared" ref="L11" si="0">IF((ISERROR((K11/$H11)*100)), "", IF(AND(NOT(ISERROR((K11/$H11)*100)),((K11/$H11)*100) &lt;&gt; 0), (K11/$H11)*100, ""))</f>
        <v/>
      </c>
      <c r="M11" s="79"/>
      <c r="N11" s="89" t="str">
        <f t="shared" ref="N11:P113" si="1">IF((ISERROR((M11/$H11)*100)), "", IF(AND(NOT(ISERROR((M11/$H11)*100)),((M11/$H11)*100) &lt;&gt; 0), (M11/$H11)*100, ""))</f>
        <v/>
      </c>
      <c r="O11" s="79"/>
      <c r="P11" s="89" t="str">
        <f t="shared" si="1"/>
        <v/>
      </c>
      <c r="Q11" s="79"/>
      <c r="R11" s="89" t="str">
        <f t="shared" ref="R11:R74" si="2">IF((ISERROR((Q11/$H11)*100)), "", IF(AND(NOT(ISERROR((Q11/$H11)*100)),((Q11/$H11)*100) &lt;&gt; 0), (Q11/$H11)*100, ""))</f>
        <v/>
      </c>
      <c r="S11" s="79"/>
      <c r="T11" s="89" t="str">
        <f t="shared" ref="T11:T74" si="3">IF((ISERROR((S11/$H11)*100)), "", IF(AND(NOT(ISERROR((S11/$H11)*100)),((S11/$H11)*100) &lt;&gt; 0), (S11/$H11)*100, ""))</f>
        <v/>
      </c>
      <c r="U11" s="79"/>
      <c r="V11" s="89" t="str">
        <f t="shared" ref="V11:V74" si="4">IF((ISERROR((U11/$H11)*100)), "", IF(AND(NOT(ISERROR((U11/$H11)*100)),((U11/$H11)*100) &lt;&gt; 0), (U11/$H11)*100, ""))</f>
        <v/>
      </c>
      <c r="W11" s="80"/>
      <c r="X11" s="89" t="str">
        <f t="shared" ref="X11:X74" si="5">IF((ISERROR((W11/$H11)*100)), "", IF(AND(NOT(ISERROR((W11/$H11)*100)),((W11/$H11)*100) &lt;&gt; 0), (W11/$H11)*100, ""))</f>
        <v/>
      </c>
      <c r="Y11" s="80"/>
      <c r="Z11" s="89" t="str">
        <f t="shared" ref="Z11:Z74" si="6">IF((ISERROR((Y11/$H11)*100)), "", IF(AND(NOT(ISERROR((Y11/$H11)*100)),((Y11/$H11)*100) &lt;&gt; 0), (Y11/$H11)*100, ""))</f>
        <v/>
      </c>
      <c r="AA11" s="80"/>
      <c r="AB11" s="89" t="str">
        <f t="shared" ref="AB11:AB74" si="7">IF((ISERROR((AA11/$H11)*100)), "", IF(AND(NOT(ISERROR((AA11/$H11)*100)),((AA11/$H11)*100) &lt;&gt; 0), (AA11/$H11)*100, ""))</f>
        <v/>
      </c>
      <c r="AC11" s="79"/>
      <c r="AD11" s="89" t="str">
        <f t="shared" ref="AD11:AD74" si="8">IF((ISERROR((AC11/$H11)*100)), "", IF(AND(NOT(ISERROR((AC11/$H11)*100)),((AC11/$H11)*100) &lt;&gt; 0), (AC11/$H11)*100, ""))</f>
        <v/>
      </c>
      <c r="AE11" s="79"/>
      <c r="AF11" s="89" t="str">
        <f t="shared" ref="AF11:AL74" si="9">IF((ISERROR((AE11/$H11)*100)), "", IF(AND(NOT(ISERROR((AE11/$H11)*100)),((AE11/$H11)*100) &lt;&gt; 0), (AE11/$H11)*100, ""))</f>
        <v/>
      </c>
      <c r="AG11" s="79"/>
      <c r="AH11" s="89" t="str">
        <f t="shared" si="9"/>
        <v/>
      </c>
      <c r="AI11" s="79"/>
      <c r="AJ11" s="89" t="str">
        <f t="shared" si="9"/>
        <v/>
      </c>
      <c r="AK11" s="79"/>
      <c r="AL11" s="89" t="str">
        <f t="shared" si="9"/>
        <v/>
      </c>
      <c r="AM11" s="79"/>
      <c r="AN11" s="89" t="str">
        <f t="shared" ref="AN11:AN74" si="10">IF((ISERROR((AM11/$H11)*100)), "", IF(AND(NOT(ISERROR((AM11/$H11)*100)),((AM11/$H11)*100) &lt;&gt; 0), (AM11/$H11)*100, ""))</f>
        <v/>
      </c>
      <c r="AO11" s="79"/>
      <c r="AP11" s="89" t="str">
        <f t="shared" ref="AP11:AP74" si="11">IF((ISERROR((AO11/$H11)*100)), "", IF(AND(NOT(ISERROR((AO11/$H11)*100)),((AO11/$H11)*100) &lt;&gt; 0), (AO11/$H11)*100, ""))</f>
        <v/>
      </c>
      <c r="AQ11" s="79"/>
      <c r="AR11" s="89" t="str">
        <f t="shared" ref="AR11:AR74" si="12">IF((ISERROR((AQ11/$H11)*100)), "", IF(AND(NOT(ISERROR((AQ11/$H11)*100)),((AQ11/$H11)*100) &lt;&gt; 0), (AQ11/$H11)*100, ""))</f>
        <v/>
      </c>
      <c r="AS11" s="79"/>
      <c r="AT11" s="89" t="str">
        <f t="shared" ref="AT11:AT74" si="13">IF((ISERROR((AS11/$H11)*100)), "", IF(AND(NOT(ISERROR((AS11/$H11)*100)),((AS11/$H11)*100) &lt;&gt; 0), (AS11/$H11)*100, ""))</f>
        <v/>
      </c>
      <c r="AU11" s="79"/>
      <c r="AV11" s="89" t="str">
        <f t="shared" ref="AV11:AV74" si="14">IF((ISERROR((AU11/$H11)*100)), "", IF(AND(NOT(ISERROR((AU11/$H11)*100)),((AU11/$H11)*100) &lt;&gt; 0), (AU11/$H11)*100, ""))</f>
        <v/>
      </c>
      <c r="AW11" s="81"/>
      <c r="AX11" s="90" t="str">
        <f t="shared" ref="AX11:AX74" si="15">IF((ISERROR((AW11/$H11)*100)), "", IF(AND(NOT(ISERROR((AW11/$H11)*100)),((AW11/$H11)*100) &lt;&gt; 0), (AW11/$H11)*100, ""))</f>
        <v/>
      </c>
      <c r="AY11" s="81"/>
      <c r="AZ11" s="90" t="str">
        <f t="shared" ref="AZ11:AZ74" si="16">IF((ISERROR((AY11/$H11)*100)), "", IF(AND(NOT(ISERROR((AY11/$H11)*100)),((AY11/$H11)*100) &lt;&gt; 0), (AY11/$H11)*100, ""))</f>
        <v/>
      </c>
      <c r="BA11" s="69" t="s">
        <v>368</v>
      </c>
    </row>
    <row r="12" spans="1:53" ht="20" customHeight="1" x14ac:dyDescent="0.2">
      <c r="A12" s="68"/>
      <c r="B12" s="95"/>
      <c r="C12" s="25" t="s">
        <v>86</v>
      </c>
      <c r="D12" s="24" t="s">
        <v>26</v>
      </c>
      <c r="E12" s="24" t="s">
        <v>27</v>
      </c>
      <c r="F12" s="25">
        <v>2008</v>
      </c>
      <c r="G12" s="25">
        <v>165</v>
      </c>
      <c r="H12" s="71">
        <v>107</v>
      </c>
      <c r="I12" s="72" t="s">
        <v>171</v>
      </c>
      <c r="J12" s="73"/>
      <c r="K12" s="74"/>
      <c r="L12" s="75" t="str">
        <f>IF((ISERROR((K12/$H12)*100)), "", IF(AND(NOT(ISERROR((K12/$H12)*100)),((K12/$H12)*100) &lt;&gt; 0), (K12/$H12)*100, ""))</f>
        <v/>
      </c>
      <c r="M12" s="74"/>
      <c r="N12" s="75" t="str">
        <f t="shared" si="1"/>
        <v/>
      </c>
      <c r="O12" s="76"/>
      <c r="P12" s="77" t="str">
        <f t="shared" si="1"/>
        <v/>
      </c>
      <c r="Q12" s="76"/>
      <c r="R12" s="77" t="str">
        <f t="shared" si="2"/>
        <v/>
      </c>
      <c r="S12" s="76"/>
      <c r="T12" s="77" t="str">
        <f t="shared" si="3"/>
        <v/>
      </c>
      <c r="U12" s="74"/>
      <c r="V12" s="75" t="str">
        <f t="shared" si="4"/>
        <v/>
      </c>
      <c r="W12" s="74"/>
      <c r="X12" s="75" t="str">
        <f t="shared" si="5"/>
        <v/>
      </c>
      <c r="Y12" s="74"/>
      <c r="Z12" s="75" t="str">
        <f t="shared" si="6"/>
        <v/>
      </c>
      <c r="AA12" s="76"/>
      <c r="AB12" s="77" t="str">
        <f t="shared" si="7"/>
        <v/>
      </c>
      <c r="AC12" s="76"/>
      <c r="AD12" s="77" t="str">
        <f t="shared" si="8"/>
        <v/>
      </c>
      <c r="AE12" s="76"/>
      <c r="AF12" s="77" t="str">
        <f t="shared" si="9"/>
        <v/>
      </c>
      <c r="AG12" s="76"/>
      <c r="AH12" s="77" t="str">
        <f t="shared" si="9"/>
        <v/>
      </c>
      <c r="AI12" s="76"/>
      <c r="AJ12" s="77" t="str">
        <f t="shared" si="9"/>
        <v/>
      </c>
      <c r="AK12" s="76"/>
      <c r="AL12" s="77" t="str">
        <f t="shared" si="9"/>
        <v/>
      </c>
      <c r="AM12" s="76"/>
      <c r="AN12" s="77" t="str">
        <f t="shared" si="10"/>
        <v/>
      </c>
      <c r="AO12" s="76"/>
      <c r="AP12" s="77" t="str">
        <f t="shared" si="11"/>
        <v/>
      </c>
      <c r="AQ12" s="76"/>
      <c r="AR12" s="77" t="str">
        <f t="shared" si="12"/>
        <v/>
      </c>
      <c r="AS12" s="76"/>
      <c r="AT12" s="77" t="str">
        <f t="shared" si="13"/>
        <v/>
      </c>
      <c r="AU12" s="76"/>
      <c r="AV12" s="77" t="str">
        <f t="shared" si="14"/>
        <v/>
      </c>
      <c r="AW12" s="78"/>
      <c r="AX12" s="43" t="str">
        <f t="shared" si="15"/>
        <v/>
      </c>
      <c r="AY12" s="78"/>
      <c r="AZ12" s="43" t="str">
        <f t="shared" si="16"/>
        <v/>
      </c>
      <c r="BA12" s="24" t="s">
        <v>170</v>
      </c>
    </row>
    <row r="13" spans="1:53" ht="20" customHeight="1" x14ac:dyDescent="0.2">
      <c r="A13" s="67"/>
      <c r="B13" s="25"/>
      <c r="C13" s="57" t="s">
        <v>30</v>
      </c>
      <c r="D13" s="56" t="s">
        <v>28</v>
      </c>
      <c r="E13" s="56" t="s">
        <v>29</v>
      </c>
      <c r="F13" s="57">
        <v>2016</v>
      </c>
      <c r="G13" s="57">
        <v>22</v>
      </c>
      <c r="H13" s="29"/>
      <c r="I13" s="28"/>
      <c r="J13" s="39"/>
      <c r="K13" s="40"/>
      <c r="L13" s="43" t="str">
        <f t="shared" ref="L13:L76" si="17">IF((ISERROR((K13/$H13)*100)), "", IF(AND(NOT(ISERROR((K13/$H13)*100)),((K13/$H13)*100) &lt;&gt; 0), (K13/$H13)*100, ""))</f>
        <v/>
      </c>
      <c r="M13" s="40"/>
      <c r="N13" s="43" t="str">
        <f t="shared" si="1"/>
        <v/>
      </c>
      <c r="O13" s="40"/>
      <c r="P13" s="43" t="str">
        <f t="shared" si="1"/>
        <v/>
      </c>
      <c r="Q13" s="40"/>
      <c r="R13" s="43" t="str">
        <f t="shared" si="2"/>
        <v/>
      </c>
      <c r="S13" s="40"/>
      <c r="T13" s="43" t="str">
        <f t="shared" si="3"/>
        <v/>
      </c>
      <c r="U13" s="40"/>
      <c r="V13" s="43" t="str">
        <f t="shared" si="4"/>
        <v/>
      </c>
      <c r="W13" s="40"/>
      <c r="X13" s="43" t="str">
        <f t="shared" si="5"/>
        <v/>
      </c>
      <c r="Y13" s="40"/>
      <c r="Z13" s="43" t="str">
        <f t="shared" si="6"/>
        <v/>
      </c>
      <c r="AA13" s="40"/>
      <c r="AB13" s="43" t="str">
        <f t="shared" si="7"/>
        <v/>
      </c>
      <c r="AC13" s="40"/>
      <c r="AD13" s="43" t="str">
        <f t="shared" si="8"/>
        <v/>
      </c>
      <c r="AE13" s="40"/>
      <c r="AF13" s="43" t="str">
        <f t="shared" si="9"/>
        <v/>
      </c>
      <c r="AG13" s="40"/>
      <c r="AH13" s="43" t="str">
        <f t="shared" si="9"/>
        <v/>
      </c>
      <c r="AI13" s="40"/>
      <c r="AJ13" s="43" t="str">
        <f t="shared" si="9"/>
        <v/>
      </c>
      <c r="AK13" s="40"/>
      <c r="AL13" s="43" t="str">
        <f t="shared" si="9"/>
        <v/>
      </c>
      <c r="AM13" s="40"/>
      <c r="AN13" s="43" t="str">
        <f t="shared" si="10"/>
        <v/>
      </c>
      <c r="AO13" s="40"/>
      <c r="AP13" s="43" t="str">
        <f t="shared" si="11"/>
        <v/>
      </c>
      <c r="AQ13" s="40"/>
      <c r="AR13" s="43" t="str">
        <f t="shared" si="12"/>
        <v/>
      </c>
      <c r="AS13" s="40"/>
      <c r="AT13" s="43" t="str">
        <f t="shared" si="13"/>
        <v/>
      </c>
      <c r="AU13" s="40"/>
      <c r="AV13" s="43" t="str">
        <f t="shared" si="14"/>
        <v/>
      </c>
      <c r="AW13" s="37"/>
      <c r="AX13" s="43" t="str">
        <f t="shared" si="15"/>
        <v/>
      </c>
      <c r="AY13" s="66"/>
      <c r="AZ13" s="43" t="str">
        <f t="shared" si="16"/>
        <v/>
      </c>
    </row>
    <row r="14" spans="1:53" customFormat="1" ht="20" customHeight="1" x14ac:dyDescent="0.2">
      <c r="A14" s="68"/>
      <c r="B14" s="96"/>
      <c r="C14" s="25" t="s">
        <v>86</v>
      </c>
      <c r="D14" s="24" t="s">
        <v>289</v>
      </c>
      <c r="E14" s="24" t="s">
        <v>290</v>
      </c>
      <c r="F14" s="25">
        <v>2016</v>
      </c>
      <c r="H14" s="29">
        <v>12</v>
      </c>
      <c r="I14" s="28" t="s">
        <v>370</v>
      </c>
      <c r="J14" s="39"/>
      <c r="K14" s="40"/>
      <c r="L14" s="43" t="str">
        <f t="shared" si="17"/>
        <v/>
      </c>
      <c r="M14" s="40"/>
      <c r="N14" s="43" t="str">
        <f t="shared" si="1"/>
        <v/>
      </c>
      <c r="O14" s="40"/>
      <c r="P14" s="43" t="str">
        <f t="shared" si="1"/>
        <v/>
      </c>
      <c r="Q14" s="40"/>
      <c r="R14" s="43" t="str">
        <f t="shared" si="2"/>
        <v/>
      </c>
      <c r="S14" s="40"/>
      <c r="T14" s="43" t="str">
        <f t="shared" si="3"/>
        <v/>
      </c>
      <c r="U14" s="40"/>
      <c r="V14" s="43" t="str">
        <f t="shared" si="4"/>
        <v/>
      </c>
      <c r="W14" s="40"/>
      <c r="X14" s="43" t="str">
        <f t="shared" si="5"/>
        <v/>
      </c>
      <c r="Y14" s="40"/>
      <c r="Z14" s="43" t="str">
        <f t="shared" si="6"/>
        <v/>
      </c>
      <c r="AA14" s="40"/>
      <c r="AB14" s="43" t="str">
        <f t="shared" si="7"/>
        <v/>
      </c>
      <c r="AC14" s="40"/>
      <c r="AD14" s="43" t="str">
        <f t="shared" si="8"/>
        <v/>
      </c>
      <c r="AE14" s="40"/>
      <c r="AF14" s="43" t="str">
        <f t="shared" si="9"/>
        <v/>
      </c>
      <c r="AG14" s="40"/>
      <c r="AH14" s="43" t="str">
        <f t="shared" si="9"/>
        <v/>
      </c>
      <c r="AI14" s="40"/>
      <c r="AJ14" s="43" t="str">
        <f t="shared" si="9"/>
        <v/>
      </c>
      <c r="AK14" s="40"/>
      <c r="AL14" s="43" t="str">
        <f t="shared" si="9"/>
        <v/>
      </c>
      <c r="AM14" s="40"/>
      <c r="AN14" s="43" t="str">
        <f t="shared" si="10"/>
        <v/>
      </c>
      <c r="AO14" s="40"/>
      <c r="AP14" s="43" t="str">
        <f t="shared" si="11"/>
        <v/>
      </c>
      <c r="AQ14" s="40"/>
      <c r="AR14" s="43" t="str">
        <f t="shared" si="12"/>
        <v/>
      </c>
      <c r="AS14" s="40"/>
      <c r="AT14" s="43" t="str">
        <f t="shared" si="13"/>
        <v/>
      </c>
      <c r="AU14" s="40"/>
      <c r="AV14" s="43" t="str">
        <f t="shared" si="14"/>
        <v/>
      </c>
      <c r="AW14" s="38"/>
      <c r="AX14" s="43" t="str">
        <f t="shared" si="15"/>
        <v/>
      </c>
      <c r="AY14" s="66"/>
      <c r="AZ14" s="43" t="str">
        <f t="shared" si="16"/>
        <v/>
      </c>
      <c r="BA14" s="24" t="s">
        <v>371</v>
      </c>
    </row>
    <row r="15" spans="1:53" ht="20" customHeight="1" x14ac:dyDescent="0.2">
      <c r="A15" s="68"/>
      <c r="B15" s="25"/>
      <c r="C15" s="57"/>
      <c r="D15" s="56" t="s">
        <v>159</v>
      </c>
      <c r="E15" s="56" t="s">
        <v>160</v>
      </c>
      <c r="F15" s="57">
        <v>1997</v>
      </c>
      <c r="G15" s="57"/>
      <c r="H15" s="29"/>
      <c r="I15" s="28"/>
      <c r="J15" s="39"/>
      <c r="K15" s="40"/>
      <c r="L15" s="43" t="str">
        <f t="shared" si="17"/>
        <v/>
      </c>
      <c r="M15" s="40"/>
      <c r="N15" s="43" t="str">
        <f t="shared" si="1"/>
        <v/>
      </c>
      <c r="O15" s="40"/>
      <c r="P15" s="43" t="str">
        <f t="shared" si="1"/>
        <v/>
      </c>
      <c r="Q15" s="40"/>
      <c r="R15" s="43" t="str">
        <f t="shared" si="2"/>
        <v/>
      </c>
      <c r="S15" s="40"/>
      <c r="T15" s="43" t="str">
        <f t="shared" si="3"/>
        <v/>
      </c>
      <c r="U15" s="40"/>
      <c r="V15" s="43" t="str">
        <f t="shared" si="4"/>
        <v/>
      </c>
      <c r="W15" s="40"/>
      <c r="X15" s="43" t="str">
        <f t="shared" si="5"/>
        <v/>
      </c>
      <c r="Y15" s="40"/>
      <c r="Z15" s="43" t="str">
        <f t="shared" si="6"/>
        <v/>
      </c>
      <c r="AA15" s="40"/>
      <c r="AB15" s="43" t="str">
        <f t="shared" si="7"/>
        <v/>
      </c>
      <c r="AC15" s="40"/>
      <c r="AD15" s="43" t="str">
        <f t="shared" si="8"/>
        <v/>
      </c>
      <c r="AE15" s="40"/>
      <c r="AF15" s="43" t="str">
        <f t="shared" si="9"/>
        <v/>
      </c>
      <c r="AG15" s="40"/>
      <c r="AH15" s="43" t="str">
        <f t="shared" si="9"/>
        <v/>
      </c>
      <c r="AI15" s="40"/>
      <c r="AJ15" s="43" t="str">
        <f t="shared" si="9"/>
        <v/>
      </c>
      <c r="AK15" s="40"/>
      <c r="AL15" s="43" t="str">
        <f t="shared" si="9"/>
        <v/>
      </c>
      <c r="AM15" s="40"/>
      <c r="AN15" s="43" t="str">
        <f t="shared" si="10"/>
        <v/>
      </c>
      <c r="AO15" s="40"/>
      <c r="AP15" s="43" t="str">
        <f t="shared" si="11"/>
        <v/>
      </c>
      <c r="AQ15" s="40"/>
      <c r="AR15" s="43" t="str">
        <f t="shared" si="12"/>
        <v/>
      </c>
      <c r="AS15" s="40"/>
      <c r="AT15" s="43" t="str">
        <f t="shared" si="13"/>
        <v/>
      </c>
      <c r="AU15" s="40"/>
      <c r="AV15" s="43" t="str">
        <f t="shared" si="14"/>
        <v/>
      </c>
      <c r="AW15" s="37"/>
      <c r="AX15" s="43" t="str">
        <f t="shared" si="15"/>
        <v/>
      </c>
      <c r="AY15" s="66"/>
      <c r="AZ15" s="43" t="str">
        <f t="shared" si="16"/>
        <v/>
      </c>
    </row>
    <row r="16" spans="1:53" ht="20" customHeight="1" x14ac:dyDescent="0.2">
      <c r="A16" s="67"/>
      <c r="B16" s="25"/>
      <c r="C16" s="57" t="s">
        <v>30</v>
      </c>
      <c r="D16" s="56" t="s">
        <v>31</v>
      </c>
      <c r="E16" s="56" t="s">
        <v>32</v>
      </c>
      <c r="F16" s="57">
        <v>2004</v>
      </c>
      <c r="G16" s="57">
        <v>21</v>
      </c>
      <c r="H16" s="29"/>
      <c r="I16" s="28"/>
      <c r="J16" s="39"/>
      <c r="K16" s="40"/>
      <c r="L16" s="43" t="str">
        <f t="shared" si="17"/>
        <v/>
      </c>
      <c r="M16" s="40"/>
      <c r="N16" s="43" t="str">
        <f t="shared" si="1"/>
        <v/>
      </c>
      <c r="O16" s="40"/>
      <c r="P16" s="43" t="str">
        <f t="shared" si="1"/>
        <v/>
      </c>
      <c r="Q16" s="40"/>
      <c r="R16" s="43" t="str">
        <f t="shared" si="2"/>
        <v/>
      </c>
      <c r="S16" s="40"/>
      <c r="T16" s="43" t="str">
        <f t="shared" si="3"/>
        <v/>
      </c>
      <c r="U16" s="40"/>
      <c r="V16" s="43" t="str">
        <f t="shared" si="4"/>
        <v/>
      </c>
      <c r="W16" s="40"/>
      <c r="X16" s="43" t="str">
        <f t="shared" si="5"/>
        <v/>
      </c>
      <c r="Y16" s="40"/>
      <c r="Z16" s="43" t="str">
        <f t="shared" si="6"/>
        <v/>
      </c>
      <c r="AA16" s="40"/>
      <c r="AB16" s="43" t="str">
        <f t="shared" si="7"/>
        <v/>
      </c>
      <c r="AC16" s="40"/>
      <c r="AD16" s="43" t="str">
        <f t="shared" si="8"/>
        <v/>
      </c>
      <c r="AE16" s="40"/>
      <c r="AF16" s="43" t="str">
        <f t="shared" si="9"/>
        <v/>
      </c>
      <c r="AG16" s="40"/>
      <c r="AH16" s="43" t="str">
        <f t="shared" si="9"/>
        <v/>
      </c>
      <c r="AI16" s="40"/>
      <c r="AJ16" s="43" t="str">
        <f t="shared" si="9"/>
        <v/>
      </c>
      <c r="AK16" s="40"/>
      <c r="AL16" s="43" t="str">
        <f t="shared" si="9"/>
        <v/>
      </c>
      <c r="AM16" s="40"/>
      <c r="AN16" s="43" t="str">
        <f t="shared" si="10"/>
        <v/>
      </c>
      <c r="AO16" s="40"/>
      <c r="AP16" s="43" t="str">
        <f t="shared" si="11"/>
        <v/>
      </c>
      <c r="AQ16" s="40"/>
      <c r="AR16" s="43" t="str">
        <f t="shared" si="12"/>
        <v/>
      </c>
      <c r="AS16" s="40"/>
      <c r="AT16" s="43" t="str">
        <f t="shared" si="13"/>
        <v/>
      </c>
      <c r="AU16" s="40"/>
      <c r="AV16" s="43" t="str">
        <f t="shared" si="14"/>
        <v/>
      </c>
      <c r="AW16" s="37"/>
      <c r="AX16" s="43" t="str">
        <f t="shared" si="15"/>
        <v/>
      </c>
      <c r="AY16" s="66"/>
      <c r="AZ16" s="43" t="str">
        <f t="shared" si="16"/>
        <v/>
      </c>
    </row>
    <row r="17" spans="1:53" ht="20" customHeight="1" x14ac:dyDescent="0.2">
      <c r="A17" s="68"/>
      <c r="B17" s="95"/>
      <c r="C17" s="25" t="s">
        <v>86</v>
      </c>
      <c r="D17" s="24" t="s">
        <v>33</v>
      </c>
      <c r="E17" s="24" t="s">
        <v>34</v>
      </c>
      <c r="F17" s="25">
        <v>2003</v>
      </c>
      <c r="G17" s="25">
        <v>291</v>
      </c>
      <c r="H17" s="29">
        <v>14</v>
      </c>
      <c r="I17" s="28" t="s">
        <v>172</v>
      </c>
      <c r="J17" s="39"/>
      <c r="K17" s="40">
        <v>2</v>
      </c>
      <c r="L17" s="43">
        <f t="shared" si="17"/>
        <v>14.285714285714285</v>
      </c>
      <c r="M17" s="40"/>
      <c r="N17" s="43" t="str">
        <f t="shared" si="1"/>
        <v/>
      </c>
      <c r="O17" s="40"/>
      <c r="P17" s="43" t="str">
        <f t="shared" si="1"/>
        <v/>
      </c>
      <c r="Q17" s="40"/>
      <c r="R17" s="43" t="str">
        <f t="shared" si="2"/>
        <v/>
      </c>
      <c r="S17" s="40"/>
      <c r="T17" s="43" t="str">
        <f t="shared" si="3"/>
        <v/>
      </c>
      <c r="U17" s="40">
        <v>2</v>
      </c>
      <c r="V17" s="43">
        <f t="shared" si="4"/>
        <v>14.285714285714285</v>
      </c>
      <c r="W17" s="40"/>
      <c r="X17" s="43" t="str">
        <f t="shared" si="5"/>
        <v/>
      </c>
      <c r="Y17" s="40"/>
      <c r="Z17" s="43" t="str">
        <f t="shared" si="6"/>
        <v/>
      </c>
      <c r="AA17" s="40">
        <v>1</v>
      </c>
      <c r="AB17" s="43">
        <f t="shared" si="7"/>
        <v>7.1428571428571423</v>
      </c>
      <c r="AC17" s="40"/>
      <c r="AD17" s="43" t="str">
        <f t="shared" si="8"/>
        <v/>
      </c>
      <c r="AE17" s="40"/>
      <c r="AF17" s="43" t="str">
        <f t="shared" si="9"/>
        <v/>
      </c>
      <c r="AG17" s="40"/>
      <c r="AH17" s="43" t="str">
        <f t="shared" si="9"/>
        <v/>
      </c>
      <c r="AI17" s="40"/>
      <c r="AJ17" s="43" t="str">
        <f t="shared" si="9"/>
        <v/>
      </c>
      <c r="AK17" s="40"/>
      <c r="AL17" s="43" t="str">
        <f t="shared" si="9"/>
        <v/>
      </c>
      <c r="AM17" s="40"/>
      <c r="AN17" s="43" t="str">
        <f t="shared" si="10"/>
        <v/>
      </c>
      <c r="AO17" s="40"/>
      <c r="AP17" s="43" t="str">
        <f t="shared" si="11"/>
        <v/>
      </c>
      <c r="AQ17" s="40"/>
      <c r="AR17" s="43" t="str">
        <f t="shared" si="12"/>
        <v/>
      </c>
      <c r="AS17" s="40"/>
      <c r="AT17" s="43" t="str">
        <f t="shared" si="13"/>
        <v/>
      </c>
      <c r="AU17" s="40"/>
      <c r="AV17" s="43" t="str">
        <f t="shared" si="14"/>
        <v/>
      </c>
      <c r="AW17" s="37"/>
      <c r="AX17" s="43" t="str">
        <f t="shared" si="15"/>
        <v/>
      </c>
      <c r="AY17" s="66"/>
      <c r="AZ17" s="43" t="str">
        <f t="shared" si="16"/>
        <v/>
      </c>
      <c r="BA17" s="24" t="s">
        <v>372</v>
      </c>
    </row>
    <row r="18" spans="1:53" ht="20" customHeight="1" x14ac:dyDescent="0.2">
      <c r="A18" s="67"/>
      <c r="B18" s="95"/>
      <c r="C18" s="25" t="s">
        <v>86</v>
      </c>
      <c r="D18" s="24" t="s">
        <v>291</v>
      </c>
      <c r="E18" s="24" t="s">
        <v>292</v>
      </c>
      <c r="F18" s="25">
        <v>2008</v>
      </c>
      <c r="H18" s="29">
        <v>24</v>
      </c>
      <c r="I18" s="28" t="s">
        <v>246</v>
      </c>
      <c r="J18" s="39" t="s">
        <v>373</v>
      </c>
      <c r="K18" s="40">
        <v>1</v>
      </c>
      <c r="L18" s="43">
        <f t="shared" si="17"/>
        <v>4.1666666666666661</v>
      </c>
      <c r="M18" s="40"/>
      <c r="N18" s="43" t="str">
        <f t="shared" si="1"/>
        <v/>
      </c>
      <c r="O18" s="40"/>
      <c r="P18" s="43" t="str">
        <f t="shared" si="1"/>
        <v/>
      </c>
      <c r="Q18" s="40"/>
      <c r="R18" s="43" t="str">
        <f t="shared" si="2"/>
        <v/>
      </c>
      <c r="S18" s="40"/>
      <c r="T18" s="43" t="str">
        <f t="shared" si="3"/>
        <v/>
      </c>
      <c r="U18" s="40"/>
      <c r="V18" s="43" t="str">
        <f t="shared" si="4"/>
        <v/>
      </c>
      <c r="W18" s="40"/>
      <c r="X18" s="43" t="str">
        <f t="shared" si="5"/>
        <v/>
      </c>
      <c r="Y18" s="40"/>
      <c r="Z18" s="43" t="str">
        <f t="shared" si="6"/>
        <v/>
      </c>
      <c r="AA18" s="40"/>
      <c r="AB18" s="43" t="str">
        <f t="shared" si="7"/>
        <v/>
      </c>
      <c r="AC18" s="40"/>
      <c r="AD18" s="43" t="str">
        <f t="shared" si="8"/>
        <v/>
      </c>
      <c r="AE18" s="40"/>
      <c r="AF18" s="43" t="str">
        <f t="shared" si="9"/>
        <v/>
      </c>
      <c r="AG18" s="40"/>
      <c r="AH18" s="43" t="str">
        <f t="shared" si="9"/>
        <v/>
      </c>
      <c r="AI18" s="40"/>
      <c r="AJ18" s="43" t="str">
        <f t="shared" si="9"/>
        <v/>
      </c>
      <c r="AK18" s="40"/>
      <c r="AL18" s="43" t="str">
        <f t="shared" si="9"/>
        <v/>
      </c>
      <c r="AM18" s="40"/>
      <c r="AN18" s="43" t="str">
        <f t="shared" si="10"/>
        <v/>
      </c>
      <c r="AO18" s="40"/>
      <c r="AP18" s="43" t="str">
        <f t="shared" si="11"/>
        <v/>
      </c>
      <c r="AQ18" s="40"/>
      <c r="AR18" s="43" t="str">
        <f t="shared" si="12"/>
        <v/>
      </c>
      <c r="AS18" s="40"/>
      <c r="AT18" s="43" t="str">
        <f t="shared" si="13"/>
        <v/>
      </c>
      <c r="AU18" s="40"/>
      <c r="AV18" s="43" t="str">
        <f t="shared" si="14"/>
        <v/>
      </c>
      <c r="AW18" s="38"/>
      <c r="AX18" s="43" t="str">
        <f t="shared" si="15"/>
        <v/>
      </c>
      <c r="AY18" s="66"/>
      <c r="AZ18" s="43" t="str">
        <f t="shared" si="16"/>
        <v/>
      </c>
    </row>
    <row r="19" spans="1:53" ht="20" customHeight="1" x14ac:dyDescent="0.2">
      <c r="A19" s="68"/>
      <c r="B19" s="95"/>
      <c r="C19" s="25" t="s">
        <v>86</v>
      </c>
      <c r="D19" s="24" t="s">
        <v>36</v>
      </c>
      <c r="E19" s="24" t="s">
        <v>37</v>
      </c>
      <c r="F19" s="25">
        <v>2008</v>
      </c>
      <c r="G19" s="25">
        <v>40</v>
      </c>
      <c r="H19" s="29">
        <v>51</v>
      </c>
      <c r="I19" s="28"/>
      <c r="J19" s="39" t="s">
        <v>176</v>
      </c>
      <c r="K19" s="40"/>
      <c r="L19" s="43" t="str">
        <f t="shared" si="17"/>
        <v/>
      </c>
      <c r="M19" s="40"/>
      <c r="N19" s="43" t="str">
        <f t="shared" si="1"/>
        <v/>
      </c>
      <c r="O19" s="40"/>
      <c r="P19" s="43" t="str">
        <f t="shared" si="1"/>
        <v/>
      </c>
      <c r="Q19" s="40"/>
      <c r="R19" s="43" t="str">
        <f t="shared" si="2"/>
        <v/>
      </c>
      <c r="S19" s="40"/>
      <c r="T19" s="43" t="str">
        <f t="shared" si="3"/>
        <v/>
      </c>
      <c r="U19" s="40"/>
      <c r="V19" s="43" t="str">
        <f t="shared" si="4"/>
        <v/>
      </c>
      <c r="W19" s="40"/>
      <c r="X19" s="43" t="str">
        <f t="shared" si="5"/>
        <v/>
      </c>
      <c r="Y19" s="40"/>
      <c r="Z19" s="43" t="str">
        <f t="shared" si="6"/>
        <v/>
      </c>
      <c r="AA19" s="40"/>
      <c r="AB19" s="43" t="str">
        <f t="shared" si="7"/>
        <v/>
      </c>
      <c r="AC19" s="40"/>
      <c r="AD19" s="43" t="str">
        <f t="shared" si="8"/>
        <v/>
      </c>
      <c r="AE19" s="40"/>
      <c r="AF19" s="43" t="str">
        <f t="shared" si="9"/>
        <v/>
      </c>
      <c r="AG19" s="40"/>
      <c r="AH19" s="43" t="str">
        <f t="shared" si="9"/>
        <v/>
      </c>
      <c r="AI19" s="40"/>
      <c r="AJ19" s="43" t="str">
        <f t="shared" si="9"/>
        <v/>
      </c>
      <c r="AK19" s="40"/>
      <c r="AL19" s="43" t="str">
        <f t="shared" si="9"/>
        <v/>
      </c>
      <c r="AM19" s="40"/>
      <c r="AN19" s="43" t="str">
        <f t="shared" si="10"/>
        <v/>
      </c>
      <c r="AO19" s="40"/>
      <c r="AP19" s="43" t="str">
        <f t="shared" si="11"/>
        <v/>
      </c>
      <c r="AQ19" s="40"/>
      <c r="AR19" s="43" t="str">
        <f t="shared" si="12"/>
        <v/>
      </c>
      <c r="AS19" s="40"/>
      <c r="AT19" s="43" t="str">
        <f t="shared" si="13"/>
        <v/>
      </c>
      <c r="AU19" s="40"/>
      <c r="AV19" s="43" t="str">
        <f t="shared" si="14"/>
        <v/>
      </c>
      <c r="AW19" s="37"/>
      <c r="AX19" s="43" t="str">
        <f t="shared" si="15"/>
        <v/>
      </c>
      <c r="AY19" s="47"/>
      <c r="AZ19" s="46" t="str">
        <f t="shared" si="16"/>
        <v/>
      </c>
      <c r="BA19" s="24" t="s">
        <v>179</v>
      </c>
    </row>
    <row r="20" spans="1:53" ht="20" customHeight="1" x14ac:dyDescent="0.2">
      <c r="A20" s="67"/>
      <c r="B20" s="25"/>
      <c r="C20" s="57" t="s">
        <v>30</v>
      </c>
      <c r="D20" s="56" t="s">
        <v>38</v>
      </c>
      <c r="E20" s="56" t="s">
        <v>39</v>
      </c>
      <c r="F20" s="57">
        <v>2005</v>
      </c>
      <c r="G20" s="57">
        <v>282</v>
      </c>
      <c r="H20" s="29"/>
      <c r="I20" s="28"/>
      <c r="J20" s="39"/>
      <c r="K20" s="40"/>
      <c r="L20" s="43" t="str">
        <f t="shared" si="17"/>
        <v/>
      </c>
      <c r="M20" s="40"/>
      <c r="N20" s="43" t="str">
        <f t="shared" si="1"/>
        <v/>
      </c>
      <c r="O20" s="40"/>
      <c r="P20" s="43" t="str">
        <f t="shared" si="1"/>
        <v/>
      </c>
      <c r="Q20" s="40"/>
      <c r="R20" s="43" t="str">
        <f t="shared" si="2"/>
        <v/>
      </c>
      <c r="S20" s="40"/>
      <c r="T20" s="43" t="str">
        <f t="shared" si="3"/>
        <v/>
      </c>
      <c r="U20" s="40"/>
      <c r="V20" s="43" t="str">
        <f t="shared" si="4"/>
        <v/>
      </c>
      <c r="W20" s="40"/>
      <c r="X20" s="43" t="str">
        <f t="shared" si="5"/>
        <v/>
      </c>
      <c r="Y20" s="40"/>
      <c r="Z20" s="43" t="str">
        <f t="shared" si="6"/>
        <v/>
      </c>
      <c r="AA20" s="40"/>
      <c r="AB20" s="43" t="str">
        <f t="shared" si="7"/>
        <v/>
      </c>
      <c r="AC20" s="40"/>
      <c r="AD20" s="43" t="str">
        <f t="shared" si="8"/>
        <v/>
      </c>
      <c r="AE20" s="40"/>
      <c r="AF20" s="43" t="str">
        <f t="shared" si="9"/>
        <v/>
      </c>
      <c r="AG20" s="40"/>
      <c r="AH20" s="43" t="str">
        <f t="shared" si="9"/>
        <v/>
      </c>
      <c r="AI20" s="40"/>
      <c r="AJ20" s="43" t="str">
        <f t="shared" si="9"/>
        <v/>
      </c>
      <c r="AK20" s="40"/>
      <c r="AL20" s="43" t="str">
        <f t="shared" si="9"/>
        <v/>
      </c>
      <c r="AM20" s="40"/>
      <c r="AN20" s="43" t="str">
        <f t="shared" si="10"/>
        <v/>
      </c>
      <c r="AO20" s="40"/>
      <c r="AP20" s="43" t="str">
        <f t="shared" si="11"/>
        <v/>
      </c>
      <c r="AQ20" s="40"/>
      <c r="AR20" s="43" t="str">
        <f t="shared" si="12"/>
        <v/>
      </c>
      <c r="AS20" s="40"/>
      <c r="AT20" s="43" t="str">
        <f t="shared" si="13"/>
        <v/>
      </c>
      <c r="AU20" s="40"/>
      <c r="AV20" s="43" t="str">
        <f t="shared" si="14"/>
        <v/>
      </c>
      <c r="AW20" s="37"/>
      <c r="AX20" s="43" t="str">
        <f t="shared" si="15"/>
        <v/>
      </c>
      <c r="AY20" s="66"/>
      <c r="AZ20" s="43" t="str">
        <f t="shared" si="16"/>
        <v/>
      </c>
      <c r="BA20" s="24" t="s">
        <v>426</v>
      </c>
    </row>
    <row r="21" spans="1:53" ht="20" customHeight="1" x14ac:dyDescent="0.2">
      <c r="A21" s="67"/>
      <c r="B21" s="25"/>
      <c r="C21" s="57" t="s">
        <v>30</v>
      </c>
      <c r="D21" s="56" t="s">
        <v>40</v>
      </c>
      <c r="E21" s="56" t="s">
        <v>39</v>
      </c>
      <c r="F21" s="57">
        <v>2006</v>
      </c>
      <c r="G21" s="57">
        <v>380</v>
      </c>
      <c r="H21" s="29"/>
      <c r="I21" s="28"/>
      <c r="J21" s="39"/>
      <c r="K21" s="45"/>
      <c r="L21" s="46" t="str">
        <f t="shared" si="17"/>
        <v/>
      </c>
      <c r="M21" s="45"/>
      <c r="N21" s="46" t="str">
        <f t="shared" si="1"/>
        <v/>
      </c>
      <c r="O21" s="45"/>
      <c r="P21" s="46" t="str">
        <f t="shared" si="1"/>
        <v/>
      </c>
      <c r="Q21" s="45"/>
      <c r="R21" s="46" t="str">
        <f t="shared" si="2"/>
        <v/>
      </c>
      <c r="S21" s="45"/>
      <c r="T21" s="46" t="str">
        <f t="shared" si="3"/>
        <v/>
      </c>
      <c r="U21" s="45"/>
      <c r="V21" s="46" t="str">
        <f t="shared" si="4"/>
        <v/>
      </c>
      <c r="W21" s="45"/>
      <c r="X21" s="46" t="str">
        <f t="shared" si="5"/>
        <v/>
      </c>
      <c r="Y21" s="45"/>
      <c r="Z21" s="46" t="str">
        <f t="shared" si="6"/>
        <v/>
      </c>
      <c r="AA21" s="40"/>
      <c r="AB21" s="43" t="str">
        <f t="shared" si="7"/>
        <v/>
      </c>
      <c r="AC21" s="40"/>
      <c r="AD21" s="43" t="str">
        <f t="shared" si="8"/>
        <v/>
      </c>
      <c r="AE21" s="40"/>
      <c r="AF21" s="43" t="str">
        <f t="shared" si="9"/>
        <v/>
      </c>
      <c r="AG21" s="40"/>
      <c r="AH21" s="43" t="str">
        <f t="shared" si="9"/>
        <v/>
      </c>
      <c r="AI21" s="40"/>
      <c r="AJ21" s="43" t="str">
        <f t="shared" si="9"/>
        <v/>
      </c>
      <c r="AK21" s="40"/>
      <c r="AL21" s="43" t="str">
        <f t="shared" si="9"/>
        <v/>
      </c>
      <c r="AM21" s="40"/>
      <c r="AN21" s="43" t="str">
        <f t="shared" si="10"/>
        <v/>
      </c>
      <c r="AO21" s="40"/>
      <c r="AP21" s="43" t="str">
        <f t="shared" si="11"/>
        <v/>
      </c>
      <c r="AQ21" s="40"/>
      <c r="AR21" s="43" t="str">
        <f t="shared" si="12"/>
        <v/>
      </c>
      <c r="AS21" s="40"/>
      <c r="AT21" s="43" t="str">
        <f t="shared" si="13"/>
        <v/>
      </c>
      <c r="AU21" s="40"/>
      <c r="AV21" s="43" t="str">
        <f t="shared" si="14"/>
        <v/>
      </c>
      <c r="AW21" s="37"/>
      <c r="AX21" s="43" t="str">
        <f t="shared" si="15"/>
        <v/>
      </c>
      <c r="AY21" s="66"/>
      <c r="AZ21" s="43" t="str">
        <f t="shared" si="16"/>
        <v/>
      </c>
      <c r="BA21" s="24" t="s">
        <v>427</v>
      </c>
    </row>
    <row r="22" spans="1:53" ht="20" customHeight="1" x14ac:dyDescent="0.2">
      <c r="A22" s="67"/>
      <c r="B22" s="95"/>
      <c r="C22" s="25" t="s">
        <v>86</v>
      </c>
      <c r="D22" s="24" t="s">
        <v>41</v>
      </c>
      <c r="E22" s="24" t="s">
        <v>42</v>
      </c>
      <c r="F22" s="25">
        <v>2004</v>
      </c>
      <c r="G22" s="25">
        <v>79</v>
      </c>
      <c r="H22" s="29">
        <v>22</v>
      </c>
      <c r="I22" s="28" t="s">
        <v>174</v>
      </c>
      <c r="J22" s="39" t="s">
        <v>176</v>
      </c>
      <c r="K22" s="40">
        <v>5</v>
      </c>
      <c r="L22" s="43">
        <f t="shared" si="17"/>
        <v>22.727272727272727</v>
      </c>
      <c r="M22" s="40"/>
      <c r="N22" s="43" t="str">
        <f t="shared" si="1"/>
        <v/>
      </c>
      <c r="O22" s="40"/>
      <c r="P22" s="43" t="str">
        <f t="shared" si="1"/>
        <v/>
      </c>
      <c r="Q22" s="40"/>
      <c r="R22" s="43" t="str">
        <f t="shared" si="2"/>
        <v/>
      </c>
      <c r="S22" s="40"/>
      <c r="T22" s="43" t="str">
        <f t="shared" si="3"/>
        <v/>
      </c>
      <c r="U22" s="40"/>
      <c r="V22" s="43" t="str">
        <f t="shared" si="4"/>
        <v/>
      </c>
      <c r="W22" s="40"/>
      <c r="X22" s="43" t="str">
        <f t="shared" si="5"/>
        <v/>
      </c>
      <c r="Y22" s="40"/>
      <c r="Z22" s="43" t="str">
        <f t="shared" si="6"/>
        <v/>
      </c>
      <c r="AA22" s="40"/>
      <c r="AB22" s="43" t="str">
        <f t="shared" si="7"/>
        <v/>
      </c>
      <c r="AC22" s="40"/>
      <c r="AD22" s="43" t="str">
        <f t="shared" si="8"/>
        <v/>
      </c>
      <c r="AE22" s="40"/>
      <c r="AF22" s="43" t="str">
        <f t="shared" si="9"/>
        <v/>
      </c>
      <c r="AG22" s="40"/>
      <c r="AH22" s="43" t="str">
        <f t="shared" si="9"/>
        <v/>
      </c>
      <c r="AI22" s="40"/>
      <c r="AJ22" s="43" t="str">
        <f t="shared" si="9"/>
        <v/>
      </c>
      <c r="AK22" s="40"/>
      <c r="AL22" s="43" t="str">
        <f t="shared" si="9"/>
        <v/>
      </c>
      <c r="AM22" s="40"/>
      <c r="AN22" s="43" t="str">
        <f t="shared" si="10"/>
        <v/>
      </c>
      <c r="AO22" s="40"/>
      <c r="AP22" s="43" t="str">
        <f t="shared" si="11"/>
        <v/>
      </c>
      <c r="AQ22" s="40"/>
      <c r="AR22" s="43" t="str">
        <f t="shared" si="12"/>
        <v/>
      </c>
      <c r="AS22" s="40"/>
      <c r="AT22" s="43" t="str">
        <f t="shared" si="13"/>
        <v/>
      </c>
      <c r="AU22" s="40"/>
      <c r="AV22" s="43" t="str">
        <f t="shared" si="14"/>
        <v/>
      </c>
      <c r="AW22" s="37"/>
      <c r="AX22" s="43" t="str">
        <f t="shared" si="15"/>
        <v/>
      </c>
      <c r="AY22" s="66"/>
      <c r="AZ22" s="43" t="str">
        <f t="shared" si="16"/>
        <v/>
      </c>
      <c r="BA22" s="24" t="s">
        <v>177</v>
      </c>
    </row>
    <row r="23" spans="1:53" ht="20" customHeight="1" x14ac:dyDescent="0.2">
      <c r="A23" s="67"/>
      <c r="B23" s="95"/>
      <c r="C23" s="25" t="s">
        <v>86</v>
      </c>
      <c r="D23" s="24" t="s">
        <v>43</v>
      </c>
      <c r="E23" s="24" t="s">
        <v>44</v>
      </c>
      <c r="F23" s="25">
        <v>1976</v>
      </c>
      <c r="G23" s="25">
        <v>179</v>
      </c>
      <c r="H23" s="29">
        <v>8</v>
      </c>
      <c r="I23" s="91" t="s">
        <v>374</v>
      </c>
      <c r="J23" s="39"/>
      <c r="K23" s="40"/>
      <c r="L23" s="43" t="str">
        <f t="shared" si="17"/>
        <v/>
      </c>
      <c r="M23" s="40"/>
      <c r="N23" s="43" t="str">
        <f t="shared" si="1"/>
        <v/>
      </c>
      <c r="O23" s="40"/>
      <c r="P23" s="43" t="str">
        <f t="shared" si="1"/>
        <v/>
      </c>
      <c r="Q23" s="40"/>
      <c r="R23" s="43" t="str">
        <f t="shared" si="2"/>
        <v/>
      </c>
      <c r="S23" s="40"/>
      <c r="T23" s="43" t="str">
        <f t="shared" si="3"/>
        <v/>
      </c>
      <c r="U23" s="45">
        <v>1</v>
      </c>
      <c r="V23" s="46">
        <f t="shared" si="4"/>
        <v>12.5</v>
      </c>
      <c r="W23" s="45">
        <v>2</v>
      </c>
      <c r="X23" s="46">
        <f t="shared" si="5"/>
        <v>25</v>
      </c>
      <c r="Y23" s="45">
        <v>1</v>
      </c>
      <c r="Z23" s="46">
        <f t="shared" si="6"/>
        <v>12.5</v>
      </c>
      <c r="AA23" s="45">
        <v>1</v>
      </c>
      <c r="AB23" s="46">
        <f t="shared" si="7"/>
        <v>12.5</v>
      </c>
      <c r="AC23" s="45"/>
      <c r="AD23" s="46" t="str">
        <f t="shared" si="8"/>
        <v/>
      </c>
      <c r="AE23" s="45">
        <v>5</v>
      </c>
      <c r="AF23" s="46">
        <f t="shared" si="9"/>
        <v>62.5</v>
      </c>
      <c r="AG23" s="45">
        <v>1</v>
      </c>
      <c r="AH23" s="46">
        <f t="shared" si="9"/>
        <v>12.5</v>
      </c>
      <c r="AI23" s="45"/>
      <c r="AJ23" s="46" t="str">
        <f t="shared" si="9"/>
        <v/>
      </c>
      <c r="AK23" s="45">
        <v>1</v>
      </c>
      <c r="AL23" s="46">
        <f t="shared" si="9"/>
        <v>12.5</v>
      </c>
      <c r="AM23" s="40"/>
      <c r="AN23" s="43" t="str">
        <f t="shared" si="10"/>
        <v/>
      </c>
      <c r="AO23" s="45">
        <v>1</v>
      </c>
      <c r="AP23" s="46">
        <f t="shared" si="11"/>
        <v>12.5</v>
      </c>
      <c r="AQ23" s="45">
        <v>2</v>
      </c>
      <c r="AR23" s="46">
        <f t="shared" si="12"/>
        <v>25</v>
      </c>
      <c r="AS23" s="40"/>
      <c r="AT23" s="43" t="str">
        <f t="shared" si="13"/>
        <v/>
      </c>
      <c r="AU23" s="40"/>
      <c r="AV23" s="43" t="str">
        <f t="shared" si="14"/>
        <v/>
      </c>
      <c r="AW23" s="37">
        <v>1</v>
      </c>
      <c r="AX23" s="43">
        <f t="shared" si="15"/>
        <v>12.5</v>
      </c>
      <c r="AY23" s="66"/>
      <c r="AZ23" s="43" t="str">
        <f t="shared" si="16"/>
        <v/>
      </c>
      <c r="BA23" s="24" t="s">
        <v>198</v>
      </c>
    </row>
    <row r="24" spans="1:53" ht="20" customHeight="1" x14ac:dyDescent="0.2">
      <c r="A24" s="68"/>
      <c r="B24" s="96"/>
      <c r="C24" s="25" t="s">
        <v>86</v>
      </c>
      <c r="D24" s="24" t="s">
        <v>155</v>
      </c>
      <c r="E24" s="24" t="s">
        <v>156</v>
      </c>
      <c r="F24" s="25">
        <v>2007</v>
      </c>
      <c r="H24" s="29">
        <v>44</v>
      </c>
      <c r="I24" s="28"/>
      <c r="J24" s="39"/>
      <c r="K24" s="40"/>
      <c r="L24" s="43" t="str">
        <f t="shared" si="17"/>
        <v/>
      </c>
      <c r="M24" s="40"/>
      <c r="N24" s="43" t="str">
        <f t="shared" si="1"/>
        <v/>
      </c>
      <c r="O24" s="40"/>
      <c r="P24" s="43" t="str">
        <f t="shared" si="1"/>
        <v/>
      </c>
      <c r="Q24" s="40"/>
      <c r="R24" s="43" t="str">
        <f t="shared" si="2"/>
        <v/>
      </c>
      <c r="S24" s="40"/>
      <c r="T24" s="43" t="str">
        <f t="shared" si="3"/>
        <v/>
      </c>
      <c r="U24" s="40"/>
      <c r="V24" s="43" t="str">
        <f t="shared" si="4"/>
        <v/>
      </c>
      <c r="W24" s="40"/>
      <c r="X24" s="43" t="str">
        <f t="shared" si="5"/>
        <v/>
      </c>
      <c r="Y24" s="40"/>
      <c r="Z24" s="43" t="str">
        <f t="shared" si="6"/>
        <v/>
      </c>
      <c r="AA24" s="40"/>
      <c r="AB24" s="43" t="str">
        <f t="shared" si="7"/>
        <v/>
      </c>
      <c r="AC24" s="40"/>
      <c r="AD24" s="43" t="str">
        <f t="shared" si="8"/>
        <v/>
      </c>
      <c r="AE24" s="40"/>
      <c r="AF24" s="43" t="str">
        <f t="shared" si="9"/>
        <v/>
      </c>
      <c r="AG24" s="40"/>
      <c r="AH24" s="43" t="str">
        <f t="shared" si="9"/>
        <v/>
      </c>
      <c r="AI24" s="40"/>
      <c r="AJ24" s="43" t="str">
        <f t="shared" si="9"/>
        <v/>
      </c>
      <c r="AK24" s="40"/>
      <c r="AL24" s="43" t="str">
        <f t="shared" si="9"/>
        <v/>
      </c>
      <c r="AM24" s="40"/>
      <c r="AN24" s="43" t="str">
        <f t="shared" si="10"/>
        <v/>
      </c>
      <c r="AO24" s="40"/>
      <c r="AP24" s="43" t="str">
        <f t="shared" si="11"/>
        <v/>
      </c>
      <c r="AQ24" s="40"/>
      <c r="AR24" s="43" t="str">
        <f t="shared" si="12"/>
        <v/>
      </c>
      <c r="AS24" s="40"/>
      <c r="AT24" s="43" t="str">
        <f t="shared" si="13"/>
        <v/>
      </c>
      <c r="AU24" s="40"/>
      <c r="AV24" s="43" t="str">
        <f t="shared" si="14"/>
        <v/>
      </c>
      <c r="AW24" s="37"/>
      <c r="AX24" s="43" t="str">
        <f t="shared" si="15"/>
        <v/>
      </c>
      <c r="AY24" s="66"/>
      <c r="AZ24" s="43" t="str">
        <f t="shared" si="16"/>
        <v/>
      </c>
      <c r="BA24" s="24" t="s">
        <v>188</v>
      </c>
    </row>
    <row r="25" spans="1:53" ht="20" customHeight="1" x14ac:dyDescent="0.2">
      <c r="A25" s="67"/>
      <c r="B25" s="96"/>
      <c r="C25" s="25" t="s">
        <v>86</v>
      </c>
      <c r="D25" s="24" t="s">
        <v>293</v>
      </c>
      <c r="E25" s="24" t="s">
        <v>294</v>
      </c>
      <c r="F25" s="25">
        <v>2014</v>
      </c>
      <c r="H25" s="29">
        <v>86</v>
      </c>
      <c r="I25" s="28" t="s">
        <v>238</v>
      </c>
      <c r="J25" s="39" t="s">
        <v>375</v>
      </c>
      <c r="K25" s="40"/>
      <c r="L25" s="43" t="str">
        <f t="shared" si="17"/>
        <v/>
      </c>
      <c r="M25" s="40"/>
      <c r="N25" s="43" t="str">
        <f t="shared" si="1"/>
        <v/>
      </c>
      <c r="O25" s="40"/>
      <c r="P25" s="43" t="str">
        <f t="shared" si="1"/>
        <v/>
      </c>
      <c r="Q25" s="40"/>
      <c r="R25" s="43" t="str">
        <f t="shared" si="2"/>
        <v/>
      </c>
      <c r="S25" s="40"/>
      <c r="T25" s="43" t="str">
        <f t="shared" si="3"/>
        <v/>
      </c>
      <c r="U25" s="40"/>
      <c r="V25" s="43" t="str">
        <f t="shared" si="4"/>
        <v/>
      </c>
      <c r="W25" s="40"/>
      <c r="X25" s="43" t="str">
        <f t="shared" si="5"/>
        <v/>
      </c>
      <c r="Y25" s="40"/>
      <c r="Z25" s="43" t="str">
        <f t="shared" si="6"/>
        <v/>
      </c>
      <c r="AA25" s="40"/>
      <c r="AB25" s="43" t="str">
        <f t="shared" si="7"/>
        <v/>
      </c>
      <c r="AC25" s="40"/>
      <c r="AD25" s="43" t="str">
        <f t="shared" si="8"/>
        <v/>
      </c>
      <c r="AE25" s="40"/>
      <c r="AF25" s="43" t="str">
        <f t="shared" si="9"/>
        <v/>
      </c>
      <c r="AG25" s="40"/>
      <c r="AH25" s="43" t="str">
        <f t="shared" si="9"/>
        <v/>
      </c>
      <c r="AI25" s="40"/>
      <c r="AJ25" s="43" t="str">
        <f t="shared" si="9"/>
        <v/>
      </c>
      <c r="AK25" s="40"/>
      <c r="AL25" s="43" t="str">
        <f t="shared" si="9"/>
        <v/>
      </c>
      <c r="AM25" s="40"/>
      <c r="AN25" s="43" t="str">
        <f t="shared" si="10"/>
        <v/>
      </c>
      <c r="AO25" s="40"/>
      <c r="AP25" s="43" t="str">
        <f t="shared" si="11"/>
        <v/>
      </c>
      <c r="AQ25" s="40"/>
      <c r="AR25" s="43" t="str">
        <f t="shared" si="12"/>
        <v/>
      </c>
      <c r="AS25" s="40"/>
      <c r="AT25" s="43" t="str">
        <f t="shared" si="13"/>
        <v/>
      </c>
      <c r="AU25" s="40"/>
      <c r="AV25" s="43" t="str">
        <f t="shared" si="14"/>
        <v/>
      </c>
      <c r="AW25" s="38"/>
      <c r="AX25" s="43" t="str">
        <f t="shared" si="15"/>
        <v/>
      </c>
      <c r="AY25" s="66"/>
      <c r="AZ25" s="43" t="str">
        <f t="shared" si="16"/>
        <v/>
      </c>
      <c r="BA25" s="24" t="s">
        <v>376</v>
      </c>
    </row>
    <row r="26" spans="1:53" ht="20" customHeight="1" x14ac:dyDescent="0.2">
      <c r="A26" s="67"/>
      <c r="B26" s="25"/>
      <c r="D26" s="24" t="s">
        <v>295</v>
      </c>
      <c r="E26" s="24" t="s">
        <v>296</v>
      </c>
      <c r="F26" s="25">
        <v>2015</v>
      </c>
      <c r="H26" s="29"/>
      <c r="I26" s="28"/>
      <c r="J26" s="39"/>
      <c r="K26" s="40"/>
      <c r="L26" s="43" t="str">
        <f t="shared" si="17"/>
        <v/>
      </c>
      <c r="M26" s="40"/>
      <c r="N26" s="43" t="str">
        <f t="shared" si="1"/>
        <v/>
      </c>
      <c r="O26" s="40"/>
      <c r="P26" s="43" t="str">
        <f t="shared" si="1"/>
        <v/>
      </c>
      <c r="Q26" s="40"/>
      <c r="R26" s="43" t="str">
        <f t="shared" si="2"/>
        <v/>
      </c>
      <c r="S26" s="40"/>
      <c r="T26" s="43" t="str">
        <f t="shared" si="3"/>
        <v/>
      </c>
      <c r="U26" s="40"/>
      <c r="V26" s="43" t="str">
        <f t="shared" si="4"/>
        <v/>
      </c>
      <c r="W26" s="40"/>
      <c r="X26" s="43" t="str">
        <f t="shared" si="5"/>
        <v/>
      </c>
      <c r="Y26" s="40"/>
      <c r="Z26" s="43" t="str">
        <f t="shared" si="6"/>
        <v/>
      </c>
      <c r="AA26" s="40"/>
      <c r="AB26" s="43" t="str">
        <f t="shared" si="7"/>
        <v/>
      </c>
      <c r="AC26" s="40"/>
      <c r="AD26" s="43" t="str">
        <f t="shared" si="8"/>
        <v/>
      </c>
      <c r="AE26" s="40"/>
      <c r="AF26" s="43" t="str">
        <f t="shared" si="9"/>
        <v/>
      </c>
      <c r="AG26" s="40"/>
      <c r="AH26" s="43" t="str">
        <f t="shared" si="9"/>
        <v/>
      </c>
      <c r="AI26" s="40"/>
      <c r="AJ26" s="43" t="str">
        <f t="shared" si="9"/>
        <v/>
      </c>
      <c r="AK26" s="40"/>
      <c r="AL26" s="43" t="str">
        <f t="shared" si="9"/>
        <v/>
      </c>
      <c r="AM26" s="40"/>
      <c r="AN26" s="43" t="str">
        <f t="shared" si="10"/>
        <v/>
      </c>
      <c r="AO26" s="40"/>
      <c r="AP26" s="43" t="str">
        <f t="shared" si="11"/>
        <v/>
      </c>
      <c r="AQ26" s="40"/>
      <c r="AR26" s="43" t="str">
        <f t="shared" si="12"/>
        <v/>
      </c>
      <c r="AS26" s="40"/>
      <c r="AT26" s="43" t="str">
        <f t="shared" si="13"/>
        <v/>
      </c>
      <c r="AU26" s="40"/>
      <c r="AV26" s="43" t="str">
        <f t="shared" si="14"/>
        <v/>
      </c>
      <c r="AW26" s="38"/>
      <c r="AX26" s="43" t="str">
        <f t="shared" si="15"/>
        <v/>
      </c>
      <c r="AY26" s="66"/>
      <c r="AZ26" s="43" t="str">
        <f t="shared" si="16"/>
        <v/>
      </c>
    </row>
    <row r="27" spans="1:53" ht="20" customHeight="1" x14ac:dyDescent="0.2">
      <c r="A27" s="67"/>
      <c r="B27" s="96"/>
      <c r="C27" s="25" t="s">
        <v>86</v>
      </c>
      <c r="D27" s="24" t="s">
        <v>297</v>
      </c>
      <c r="E27" s="24" t="s">
        <v>298</v>
      </c>
      <c r="F27" s="25">
        <v>2012</v>
      </c>
      <c r="H27" s="29">
        <v>160</v>
      </c>
      <c r="I27" s="28" t="s">
        <v>238</v>
      </c>
      <c r="J27" s="39" t="s">
        <v>211</v>
      </c>
      <c r="K27" s="40"/>
      <c r="L27" s="43" t="str">
        <f t="shared" si="17"/>
        <v/>
      </c>
      <c r="M27" s="40"/>
      <c r="N27" s="43" t="str">
        <f t="shared" si="1"/>
        <v/>
      </c>
      <c r="O27" s="40"/>
      <c r="P27" s="43" t="str">
        <f t="shared" si="1"/>
        <v/>
      </c>
      <c r="Q27" s="40"/>
      <c r="R27" s="43" t="str">
        <f t="shared" si="2"/>
        <v/>
      </c>
      <c r="S27" s="40"/>
      <c r="T27" s="43" t="str">
        <f t="shared" si="3"/>
        <v/>
      </c>
      <c r="U27" s="40"/>
      <c r="V27" s="43" t="str">
        <f t="shared" si="4"/>
        <v/>
      </c>
      <c r="W27" s="40"/>
      <c r="X27" s="43" t="str">
        <f t="shared" si="5"/>
        <v/>
      </c>
      <c r="Y27" s="40"/>
      <c r="Z27" s="43" t="str">
        <f t="shared" si="6"/>
        <v/>
      </c>
      <c r="AA27" s="40"/>
      <c r="AB27" s="43" t="str">
        <f t="shared" si="7"/>
        <v/>
      </c>
      <c r="AC27" s="40"/>
      <c r="AD27" s="43" t="str">
        <f t="shared" si="8"/>
        <v/>
      </c>
      <c r="AE27" s="40"/>
      <c r="AF27" s="43" t="str">
        <f t="shared" si="9"/>
        <v/>
      </c>
      <c r="AG27" s="40"/>
      <c r="AH27" s="43" t="str">
        <f t="shared" si="9"/>
        <v/>
      </c>
      <c r="AI27" s="40"/>
      <c r="AJ27" s="43" t="str">
        <f t="shared" si="9"/>
        <v/>
      </c>
      <c r="AK27" s="40"/>
      <c r="AL27" s="43" t="str">
        <f t="shared" si="9"/>
        <v/>
      </c>
      <c r="AM27" s="40"/>
      <c r="AN27" s="43" t="str">
        <f t="shared" si="10"/>
        <v/>
      </c>
      <c r="AO27" s="40"/>
      <c r="AP27" s="43" t="str">
        <f t="shared" si="11"/>
        <v/>
      </c>
      <c r="AQ27" s="40"/>
      <c r="AR27" s="43" t="str">
        <f t="shared" si="12"/>
        <v/>
      </c>
      <c r="AS27" s="40"/>
      <c r="AT27" s="43" t="str">
        <f t="shared" si="13"/>
        <v/>
      </c>
      <c r="AU27" s="40"/>
      <c r="AV27" s="43" t="str">
        <f t="shared" si="14"/>
        <v/>
      </c>
      <c r="AW27" s="38"/>
      <c r="AX27" s="43" t="str">
        <f t="shared" si="15"/>
        <v/>
      </c>
      <c r="AY27" s="66"/>
      <c r="AZ27" s="43" t="str">
        <f t="shared" si="16"/>
        <v/>
      </c>
    </row>
    <row r="28" spans="1:53" ht="20" customHeight="1" x14ac:dyDescent="0.2">
      <c r="A28" s="67"/>
      <c r="B28" s="95"/>
      <c r="C28" s="25" t="s">
        <v>86</v>
      </c>
      <c r="D28" s="24" t="s">
        <v>299</v>
      </c>
      <c r="E28" s="24" t="s">
        <v>300</v>
      </c>
      <c r="F28" s="25">
        <v>2013</v>
      </c>
      <c r="H28" s="29">
        <v>12</v>
      </c>
      <c r="I28" s="28" t="s">
        <v>238</v>
      </c>
      <c r="J28" s="39" t="s">
        <v>377</v>
      </c>
      <c r="K28" s="40"/>
      <c r="L28" s="43" t="str">
        <f t="shared" si="17"/>
        <v/>
      </c>
      <c r="M28" s="40"/>
      <c r="N28" s="43" t="str">
        <f t="shared" si="1"/>
        <v/>
      </c>
      <c r="O28" s="40"/>
      <c r="P28" s="43" t="str">
        <f t="shared" si="1"/>
        <v/>
      </c>
      <c r="Q28" s="40"/>
      <c r="R28" s="43" t="str">
        <f t="shared" si="2"/>
        <v/>
      </c>
      <c r="S28" s="40"/>
      <c r="T28" s="43" t="str">
        <f t="shared" si="3"/>
        <v/>
      </c>
      <c r="U28" s="45"/>
      <c r="V28" s="46" t="str">
        <f t="shared" si="4"/>
        <v/>
      </c>
      <c r="W28" s="40"/>
      <c r="X28" s="43" t="str">
        <f t="shared" si="5"/>
        <v/>
      </c>
      <c r="Y28" s="40"/>
      <c r="Z28" s="43" t="str">
        <f t="shared" si="6"/>
        <v/>
      </c>
      <c r="AA28" s="40"/>
      <c r="AB28" s="43" t="str">
        <f t="shared" si="7"/>
        <v/>
      </c>
      <c r="AC28" s="40"/>
      <c r="AD28" s="43" t="str">
        <f t="shared" si="8"/>
        <v/>
      </c>
      <c r="AE28" s="40"/>
      <c r="AF28" s="43" t="str">
        <f t="shared" si="9"/>
        <v/>
      </c>
      <c r="AG28" s="40"/>
      <c r="AH28" s="43" t="str">
        <f t="shared" si="9"/>
        <v/>
      </c>
      <c r="AI28" s="40"/>
      <c r="AJ28" s="43" t="str">
        <f t="shared" si="9"/>
        <v/>
      </c>
      <c r="AK28" s="40"/>
      <c r="AL28" s="43" t="str">
        <f t="shared" si="9"/>
        <v/>
      </c>
      <c r="AM28" s="40"/>
      <c r="AN28" s="43" t="str">
        <f t="shared" si="10"/>
        <v/>
      </c>
      <c r="AO28" s="40"/>
      <c r="AP28" s="43" t="str">
        <f t="shared" si="11"/>
        <v/>
      </c>
      <c r="AQ28" s="40"/>
      <c r="AR28" s="43" t="str">
        <f t="shared" si="12"/>
        <v/>
      </c>
      <c r="AS28" s="40"/>
      <c r="AT28" s="43" t="str">
        <f t="shared" si="13"/>
        <v/>
      </c>
      <c r="AU28" s="40"/>
      <c r="AV28" s="43" t="str">
        <f t="shared" si="14"/>
        <v/>
      </c>
      <c r="AW28" s="47"/>
      <c r="AX28" s="46" t="str">
        <f t="shared" si="15"/>
        <v/>
      </c>
      <c r="AY28" s="66"/>
      <c r="AZ28" s="43" t="str">
        <f t="shared" si="16"/>
        <v/>
      </c>
      <c r="BA28" s="24" t="s">
        <v>378</v>
      </c>
    </row>
    <row r="29" spans="1:53" ht="20" customHeight="1" x14ac:dyDescent="0.2">
      <c r="A29" s="68"/>
      <c r="B29" s="97"/>
      <c r="C29" s="25" t="s">
        <v>86</v>
      </c>
      <c r="D29" s="24" t="s">
        <v>45</v>
      </c>
      <c r="E29" s="24" t="s">
        <v>46</v>
      </c>
      <c r="F29" s="25">
        <v>1998</v>
      </c>
      <c r="G29" s="25">
        <v>96</v>
      </c>
      <c r="H29" s="29">
        <v>61</v>
      </c>
      <c r="I29" s="28" t="s">
        <v>189</v>
      </c>
      <c r="J29" s="39" t="s">
        <v>208</v>
      </c>
      <c r="K29" s="40"/>
      <c r="L29" s="43" t="str">
        <f t="shared" si="17"/>
        <v/>
      </c>
      <c r="M29" s="40"/>
      <c r="N29" s="43" t="str">
        <f t="shared" si="1"/>
        <v/>
      </c>
      <c r="O29" s="40"/>
      <c r="P29" s="43" t="str">
        <f t="shared" si="1"/>
        <v/>
      </c>
      <c r="Q29" s="40"/>
      <c r="R29" s="43" t="str">
        <f t="shared" si="2"/>
        <v/>
      </c>
      <c r="S29" s="40"/>
      <c r="T29" s="43" t="str">
        <f t="shared" si="3"/>
        <v/>
      </c>
      <c r="U29" s="40"/>
      <c r="V29" s="43" t="str">
        <f t="shared" si="4"/>
        <v/>
      </c>
      <c r="W29" s="40"/>
      <c r="X29" s="43" t="str">
        <f t="shared" si="5"/>
        <v/>
      </c>
      <c r="Y29" s="40"/>
      <c r="Z29" s="43" t="str">
        <f t="shared" si="6"/>
        <v/>
      </c>
      <c r="AA29" s="40"/>
      <c r="AB29" s="43" t="str">
        <f t="shared" si="7"/>
        <v/>
      </c>
      <c r="AC29" s="40"/>
      <c r="AD29" s="43" t="str">
        <f t="shared" si="8"/>
        <v/>
      </c>
      <c r="AE29" s="40"/>
      <c r="AF29" s="43" t="str">
        <f t="shared" si="9"/>
        <v/>
      </c>
      <c r="AG29" s="40"/>
      <c r="AH29" s="43" t="str">
        <f t="shared" si="9"/>
        <v/>
      </c>
      <c r="AI29" s="40"/>
      <c r="AJ29" s="43" t="str">
        <f t="shared" si="9"/>
        <v/>
      </c>
      <c r="AK29" s="40"/>
      <c r="AL29" s="43" t="str">
        <f t="shared" si="9"/>
        <v/>
      </c>
      <c r="AM29" s="40"/>
      <c r="AN29" s="43" t="str">
        <f t="shared" si="10"/>
        <v/>
      </c>
      <c r="AO29" s="40"/>
      <c r="AP29" s="43" t="str">
        <f t="shared" si="11"/>
        <v/>
      </c>
      <c r="AQ29" s="40"/>
      <c r="AR29" s="43" t="str">
        <f t="shared" si="12"/>
        <v/>
      </c>
      <c r="AS29" s="40"/>
      <c r="AT29" s="43" t="str">
        <f t="shared" si="13"/>
        <v/>
      </c>
      <c r="AU29" s="40"/>
      <c r="AV29" s="43" t="str">
        <f t="shared" si="14"/>
        <v/>
      </c>
      <c r="AW29" s="37"/>
      <c r="AX29" s="43" t="str">
        <f t="shared" si="15"/>
        <v/>
      </c>
      <c r="AY29" s="66"/>
      <c r="AZ29" s="43" t="str">
        <f t="shared" si="16"/>
        <v/>
      </c>
      <c r="BA29" s="24" t="s">
        <v>190</v>
      </c>
    </row>
    <row r="30" spans="1:53" ht="20" customHeight="1" x14ac:dyDescent="0.2">
      <c r="A30" s="67"/>
      <c r="B30" s="95"/>
      <c r="C30" s="25" t="s">
        <v>86</v>
      </c>
      <c r="D30" s="24" t="s">
        <v>301</v>
      </c>
      <c r="E30" s="24" t="s">
        <v>302</v>
      </c>
      <c r="F30" s="25">
        <v>2000</v>
      </c>
      <c r="H30" s="29">
        <v>9</v>
      </c>
      <c r="I30" s="28" t="s">
        <v>246</v>
      </c>
      <c r="J30" s="39" t="s">
        <v>176</v>
      </c>
      <c r="K30" s="40"/>
      <c r="L30" s="43" t="str">
        <f t="shared" si="17"/>
        <v/>
      </c>
      <c r="M30" s="40"/>
      <c r="N30" s="43" t="str">
        <f t="shared" si="1"/>
        <v/>
      </c>
      <c r="O30" s="40"/>
      <c r="P30" s="43" t="str">
        <f t="shared" si="1"/>
        <v/>
      </c>
      <c r="Q30" s="40"/>
      <c r="R30" s="43" t="str">
        <f t="shared" si="2"/>
        <v/>
      </c>
      <c r="S30" s="40"/>
      <c r="T30" s="43" t="str">
        <f t="shared" si="3"/>
        <v/>
      </c>
      <c r="U30" s="40">
        <v>1</v>
      </c>
      <c r="V30" s="43">
        <f t="shared" si="4"/>
        <v>11.111111111111111</v>
      </c>
      <c r="W30" s="40"/>
      <c r="X30" s="43" t="str">
        <f t="shared" si="5"/>
        <v/>
      </c>
      <c r="Y30" s="40"/>
      <c r="Z30" s="43" t="str">
        <f t="shared" si="6"/>
        <v/>
      </c>
      <c r="AA30" s="40"/>
      <c r="AB30" s="43" t="str">
        <f t="shared" si="7"/>
        <v/>
      </c>
      <c r="AC30" s="40"/>
      <c r="AD30" s="43" t="str">
        <f t="shared" si="8"/>
        <v/>
      </c>
      <c r="AE30" s="40">
        <v>1</v>
      </c>
      <c r="AF30" s="43">
        <f t="shared" si="9"/>
        <v>11.111111111111111</v>
      </c>
      <c r="AG30" s="40"/>
      <c r="AH30" s="43" t="str">
        <f t="shared" si="9"/>
        <v/>
      </c>
      <c r="AI30" s="40"/>
      <c r="AJ30" s="43" t="str">
        <f t="shared" si="9"/>
        <v/>
      </c>
      <c r="AK30" s="40"/>
      <c r="AL30" s="43" t="str">
        <f t="shared" si="9"/>
        <v/>
      </c>
      <c r="AM30" s="40"/>
      <c r="AN30" s="43" t="str">
        <f t="shared" si="10"/>
        <v/>
      </c>
      <c r="AO30" s="40"/>
      <c r="AP30" s="43" t="str">
        <f t="shared" si="11"/>
        <v/>
      </c>
      <c r="AQ30" s="40"/>
      <c r="AR30" s="43" t="str">
        <f t="shared" si="12"/>
        <v/>
      </c>
      <c r="AS30" s="40"/>
      <c r="AT30" s="43" t="str">
        <f t="shared" si="13"/>
        <v/>
      </c>
      <c r="AU30" s="40"/>
      <c r="AV30" s="43" t="str">
        <f t="shared" si="14"/>
        <v/>
      </c>
      <c r="AW30" s="38">
        <v>1</v>
      </c>
      <c r="AX30" s="43">
        <f t="shared" si="15"/>
        <v>11.111111111111111</v>
      </c>
      <c r="AY30" s="66"/>
      <c r="AZ30" s="43" t="str">
        <f t="shared" si="16"/>
        <v/>
      </c>
      <c r="BA30" s="24" t="s">
        <v>379</v>
      </c>
    </row>
    <row r="31" spans="1:53" ht="20" customHeight="1" x14ac:dyDescent="0.2">
      <c r="A31" s="67"/>
      <c r="B31" s="96"/>
      <c r="C31" s="25" t="s">
        <v>86</v>
      </c>
      <c r="D31" s="24" t="s">
        <v>303</v>
      </c>
      <c r="E31" s="24" t="s">
        <v>304</v>
      </c>
      <c r="F31" s="25">
        <v>2003</v>
      </c>
      <c r="H31" s="29">
        <v>10</v>
      </c>
      <c r="I31" s="28" t="s">
        <v>203</v>
      </c>
      <c r="J31" s="39" t="s">
        <v>210</v>
      </c>
      <c r="K31" s="40"/>
      <c r="L31" s="43" t="str">
        <f t="shared" si="17"/>
        <v/>
      </c>
      <c r="M31" s="40"/>
      <c r="N31" s="43" t="str">
        <f t="shared" si="1"/>
        <v/>
      </c>
      <c r="O31" s="40"/>
      <c r="P31" s="43" t="str">
        <f t="shared" si="1"/>
        <v/>
      </c>
      <c r="Q31" s="40"/>
      <c r="R31" s="43" t="str">
        <f t="shared" si="2"/>
        <v/>
      </c>
      <c r="S31" s="40"/>
      <c r="T31" s="43" t="str">
        <f t="shared" si="3"/>
        <v/>
      </c>
      <c r="U31" s="40"/>
      <c r="V31" s="43" t="str">
        <f t="shared" si="4"/>
        <v/>
      </c>
      <c r="W31" s="40"/>
      <c r="X31" s="43" t="str">
        <f t="shared" si="5"/>
        <v/>
      </c>
      <c r="Y31" s="40"/>
      <c r="Z31" s="43" t="str">
        <f t="shared" si="6"/>
        <v/>
      </c>
      <c r="AA31" s="40"/>
      <c r="AB31" s="43" t="str">
        <f t="shared" si="7"/>
        <v/>
      </c>
      <c r="AC31" s="40"/>
      <c r="AD31" s="43" t="str">
        <f t="shared" si="8"/>
        <v/>
      </c>
      <c r="AE31" s="40"/>
      <c r="AF31" s="43" t="str">
        <f t="shared" si="9"/>
        <v/>
      </c>
      <c r="AG31" s="40"/>
      <c r="AH31" s="43" t="str">
        <f t="shared" si="9"/>
        <v/>
      </c>
      <c r="AI31" s="40"/>
      <c r="AJ31" s="43" t="str">
        <f t="shared" si="9"/>
        <v/>
      </c>
      <c r="AK31" s="40"/>
      <c r="AL31" s="43" t="str">
        <f t="shared" si="9"/>
        <v/>
      </c>
      <c r="AM31" s="40"/>
      <c r="AN31" s="43" t="str">
        <f t="shared" si="10"/>
        <v/>
      </c>
      <c r="AO31" s="40"/>
      <c r="AP31" s="43" t="str">
        <f t="shared" si="11"/>
        <v/>
      </c>
      <c r="AQ31" s="40"/>
      <c r="AR31" s="43" t="str">
        <f t="shared" si="12"/>
        <v/>
      </c>
      <c r="AS31" s="40"/>
      <c r="AT31" s="43" t="str">
        <f t="shared" si="13"/>
        <v/>
      </c>
      <c r="AU31" s="40"/>
      <c r="AV31" s="43" t="str">
        <f t="shared" si="14"/>
        <v/>
      </c>
      <c r="AW31" s="38"/>
      <c r="AX31" s="43" t="str">
        <f t="shared" si="15"/>
        <v/>
      </c>
      <c r="AY31" s="66"/>
      <c r="AZ31" s="43" t="str">
        <f t="shared" si="16"/>
        <v/>
      </c>
      <c r="BA31" s="24" t="s">
        <v>220</v>
      </c>
    </row>
    <row r="32" spans="1:53" ht="20" customHeight="1" x14ac:dyDescent="0.2">
      <c r="A32" s="68"/>
      <c r="B32" s="25"/>
      <c r="C32" s="57" t="s">
        <v>49</v>
      </c>
      <c r="D32" s="56" t="s">
        <v>47</v>
      </c>
      <c r="E32" s="56" t="s">
        <v>48</v>
      </c>
      <c r="F32" s="57">
        <v>1997</v>
      </c>
      <c r="G32" s="57">
        <v>91</v>
      </c>
      <c r="H32" s="29"/>
      <c r="I32" s="28"/>
      <c r="J32" s="39"/>
      <c r="K32" s="40"/>
      <c r="L32" s="43" t="str">
        <f t="shared" si="17"/>
        <v/>
      </c>
      <c r="M32" s="40"/>
      <c r="N32" s="43" t="str">
        <f t="shared" si="1"/>
        <v/>
      </c>
      <c r="O32" s="40"/>
      <c r="P32" s="43" t="str">
        <f t="shared" si="1"/>
        <v/>
      </c>
      <c r="Q32" s="40"/>
      <c r="R32" s="43" t="str">
        <f t="shared" si="2"/>
        <v/>
      </c>
      <c r="S32" s="40"/>
      <c r="T32" s="43" t="str">
        <f t="shared" si="3"/>
        <v/>
      </c>
      <c r="U32" s="40"/>
      <c r="V32" s="43" t="str">
        <f t="shared" si="4"/>
        <v/>
      </c>
      <c r="W32" s="40"/>
      <c r="X32" s="43" t="str">
        <f t="shared" si="5"/>
        <v/>
      </c>
      <c r="Y32" s="40"/>
      <c r="Z32" s="43" t="str">
        <f t="shared" si="6"/>
        <v/>
      </c>
      <c r="AA32" s="40"/>
      <c r="AB32" s="43" t="str">
        <f t="shared" si="7"/>
        <v/>
      </c>
      <c r="AC32" s="40"/>
      <c r="AD32" s="43" t="str">
        <f t="shared" si="8"/>
        <v/>
      </c>
      <c r="AE32" s="40"/>
      <c r="AF32" s="43" t="str">
        <f t="shared" si="9"/>
        <v/>
      </c>
      <c r="AG32" s="40"/>
      <c r="AH32" s="43" t="str">
        <f t="shared" si="9"/>
        <v/>
      </c>
      <c r="AI32" s="40"/>
      <c r="AJ32" s="43" t="str">
        <f t="shared" si="9"/>
        <v/>
      </c>
      <c r="AK32" s="40"/>
      <c r="AL32" s="43" t="str">
        <f t="shared" si="9"/>
        <v/>
      </c>
      <c r="AM32" s="40"/>
      <c r="AN32" s="43" t="str">
        <f t="shared" si="10"/>
        <v/>
      </c>
      <c r="AO32" s="40"/>
      <c r="AP32" s="43" t="str">
        <f t="shared" si="11"/>
        <v/>
      </c>
      <c r="AQ32" s="40"/>
      <c r="AR32" s="43" t="str">
        <f t="shared" si="12"/>
        <v/>
      </c>
      <c r="AS32" s="40"/>
      <c r="AT32" s="43" t="str">
        <f t="shared" si="13"/>
        <v/>
      </c>
      <c r="AU32" s="40"/>
      <c r="AV32" s="43" t="str">
        <f t="shared" si="14"/>
        <v/>
      </c>
      <c r="AW32" s="37"/>
      <c r="AX32" s="43" t="str">
        <f t="shared" si="15"/>
        <v/>
      </c>
      <c r="AY32" s="66"/>
      <c r="AZ32" s="43" t="str">
        <f t="shared" si="16"/>
        <v/>
      </c>
    </row>
    <row r="33" spans="1:53" ht="20" customHeight="1" x14ac:dyDescent="0.2">
      <c r="A33" s="67"/>
      <c r="B33" s="25"/>
      <c r="C33" s="57" t="s">
        <v>30</v>
      </c>
      <c r="D33" s="56" t="s">
        <v>50</v>
      </c>
      <c r="E33" s="56" t="s">
        <v>51</v>
      </c>
      <c r="F33" s="57">
        <v>1993</v>
      </c>
      <c r="G33" s="57">
        <v>306</v>
      </c>
      <c r="H33" s="29"/>
      <c r="I33" s="28"/>
      <c r="J33" s="39"/>
      <c r="K33" s="40"/>
      <c r="L33" s="43" t="str">
        <f t="shared" si="17"/>
        <v/>
      </c>
      <c r="M33" s="40"/>
      <c r="N33" s="43" t="str">
        <f t="shared" si="1"/>
        <v/>
      </c>
      <c r="O33" s="40"/>
      <c r="P33" s="43" t="str">
        <f t="shared" si="1"/>
        <v/>
      </c>
      <c r="Q33" s="40"/>
      <c r="R33" s="43" t="str">
        <f t="shared" si="2"/>
        <v/>
      </c>
      <c r="S33" s="40"/>
      <c r="T33" s="43" t="str">
        <f t="shared" si="3"/>
        <v/>
      </c>
      <c r="U33" s="40"/>
      <c r="V33" s="43" t="str">
        <f t="shared" si="4"/>
        <v/>
      </c>
      <c r="W33" s="40"/>
      <c r="X33" s="43" t="str">
        <f t="shared" si="5"/>
        <v/>
      </c>
      <c r="Y33" s="40"/>
      <c r="Z33" s="43" t="str">
        <f t="shared" si="6"/>
        <v/>
      </c>
      <c r="AA33" s="40"/>
      <c r="AB33" s="43" t="str">
        <f t="shared" si="7"/>
        <v/>
      </c>
      <c r="AC33" s="40"/>
      <c r="AD33" s="43" t="str">
        <f t="shared" si="8"/>
        <v/>
      </c>
      <c r="AE33" s="40"/>
      <c r="AF33" s="43" t="str">
        <f t="shared" si="9"/>
        <v/>
      </c>
      <c r="AG33" s="40"/>
      <c r="AH33" s="43" t="str">
        <f t="shared" si="9"/>
        <v/>
      </c>
      <c r="AI33" s="40"/>
      <c r="AJ33" s="43" t="str">
        <f t="shared" si="9"/>
        <v/>
      </c>
      <c r="AK33" s="40"/>
      <c r="AL33" s="43" t="str">
        <f t="shared" si="9"/>
        <v/>
      </c>
      <c r="AM33" s="40"/>
      <c r="AN33" s="43" t="str">
        <f t="shared" si="10"/>
        <v/>
      </c>
      <c r="AO33" s="40"/>
      <c r="AP33" s="43" t="str">
        <f t="shared" si="11"/>
        <v/>
      </c>
      <c r="AQ33" s="40"/>
      <c r="AR33" s="43" t="str">
        <f t="shared" si="12"/>
        <v/>
      </c>
      <c r="AS33" s="40"/>
      <c r="AT33" s="43" t="str">
        <f t="shared" si="13"/>
        <v/>
      </c>
      <c r="AU33" s="40"/>
      <c r="AV33" s="43" t="str">
        <f t="shared" si="14"/>
        <v/>
      </c>
      <c r="AW33" s="37"/>
      <c r="AX33" s="43" t="str">
        <f t="shared" si="15"/>
        <v/>
      </c>
      <c r="AY33" s="66"/>
      <c r="AZ33" s="43" t="str">
        <f t="shared" si="16"/>
        <v/>
      </c>
    </row>
    <row r="34" spans="1:53" ht="20" customHeight="1" x14ac:dyDescent="0.2">
      <c r="A34" s="68"/>
      <c r="B34" s="96"/>
      <c r="C34" s="25" t="s">
        <v>86</v>
      </c>
      <c r="D34" s="24" t="s">
        <v>52</v>
      </c>
      <c r="E34" s="24" t="s">
        <v>53</v>
      </c>
      <c r="F34" s="25">
        <v>2001</v>
      </c>
      <c r="G34" s="25">
        <v>118</v>
      </c>
      <c r="H34" s="29">
        <v>20</v>
      </c>
      <c r="I34" s="28"/>
      <c r="J34" s="39" t="s">
        <v>208</v>
      </c>
      <c r="K34" s="40"/>
      <c r="L34" s="43" t="str">
        <f t="shared" si="17"/>
        <v/>
      </c>
      <c r="M34" s="40"/>
      <c r="N34" s="43" t="str">
        <f t="shared" si="1"/>
        <v/>
      </c>
      <c r="O34" s="40"/>
      <c r="P34" s="43" t="str">
        <f t="shared" si="1"/>
        <v/>
      </c>
      <c r="Q34" s="40"/>
      <c r="R34" s="43" t="str">
        <f t="shared" si="2"/>
        <v/>
      </c>
      <c r="S34" s="40"/>
      <c r="T34" s="43" t="str">
        <f t="shared" si="3"/>
        <v/>
      </c>
      <c r="U34" s="40"/>
      <c r="V34" s="43" t="str">
        <f t="shared" si="4"/>
        <v/>
      </c>
      <c r="W34" s="40"/>
      <c r="X34" s="43" t="str">
        <f t="shared" si="5"/>
        <v/>
      </c>
      <c r="Y34" s="40"/>
      <c r="Z34" s="43" t="str">
        <f t="shared" si="6"/>
        <v/>
      </c>
      <c r="AA34" s="40"/>
      <c r="AB34" s="43" t="str">
        <f t="shared" si="7"/>
        <v/>
      </c>
      <c r="AC34" s="40"/>
      <c r="AD34" s="43" t="str">
        <f t="shared" si="8"/>
        <v/>
      </c>
      <c r="AE34" s="40"/>
      <c r="AF34" s="43" t="str">
        <f t="shared" si="9"/>
        <v/>
      </c>
      <c r="AG34" s="40"/>
      <c r="AH34" s="43" t="str">
        <f t="shared" si="9"/>
        <v/>
      </c>
      <c r="AI34" s="40"/>
      <c r="AJ34" s="43" t="str">
        <f t="shared" si="9"/>
        <v/>
      </c>
      <c r="AK34" s="40"/>
      <c r="AL34" s="43" t="str">
        <f t="shared" si="9"/>
        <v/>
      </c>
      <c r="AM34" s="40"/>
      <c r="AN34" s="43" t="str">
        <f t="shared" si="10"/>
        <v/>
      </c>
      <c r="AO34" s="40"/>
      <c r="AP34" s="43" t="str">
        <f t="shared" si="11"/>
        <v/>
      </c>
      <c r="AQ34" s="40"/>
      <c r="AR34" s="43" t="str">
        <f t="shared" si="12"/>
        <v/>
      </c>
      <c r="AS34" s="40"/>
      <c r="AT34" s="43" t="str">
        <f t="shared" si="13"/>
        <v/>
      </c>
      <c r="AU34" s="40"/>
      <c r="AV34" s="43" t="str">
        <f t="shared" si="14"/>
        <v/>
      </c>
      <c r="AW34" s="37"/>
      <c r="AX34" s="43" t="str">
        <f t="shared" si="15"/>
        <v/>
      </c>
      <c r="AY34" s="66"/>
      <c r="AZ34" s="43" t="str">
        <f t="shared" si="16"/>
        <v/>
      </c>
      <c r="BA34" s="24" t="s">
        <v>195</v>
      </c>
    </row>
    <row r="35" spans="1:53" ht="20" customHeight="1" x14ac:dyDescent="0.2">
      <c r="A35" s="67"/>
      <c r="B35" s="95"/>
      <c r="C35" s="25" t="s">
        <v>86</v>
      </c>
      <c r="D35" s="24" t="s">
        <v>305</v>
      </c>
      <c r="E35" s="24" t="s">
        <v>306</v>
      </c>
      <c r="F35" s="25">
        <v>1994</v>
      </c>
      <c r="H35" s="29">
        <v>20</v>
      </c>
      <c r="I35" s="28" t="s">
        <v>380</v>
      </c>
      <c r="J35" s="39"/>
      <c r="K35" s="40"/>
      <c r="L35" s="43" t="str">
        <f t="shared" si="17"/>
        <v/>
      </c>
      <c r="M35" s="40"/>
      <c r="N35" s="43" t="str">
        <f t="shared" si="1"/>
        <v/>
      </c>
      <c r="O35" s="40"/>
      <c r="P35" s="43" t="str">
        <f t="shared" si="1"/>
        <v/>
      </c>
      <c r="Q35" s="40"/>
      <c r="R35" s="43" t="str">
        <f t="shared" si="2"/>
        <v/>
      </c>
      <c r="S35" s="40"/>
      <c r="T35" s="43" t="str">
        <f t="shared" si="3"/>
        <v/>
      </c>
      <c r="U35" s="45"/>
      <c r="V35" s="46" t="str">
        <f t="shared" si="4"/>
        <v/>
      </c>
      <c r="W35" s="40"/>
      <c r="X35" s="43" t="str">
        <f t="shared" si="5"/>
        <v/>
      </c>
      <c r="Y35" s="45"/>
      <c r="Z35" s="46" t="str">
        <f t="shared" si="6"/>
        <v/>
      </c>
      <c r="AA35" s="40"/>
      <c r="AB35" s="43" t="str">
        <f t="shared" si="7"/>
        <v/>
      </c>
      <c r="AC35" s="40"/>
      <c r="AD35" s="43" t="str">
        <f t="shared" si="8"/>
        <v/>
      </c>
      <c r="AE35" s="40"/>
      <c r="AF35" s="43" t="str">
        <f t="shared" si="9"/>
        <v/>
      </c>
      <c r="AG35" s="40"/>
      <c r="AH35" s="43" t="str">
        <f t="shared" si="9"/>
        <v/>
      </c>
      <c r="AI35" s="40"/>
      <c r="AJ35" s="43" t="str">
        <f t="shared" si="9"/>
        <v/>
      </c>
      <c r="AK35" s="40"/>
      <c r="AL35" s="43" t="str">
        <f t="shared" si="9"/>
        <v/>
      </c>
      <c r="AM35" s="40"/>
      <c r="AN35" s="43" t="str">
        <f t="shared" si="10"/>
        <v/>
      </c>
      <c r="AO35" s="40"/>
      <c r="AP35" s="43" t="str">
        <f t="shared" si="11"/>
        <v/>
      </c>
      <c r="AQ35" s="40"/>
      <c r="AR35" s="43" t="str">
        <f t="shared" si="12"/>
        <v/>
      </c>
      <c r="AS35" s="40"/>
      <c r="AT35" s="43" t="str">
        <f t="shared" si="13"/>
        <v/>
      </c>
      <c r="AU35" s="40"/>
      <c r="AV35" s="43" t="str">
        <f t="shared" si="14"/>
        <v/>
      </c>
      <c r="AW35" s="47"/>
      <c r="AX35" s="46" t="str">
        <f t="shared" si="15"/>
        <v/>
      </c>
      <c r="AY35" s="66"/>
      <c r="AZ35" s="43" t="str">
        <f t="shared" si="16"/>
        <v/>
      </c>
      <c r="BA35" s="24" t="s">
        <v>381</v>
      </c>
    </row>
    <row r="36" spans="1:53" ht="20" customHeight="1" x14ac:dyDescent="0.2">
      <c r="A36" s="67"/>
      <c r="B36" s="96"/>
      <c r="C36" s="25" t="s">
        <v>86</v>
      </c>
      <c r="D36" s="24" t="s">
        <v>382</v>
      </c>
      <c r="E36" s="24" t="s">
        <v>383</v>
      </c>
      <c r="F36" s="25">
        <v>2008</v>
      </c>
      <c r="H36" s="29">
        <v>50</v>
      </c>
      <c r="I36" s="28" t="s">
        <v>189</v>
      </c>
      <c r="J36" s="39" t="s">
        <v>384</v>
      </c>
      <c r="K36" s="40"/>
      <c r="L36" s="43" t="str">
        <f t="shared" si="17"/>
        <v/>
      </c>
      <c r="M36" s="40"/>
      <c r="N36" s="43" t="str">
        <f t="shared" ref="N36" si="18">IF((ISERROR((M36/$H36)*100)), "", IF(AND(NOT(ISERROR((M36/$H36)*100)),((M36/$H36)*100) &lt;&gt; 0), (M36/$H36)*100, ""))</f>
        <v/>
      </c>
      <c r="O36" s="40"/>
      <c r="P36" s="43" t="str">
        <f t="shared" ref="P36" si="19">IF((ISERROR((O36/$H36)*100)), "", IF(AND(NOT(ISERROR((O36/$H36)*100)),((O36/$H36)*100) &lt;&gt; 0), (O36/$H36)*100, ""))</f>
        <v/>
      </c>
      <c r="Q36" s="40"/>
      <c r="R36" s="43" t="str">
        <f t="shared" si="2"/>
        <v/>
      </c>
      <c r="S36" s="40"/>
      <c r="T36" s="43" t="str">
        <f t="shared" si="3"/>
        <v/>
      </c>
      <c r="U36" s="40"/>
      <c r="V36" s="43" t="str">
        <f t="shared" si="4"/>
        <v/>
      </c>
      <c r="W36" s="40"/>
      <c r="X36" s="43" t="str">
        <f t="shared" si="5"/>
        <v/>
      </c>
      <c r="Y36" s="40"/>
      <c r="Z36" s="43" t="str">
        <f t="shared" si="6"/>
        <v/>
      </c>
      <c r="AA36" s="40"/>
      <c r="AB36" s="43" t="str">
        <f t="shared" si="7"/>
        <v/>
      </c>
      <c r="AC36" s="40"/>
      <c r="AD36" s="43" t="str">
        <f t="shared" si="8"/>
        <v/>
      </c>
      <c r="AE36" s="40"/>
      <c r="AF36" s="43" t="str">
        <f t="shared" ref="AF36" si="20">IF((ISERROR((AE36/$H36)*100)), "", IF(AND(NOT(ISERROR((AE36/$H36)*100)),((AE36/$H36)*100) &lt;&gt; 0), (AE36/$H36)*100, ""))</f>
        <v/>
      </c>
      <c r="AG36" s="40"/>
      <c r="AH36" s="43" t="str">
        <f t="shared" ref="AH36" si="21">IF((ISERROR((AG36/$H36)*100)), "", IF(AND(NOT(ISERROR((AG36/$H36)*100)),((AG36/$H36)*100) &lt;&gt; 0), (AG36/$H36)*100, ""))</f>
        <v/>
      </c>
      <c r="AI36" s="40"/>
      <c r="AJ36" s="43" t="str">
        <f t="shared" ref="AJ36" si="22">IF((ISERROR((AI36/$H36)*100)), "", IF(AND(NOT(ISERROR((AI36/$H36)*100)),((AI36/$H36)*100) &lt;&gt; 0), (AI36/$H36)*100, ""))</f>
        <v/>
      </c>
      <c r="AK36" s="40"/>
      <c r="AL36" s="43" t="str">
        <f t="shared" ref="AL36" si="23">IF((ISERROR((AK36/$H36)*100)), "", IF(AND(NOT(ISERROR((AK36/$H36)*100)),((AK36/$H36)*100) &lt;&gt; 0), (AK36/$H36)*100, ""))</f>
        <v/>
      </c>
      <c r="AM36" s="40"/>
      <c r="AN36" s="43" t="str">
        <f t="shared" si="10"/>
        <v/>
      </c>
      <c r="AO36" s="40"/>
      <c r="AP36" s="43" t="str">
        <f t="shared" si="11"/>
        <v/>
      </c>
      <c r="AQ36" s="40"/>
      <c r="AR36" s="43" t="str">
        <f t="shared" si="12"/>
        <v/>
      </c>
      <c r="AS36" s="40"/>
      <c r="AT36" s="43" t="str">
        <f t="shared" si="13"/>
        <v/>
      </c>
      <c r="AU36" s="40"/>
      <c r="AV36" s="43" t="str">
        <f t="shared" si="14"/>
        <v/>
      </c>
      <c r="AW36" s="66"/>
      <c r="AX36" s="43" t="str">
        <f t="shared" si="15"/>
        <v/>
      </c>
      <c r="AY36" s="66"/>
      <c r="AZ36" s="43" t="str">
        <f t="shared" si="16"/>
        <v/>
      </c>
      <c r="BA36" s="24" t="s">
        <v>196</v>
      </c>
    </row>
    <row r="37" spans="1:53" ht="20" customHeight="1" x14ac:dyDescent="0.2">
      <c r="A37" s="67"/>
      <c r="B37" s="95"/>
      <c r="C37" s="25" t="s">
        <v>86</v>
      </c>
      <c r="D37" s="24" t="s">
        <v>54</v>
      </c>
      <c r="E37" s="24" t="s">
        <v>55</v>
      </c>
      <c r="F37" s="25">
        <v>1996</v>
      </c>
      <c r="G37" s="25">
        <v>82</v>
      </c>
      <c r="H37" s="29">
        <v>15</v>
      </c>
      <c r="I37" s="28" t="s">
        <v>189</v>
      </c>
      <c r="J37" s="39" t="s">
        <v>191</v>
      </c>
      <c r="K37" s="40">
        <v>3</v>
      </c>
      <c r="L37" s="43">
        <f t="shared" si="17"/>
        <v>20</v>
      </c>
      <c r="M37" s="40"/>
      <c r="N37" s="43" t="str">
        <f t="shared" si="1"/>
        <v/>
      </c>
      <c r="O37" s="40"/>
      <c r="P37" s="43" t="str">
        <f t="shared" si="1"/>
        <v/>
      </c>
      <c r="Q37" s="40"/>
      <c r="R37" s="43" t="str">
        <f t="shared" si="2"/>
        <v/>
      </c>
      <c r="S37" s="40"/>
      <c r="T37" s="43" t="str">
        <f t="shared" si="3"/>
        <v/>
      </c>
      <c r="U37" s="40"/>
      <c r="V37" s="43" t="str">
        <f t="shared" si="4"/>
        <v/>
      </c>
      <c r="W37" s="40">
        <v>1</v>
      </c>
      <c r="X37" s="43">
        <f t="shared" si="5"/>
        <v>6.666666666666667</v>
      </c>
      <c r="Y37" s="40"/>
      <c r="Z37" s="43" t="str">
        <f t="shared" si="6"/>
        <v/>
      </c>
      <c r="AA37" s="40"/>
      <c r="AB37" s="43" t="str">
        <f t="shared" si="7"/>
        <v/>
      </c>
      <c r="AC37" s="40"/>
      <c r="AD37" s="43" t="str">
        <f t="shared" si="8"/>
        <v/>
      </c>
      <c r="AE37" s="40"/>
      <c r="AF37" s="43" t="str">
        <f t="shared" si="9"/>
        <v/>
      </c>
      <c r="AG37" s="40"/>
      <c r="AH37" s="43" t="str">
        <f t="shared" si="9"/>
        <v/>
      </c>
      <c r="AI37" s="40"/>
      <c r="AJ37" s="43" t="str">
        <f t="shared" si="9"/>
        <v/>
      </c>
      <c r="AK37" s="40"/>
      <c r="AL37" s="43" t="str">
        <f t="shared" si="9"/>
        <v/>
      </c>
      <c r="AM37" s="40">
        <v>1</v>
      </c>
      <c r="AN37" s="43">
        <f t="shared" si="10"/>
        <v>6.666666666666667</v>
      </c>
      <c r="AO37" s="40"/>
      <c r="AP37" s="43" t="str">
        <f t="shared" si="11"/>
        <v/>
      </c>
      <c r="AQ37" s="40"/>
      <c r="AR37" s="43" t="str">
        <f t="shared" si="12"/>
        <v/>
      </c>
      <c r="AS37" s="40"/>
      <c r="AT37" s="43" t="str">
        <f t="shared" si="13"/>
        <v/>
      </c>
      <c r="AU37" s="40"/>
      <c r="AV37" s="43" t="str">
        <f t="shared" si="14"/>
        <v/>
      </c>
      <c r="AW37" s="37">
        <v>1</v>
      </c>
      <c r="AX37" s="43">
        <f t="shared" si="15"/>
        <v>6.666666666666667</v>
      </c>
      <c r="AY37" s="66"/>
      <c r="AZ37" s="43" t="str">
        <f t="shared" si="16"/>
        <v/>
      </c>
      <c r="BA37" s="24" t="s">
        <v>385</v>
      </c>
    </row>
    <row r="38" spans="1:53" ht="20" customHeight="1" x14ac:dyDescent="0.2">
      <c r="A38" s="67"/>
      <c r="B38" s="96"/>
      <c r="C38" s="25" t="s">
        <v>86</v>
      </c>
      <c r="D38" s="24" t="s">
        <v>307</v>
      </c>
      <c r="E38" s="24" t="s">
        <v>308</v>
      </c>
      <c r="F38" s="25">
        <v>2016</v>
      </c>
      <c r="H38" s="29">
        <v>49</v>
      </c>
      <c r="I38" s="28" t="s">
        <v>386</v>
      </c>
      <c r="J38" s="39" t="s">
        <v>213</v>
      </c>
      <c r="K38" s="40"/>
      <c r="L38" s="43" t="str">
        <f t="shared" si="17"/>
        <v/>
      </c>
      <c r="M38" s="40"/>
      <c r="N38" s="43" t="str">
        <f t="shared" si="1"/>
        <v/>
      </c>
      <c r="O38" s="40"/>
      <c r="P38" s="43" t="str">
        <f t="shared" si="1"/>
        <v/>
      </c>
      <c r="Q38" s="40"/>
      <c r="R38" s="43" t="str">
        <f t="shared" si="2"/>
        <v/>
      </c>
      <c r="S38" s="40"/>
      <c r="T38" s="43" t="str">
        <f t="shared" si="3"/>
        <v/>
      </c>
      <c r="U38" s="40"/>
      <c r="V38" s="43" t="str">
        <f t="shared" si="4"/>
        <v/>
      </c>
      <c r="W38" s="40"/>
      <c r="X38" s="43" t="str">
        <f t="shared" si="5"/>
        <v/>
      </c>
      <c r="Y38" s="40"/>
      <c r="Z38" s="43" t="str">
        <f t="shared" si="6"/>
        <v/>
      </c>
      <c r="AA38" s="40"/>
      <c r="AB38" s="43" t="str">
        <f t="shared" si="7"/>
        <v/>
      </c>
      <c r="AC38" s="40"/>
      <c r="AD38" s="43" t="str">
        <f t="shared" si="8"/>
        <v/>
      </c>
      <c r="AE38" s="40"/>
      <c r="AF38" s="43" t="str">
        <f t="shared" si="9"/>
        <v/>
      </c>
      <c r="AG38" s="40"/>
      <c r="AH38" s="43" t="str">
        <f t="shared" si="9"/>
        <v/>
      </c>
      <c r="AI38" s="40"/>
      <c r="AJ38" s="43" t="str">
        <f t="shared" si="9"/>
        <v/>
      </c>
      <c r="AK38" s="40"/>
      <c r="AL38" s="43" t="str">
        <f t="shared" si="9"/>
        <v/>
      </c>
      <c r="AM38" s="40"/>
      <c r="AN38" s="43" t="str">
        <f t="shared" si="10"/>
        <v/>
      </c>
      <c r="AO38" s="40"/>
      <c r="AP38" s="43" t="str">
        <f t="shared" si="11"/>
        <v/>
      </c>
      <c r="AQ38" s="40"/>
      <c r="AR38" s="43" t="str">
        <f t="shared" si="12"/>
        <v/>
      </c>
      <c r="AS38" s="40"/>
      <c r="AT38" s="43" t="str">
        <f t="shared" si="13"/>
        <v/>
      </c>
      <c r="AU38" s="40"/>
      <c r="AV38" s="43" t="str">
        <f t="shared" si="14"/>
        <v/>
      </c>
      <c r="AW38" s="38"/>
      <c r="AX38" s="43" t="str">
        <f t="shared" si="15"/>
        <v/>
      </c>
      <c r="AY38" s="66"/>
      <c r="AZ38" s="43" t="str">
        <f t="shared" si="16"/>
        <v/>
      </c>
      <c r="BA38" s="24" t="s">
        <v>387</v>
      </c>
    </row>
    <row r="39" spans="1:53" ht="20" customHeight="1" x14ac:dyDescent="0.2">
      <c r="A39" s="68"/>
      <c r="B39" s="96"/>
      <c r="C39" s="25" t="s">
        <v>86</v>
      </c>
      <c r="D39" s="24" t="s">
        <v>87</v>
      </c>
      <c r="E39" s="24" t="s">
        <v>56</v>
      </c>
      <c r="F39" s="25">
        <v>2014</v>
      </c>
      <c r="G39" s="25">
        <v>41</v>
      </c>
      <c r="H39" s="29">
        <v>20</v>
      </c>
      <c r="I39" s="28" t="s">
        <v>192</v>
      </c>
      <c r="J39" s="39"/>
      <c r="K39" s="40"/>
      <c r="L39" s="43" t="str">
        <f t="shared" si="17"/>
        <v/>
      </c>
      <c r="M39" s="40"/>
      <c r="N39" s="43" t="str">
        <f t="shared" si="1"/>
        <v/>
      </c>
      <c r="O39" s="40"/>
      <c r="P39" s="43" t="str">
        <f t="shared" si="1"/>
        <v/>
      </c>
      <c r="Q39" s="40"/>
      <c r="R39" s="43" t="str">
        <f t="shared" si="2"/>
        <v/>
      </c>
      <c r="S39" s="40"/>
      <c r="T39" s="43" t="str">
        <f t="shared" si="3"/>
        <v/>
      </c>
      <c r="U39" s="45"/>
      <c r="V39" s="46" t="str">
        <f t="shared" si="4"/>
        <v/>
      </c>
      <c r="W39" s="40"/>
      <c r="X39" s="43" t="str">
        <f t="shared" si="5"/>
        <v/>
      </c>
      <c r="Y39" s="40"/>
      <c r="Z39" s="43" t="str">
        <f t="shared" si="6"/>
        <v/>
      </c>
      <c r="AA39" s="40"/>
      <c r="AB39" s="43" t="str">
        <f t="shared" si="7"/>
        <v/>
      </c>
      <c r="AC39" s="40"/>
      <c r="AD39" s="43" t="str">
        <f t="shared" si="8"/>
        <v/>
      </c>
      <c r="AE39" s="40"/>
      <c r="AF39" s="43" t="str">
        <f t="shared" si="9"/>
        <v/>
      </c>
      <c r="AG39" s="40"/>
      <c r="AH39" s="43" t="str">
        <f t="shared" si="9"/>
        <v/>
      </c>
      <c r="AI39" s="40"/>
      <c r="AJ39" s="43" t="str">
        <f t="shared" si="9"/>
        <v/>
      </c>
      <c r="AK39" s="40"/>
      <c r="AL39" s="43" t="str">
        <f t="shared" si="9"/>
        <v/>
      </c>
      <c r="AM39" s="40"/>
      <c r="AN39" s="43" t="str">
        <f t="shared" si="10"/>
        <v/>
      </c>
      <c r="AO39" s="40"/>
      <c r="AP39" s="43" t="str">
        <f t="shared" si="11"/>
        <v/>
      </c>
      <c r="AQ39" s="40"/>
      <c r="AR39" s="43" t="str">
        <f t="shared" si="12"/>
        <v/>
      </c>
      <c r="AS39" s="40"/>
      <c r="AT39" s="43" t="str">
        <f t="shared" si="13"/>
        <v/>
      </c>
      <c r="AU39" s="40"/>
      <c r="AV39" s="43" t="str">
        <f t="shared" si="14"/>
        <v/>
      </c>
      <c r="AW39" s="37"/>
      <c r="AX39" s="43" t="str">
        <f t="shared" si="15"/>
        <v/>
      </c>
      <c r="AY39" s="66"/>
      <c r="AZ39" s="43" t="str">
        <f t="shared" si="16"/>
        <v/>
      </c>
      <c r="BA39" s="24" t="s">
        <v>388</v>
      </c>
    </row>
    <row r="40" spans="1:53" ht="20" customHeight="1" x14ac:dyDescent="0.2">
      <c r="A40" s="68"/>
      <c r="B40" s="25"/>
      <c r="C40" s="25" t="s">
        <v>86</v>
      </c>
      <c r="D40" s="24" t="s">
        <v>57</v>
      </c>
      <c r="E40" s="24" t="s">
        <v>58</v>
      </c>
      <c r="F40" s="25">
        <v>2006</v>
      </c>
      <c r="G40" s="25">
        <v>132</v>
      </c>
      <c r="H40" s="29">
        <v>7</v>
      </c>
      <c r="I40" s="28"/>
      <c r="J40" s="39"/>
      <c r="K40" s="40"/>
      <c r="L40" s="43" t="str">
        <f t="shared" si="17"/>
        <v/>
      </c>
      <c r="M40" s="40"/>
      <c r="N40" s="43" t="str">
        <f t="shared" si="1"/>
        <v/>
      </c>
      <c r="O40" s="40"/>
      <c r="P40" s="43" t="str">
        <f t="shared" si="1"/>
        <v/>
      </c>
      <c r="Q40" s="40"/>
      <c r="R40" s="43" t="str">
        <f t="shared" si="2"/>
        <v/>
      </c>
      <c r="S40" s="40"/>
      <c r="T40" s="43" t="str">
        <f t="shared" si="3"/>
        <v/>
      </c>
      <c r="U40" s="40"/>
      <c r="V40" s="43" t="str">
        <f t="shared" si="4"/>
        <v/>
      </c>
      <c r="W40" s="40"/>
      <c r="X40" s="43" t="str">
        <f t="shared" si="5"/>
        <v/>
      </c>
      <c r="Y40" s="40"/>
      <c r="Z40" s="43" t="str">
        <f t="shared" si="6"/>
        <v/>
      </c>
      <c r="AA40" s="40"/>
      <c r="AB40" s="43" t="str">
        <f t="shared" si="7"/>
        <v/>
      </c>
      <c r="AC40" s="40"/>
      <c r="AD40" s="43" t="str">
        <f t="shared" si="8"/>
        <v/>
      </c>
      <c r="AE40" s="40"/>
      <c r="AF40" s="43" t="str">
        <f t="shared" si="9"/>
        <v/>
      </c>
      <c r="AG40" s="40"/>
      <c r="AH40" s="43" t="str">
        <f t="shared" si="9"/>
        <v/>
      </c>
      <c r="AI40" s="40"/>
      <c r="AJ40" s="43" t="str">
        <f t="shared" si="9"/>
        <v/>
      </c>
      <c r="AK40" s="40"/>
      <c r="AL40" s="43" t="str">
        <f t="shared" si="9"/>
        <v/>
      </c>
      <c r="AM40" s="40"/>
      <c r="AN40" s="43" t="str">
        <f t="shared" si="10"/>
        <v/>
      </c>
      <c r="AO40" s="40"/>
      <c r="AP40" s="43" t="str">
        <f t="shared" si="11"/>
        <v/>
      </c>
      <c r="AQ40" s="40"/>
      <c r="AR40" s="43" t="str">
        <f t="shared" si="12"/>
        <v/>
      </c>
      <c r="AS40" s="40"/>
      <c r="AT40" s="43" t="str">
        <f t="shared" si="13"/>
        <v/>
      </c>
      <c r="AU40" s="40"/>
      <c r="AV40" s="43" t="str">
        <f t="shared" si="14"/>
        <v/>
      </c>
      <c r="AW40" s="37"/>
      <c r="AX40" s="43" t="str">
        <f t="shared" si="15"/>
        <v/>
      </c>
      <c r="AY40" s="66"/>
      <c r="AZ40" s="43" t="str">
        <f t="shared" si="16"/>
        <v/>
      </c>
      <c r="BA40" s="24" t="s">
        <v>389</v>
      </c>
    </row>
    <row r="41" spans="1:53" ht="20" customHeight="1" x14ac:dyDescent="0.2">
      <c r="A41" s="67"/>
      <c r="B41" s="96"/>
      <c r="C41" s="25" t="s">
        <v>86</v>
      </c>
      <c r="D41" s="24" t="s">
        <v>59</v>
      </c>
      <c r="E41" s="24" t="s">
        <v>60</v>
      </c>
      <c r="F41" s="25">
        <v>2009</v>
      </c>
      <c r="G41" s="25">
        <v>49</v>
      </c>
      <c r="H41" s="29">
        <v>22</v>
      </c>
      <c r="I41" s="28" t="s">
        <v>189</v>
      </c>
      <c r="J41" s="39" t="s">
        <v>209</v>
      </c>
      <c r="K41" s="40"/>
      <c r="L41" s="43" t="str">
        <f t="shared" si="17"/>
        <v/>
      </c>
      <c r="M41" s="40"/>
      <c r="N41" s="43" t="str">
        <f t="shared" si="1"/>
        <v/>
      </c>
      <c r="O41" s="40"/>
      <c r="P41" s="43" t="str">
        <f t="shared" si="1"/>
        <v/>
      </c>
      <c r="Q41" s="40"/>
      <c r="R41" s="43" t="str">
        <f t="shared" si="2"/>
        <v/>
      </c>
      <c r="S41" s="40"/>
      <c r="T41" s="43" t="str">
        <f t="shared" si="3"/>
        <v/>
      </c>
      <c r="U41" s="40"/>
      <c r="V41" s="43" t="str">
        <f t="shared" si="4"/>
        <v/>
      </c>
      <c r="W41" s="40"/>
      <c r="X41" s="43" t="str">
        <f t="shared" si="5"/>
        <v/>
      </c>
      <c r="Y41" s="40"/>
      <c r="Z41" s="43" t="str">
        <f t="shared" si="6"/>
        <v/>
      </c>
      <c r="AA41" s="40"/>
      <c r="AB41" s="43" t="str">
        <f t="shared" si="7"/>
        <v/>
      </c>
      <c r="AC41" s="40"/>
      <c r="AD41" s="43" t="str">
        <f t="shared" si="8"/>
        <v/>
      </c>
      <c r="AE41" s="40"/>
      <c r="AF41" s="43" t="str">
        <f t="shared" si="9"/>
        <v/>
      </c>
      <c r="AG41" s="40"/>
      <c r="AH41" s="43" t="str">
        <f t="shared" si="9"/>
        <v/>
      </c>
      <c r="AI41" s="40"/>
      <c r="AJ41" s="43" t="str">
        <f t="shared" si="9"/>
        <v/>
      </c>
      <c r="AK41" s="40"/>
      <c r="AL41" s="43" t="str">
        <f t="shared" si="9"/>
        <v/>
      </c>
      <c r="AM41" s="40"/>
      <c r="AN41" s="43" t="str">
        <f t="shared" si="10"/>
        <v/>
      </c>
      <c r="AO41" s="40"/>
      <c r="AP41" s="43" t="str">
        <f t="shared" si="11"/>
        <v/>
      </c>
      <c r="AQ41" s="40"/>
      <c r="AR41" s="43" t="str">
        <f t="shared" si="12"/>
        <v/>
      </c>
      <c r="AS41" s="40"/>
      <c r="AT41" s="43" t="str">
        <f t="shared" si="13"/>
        <v/>
      </c>
      <c r="AU41" s="40"/>
      <c r="AV41" s="43" t="str">
        <f t="shared" si="14"/>
        <v/>
      </c>
      <c r="AW41" s="37"/>
      <c r="AX41" s="43" t="str">
        <f t="shared" si="15"/>
        <v/>
      </c>
      <c r="AY41" s="66"/>
      <c r="AZ41" s="43" t="str">
        <f t="shared" si="16"/>
        <v/>
      </c>
      <c r="BA41" s="24" t="s">
        <v>194</v>
      </c>
    </row>
    <row r="42" spans="1:53" ht="20" customHeight="1" x14ac:dyDescent="0.2">
      <c r="A42" s="68"/>
      <c r="B42" s="96"/>
      <c r="C42" s="25" t="s">
        <v>86</v>
      </c>
      <c r="D42" s="24" t="s">
        <v>61</v>
      </c>
      <c r="E42" s="24" t="s">
        <v>62</v>
      </c>
      <c r="F42" s="25">
        <v>2006</v>
      </c>
      <c r="G42" s="25">
        <v>144</v>
      </c>
      <c r="H42" s="29">
        <v>25</v>
      </c>
      <c r="I42" s="28"/>
      <c r="J42" s="39" t="s">
        <v>210</v>
      </c>
      <c r="K42" s="40"/>
      <c r="L42" s="43" t="str">
        <f t="shared" si="17"/>
        <v/>
      </c>
      <c r="M42" s="40"/>
      <c r="N42" s="43" t="str">
        <f t="shared" si="1"/>
        <v/>
      </c>
      <c r="O42" s="40"/>
      <c r="P42" s="43" t="str">
        <f t="shared" si="1"/>
        <v/>
      </c>
      <c r="Q42" s="40"/>
      <c r="R42" s="43" t="str">
        <f t="shared" si="2"/>
        <v/>
      </c>
      <c r="S42" s="40"/>
      <c r="T42" s="43" t="str">
        <f t="shared" si="3"/>
        <v/>
      </c>
      <c r="U42" s="40"/>
      <c r="V42" s="43" t="str">
        <f t="shared" si="4"/>
        <v/>
      </c>
      <c r="W42" s="40"/>
      <c r="X42" s="43" t="str">
        <f t="shared" si="5"/>
        <v/>
      </c>
      <c r="Y42" s="40"/>
      <c r="Z42" s="43" t="str">
        <f t="shared" si="6"/>
        <v/>
      </c>
      <c r="AA42" s="40"/>
      <c r="AB42" s="43" t="str">
        <f t="shared" si="7"/>
        <v/>
      </c>
      <c r="AC42" s="40"/>
      <c r="AD42" s="43" t="str">
        <f t="shared" si="8"/>
        <v/>
      </c>
      <c r="AE42" s="40"/>
      <c r="AF42" s="43" t="str">
        <f t="shared" si="9"/>
        <v/>
      </c>
      <c r="AG42" s="40"/>
      <c r="AH42" s="43" t="str">
        <f t="shared" si="9"/>
        <v/>
      </c>
      <c r="AI42" s="40"/>
      <c r="AJ42" s="43" t="str">
        <f t="shared" si="9"/>
        <v/>
      </c>
      <c r="AK42" s="40"/>
      <c r="AL42" s="43" t="str">
        <f t="shared" si="9"/>
        <v/>
      </c>
      <c r="AM42" s="40"/>
      <c r="AN42" s="43" t="str">
        <f t="shared" si="10"/>
        <v/>
      </c>
      <c r="AO42" s="40"/>
      <c r="AP42" s="43" t="str">
        <f t="shared" si="11"/>
        <v/>
      </c>
      <c r="AQ42" s="40"/>
      <c r="AR42" s="43" t="str">
        <f t="shared" si="12"/>
        <v/>
      </c>
      <c r="AS42" s="40"/>
      <c r="AT42" s="43" t="str">
        <f t="shared" si="13"/>
        <v/>
      </c>
      <c r="AU42" s="40"/>
      <c r="AV42" s="43" t="str">
        <f t="shared" si="14"/>
        <v/>
      </c>
      <c r="AW42" s="37"/>
      <c r="AX42" s="43" t="str">
        <f t="shared" si="15"/>
        <v/>
      </c>
      <c r="AY42" s="66"/>
      <c r="AZ42" s="43" t="str">
        <f t="shared" si="16"/>
        <v/>
      </c>
      <c r="BA42" s="24" t="s">
        <v>196</v>
      </c>
    </row>
    <row r="43" spans="1:53" ht="20" customHeight="1" x14ac:dyDescent="0.2">
      <c r="A43" s="68"/>
      <c r="B43" s="25"/>
      <c r="D43" s="24" t="s">
        <v>309</v>
      </c>
      <c r="E43" s="24" t="s">
        <v>310</v>
      </c>
      <c r="F43" s="25">
        <v>2004</v>
      </c>
      <c r="H43" s="29"/>
      <c r="I43" s="28"/>
      <c r="J43" s="39"/>
      <c r="K43" s="40"/>
      <c r="L43" s="43" t="str">
        <f t="shared" si="17"/>
        <v/>
      </c>
      <c r="M43" s="40"/>
      <c r="N43" s="43" t="str">
        <f t="shared" si="1"/>
        <v/>
      </c>
      <c r="O43" s="40"/>
      <c r="P43" s="43" t="str">
        <f t="shared" si="1"/>
        <v/>
      </c>
      <c r="Q43" s="40"/>
      <c r="R43" s="43" t="str">
        <f t="shared" si="2"/>
        <v/>
      </c>
      <c r="S43" s="40"/>
      <c r="T43" s="43" t="str">
        <f t="shared" si="3"/>
        <v/>
      </c>
      <c r="U43" s="40"/>
      <c r="V43" s="43" t="str">
        <f t="shared" si="4"/>
        <v/>
      </c>
      <c r="W43" s="40"/>
      <c r="X43" s="43" t="str">
        <f t="shared" si="5"/>
        <v/>
      </c>
      <c r="Y43" s="40"/>
      <c r="Z43" s="43" t="str">
        <f t="shared" si="6"/>
        <v/>
      </c>
      <c r="AA43" s="40"/>
      <c r="AB43" s="43" t="str">
        <f t="shared" si="7"/>
        <v/>
      </c>
      <c r="AC43" s="40"/>
      <c r="AD43" s="43" t="str">
        <f t="shared" si="8"/>
        <v/>
      </c>
      <c r="AE43" s="40"/>
      <c r="AF43" s="43" t="str">
        <f t="shared" si="9"/>
        <v/>
      </c>
      <c r="AG43" s="40"/>
      <c r="AH43" s="43" t="str">
        <f t="shared" si="9"/>
        <v/>
      </c>
      <c r="AI43" s="40"/>
      <c r="AJ43" s="43" t="str">
        <f t="shared" si="9"/>
        <v/>
      </c>
      <c r="AK43" s="40"/>
      <c r="AL43" s="43" t="str">
        <f t="shared" si="9"/>
        <v/>
      </c>
      <c r="AM43" s="40"/>
      <c r="AN43" s="43" t="str">
        <f t="shared" si="10"/>
        <v/>
      </c>
      <c r="AO43" s="40"/>
      <c r="AP43" s="43" t="str">
        <f t="shared" si="11"/>
        <v/>
      </c>
      <c r="AQ43" s="40"/>
      <c r="AR43" s="43" t="str">
        <f t="shared" si="12"/>
        <v/>
      </c>
      <c r="AS43" s="40"/>
      <c r="AT43" s="43" t="str">
        <f t="shared" si="13"/>
        <v/>
      </c>
      <c r="AU43" s="40"/>
      <c r="AV43" s="43" t="str">
        <f t="shared" si="14"/>
        <v/>
      </c>
      <c r="AW43" s="38"/>
      <c r="AX43" s="43" t="str">
        <f t="shared" si="15"/>
        <v/>
      </c>
      <c r="AY43" s="66"/>
      <c r="AZ43" s="43" t="str">
        <f t="shared" si="16"/>
        <v/>
      </c>
    </row>
    <row r="44" spans="1:53" ht="20" customHeight="1" x14ac:dyDescent="0.2">
      <c r="A44" s="67"/>
      <c r="B44" s="95"/>
      <c r="C44" s="25" t="s">
        <v>86</v>
      </c>
      <c r="D44" s="24" t="s">
        <v>311</v>
      </c>
      <c r="E44" s="24" t="s">
        <v>312</v>
      </c>
      <c r="F44" s="25">
        <v>2014</v>
      </c>
      <c r="H44" s="29">
        <v>39</v>
      </c>
      <c r="I44" s="28"/>
      <c r="J44" s="39" t="s">
        <v>384</v>
      </c>
      <c r="K44" s="40"/>
      <c r="L44" s="43" t="str">
        <f t="shared" si="17"/>
        <v/>
      </c>
      <c r="M44" s="40"/>
      <c r="N44" s="43" t="str">
        <f t="shared" si="1"/>
        <v/>
      </c>
      <c r="O44" s="40">
        <v>3</v>
      </c>
      <c r="P44" s="43">
        <f t="shared" si="1"/>
        <v>7.6923076923076925</v>
      </c>
      <c r="Q44" s="40">
        <v>8</v>
      </c>
      <c r="R44" s="43">
        <f t="shared" si="2"/>
        <v>20.512820512820511</v>
      </c>
      <c r="S44" s="40"/>
      <c r="T44" s="43" t="str">
        <f t="shared" si="3"/>
        <v/>
      </c>
      <c r="U44" s="40">
        <v>22</v>
      </c>
      <c r="V44" s="43">
        <f t="shared" si="4"/>
        <v>56.410256410256409</v>
      </c>
      <c r="W44" s="40">
        <v>22</v>
      </c>
      <c r="X44" s="43">
        <f t="shared" si="5"/>
        <v>56.410256410256409</v>
      </c>
      <c r="Y44" s="40">
        <v>23</v>
      </c>
      <c r="Z44" s="43">
        <f t="shared" si="6"/>
        <v>58.974358974358978</v>
      </c>
      <c r="AA44" s="40"/>
      <c r="AB44" s="43" t="str">
        <f t="shared" si="7"/>
        <v/>
      </c>
      <c r="AC44" s="40"/>
      <c r="AD44" s="43" t="str">
        <f t="shared" si="8"/>
        <v/>
      </c>
      <c r="AE44" s="40"/>
      <c r="AF44" s="43" t="str">
        <f t="shared" si="9"/>
        <v/>
      </c>
      <c r="AG44" s="40"/>
      <c r="AH44" s="43" t="str">
        <f t="shared" si="9"/>
        <v/>
      </c>
      <c r="AI44" s="40"/>
      <c r="AJ44" s="43" t="str">
        <f t="shared" si="9"/>
        <v/>
      </c>
      <c r="AK44" s="40"/>
      <c r="AL44" s="43" t="str">
        <f t="shared" si="9"/>
        <v/>
      </c>
      <c r="AM44" s="40"/>
      <c r="AN44" s="43" t="str">
        <f t="shared" si="10"/>
        <v/>
      </c>
      <c r="AO44" s="40"/>
      <c r="AP44" s="43" t="str">
        <f t="shared" si="11"/>
        <v/>
      </c>
      <c r="AQ44" s="40"/>
      <c r="AR44" s="43" t="str">
        <f t="shared" si="12"/>
        <v/>
      </c>
      <c r="AS44" s="40"/>
      <c r="AT44" s="43" t="str">
        <f t="shared" si="13"/>
        <v/>
      </c>
      <c r="AU44" s="40"/>
      <c r="AV44" s="43" t="str">
        <f t="shared" si="14"/>
        <v/>
      </c>
      <c r="AW44" s="38"/>
      <c r="AX44" s="43" t="str">
        <f t="shared" si="15"/>
        <v/>
      </c>
      <c r="AY44" s="66"/>
      <c r="AZ44" s="43" t="str">
        <f t="shared" si="16"/>
        <v/>
      </c>
      <c r="BA44" s="24" t="s">
        <v>390</v>
      </c>
    </row>
    <row r="45" spans="1:53" ht="20" customHeight="1" x14ac:dyDescent="0.2">
      <c r="A45" s="67"/>
      <c r="B45" s="25"/>
      <c r="C45" s="25" t="s">
        <v>86</v>
      </c>
      <c r="D45" s="24" t="s">
        <v>313</v>
      </c>
      <c r="E45" s="24" t="s">
        <v>314</v>
      </c>
      <c r="F45" s="25">
        <v>2015</v>
      </c>
      <c r="H45" s="29">
        <v>8</v>
      </c>
      <c r="I45" s="28" t="s">
        <v>238</v>
      </c>
      <c r="J45" s="39" t="s">
        <v>391</v>
      </c>
      <c r="K45" s="40"/>
      <c r="L45" s="43" t="str">
        <f t="shared" si="17"/>
        <v/>
      </c>
      <c r="M45" s="40"/>
      <c r="N45" s="43" t="str">
        <f t="shared" si="1"/>
        <v/>
      </c>
      <c r="O45" s="40"/>
      <c r="P45" s="43" t="str">
        <f t="shared" si="1"/>
        <v/>
      </c>
      <c r="Q45" s="40"/>
      <c r="R45" s="43" t="str">
        <f t="shared" si="2"/>
        <v/>
      </c>
      <c r="S45" s="40"/>
      <c r="T45" s="43" t="str">
        <f t="shared" si="3"/>
        <v/>
      </c>
      <c r="U45" s="40">
        <v>2</v>
      </c>
      <c r="V45" s="43">
        <f t="shared" si="4"/>
        <v>25</v>
      </c>
      <c r="W45" s="40"/>
      <c r="X45" s="43" t="str">
        <f t="shared" si="5"/>
        <v/>
      </c>
      <c r="Y45" s="40"/>
      <c r="Z45" s="43" t="str">
        <f t="shared" si="6"/>
        <v/>
      </c>
      <c r="AA45" s="40"/>
      <c r="AB45" s="43" t="str">
        <f t="shared" si="7"/>
        <v/>
      </c>
      <c r="AC45" s="40"/>
      <c r="AD45" s="43" t="str">
        <f t="shared" si="8"/>
        <v/>
      </c>
      <c r="AE45" s="40"/>
      <c r="AF45" s="43" t="str">
        <f t="shared" si="9"/>
        <v/>
      </c>
      <c r="AG45" s="40"/>
      <c r="AH45" s="43" t="str">
        <f t="shared" si="9"/>
        <v/>
      </c>
      <c r="AI45" s="40"/>
      <c r="AJ45" s="43" t="str">
        <f t="shared" si="9"/>
        <v/>
      </c>
      <c r="AK45" s="40"/>
      <c r="AL45" s="43" t="str">
        <f t="shared" si="9"/>
        <v/>
      </c>
      <c r="AM45" s="40"/>
      <c r="AN45" s="43" t="str">
        <f t="shared" si="10"/>
        <v/>
      </c>
      <c r="AO45" s="40"/>
      <c r="AP45" s="43" t="str">
        <f t="shared" si="11"/>
        <v/>
      </c>
      <c r="AQ45" s="40"/>
      <c r="AR45" s="43" t="str">
        <f t="shared" si="12"/>
        <v/>
      </c>
      <c r="AS45" s="40"/>
      <c r="AT45" s="43" t="str">
        <f t="shared" si="13"/>
        <v/>
      </c>
      <c r="AU45" s="40"/>
      <c r="AV45" s="43" t="str">
        <f t="shared" si="14"/>
        <v/>
      </c>
      <c r="AW45" s="38"/>
      <c r="AX45" s="43" t="str">
        <f t="shared" si="15"/>
        <v/>
      </c>
      <c r="AY45" s="66"/>
      <c r="AZ45" s="43" t="str">
        <f t="shared" si="16"/>
        <v/>
      </c>
      <c r="BA45" s="24" t="s">
        <v>392</v>
      </c>
    </row>
    <row r="46" spans="1:53" ht="20" customHeight="1" x14ac:dyDescent="0.2">
      <c r="A46" s="68"/>
      <c r="B46" s="95"/>
      <c r="C46" s="25" t="s">
        <v>86</v>
      </c>
      <c r="D46" s="24" t="s">
        <v>315</v>
      </c>
      <c r="E46" s="24" t="s">
        <v>316</v>
      </c>
      <c r="F46" s="25">
        <v>2001</v>
      </c>
      <c r="H46" s="29">
        <v>9</v>
      </c>
      <c r="I46" s="28"/>
      <c r="J46" s="39" t="s">
        <v>393</v>
      </c>
      <c r="K46" s="40"/>
      <c r="L46" s="43" t="str">
        <f t="shared" si="17"/>
        <v/>
      </c>
      <c r="M46" s="40"/>
      <c r="N46" s="43" t="str">
        <f t="shared" si="1"/>
        <v/>
      </c>
      <c r="O46" s="40"/>
      <c r="P46" s="43" t="str">
        <f t="shared" si="1"/>
        <v/>
      </c>
      <c r="Q46" s="40"/>
      <c r="R46" s="43" t="str">
        <f t="shared" si="2"/>
        <v/>
      </c>
      <c r="S46" s="40"/>
      <c r="T46" s="43" t="str">
        <f t="shared" si="3"/>
        <v/>
      </c>
      <c r="U46" s="40"/>
      <c r="V46" s="43" t="str">
        <f t="shared" si="4"/>
        <v/>
      </c>
      <c r="W46" s="40"/>
      <c r="X46" s="43" t="str">
        <f t="shared" si="5"/>
        <v/>
      </c>
      <c r="Y46" s="40"/>
      <c r="Z46" s="43" t="str">
        <f t="shared" si="6"/>
        <v/>
      </c>
      <c r="AA46" s="40"/>
      <c r="AB46" s="43" t="str">
        <f t="shared" si="7"/>
        <v/>
      </c>
      <c r="AC46" s="40"/>
      <c r="AD46" s="43" t="str">
        <f t="shared" si="8"/>
        <v/>
      </c>
      <c r="AE46" s="40"/>
      <c r="AF46" s="43" t="str">
        <f t="shared" si="9"/>
        <v/>
      </c>
      <c r="AG46" s="40"/>
      <c r="AH46" s="43" t="str">
        <f t="shared" si="9"/>
        <v/>
      </c>
      <c r="AI46" s="40"/>
      <c r="AJ46" s="43" t="str">
        <f t="shared" si="9"/>
        <v/>
      </c>
      <c r="AK46" s="40"/>
      <c r="AL46" s="43" t="str">
        <f t="shared" si="9"/>
        <v/>
      </c>
      <c r="AM46" s="40"/>
      <c r="AN46" s="43" t="str">
        <f t="shared" si="10"/>
        <v/>
      </c>
      <c r="AO46" s="40"/>
      <c r="AP46" s="43" t="str">
        <f t="shared" si="11"/>
        <v/>
      </c>
      <c r="AQ46" s="40"/>
      <c r="AR46" s="43" t="str">
        <f t="shared" si="12"/>
        <v/>
      </c>
      <c r="AS46" s="40"/>
      <c r="AT46" s="43" t="str">
        <f t="shared" si="13"/>
        <v/>
      </c>
      <c r="AU46" s="40"/>
      <c r="AV46" s="43" t="str">
        <f t="shared" si="14"/>
        <v/>
      </c>
      <c r="AW46" s="47"/>
      <c r="AX46" s="46" t="str">
        <f t="shared" si="15"/>
        <v/>
      </c>
      <c r="AY46" s="66"/>
      <c r="AZ46" s="43" t="str">
        <f t="shared" si="16"/>
        <v/>
      </c>
      <c r="BA46" s="24" t="s">
        <v>394</v>
      </c>
    </row>
    <row r="47" spans="1:53" ht="20" customHeight="1" x14ac:dyDescent="0.2">
      <c r="A47" s="67"/>
      <c r="B47" s="95"/>
      <c r="C47" s="25" t="s">
        <v>86</v>
      </c>
      <c r="D47" s="24" t="s">
        <v>63</v>
      </c>
      <c r="E47" s="24" t="s">
        <v>64</v>
      </c>
      <c r="F47" s="25">
        <v>2012</v>
      </c>
      <c r="G47" s="25">
        <v>83</v>
      </c>
      <c r="H47" s="29">
        <v>146</v>
      </c>
      <c r="I47" s="28" t="s">
        <v>197</v>
      </c>
      <c r="J47" s="39" t="s">
        <v>211</v>
      </c>
      <c r="K47" s="40"/>
      <c r="L47" s="43" t="str">
        <f t="shared" si="17"/>
        <v/>
      </c>
      <c r="M47" s="40"/>
      <c r="N47" s="43" t="str">
        <f t="shared" si="1"/>
        <v/>
      </c>
      <c r="O47" s="40"/>
      <c r="P47" s="43" t="str">
        <f t="shared" si="1"/>
        <v/>
      </c>
      <c r="Q47" s="40"/>
      <c r="R47" s="43" t="str">
        <f t="shared" si="2"/>
        <v/>
      </c>
      <c r="S47" s="40"/>
      <c r="T47" s="43" t="str">
        <f t="shared" si="3"/>
        <v/>
      </c>
      <c r="U47" s="40"/>
      <c r="V47" s="43" t="str">
        <f t="shared" si="4"/>
        <v/>
      </c>
      <c r="W47" s="40"/>
      <c r="X47" s="43" t="str">
        <f t="shared" si="5"/>
        <v/>
      </c>
      <c r="Y47" s="40"/>
      <c r="Z47" s="43" t="str">
        <f t="shared" si="6"/>
        <v/>
      </c>
      <c r="AA47" s="40"/>
      <c r="AB47" s="43" t="str">
        <f t="shared" si="7"/>
        <v/>
      </c>
      <c r="AC47" s="40"/>
      <c r="AD47" s="43" t="str">
        <f t="shared" si="8"/>
        <v/>
      </c>
      <c r="AE47" s="40"/>
      <c r="AF47" s="43" t="str">
        <f t="shared" si="9"/>
        <v/>
      </c>
      <c r="AG47" s="40"/>
      <c r="AH47" s="43" t="str">
        <f t="shared" si="9"/>
        <v/>
      </c>
      <c r="AI47" s="40"/>
      <c r="AJ47" s="43" t="str">
        <f t="shared" si="9"/>
        <v/>
      </c>
      <c r="AK47" s="40"/>
      <c r="AL47" s="43" t="str">
        <f t="shared" si="9"/>
        <v/>
      </c>
      <c r="AM47" s="40"/>
      <c r="AN47" s="43" t="str">
        <f t="shared" si="10"/>
        <v/>
      </c>
      <c r="AO47" s="40"/>
      <c r="AP47" s="43" t="str">
        <f t="shared" si="11"/>
        <v/>
      </c>
      <c r="AQ47" s="40"/>
      <c r="AR47" s="43" t="str">
        <f t="shared" si="12"/>
        <v/>
      </c>
      <c r="AS47" s="40"/>
      <c r="AT47" s="43" t="str">
        <f t="shared" si="13"/>
        <v/>
      </c>
      <c r="AU47" s="40"/>
      <c r="AV47" s="43" t="str">
        <f t="shared" si="14"/>
        <v/>
      </c>
      <c r="AW47" s="86"/>
      <c r="AX47" s="43"/>
      <c r="AY47" s="37">
        <v>1</v>
      </c>
      <c r="AZ47" s="43">
        <f>IF((ISERROR((AY47/$H47)*100)), "", IF(AND(NOT(ISERROR((AY47/$H47)*100)),((AY47/$H47)*100) &lt;&gt; 0), (AY47/$H47)*100, ""))</f>
        <v>0.68493150684931503</v>
      </c>
      <c r="BA47" s="24" t="s">
        <v>199</v>
      </c>
    </row>
    <row r="48" spans="1:53" ht="20" customHeight="1" x14ac:dyDescent="0.2">
      <c r="A48" s="68"/>
      <c r="B48" s="25"/>
      <c r="C48" s="57" t="s">
        <v>49</v>
      </c>
      <c r="D48" s="56" t="s">
        <v>65</v>
      </c>
      <c r="E48" s="56" t="s">
        <v>66</v>
      </c>
      <c r="F48" s="57">
        <v>1997</v>
      </c>
      <c r="G48" s="57"/>
      <c r="H48" s="29"/>
      <c r="I48" s="28"/>
      <c r="J48" s="39"/>
      <c r="K48" s="40"/>
      <c r="L48" s="43" t="str">
        <f t="shared" si="17"/>
        <v/>
      </c>
      <c r="M48" s="40"/>
      <c r="N48" s="43" t="str">
        <f t="shared" si="1"/>
        <v/>
      </c>
      <c r="O48" s="40"/>
      <c r="P48" s="43" t="str">
        <f t="shared" si="1"/>
        <v/>
      </c>
      <c r="Q48" s="40"/>
      <c r="R48" s="43" t="str">
        <f t="shared" si="2"/>
        <v/>
      </c>
      <c r="S48" s="40"/>
      <c r="T48" s="43" t="str">
        <f t="shared" si="3"/>
        <v/>
      </c>
      <c r="U48" s="40"/>
      <c r="V48" s="43" t="str">
        <f t="shared" si="4"/>
        <v/>
      </c>
      <c r="W48" s="40"/>
      <c r="X48" s="43" t="str">
        <f t="shared" si="5"/>
        <v/>
      </c>
      <c r="Y48" s="40"/>
      <c r="Z48" s="43" t="str">
        <f t="shared" si="6"/>
        <v/>
      </c>
      <c r="AA48" s="40"/>
      <c r="AB48" s="43" t="str">
        <f t="shared" si="7"/>
        <v/>
      </c>
      <c r="AC48" s="40"/>
      <c r="AD48" s="43" t="str">
        <f t="shared" si="8"/>
        <v/>
      </c>
      <c r="AE48" s="40"/>
      <c r="AF48" s="43" t="str">
        <f t="shared" si="9"/>
        <v/>
      </c>
      <c r="AG48" s="40"/>
      <c r="AH48" s="43" t="str">
        <f t="shared" si="9"/>
        <v/>
      </c>
      <c r="AI48" s="40"/>
      <c r="AJ48" s="43" t="str">
        <f t="shared" si="9"/>
        <v/>
      </c>
      <c r="AK48" s="40"/>
      <c r="AL48" s="43" t="str">
        <f t="shared" si="9"/>
        <v/>
      </c>
      <c r="AM48" s="40"/>
      <c r="AN48" s="43" t="str">
        <f t="shared" si="10"/>
        <v/>
      </c>
      <c r="AO48" s="40"/>
      <c r="AP48" s="43" t="str">
        <f t="shared" si="11"/>
        <v/>
      </c>
      <c r="AQ48" s="40"/>
      <c r="AR48" s="43" t="str">
        <f t="shared" si="12"/>
        <v/>
      </c>
      <c r="AS48" s="40"/>
      <c r="AT48" s="43" t="str">
        <f t="shared" si="13"/>
        <v/>
      </c>
      <c r="AU48" s="40"/>
      <c r="AV48" s="43" t="str">
        <f t="shared" si="14"/>
        <v/>
      </c>
      <c r="AW48" s="37"/>
      <c r="AX48" s="43" t="str">
        <f t="shared" si="15"/>
        <v/>
      </c>
      <c r="AY48" s="66"/>
      <c r="AZ48" s="43" t="str">
        <f t="shared" si="16"/>
        <v/>
      </c>
    </row>
    <row r="49" spans="1:53" ht="20" customHeight="1" x14ac:dyDescent="0.2">
      <c r="A49" s="68"/>
      <c r="B49" s="25"/>
      <c r="C49" s="57" t="s">
        <v>30</v>
      </c>
      <c r="D49" s="56" t="s">
        <v>67</v>
      </c>
      <c r="E49" s="56" t="s">
        <v>68</v>
      </c>
      <c r="F49" s="57">
        <v>2011</v>
      </c>
      <c r="G49" s="57">
        <v>54</v>
      </c>
      <c r="H49" s="29"/>
      <c r="I49" s="28"/>
      <c r="J49" s="39"/>
      <c r="K49" s="40"/>
      <c r="L49" s="43" t="str">
        <f t="shared" si="17"/>
        <v/>
      </c>
      <c r="M49" s="40"/>
      <c r="N49" s="43" t="str">
        <f t="shared" si="1"/>
        <v/>
      </c>
      <c r="O49" s="40"/>
      <c r="P49" s="43" t="str">
        <f t="shared" si="1"/>
        <v/>
      </c>
      <c r="Q49" s="40"/>
      <c r="R49" s="43" t="str">
        <f t="shared" si="2"/>
        <v/>
      </c>
      <c r="S49" s="40"/>
      <c r="T49" s="43" t="str">
        <f t="shared" si="3"/>
        <v/>
      </c>
      <c r="U49" s="40"/>
      <c r="V49" s="43" t="str">
        <f t="shared" si="4"/>
        <v/>
      </c>
      <c r="W49" s="40"/>
      <c r="X49" s="43" t="str">
        <f t="shared" si="5"/>
        <v/>
      </c>
      <c r="Y49" s="40"/>
      <c r="Z49" s="43" t="str">
        <f t="shared" si="6"/>
        <v/>
      </c>
      <c r="AA49" s="40"/>
      <c r="AB49" s="43" t="str">
        <f t="shared" si="7"/>
        <v/>
      </c>
      <c r="AC49" s="40"/>
      <c r="AD49" s="43" t="str">
        <f t="shared" si="8"/>
        <v/>
      </c>
      <c r="AE49" s="40"/>
      <c r="AF49" s="43" t="str">
        <f t="shared" si="9"/>
        <v/>
      </c>
      <c r="AG49" s="40"/>
      <c r="AH49" s="43" t="str">
        <f t="shared" si="9"/>
        <v/>
      </c>
      <c r="AI49" s="40"/>
      <c r="AJ49" s="43" t="str">
        <f t="shared" si="9"/>
        <v/>
      </c>
      <c r="AK49" s="40"/>
      <c r="AL49" s="43" t="str">
        <f t="shared" si="9"/>
        <v/>
      </c>
      <c r="AM49" s="40"/>
      <c r="AN49" s="43" t="str">
        <f t="shared" si="10"/>
        <v/>
      </c>
      <c r="AO49" s="40"/>
      <c r="AP49" s="43" t="str">
        <f t="shared" si="11"/>
        <v/>
      </c>
      <c r="AQ49" s="40"/>
      <c r="AR49" s="43" t="str">
        <f t="shared" si="12"/>
        <v/>
      </c>
      <c r="AS49" s="40"/>
      <c r="AT49" s="43" t="str">
        <f t="shared" si="13"/>
        <v/>
      </c>
      <c r="AU49" s="40"/>
      <c r="AV49" s="43" t="str">
        <f t="shared" si="14"/>
        <v/>
      </c>
      <c r="AW49" s="37"/>
      <c r="AX49" s="43" t="str">
        <f t="shared" si="15"/>
        <v/>
      </c>
      <c r="AY49" s="66"/>
      <c r="AZ49" s="43" t="str">
        <f t="shared" si="16"/>
        <v/>
      </c>
      <c r="BA49" s="24" t="s">
        <v>428</v>
      </c>
    </row>
    <row r="50" spans="1:53" ht="20" customHeight="1" x14ac:dyDescent="0.2">
      <c r="A50" s="67"/>
      <c r="B50" s="97"/>
      <c r="C50" s="25" t="s">
        <v>86</v>
      </c>
      <c r="D50" s="24" t="s">
        <v>69</v>
      </c>
      <c r="E50" s="24" t="s">
        <v>70</v>
      </c>
      <c r="F50" s="25">
        <v>2004</v>
      </c>
      <c r="G50" s="25">
        <v>61</v>
      </c>
      <c r="H50" s="29">
        <v>16</v>
      </c>
      <c r="I50" s="28" t="s">
        <v>201</v>
      </c>
      <c r="J50" s="39" t="s">
        <v>212</v>
      </c>
      <c r="K50" s="40"/>
      <c r="L50" s="43" t="str">
        <f t="shared" si="17"/>
        <v/>
      </c>
      <c r="M50" s="40"/>
      <c r="N50" s="43" t="str">
        <f t="shared" si="1"/>
        <v/>
      </c>
      <c r="O50" s="40"/>
      <c r="P50" s="43" t="str">
        <f t="shared" si="1"/>
        <v/>
      </c>
      <c r="Q50" s="40"/>
      <c r="R50" s="43" t="str">
        <f t="shared" si="2"/>
        <v/>
      </c>
      <c r="S50" s="40"/>
      <c r="T50" s="43" t="str">
        <f t="shared" si="3"/>
        <v/>
      </c>
      <c r="U50" s="40"/>
      <c r="V50" s="43" t="str">
        <f t="shared" si="4"/>
        <v/>
      </c>
      <c r="W50" s="40"/>
      <c r="X50" s="43" t="str">
        <f t="shared" si="5"/>
        <v/>
      </c>
      <c r="Y50" s="40"/>
      <c r="Z50" s="43" t="str">
        <f t="shared" si="6"/>
        <v/>
      </c>
      <c r="AA50" s="40"/>
      <c r="AB50" s="43" t="str">
        <f t="shared" si="7"/>
        <v/>
      </c>
      <c r="AC50" s="40"/>
      <c r="AD50" s="43" t="str">
        <f t="shared" si="8"/>
        <v/>
      </c>
      <c r="AE50" s="40"/>
      <c r="AF50" s="43" t="str">
        <f t="shared" si="9"/>
        <v/>
      </c>
      <c r="AG50" s="40"/>
      <c r="AH50" s="43" t="str">
        <f t="shared" si="9"/>
        <v/>
      </c>
      <c r="AI50" s="40"/>
      <c r="AJ50" s="43" t="str">
        <f t="shared" si="9"/>
        <v/>
      </c>
      <c r="AK50" s="40"/>
      <c r="AL50" s="43" t="str">
        <f t="shared" si="9"/>
        <v/>
      </c>
      <c r="AM50" s="40"/>
      <c r="AN50" s="43" t="str">
        <f t="shared" si="10"/>
        <v/>
      </c>
      <c r="AO50" s="40"/>
      <c r="AP50" s="43" t="str">
        <f t="shared" si="11"/>
        <v/>
      </c>
      <c r="AQ50" s="40"/>
      <c r="AR50" s="43" t="str">
        <f t="shared" si="12"/>
        <v/>
      </c>
      <c r="AS50" s="40"/>
      <c r="AT50" s="43" t="str">
        <f t="shared" si="13"/>
        <v/>
      </c>
      <c r="AU50" s="40"/>
      <c r="AV50" s="43" t="str">
        <f t="shared" si="14"/>
        <v/>
      </c>
      <c r="AW50" s="37"/>
      <c r="AX50" s="43" t="str">
        <f t="shared" si="15"/>
        <v/>
      </c>
      <c r="AY50" s="66"/>
      <c r="AZ50" s="43" t="str">
        <f t="shared" si="16"/>
        <v/>
      </c>
      <c r="BA50" s="24" t="s">
        <v>202</v>
      </c>
    </row>
    <row r="51" spans="1:53" ht="20" customHeight="1" x14ac:dyDescent="0.2">
      <c r="A51" s="67"/>
      <c r="B51" s="96"/>
      <c r="C51" s="25" t="s">
        <v>86</v>
      </c>
      <c r="D51" s="24" t="s">
        <v>71</v>
      </c>
      <c r="E51" s="24" t="s">
        <v>70</v>
      </c>
      <c r="F51" s="25">
        <v>2004</v>
      </c>
      <c r="G51" s="25">
        <v>45</v>
      </c>
      <c r="H51" s="29">
        <v>16</v>
      </c>
      <c r="I51" s="28" t="s">
        <v>201</v>
      </c>
      <c r="J51" s="39" t="s">
        <v>212</v>
      </c>
      <c r="K51" s="40"/>
      <c r="L51" s="43" t="str">
        <f t="shared" si="17"/>
        <v/>
      </c>
      <c r="M51" s="40"/>
      <c r="N51" s="43" t="str">
        <f t="shared" si="1"/>
        <v/>
      </c>
      <c r="O51" s="40"/>
      <c r="P51" s="43" t="str">
        <f t="shared" si="1"/>
        <v/>
      </c>
      <c r="Q51" s="40"/>
      <c r="R51" s="43" t="str">
        <f t="shared" si="2"/>
        <v/>
      </c>
      <c r="S51" s="40"/>
      <c r="T51" s="43" t="str">
        <f t="shared" si="3"/>
        <v/>
      </c>
      <c r="U51" s="40"/>
      <c r="V51" s="43" t="str">
        <f t="shared" si="4"/>
        <v/>
      </c>
      <c r="W51" s="40"/>
      <c r="X51" s="43" t="str">
        <f t="shared" si="5"/>
        <v/>
      </c>
      <c r="Y51" s="40"/>
      <c r="Z51" s="43" t="str">
        <f t="shared" si="6"/>
        <v/>
      </c>
      <c r="AA51" s="40"/>
      <c r="AB51" s="43" t="str">
        <f t="shared" si="7"/>
        <v/>
      </c>
      <c r="AC51" s="40"/>
      <c r="AD51" s="43" t="str">
        <f t="shared" si="8"/>
        <v/>
      </c>
      <c r="AE51" s="40"/>
      <c r="AF51" s="43" t="str">
        <f t="shared" si="9"/>
        <v/>
      </c>
      <c r="AG51" s="40"/>
      <c r="AH51" s="43" t="str">
        <f t="shared" si="9"/>
        <v/>
      </c>
      <c r="AI51" s="40"/>
      <c r="AJ51" s="43" t="str">
        <f t="shared" si="9"/>
        <v/>
      </c>
      <c r="AK51" s="40"/>
      <c r="AL51" s="43" t="str">
        <f t="shared" si="9"/>
        <v/>
      </c>
      <c r="AM51" s="40"/>
      <c r="AN51" s="43" t="str">
        <f t="shared" si="10"/>
        <v/>
      </c>
      <c r="AO51" s="40"/>
      <c r="AP51" s="43" t="str">
        <f t="shared" si="11"/>
        <v/>
      </c>
      <c r="AQ51" s="40"/>
      <c r="AR51" s="43" t="str">
        <f t="shared" si="12"/>
        <v/>
      </c>
      <c r="AS51" s="40"/>
      <c r="AT51" s="43" t="str">
        <f t="shared" si="13"/>
        <v/>
      </c>
      <c r="AU51" s="40"/>
      <c r="AV51" s="43" t="str">
        <f t="shared" si="14"/>
        <v/>
      </c>
      <c r="AW51" s="37"/>
      <c r="AX51" s="43" t="str">
        <f t="shared" si="15"/>
        <v/>
      </c>
      <c r="AY51" s="66"/>
      <c r="AZ51" s="43" t="str">
        <f t="shared" si="16"/>
        <v/>
      </c>
      <c r="BA51" s="24" t="s">
        <v>196</v>
      </c>
    </row>
    <row r="52" spans="1:53" ht="20" customHeight="1" x14ac:dyDescent="0.2">
      <c r="A52" s="67"/>
      <c r="B52" s="95"/>
      <c r="D52" s="24" t="s">
        <v>317</v>
      </c>
      <c r="E52" s="24" t="s">
        <v>320</v>
      </c>
      <c r="F52" s="25">
        <v>2008</v>
      </c>
      <c r="H52" s="29"/>
      <c r="I52" s="28"/>
      <c r="J52" s="39" t="s">
        <v>395</v>
      </c>
      <c r="K52" s="40"/>
      <c r="L52" s="43" t="str">
        <f t="shared" si="17"/>
        <v/>
      </c>
      <c r="M52" s="40"/>
      <c r="N52" s="43" t="str">
        <f t="shared" si="1"/>
        <v/>
      </c>
      <c r="O52" s="40"/>
      <c r="P52" s="43" t="str">
        <f t="shared" si="1"/>
        <v/>
      </c>
      <c r="Q52" s="40"/>
      <c r="R52" s="43" t="str">
        <f t="shared" si="2"/>
        <v/>
      </c>
      <c r="S52" s="40"/>
      <c r="T52" s="43" t="str">
        <f t="shared" si="3"/>
        <v/>
      </c>
      <c r="U52" s="40">
        <v>2</v>
      </c>
      <c r="V52" s="43" t="str">
        <f t="shared" si="4"/>
        <v/>
      </c>
      <c r="W52" s="40"/>
      <c r="X52" s="43" t="str">
        <f t="shared" si="5"/>
        <v/>
      </c>
      <c r="Y52" s="40"/>
      <c r="Z52" s="43" t="str">
        <f t="shared" si="6"/>
        <v/>
      </c>
      <c r="AA52" s="40"/>
      <c r="AB52" s="43" t="str">
        <f t="shared" si="7"/>
        <v/>
      </c>
      <c r="AC52" s="40"/>
      <c r="AD52" s="43" t="str">
        <f t="shared" si="8"/>
        <v/>
      </c>
      <c r="AE52" s="40"/>
      <c r="AF52" s="43" t="str">
        <f t="shared" si="9"/>
        <v/>
      </c>
      <c r="AG52" s="40"/>
      <c r="AH52" s="43" t="str">
        <f t="shared" si="9"/>
        <v/>
      </c>
      <c r="AI52" s="40"/>
      <c r="AJ52" s="43" t="str">
        <f t="shared" si="9"/>
        <v/>
      </c>
      <c r="AK52" s="40"/>
      <c r="AL52" s="43" t="str">
        <f t="shared" si="9"/>
        <v/>
      </c>
      <c r="AM52" s="40"/>
      <c r="AN52" s="43" t="str">
        <f t="shared" si="10"/>
        <v/>
      </c>
      <c r="AO52" s="40"/>
      <c r="AP52" s="43" t="str">
        <f t="shared" si="11"/>
        <v/>
      </c>
      <c r="AQ52" s="40"/>
      <c r="AR52" s="43" t="str">
        <f t="shared" si="12"/>
        <v/>
      </c>
      <c r="AS52" s="40"/>
      <c r="AT52" s="43" t="str">
        <f t="shared" si="13"/>
        <v/>
      </c>
      <c r="AU52" s="40"/>
      <c r="AV52" s="43" t="str">
        <f t="shared" si="14"/>
        <v/>
      </c>
      <c r="AW52" s="38"/>
      <c r="AX52" s="43" t="str">
        <f t="shared" si="15"/>
        <v/>
      </c>
      <c r="AY52" s="66"/>
      <c r="AZ52" s="43" t="str">
        <f t="shared" si="16"/>
        <v/>
      </c>
    </row>
    <row r="53" spans="1:53" ht="20" customHeight="1" x14ac:dyDescent="0.2">
      <c r="A53" s="67"/>
      <c r="B53" s="96"/>
      <c r="C53" s="25" t="s">
        <v>86</v>
      </c>
      <c r="D53" s="24" t="s">
        <v>318</v>
      </c>
      <c r="E53" s="24" t="s">
        <v>319</v>
      </c>
      <c r="F53" s="25">
        <v>2013</v>
      </c>
      <c r="H53" s="29">
        <v>54</v>
      </c>
      <c r="I53" s="28"/>
      <c r="J53" s="39"/>
      <c r="K53" s="40"/>
      <c r="L53" s="43" t="str">
        <f t="shared" si="17"/>
        <v/>
      </c>
      <c r="M53" s="40"/>
      <c r="N53" s="43" t="str">
        <f t="shared" si="1"/>
        <v/>
      </c>
      <c r="O53" s="40"/>
      <c r="P53" s="43" t="str">
        <f t="shared" si="1"/>
        <v/>
      </c>
      <c r="Q53" s="40"/>
      <c r="R53" s="43" t="str">
        <f t="shared" si="2"/>
        <v/>
      </c>
      <c r="S53" s="40"/>
      <c r="T53" s="43" t="str">
        <f t="shared" si="3"/>
        <v/>
      </c>
      <c r="U53" s="40"/>
      <c r="V53" s="43" t="str">
        <f t="shared" si="4"/>
        <v/>
      </c>
      <c r="W53" s="40"/>
      <c r="X53" s="43" t="str">
        <f t="shared" si="5"/>
        <v/>
      </c>
      <c r="Y53" s="40"/>
      <c r="Z53" s="43" t="str">
        <f t="shared" si="6"/>
        <v/>
      </c>
      <c r="AA53" s="40"/>
      <c r="AB53" s="43" t="str">
        <f t="shared" si="7"/>
        <v/>
      </c>
      <c r="AC53" s="40"/>
      <c r="AD53" s="43" t="str">
        <f t="shared" si="8"/>
        <v/>
      </c>
      <c r="AE53" s="40"/>
      <c r="AF53" s="43" t="str">
        <f t="shared" si="9"/>
        <v/>
      </c>
      <c r="AG53" s="40"/>
      <c r="AH53" s="43" t="str">
        <f t="shared" si="9"/>
        <v/>
      </c>
      <c r="AI53" s="40"/>
      <c r="AJ53" s="43" t="str">
        <f t="shared" si="9"/>
        <v/>
      </c>
      <c r="AK53" s="40"/>
      <c r="AL53" s="43" t="str">
        <f t="shared" si="9"/>
        <v/>
      </c>
      <c r="AM53" s="40"/>
      <c r="AN53" s="43" t="str">
        <f t="shared" si="10"/>
        <v/>
      </c>
      <c r="AO53" s="40"/>
      <c r="AP53" s="43" t="str">
        <f t="shared" si="11"/>
        <v/>
      </c>
      <c r="AQ53" s="40"/>
      <c r="AR53" s="43" t="str">
        <f t="shared" si="12"/>
        <v/>
      </c>
      <c r="AS53" s="40"/>
      <c r="AT53" s="43" t="str">
        <f t="shared" si="13"/>
        <v/>
      </c>
      <c r="AU53" s="40"/>
      <c r="AV53" s="43" t="str">
        <f t="shared" si="14"/>
        <v/>
      </c>
      <c r="AW53" s="38"/>
      <c r="AX53" s="43" t="str">
        <f t="shared" si="15"/>
        <v/>
      </c>
      <c r="AY53" s="66"/>
      <c r="AZ53" s="43" t="str">
        <f t="shared" si="16"/>
        <v/>
      </c>
      <c r="BA53" s="24" t="s">
        <v>396</v>
      </c>
    </row>
    <row r="54" spans="1:53" ht="20" customHeight="1" x14ac:dyDescent="0.2">
      <c r="A54" s="68"/>
      <c r="B54" s="25"/>
      <c r="C54" s="25" t="s">
        <v>86</v>
      </c>
      <c r="D54" s="24" t="s">
        <v>397</v>
      </c>
      <c r="E54" s="24" t="s">
        <v>73</v>
      </c>
      <c r="F54" s="25">
        <v>2014</v>
      </c>
      <c r="G54" s="25">
        <v>23</v>
      </c>
      <c r="H54" s="29">
        <v>28</v>
      </c>
      <c r="I54" s="28" t="s">
        <v>203</v>
      </c>
      <c r="J54" s="39" t="s">
        <v>213</v>
      </c>
      <c r="K54" s="40"/>
      <c r="L54" s="43" t="str">
        <f t="shared" si="17"/>
        <v/>
      </c>
      <c r="M54" s="40"/>
      <c r="N54" s="43" t="str">
        <f t="shared" si="1"/>
        <v/>
      </c>
      <c r="O54" s="40"/>
      <c r="P54" s="43" t="str">
        <f t="shared" si="1"/>
        <v/>
      </c>
      <c r="Q54" s="40"/>
      <c r="R54" s="43" t="str">
        <f t="shared" si="2"/>
        <v/>
      </c>
      <c r="S54" s="40"/>
      <c r="T54" s="43" t="str">
        <f t="shared" si="3"/>
        <v/>
      </c>
      <c r="U54" s="40"/>
      <c r="V54" s="43" t="str">
        <f t="shared" si="4"/>
        <v/>
      </c>
      <c r="W54" s="40"/>
      <c r="X54" s="43" t="str">
        <f t="shared" si="5"/>
        <v/>
      </c>
      <c r="Y54" s="40"/>
      <c r="Z54" s="43" t="str">
        <f t="shared" si="6"/>
        <v/>
      </c>
      <c r="AA54" s="40"/>
      <c r="AB54" s="43" t="str">
        <f t="shared" si="7"/>
        <v/>
      </c>
      <c r="AC54" s="40"/>
      <c r="AD54" s="43" t="str">
        <f t="shared" si="8"/>
        <v/>
      </c>
      <c r="AE54" s="40"/>
      <c r="AF54" s="43" t="str">
        <f t="shared" si="9"/>
        <v/>
      </c>
      <c r="AG54" s="40"/>
      <c r="AH54" s="43" t="str">
        <f t="shared" si="9"/>
        <v/>
      </c>
      <c r="AI54" s="40"/>
      <c r="AJ54" s="43" t="str">
        <f t="shared" si="9"/>
        <v/>
      </c>
      <c r="AK54" s="40"/>
      <c r="AL54" s="43" t="str">
        <f t="shared" si="9"/>
        <v/>
      </c>
      <c r="AM54" s="40"/>
      <c r="AN54" s="43" t="str">
        <f t="shared" si="10"/>
        <v/>
      </c>
      <c r="AO54" s="40"/>
      <c r="AP54" s="43" t="str">
        <f t="shared" si="11"/>
        <v/>
      </c>
      <c r="AQ54" s="40"/>
      <c r="AR54" s="43" t="str">
        <f t="shared" si="12"/>
        <v/>
      </c>
      <c r="AS54" s="40"/>
      <c r="AT54" s="43" t="str">
        <f t="shared" si="13"/>
        <v/>
      </c>
      <c r="AU54" s="40"/>
      <c r="AV54" s="43" t="str">
        <f t="shared" si="14"/>
        <v/>
      </c>
      <c r="AW54" s="37"/>
      <c r="AX54" s="43" t="str">
        <f t="shared" si="15"/>
        <v/>
      </c>
      <c r="AY54" s="66"/>
      <c r="AZ54" s="43" t="str">
        <f t="shared" si="16"/>
        <v/>
      </c>
      <c r="BA54" s="24" t="s">
        <v>204</v>
      </c>
    </row>
    <row r="55" spans="1:53" ht="20" customHeight="1" x14ac:dyDescent="0.2">
      <c r="A55" s="67"/>
      <c r="B55" s="95"/>
      <c r="C55" s="25" t="s">
        <v>86</v>
      </c>
      <c r="D55" s="24" t="s">
        <v>321</v>
      </c>
      <c r="E55" s="24" t="s">
        <v>322</v>
      </c>
      <c r="F55" s="25">
        <v>2014</v>
      </c>
      <c r="H55" s="29">
        <v>28</v>
      </c>
      <c r="I55" s="28" t="s">
        <v>203</v>
      </c>
      <c r="J55" s="39" t="s">
        <v>213</v>
      </c>
      <c r="K55" s="40">
        <v>3</v>
      </c>
      <c r="L55" s="43">
        <f t="shared" si="17"/>
        <v>10.714285714285714</v>
      </c>
      <c r="M55" s="40"/>
      <c r="N55" s="43" t="str">
        <f t="shared" si="1"/>
        <v/>
      </c>
      <c r="O55" s="40"/>
      <c r="P55" s="43" t="str">
        <f t="shared" si="1"/>
        <v/>
      </c>
      <c r="Q55" s="40">
        <v>4</v>
      </c>
      <c r="R55" s="43">
        <f t="shared" si="2"/>
        <v>14.285714285714285</v>
      </c>
      <c r="S55" s="40"/>
      <c r="T55" s="43" t="str">
        <f t="shared" si="3"/>
        <v/>
      </c>
      <c r="U55" s="40"/>
      <c r="V55" s="43" t="str">
        <f t="shared" si="4"/>
        <v/>
      </c>
      <c r="W55" s="40"/>
      <c r="X55" s="43" t="str">
        <f t="shared" si="5"/>
        <v/>
      </c>
      <c r="Y55" s="40"/>
      <c r="Z55" s="43" t="str">
        <f t="shared" si="6"/>
        <v/>
      </c>
      <c r="AA55" s="40"/>
      <c r="AB55" s="43" t="str">
        <f t="shared" si="7"/>
        <v/>
      </c>
      <c r="AC55" s="40"/>
      <c r="AD55" s="43" t="str">
        <f t="shared" si="8"/>
        <v/>
      </c>
      <c r="AE55" s="40"/>
      <c r="AF55" s="43" t="str">
        <f t="shared" si="9"/>
        <v/>
      </c>
      <c r="AG55" s="40"/>
      <c r="AH55" s="43" t="str">
        <f t="shared" si="9"/>
        <v/>
      </c>
      <c r="AI55" s="40"/>
      <c r="AJ55" s="43" t="str">
        <f t="shared" si="9"/>
        <v/>
      </c>
      <c r="AK55" s="40"/>
      <c r="AL55" s="43" t="str">
        <f t="shared" si="9"/>
        <v/>
      </c>
      <c r="AM55" s="40"/>
      <c r="AN55" s="43" t="str">
        <f t="shared" si="10"/>
        <v/>
      </c>
      <c r="AO55" s="40"/>
      <c r="AP55" s="43" t="str">
        <f t="shared" si="11"/>
        <v/>
      </c>
      <c r="AQ55" s="40"/>
      <c r="AR55" s="43" t="str">
        <f t="shared" si="12"/>
        <v/>
      </c>
      <c r="AS55" s="40"/>
      <c r="AT55" s="43" t="str">
        <f t="shared" si="13"/>
        <v/>
      </c>
      <c r="AU55" s="40"/>
      <c r="AV55" s="43" t="str">
        <f t="shared" si="14"/>
        <v/>
      </c>
      <c r="AW55" s="38">
        <v>3</v>
      </c>
      <c r="AX55" s="43">
        <f t="shared" si="15"/>
        <v>10.714285714285714</v>
      </c>
      <c r="AY55" s="66">
        <v>5</v>
      </c>
      <c r="AZ55" s="43">
        <f t="shared" si="16"/>
        <v>17.857142857142858</v>
      </c>
      <c r="BA55" s="24" t="s">
        <v>398</v>
      </c>
    </row>
    <row r="56" spans="1:53" ht="20" customHeight="1" x14ac:dyDescent="0.2">
      <c r="A56" s="67"/>
      <c r="B56" s="25"/>
      <c r="C56" s="57" t="s">
        <v>35</v>
      </c>
      <c r="D56" s="56" t="s">
        <v>74</v>
      </c>
      <c r="E56" s="56" t="s">
        <v>75</v>
      </c>
      <c r="F56" s="57">
        <v>2015</v>
      </c>
      <c r="G56" s="57">
        <v>6</v>
      </c>
      <c r="H56" s="29"/>
      <c r="I56" s="28"/>
      <c r="J56" s="39"/>
      <c r="K56" s="40"/>
      <c r="L56" s="43" t="str">
        <f t="shared" si="17"/>
        <v/>
      </c>
      <c r="M56" s="40"/>
      <c r="N56" s="43" t="str">
        <f t="shared" si="1"/>
        <v/>
      </c>
      <c r="O56" s="40"/>
      <c r="P56" s="43" t="str">
        <f t="shared" si="1"/>
        <v/>
      </c>
      <c r="Q56" s="40"/>
      <c r="R56" s="43" t="str">
        <f t="shared" si="2"/>
        <v/>
      </c>
      <c r="S56" s="40"/>
      <c r="T56" s="43" t="str">
        <f t="shared" si="3"/>
        <v/>
      </c>
      <c r="U56" s="40"/>
      <c r="V56" s="43" t="str">
        <f t="shared" si="4"/>
        <v/>
      </c>
      <c r="W56" s="40"/>
      <c r="X56" s="43" t="str">
        <f t="shared" si="5"/>
        <v/>
      </c>
      <c r="Y56" s="40"/>
      <c r="Z56" s="43" t="str">
        <f t="shared" si="6"/>
        <v/>
      </c>
      <c r="AA56" s="40"/>
      <c r="AB56" s="43" t="str">
        <f t="shared" si="7"/>
        <v/>
      </c>
      <c r="AC56" s="40"/>
      <c r="AD56" s="43" t="str">
        <f t="shared" si="8"/>
        <v/>
      </c>
      <c r="AE56" s="40"/>
      <c r="AF56" s="43" t="str">
        <f t="shared" si="9"/>
        <v/>
      </c>
      <c r="AG56" s="40"/>
      <c r="AH56" s="43" t="str">
        <f t="shared" si="9"/>
        <v/>
      </c>
      <c r="AI56" s="40"/>
      <c r="AJ56" s="43" t="str">
        <f t="shared" si="9"/>
        <v/>
      </c>
      <c r="AK56" s="40"/>
      <c r="AL56" s="43" t="str">
        <f t="shared" si="9"/>
        <v/>
      </c>
      <c r="AM56" s="40"/>
      <c r="AN56" s="43" t="str">
        <f t="shared" si="10"/>
        <v/>
      </c>
      <c r="AO56" s="40"/>
      <c r="AP56" s="43" t="str">
        <f t="shared" si="11"/>
        <v/>
      </c>
      <c r="AQ56" s="40"/>
      <c r="AR56" s="43" t="str">
        <f t="shared" si="12"/>
        <v/>
      </c>
      <c r="AS56" s="40"/>
      <c r="AT56" s="43" t="str">
        <f t="shared" si="13"/>
        <v/>
      </c>
      <c r="AU56" s="40"/>
      <c r="AV56" s="43" t="str">
        <f t="shared" si="14"/>
        <v/>
      </c>
      <c r="AW56" s="37"/>
      <c r="AX56" s="43" t="str">
        <f t="shared" si="15"/>
        <v/>
      </c>
      <c r="AY56" s="66"/>
      <c r="AZ56" s="43" t="str">
        <f t="shared" si="16"/>
        <v/>
      </c>
    </row>
    <row r="57" spans="1:53" ht="20" customHeight="1" x14ac:dyDescent="0.2">
      <c r="A57" s="67"/>
      <c r="B57" s="25"/>
      <c r="C57" s="57" t="s">
        <v>30</v>
      </c>
      <c r="D57" s="56" t="s">
        <v>76</v>
      </c>
      <c r="E57" s="56" t="s">
        <v>77</v>
      </c>
      <c r="F57" s="57">
        <v>2002</v>
      </c>
      <c r="G57" s="57">
        <v>434</v>
      </c>
      <c r="H57" s="29"/>
      <c r="I57" s="28" t="s">
        <v>205</v>
      </c>
      <c r="J57" s="39"/>
      <c r="K57" s="40"/>
      <c r="L57" s="43" t="str">
        <f t="shared" si="17"/>
        <v/>
      </c>
      <c r="M57" s="40"/>
      <c r="N57" s="43" t="str">
        <f t="shared" si="1"/>
        <v/>
      </c>
      <c r="O57" s="40"/>
      <c r="P57" s="43" t="str">
        <f t="shared" si="1"/>
        <v/>
      </c>
      <c r="Q57" s="40"/>
      <c r="R57" s="43" t="str">
        <f t="shared" si="2"/>
        <v/>
      </c>
      <c r="S57" s="40"/>
      <c r="T57" s="43" t="str">
        <f t="shared" si="3"/>
        <v/>
      </c>
      <c r="U57" s="45"/>
      <c r="V57" s="46" t="str">
        <f t="shared" si="4"/>
        <v/>
      </c>
      <c r="W57" s="40"/>
      <c r="X57" s="43" t="str">
        <f t="shared" si="5"/>
        <v/>
      </c>
      <c r="Y57" s="40"/>
      <c r="Z57" s="43" t="str">
        <f t="shared" si="6"/>
        <v/>
      </c>
      <c r="AA57" s="40"/>
      <c r="AB57" s="43" t="str">
        <f t="shared" si="7"/>
        <v/>
      </c>
      <c r="AC57" s="40"/>
      <c r="AD57" s="43" t="str">
        <f t="shared" si="8"/>
        <v/>
      </c>
      <c r="AE57" s="40"/>
      <c r="AF57" s="43" t="str">
        <f t="shared" si="9"/>
        <v/>
      </c>
      <c r="AG57" s="40"/>
      <c r="AH57" s="43" t="str">
        <f t="shared" si="9"/>
        <v/>
      </c>
      <c r="AI57" s="40"/>
      <c r="AJ57" s="43" t="str">
        <f t="shared" si="9"/>
        <v/>
      </c>
      <c r="AK57" s="40"/>
      <c r="AL57" s="43" t="str">
        <f t="shared" si="9"/>
        <v/>
      </c>
      <c r="AM57" s="40"/>
      <c r="AN57" s="43" t="str">
        <f t="shared" si="10"/>
        <v/>
      </c>
      <c r="AO57" s="40"/>
      <c r="AP57" s="43" t="str">
        <f t="shared" si="11"/>
        <v/>
      </c>
      <c r="AQ57" s="40"/>
      <c r="AR57" s="43" t="str">
        <f t="shared" si="12"/>
        <v/>
      </c>
      <c r="AS57" s="40"/>
      <c r="AT57" s="43" t="str">
        <f t="shared" si="13"/>
        <v/>
      </c>
      <c r="AU57" s="40"/>
      <c r="AV57" s="43" t="str">
        <f t="shared" si="14"/>
        <v/>
      </c>
      <c r="AW57" s="37"/>
      <c r="AX57" s="43" t="str">
        <f t="shared" si="15"/>
        <v/>
      </c>
      <c r="AY57" s="66"/>
      <c r="AZ57" s="43" t="str">
        <f t="shared" si="16"/>
        <v/>
      </c>
      <c r="BA57" s="24" t="s">
        <v>206</v>
      </c>
    </row>
    <row r="58" spans="1:53" ht="20" customHeight="1" x14ac:dyDescent="0.2">
      <c r="A58" s="68"/>
      <c r="B58" s="25"/>
      <c r="C58" s="25" t="s">
        <v>86</v>
      </c>
      <c r="D58" s="24" t="s">
        <v>78</v>
      </c>
      <c r="E58" s="24" t="s">
        <v>79</v>
      </c>
      <c r="F58" s="25">
        <v>2009</v>
      </c>
      <c r="G58" s="25">
        <v>134</v>
      </c>
      <c r="H58" s="29">
        <v>94</v>
      </c>
      <c r="I58" s="28"/>
      <c r="J58" s="39"/>
      <c r="K58" s="40"/>
      <c r="L58" s="43" t="str">
        <f t="shared" si="17"/>
        <v/>
      </c>
      <c r="M58" s="40"/>
      <c r="N58" s="43" t="str">
        <f t="shared" si="1"/>
        <v/>
      </c>
      <c r="O58" s="40"/>
      <c r="P58" s="43" t="str">
        <f t="shared" si="1"/>
        <v/>
      </c>
      <c r="Q58" s="40"/>
      <c r="R58" s="43" t="str">
        <f t="shared" si="2"/>
        <v/>
      </c>
      <c r="S58" s="40"/>
      <c r="T58" s="43" t="str">
        <f t="shared" si="3"/>
        <v/>
      </c>
      <c r="U58" s="40"/>
      <c r="V58" s="43" t="str">
        <f t="shared" si="4"/>
        <v/>
      </c>
      <c r="W58" s="40"/>
      <c r="X58" s="43" t="str">
        <f t="shared" si="5"/>
        <v/>
      </c>
      <c r="Y58" s="40"/>
      <c r="Z58" s="43" t="str">
        <f t="shared" si="6"/>
        <v/>
      </c>
      <c r="AA58" s="40"/>
      <c r="AB58" s="43" t="str">
        <f t="shared" si="7"/>
        <v/>
      </c>
      <c r="AC58" s="40"/>
      <c r="AD58" s="43" t="str">
        <f t="shared" si="8"/>
        <v/>
      </c>
      <c r="AE58" s="40"/>
      <c r="AF58" s="43" t="str">
        <f t="shared" si="9"/>
        <v/>
      </c>
      <c r="AG58" s="40"/>
      <c r="AH58" s="43" t="str">
        <f t="shared" si="9"/>
        <v/>
      </c>
      <c r="AI58" s="40"/>
      <c r="AJ58" s="43" t="str">
        <f t="shared" si="9"/>
        <v/>
      </c>
      <c r="AK58" s="40"/>
      <c r="AL58" s="43" t="str">
        <f t="shared" si="9"/>
        <v/>
      </c>
      <c r="AM58" s="40"/>
      <c r="AN58" s="43" t="str">
        <f t="shared" si="10"/>
        <v/>
      </c>
      <c r="AO58" s="40"/>
      <c r="AP58" s="43" t="str">
        <f t="shared" si="11"/>
        <v/>
      </c>
      <c r="AQ58" s="40"/>
      <c r="AR58" s="43" t="str">
        <f t="shared" si="12"/>
        <v/>
      </c>
      <c r="AS58" s="40"/>
      <c r="AT58" s="43" t="str">
        <f t="shared" si="13"/>
        <v/>
      </c>
      <c r="AU58" s="40"/>
      <c r="AV58" s="43" t="str">
        <f t="shared" si="14"/>
        <v/>
      </c>
      <c r="AW58" s="37"/>
      <c r="AX58" s="43" t="str">
        <f t="shared" si="15"/>
        <v/>
      </c>
      <c r="AY58" s="66"/>
      <c r="AZ58" s="43" t="str">
        <f t="shared" si="16"/>
        <v/>
      </c>
      <c r="BA58" s="24" t="s">
        <v>207</v>
      </c>
    </row>
    <row r="59" spans="1:53" ht="20" customHeight="1" x14ac:dyDescent="0.2">
      <c r="A59" s="67"/>
      <c r="B59" s="96"/>
      <c r="C59" s="25" t="s">
        <v>86</v>
      </c>
      <c r="D59" s="24" t="s">
        <v>323</v>
      </c>
      <c r="E59" s="24" t="s">
        <v>324</v>
      </c>
      <c r="F59" s="25">
        <v>2011</v>
      </c>
      <c r="H59" s="29">
        <v>4</v>
      </c>
      <c r="I59" s="28"/>
      <c r="J59" s="39"/>
      <c r="K59" s="40"/>
      <c r="L59" s="43" t="str">
        <f t="shared" si="17"/>
        <v/>
      </c>
      <c r="M59" s="40"/>
      <c r="N59" s="43" t="str">
        <f t="shared" si="1"/>
        <v/>
      </c>
      <c r="O59" s="40"/>
      <c r="P59" s="43" t="str">
        <f t="shared" si="1"/>
        <v/>
      </c>
      <c r="Q59" s="40"/>
      <c r="R59" s="43" t="str">
        <f t="shared" si="2"/>
        <v/>
      </c>
      <c r="S59" s="40"/>
      <c r="T59" s="43" t="str">
        <f t="shared" si="3"/>
        <v/>
      </c>
      <c r="U59" s="40"/>
      <c r="V59" s="43" t="str">
        <f t="shared" si="4"/>
        <v/>
      </c>
      <c r="W59" s="40"/>
      <c r="X59" s="43" t="str">
        <f t="shared" si="5"/>
        <v/>
      </c>
      <c r="Y59" s="40"/>
      <c r="Z59" s="43" t="str">
        <f t="shared" si="6"/>
        <v/>
      </c>
      <c r="AA59" s="40"/>
      <c r="AB59" s="43" t="str">
        <f t="shared" si="7"/>
        <v/>
      </c>
      <c r="AC59" s="40"/>
      <c r="AD59" s="43" t="str">
        <f t="shared" si="8"/>
        <v/>
      </c>
      <c r="AE59" s="40"/>
      <c r="AF59" s="43" t="str">
        <f t="shared" si="9"/>
        <v/>
      </c>
      <c r="AG59" s="40"/>
      <c r="AH59" s="43" t="str">
        <f t="shared" si="9"/>
        <v/>
      </c>
      <c r="AI59" s="40"/>
      <c r="AJ59" s="43" t="str">
        <f t="shared" si="9"/>
        <v/>
      </c>
      <c r="AK59" s="40"/>
      <c r="AL59" s="43" t="str">
        <f t="shared" si="9"/>
        <v/>
      </c>
      <c r="AM59" s="40"/>
      <c r="AN59" s="43" t="str">
        <f t="shared" si="10"/>
        <v/>
      </c>
      <c r="AO59" s="40"/>
      <c r="AP59" s="43" t="str">
        <f t="shared" si="11"/>
        <v/>
      </c>
      <c r="AQ59" s="40"/>
      <c r="AR59" s="43" t="str">
        <f t="shared" si="12"/>
        <v/>
      </c>
      <c r="AS59" s="40"/>
      <c r="AT59" s="43" t="str">
        <f t="shared" si="13"/>
        <v/>
      </c>
      <c r="AU59" s="40"/>
      <c r="AV59" s="43" t="str">
        <f t="shared" si="14"/>
        <v/>
      </c>
      <c r="AW59" s="38"/>
      <c r="AX59" s="43" t="str">
        <f t="shared" si="15"/>
        <v/>
      </c>
      <c r="AY59" s="66"/>
      <c r="AZ59" s="43" t="str">
        <f t="shared" si="16"/>
        <v/>
      </c>
    </row>
    <row r="60" spans="1:53" ht="20" customHeight="1" x14ac:dyDescent="0.2">
      <c r="A60" s="67"/>
      <c r="B60" s="96"/>
      <c r="C60" s="25" t="s">
        <v>86</v>
      </c>
      <c r="D60" s="24" t="s">
        <v>325</v>
      </c>
      <c r="E60" s="24" t="s">
        <v>326</v>
      </c>
      <c r="F60" s="25">
        <v>2015</v>
      </c>
      <c r="H60" s="29">
        <v>10</v>
      </c>
      <c r="I60" s="28" t="s">
        <v>386</v>
      </c>
      <c r="J60" s="39" t="s">
        <v>399</v>
      </c>
      <c r="K60" s="40"/>
      <c r="L60" s="43" t="str">
        <f t="shared" si="17"/>
        <v/>
      </c>
      <c r="M60" s="40"/>
      <c r="N60" s="43" t="str">
        <f t="shared" si="1"/>
        <v/>
      </c>
      <c r="O60" s="40"/>
      <c r="P60" s="43" t="str">
        <f t="shared" si="1"/>
        <v/>
      </c>
      <c r="Q60" s="40"/>
      <c r="R60" s="43" t="str">
        <f t="shared" si="2"/>
        <v/>
      </c>
      <c r="S60" s="40"/>
      <c r="T60" s="43" t="str">
        <f t="shared" si="3"/>
        <v/>
      </c>
      <c r="U60" s="40"/>
      <c r="V60" s="43" t="str">
        <f t="shared" si="4"/>
        <v/>
      </c>
      <c r="W60" s="40"/>
      <c r="X60" s="43" t="str">
        <f t="shared" si="5"/>
        <v/>
      </c>
      <c r="Y60" s="40"/>
      <c r="Z60" s="43" t="str">
        <f t="shared" si="6"/>
        <v/>
      </c>
      <c r="AA60" s="40"/>
      <c r="AB60" s="43" t="str">
        <f t="shared" si="7"/>
        <v/>
      </c>
      <c r="AC60" s="40"/>
      <c r="AD60" s="43" t="str">
        <f t="shared" si="8"/>
        <v/>
      </c>
      <c r="AE60" s="40"/>
      <c r="AF60" s="43" t="str">
        <f t="shared" si="9"/>
        <v/>
      </c>
      <c r="AG60" s="40"/>
      <c r="AH60" s="43" t="str">
        <f t="shared" si="9"/>
        <v/>
      </c>
      <c r="AI60" s="40"/>
      <c r="AJ60" s="43" t="str">
        <f t="shared" si="9"/>
        <v/>
      </c>
      <c r="AK60" s="40"/>
      <c r="AL60" s="43" t="str">
        <f t="shared" si="9"/>
        <v/>
      </c>
      <c r="AM60" s="40"/>
      <c r="AN60" s="43" t="str">
        <f t="shared" si="10"/>
        <v/>
      </c>
      <c r="AO60" s="40"/>
      <c r="AP60" s="43" t="str">
        <f t="shared" si="11"/>
        <v/>
      </c>
      <c r="AQ60" s="40"/>
      <c r="AR60" s="43" t="str">
        <f t="shared" si="12"/>
        <v/>
      </c>
      <c r="AS60" s="40"/>
      <c r="AT60" s="43" t="str">
        <f t="shared" si="13"/>
        <v/>
      </c>
      <c r="AU60" s="40"/>
      <c r="AV60" s="43" t="str">
        <f t="shared" si="14"/>
        <v/>
      </c>
      <c r="AW60" s="38"/>
      <c r="AX60" s="43" t="str">
        <f t="shared" si="15"/>
        <v/>
      </c>
      <c r="AY60" s="66"/>
      <c r="AZ60" s="43" t="str">
        <f t="shared" si="16"/>
        <v/>
      </c>
    </row>
    <row r="61" spans="1:53" ht="20" customHeight="1" x14ac:dyDescent="0.2">
      <c r="A61" s="67"/>
      <c r="B61" s="95"/>
      <c r="C61" s="25" t="s">
        <v>86</v>
      </c>
      <c r="D61" s="24" t="s">
        <v>80</v>
      </c>
      <c r="E61" s="24" t="s">
        <v>81</v>
      </c>
      <c r="F61" s="25">
        <v>2015</v>
      </c>
      <c r="G61" s="25">
        <v>10</v>
      </c>
      <c r="H61" s="29">
        <v>11</v>
      </c>
      <c r="I61" s="28" t="s">
        <v>215</v>
      </c>
      <c r="J61" s="39" t="s">
        <v>176</v>
      </c>
      <c r="K61" s="45">
        <v>1</v>
      </c>
      <c r="L61" s="46">
        <f t="shared" si="17"/>
        <v>9.0909090909090917</v>
      </c>
      <c r="M61" s="40"/>
      <c r="N61" s="43" t="str">
        <f t="shared" si="1"/>
        <v/>
      </c>
      <c r="O61" s="40"/>
      <c r="P61" s="43" t="str">
        <f t="shared" si="1"/>
        <v/>
      </c>
      <c r="Q61" s="40"/>
      <c r="R61" s="43" t="str">
        <f t="shared" si="2"/>
        <v/>
      </c>
      <c r="S61" s="40"/>
      <c r="T61" s="43" t="str">
        <f t="shared" si="3"/>
        <v/>
      </c>
      <c r="U61" s="40"/>
      <c r="V61" s="43" t="str">
        <f t="shared" si="4"/>
        <v/>
      </c>
      <c r="W61" s="40"/>
      <c r="X61" s="43" t="str">
        <f t="shared" si="5"/>
        <v/>
      </c>
      <c r="Y61" s="40"/>
      <c r="Z61" s="43" t="str">
        <f t="shared" si="6"/>
        <v/>
      </c>
      <c r="AA61" s="40"/>
      <c r="AB61" s="43" t="str">
        <f t="shared" si="7"/>
        <v/>
      </c>
      <c r="AC61" s="40"/>
      <c r="AD61" s="43" t="str">
        <f t="shared" si="8"/>
        <v/>
      </c>
      <c r="AE61" s="40"/>
      <c r="AF61" s="43" t="str">
        <f t="shared" si="9"/>
        <v/>
      </c>
      <c r="AG61" s="40"/>
      <c r="AH61" s="43" t="str">
        <f t="shared" si="9"/>
        <v/>
      </c>
      <c r="AI61" s="40"/>
      <c r="AJ61" s="43" t="str">
        <f t="shared" si="9"/>
        <v/>
      </c>
      <c r="AK61" s="40"/>
      <c r="AL61" s="43" t="str">
        <f t="shared" si="9"/>
        <v/>
      </c>
      <c r="AM61" s="40"/>
      <c r="AN61" s="43" t="str">
        <f t="shared" si="10"/>
        <v/>
      </c>
      <c r="AO61" s="40"/>
      <c r="AP61" s="43" t="str">
        <f t="shared" si="11"/>
        <v/>
      </c>
      <c r="AQ61" s="40"/>
      <c r="AR61" s="43" t="str">
        <f t="shared" si="12"/>
        <v/>
      </c>
      <c r="AS61" s="40"/>
      <c r="AT61" s="43" t="str">
        <f t="shared" si="13"/>
        <v/>
      </c>
      <c r="AU61" s="40"/>
      <c r="AV61" s="43" t="str">
        <f t="shared" si="14"/>
        <v/>
      </c>
      <c r="AW61" s="37"/>
      <c r="AX61" s="43" t="str">
        <f t="shared" si="15"/>
        <v/>
      </c>
      <c r="AY61" s="66"/>
      <c r="AZ61" s="43" t="str">
        <f t="shared" si="16"/>
        <v/>
      </c>
      <c r="BA61" s="24" t="s">
        <v>214</v>
      </c>
    </row>
    <row r="62" spans="1:53" ht="20" customHeight="1" x14ac:dyDescent="0.2">
      <c r="A62" s="68"/>
      <c r="B62" s="96"/>
      <c r="C62" s="25" t="s">
        <v>86</v>
      </c>
      <c r="D62" s="24" t="s">
        <v>82</v>
      </c>
      <c r="E62" s="24" t="s">
        <v>83</v>
      </c>
      <c r="F62" s="25">
        <v>1994</v>
      </c>
      <c r="G62" s="25">
        <v>292</v>
      </c>
      <c r="H62" s="29">
        <v>15</v>
      </c>
      <c r="I62" s="28" t="s">
        <v>216</v>
      </c>
      <c r="J62" s="39"/>
      <c r="K62" s="40"/>
      <c r="L62" s="43" t="str">
        <f t="shared" si="17"/>
        <v/>
      </c>
      <c r="M62" s="40"/>
      <c r="N62" s="43" t="str">
        <f t="shared" si="1"/>
        <v/>
      </c>
      <c r="O62" s="40"/>
      <c r="P62" s="43" t="str">
        <f t="shared" si="1"/>
        <v/>
      </c>
      <c r="Q62" s="40"/>
      <c r="R62" s="43" t="str">
        <f t="shared" si="2"/>
        <v/>
      </c>
      <c r="S62" s="40"/>
      <c r="T62" s="43" t="str">
        <f t="shared" si="3"/>
        <v/>
      </c>
      <c r="U62" s="40"/>
      <c r="V62" s="43" t="str">
        <f t="shared" si="4"/>
        <v/>
      </c>
      <c r="W62" s="40"/>
      <c r="X62" s="43" t="str">
        <f t="shared" si="5"/>
        <v/>
      </c>
      <c r="Y62" s="40"/>
      <c r="Z62" s="43" t="str">
        <f t="shared" si="6"/>
        <v/>
      </c>
      <c r="AA62" s="40"/>
      <c r="AB62" s="43" t="str">
        <f t="shared" si="7"/>
        <v/>
      </c>
      <c r="AC62" s="40"/>
      <c r="AD62" s="43" t="str">
        <f t="shared" si="8"/>
        <v/>
      </c>
      <c r="AE62" s="40"/>
      <c r="AF62" s="43" t="str">
        <f t="shared" si="9"/>
        <v/>
      </c>
      <c r="AG62" s="40"/>
      <c r="AH62" s="43" t="str">
        <f t="shared" si="9"/>
        <v/>
      </c>
      <c r="AI62" s="40"/>
      <c r="AJ62" s="43" t="str">
        <f t="shared" si="9"/>
        <v/>
      </c>
      <c r="AK62" s="40"/>
      <c r="AL62" s="43" t="str">
        <f t="shared" si="9"/>
        <v/>
      </c>
      <c r="AM62" s="40"/>
      <c r="AN62" s="43" t="str">
        <f t="shared" si="10"/>
        <v/>
      </c>
      <c r="AO62" s="40"/>
      <c r="AP62" s="43" t="str">
        <f t="shared" si="11"/>
        <v/>
      </c>
      <c r="AQ62" s="40"/>
      <c r="AR62" s="43" t="str">
        <f t="shared" si="12"/>
        <v/>
      </c>
      <c r="AS62" s="40"/>
      <c r="AT62" s="43" t="str">
        <f t="shared" si="13"/>
        <v/>
      </c>
      <c r="AU62" s="40"/>
      <c r="AV62" s="43" t="str">
        <f t="shared" si="14"/>
        <v/>
      </c>
      <c r="AW62" s="37"/>
      <c r="AX62" s="43" t="str">
        <f t="shared" si="15"/>
        <v/>
      </c>
      <c r="AY62" s="66"/>
      <c r="AZ62" s="43" t="str">
        <f t="shared" si="16"/>
        <v/>
      </c>
      <c r="BA62" s="24" t="s">
        <v>217</v>
      </c>
    </row>
    <row r="63" spans="1:53" ht="20" customHeight="1" x14ac:dyDescent="0.2">
      <c r="A63" s="68"/>
      <c r="B63" s="25"/>
      <c r="C63" s="25" t="s">
        <v>86</v>
      </c>
      <c r="D63" s="24" t="s">
        <v>84</v>
      </c>
      <c r="E63" s="24" t="s">
        <v>85</v>
      </c>
      <c r="F63" s="25">
        <v>2000</v>
      </c>
      <c r="G63" s="25">
        <v>146</v>
      </c>
      <c r="H63" s="29">
        <v>42</v>
      </c>
      <c r="I63" s="28" t="s">
        <v>400</v>
      </c>
      <c r="J63" s="39"/>
      <c r="K63" s="40"/>
      <c r="L63" s="43" t="str">
        <f t="shared" si="17"/>
        <v/>
      </c>
      <c r="M63" s="40"/>
      <c r="N63" s="43" t="str">
        <f t="shared" si="1"/>
        <v/>
      </c>
      <c r="O63" s="40"/>
      <c r="P63" s="43" t="str">
        <f t="shared" si="1"/>
        <v/>
      </c>
      <c r="Q63" s="40"/>
      <c r="R63" s="43" t="str">
        <f t="shared" si="2"/>
        <v/>
      </c>
      <c r="S63" s="40"/>
      <c r="T63" s="43" t="str">
        <f t="shared" si="3"/>
        <v/>
      </c>
      <c r="U63" s="40"/>
      <c r="V63" s="43" t="str">
        <f t="shared" si="4"/>
        <v/>
      </c>
      <c r="W63" s="40"/>
      <c r="X63" s="43" t="str">
        <f t="shared" si="5"/>
        <v/>
      </c>
      <c r="Y63" s="40"/>
      <c r="Z63" s="43" t="str">
        <f t="shared" si="6"/>
        <v/>
      </c>
      <c r="AA63" s="40"/>
      <c r="AB63" s="43" t="str">
        <f t="shared" si="7"/>
        <v/>
      </c>
      <c r="AC63" s="40"/>
      <c r="AD63" s="43" t="str">
        <f t="shared" si="8"/>
        <v/>
      </c>
      <c r="AE63" s="40"/>
      <c r="AF63" s="43" t="str">
        <f t="shared" si="9"/>
        <v/>
      </c>
      <c r="AG63" s="40"/>
      <c r="AH63" s="43" t="str">
        <f t="shared" si="9"/>
        <v/>
      </c>
      <c r="AI63" s="40"/>
      <c r="AJ63" s="43" t="str">
        <f t="shared" si="9"/>
        <v/>
      </c>
      <c r="AK63" s="40"/>
      <c r="AL63" s="43" t="str">
        <f t="shared" si="9"/>
        <v/>
      </c>
      <c r="AM63" s="40"/>
      <c r="AN63" s="43" t="str">
        <f t="shared" si="10"/>
        <v/>
      </c>
      <c r="AO63" s="40"/>
      <c r="AP63" s="43" t="str">
        <f t="shared" si="11"/>
        <v/>
      </c>
      <c r="AQ63" s="40"/>
      <c r="AR63" s="43" t="str">
        <f t="shared" si="12"/>
        <v/>
      </c>
      <c r="AS63" s="40"/>
      <c r="AT63" s="43" t="str">
        <f t="shared" si="13"/>
        <v/>
      </c>
      <c r="AU63" s="40"/>
      <c r="AV63" s="43" t="str">
        <f t="shared" si="14"/>
        <v/>
      </c>
      <c r="AW63" s="37"/>
      <c r="AX63" s="43" t="str">
        <f t="shared" si="15"/>
        <v/>
      </c>
      <c r="AY63" s="66"/>
      <c r="AZ63" s="43" t="str">
        <f t="shared" si="16"/>
        <v/>
      </c>
    </row>
    <row r="64" spans="1:53" ht="20" customHeight="1" x14ac:dyDescent="0.2">
      <c r="A64" s="68"/>
      <c r="B64" s="96"/>
      <c r="C64" s="57" t="s">
        <v>35</v>
      </c>
      <c r="D64" s="56" t="s">
        <v>88</v>
      </c>
      <c r="E64" s="56" t="s">
        <v>89</v>
      </c>
      <c r="F64" s="57">
        <v>1996</v>
      </c>
      <c r="G64" s="57">
        <v>187</v>
      </c>
      <c r="H64" s="29">
        <v>100</v>
      </c>
      <c r="I64" s="28" t="s">
        <v>218</v>
      </c>
      <c r="J64" s="39"/>
      <c r="K64" s="40"/>
      <c r="L64" s="43" t="str">
        <f t="shared" si="17"/>
        <v/>
      </c>
      <c r="M64" s="40"/>
      <c r="N64" s="43" t="str">
        <f t="shared" si="1"/>
        <v/>
      </c>
      <c r="O64" s="40"/>
      <c r="P64" s="43" t="str">
        <f t="shared" si="1"/>
        <v/>
      </c>
      <c r="Q64" s="40"/>
      <c r="R64" s="43" t="str">
        <f t="shared" si="2"/>
        <v/>
      </c>
      <c r="S64" s="40"/>
      <c r="T64" s="43" t="str">
        <f t="shared" si="3"/>
        <v/>
      </c>
      <c r="U64" s="40"/>
      <c r="V64" s="43" t="str">
        <f t="shared" si="4"/>
        <v/>
      </c>
      <c r="W64" s="40"/>
      <c r="X64" s="43" t="str">
        <f t="shared" si="5"/>
        <v/>
      </c>
      <c r="Y64" s="40"/>
      <c r="Z64" s="43" t="str">
        <f t="shared" si="6"/>
        <v/>
      </c>
      <c r="AA64" s="40"/>
      <c r="AB64" s="43" t="str">
        <f t="shared" si="7"/>
        <v/>
      </c>
      <c r="AC64" s="40"/>
      <c r="AD64" s="43" t="str">
        <f t="shared" si="8"/>
        <v/>
      </c>
      <c r="AE64" s="40"/>
      <c r="AF64" s="43" t="str">
        <f t="shared" si="9"/>
        <v/>
      </c>
      <c r="AG64" s="40"/>
      <c r="AH64" s="43" t="str">
        <f t="shared" si="9"/>
        <v/>
      </c>
      <c r="AI64" s="40"/>
      <c r="AJ64" s="43" t="str">
        <f t="shared" si="9"/>
        <v/>
      </c>
      <c r="AK64" s="40"/>
      <c r="AL64" s="43" t="str">
        <f t="shared" si="9"/>
        <v/>
      </c>
      <c r="AM64" s="40"/>
      <c r="AN64" s="43" t="str">
        <f t="shared" si="10"/>
        <v/>
      </c>
      <c r="AO64" s="40"/>
      <c r="AP64" s="43" t="str">
        <f t="shared" si="11"/>
        <v/>
      </c>
      <c r="AQ64" s="40"/>
      <c r="AR64" s="43" t="str">
        <f t="shared" si="12"/>
        <v/>
      </c>
      <c r="AS64" s="40"/>
      <c r="AT64" s="43" t="str">
        <f t="shared" si="13"/>
        <v/>
      </c>
      <c r="AU64" s="40"/>
      <c r="AV64" s="43" t="str">
        <f t="shared" si="14"/>
        <v/>
      </c>
      <c r="AW64" s="37"/>
      <c r="AX64" s="43" t="str">
        <f t="shared" si="15"/>
        <v/>
      </c>
      <c r="AY64" s="66"/>
      <c r="AZ64" s="43" t="str">
        <f t="shared" si="16"/>
        <v/>
      </c>
      <c r="BA64" s="24" t="s">
        <v>219</v>
      </c>
    </row>
    <row r="65" spans="1:53" ht="20" customHeight="1" x14ac:dyDescent="0.2">
      <c r="A65" s="68"/>
      <c r="B65" s="96"/>
      <c r="C65" s="25" t="s">
        <v>86</v>
      </c>
      <c r="D65" s="24" t="s">
        <v>90</v>
      </c>
      <c r="E65" s="24" t="s">
        <v>91</v>
      </c>
      <c r="F65" s="25">
        <v>2000</v>
      </c>
      <c r="G65" s="25">
        <v>79</v>
      </c>
      <c r="H65" s="29">
        <v>10</v>
      </c>
      <c r="I65" s="28" t="s">
        <v>174</v>
      </c>
      <c r="J65" s="39"/>
      <c r="K65" s="40"/>
      <c r="L65" s="43" t="str">
        <f t="shared" si="17"/>
        <v/>
      </c>
      <c r="M65" s="40"/>
      <c r="N65" s="43" t="str">
        <f t="shared" si="1"/>
        <v/>
      </c>
      <c r="O65" s="40"/>
      <c r="P65" s="43" t="str">
        <f t="shared" si="1"/>
        <v/>
      </c>
      <c r="Q65" s="40"/>
      <c r="R65" s="43" t="str">
        <f t="shared" si="2"/>
        <v/>
      </c>
      <c r="S65" s="40"/>
      <c r="T65" s="43" t="str">
        <f t="shared" si="3"/>
        <v/>
      </c>
      <c r="U65" s="40"/>
      <c r="V65" s="43" t="str">
        <f t="shared" si="4"/>
        <v/>
      </c>
      <c r="W65" s="40"/>
      <c r="X65" s="43" t="str">
        <f t="shared" si="5"/>
        <v/>
      </c>
      <c r="Y65" s="40"/>
      <c r="Z65" s="43" t="str">
        <f t="shared" si="6"/>
        <v/>
      </c>
      <c r="AA65" s="40"/>
      <c r="AB65" s="43" t="str">
        <f t="shared" si="7"/>
        <v/>
      </c>
      <c r="AC65" s="40"/>
      <c r="AD65" s="43" t="str">
        <f t="shared" si="8"/>
        <v/>
      </c>
      <c r="AE65" s="40"/>
      <c r="AF65" s="43" t="str">
        <f t="shared" si="9"/>
        <v/>
      </c>
      <c r="AG65" s="40"/>
      <c r="AH65" s="43" t="str">
        <f t="shared" si="9"/>
        <v/>
      </c>
      <c r="AI65" s="40"/>
      <c r="AJ65" s="43" t="str">
        <f t="shared" si="9"/>
        <v/>
      </c>
      <c r="AK65" s="40"/>
      <c r="AL65" s="43" t="str">
        <f t="shared" si="9"/>
        <v/>
      </c>
      <c r="AM65" s="40"/>
      <c r="AN65" s="43" t="str">
        <f t="shared" si="10"/>
        <v/>
      </c>
      <c r="AO65" s="40"/>
      <c r="AP65" s="43" t="str">
        <f t="shared" si="11"/>
        <v/>
      </c>
      <c r="AQ65" s="40"/>
      <c r="AR65" s="43" t="str">
        <f t="shared" si="12"/>
        <v/>
      </c>
      <c r="AS65" s="40"/>
      <c r="AT65" s="43" t="str">
        <f t="shared" si="13"/>
        <v/>
      </c>
      <c r="AU65" s="40"/>
      <c r="AV65" s="43" t="str">
        <f t="shared" si="14"/>
        <v/>
      </c>
      <c r="AW65" s="37"/>
      <c r="AX65" s="43" t="str">
        <f t="shared" si="15"/>
        <v/>
      </c>
      <c r="AY65" s="66"/>
      <c r="AZ65" s="43" t="str">
        <f t="shared" si="16"/>
        <v/>
      </c>
      <c r="BA65" s="24" t="s">
        <v>220</v>
      </c>
    </row>
    <row r="66" spans="1:53" ht="20" customHeight="1" x14ac:dyDescent="0.2">
      <c r="A66" s="67"/>
      <c r="B66" s="95"/>
      <c r="D66" s="24" t="s">
        <v>327</v>
      </c>
      <c r="E66" s="24" t="s">
        <v>328</v>
      </c>
      <c r="F66" s="25">
        <v>2005</v>
      </c>
      <c r="H66" s="29">
        <v>13</v>
      </c>
      <c r="I66" s="28" t="s">
        <v>401</v>
      </c>
      <c r="J66" s="39"/>
      <c r="K66" s="40"/>
      <c r="L66" s="43" t="str">
        <f t="shared" si="17"/>
        <v/>
      </c>
      <c r="M66" s="40"/>
      <c r="N66" s="43" t="str">
        <f t="shared" si="1"/>
        <v/>
      </c>
      <c r="O66" s="40"/>
      <c r="P66" s="43" t="str">
        <f t="shared" si="1"/>
        <v/>
      </c>
      <c r="Q66" s="40"/>
      <c r="R66" s="43" t="str">
        <f t="shared" si="2"/>
        <v/>
      </c>
      <c r="S66" s="40"/>
      <c r="T66" s="43" t="str">
        <f t="shared" si="3"/>
        <v/>
      </c>
      <c r="U66" s="40"/>
      <c r="V66" s="43" t="str">
        <f t="shared" si="4"/>
        <v/>
      </c>
      <c r="W66" s="40"/>
      <c r="X66" s="43" t="str">
        <f t="shared" si="5"/>
        <v/>
      </c>
      <c r="Y66" s="40"/>
      <c r="Z66" s="43" t="str">
        <f t="shared" si="6"/>
        <v/>
      </c>
      <c r="AA66" s="40"/>
      <c r="AB66" s="43" t="str">
        <f t="shared" si="7"/>
        <v/>
      </c>
      <c r="AC66" s="40"/>
      <c r="AD66" s="43" t="str">
        <f t="shared" si="8"/>
        <v/>
      </c>
      <c r="AE66" s="40"/>
      <c r="AF66" s="43" t="str">
        <f t="shared" si="9"/>
        <v/>
      </c>
      <c r="AG66" s="40"/>
      <c r="AH66" s="43" t="str">
        <f t="shared" si="9"/>
        <v/>
      </c>
      <c r="AI66" s="40"/>
      <c r="AJ66" s="43" t="str">
        <f t="shared" si="9"/>
        <v/>
      </c>
      <c r="AK66" s="40"/>
      <c r="AL66" s="43" t="str">
        <f t="shared" si="9"/>
        <v/>
      </c>
      <c r="AM66" s="40"/>
      <c r="AN66" s="43" t="str">
        <f t="shared" si="10"/>
        <v/>
      </c>
      <c r="AO66" s="40"/>
      <c r="AP66" s="43" t="str">
        <f t="shared" si="11"/>
        <v/>
      </c>
      <c r="AQ66" s="40"/>
      <c r="AR66" s="43" t="str">
        <f t="shared" si="12"/>
        <v/>
      </c>
      <c r="AS66" s="40">
        <v>3</v>
      </c>
      <c r="AT66" s="43">
        <f t="shared" si="13"/>
        <v>23.076923076923077</v>
      </c>
      <c r="AU66" s="40"/>
      <c r="AV66" s="43" t="str">
        <f t="shared" si="14"/>
        <v/>
      </c>
      <c r="AW66" s="38">
        <v>1</v>
      </c>
      <c r="AX66" s="43">
        <f t="shared" si="15"/>
        <v>7.6923076923076925</v>
      </c>
      <c r="AY66" s="66"/>
      <c r="AZ66" s="43" t="str">
        <f t="shared" si="16"/>
        <v/>
      </c>
      <c r="BA66" s="24" t="s">
        <v>402</v>
      </c>
    </row>
    <row r="67" spans="1:53" ht="20" customHeight="1" x14ac:dyDescent="0.2">
      <c r="A67" s="68"/>
      <c r="B67" s="96"/>
      <c r="C67" s="25" t="s">
        <v>86</v>
      </c>
      <c r="D67" s="24" t="s">
        <v>92</v>
      </c>
      <c r="E67" s="24" t="s">
        <v>93</v>
      </c>
      <c r="F67" s="25">
        <v>2001</v>
      </c>
      <c r="G67" s="25">
        <v>170</v>
      </c>
      <c r="H67" s="29">
        <v>22</v>
      </c>
      <c r="I67" s="28" t="s">
        <v>189</v>
      </c>
      <c r="J67" s="39" t="s">
        <v>176</v>
      </c>
      <c r="K67" s="40"/>
      <c r="L67" s="43" t="str">
        <f t="shared" si="17"/>
        <v/>
      </c>
      <c r="M67" s="40"/>
      <c r="N67" s="43" t="str">
        <f t="shared" si="1"/>
        <v/>
      </c>
      <c r="O67" s="40"/>
      <c r="P67" s="43" t="str">
        <f t="shared" si="1"/>
        <v/>
      </c>
      <c r="Q67" s="40"/>
      <c r="R67" s="43" t="str">
        <f t="shared" si="2"/>
        <v/>
      </c>
      <c r="S67" s="40"/>
      <c r="T67" s="43" t="str">
        <f t="shared" si="3"/>
        <v/>
      </c>
      <c r="U67" s="40"/>
      <c r="V67" s="43" t="str">
        <f t="shared" si="4"/>
        <v/>
      </c>
      <c r="W67" s="40"/>
      <c r="X67" s="43" t="str">
        <f t="shared" si="5"/>
        <v/>
      </c>
      <c r="Y67" s="40"/>
      <c r="Z67" s="43" t="str">
        <f t="shared" si="6"/>
        <v/>
      </c>
      <c r="AA67" s="40"/>
      <c r="AB67" s="43" t="str">
        <f t="shared" si="7"/>
        <v/>
      </c>
      <c r="AC67" s="40"/>
      <c r="AD67" s="43" t="str">
        <f t="shared" si="8"/>
        <v/>
      </c>
      <c r="AE67" s="40"/>
      <c r="AF67" s="43" t="str">
        <f t="shared" si="9"/>
        <v/>
      </c>
      <c r="AG67" s="40"/>
      <c r="AH67" s="43" t="str">
        <f t="shared" si="9"/>
        <v/>
      </c>
      <c r="AI67" s="40"/>
      <c r="AJ67" s="43" t="str">
        <f t="shared" si="9"/>
        <v/>
      </c>
      <c r="AK67" s="40"/>
      <c r="AL67" s="43" t="str">
        <f t="shared" si="9"/>
        <v/>
      </c>
      <c r="AM67" s="40"/>
      <c r="AN67" s="43" t="str">
        <f t="shared" si="10"/>
        <v/>
      </c>
      <c r="AO67" s="40"/>
      <c r="AP67" s="43" t="str">
        <f t="shared" si="11"/>
        <v/>
      </c>
      <c r="AQ67" s="40"/>
      <c r="AR67" s="43" t="str">
        <f t="shared" si="12"/>
        <v/>
      </c>
      <c r="AS67" s="40"/>
      <c r="AT67" s="43" t="str">
        <f t="shared" si="13"/>
        <v/>
      </c>
      <c r="AU67" s="40"/>
      <c r="AV67" s="43" t="str">
        <f t="shared" si="14"/>
        <v/>
      </c>
      <c r="AW67" s="37"/>
      <c r="AX67" s="43" t="str">
        <f t="shared" si="15"/>
        <v/>
      </c>
      <c r="AY67" s="66"/>
      <c r="AZ67" s="43" t="str">
        <f t="shared" si="16"/>
        <v/>
      </c>
      <c r="BA67" s="24" t="s">
        <v>196</v>
      </c>
    </row>
    <row r="68" spans="1:53" ht="20" customHeight="1" x14ac:dyDescent="0.2">
      <c r="A68" s="67"/>
      <c r="B68" s="96"/>
      <c r="C68" s="25" t="s">
        <v>86</v>
      </c>
      <c r="D68" s="24" t="s">
        <v>329</v>
      </c>
      <c r="E68" s="24" t="s">
        <v>330</v>
      </c>
      <c r="F68" s="25">
        <v>2009</v>
      </c>
      <c r="H68" s="29">
        <v>20</v>
      </c>
      <c r="I68" s="28" t="s">
        <v>238</v>
      </c>
      <c r="J68" s="39" t="s">
        <v>208</v>
      </c>
      <c r="K68" s="40"/>
      <c r="L68" s="43" t="str">
        <f t="shared" si="17"/>
        <v/>
      </c>
      <c r="M68" s="40"/>
      <c r="N68" s="43" t="str">
        <f t="shared" si="1"/>
        <v/>
      </c>
      <c r="O68" s="40"/>
      <c r="P68" s="43" t="str">
        <f t="shared" si="1"/>
        <v/>
      </c>
      <c r="Q68" s="40"/>
      <c r="R68" s="43" t="str">
        <f t="shared" si="2"/>
        <v/>
      </c>
      <c r="S68" s="40"/>
      <c r="T68" s="43" t="str">
        <f t="shared" si="3"/>
        <v/>
      </c>
      <c r="U68" s="40"/>
      <c r="V68" s="43" t="str">
        <f t="shared" si="4"/>
        <v/>
      </c>
      <c r="W68" s="40"/>
      <c r="X68" s="43" t="str">
        <f t="shared" si="5"/>
        <v/>
      </c>
      <c r="Y68" s="40"/>
      <c r="Z68" s="43" t="str">
        <f t="shared" si="6"/>
        <v/>
      </c>
      <c r="AA68" s="40"/>
      <c r="AB68" s="43" t="str">
        <f t="shared" si="7"/>
        <v/>
      </c>
      <c r="AC68" s="40"/>
      <c r="AD68" s="43" t="str">
        <f t="shared" si="8"/>
        <v/>
      </c>
      <c r="AE68" s="40"/>
      <c r="AF68" s="43" t="str">
        <f t="shared" si="9"/>
        <v/>
      </c>
      <c r="AG68" s="40"/>
      <c r="AH68" s="43" t="str">
        <f t="shared" si="9"/>
        <v/>
      </c>
      <c r="AI68" s="40"/>
      <c r="AJ68" s="43" t="str">
        <f t="shared" si="9"/>
        <v/>
      </c>
      <c r="AK68" s="40"/>
      <c r="AL68" s="43" t="str">
        <f t="shared" si="9"/>
        <v/>
      </c>
      <c r="AM68" s="40"/>
      <c r="AN68" s="43" t="str">
        <f t="shared" si="10"/>
        <v/>
      </c>
      <c r="AO68" s="40"/>
      <c r="AP68" s="43" t="str">
        <f t="shared" si="11"/>
        <v/>
      </c>
      <c r="AQ68" s="40"/>
      <c r="AR68" s="43" t="str">
        <f t="shared" si="12"/>
        <v/>
      </c>
      <c r="AS68" s="40"/>
      <c r="AT68" s="43" t="str">
        <f t="shared" si="13"/>
        <v/>
      </c>
      <c r="AU68" s="40"/>
      <c r="AV68" s="43" t="str">
        <f t="shared" si="14"/>
        <v/>
      </c>
      <c r="AW68" s="38"/>
      <c r="AX68" s="43" t="str">
        <f t="shared" si="15"/>
        <v/>
      </c>
      <c r="AY68" s="66"/>
      <c r="AZ68" s="43" t="str">
        <f t="shared" si="16"/>
        <v/>
      </c>
      <c r="BA68" s="24" t="s">
        <v>403</v>
      </c>
    </row>
    <row r="69" spans="1:53" ht="20" customHeight="1" x14ac:dyDescent="0.2">
      <c r="A69" s="67"/>
      <c r="B69" s="25"/>
      <c r="C69" s="25" t="s">
        <v>86</v>
      </c>
      <c r="D69" s="24" t="s">
        <v>331</v>
      </c>
      <c r="E69" s="24" t="s">
        <v>332</v>
      </c>
      <c r="F69" s="25">
        <v>2006</v>
      </c>
      <c r="H69" s="29">
        <v>20</v>
      </c>
      <c r="I69" s="28" t="s">
        <v>404</v>
      </c>
      <c r="J69" s="39" t="s">
        <v>176</v>
      </c>
      <c r="K69" s="40"/>
      <c r="L69" s="43" t="str">
        <f t="shared" si="17"/>
        <v/>
      </c>
      <c r="M69" s="40"/>
      <c r="N69" s="43" t="str">
        <f t="shared" si="1"/>
        <v/>
      </c>
      <c r="O69" s="40"/>
      <c r="P69" s="43" t="str">
        <f t="shared" si="1"/>
        <v/>
      </c>
      <c r="Q69" s="40"/>
      <c r="R69" s="43" t="str">
        <f t="shared" si="2"/>
        <v/>
      </c>
      <c r="S69" s="40"/>
      <c r="T69" s="43" t="str">
        <f t="shared" si="3"/>
        <v/>
      </c>
      <c r="U69" s="45"/>
      <c r="V69" s="46" t="str">
        <f t="shared" si="4"/>
        <v/>
      </c>
      <c r="W69" s="40"/>
      <c r="X69" s="43" t="str">
        <f t="shared" si="5"/>
        <v/>
      </c>
      <c r="Y69" s="40"/>
      <c r="Z69" s="43" t="str">
        <f t="shared" si="6"/>
        <v/>
      </c>
      <c r="AA69" s="40"/>
      <c r="AB69" s="43" t="str">
        <f t="shared" si="7"/>
        <v/>
      </c>
      <c r="AC69" s="40"/>
      <c r="AD69" s="43" t="str">
        <f t="shared" si="8"/>
        <v/>
      </c>
      <c r="AE69" s="40"/>
      <c r="AF69" s="43" t="str">
        <f t="shared" si="9"/>
        <v/>
      </c>
      <c r="AG69" s="40"/>
      <c r="AH69" s="43" t="str">
        <f t="shared" si="9"/>
        <v/>
      </c>
      <c r="AI69" s="40"/>
      <c r="AJ69" s="43" t="str">
        <f t="shared" si="9"/>
        <v/>
      </c>
      <c r="AK69" s="40"/>
      <c r="AL69" s="43" t="str">
        <f t="shared" si="9"/>
        <v/>
      </c>
      <c r="AM69" s="40"/>
      <c r="AN69" s="43" t="str">
        <f t="shared" si="10"/>
        <v/>
      </c>
      <c r="AO69" s="40"/>
      <c r="AP69" s="43" t="str">
        <f t="shared" si="11"/>
        <v/>
      </c>
      <c r="AQ69" s="40"/>
      <c r="AR69" s="43" t="str">
        <f t="shared" si="12"/>
        <v/>
      </c>
      <c r="AS69" s="40"/>
      <c r="AT69" s="43" t="str">
        <f t="shared" si="13"/>
        <v/>
      </c>
      <c r="AU69" s="40"/>
      <c r="AV69" s="43" t="str">
        <f t="shared" si="14"/>
        <v/>
      </c>
      <c r="AW69" s="38"/>
      <c r="AX69" s="43" t="str">
        <f t="shared" si="15"/>
        <v/>
      </c>
      <c r="AY69" s="66"/>
      <c r="AZ69" s="43" t="str">
        <f t="shared" si="16"/>
        <v/>
      </c>
      <c r="BA69" s="24" t="s">
        <v>405</v>
      </c>
    </row>
    <row r="70" spans="1:53" ht="20" customHeight="1" x14ac:dyDescent="0.2">
      <c r="A70" s="68"/>
      <c r="B70" s="25"/>
      <c r="C70" s="25" t="s">
        <v>86</v>
      </c>
      <c r="D70" s="24" t="s">
        <v>335</v>
      </c>
      <c r="E70" s="24" t="s">
        <v>336</v>
      </c>
      <c r="F70" s="25">
        <v>2016</v>
      </c>
      <c r="H70" s="29">
        <v>50</v>
      </c>
      <c r="I70" s="28" t="s">
        <v>238</v>
      </c>
      <c r="J70" s="39" t="s">
        <v>212</v>
      </c>
      <c r="K70" s="40"/>
      <c r="L70" s="43" t="str">
        <f t="shared" si="17"/>
        <v/>
      </c>
      <c r="M70" s="40"/>
      <c r="N70" s="43" t="str">
        <f t="shared" si="1"/>
        <v/>
      </c>
      <c r="O70" s="40"/>
      <c r="P70" s="43" t="str">
        <f t="shared" si="1"/>
        <v/>
      </c>
      <c r="Q70" s="40"/>
      <c r="R70" s="43" t="str">
        <f t="shared" si="2"/>
        <v/>
      </c>
      <c r="S70" s="40"/>
      <c r="T70" s="43" t="str">
        <f t="shared" si="3"/>
        <v/>
      </c>
      <c r="U70" s="40"/>
      <c r="V70" s="43" t="str">
        <f t="shared" si="4"/>
        <v/>
      </c>
      <c r="W70" s="40"/>
      <c r="X70" s="43" t="str">
        <f t="shared" si="5"/>
        <v/>
      </c>
      <c r="Y70" s="40"/>
      <c r="Z70" s="43" t="str">
        <f t="shared" si="6"/>
        <v/>
      </c>
      <c r="AA70" s="40"/>
      <c r="AB70" s="43" t="str">
        <f t="shared" si="7"/>
        <v/>
      </c>
      <c r="AC70" s="40"/>
      <c r="AD70" s="43" t="str">
        <f t="shared" si="8"/>
        <v/>
      </c>
      <c r="AE70" s="40"/>
      <c r="AF70" s="43" t="str">
        <f t="shared" si="9"/>
        <v/>
      </c>
      <c r="AG70" s="40"/>
      <c r="AH70" s="43" t="str">
        <f t="shared" si="9"/>
        <v/>
      </c>
      <c r="AI70" s="40"/>
      <c r="AJ70" s="43" t="str">
        <f t="shared" si="9"/>
        <v/>
      </c>
      <c r="AK70" s="40"/>
      <c r="AL70" s="43" t="str">
        <f t="shared" si="9"/>
        <v/>
      </c>
      <c r="AM70" s="40"/>
      <c r="AN70" s="43" t="str">
        <f t="shared" si="10"/>
        <v/>
      </c>
      <c r="AO70" s="40"/>
      <c r="AP70" s="43" t="str">
        <f t="shared" si="11"/>
        <v/>
      </c>
      <c r="AQ70" s="40"/>
      <c r="AR70" s="43" t="str">
        <f t="shared" si="12"/>
        <v/>
      </c>
      <c r="AS70" s="40"/>
      <c r="AT70" s="43" t="str">
        <f t="shared" si="13"/>
        <v/>
      </c>
      <c r="AU70" s="40"/>
      <c r="AV70" s="43" t="str">
        <f t="shared" si="14"/>
        <v/>
      </c>
      <c r="AW70" s="38"/>
      <c r="AX70" s="43" t="str">
        <f t="shared" si="15"/>
        <v/>
      </c>
      <c r="AY70" s="66"/>
      <c r="AZ70" s="43" t="str">
        <f t="shared" si="16"/>
        <v/>
      </c>
    </row>
    <row r="71" spans="1:53" ht="20" customHeight="1" x14ac:dyDescent="0.2">
      <c r="A71" s="67"/>
      <c r="B71" s="95"/>
      <c r="C71" s="25" t="s">
        <v>86</v>
      </c>
      <c r="D71" s="24" t="s">
        <v>333</v>
      </c>
      <c r="E71" s="24" t="s">
        <v>334</v>
      </c>
      <c r="F71" s="25">
        <v>2011</v>
      </c>
      <c r="H71" s="29">
        <v>244</v>
      </c>
      <c r="I71" s="28" t="s">
        <v>235</v>
      </c>
      <c r="J71" s="39" t="s">
        <v>210</v>
      </c>
      <c r="K71" s="40">
        <v>3</v>
      </c>
      <c r="L71" s="43">
        <f t="shared" si="17"/>
        <v>1.2295081967213115</v>
      </c>
      <c r="M71" s="40"/>
      <c r="N71" s="43" t="str">
        <f t="shared" si="1"/>
        <v/>
      </c>
      <c r="O71" s="40"/>
      <c r="P71" s="43" t="str">
        <f t="shared" si="1"/>
        <v/>
      </c>
      <c r="Q71" s="40">
        <v>4</v>
      </c>
      <c r="R71" s="43">
        <f t="shared" si="2"/>
        <v>1.639344262295082</v>
      </c>
      <c r="S71" s="40"/>
      <c r="T71" s="43" t="str">
        <f t="shared" si="3"/>
        <v/>
      </c>
      <c r="U71" s="40"/>
      <c r="V71" s="43" t="str">
        <f t="shared" si="4"/>
        <v/>
      </c>
      <c r="W71" s="40"/>
      <c r="X71" s="43" t="str">
        <f t="shared" si="5"/>
        <v/>
      </c>
      <c r="Y71" s="40"/>
      <c r="Z71" s="43" t="str">
        <f t="shared" si="6"/>
        <v/>
      </c>
      <c r="AA71" s="40"/>
      <c r="AB71" s="43" t="str">
        <f t="shared" si="7"/>
        <v/>
      </c>
      <c r="AC71" s="40"/>
      <c r="AD71" s="43" t="str">
        <f t="shared" si="8"/>
        <v/>
      </c>
      <c r="AE71" s="40"/>
      <c r="AF71" s="43" t="str">
        <f t="shared" si="9"/>
        <v/>
      </c>
      <c r="AG71" s="40"/>
      <c r="AH71" s="43" t="str">
        <f t="shared" si="9"/>
        <v/>
      </c>
      <c r="AI71" s="40"/>
      <c r="AJ71" s="43" t="str">
        <f t="shared" si="9"/>
        <v/>
      </c>
      <c r="AK71" s="40"/>
      <c r="AL71" s="43" t="str">
        <f t="shared" si="9"/>
        <v/>
      </c>
      <c r="AM71" s="40"/>
      <c r="AN71" s="43" t="str">
        <f t="shared" si="10"/>
        <v/>
      </c>
      <c r="AO71" s="40"/>
      <c r="AP71" s="43" t="str">
        <f t="shared" si="11"/>
        <v/>
      </c>
      <c r="AQ71" s="40"/>
      <c r="AR71" s="43" t="str">
        <f t="shared" si="12"/>
        <v/>
      </c>
      <c r="AS71" s="40"/>
      <c r="AT71" s="43" t="str">
        <f t="shared" si="13"/>
        <v/>
      </c>
      <c r="AU71" s="40"/>
      <c r="AV71" s="43" t="str">
        <f t="shared" si="14"/>
        <v/>
      </c>
      <c r="AW71" s="38"/>
      <c r="AX71" s="43" t="str">
        <f t="shared" si="15"/>
        <v/>
      </c>
      <c r="AY71" s="66"/>
      <c r="AZ71" s="43" t="str">
        <f t="shared" si="16"/>
        <v/>
      </c>
    </row>
    <row r="72" spans="1:53" ht="20" customHeight="1" x14ac:dyDescent="0.2">
      <c r="A72" s="68"/>
      <c r="B72" s="25"/>
      <c r="C72" s="57" t="s">
        <v>49</v>
      </c>
      <c r="D72" s="56" t="s">
        <v>94</v>
      </c>
      <c r="E72" s="56" t="s">
        <v>95</v>
      </c>
      <c r="F72" s="57">
        <v>2015</v>
      </c>
      <c r="G72" s="57">
        <v>22</v>
      </c>
      <c r="H72" s="29"/>
      <c r="I72" s="28"/>
      <c r="J72" s="39"/>
      <c r="K72" s="40"/>
      <c r="L72" s="43" t="str">
        <f t="shared" si="17"/>
        <v/>
      </c>
      <c r="M72" s="40"/>
      <c r="N72" s="43" t="str">
        <f t="shared" si="1"/>
        <v/>
      </c>
      <c r="O72" s="40"/>
      <c r="P72" s="43" t="str">
        <f t="shared" si="1"/>
        <v/>
      </c>
      <c r="Q72" s="40"/>
      <c r="R72" s="43" t="str">
        <f t="shared" si="2"/>
        <v/>
      </c>
      <c r="S72" s="40"/>
      <c r="T72" s="43" t="str">
        <f t="shared" si="3"/>
        <v/>
      </c>
      <c r="U72" s="40"/>
      <c r="V72" s="43" t="str">
        <f t="shared" si="4"/>
        <v/>
      </c>
      <c r="W72" s="40"/>
      <c r="X72" s="43" t="str">
        <f t="shared" si="5"/>
        <v/>
      </c>
      <c r="Y72" s="40"/>
      <c r="Z72" s="43" t="str">
        <f t="shared" si="6"/>
        <v/>
      </c>
      <c r="AA72" s="40"/>
      <c r="AB72" s="43" t="str">
        <f t="shared" si="7"/>
        <v/>
      </c>
      <c r="AC72" s="40"/>
      <c r="AD72" s="43" t="str">
        <f t="shared" si="8"/>
        <v/>
      </c>
      <c r="AE72" s="40"/>
      <c r="AF72" s="43" t="str">
        <f t="shared" si="9"/>
        <v/>
      </c>
      <c r="AG72" s="40"/>
      <c r="AH72" s="43" t="str">
        <f t="shared" si="9"/>
        <v/>
      </c>
      <c r="AI72" s="40"/>
      <c r="AJ72" s="43" t="str">
        <f t="shared" si="9"/>
        <v/>
      </c>
      <c r="AK72" s="40"/>
      <c r="AL72" s="43" t="str">
        <f t="shared" si="9"/>
        <v/>
      </c>
      <c r="AM72" s="40"/>
      <c r="AN72" s="43" t="str">
        <f t="shared" si="10"/>
        <v/>
      </c>
      <c r="AO72" s="40"/>
      <c r="AP72" s="43" t="str">
        <f t="shared" si="11"/>
        <v/>
      </c>
      <c r="AQ72" s="40"/>
      <c r="AR72" s="43" t="str">
        <f t="shared" si="12"/>
        <v/>
      </c>
      <c r="AS72" s="40"/>
      <c r="AT72" s="43" t="str">
        <f t="shared" si="13"/>
        <v/>
      </c>
      <c r="AU72" s="40"/>
      <c r="AV72" s="43" t="str">
        <f t="shared" si="14"/>
        <v/>
      </c>
      <c r="AW72" s="37"/>
      <c r="AX72" s="43" t="str">
        <f t="shared" si="15"/>
        <v/>
      </c>
      <c r="AY72" s="66"/>
      <c r="AZ72" s="43" t="str">
        <f t="shared" si="16"/>
        <v/>
      </c>
    </row>
    <row r="73" spans="1:53" ht="20" customHeight="1" x14ac:dyDescent="0.2">
      <c r="A73" s="68"/>
      <c r="B73" s="25"/>
      <c r="C73" s="57" t="s">
        <v>49</v>
      </c>
      <c r="D73" s="56" t="s">
        <v>96</v>
      </c>
      <c r="E73" s="56" t="s">
        <v>97</v>
      </c>
      <c r="F73" s="57">
        <v>1996</v>
      </c>
      <c r="G73" s="57">
        <v>71</v>
      </c>
      <c r="H73" s="29"/>
      <c r="I73" s="28"/>
      <c r="J73" s="39"/>
      <c r="K73" s="40"/>
      <c r="L73" s="43" t="str">
        <f t="shared" si="17"/>
        <v/>
      </c>
      <c r="M73" s="40"/>
      <c r="N73" s="43" t="str">
        <f t="shared" si="1"/>
        <v/>
      </c>
      <c r="O73" s="40"/>
      <c r="P73" s="43" t="str">
        <f t="shared" si="1"/>
        <v/>
      </c>
      <c r="Q73" s="40"/>
      <c r="R73" s="43" t="str">
        <f t="shared" si="2"/>
        <v/>
      </c>
      <c r="S73" s="40"/>
      <c r="T73" s="43" t="str">
        <f t="shared" si="3"/>
        <v/>
      </c>
      <c r="U73" s="40"/>
      <c r="V73" s="43" t="str">
        <f t="shared" si="4"/>
        <v/>
      </c>
      <c r="W73" s="40"/>
      <c r="X73" s="43" t="str">
        <f t="shared" si="5"/>
        <v/>
      </c>
      <c r="Y73" s="40"/>
      <c r="Z73" s="43" t="str">
        <f t="shared" si="6"/>
        <v/>
      </c>
      <c r="AA73" s="40"/>
      <c r="AB73" s="43" t="str">
        <f t="shared" si="7"/>
        <v/>
      </c>
      <c r="AC73" s="40"/>
      <c r="AD73" s="43" t="str">
        <f t="shared" si="8"/>
        <v/>
      </c>
      <c r="AE73" s="40"/>
      <c r="AF73" s="43" t="str">
        <f t="shared" si="9"/>
        <v/>
      </c>
      <c r="AG73" s="40"/>
      <c r="AH73" s="43" t="str">
        <f t="shared" si="9"/>
        <v/>
      </c>
      <c r="AI73" s="40"/>
      <c r="AJ73" s="43" t="str">
        <f t="shared" si="9"/>
        <v/>
      </c>
      <c r="AK73" s="40"/>
      <c r="AL73" s="43" t="str">
        <f t="shared" si="9"/>
        <v/>
      </c>
      <c r="AM73" s="40"/>
      <c r="AN73" s="43" t="str">
        <f t="shared" si="10"/>
        <v/>
      </c>
      <c r="AO73" s="40"/>
      <c r="AP73" s="43" t="str">
        <f t="shared" si="11"/>
        <v/>
      </c>
      <c r="AQ73" s="40"/>
      <c r="AR73" s="43" t="str">
        <f t="shared" si="12"/>
        <v/>
      </c>
      <c r="AS73" s="40"/>
      <c r="AT73" s="43" t="str">
        <f t="shared" si="13"/>
        <v/>
      </c>
      <c r="AU73" s="40"/>
      <c r="AV73" s="43" t="str">
        <f t="shared" si="14"/>
        <v/>
      </c>
      <c r="AW73" s="37"/>
      <c r="AX73" s="43" t="str">
        <f t="shared" si="15"/>
        <v/>
      </c>
      <c r="AY73" s="66"/>
      <c r="AZ73" s="43" t="str">
        <f t="shared" si="16"/>
        <v/>
      </c>
    </row>
    <row r="74" spans="1:53" ht="20" customHeight="1" x14ac:dyDescent="0.2">
      <c r="A74" s="67"/>
      <c r="B74" s="96"/>
      <c r="C74" s="57" t="s">
        <v>30</v>
      </c>
      <c r="D74" s="56" t="s">
        <v>98</v>
      </c>
      <c r="E74" s="56" t="s">
        <v>99</v>
      </c>
      <c r="F74" s="57">
        <v>2011</v>
      </c>
      <c r="G74" s="57">
        <v>74</v>
      </c>
      <c r="H74" s="29">
        <v>221</v>
      </c>
      <c r="I74" s="28"/>
      <c r="J74" s="39"/>
      <c r="K74" s="40"/>
      <c r="L74" s="43" t="str">
        <f t="shared" si="17"/>
        <v/>
      </c>
      <c r="M74" s="40"/>
      <c r="N74" s="43" t="str">
        <f t="shared" si="1"/>
        <v/>
      </c>
      <c r="O74" s="40"/>
      <c r="P74" s="43" t="str">
        <f t="shared" si="1"/>
        <v/>
      </c>
      <c r="Q74" s="40"/>
      <c r="R74" s="43" t="str">
        <f t="shared" si="2"/>
        <v/>
      </c>
      <c r="S74" s="40"/>
      <c r="T74" s="43" t="str">
        <f t="shared" si="3"/>
        <v/>
      </c>
      <c r="U74" s="40"/>
      <c r="V74" s="43" t="str">
        <f t="shared" si="4"/>
        <v/>
      </c>
      <c r="W74" s="40"/>
      <c r="X74" s="43" t="str">
        <f t="shared" si="5"/>
        <v/>
      </c>
      <c r="Y74" s="40"/>
      <c r="Z74" s="43" t="str">
        <f t="shared" si="6"/>
        <v/>
      </c>
      <c r="AA74" s="40"/>
      <c r="AB74" s="43" t="str">
        <f t="shared" si="7"/>
        <v/>
      </c>
      <c r="AC74" s="40"/>
      <c r="AD74" s="43" t="str">
        <f t="shared" si="8"/>
        <v/>
      </c>
      <c r="AE74" s="40"/>
      <c r="AF74" s="43" t="str">
        <f t="shared" si="9"/>
        <v/>
      </c>
      <c r="AG74" s="40"/>
      <c r="AH74" s="43" t="str">
        <f t="shared" si="9"/>
        <v/>
      </c>
      <c r="AI74" s="40"/>
      <c r="AJ74" s="43" t="str">
        <f t="shared" si="9"/>
        <v/>
      </c>
      <c r="AK74" s="40"/>
      <c r="AL74" s="43" t="str">
        <f t="shared" ref="AL74:AL113" si="24">IF((ISERROR((AK74/$H74)*100)), "", IF(AND(NOT(ISERROR((AK74/$H74)*100)),((AK74/$H74)*100) &lt;&gt; 0), (AK74/$H74)*100, ""))</f>
        <v/>
      </c>
      <c r="AM74" s="40"/>
      <c r="AN74" s="43" t="str">
        <f t="shared" si="10"/>
        <v/>
      </c>
      <c r="AO74" s="40"/>
      <c r="AP74" s="43" t="str">
        <f t="shared" si="11"/>
        <v/>
      </c>
      <c r="AQ74" s="40"/>
      <c r="AR74" s="43" t="str">
        <f t="shared" si="12"/>
        <v/>
      </c>
      <c r="AS74" s="40"/>
      <c r="AT74" s="43" t="str">
        <f t="shared" si="13"/>
        <v/>
      </c>
      <c r="AU74" s="40"/>
      <c r="AV74" s="43" t="str">
        <f t="shared" si="14"/>
        <v/>
      </c>
      <c r="AW74" s="37"/>
      <c r="AX74" s="43" t="str">
        <f t="shared" si="15"/>
        <v/>
      </c>
      <c r="AY74" s="66"/>
      <c r="AZ74" s="43" t="str">
        <f t="shared" si="16"/>
        <v/>
      </c>
      <c r="BA74" s="24" t="s">
        <v>429</v>
      </c>
    </row>
    <row r="75" spans="1:53" ht="20" customHeight="1" x14ac:dyDescent="0.2">
      <c r="A75" s="67"/>
      <c r="B75" s="95"/>
      <c r="C75" s="25" t="s">
        <v>86</v>
      </c>
      <c r="D75" s="24" t="s">
        <v>100</v>
      </c>
      <c r="E75" s="24" t="s">
        <v>101</v>
      </c>
      <c r="F75" s="25">
        <v>2002</v>
      </c>
      <c r="G75" s="25">
        <v>103</v>
      </c>
      <c r="H75" s="29">
        <v>8</v>
      </c>
      <c r="I75" s="28"/>
      <c r="J75" s="39"/>
      <c r="K75" s="40"/>
      <c r="L75" s="43" t="str">
        <f t="shared" si="17"/>
        <v/>
      </c>
      <c r="M75" s="40"/>
      <c r="N75" s="43" t="str">
        <f t="shared" si="1"/>
        <v/>
      </c>
      <c r="O75" s="40"/>
      <c r="P75" s="43" t="str">
        <f t="shared" si="1"/>
        <v/>
      </c>
      <c r="Q75" s="40"/>
      <c r="R75" s="43" t="str">
        <f t="shared" ref="R75:R113" si="25">IF((ISERROR((Q75/$H75)*100)), "", IF(AND(NOT(ISERROR((Q75/$H75)*100)),((Q75/$H75)*100) &lt;&gt; 0), (Q75/$H75)*100, ""))</f>
        <v/>
      </c>
      <c r="S75" s="40"/>
      <c r="T75" s="43" t="str">
        <f t="shared" ref="T75:T113" si="26">IF((ISERROR((S75/$H75)*100)), "", IF(AND(NOT(ISERROR((S75/$H75)*100)),((S75/$H75)*100) &lt;&gt; 0), (S75/$H75)*100, ""))</f>
        <v/>
      </c>
      <c r="U75" s="40"/>
      <c r="V75" s="43" t="str">
        <f t="shared" ref="V75:V113" si="27">IF((ISERROR((U75/$H75)*100)), "", IF(AND(NOT(ISERROR((U75/$H75)*100)),((U75/$H75)*100) &lt;&gt; 0), (U75/$H75)*100, ""))</f>
        <v/>
      </c>
      <c r="W75" s="40"/>
      <c r="X75" s="43" t="str">
        <f t="shared" ref="X75:X113" si="28">IF((ISERROR((W75/$H75)*100)), "", IF(AND(NOT(ISERROR((W75/$H75)*100)),((W75/$H75)*100) &lt;&gt; 0), (W75/$H75)*100, ""))</f>
        <v/>
      </c>
      <c r="Y75" s="40"/>
      <c r="Z75" s="43" t="str">
        <f t="shared" ref="Z75:Z113" si="29">IF((ISERROR((Y75/$H75)*100)), "", IF(AND(NOT(ISERROR((Y75/$H75)*100)),((Y75/$H75)*100) &lt;&gt; 0), (Y75/$H75)*100, ""))</f>
        <v/>
      </c>
      <c r="AA75" s="40"/>
      <c r="AB75" s="43" t="str">
        <f t="shared" ref="AB75:AB113" si="30">IF((ISERROR((AA75/$H75)*100)), "", IF(AND(NOT(ISERROR((AA75/$H75)*100)),((AA75/$H75)*100) &lt;&gt; 0), (AA75/$H75)*100, ""))</f>
        <v/>
      </c>
      <c r="AC75" s="40"/>
      <c r="AD75" s="43" t="str">
        <f t="shared" ref="AD75:AD113" si="31">IF((ISERROR((AC75/$H75)*100)), "", IF(AND(NOT(ISERROR((AC75/$H75)*100)),((AC75/$H75)*100) &lt;&gt; 0), (AC75/$H75)*100, ""))</f>
        <v/>
      </c>
      <c r="AE75" s="40"/>
      <c r="AF75" s="43" t="str">
        <f t="shared" ref="AF75:AF113" si="32">IF((ISERROR((AE75/$H75)*100)), "", IF(AND(NOT(ISERROR((AE75/$H75)*100)),((AE75/$H75)*100) &lt;&gt; 0), (AE75/$H75)*100, ""))</f>
        <v/>
      </c>
      <c r="AG75" s="40"/>
      <c r="AH75" s="43" t="str">
        <f t="shared" ref="AH75:AH113" si="33">IF((ISERROR((AG75/$H75)*100)), "", IF(AND(NOT(ISERROR((AG75/$H75)*100)),((AG75/$H75)*100) &lt;&gt; 0), (AG75/$H75)*100, ""))</f>
        <v/>
      </c>
      <c r="AI75" s="40"/>
      <c r="AJ75" s="43" t="str">
        <f t="shared" ref="AJ75:AJ113" si="34">IF((ISERROR((AI75/$H75)*100)), "", IF(AND(NOT(ISERROR((AI75/$H75)*100)),((AI75/$H75)*100) &lt;&gt; 0), (AI75/$H75)*100, ""))</f>
        <v/>
      </c>
      <c r="AK75" s="40"/>
      <c r="AL75" s="43" t="str">
        <f t="shared" si="24"/>
        <v/>
      </c>
      <c r="AM75" s="40"/>
      <c r="AN75" s="43" t="str">
        <f t="shared" ref="AN75:AN113" si="35">IF((ISERROR((AM75/$H75)*100)), "", IF(AND(NOT(ISERROR((AM75/$H75)*100)),((AM75/$H75)*100) &lt;&gt; 0), (AM75/$H75)*100, ""))</f>
        <v/>
      </c>
      <c r="AO75" s="40"/>
      <c r="AP75" s="43" t="str">
        <f t="shared" ref="AP75:AP113" si="36">IF((ISERROR((AO75/$H75)*100)), "", IF(AND(NOT(ISERROR((AO75/$H75)*100)),((AO75/$H75)*100) &lt;&gt; 0), (AO75/$H75)*100, ""))</f>
        <v/>
      </c>
      <c r="AQ75" s="40"/>
      <c r="AR75" s="43" t="str">
        <f t="shared" ref="AR75:AR113" si="37">IF((ISERROR((AQ75/$H75)*100)), "", IF(AND(NOT(ISERROR((AQ75/$H75)*100)),((AQ75/$H75)*100) &lt;&gt; 0), (AQ75/$H75)*100, ""))</f>
        <v/>
      </c>
      <c r="AS75" s="40"/>
      <c r="AT75" s="43" t="str">
        <f t="shared" ref="AT75:AT113" si="38">IF((ISERROR((AS75/$H75)*100)), "", IF(AND(NOT(ISERROR((AS75/$H75)*100)),((AS75/$H75)*100) &lt;&gt; 0), (AS75/$H75)*100, ""))</f>
        <v/>
      </c>
      <c r="AU75" s="40"/>
      <c r="AV75" s="43" t="str">
        <f t="shared" ref="AV75:AV113" si="39">IF((ISERROR((AU75/$H75)*100)), "", IF(AND(NOT(ISERROR((AU75/$H75)*100)),((AU75/$H75)*100) &lt;&gt; 0), (AU75/$H75)*100, ""))</f>
        <v/>
      </c>
      <c r="AW75" s="37">
        <v>2</v>
      </c>
      <c r="AX75" s="43">
        <f t="shared" ref="AX75:AX113" si="40">IF((ISERROR((AW75/$H75)*100)), "", IF(AND(NOT(ISERROR((AW75/$H75)*100)),((AW75/$H75)*100) &lt;&gt; 0), (AW75/$H75)*100, ""))</f>
        <v>25</v>
      </c>
      <c r="AY75" s="66"/>
      <c r="AZ75" s="43" t="str">
        <f t="shared" ref="AZ75:AZ113" si="41">IF((ISERROR((AY75/$H75)*100)), "", IF(AND(NOT(ISERROR((AY75/$H75)*100)),((AY75/$H75)*100) &lt;&gt; 0), (AY75/$H75)*100, ""))</f>
        <v/>
      </c>
      <c r="BA75" s="24" t="s">
        <v>222</v>
      </c>
    </row>
    <row r="76" spans="1:53" ht="20" customHeight="1" x14ac:dyDescent="0.2">
      <c r="A76" s="67"/>
      <c r="B76" s="96"/>
      <c r="C76" s="57" t="s">
        <v>30</v>
      </c>
      <c r="D76" s="56" t="s">
        <v>102</v>
      </c>
      <c r="E76" s="56" t="s">
        <v>103</v>
      </c>
      <c r="F76" s="57">
        <v>2014</v>
      </c>
      <c r="G76" s="57">
        <v>30</v>
      </c>
      <c r="H76" s="29"/>
      <c r="I76" s="28"/>
      <c r="J76" s="39"/>
      <c r="K76" s="40">
        <v>2</v>
      </c>
      <c r="L76" s="43" t="str">
        <f t="shared" si="17"/>
        <v/>
      </c>
      <c r="M76" s="40"/>
      <c r="N76" s="43" t="str">
        <f t="shared" si="1"/>
        <v/>
      </c>
      <c r="O76" s="40"/>
      <c r="P76" s="43" t="str">
        <f t="shared" si="1"/>
        <v/>
      </c>
      <c r="Q76" s="45"/>
      <c r="R76" s="46" t="str">
        <f t="shared" si="25"/>
        <v/>
      </c>
      <c r="S76" s="45"/>
      <c r="T76" s="46" t="str">
        <f t="shared" si="26"/>
        <v/>
      </c>
      <c r="U76" s="40">
        <v>2</v>
      </c>
      <c r="V76" s="43" t="str">
        <f t="shared" si="27"/>
        <v/>
      </c>
      <c r="W76" s="40"/>
      <c r="X76" s="43" t="str">
        <f t="shared" si="28"/>
        <v/>
      </c>
      <c r="Y76" s="40"/>
      <c r="Z76" s="43" t="str">
        <f t="shared" si="29"/>
        <v/>
      </c>
      <c r="AA76" s="40">
        <v>1</v>
      </c>
      <c r="AB76" s="43" t="str">
        <f t="shared" si="30"/>
        <v/>
      </c>
      <c r="AC76" s="40"/>
      <c r="AD76" s="43" t="str">
        <f t="shared" si="31"/>
        <v/>
      </c>
      <c r="AE76" s="40"/>
      <c r="AF76" s="43" t="str">
        <f t="shared" si="32"/>
        <v/>
      </c>
      <c r="AG76" s="40"/>
      <c r="AH76" s="43" t="str">
        <f t="shared" si="33"/>
        <v/>
      </c>
      <c r="AI76" s="40"/>
      <c r="AJ76" s="43" t="str">
        <f t="shared" si="34"/>
        <v/>
      </c>
      <c r="AK76" s="40"/>
      <c r="AL76" s="43" t="str">
        <f t="shared" si="24"/>
        <v/>
      </c>
      <c r="AM76" s="40"/>
      <c r="AN76" s="43" t="str">
        <f t="shared" si="35"/>
        <v/>
      </c>
      <c r="AO76" s="40"/>
      <c r="AP76" s="43" t="str">
        <f t="shared" si="36"/>
        <v/>
      </c>
      <c r="AQ76" s="40"/>
      <c r="AR76" s="43" t="str">
        <f t="shared" si="37"/>
        <v/>
      </c>
      <c r="AS76" s="40"/>
      <c r="AT76" s="43" t="str">
        <f t="shared" si="38"/>
        <v/>
      </c>
      <c r="AU76" s="40"/>
      <c r="AV76" s="43" t="str">
        <f t="shared" si="39"/>
        <v/>
      </c>
      <c r="AW76" s="37"/>
      <c r="AX76" s="43" t="str">
        <f t="shared" si="40"/>
        <v/>
      </c>
      <c r="AY76" s="66"/>
      <c r="AZ76" s="43" t="str">
        <f t="shared" si="41"/>
        <v/>
      </c>
      <c r="BA76" s="24" t="s">
        <v>430</v>
      </c>
    </row>
    <row r="77" spans="1:53" ht="20" customHeight="1" x14ac:dyDescent="0.2">
      <c r="A77" s="67"/>
      <c r="B77" s="96"/>
      <c r="D77" s="24" t="s">
        <v>337</v>
      </c>
      <c r="E77" s="24" t="s">
        <v>338</v>
      </c>
      <c r="F77" s="25">
        <v>2013</v>
      </c>
      <c r="H77" s="29">
        <v>18</v>
      </c>
      <c r="I77" s="28"/>
      <c r="J77" s="39"/>
      <c r="K77" s="40"/>
      <c r="L77" s="43" t="str">
        <f t="shared" ref="L77:L113" si="42">IF((ISERROR((K77/$H77)*100)), "", IF(AND(NOT(ISERROR((K77/$H77)*100)),((K77/$H77)*100) &lt;&gt; 0), (K77/$H77)*100, ""))</f>
        <v/>
      </c>
      <c r="M77" s="40"/>
      <c r="N77" s="43" t="str">
        <f t="shared" si="1"/>
        <v/>
      </c>
      <c r="O77" s="40"/>
      <c r="P77" s="43" t="str">
        <f t="shared" si="1"/>
        <v/>
      </c>
      <c r="Q77" s="40"/>
      <c r="R77" s="43" t="str">
        <f t="shared" si="25"/>
        <v/>
      </c>
      <c r="S77" s="40"/>
      <c r="T77" s="43" t="str">
        <f t="shared" si="26"/>
        <v/>
      </c>
      <c r="U77" s="40"/>
      <c r="V77" s="43" t="str">
        <f t="shared" si="27"/>
        <v/>
      </c>
      <c r="W77" s="40"/>
      <c r="X77" s="43" t="str">
        <f t="shared" si="28"/>
        <v/>
      </c>
      <c r="Y77" s="40"/>
      <c r="Z77" s="43" t="str">
        <f t="shared" si="29"/>
        <v/>
      </c>
      <c r="AA77" s="40"/>
      <c r="AB77" s="43" t="str">
        <f t="shared" si="30"/>
        <v/>
      </c>
      <c r="AC77" s="40"/>
      <c r="AD77" s="43" t="str">
        <f t="shared" si="31"/>
        <v/>
      </c>
      <c r="AE77" s="40"/>
      <c r="AF77" s="43" t="str">
        <f t="shared" si="32"/>
        <v/>
      </c>
      <c r="AG77" s="40"/>
      <c r="AH77" s="43" t="str">
        <f t="shared" si="33"/>
        <v/>
      </c>
      <c r="AI77" s="40"/>
      <c r="AJ77" s="43" t="str">
        <f t="shared" si="34"/>
        <v/>
      </c>
      <c r="AK77" s="40"/>
      <c r="AL77" s="43" t="str">
        <f t="shared" si="24"/>
        <v/>
      </c>
      <c r="AM77" s="40"/>
      <c r="AN77" s="43" t="str">
        <f t="shared" si="35"/>
        <v/>
      </c>
      <c r="AO77" s="40"/>
      <c r="AP77" s="43" t="str">
        <f t="shared" si="36"/>
        <v/>
      </c>
      <c r="AQ77" s="40"/>
      <c r="AR77" s="43" t="str">
        <f t="shared" si="37"/>
        <v/>
      </c>
      <c r="AS77" s="40"/>
      <c r="AT77" s="43" t="str">
        <f t="shared" si="38"/>
        <v/>
      </c>
      <c r="AU77" s="40"/>
      <c r="AV77" s="43" t="str">
        <f t="shared" si="39"/>
        <v/>
      </c>
      <c r="AW77" s="38"/>
      <c r="AX77" s="43" t="str">
        <f t="shared" si="40"/>
        <v/>
      </c>
      <c r="AY77" s="66"/>
      <c r="AZ77" s="43" t="str">
        <f t="shared" si="41"/>
        <v/>
      </c>
      <c r="BA77" s="24" t="s">
        <v>406</v>
      </c>
    </row>
    <row r="78" spans="1:53" ht="20" customHeight="1" x14ac:dyDescent="0.2">
      <c r="A78" s="67"/>
      <c r="B78" s="96"/>
      <c r="C78" s="25" t="s">
        <v>86</v>
      </c>
      <c r="D78" s="24" t="s">
        <v>339</v>
      </c>
      <c r="E78" s="24" t="s">
        <v>340</v>
      </c>
      <c r="F78" s="25">
        <v>2015</v>
      </c>
      <c r="H78" s="29"/>
      <c r="I78" s="28"/>
      <c r="J78" s="39"/>
      <c r="K78" s="40"/>
      <c r="L78" s="43" t="str">
        <f t="shared" si="42"/>
        <v/>
      </c>
      <c r="M78" s="40"/>
      <c r="N78" s="43" t="str">
        <f t="shared" si="1"/>
        <v/>
      </c>
      <c r="O78" s="40"/>
      <c r="P78" s="43" t="str">
        <f t="shared" si="1"/>
        <v/>
      </c>
      <c r="Q78" s="40"/>
      <c r="R78" s="43" t="str">
        <f t="shared" si="25"/>
        <v/>
      </c>
      <c r="S78" s="40"/>
      <c r="T78" s="43" t="str">
        <f t="shared" si="26"/>
        <v/>
      </c>
      <c r="U78" s="40"/>
      <c r="V78" s="43" t="str">
        <f t="shared" si="27"/>
        <v/>
      </c>
      <c r="W78" s="40"/>
      <c r="X78" s="43" t="str">
        <f t="shared" si="28"/>
        <v/>
      </c>
      <c r="Y78" s="40"/>
      <c r="Z78" s="43" t="str">
        <f t="shared" si="29"/>
        <v/>
      </c>
      <c r="AA78" s="40"/>
      <c r="AB78" s="43" t="str">
        <f t="shared" si="30"/>
        <v/>
      </c>
      <c r="AC78" s="40"/>
      <c r="AD78" s="43" t="str">
        <f t="shared" si="31"/>
        <v/>
      </c>
      <c r="AE78" s="40"/>
      <c r="AF78" s="43" t="str">
        <f t="shared" si="32"/>
        <v/>
      </c>
      <c r="AG78" s="40"/>
      <c r="AH78" s="43" t="str">
        <f t="shared" si="33"/>
        <v/>
      </c>
      <c r="AI78" s="40"/>
      <c r="AJ78" s="43" t="str">
        <f t="shared" si="34"/>
        <v/>
      </c>
      <c r="AK78" s="40"/>
      <c r="AL78" s="43" t="str">
        <f t="shared" si="24"/>
        <v/>
      </c>
      <c r="AM78" s="40"/>
      <c r="AN78" s="43" t="str">
        <f t="shared" si="35"/>
        <v/>
      </c>
      <c r="AO78" s="40"/>
      <c r="AP78" s="43" t="str">
        <f t="shared" si="36"/>
        <v/>
      </c>
      <c r="AQ78" s="40"/>
      <c r="AR78" s="43" t="str">
        <f t="shared" si="37"/>
        <v/>
      </c>
      <c r="AS78" s="40"/>
      <c r="AT78" s="43" t="str">
        <f t="shared" si="38"/>
        <v/>
      </c>
      <c r="AU78" s="40"/>
      <c r="AV78" s="43" t="str">
        <f t="shared" si="39"/>
        <v/>
      </c>
      <c r="AW78" s="38"/>
      <c r="AX78" s="43" t="str">
        <f t="shared" si="40"/>
        <v/>
      </c>
      <c r="AY78" s="66"/>
      <c r="AZ78" s="43" t="str">
        <f t="shared" si="41"/>
        <v/>
      </c>
      <c r="BA78" s="24" t="s">
        <v>407</v>
      </c>
    </row>
    <row r="79" spans="1:53" ht="20" customHeight="1" x14ac:dyDescent="0.2">
      <c r="A79" s="67"/>
      <c r="B79" s="95"/>
      <c r="C79" s="25" t="s">
        <v>86</v>
      </c>
      <c r="D79" s="24" t="s">
        <v>104</v>
      </c>
      <c r="E79" s="24" t="s">
        <v>105</v>
      </c>
      <c r="F79" s="25">
        <v>1996</v>
      </c>
      <c r="G79" s="25">
        <v>12</v>
      </c>
      <c r="H79" s="29">
        <v>97</v>
      </c>
      <c r="I79" s="28" t="s">
        <v>225</v>
      </c>
      <c r="J79" s="39" t="s">
        <v>226</v>
      </c>
      <c r="K79" s="40">
        <v>3</v>
      </c>
      <c r="L79" s="43">
        <f t="shared" si="42"/>
        <v>3.0927835051546393</v>
      </c>
      <c r="M79" s="40">
        <v>6</v>
      </c>
      <c r="N79" s="43">
        <f t="shared" si="1"/>
        <v>6.1855670103092786</v>
      </c>
      <c r="O79" s="40"/>
      <c r="P79" s="43" t="str">
        <f t="shared" si="1"/>
        <v/>
      </c>
      <c r="Q79" s="40">
        <v>4</v>
      </c>
      <c r="R79" s="43">
        <f t="shared" si="25"/>
        <v>4.1237113402061851</v>
      </c>
      <c r="S79" s="40"/>
      <c r="T79" s="43" t="str">
        <f t="shared" si="26"/>
        <v/>
      </c>
      <c r="U79" s="40"/>
      <c r="V79" s="43" t="str">
        <f t="shared" si="27"/>
        <v/>
      </c>
      <c r="W79" s="40"/>
      <c r="X79" s="43" t="str">
        <f t="shared" si="28"/>
        <v/>
      </c>
      <c r="Y79" s="40"/>
      <c r="Z79" s="43" t="str">
        <f t="shared" si="29"/>
        <v/>
      </c>
      <c r="AA79" s="40"/>
      <c r="AB79" s="43" t="str">
        <f t="shared" si="30"/>
        <v/>
      </c>
      <c r="AC79" s="40">
        <v>1</v>
      </c>
      <c r="AD79" s="43">
        <f t="shared" si="31"/>
        <v>1.0309278350515463</v>
      </c>
      <c r="AE79" s="40"/>
      <c r="AF79" s="43" t="str">
        <f t="shared" si="32"/>
        <v/>
      </c>
      <c r="AG79" s="40"/>
      <c r="AH79" s="43" t="str">
        <f t="shared" si="33"/>
        <v/>
      </c>
      <c r="AI79" s="40">
        <v>1</v>
      </c>
      <c r="AJ79" s="43">
        <f t="shared" si="34"/>
        <v>1.0309278350515463</v>
      </c>
      <c r="AK79" s="40"/>
      <c r="AL79" s="43" t="str">
        <f t="shared" si="24"/>
        <v/>
      </c>
      <c r="AM79" s="40"/>
      <c r="AN79" s="43" t="str">
        <f t="shared" si="35"/>
        <v/>
      </c>
      <c r="AO79" s="40"/>
      <c r="AP79" s="43" t="str">
        <f t="shared" si="36"/>
        <v/>
      </c>
      <c r="AQ79" s="40"/>
      <c r="AR79" s="43" t="str">
        <f t="shared" si="37"/>
        <v/>
      </c>
      <c r="AS79" s="40"/>
      <c r="AT79" s="43" t="str">
        <f t="shared" si="38"/>
        <v/>
      </c>
      <c r="AU79" s="40"/>
      <c r="AV79" s="43" t="str">
        <f t="shared" si="39"/>
        <v/>
      </c>
      <c r="AW79" s="37">
        <v>16</v>
      </c>
      <c r="AX79" s="43">
        <f t="shared" si="40"/>
        <v>16.494845360824741</v>
      </c>
      <c r="AY79" s="66"/>
      <c r="AZ79" s="43" t="str">
        <f t="shared" si="41"/>
        <v/>
      </c>
      <c r="BA79" s="24" t="s">
        <v>431</v>
      </c>
    </row>
    <row r="80" spans="1:53" ht="20" customHeight="1" x14ac:dyDescent="0.2">
      <c r="A80" s="67"/>
      <c r="B80" s="96"/>
      <c r="C80" s="25" t="s">
        <v>86</v>
      </c>
      <c r="D80" s="24" t="s">
        <v>341</v>
      </c>
      <c r="E80" s="24" t="s">
        <v>342</v>
      </c>
      <c r="F80" s="25">
        <v>2009</v>
      </c>
      <c r="H80" s="29">
        <v>102</v>
      </c>
      <c r="I80" s="28" t="s">
        <v>238</v>
      </c>
      <c r="J80" s="39" t="s">
        <v>408</v>
      </c>
      <c r="K80" s="40"/>
      <c r="L80" s="43" t="str">
        <f t="shared" si="42"/>
        <v/>
      </c>
      <c r="M80" s="40"/>
      <c r="N80" s="43" t="str">
        <f t="shared" si="1"/>
        <v/>
      </c>
      <c r="O80" s="40"/>
      <c r="P80" s="43" t="str">
        <f t="shared" si="1"/>
        <v/>
      </c>
      <c r="Q80" s="40"/>
      <c r="R80" s="43" t="str">
        <f t="shared" si="25"/>
        <v/>
      </c>
      <c r="S80" s="40"/>
      <c r="T80" s="43" t="str">
        <f t="shared" si="26"/>
        <v/>
      </c>
      <c r="U80" s="40"/>
      <c r="V80" s="43" t="str">
        <f t="shared" si="27"/>
        <v/>
      </c>
      <c r="W80" s="40"/>
      <c r="X80" s="43" t="str">
        <f t="shared" si="28"/>
        <v/>
      </c>
      <c r="Y80" s="40"/>
      <c r="Z80" s="43" t="str">
        <f t="shared" si="29"/>
        <v/>
      </c>
      <c r="AA80" s="40"/>
      <c r="AB80" s="43" t="str">
        <f t="shared" si="30"/>
        <v/>
      </c>
      <c r="AC80" s="40"/>
      <c r="AD80" s="43" t="str">
        <f t="shared" si="31"/>
        <v/>
      </c>
      <c r="AE80" s="40"/>
      <c r="AF80" s="43" t="str">
        <f t="shared" si="32"/>
        <v/>
      </c>
      <c r="AG80" s="40"/>
      <c r="AH80" s="43" t="str">
        <f t="shared" si="33"/>
        <v/>
      </c>
      <c r="AI80" s="40"/>
      <c r="AJ80" s="43" t="str">
        <f t="shared" si="34"/>
        <v/>
      </c>
      <c r="AK80" s="40"/>
      <c r="AL80" s="43" t="str">
        <f t="shared" si="24"/>
        <v/>
      </c>
      <c r="AM80" s="40"/>
      <c r="AN80" s="43" t="str">
        <f t="shared" si="35"/>
        <v/>
      </c>
      <c r="AO80" s="40"/>
      <c r="AP80" s="43" t="str">
        <f t="shared" si="36"/>
        <v/>
      </c>
      <c r="AQ80" s="40"/>
      <c r="AR80" s="43" t="str">
        <f t="shared" si="37"/>
        <v/>
      </c>
      <c r="AS80" s="40"/>
      <c r="AT80" s="43" t="str">
        <f t="shared" si="38"/>
        <v/>
      </c>
      <c r="AU80" s="40"/>
      <c r="AV80" s="43" t="str">
        <f t="shared" si="39"/>
        <v/>
      </c>
      <c r="AW80" s="38"/>
      <c r="AX80" s="43" t="str">
        <f t="shared" si="40"/>
        <v/>
      </c>
      <c r="AY80" s="66"/>
      <c r="AZ80" s="43" t="str">
        <f t="shared" si="41"/>
        <v/>
      </c>
    </row>
    <row r="81" spans="1:53" ht="20" customHeight="1" x14ac:dyDescent="0.2">
      <c r="A81" s="68"/>
      <c r="B81" s="25"/>
      <c r="C81" s="25" t="s">
        <v>86</v>
      </c>
      <c r="D81" s="24" t="s">
        <v>106</v>
      </c>
      <c r="E81" s="24" t="s">
        <v>107</v>
      </c>
      <c r="F81" s="25">
        <v>1989</v>
      </c>
      <c r="G81" s="25">
        <v>27</v>
      </c>
      <c r="H81" s="29">
        <v>25</v>
      </c>
      <c r="I81" s="28" t="s">
        <v>232</v>
      </c>
      <c r="J81" s="39" t="s">
        <v>191</v>
      </c>
      <c r="K81" s="40"/>
      <c r="L81" s="43" t="str">
        <f t="shared" si="42"/>
        <v/>
      </c>
      <c r="M81" s="40"/>
      <c r="N81" s="43" t="str">
        <f t="shared" si="1"/>
        <v/>
      </c>
      <c r="O81" s="40"/>
      <c r="P81" s="43" t="str">
        <f t="shared" si="1"/>
        <v/>
      </c>
      <c r="Q81" s="40"/>
      <c r="R81" s="43" t="str">
        <f t="shared" si="25"/>
        <v/>
      </c>
      <c r="S81" s="40"/>
      <c r="T81" s="43" t="str">
        <f t="shared" si="26"/>
        <v/>
      </c>
      <c r="U81" s="40"/>
      <c r="V81" s="43" t="str">
        <f t="shared" si="27"/>
        <v/>
      </c>
      <c r="W81" s="40"/>
      <c r="X81" s="43" t="str">
        <f t="shared" si="28"/>
        <v/>
      </c>
      <c r="Y81" s="45"/>
      <c r="Z81" s="46" t="str">
        <f t="shared" si="29"/>
        <v/>
      </c>
      <c r="AA81" s="40"/>
      <c r="AB81" s="43" t="str">
        <f t="shared" si="30"/>
        <v/>
      </c>
      <c r="AC81" s="40"/>
      <c r="AD81" s="43" t="str">
        <f t="shared" si="31"/>
        <v/>
      </c>
      <c r="AE81" s="40"/>
      <c r="AF81" s="43" t="str">
        <f t="shared" si="32"/>
        <v/>
      </c>
      <c r="AG81" s="40"/>
      <c r="AH81" s="43" t="str">
        <f t="shared" si="33"/>
        <v/>
      </c>
      <c r="AI81" s="40"/>
      <c r="AJ81" s="43" t="str">
        <f t="shared" si="34"/>
        <v/>
      </c>
      <c r="AK81" s="40"/>
      <c r="AL81" s="43" t="str">
        <f t="shared" si="24"/>
        <v/>
      </c>
      <c r="AM81" s="40"/>
      <c r="AN81" s="43" t="str">
        <f t="shared" si="35"/>
        <v/>
      </c>
      <c r="AO81" s="40"/>
      <c r="AP81" s="43" t="str">
        <f t="shared" si="36"/>
        <v/>
      </c>
      <c r="AQ81" s="40"/>
      <c r="AR81" s="43" t="str">
        <f t="shared" si="37"/>
        <v/>
      </c>
      <c r="AS81" s="40"/>
      <c r="AT81" s="43" t="str">
        <f t="shared" si="38"/>
        <v/>
      </c>
      <c r="AU81" s="40"/>
      <c r="AV81" s="43" t="str">
        <f t="shared" si="39"/>
        <v/>
      </c>
      <c r="AW81" s="37"/>
      <c r="AX81" s="43" t="str">
        <f t="shared" si="40"/>
        <v/>
      </c>
      <c r="AY81" s="66"/>
      <c r="AZ81" s="43" t="str">
        <f t="shared" si="41"/>
        <v/>
      </c>
    </row>
    <row r="82" spans="1:53" ht="20" customHeight="1" x14ac:dyDescent="0.2">
      <c r="A82" s="68"/>
      <c r="B82" s="96"/>
      <c r="C82" s="25" t="s">
        <v>86</v>
      </c>
      <c r="D82" s="24" t="s">
        <v>343</v>
      </c>
      <c r="E82" s="24" t="s">
        <v>344</v>
      </c>
      <c r="F82" s="25">
        <v>2011</v>
      </c>
      <c r="H82" s="29"/>
      <c r="I82" s="28"/>
      <c r="J82" s="39"/>
      <c r="K82" s="40"/>
      <c r="L82" s="43" t="str">
        <f t="shared" si="42"/>
        <v/>
      </c>
      <c r="M82" s="40"/>
      <c r="N82" s="43" t="str">
        <f t="shared" si="1"/>
        <v/>
      </c>
      <c r="O82" s="40"/>
      <c r="P82" s="43" t="str">
        <f t="shared" si="1"/>
        <v/>
      </c>
      <c r="Q82" s="40"/>
      <c r="R82" s="43" t="str">
        <f t="shared" si="25"/>
        <v/>
      </c>
      <c r="S82" s="40"/>
      <c r="T82" s="43" t="str">
        <f t="shared" si="26"/>
        <v/>
      </c>
      <c r="U82" s="40"/>
      <c r="V82" s="43" t="str">
        <f t="shared" si="27"/>
        <v/>
      </c>
      <c r="W82" s="40"/>
      <c r="X82" s="43" t="str">
        <f t="shared" si="28"/>
        <v/>
      </c>
      <c r="Y82" s="40"/>
      <c r="Z82" s="43" t="str">
        <f t="shared" si="29"/>
        <v/>
      </c>
      <c r="AA82" s="40"/>
      <c r="AB82" s="43" t="str">
        <f t="shared" si="30"/>
        <v/>
      </c>
      <c r="AC82" s="40"/>
      <c r="AD82" s="43" t="str">
        <f t="shared" si="31"/>
        <v/>
      </c>
      <c r="AE82" s="40"/>
      <c r="AF82" s="43" t="str">
        <f t="shared" si="32"/>
        <v/>
      </c>
      <c r="AG82" s="40"/>
      <c r="AH82" s="43" t="str">
        <f t="shared" si="33"/>
        <v/>
      </c>
      <c r="AI82" s="40"/>
      <c r="AJ82" s="43" t="str">
        <f t="shared" si="34"/>
        <v/>
      </c>
      <c r="AK82" s="40"/>
      <c r="AL82" s="43" t="str">
        <f t="shared" si="24"/>
        <v/>
      </c>
      <c r="AM82" s="40"/>
      <c r="AN82" s="43" t="str">
        <f t="shared" si="35"/>
        <v/>
      </c>
      <c r="AO82" s="40"/>
      <c r="AP82" s="43" t="str">
        <f t="shared" si="36"/>
        <v/>
      </c>
      <c r="AQ82" s="40"/>
      <c r="AR82" s="43" t="str">
        <f t="shared" si="37"/>
        <v/>
      </c>
      <c r="AS82" s="40"/>
      <c r="AT82" s="43" t="str">
        <f t="shared" si="38"/>
        <v/>
      </c>
      <c r="AU82" s="40"/>
      <c r="AV82" s="43" t="str">
        <f t="shared" si="39"/>
        <v/>
      </c>
      <c r="AW82" s="38"/>
      <c r="AX82" s="43" t="str">
        <f t="shared" si="40"/>
        <v/>
      </c>
      <c r="AY82" s="66"/>
      <c r="AZ82" s="43" t="str">
        <f t="shared" si="41"/>
        <v/>
      </c>
      <c r="BA82" s="24" t="s">
        <v>409</v>
      </c>
    </row>
    <row r="83" spans="1:53" ht="20" customHeight="1" x14ac:dyDescent="0.2">
      <c r="A83" s="68"/>
      <c r="B83" s="95"/>
      <c r="C83" s="25" t="s">
        <v>86</v>
      </c>
      <c r="D83" s="24" t="s">
        <v>345</v>
      </c>
      <c r="E83" s="24" t="s">
        <v>346</v>
      </c>
      <c r="F83" s="25">
        <v>1977</v>
      </c>
      <c r="H83" s="29">
        <v>5</v>
      </c>
      <c r="I83" s="28" t="s">
        <v>410</v>
      </c>
      <c r="J83" s="39"/>
      <c r="K83" s="40"/>
      <c r="L83" s="43" t="str">
        <f t="shared" si="42"/>
        <v/>
      </c>
      <c r="M83" s="40"/>
      <c r="N83" s="43" t="str">
        <f t="shared" si="1"/>
        <v/>
      </c>
      <c r="O83" s="40"/>
      <c r="P83" s="43" t="str">
        <f t="shared" si="1"/>
        <v/>
      </c>
      <c r="Q83" s="40"/>
      <c r="R83" s="43" t="str">
        <f t="shared" si="25"/>
        <v/>
      </c>
      <c r="S83" s="40"/>
      <c r="T83" s="43" t="str">
        <f t="shared" si="26"/>
        <v/>
      </c>
      <c r="U83" s="40">
        <v>5</v>
      </c>
      <c r="V83" s="43">
        <f t="shared" si="27"/>
        <v>100</v>
      </c>
      <c r="W83" s="40"/>
      <c r="X83" s="43" t="str">
        <f t="shared" si="28"/>
        <v/>
      </c>
      <c r="Y83" s="40"/>
      <c r="Z83" s="43" t="str">
        <f t="shared" si="29"/>
        <v/>
      </c>
      <c r="AA83" s="40"/>
      <c r="AB83" s="43" t="str">
        <f t="shared" si="30"/>
        <v/>
      </c>
      <c r="AC83" s="40"/>
      <c r="AD83" s="43" t="str">
        <f t="shared" si="31"/>
        <v/>
      </c>
      <c r="AE83" s="40"/>
      <c r="AF83" s="43" t="str">
        <f t="shared" si="32"/>
        <v/>
      </c>
      <c r="AG83" s="40"/>
      <c r="AH83" s="43" t="str">
        <f t="shared" si="33"/>
        <v/>
      </c>
      <c r="AI83" s="40"/>
      <c r="AJ83" s="43" t="str">
        <f t="shared" si="34"/>
        <v/>
      </c>
      <c r="AK83" s="40"/>
      <c r="AL83" s="43" t="str">
        <f t="shared" si="24"/>
        <v/>
      </c>
      <c r="AM83" s="40"/>
      <c r="AN83" s="43" t="str">
        <f t="shared" si="35"/>
        <v/>
      </c>
      <c r="AO83" s="40"/>
      <c r="AP83" s="43" t="str">
        <f t="shared" si="36"/>
        <v/>
      </c>
      <c r="AQ83" s="40"/>
      <c r="AR83" s="43" t="str">
        <f t="shared" si="37"/>
        <v/>
      </c>
      <c r="AS83" s="40"/>
      <c r="AT83" s="43" t="str">
        <f t="shared" si="38"/>
        <v/>
      </c>
      <c r="AU83" s="40"/>
      <c r="AV83" s="43" t="str">
        <f t="shared" si="39"/>
        <v/>
      </c>
      <c r="AW83" s="38"/>
      <c r="AX83" s="43" t="str">
        <f t="shared" si="40"/>
        <v/>
      </c>
      <c r="AY83" s="66"/>
      <c r="AZ83" s="43" t="str">
        <f t="shared" si="41"/>
        <v/>
      </c>
      <c r="BA83" s="24" t="s">
        <v>411</v>
      </c>
    </row>
    <row r="84" spans="1:53" ht="20" customHeight="1" x14ac:dyDescent="0.2">
      <c r="A84" s="67"/>
      <c r="B84" s="95"/>
      <c r="C84" s="25" t="s">
        <v>86</v>
      </c>
      <c r="D84" s="24" t="s">
        <v>108</v>
      </c>
      <c r="E84" s="24" t="s">
        <v>109</v>
      </c>
      <c r="F84" s="25">
        <v>2008</v>
      </c>
      <c r="G84" s="25">
        <v>54</v>
      </c>
      <c r="H84" s="29">
        <v>30</v>
      </c>
      <c r="I84" s="28" t="s">
        <v>174</v>
      </c>
      <c r="J84" s="39" t="s">
        <v>233</v>
      </c>
      <c r="K84" s="40">
        <v>1</v>
      </c>
      <c r="L84" s="43">
        <f t="shared" si="42"/>
        <v>3.3333333333333335</v>
      </c>
      <c r="M84" s="40"/>
      <c r="N84" s="43" t="str">
        <f t="shared" si="1"/>
        <v/>
      </c>
      <c r="O84" s="40"/>
      <c r="P84" s="43" t="str">
        <f t="shared" si="1"/>
        <v/>
      </c>
      <c r="Q84" s="40"/>
      <c r="R84" s="43" t="str">
        <f t="shared" si="25"/>
        <v/>
      </c>
      <c r="S84" s="40"/>
      <c r="T84" s="43" t="str">
        <f t="shared" si="26"/>
        <v/>
      </c>
      <c r="U84" s="40"/>
      <c r="V84" s="43" t="str">
        <f t="shared" si="27"/>
        <v/>
      </c>
      <c r="W84" s="40"/>
      <c r="X84" s="43" t="str">
        <f t="shared" si="28"/>
        <v/>
      </c>
      <c r="Y84" s="40"/>
      <c r="Z84" s="43" t="str">
        <f t="shared" si="29"/>
        <v/>
      </c>
      <c r="AA84" s="40"/>
      <c r="AB84" s="43" t="str">
        <f t="shared" si="30"/>
        <v/>
      </c>
      <c r="AC84" s="40"/>
      <c r="AD84" s="43" t="str">
        <f t="shared" si="31"/>
        <v/>
      </c>
      <c r="AE84" s="40"/>
      <c r="AF84" s="43" t="str">
        <f t="shared" si="32"/>
        <v/>
      </c>
      <c r="AG84" s="40"/>
      <c r="AH84" s="43" t="str">
        <f t="shared" si="33"/>
        <v/>
      </c>
      <c r="AI84" s="40"/>
      <c r="AJ84" s="43" t="str">
        <f t="shared" si="34"/>
        <v/>
      </c>
      <c r="AK84" s="40"/>
      <c r="AL84" s="43" t="str">
        <f t="shared" si="24"/>
        <v/>
      </c>
      <c r="AM84" s="40">
        <v>1</v>
      </c>
      <c r="AN84" s="43">
        <f t="shared" si="35"/>
        <v>3.3333333333333335</v>
      </c>
      <c r="AO84" s="40"/>
      <c r="AP84" s="43" t="str">
        <f t="shared" si="36"/>
        <v/>
      </c>
      <c r="AQ84" s="40"/>
      <c r="AR84" s="43" t="str">
        <f t="shared" si="37"/>
        <v/>
      </c>
      <c r="AS84" s="40"/>
      <c r="AT84" s="43" t="str">
        <f t="shared" si="38"/>
        <v/>
      </c>
      <c r="AU84" s="40"/>
      <c r="AV84" s="43" t="str">
        <f t="shared" si="39"/>
        <v/>
      </c>
      <c r="AW84" s="37"/>
      <c r="AX84" s="43" t="str">
        <f t="shared" si="40"/>
        <v/>
      </c>
      <c r="AY84" s="66"/>
      <c r="AZ84" s="43" t="str">
        <f t="shared" si="41"/>
        <v/>
      </c>
    </row>
    <row r="85" spans="1:53" ht="20" customHeight="1" x14ac:dyDescent="0.2">
      <c r="A85" s="67"/>
      <c r="B85" s="96"/>
      <c r="C85" s="25" t="s">
        <v>86</v>
      </c>
      <c r="D85" s="24" t="s">
        <v>110</v>
      </c>
      <c r="E85" s="24" t="s">
        <v>111</v>
      </c>
      <c r="F85" s="25">
        <v>1999</v>
      </c>
      <c r="G85" s="25">
        <v>76</v>
      </c>
      <c r="H85" s="29">
        <v>7</v>
      </c>
      <c r="I85" s="28" t="s">
        <v>189</v>
      </c>
      <c r="J85" s="39" t="s">
        <v>212</v>
      </c>
      <c r="K85" s="40"/>
      <c r="L85" s="43" t="str">
        <f t="shared" si="42"/>
        <v/>
      </c>
      <c r="M85" s="40"/>
      <c r="N85" s="43" t="str">
        <f t="shared" si="1"/>
        <v/>
      </c>
      <c r="O85" s="40"/>
      <c r="P85" s="43" t="str">
        <f t="shared" si="1"/>
        <v/>
      </c>
      <c r="Q85" s="40"/>
      <c r="R85" s="43" t="str">
        <f t="shared" si="25"/>
        <v/>
      </c>
      <c r="S85" s="40"/>
      <c r="T85" s="43" t="str">
        <f t="shared" si="26"/>
        <v/>
      </c>
      <c r="U85" s="40"/>
      <c r="V85" s="43" t="str">
        <f t="shared" si="27"/>
        <v/>
      </c>
      <c r="W85" s="40"/>
      <c r="X85" s="43" t="str">
        <f t="shared" si="28"/>
        <v/>
      </c>
      <c r="Y85" s="40"/>
      <c r="Z85" s="43" t="str">
        <f t="shared" si="29"/>
        <v/>
      </c>
      <c r="AA85" s="40"/>
      <c r="AB85" s="43" t="str">
        <f t="shared" si="30"/>
        <v/>
      </c>
      <c r="AC85" s="40"/>
      <c r="AD85" s="43" t="str">
        <f t="shared" si="31"/>
        <v/>
      </c>
      <c r="AE85" s="40"/>
      <c r="AF85" s="43" t="str">
        <f t="shared" si="32"/>
        <v/>
      </c>
      <c r="AG85" s="40"/>
      <c r="AH85" s="43" t="str">
        <f t="shared" si="33"/>
        <v/>
      </c>
      <c r="AI85" s="40"/>
      <c r="AJ85" s="43" t="str">
        <f t="shared" si="34"/>
        <v/>
      </c>
      <c r="AK85" s="40"/>
      <c r="AL85" s="43" t="str">
        <f t="shared" si="24"/>
        <v/>
      </c>
      <c r="AM85" s="40"/>
      <c r="AN85" s="43" t="str">
        <f t="shared" si="35"/>
        <v/>
      </c>
      <c r="AO85" s="40"/>
      <c r="AP85" s="43" t="str">
        <f t="shared" si="36"/>
        <v/>
      </c>
      <c r="AQ85" s="40"/>
      <c r="AR85" s="43" t="str">
        <f t="shared" si="37"/>
        <v/>
      </c>
      <c r="AS85" s="40"/>
      <c r="AT85" s="43" t="str">
        <f t="shared" si="38"/>
        <v/>
      </c>
      <c r="AU85" s="40"/>
      <c r="AV85" s="43" t="str">
        <f t="shared" si="39"/>
        <v/>
      </c>
      <c r="AW85" s="37"/>
      <c r="AX85" s="43" t="str">
        <f t="shared" si="40"/>
        <v/>
      </c>
      <c r="AY85" s="66"/>
      <c r="AZ85" s="43" t="str">
        <f t="shared" si="41"/>
        <v/>
      </c>
      <c r="BA85" s="24" t="s">
        <v>196</v>
      </c>
    </row>
    <row r="86" spans="1:53" ht="20" customHeight="1" x14ac:dyDescent="0.2">
      <c r="A86" s="68"/>
      <c r="B86" s="96"/>
      <c r="C86" s="25" t="s">
        <v>86</v>
      </c>
      <c r="D86" s="24" t="s">
        <v>112</v>
      </c>
      <c r="E86" s="24" t="s">
        <v>113</v>
      </c>
      <c r="F86" s="25">
        <v>2008</v>
      </c>
      <c r="G86" s="25">
        <v>101</v>
      </c>
      <c r="H86" s="29">
        <v>16</v>
      </c>
      <c r="I86" s="28" t="s">
        <v>235</v>
      </c>
      <c r="J86" s="39"/>
      <c r="K86" s="40"/>
      <c r="L86" s="43" t="str">
        <f t="shared" si="42"/>
        <v/>
      </c>
      <c r="M86" s="40"/>
      <c r="N86" s="43" t="str">
        <f t="shared" si="1"/>
        <v/>
      </c>
      <c r="O86" s="40"/>
      <c r="P86" s="43" t="str">
        <f t="shared" si="1"/>
        <v/>
      </c>
      <c r="Q86" s="40"/>
      <c r="R86" s="43" t="str">
        <f t="shared" si="25"/>
        <v/>
      </c>
      <c r="S86" s="40"/>
      <c r="T86" s="43" t="str">
        <f t="shared" si="26"/>
        <v/>
      </c>
      <c r="U86" s="40"/>
      <c r="V86" s="43" t="str">
        <f t="shared" si="27"/>
        <v/>
      </c>
      <c r="W86" s="40"/>
      <c r="X86" s="43" t="str">
        <f t="shared" si="28"/>
        <v/>
      </c>
      <c r="Y86" s="40"/>
      <c r="Z86" s="43" t="str">
        <f t="shared" si="29"/>
        <v/>
      </c>
      <c r="AA86" s="40"/>
      <c r="AB86" s="43" t="str">
        <f t="shared" si="30"/>
        <v/>
      </c>
      <c r="AC86" s="40"/>
      <c r="AD86" s="43" t="str">
        <f t="shared" si="31"/>
        <v/>
      </c>
      <c r="AE86" s="40"/>
      <c r="AF86" s="43" t="str">
        <f t="shared" si="32"/>
        <v/>
      </c>
      <c r="AG86" s="40"/>
      <c r="AH86" s="43" t="str">
        <f t="shared" si="33"/>
        <v/>
      </c>
      <c r="AI86" s="40"/>
      <c r="AJ86" s="43" t="str">
        <f t="shared" si="34"/>
        <v/>
      </c>
      <c r="AK86" s="40"/>
      <c r="AL86" s="43" t="str">
        <f t="shared" si="24"/>
        <v/>
      </c>
      <c r="AM86" s="40"/>
      <c r="AN86" s="43" t="str">
        <f t="shared" si="35"/>
        <v/>
      </c>
      <c r="AO86" s="40"/>
      <c r="AP86" s="43" t="str">
        <f t="shared" si="36"/>
        <v/>
      </c>
      <c r="AQ86" s="40"/>
      <c r="AR86" s="43" t="str">
        <f t="shared" si="37"/>
        <v/>
      </c>
      <c r="AS86" s="40"/>
      <c r="AT86" s="43" t="str">
        <f t="shared" si="38"/>
        <v/>
      </c>
      <c r="AU86" s="40"/>
      <c r="AV86" s="43" t="str">
        <f t="shared" si="39"/>
        <v/>
      </c>
      <c r="AW86" s="37"/>
      <c r="AX86" s="43" t="str">
        <f t="shared" si="40"/>
        <v/>
      </c>
      <c r="AY86" s="66"/>
      <c r="AZ86" s="43" t="str">
        <f t="shared" si="41"/>
        <v/>
      </c>
      <c r="BA86" s="24" t="s">
        <v>432</v>
      </c>
    </row>
    <row r="87" spans="1:53" ht="20" customHeight="1" x14ac:dyDescent="0.2">
      <c r="A87" s="67"/>
      <c r="B87" s="95"/>
      <c r="C87" s="25" t="s">
        <v>86</v>
      </c>
      <c r="D87" s="24" t="s">
        <v>114</v>
      </c>
      <c r="E87" s="24" t="s">
        <v>115</v>
      </c>
      <c r="F87" s="25">
        <v>1997</v>
      </c>
      <c r="G87" s="25">
        <v>127</v>
      </c>
      <c r="H87" s="29">
        <v>8</v>
      </c>
      <c r="I87" s="28" t="s">
        <v>236</v>
      </c>
      <c r="J87" s="39" t="s">
        <v>237</v>
      </c>
      <c r="K87" s="40"/>
      <c r="L87" s="43" t="str">
        <f t="shared" si="42"/>
        <v/>
      </c>
      <c r="M87" s="40"/>
      <c r="N87" s="43" t="str">
        <f t="shared" si="1"/>
        <v/>
      </c>
      <c r="O87" s="40"/>
      <c r="P87" s="43" t="str">
        <f t="shared" si="1"/>
        <v/>
      </c>
      <c r="Q87" s="40"/>
      <c r="R87" s="43" t="str">
        <f t="shared" si="25"/>
        <v/>
      </c>
      <c r="S87" s="40"/>
      <c r="T87" s="43" t="str">
        <f t="shared" si="26"/>
        <v/>
      </c>
      <c r="U87" s="40"/>
      <c r="V87" s="43" t="str">
        <f t="shared" si="27"/>
        <v/>
      </c>
      <c r="W87" s="40"/>
      <c r="X87" s="43" t="str">
        <f t="shared" si="28"/>
        <v/>
      </c>
      <c r="Y87" s="40"/>
      <c r="Z87" s="43" t="str">
        <f t="shared" si="29"/>
        <v/>
      </c>
      <c r="AA87" s="40"/>
      <c r="AB87" s="43" t="str">
        <f t="shared" si="30"/>
        <v/>
      </c>
      <c r="AC87" s="40"/>
      <c r="AD87" s="43" t="str">
        <f t="shared" si="31"/>
        <v/>
      </c>
      <c r="AE87" s="40"/>
      <c r="AF87" s="43" t="str">
        <f t="shared" si="32"/>
        <v/>
      </c>
      <c r="AG87" s="40"/>
      <c r="AH87" s="43" t="str">
        <f t="shared" si="33"/>
        <v/>
      </c>
      <c r="AI87" s="40"/>
      <c r="AJ87" s="43" t="str">
        <f t="shared" si="34"/>
        <v/>
      </c>
      <c r="AK87" s="40"/>
      <c r="AL87" s="43" t="str">
        <f t="shared" si="24"/>
        <v/>
      </c>
      <c r="AM87" s="40"/>
      <c r="AN87" s="43" t="str">
        <f t="shared" si="35"/>
        <v/>
      </c>
      <c r="AO87" s="40"/>
      <c r="AP87" s="43" t="str">
        <f t="shared" si="36"/>
        <v/>
      </c>
      <c r="AQ87" s="40"/>
      <c r="AR87" s="43" t="str">
        <f t="shared" si="37"/>
        <v/>
      </c>
      <c r="AS87" s="40"/>
      <c r="AT87" s="43" t="str">
        <f t="shared" si="38"/>
        <v/>
      </c>
      <c r="AU87" s="40">
        <v>1</v>
      </c>
      <c r="AV87" s="43">
        <f t="shared" si="39"/>
        <v>12.5</v>
      </c>
      <c r="AW87" s="37">
        <v>1</v>
      </c>
      <c r="AX87" s="43">
        <f t="shared" si="40"/>
        <v>12.5</v>
      </c>
      <c r="AY87" s="66"/>
      <c r="AZ87" s="43" t="str">
        <f t="shared" si="41"/>
        <v/>
      </c>
      <c r="BA87" s="24" t="s">
        <v>433</v>
      </c>
    </row>
    <row r="88" spans="1:53" ht="20" customHeight="1" x14ac:dyDescent="0.2">
      <c r="A88" s="67"/>
      <c r="B88" s="25"/>
      <c r="C88" s="25" t="s">
        <v>86</v>
      </c>
      <c r="D88" s="24" t="s">
        <v>116</v>
      </c>
      <c r="E88" s="24" t="s">
        <v>117</v>
      </c>
      <c r="F88" s="25">
        <v>2001</v>
      </c>
      <c r="G88" s="25">
        <v>143</v>
      </c>
      <c r="H88" s="29">
        <v>6</v>
      </c>
      <c r="I88" s="28" t="s">
        <v>238</v>
      </c>
      <c r="J88" s="39" t="s">
        <v>213</v>
      </c>
      <c r="K88" s="40"/>
      <c r="L88" s="43" t="str">
        <f t="shared" si="42"/>
        <v/>
      </c>
      <c r="M88" s="40"/>
      <c r="N88" s="43" t="str">
        <f t="shared" si="1"/>
        <v/>
      </c>
      <c r="O88" s="40"/>
      <c r="P88" s="43" t="str">
        <f t="shared" si="1"/>
        <v/>
      </c>
      <c r="Q88" s="40"/>
      <c r="R88" s="43" t="str">
        <f t="shared" si="25"/>
        <v/>
      </c>
      <c r="S88" s="40"/>
      <c r="T88" s="43" t="str">
        <f t="shared" si="26"/>
        <v/>
      </c>
      <c r="U88" s="40"/>
      <c r="V88" s="43" t="str">
        <f t="shared" si="27"/>
        <v/>
      </c>
      <c r="W88" s="40"/>
      <c r="X88" s="43" t="str">
        <f t="shared" si="28"/>
        <v/>
      </c>
      <c r="Y88" s="40"/>
      <c r="Z88" s="43" t="str">
        <f t="shared" si="29"/>
        <v/>
      </c>
      <c r="AA88" s="40"/>
      <c r="AB88" s="43" t="str">
        <f t="shared" si="30"/>
        <v/>
      </c>
      <c r="AC88" s="40"/>
      <c r="AD88" s="43" t="str">
        <f t="shared" si="31"/>
        <v/>
      </c>
      <c r="AE88" s="40"/>
      <c r="AF88" s="43" t="str">
        <f t="shared" si="32"/>
        <v/>
      </c>
      <c r="AG88" s="40"/>
      <c r="AH88" s="43" t="str">
        <f t="shared" si="33"/>
        <v/>
      </c>
      <c r="AI88" s="40"/>
      <c r="AJ88" s="43" t="str">
        <f t="shared" si="34"/>
        <v/>
      </c>
      <c r="AK88" s="40"/>
      <c r="AL88" s="43" t="str">
        <f t="shared" si="24"/>
        <v/>
      </c>
      <c r="AM88" s="40"/>
      <c r="AN88" s="43" t="str">
        <f t="shared" si="35"/>
        <v/>
      </c>
      <c r="AO88" s="40"/>
      <c r="AP88" s="43" t="str">
        <f t="shared" si="36"/>
        <v/>
      </c>
      <c r="AQ88" s="40"/>
      <c r="AR88" s="43" t="str">
        <f t="shared" si="37"/>
        <v/>
      </c>
      <c r="AS88" s="40"/>
      <c r="AT88" s="43" t="str">
        <f t="shared" si="38"/>
        <v/>
      </c>
      <c r="AU88" s="40"/>
      <c r="AV88" s="43" t="str">
        <f t="shared" si="39"/>
        <v/>
      </c>
      <c r="AW88" s="37"/>
      <c r="AX88" s="43" t="str">
        <f t="shared" si="40"/>
        <v/>
      </c>
      <c r="AY88" s="66"/>
      <c r="AZ88" s="43" t="str">
        <f t="shared" si="41"/>
        <v/>
      </c>
      <c r="BA88" s="24" t="s">
        <v>239</v>
      </c>
    </row>
    <row r="89" spans="1:53" ht="20" customHeight="1" x14ac:dyDescent="0.2">
      <c r="A89" s="67"/>
      <c r="B89" s="25"/>
      <c r="C89" s="57" t="s">
        <v>30</v>
      </c>
      <c r="D89" s="56" t="s">
        <v>118</v>
      </c>
      <c r="E89" s="56" t="s">
        <v>119</v>
      </c>
      <c r="F89" s="57">
        <v>2004</v>
      </c>
      <c r="G89" s="57">
        <v>100</v>
      </c>
      <c r="H89" s="29" t="s">
        <v>240</v>
      </c>
      <c r="I89" s="28" t="s">
        <v>241</v>
      </c>
      <c r="J89" s="39"/>
      <c r="K89" s="40"/>
      <c r="L89" s="43" t="str">
        <f t="shared" si="42"/>
        <v/>
      </c>
      <c r="M89" s="40"/>
      <c r="N89" s="43" t="str">
        <f t="shared" si="1"/>
        <v/>
      </c>
      <c r="O89" s="40"/>
      <c r="P89" s="43" t="str">
        <f t="shared" si="1"/>
        <v/>
      </c>
      <c r="Q89" s="40"/>
      <c r="R89" s="43" t="str">
        <f t="shared" si="25"/>
        <v/>
      </c>
      <c r="S89" s="40"/>
      <c r="T89" s="43" t="str">
        <f t="shared" si="26"/>
        <v/>
      </c>
      <c r="U89" s="40"/>
      <c r="V89" s="43" t="str">
        <f t="shared" si="27"/>
        <v/>
      </c>
      <c r="W89" s="40"/>
      <c r="X89" s="43" t="str">
        <f t="shared" si="28"/>
        <v/>
      </c>
      <c r="Y89" s="40"/>
      <c r="Z89" s="43" t="str">
        <f t="shared" si="29"/>
        <v/>
      </c>
      <c r="AA89" s="40"/>
      <c r="AB89" s="43" t="str">
        <f t="shared" si="30"/>
        <v/>
      </c>
      <c r="AC89" s="40"/>
      <c r="AD89" s="43" t="str">
        <f t="shared" si="31"/>
        <v/>
      </c>
      <c r="AE89" s="40"/>
      <c r="AF89" s="43" t="str">
        <f t="shared" si="32"/>
        <v/>
      </c>
      <c r="AG89" s="40"/>
      <c r="AH89" s="43" t="str">
        <f t="shared" si="33"/>
        <v/>
      </c>
      <c r="AI89" s="40"/>
      <c r="AJ89" s="43" t="str">
        <f t="shared" si="34"/>
        <v/>
      </c>
      <c r="AK89" s="40"/>
      <c r="AL89" s="43" t="str">
        <f t="shared" si="24"/>
        <v/>
      </c>
      <c r="AM89" s="40"/>
      <c r="AN89" s="43" t="str">
        <f t="shared" si="35"/>
        <v/>
      </c>
      <c r="AO89" s="40"/>
      <c r="AP89" s="43" t="str">
        <f t="shared" si="36"/>
        <v/>
      </c>
      <c r="AQ89" s="40"/>
      <c r="AR89" s="43" t="str">
        <f t="shared" si="37"/>
        <v/>
      </c>
      <c r="AS89" s="40"/>
      <c r="AT89" s="43" t="str">
        <f t="shared" si="38"/>
        <v/>
      </c>
      <c r="AU89" s="40"/>
      <c r="AV89" s="43" t="str">
        <f t="shared" si="39"/>
        <v/>
      </c>
      <c r="AW89" s="37">
        <v>1</v>
      </c>
      <c r="AX89" s="43" t="str">
        <f t="shared" si="40"/>
        <v/>
      </c>
      <c r="AY89" s="66"/>
      <c r="AZ89" s="43" t="str">
        <f t="shared" si="41"/>
        <v/>
      </c>
      <c r="BA89" s="24" t="s">
        <v>434</v>
      </c>
    </row>
    <row r="90" spans="1:53" ht="20" customHeight="1" x14ac:dyDescent="0.2">
      <c r="A90" s="67"/>
      <c r="B90" s="95"/>
      <c r="C90" s="25" t="s">
        <v>86</v>
      </c>
      <c r="D90" s="24" t="s">
        <v>120</v>
      </c>
      <c r="E90" s="24" t="s">
        <v>121</v>
      </c>
      <c r="F90" s="25">
        <v>2003</v>
      </c>
      <c r="G90" s="25">
        <v>45</v>
      </c>
      <c r="H90" s="29">
        <v>16</v>
      </c>
      <c r="I90" s="28" t="s">
        <v>189</v>
      </c>
      <c r="J90" s="39" t="s">
        <v>377</v>
      </c>
      <c r="K90" s="40"/>
      <c r="L90" s="43" t="str">
        <f t="shared" si="42"/>
        <v/>
      </c>
      <c r="M90" s="40"/>
      <c r="N90" s="43" t="str">
        <f t="shared" si="1"/>
        <v/>
      </c>
      <c r="O90" s="40"/>
      <c r="P90" s="43" t="str">
        <f t="shared" si="1"/>
        <v/>
      </c>
      <c r="Q90" s="40"/>
      <c r="R90" s="43" t="str">
        <f t="shared" si="25"/>
        <v/>
      </c>
      <c r="S90" s="40"/>
      <c r="T90" s="43" t="str">
        <f t="shared" si="26"/>
        <v/>
      </c>
      <c r="U90" s="45"/>
      <c r="V90" s="46" t="str">
        <f t="shared" si="27"/>
        <v/>
      </c>
      <c r="W90" s="40"/>
      <c r="X90" s="43" t="str">
        <f t="shared" si="28"/>
        <v/>
      </c>
      <c r="Y90" s="40"/>
      <c r="Z90" s="43" t="str">
        <f t="shared" si="29"/>
        <v/>
      </c>
      <c r="AA90" s="40"/>
      <c r="AB90" s="43" t="str">
        <f t="shared" si="30"/>
        <v/>
      </c>
      <c r="AC90" s="40"/>
      <c r="AD90" s="43" t="str">
        <f t="shared" si="31"/>
        <v/>
      </c>
      <c r="AE90" s="40"/>
      <c r="AF90" s="43" t="str">
        <f t="shared" si="32"/>
        <v/>
      </c>
      <c r="AG90" s="40"/>
      <c r="AH90" s="43" t="str">
        <f t="shared" si="33"/>
        <v/>
      </c>
      <c r="AI90" s="40"/>
      <c r="AJ90" s="43" t="str">
        <f t="shared" si="34"/>
        <v/>
      </c>
      <c r="AK90" s="40"/>
      <c r="AL90" s="43" t="str">
        <f t="shared" si="24"/>
        <v/>
      </c>
      <c r="AM90" s="40"/>
      <c r="AN90" s="43" t="str">
        <f t="shared" si="35"/>
        <v/>
      </c>
      <c r="AO90" s="40"/>
      <c r="AP90" s="43" t="str">
        <f t="shared" si="36"/>
        <v/>
      </c>
      <c r="AQ90" s="40"/>
      <c r="AR90" s="43" t="str">
        <f t="shared" si="37"/>
        <v/>
      </c>
      <c r="AS90" s="40"/>
      <c r="AT90" s="43" t="str">
        <f t="shared" si="38"/>
        <v/>
      </c>
      <c r="AU90" s="40"/>
      <c r="AV90" s="43" t="str">
        <f t="shared" si="39"/>
        <v/>
      </c>
      <c r="AW90" s="37"/>
      <c r="AX90" s="43" t="str">
        <f t="shared" si="40"/>
        <v/>
      </c>
      <c r="AY90" s="66"/>
      <c r="AZ90" s="43" t="str">
        <f t="shared" si="41"/>
        <v/>
      </c>
      <c r="BA90" s="24" t="s">
        <v>244</v>
      </c>
    </row>
    <row r="91" spans="1:53" ht="20" customHeight="1" x14ac:dyDescent="0.2">
      <c r="A91" s="67"/>
      <c r="B91" s="96"/>
      <c r="C91" s="25" t="s">
        <v>86</v>
      </c>
      <c r="D91" s="24" t="s">
        <v>122</v>
      </c>
      <c r="E91" s="24" t="s">
        <v>123</v>
      </c>
      <c r="F91" s="25">
        <v>2002</v>
      </c>
      <c r="G91" s="25">
        <v>73</v>
      </c>
      <c r="H91" s="29">
        <v>49</v>
      </c>
      <c r="I91" s="28" t="s">
        <v>218</v>
      </c>
      <c r="J91" s="39"/>
      <c r="K91" s="40"/>
      <c r="L91" s="43" t="str">
        <f t="shared" si="42"/>
        <v/>
      </c>
      <c r="M91" s="40"/>
      <c r="N91" s="43" t="str">
        <f t="shared" si="1"/>
        <v/>
      </c>
      <c r="O91" s="40"/>
      <c r="P91" s="43" t="str">
        <f t="shared" si="1"/>
        <v/>
      </c>
      <c r="Q91" s="40"/>
      <c r="R91" s="43" t="str">
        <f t="shared" si="25"/>
        <v/>
      </c>
      <c r="S91" s="40"/>
      <c r="T91" s="43" t="str">
        <f t="shared" si="26"/>
        <v/>
      </c>
      <c r="U91" s="40"/>
      <c r="V91" s="43" t="str">
        <f t="shared" si="27"/>
        <v/>
      </c>
      <c r="W91" s="40"/>
      <c r="X91" s="43" t="str">
        <f t="shared" si="28"/>
        <v/>
      </c>
      <c r="Y91" s="40"/>
      <c r="Z91" s="43" t="str">
        <f t="shared" si="29"/>
        <v/>
      </c>
      <c r="AA91" s="40"/>
      <c r="AB91" s="43" t="str">
        <f t="shared" si="30"/>
        <v/>
      </c>
      <c r="AC91" s="40"/>
      <c r="AD91" s="43" t="str">
        <f t="shared" si="31"/>
        <v/>
      </c>
      <c r="AE91" s="40"/>
      <c r="AF91" s="43" t="str">
        <f t="shared" si="32"/>
        <v/>
      </c>
      <c r="AG91" s="40"/>
      <c r="AH91" s="43" t="str">
        <f t="shared" si="33"/>
        <v/>
      </c>
      <c r="AI91" s="40"/>
      <c r="AJ91" s="43" t="str">
        <f t="shared" si="34"/>
        <v/>
      </c>
      <c r="AK91" s="40"/>
      <c r="AL91" s="43" t="str">
        <f t="shared" si="24"/>
        <v/>
      </c>
      <c r="AM91" s="40"/>
      <c r="AN91" s="43" t="str">
        <f t="shared" si="35"/>
        <v/>
      </c>
      <c r="AO91" s="40"/>
      <c r="AP91" s="43" t="str">
        <f t="shared" si="36"/>
        <v/>
      </c>
      <c r="AQ91" s="40"/>
      <c r="AR91" s="43" t="str">
        <f t="shared" si="37"/>
        <v/>
      </c>
      <c r="AS91" s="40"/>
      <c r="AT91" s="43" t="str">
        <f t="shared" si="38"/>
        <v/>
      </c>
      <c r="AU91" s="40"/>
      <c r="AV91" s="43" t="str">
        <f t="shared" si="39"/>
        <v/>
      </c>
      <c r="AW91" s="37"/>
      <c r="AX91" s="43" t="str">
        <f t="shared" si="40"/>
        <v/>
      </c>
      <c r="AY91" s="66"/>
      <c r="AZ91" s="43" t="str">
        <f t="shared" si="41"/>
        <v/>
      </c>
      <c r="BA91" s="24" t="s">
        <v>196</v>
      </c>
    </row>
    <row r="92" spans="1:53" ht="20" customHeight="1" x14ac:dyDescent="0.2">
      <c r="A92" s="67"/>
      <c r="B92" s="95"/>
      <c r="C92" s="25" t="s">
        <v>86</v>
      </c>
      <c r="D92" s="24" t="s">
        <v>347</v>
      </c>
      <c r="E92" s="24" t="s">
        <v>348</v>
      </c>
      <c r="F92" s="25">
        <v>2015</v>
      </c>
      <c r="H92" s="29">
        <v>5</v>
      </c>
      <c r="I92" s="28" t="s">
        <v>235</v>
      </c>
      <c r="J92" s="39" t="s">
        <v>208</v>
      </c>
      <c r="K92" s="40"/>
      <c r="L92" s="43" t="str">
        <f t="shared" si="42"/>
        <v/>
      </c>
      <c r="M92" s="40"/>
      <c r="N92" s="43" t="str">
        <f t="shared" si="1"/>
        <v/>
      </c>
      <c r="O92" s="40"/>
      <c r="P92" s="43" t="str">
        <f t="shared" si="1"/>
        <v/>
      </c>
      <c r="Q92" s="40"/>
      <c r="R92" s="43" t="str">
        <f t="shared" si="25"/>
        <v/>
      </c>
      <c r="S92" s="40"/>
      <c r="T92" s="43" t="str">
        <f t="shared" si="26"/>
        <v/>
      </c>
      <c r="U92" s="40"/>
      <c r="V92" s="43" t="str">
        <f t="shared" si="27"/>
        <v/>
      </c>
      <c r="W92" s="40"/>
      <c r="X92" s="43" t="str">
        <f t="shared" si="28"/>
        <v/>
      </c>
      <c r="Y92" s="40"/>
      <c r="Z92" s="43" t="str">
        <f t="shared" si="29"/>
        <v/>
      </c>
      <c r="AA92" s="40"/>
      <c r="AB92" s="43" t="str">
        <f t="shared" si="30"/>
        <v/>
      </c>
      <c r="AC92" s="40"/>
      <c r="AD92" s="43" t="str">
        <f t="shared" si="31"/>
        <v/>
      </c>
      <c r="AE92" s="40"/>
      <c r="AF92" s="43" t="str">
        <f t="shared" si="32"/>
        <v/>
      </c>
      <c r="AG92" s="40"/>
      <c r="AH92" s="43" t="str">
        <f t="shared" si="33"/>
        <v/>
      </c>
      <c r="AI92" s="40"/>
      <c r="AJ92" s="43" t="str">
        <f t="shared" si="34"/>
        <v/>
      </c>
      <c r="AK92" s="40"/>
      <c r="AL92" s="43" t="str">
        <f t="shared" si="24"/>
        <v/>
      </c>
      <c r="AM92" s="40"/>
      <c r="AN92" s="43" t="str">
        <f t="shared" si="35"/>
        <v/>
      </c>
      <c r="AO92" s="40"/>
      <c r="AP92" s="43" t="str">
        <f t="shared" si="36"/>
        <v/>
      </c>
      <c r="AQ92" s="40"/>
      <c r="AR92" s="43" t="str">
        <f t="shared" si="37"/>
        <v/>
      </c>
      <c r="AS92" s="40"/>
      <c r="AT92" s="43" t="str">
        <f t="shared" si="38"/>
        <v/>
      </c>
      <c r="AU92" s="40"/>
      <c r="AV92" s="43" t="str">
        <f t="shared" si="39"/>
        <v/>
      </c>
      <c r="AW92" s="38"/>
      <c r="AX92" s="43" t="str">
        <f t="shared" si="40"/>
        <v/>
      </c>
      <c r="AY92" s="66">
        <v>1</v>
      </c>
      <c r="AZ92" s="43">
        <f t="shared" si="41"/>
        <v>20</v>
      </c>
    </row>
    <row r="93" spans="1:53" ht="20" customHeight="1" x14ac:dyDescent="0.2">
      <c r="A93" s="67"/>
      <c r="B93" s="96"/>
      <c r="C93" s="25" t="s">
        <v>86</v>
      </c>
      <c r="D93" s="24" t="s">
        <v>349</v>
      </c>
      <c r="E93" s="24" t="s">
        <v>350</v>
      </c>
      <c r="F93" s="25">
        <v>2008</v>
      </c>
      <c r="H93" s="29">
        <v>86</v>
      </c>
      <c r="I93" s="28" t="s">
        <v>189</v>
      </c>
      <c r="J93" s="39"/>
      <c r="K93" s="40"/>
      <c r="L93" s="43" t="str">
        <f t="shared" si="42"/>
        <v/>
      </c>
      <c r="M93" s="40"/>
      <c r="N93" s="43" t="str">
        <f t="shared" si="1"/>
        <v/>
      </c>
      <c r="O93" s="40"/>
      <c r="P93" s="43" t="str">
        <f t="shared" si="1"/>
        <v/>
      </c>
      <c r="Q93" s="40"/>
      <c r="R93" s="43" t="str">
        <f t="shared" si="25"/>
        <v/>
      </c>
      <c r="S93" s="40"/>
      <c r="T93" s="43" t="str">
        <f t="shared" si="26"/>
        <v/>
      </c>
      <c r="U93" s="40"/>
      <c r="V93" s="43" t="str">
        <f t="shared" si="27"/>
        <v/>
      </c>
      <c r="W93" s="40"/>
      <c r="X93" s="43" t="str">
        <f t="shared" si="28"/>
        <v/>
      </c>
      <c r="Y93" s="40"/>
      <c r="Z93" s="43" t="str">
        <f t="shared" si="29"/>
        <v/>
      </c>
      <c r="AA93" s="40"/>
      <c r="AB93" s="43" t="str">
        <f t="shared" si="30"/>
        <v/>
      </c>
      <c r="AC93" s="40"/>
      <c r="AD93" s="43" t="str">
        <f t="shared" si="31"/>
        <v/>
      </c>
      <c r="AE93" s="40"/>
      <c r="AF93" s="43" t="str">
        <f t="shared" si="32"/>
        <v/>
      </c>
      <c r="AG93" s="40"/>
      <c r="AH93" s="43" t="str">
        <f t="shared" si="33"/>
        <v/>
      </c>
      <c r="AI93" s="40"/>
      <c r="AJ93" s="43" t="str">
        <f t="shared" si="34"/>
        <v/>
      </c>
      <c r="AK93" s="40"/>
      <c r="AL93" s="43" t="str">
        <f t="shared" si="24"/>
        <v/>
      </c>
      <c r="AM93" s="40"/>
      <c r="AN93" s="43" t="str">
        <f t="shared" si="35"/>
        <v/>
      </c>
      <c r="AO93" s="40"/>
      <c r="AP93" s="43" t="str">
        <f t="shared" si="36"/>
        <v/>
      </c>
      <c r="AQ93" s="40"/>
      <c r="AR93" s="43" t="str">
        <f t="shared" si="37"/>
        <v/>
      </c>
      <c r="AS93" s="40"/>
      <c r="AT93" s="43" t="str">
        <f t="shared" si="38"/>
        <v/>
      </c>
      <c r="AU93" s="40"/>
      <c r="AV93" s="43" t="str">
        <f t="shared" si="39"/>
        <v/>
      </c>
      <c r="AW93" s="38"/>
      <c r="AX93" s="43" t="str">
        <f t="shared" si="40"/>
        <v/>
      </c>
      <c r="AY93" s="66"/>
      <c r="AZ93" s="43" t="str">
        <f t="shared" si="41"/>
        <v/>
      </c>
      <c r="BA93" s="24" t="s">
        <v>412</v>
      </c>
    </row>
    <row r="94" spans="1:53" ht="20" customHeight="1" x14ac:dyDescent="0.2">
      <c r="A94" s="67"/>
      <c r="B94" s="96"/>
      <c r="C94" s="25" t="s">
        <v>86</v>
      </c>
      <c r="D94" s="24" t="s">
        <v>351</v>
      </c>
      <c r="E94" s="24" t="s">
        <v>352</v>
      </c>
      <c r="F94" s="25">
        <v>2012</v>
      </c>
      <c r="H94" s="29">
        <v>16</v>
      </c>
      <c r="I94" s="28" t="s">
        <v>413</v>
      </c>
      <c r="J94" s="39" t="s">
        <v>233</v>
      </c>
      <c r="K94" s="40"/>
      <c r="L94" s="43" t="str">
        <f t="shared" si="42"/>
        <v/>
      </c>
      <c r="M94" s="40"/>
      <c r="N94" s="43" t="str">
        <f t="shared" si="1"/>
        <v/>
      </c>
      <c r="O94" s="40"/>
      <c r="P94" s="43" t="str">
        <f t="shared" si="1"/>
        <v/>
      </c>
      <c r="Q94" s="40"/>
      <c r="R94" s="43" t="str">
        <f t="shared" si="25"/>
        <v/>
      </c>
      <c r="S94" s="40"/>
      <c r="T94" s="43" t="str">
        <f t="shared" si="26"/>
        <v/>
      </c>
      <c r="U94" s="40"/>
      <c r="V94" s="43" t="str">
        <f t="shared" si="27"/>
        <v/>
      </c>
      <c r="W94" s="40"/>
      <c r="X94" s="43" t="str">
        <f t="shared" si="28"/>
        <v/>
      </c>
      <c r="Y94" s="40"/>
      <c r="Z94" s="43" t="str">
        <f t="shared" si="29"/>
        <v/>
      </c>
      <c r="AA94" s="40"/>
      <c r="AB94" s="43" t="str">
        <f t="shared" si="30"/>
        <v/>
      </c>
      <c r="AC94" s="40"/>
      <c r="AD94" s="43" t="str">
        <f t="shared" si="31"/>
        <v/>
      </c>
      <c r="AE94" s="40"/>
      <c r="AF94" s="43" t="str">
        <f t="shared" si="32"/>
        <v/>
      </c>
      <c r="AG94" s="40"/>
      <c r="AH94" s="43" t="str">
        <f t="shared" si="33"/>
        <v/>
      </c>
      <c r="AI94" s="40"/>
      <c r="AJ94" s="43" t="str">
        <f t="shared" si="34"/>
        <v/>
      </c>
      <c r="AK94" s="40"/>
      <c r="AL94" s="43" t="str">
        <f t="shared" si="24"/>
        <v/>
      </c>
      <c r="AM94" s="40"/>
      <c r="AN94" s="43" t="str">
        <f t="shared" si="35"/>
        <v/>
      </c>
      <c r="AO94" s="40"/>
      <c r="AP94" s="43" t="str">
        <f t="shared" si="36"/>
        <v/>
      </c>
      <c r="AQ94" s="40"/>
      <c r="AR94" s="43" t="str">
        <f t="shared" si="37"/>
        <v/>
      </c>
      <c r="AS94" s="40"/>
      <c r="AT94" s="43" t="str">
        <f t="shared" si="38"/>
        <v/>
      </c>
      <c r="AU94" s="40"/>
      <c r="AV94" s="43" t="str">
        <f t="shared" si="39"/>
        <v/>
      </c>
      <c r="AW94" s="38"/>
      <c r="AX94" s="43" t="str">
        <f t="shared" si="40"/>
        <v/>
      </c>
      <c r="AY94" s="66"/>
      <c r="AZ94" s="43" t="str">
        <f t="shared" si="41"/>
        <v/>
      </c>
    </row>
    <row r="95" spans="1:53" ht="20" customHeight="1" x14ac:dyDescent="0.2">
      <c r="A95" s="68"/>
      <c r="B95" s="25"/>
      <c r="C95" s="57" t="s">
        <v>35</v>
      </c>
      <c r="D95" s="56" t="s">
        <v>124</v>
      </c>
      <c r="E95" s="56" t="s">
        <v>125</v>
      </c>
      <c r="F95" s="57">
        <v>2007</v>
      </c>
      <c r="G95" s="57">
        <v>60</v>
      </c>
      <c r="H95" s="29"/>
      <c r="I95" s="28"/>
      <c r="J95" s="39"/>
      <c r="K95" s="40"/>
      <c r="L95" s="43" t="str">
        <f t="shared" si="42"/>
        <v/>
      </c>
      <c r="M95" s="40"/>
      <c r="N95" s="43" t="str">
        <f t="shared" si="1"/>
        <v/>
      </c>
      <c r="O95" s="40"/>
      <c r="P95" s="43" t="str">
        <f t="shared" si="1"/>
        <v/>
      </c>
      <c r="Q95" s="40"/>
      <c r="R95" s="43" t="str">
        <f t="shared" si="25"/>
        <v/>
      </c>
      <c r="S95" s="40"/>
      <c r="T95" s="43" t="str">
        <f t="shared" si="26"/>
        <v/>
      </c>
      <c r="U95" s="40"/>
      <c r="V95" s="43" t="str">
        <f t="shared" si="27"/>
        <v/>
      </c>
      <c r="W95" s="40"/>
      <c r="X95" s="43" t="str">
        <f t="shared" si="28"/>
        <v/>
      </c>
      <c r="Y95" s="40"/>
      <c r="Z95" s="43" t="str">
        <f t="shared" si="29"/>
        <v/>
      </c>
      <c r="AA95" s="40"/>
      <c r="AB95" s="43" t="str">
        <f t="shared" si="30"/>
        <v/>
      </c>
      <c r="AC95" s="40"/>
      <c r="AD95" s="43" t="str">
        <f t="shared" si="31"/>
        <v/>
      </c>
      <c r="AE95" s="40"/>
      <c r="AF95" s="43" t="str">
        <f t="shared" si="32"/>
        <v/>
      </c>
      <c r="AG95" s="40"/>
      <c r="AH95" s="43" t="str">
        <f t="shared" si="33"/>
        <v/>
      </c>
      <c r="AI95" s="40"/>
      <c r="AJ95" s="43" t="str">
        <f t="shared" si="34"/>
        <v/>
      </c>
      <c r="AK95" s="40"/>
      <c r="AL95" s="43" t="str">
        <f t="shared" si="24"/>
        <v/>
      </c>
      <c r="AM95" s="40"/>
      <c r="AN95" s="43" t="str">
        <f t="shared" si="35"/>
        <v/>
      </c>
      <c r="AO95" s="40"/>
      <c r="AP95" s="43" t="str">
        <f t="shared" si="36"/>
        <v/>
      </c>
      <c r="AQ95" s="40"/>
      <c r="AR95" s="43" t="str">
        <f t="shared" si="37"/>
        <v/>
      </c>
      <c r="AS95" s="40"/>
      <c r="AT95" s="43" t="str">
        <f t="shared" si="38"/>
        <v/>
      </c>
      <c r="AU95" s="40"/>
      <c r="AV95" s="43" t="str">
        <f t="shared" si="39"/>
        <v/>
      </c>
      <c r="AW95" s="37"/>
      <c r="AX95" s="43" t="str">
        <f t="shared" si="40"/>
        <v/>
      </c>
      <c r="AY95" s="66"/>
      <c r="AZ95" s="43" t="str">
        <f t="shared" si="41"/>
        <v/>
      </c>
      <c r="BA95" s="24" t="s">
        <v>435</v>
      </c>
    </row>
    <row r="96" spans="1:53" ht="20" customHeight="1" x14ac:dyDescent="0.2">
      <c r="A96" s="68"/>
      <c r="B96" s="25"/>
      <c r="C96" s="57" t="s">
        <v>30</v>
      </c>
      <c r="D96" s="56" t="s">
        <v>126</v>
      </c>
      <c r="E96" s="56" t="s">
        <v>127</v>
      </c>
      <c r="F96" s="57">
        <v>2014</v>
      </c>
      <c r="G96" s="57"/>
      <c r="H96" s="29"/>
      <c r="I96" s="28"/>
      <c r="J96" s="39"/>
      <c r="K96" s="40"/>
      <c r="L96" s="43" t="str">
        <f t="shared" si="42"/>
        <v/>
      </c>
      <c r="M96" s="40"/>
      <c r="N96" s="43" t="str">
        <f t="shared" si="1"/>
        <v/>
      </c>
      <c r="O96" s="40"/>
      <c r="P96" s="43" t="str">
        <f t="shared" si="1"/>
        <v/>
      </c>
      <c r="Q96" s="40"/>
      <c r="R96" s="43" t="str">
        <f t="shared" si="25"/>
        <v/>
      </c>
      <c r="S96" s="40"/>
      <c r="T96" s="43" t="str">
        <f t="shared" si="26"/>
        <v/>
      </c>
      <c r="U96" s="40"/>
      <c r="V96" s="43" t="str">
        <f t="shared" si="27"/>
        <v/>
      </c>
      <c r="W96" s="40"/>
      <c r="X96" s="43" t="str">
        <f t="shared" si="28"/>
        <v/>
      </c>
      <c r="Y96" s="40"/>
      <c r="Z96" s="43" t="str">
        <f t="shared" si="29"/>
        <v/>
      </c>
      <c r="AA96" s="40"/>
      <c r="AB96" s="43" t="str">
        <f t="shared" si="30"/>
        <v/>
      </c>
      <c r="AC96" s="40"/>
      <c r="AD96" s="43" t="str">
        <f t="shared" si="31"/>
        <v/>
      </c>
      <c r="AE96" s="40"/>
      <c r="AF96" s="43" t="str">
        <f t="shared" si="32"/>
        <v/>
      </c>
      <c r="AG96" s="40"/>
      <c r="AH96" s="43" t="str">
        <f t="shared" si="33"/>
        <v/>
      </c>
      <c r="AI96" s="40"/>
      <c r="AJ96" s="43" t="str">
        <f t="shared" si="34"/>
        <v/>
      </c>
      <c r="AK96" s="40"/>
      <c r="AL96" s="43" t="str">
        <f t="shared" si="24"/>
        <v/>
      </c>
      <c r="AM96" s="40"/>
      <c r="AN96" s="43" t="str">
        <f t="shared" si="35"/>
        <v/>
      </c>
      <c r="AO96" s="40"/>
      <c r="AP96" s="43" t="str">
        <f t="shared" si="36"/>
        <v/>
      </c>
      <c r="AQ96" s="40"/>
      <c r="AR96" s="43" t="str">
        <f t="shared" si="37"/>
        <v/>
      </c>
      <c r="AS96" s="40"/>
      <c r="AT96" s="43" t="str">
        <f t="shared" si="38"/>
        <v/>
      </c>
      <c r="AU96" s="40"/>
      <c r="AV96" s="43" t="str">
        <f t="shared" si="39"/>
        <v/>
      </c>
      <c r="AW96" s="37"/>
      <c r="AX96" s="43" t="str">
        <f t="shared" si="40"/>
        <v/>
      </c>
      <c r="AY96" s="66"/>
      <c r="AZ96" s="43" t="str">
        <f t="shared" si="41"/>
        <v/>
      </c>
    </row>
    <row r="97" spans="1:53" ht="20" customHeight="1" x14ac:dyDescent="0.2">
      <c r="A97" s="68"/>
      <c r="B97" s="25"/>
      <c r="C97" s="25" t="s">
        <v>86</v>
      </c>
      <c r="D97" s="24" t="s">
        <v>128</v>
      </c>
      <c r="E97" s="24" t="s">
        <v>129</v>
      </c>
      <c r="F97" s="25">
        <v>2000</v>
      </c>
      <c r="G97" s="25">
        <v>252</v>
      </c>
      <c r="H97" s="29">
        <v>40</v>
      </c>
      <c r="I97" s="28" t="s">
        <v>246</v>
      </c>
      <c r="J97" s="39" t="s">
        <v>176</v>
      </c>
      <c r="K97" s="40"/>
      <c r="L97" s="43" t="str">
        <f t="shared" si="42"/>
        <v/>
      </c>
      <c r="M97" s="40"/>
      <c r="N97" s="43" t="str">
        <f t="shared" si="1"/>
        <v/>
      </c>
      <c r="O97" s="40"/>
      <c r="P97" s="43" t="str">
        <f t="shared" si="1"/>
        <v/>
      </c>
      <c r="Q97" s="40"/>
      <c r="R97" s="43" t="str">
        <f t="shared" si="25"/>
        <v/>
      </c>
      <c r="S97" s="40"/>
      <c r="T97" s="43" t="str">
        <f t="shared" si="26"/>
        <v/>
      </c>
      <c r="U97" s="40"/>
      <c r="V97" s="43" t="str">
        <f t="shared" si="27"/>
        <v/>
      </c>
      <c r="W97" s="40"/>
      <c r="X97" s="43" t="str">
        <f t="shared" si="28"/>
        <v/>
      </c>
      <c r="Y97" s="40"/>
      <c r="Z97" s="43" t="str">
        <f t="shared" si="29"/>
        <v/>
      </c>
      <c r="AA97" s="40"/>
      <c r="AB97" s="43" t="str">
        <f t="shared" si="30"/>
        <v/>
      </c>
      <c r="AC97" s="40"/>
      <c r="AD97" s="43" t="str">
        <f t="shared" si="31"/>
        <v/>
      </c>
      <c r="AE97" s="40"/>
      <c r="AF97" s="43" t="str">
        <f t="shared" si="32"/>
        <v/>
      </c>
      <c r="AG97" s="40"/>
      <c r="AH97" s="43" t="str">
        <f t="shared" si="33"/>
        <v/>
      </c>
      <c r="AI97" s="40"/>
      <c r="AJ97" s="43" t="str">
        <f t="shared" si="34"/>
        <v/>
      </c>
      <c r="AK97" s="40"/>
      <c r="AL97" s="43" t="str">
        <f t="shared" si="24"/>
        <v/>
      </c>
      <c r="AM97" s="40"/>
      <c r="AN97" s="43" t="str">
        <f t="shared" si="35"/>
        <v/>
      </c>
      <c r="AO97" s="40"/>
      <c r="AP97" s="43" t="str">
        <f t="shared" si="36"/>
        <v/>
      </c>
      <c r="AQ97" s="40"/>
      <c r="AR97" s="43" t="str">
        <f t="shared" si="37"/>
        <v/>
      </c>
      <c r="AS97" s="40"/>
      <c r="AT97" s="43" t="str">
        <f t="shared" si="38"/>
        <v/>
      </c>
      <c r="AU97" s="40"/>
      <c r="AV97" s="43" t="str">
        <f t="shared" si="39"/>
        <v/>
      </c>
      <c r="AW97" s="37"/>
      <c r="AX97" s="43" t="str">
        <f t="shared" si="40"/>
        <v/>
      </c>
      <c r="AY97" s="66"/>
      <c r="AZ97" s="43" t="str">
        <f t="shared" si="41"/>
        <v/>
      </c>
      <c r="BA97" s="24" t="s">
        <v>247</v>
      </c>
    </row>
    <row r="98" spans="1:53" ht="20" customHeight="1" x14ac:dyDescent="0.2">
      <c r="A98" s="67"/>
      <c r="B98" s="25"/>
      <c r="C98" s="57" t="s">
        <v>30</v>
      </c>
      <c r="D98" s="56" t="s">
        <v>130</v>
      </c>
      <c r="E98" s="56" t="s">
        <v>131</v>
      </c>
      <c r="F98" s="57">
        <v>2009</v>
      </c>
      <c r="G98" s="57">
        <v>13</v>
      </c>
      <c r="H98" s="29"/>
      <c r="I98" s="28"/>
      <c r="J98" s="39"/>
      <c r="K98" s="40"/>
      <c r="L98" s="43" t="str">
        <f t="shared" si="42"/>
        <v/>
      </c>
      <c r="M98" s="40"/>
      <c r="N98" s="43" t="str">
        <f t="shared" si="1"/>
        <v/>
      </c>
      <c r="O98" s="40"/>
      <c r="P98" s="43" t="str">
        <f t="shared" si="1"/>
        <v/>
      </c>
      <c r="Q98" s="40"/>
      <c r="R98" s="43" t="str">
        <f t="shared" si="25"/>
        <v/>
      </c>
      <c r="S98" s="40"/>
      <c r="T98" s="43" t="str">
        <f t="shared" si="26"/>
        <v/>
      </c>
      <c r="U98" s="40"/>
      <c r="V98" s="43" t="str">
        <f t="shared" si="27"/>
        <v/>
      </c>
      <c r="W98" s="40"/>
      <c r="X98" s="43" t="str">
        <f t="shared" si="28"/>
        <v/>
      </c>
      <c r="Y98" s="40"/>
      <c r="Z98" s="43" t="str">
        <f t="shared" si="29"/>
        <v/>
      </c>
      <c r="AA98" s="40"/>
      <c r="AB98" s="43" t="str">
        <f t="shared" si="30"/>
        <v/>
      </c>
      <c r="AC98" s="40"/>
      <c r="AD98" s="43" t="str">
        <f t="shared" si="31"/>
        <v/>
      </c>
      <c r="AE98" s="40"/>
      <c r="AF98" s="43" t="str">
        <f t="shared" si="32"/>
        <v/>
      </c>
      <c r="AG98" s="40"/>
      <c r="AH98" s="43" t="str">
        <f t="shared" si="33"/>
        <v/>
      </c>
      <c r="AI98" s="40"/>
      <c r="AJ98" s="43" t="str">
        <f t="shared" si="34"/>
        <v/>
      </c>
      <c r="AK98" s="40"/>
      <c r="AL98" s="43" t="str">
        <f t="shared" si="24"/>
        <v/>
      </c>
      <c r="AM98" s="40"/>
      <c r="AN98" s="43" t="str">
        <f t="shared" si="35"/>
        <v/>
      </c>
      <c r="AO98" s="40"/>
      <c r="AP98" s="43" t="str">
        <f t="shared" si="36"/>
        <v/>
      </c>
      <c r="AQ98" s="40"/>
      <c r="AR98" s="43" t="str">
        <f t="shared" si="37"/>
        <v/>
      </c>
      <c r="AS98" s="40"/>
      <c r="AT98" s="43" t="str">
        <f t="shared" si="38"/>
        <v/>
      </c>
      <c r="AU98" s="40"/>
      <c r="AV98" s="43" t="str">
        <f t="shared" si="39"/>
        <v/>
      </c>
      <c r="AW98" s="37"/>
      <c r="AX98" s="43" t="str">
        <f t="shared" si="40"/>
        <v/>
      </c>
      <c r="AY98" s="66"/>
      <c r="AZ98" s="43" t="str">
        <f t="shared" si="41"/>
        <v/>
      </c>
    </row>
    <row r="99" spans="1:53" ht="20" customHeight="1" x14ac:dyDescent="0.2">
      <c r="A99" s="67"/>
      <c r="B99" s="95"/>
      <c r="C99" s="25" t="s">
        <v>86</v>
      </c>
      <c r="D99" s="24" t="s">
        <v>132</v>
      </c>
      <c r="E99" s="24" t="s">
        <v>133</v>
      </c>
      <c r="F99" s="25">
        <v>1998</v>
      </c>
      <c r="G99" s="25">
        <v>213</v>
      </c>
      <c r="H99" s="29">
        <v>6</v>
      </c>
      <c r="I99" s="28" t="s">
        <v>189</v>
      </c>
      <c r="J99" s="39"/>
      <c r="K99" s="40"/>
      <c r="L99" s="43" t="str">
        <f t="shared" si="42"/>
        <v/>
      </c>
      <c r="M99" s="40"/>
      <c r="N99" s="43" t="str">
        <f t="shared" si="1"/>
        <v/>
      </c>
      <c r="O99" s="40"/>
      <c r="P99" s="43" t="str">
        <f t="shared" si="1"/>
        <v/>
      </c>
      <c r="Q99" s="40"/>
      <c r="R99" s="43" t="str">
        <f t="shared" si="25"/>
        <v/>
      </c>
      <c r="S99" s="40"/>
      <c r="T99" s="43" t="str">
        <f t="shared" si="26"/>
        <v/>
      </c>
      <c r="U99" s="40"/>
      <c r="V99" s="43" t="str">
        <f t="shared" si="27"/>
        <v/>
      </c>
      <c r="W99" s="40"/>
      <c r="X99" s="43" t="str">
        <f t="shared" si="28"/>
        <v/>
      </c>
      <c r="Y99" s="40"/>
      <c r="Z99" s="43" t="str">
        <f t="shared" si="29"/>
        <v/>
      </c>
      <c r="AA99" s="40"/>
      <c r="AB99" s="43" t="str">
        <f t="shared" si="30"/>
        <v/>
      </c>
      <c r="AC99" s="40"/>
      <c r="AD99" s="43" t="str">
        <f t="shared" si="31"/>
        <v/>
      </c>
      <c r="AE99" s="40"/>
      <c r="AF99" s="43" t="str">
        <f t="shared" si="32"/>
        <v/>
      </c>
      <c r="AG99" s="40"/>
      <c r="AH99" s="43" t="str">
        <f t="shared" si="33"/>
        <v/>
      </c>
      <c r="AI99" s="40"/>
      <c r="AJ99" s="43" t="str">
        <f t="shared" si="34"/>
        <v/>
      </c>
      <c r="AK99" s="40"/>
      <c r="AL99" s="43" t="str">
        <f t="shared" si="24"/>
        <v/>
      </c>
      <c r="AM99" s="40"/>
      <c r="AN99" s="43" t="str">
        <f t="shared" si="35"/>
        <v/>
      </c>
      <c r="AO99" s="40"/>
      <c r="AP99" s="43" t="str">
        <f t="shared" si="36"/>
        <v/>
      </c>
      <c r="AQ99" s="40"/>
      <c r="AR99" s="43" t="str">
        <f t="shared" si="37"/>
        <v/>
      </c>
      <c r="AS99" s="45">
        <v>4</v>
      </c>
      <c r="AT99" s="46">
        <f t="shared" si="38"/>
        <v>66.666666666666657</v>
      </c>
      <c r="AU99" s="40"/>
      <c r="AV99" s="43" t="str">
        <f t="shared" si="39"/>
        <v/>
      </c>
      <c r="AW99" s="37"/>
      <c r="AX99" s="43" t="str">
        <f t="shared" si="40"/>
        <v/>
      </c>
      <c r="AY99" s="66"/>
      <c r="AZ99" s="43" t="str">
        <f t="shared" si="41"/>
        <v/>
      </c>
      <c r="BA99" s="24" t="s">
        <v>248</v>
      </c>
    </row>
    <row r="100" spans="1:53" ht="20" customHeight="1" x14ac:dyDescent="0.2">
      <c r="A100" s="68"/>
      <c r="B100" s="95"/>
      <c r="C100" s="25" t="s">
        <v>86</v>
      </c>
      <c r="D100" s="24" t="s">
        <v>134</v>
      </c>
      <c r="E100" s="24" t="s">
        <v>135</v>
      </c>
      <c r="F100" s="25">
        <v>2001</v>
      </c>
      <c r="G100" s="25">
        <v>192</v>
      </c>
      <c r="H100" s="29">
        <v>40</v>
      </c>
      <c r="I100" s="28" t="s">
        <v>189</v>
      </c>
      <c r="J100" s="39" t="s">
        <v>176</v>
      </c>
      <c r="K100" s="40">
        <v>2</v>
      </c>
      <c r="L100" s="43">
        <f t="shared" si="42"/>
        <v>5</v>
      </c>
      <c r="M100" s="40"/>
      <c r="N100" s="43" t="str">
        <f t="shared" si="1"/>
        <v/>
      </c>
      <c r="O100" s="40"/>
      <c r="P100" s="43" t="str">
        <f t="shared" ref="P100:P113" si="43">IF((ISERROR((O100/$H100)*100)), "", IF(AND(NOT(ISERROR((O100/$H100)*100)),((O100/$H100)*100) &lt;&gt; 0), (O100/$H100)*100, ""))</f>
        <v/>
      </c>
      <c r="Q100" s="40"/>
      <c r="R100" s="43" t="str">
        <f t="shared" si="25"/>
        <v/>
      </c>
      <c r="S100" s="40"/>
      <c r="T100" s="43" t="str">
        <f t="shared" si="26"/>
        <v/>
      </c>
      <c r="U100" s="40"/>
      <c r="V100" s="43" t="str">
        <f t="shared" si="27"/>
        <v/>
      </c>
      <c r="W100" s="40"/>
      <c r="X100" s="43" t="str">
        <f t="shared" si="28"/>
        <v/>
      </c>
      <c r="Y100" s="40"/>
      <c r="Z100" s="43" t="str">
        <f t="shared" si="29"/>
        <v/>
      </c>
      <c r="AA100" s="40"/>
      <c r="AB100" s="43" t="str">
        <f t="shared" si="30"/>
        <v/>
      </c>
      <c r="AC100" s="40"/>
      <c r="AD100" s="43" t="str">
        <f t="shared" si="31"/>
        <v/>
      </c>
      <c r="AE100" s="40"/>
      <c r="AF100" s="43" t="str">
        <f t="shared" si="32"/>
        <v/>
      </c>
      <c r="AG100" s="40"/>
      <c r="AH100" s="43" t="str">
        <f t="shared" si="33"/>
        <v/>
      </c>
      <c r="AI100" s="40"/>
      <c r="AJ100" s="43" t="str">
        <f t="shared" si="34"/>
        <v/>
      </c>
      <c r="AK100" s="40"/>
      <c r="AL100" s="43" t="str">
        <f t="shared" si="24"/>
        <v/>
      </c>
      <c r="AM100" s="40"/>
      <c r="AN100" s="43" t="str">
        <f t="shared" si="35"/>
        <v/>
      </c>
      <c r="AO100" s="40"/>
      <c r="AP100" s="43" t="str">
        <f t="shared" si="36"/>
        <v/>
      </c>
      <c r="AQ100" s="40"/>
      <c r="AR100" s="43" t="str">
        <f t="shared" si="37"/>
        <v/>
      </c>
      <c r="AS100" s="45">
        <v>1</v>
      </c>
      <c r="AT100" s="46">
        <f t="shared" si="38"/>
        <v>2.5</v>
      </c>
      <c r="AU100" s="40"/>
      <c r="AV100" s="43" t="str">
        <f t="shared" si="39"/>
        <v/>
      </c>
      <c r="AW100" s="37"/>
      <c r="AX100" s="43" t="str">
        <f t="shared" si="40"/>
        <v/>
      </c>
      <c r="AY100" s="66"/>
      <c r="AZ100" s="43" t="str">
        <f t="shared" si="41"/>
        <v/>
      </c>
      <c r="BA100" s="24" t="s">
        <v>436</v>
      </c>
    </row>
    <row r="101" spans="1:53" ht="20" customHeight="1" x14ac:dyDescent="0.2">
      <c r="A101" s="67"/>
      <c r="B101" s="96"/>
      <c r="C101" s="25" t="s">
        <v>86</v>
      </c>
      <c r="D101" s="24" t="s">
        <v>154</v>
      </c>
      <c r="E101" s="24" t="s">
        <v>153</v>
      </c>
      <c r="F101" s="25">
        <v>1999</v>
      </c>
      <c r="G101" s="25">
        <v>9</v>
      </c>
      <c r="H101" s="29">
        <v>30</v>
      </c>
      <c r="I101" s="28" t="s">
        <v>472</v>
      </c>
      <c r="J101" s="39" t="s">
        <v>251</v>
      </c>
      <c r="K101" s="40"/>
      <c r="L101" s="43" t="str">
        <f t="shared" si="42"/>
        <v/>
      </c>
      <c r="M101" s="40"/>
      <c r="N101" s="43" t="str">
        <f t="shared" si="1"/>
        <v/>
      </c>
      <c r="O101" s="40"/>
      <c r="P101" s="43" t="str">
        <f t="shared" si="43"/>
        <v/>
      </c>
      <c r="Q101" s="40"/>
      <c r="R101" s="43" t="str">
        <f t="shared" si="25"/>
        <v/>
      </c>
      <c r="S101" s="40"/>
      <c r="T101" s="43" t="str">
        <f t="shared" si="26"/>
        <v/>
      </c>
      <c r="U101" s="40"/>
      <c r="V101" s="43" t="str">
        <f t="shared" si="27"/>
        <v/>
      </c>
      <c r="W101" s="40"/>
      <c r="X101" s="43" t="str">
        <f t="shared" si="28"/>
        <v/>
      </c>
      <c r="Y101" s="40"/>
      <c r="Z101" s="43" t="str">
        <f t="shared" si="29"/>
        <v/>
      </c>
      <c r="AA101" s="40"/>
      <c r="AB101" s="43" t="str">
        <f t="shared" si="30"/>
        <v/>
      </c>
      <c r="AC101" s="40"/>
      <c r="AD101" s="43" t="str">
        <f t="shared" si="31"/>
        <v/>
      </c>
      <c r="AE101" s="40"/>
      <c r="AF101" s="43" t="str">
        <f t="shared" si="32"/>
        <v/>
      </c>
      <c r="AG101" s="40"/>
      <c r="AH101" s="43" t="str">
        <f t="shared" si="33"/>
        <v/>
      </c>
      <c r="AI101" s="40"/>
      <c r="AJ101" s="43" t="str">
        <f t="shared" si="34"/>
        <v/>
      </c>
      <c r="AK101" s="40"/>
      <c r="AL101" s="43" t="str">
        <f t="shared" si="24"/>
        <v/>
      </c>
      <c r="AM101" s="40"/>
      <c r="AN101" s="43" t="str">
        <f t="shared" si="35"/>
        <v/>
      </c>
      <c r="AO101" s="40"/>
      <c r="AP101" s="43" t="str">
        <f t="shared" si="36"/>
        <v/>
      </c>
      <c r="AQ101" s="40"/>
      <c r="AR101" s="43" t="str">
        <f t="shared" si="37"/>
        <v/>
      </c>
      <c r="AS101" s="40"/>
      <c r="AT101" s="43" t="str">
        <f t="shared" si="38"/>
        <v/>
      </c>
      <c r="AU101" s="40"/>
      <c r="AV101" s="43" t="str">
        <f t="shared" si="39"/>
        <v/>
      </c>
      <c r="AW101" s="66"/>
      <c r="AX101" s="43"/>
      <c r="AY101" s="66"/>
      <c r="AZ101" s="43" t="str">
        <f t="shared" si="41"/>
        <v/>
      </c>
      <c r="BA101" s="24" t="s">
        <v>437</v>
      </c>
    </row>
    <row r="102" spans="1:53" ht="20" customHeight="1" x14ac:dyDescent="0.2">
      <c r="A102" s="68"/>
      <c r="B102" s="25"/>
      <c r="C102" s="25" t="s">
        <v>86</v>
      </c>
      <c r="D102" s="24" t="s">
        <v>136</v>
      </c>
      <c r="E102" s="24" t="s">
        <v>137</v>
      </c>
      <c r="F102" s="25">
        <v>2007</v>
      </c>
      <c r="G102" s="25">
        <v>240</v>
      </c>
      <c r="H102" s="29">
        <v>105</v>
      </c>
      <c r="I102" s="28" t="s">
        <v>253</v>
      </c>
      <c r="J102" s="39" t="s">
        <v>176</v>
      </c>
      <c r="K102" s="40"/>
      <c r="L102" s="43" t="str">
        <f t="shared" si="42"/>
        <v/>
      </c>
      <c r="M102" s="40"/>
      <c r="N102" s="43" t="str">
        <f t="shared" si="1"/>
        <v/>
      </c>
      <c r="O102" s="40"/>
      <c r="P102" s="43" t="str">
        <f t="shared" si="43"/>
        <v/>
      </c>
      <c r="Q102" s="40"/>
      <c r="R102" s="43" t="str">
        <f t="shared" si="25"/>
        <v/>
      </c>
      <c r="S102" s="40"/>
      <c r="T102" s="43" t="str">
        <f t="shared" si="26"/>
        <v/>
      </c>
      <c r="U102" s="40"/>
      <c r="V102" s="43" t="str">
        <f t="shared" si="27"/>
        <v/>
      </c>
      <c r="W102" s="40"/>
      <c r="X102" s="43" t="str">
        <f t="shared" si="28"/>
        <v/>
      </c>
      <c r="Y102" s="40"/>
      <c r="Z102" s="43" t="str">
        <f t="shared" si="29"/>
        <v/>
      </c>
      <c r="AA102" s="40"/>
      <c r="AB102" s="43" t="str">
        <f t="shared" si="30"/>
        <v/>
      </c>
      <c r="AC102" s="40"/>
      <c r="AD102" s="43" t="str">
        <f t="shared" si="31"/>
        <v/>
      </c>
      <c r="AE102" s="40"/>
      <c r="AF102" s="43" t="str">
        <f t="shared" si="32"/>
        <v/>
      </c>
      <c r="AG102" s="40"/>
      <c r="AH102" s="43" t="str">
        <f t="shared" si="33"/>
        <v/>
      </c>
      <c r="AI102" s="40"/>
      <c r="AJ102" s="43" t="str">
        <f t="shared" si="34"/>
        <v/>
      </c>
      <c r="AK102" s="40"/>
      <c r="AL102" s="43" t="str">
        <f t="shared" si="24"/>
        <v/>
      </c>
      <c r="AM102" s="40"/>
      <c r="AN102" s="43" t="str">
        <f t="shared" si="35"/>
        <v/>
      </c>
      <c r="AO102" s="40"/>
      <c r="AP102" s="43" t="str">
        <f t="shared" si="36"/>
        <v/>
      </c>
      <c r="AQ102" s="40"/>
      <c r="AR102" s="43" t="str">
        <f t="shared" si="37"/>
        <v/>
      </c>
      <c r="AS102" s="40"/>
      <c r="AT102" s="43" t="str">
        <f t="shared" si="38"/>
        <v/>
      </c>
      <c r="AU102" s="40"/>
      <c r="AV102" s="43" t="str">
        <f t="shared" si="39"/>
        <v/>
      </c>
      <c r="AW102" s="37"/>
      <c r="AX102" s="43" t="str">
        <f t="shared" si="40"/>
        <v/>
      </c>
      <c r="AY102" s="66"/>
      <c r="AZ102" s="43" t="str">
        <f t="shared" si="41"/>
        <v/>
      </c>
      <c r="BA102" s="24" t="s">
        <v>254</v>
      </c>
    </row>
    <row r="103" spans="1:53" ht="20" customHeight="1" x14ac:dyDescent="0.2">
      <c r="A103" s="67"/>
      <c r="B103" s="95"/>
      <c r="C103" s="25" t="s">
        <v>86</v>
      </c>
      <c r="D103" s="24" t="s">
        <v>138</v>
      </c>
      <c r="E103" s="24" t="s">
        <v>139</v>
      </c>
      <c r="F103" s="25">
        <v>2011</v>
      </c>
      <c r="G103" s="25">
        <v>42</v>
      </c>
      <c r="H103" s="29">
        <v>51</v>
      </c>
      <c r="I103" s="28" t="s">
        <v>255</v>
      </c>
      <c r="J103" s="39" t="s">
        <v>256</v>
      </c>
      <c r="K103" s="45">
        <v>21</v>
      </c>
      <c r="L103" s="46">
        <f t="shared" si="42"/>
        <v>41.17647058823529</v>
      </c>
      <c r="M103" s="40"/>
      <c r="N103" s="43" t="str">
        <f t="shared" si="1"/>
        <v/>
      </c>
      <c r="O103" s="45">
        <v>1</v>
      </c>
      <c r="P103" s="46">
        <f t="shared" si="43"/>
        <v>1.9607843137254901</v>
      </c>
      <c r="Q103" s="40"/>
      <c r="R103" s="43" t="str">
        <f t="shared" si="25"/>
        <v/>
      </c>
      <c r="S103" s="40"/>
      <c r="T103" s="43" t="str">
        <f t="shared" si="26"/>
        <v/>
      </c>
      <c r="U103" s="40"/>
      <c r="V103" s="43" t="str">
        <f t="shared" si="27"/>
        <v/>
      </c>
      <c r="W103" s="40"/>
      <c r="X103" s="43" t="str">
        <f t="shared" si="28"/>
        <v/>
      </c>
      <c r="Y103" s="40"/>
      <c r="Z103" s="43" t="str">
        <f t="shared" si="29"/>
        <v/>
      </c>
      <c r="AA103" s="40"/>
      <c r="AB103" s="43" t="str">
        <f t="shared" si="30"/>
        <v/>
      </c>
      <c r="AC103" s="40"/>
      <c r="AD103" s="43" t="str">
        <f t="shared" si="31"/>
        <v/>
      </c>
      <c r="AE103" s="40"/>
      <c r="AF103" s="43" t="str">
        <f t="shared" si="32"/>
        <v/>
      </c>
      <c r="AG103" s="40"/>
      <c r="AH103" s="43" t="str">
        <f t="shared" si="33"/>
        <v/>
      </c>
      <c r="AI103" s="40"/>
      <c r="AJ103" s="43" t="str">
        <f t="shared" si="34"/>
        <v/>
      </c>
      <c r="AK103" s="40"/>
      <c r="AL103" s="43" t="str">
        <f t="shared" si="24"/>
        <v/>
      </c>
      <c r="AM103" s="40"/>
      <c r="AN103" s="43" t="str">
        <f t="shared" si="35"/>
        <v/>
      </c>
      <c r="AO103" s="40"/>
      <c r="AP103" s="43" t="str">
        <f t="shared" si="36"/>
        <v/>
      </c>
      <c r="AQ103" s="40"/>
      <c r="AR103" s="43" t="str">
        <f t="shared" si="37"/>
        <v/>
      </c>
      <c r="AS103" s="40"/>
      <c r="AT103" s="43" t="str">
        <f t="shared" si="38"/>
        <v/>
      </c>
      <c r="AU103" s="45" t="s">
        <v>257</v>
      </c>
      <c r="AV103" s="46" t="str">
        <f t="shared" si="39"/>
        <v/>
      </c>
      <c r="AW103" s="47">
        <v>4</v>
      </c>
      <c r="AX103" s="46">
        <f t="shared" si="40"/>
        <v>7.8431372549019605</v>
      </c>
      <c r="AY103" s="66"/>
      <c r="AZ103" s="43" t="str">
        <f t="shared" si="41"/>
        <v/>
      </c>
      <c r="BA103" s="24" t="s">
        <v>438</v>
      </c>
    </row>
    <row r="104" spans="1:53" ht="20" customHeight="1" x14ac:dyDescent="0.2">
      <c r="A104" s="67"/>
      <c r="B104" s="95"/>
      <c r="C104" s="25" t="s">
        <v>86</v>
      </c>
      <c r="D104" s="24" t="s">
        <v>353</v>
      </c>
      <c r="E104" s="24" t="s">
        <v>354</v>
      </c>
      <c r="F104" s="25">
        <v>2010</v>
      </c>
      <c r="H104" s="29">
        <v>53</v>
      </c>
      <c r="I104" s="91" t="s">
        <v>415</v>
      </c>
      <c r="J104" s="39" t="s">
        <v>414</v>
      </c>
      <c r="K104" s="40"/>
      <c r="L104" s="43"/>
      <c r="M104" s="40"/>
      <c r="N104" s="43" t="str">
        <f t="shared" si="1"/>
        <v/>
      </c>
      <c r="O104" s="40">
        <v>2</v>
      </c>
      <c r="P104" s="43">
        <f t="shared" si="43"/>
        <v>3.7735849056603774</v>
      </c>
      <c r="Q104" s="40">
        <v>9</v>
      </c>
      <c r="R104" s="43">
        <f t="shared" si="25"/>
        <v>16.981132075471699</v>
      </c>
      <c r="S104" s="40"/>
      <c r="T104" s="43" t="str">
        <f t="shared" si="26"/>
        <v/>
      </c>
      <c r="U104" s="40">
        <v>15</v>
      </c>
      <c r="V104" s="43">
        <f t="shared" si="27"/>
        <v>28.30188679245283</v>
      </c>
      <c r="W104" s="40"/>
      <c r="X104" s="43" t="str">
        <f t="shared" si="28"/>
        <v/>
      </c>
      <c r="Y104" s="40"/>
      <c r="Z104" s="43" t="str">
        <f t="shared" si="29"/>
        <v/>
      </c>
      <c r="AA104" s="40"/>
      <c r="AB104" s="43" t="str">
        <f t="shared" si="30"/>
        <v/>
      </c>
      <c r="AC104" s="40"/>
      <c r="AD104" s="43" t="str">
        <f t="shared" si="31"/>
        <v/>
      </c>
      <c r="AE104" s="40"/>
      <c r="AF104" s="43" t="str">
        <f t="shared" si="32"/>
        <v/>
      </c>
      <c r="AG104" s="40"/>
      <c r="AH104" s="43" t="str">
        <f t="shared" si="33"/>
        <v/>
      </c>
      <c r="AI104" s="40"/>
      <c r="AJ104" s="43" t="str">
        <f t="shared" si="34"/>
        <v/>
      </c>
      <c r="AK104" s="40">
        <v>3</v>
      </c>
      <c r="AL104" s="43">
        <f t="shared" si="24"/>
        <v>5.6603773584905666</v>
      </c>
      <c r="AM104" s="40"/>
      <c r="AN104" s="43" t="str">
        <f t="shared" si="35"/>
        <v/>
      </c>
      <c r="AO104" s="40"/>
      <c r="AP104" s="43" t="str">
        <f t="shared" si="36"/>
        <v/>
      </c>
      <c r="AQ104" s="40"/>
      <c r="AR104" s="43" t="str">
        <f t="shared" si="37"/>
        <v/>
      </c>
      <c r="AS104" s="40"/>
      <c r="AT104" s="43" t="str">
        <f t="shared" si="38"/>
        <v/>
      </c>
      <c r="AU104" s="40"/>
      <c r="AV104" s="43" t="str">
        <f t="shared" si="39"/>
        <v/>
      </c>
      <c r="AW104" s="38">
        <v>15</v>
      </c>
      <c r="AX104" s="43">
        <f t="shared" si="40"/>
        <v>28.30188679245283</v>
      </c>
      <c r="AY104" s="66"/>
      <c r="AZ104" s="43" t="str">
        <f t="shared" si="41"/>
        <v/>
      </c>
      <c r="BA104" s="24" t="s">
        <v>416</v>
      </c>
    </row>
    <row r="105" spans="1:53" ht="20" customHeight="1" x14ac:dyDescent="0.2">
      <c r="A105" s="67"/>
      <c r="B105" s="95"/>
      <c r="C105" s="25" t="s">
        <v>86</v>
      </c>
      <c r="D105" s="24" t="s">
        <v>355</v>
      </c>
      <c r="E105" s="24" t="s">
        <v>356</v>
      </c>
      <c r="F105" s="25">
        <v>2014</v>
      </c>
      <c r="H105" s="29">
        <v>39</v>
      </c>
      <c r="I105" s="28" t="s">
        <v>235</v>
      </c>
      <c r="J105" s="39" t="s">
        <v>417</v>
      </c>
      <c r="K105" s="40"/>
      <c r="L105" s="43" t="str">
        <f t="shared" si="42"/>
        <v/>
      </c>
      <c r="M105" s="40"/>
      <c r="N105" s="43" t="str">
        <f t="shared" si="1"/>
        <v/>
      </c>
      <c r="O105" s="40"/>
      <c r="P105" s="43" t="str">
        <f t="shared" si="43"/>
        <v/>
      </c>
      <c r="Q105" s="40"/>
      <c r="R105" s="43" t="str">
        <f t="shared" si="25"/>
        <v/>
      </c>
      <c r="S105" s="40"/>
      <c r="T105" s="43" t="str">
        <f t="shared" si="26"/>
        <v/>
      </c>
      <c r="U105" s="40"/>
      <c r="V105" s="43" t="str">
        <f t="shared" si="27"/>
        <v/>
      </c>
      <c r="W105" s="40"/>
      <c r="X105" s="43" t="str">
        <f t="shared" si="28"/>
        <v/>
      </c>
      <c r="Y105" s="40"/>
      <c r="Z105" s="43"/>
      <c r="AA105" s="40"/>
      <c r="AB105" s="43" t="str">
        <f t="shared" si="30"/>
        <v/>
      </c>
      <c r="AC105" s="40"/>
      <c r="AD105" s="43" t="str">
        <f t="shared" si="31"/>
        <v/>
      </c>
      <c r="AE105" s="40"/>
      <c r="AF105" s="43" t="str">
        <f t="shared" si="32"/>
        <v/>
      </c>
      <c r="AG105" s="40"/>
      <c r="AH105" s="43" t="str">
        <f t="shared" si="33"/>
        <v/>
      </c>
      <c r="AI105" s="40"/>
      <c r="AJ105" s="43" t="str">
        <f t="shared" si="34"/>
        <v/>
      </c>
      <c r="AK105" s="40"/>
      <c r="AL105" s="43" t="str">
        <f t="shared" si="24"/>
        <v/>
      </c>
      <c r="AM105" s="40"/>
      <c r="AN105" s="43" t="str">
        <f t="shared" si="35"/>
        <v/>
      </c>
      <c r="AO105" s="40"/>
      <c r="AP105" s="43"/>
      <c r="AQ105" s="40"/>
      <c r="AR105" s="43" t="str">
        <f t="shared" si="37"/>
        <v/>
      </c>
      <c r="AS105" s="40"/>
      <c r="AT105" s="43" t="str">
        <f t="shared" si="38"/>
        <v/>
      </c>
      <c r="AU105" s="40"/>
      <c r="AV105" s="43" t="str">
        <f t="shared" si="39"/>
        <v/>
      </c>
      <c r="AW105" s="38"/>
      <c r="AX105" s="43" t="str">
        <f t="shared" si="40"/>
        <v/>
      </c>
      <c r="AY105" s="66">
        <v>8</v>
      </c>
      <c r="AZ105" s="43">
        <f t="shared" si="41"/>
        <v>20.512820512820511</v>
      </c>
      <c r="BA105" s="24" t="s">
        <v>439</v>
      </c>
    </row>
    <row r="106" spans="1:53" ht="20" customHeight="1" x14ac:dyDescent="0.2">
      <c r="A106" s="67"/>
      <c r="B106" s="95"/>
      <c r="C106" s="25" t="s">
        <v>86</v>
      </c>
      <c r="D106" s="24" t="s">
        <v>357</v>
      </c>
      <c r="E106" s="24" t="s">
        <v>358</v>
      </c>
      <c r="F106" s="25">
        <v>2010</v>
      </c>
      <c r="H106" s="29">
        <v>789</v>
      </c>
      <c r="I106" s="28" t="s">
        <v>235</v>
      </c>
      <c r="J106" s="39" t="s">
        <v>419</v>
      </c>
      <c r="K106" s="40"/>
      <c r="L106" s="43" t="str">
        <f t="shared" si="42"/>
        <v/>
      </c>
      <c r="M106" s="40"/>
      <c r="N106" s="43" t="str">
        <f t="shared" si="1"/>
        <v/>
      </c>
      <c r="O106" s="40"/>
      <c r="P106" s="43" t="str">
        <f t="shared" si="43"/>
        <v/>
      </c>
      <c r="Q106" s="40"/>
      <c r="R106" s="43" t="str">
        <f t="shared" si="25"/>
        <v/>
      </c>
      <c r="S106" s="40"/>
      <c r="T106" s="43" t="str">
        <f t="shared" si="26"/>
        <v/>
      </c>
      <c r="U106" s="40"/>
      <c r="V106" s="43" t="str">
        <f t="shared" si="27"/>
        <v/>
      </c>
      <c r="W106" s="40"/>
      <c r="X106" s="43" t="str">
        <f t="shared" si="28"/>
        <v/>
      </c>
      <c r="Y106" s="40"/>
      <c r="Z106" s="43" t="str">
        <f t="shared" si="29"/>
        <v/>
      </c>
      <c r="AA106" s="40"/>
      <c r="AB106" s="43" t="str">
        <f t="shared" si="30"/>
        <v/>
      </c>
      <c r="AC106" s="40"/>
      <c r="AD106" s="43" t="str">
        <f t="shared" si="31"/>
        <v/>
      </c>
      <c r="AE106" s="40"/>
      <c r="AF106" s="43" t="str">
        <f t="shared" si="32"/>
        <v/>
      </c>
      <c r="AG106" s="40"/>
      <c r="AH106" s="43" t="str">
        <f t="shared" si="33"/>
        <v/>
      </c>
      <c r="AI106" s="40"/>
      <c r="AJ106" s="43" t="str">
        <f t="shared" si="34"/>
        <v/>
      </c>
      <c r="AK106" s="40"/>
      <c r="AL106" s="43" t="str">
        <f t="shared" si="24"/>
        <v/>
      </c>
      <c r="AM106" s="40"/>
      <c r="AN106" s="43" t="str">
        <f t="shared" si="35"/>
        <v/>
      </c>
      <c r="AO106" s="40"/>
      <c r="AP106" s="43" t="str">
        <f t="shared" si="36"/>
        <v/>
      </c>
      <c r="AQ106" s="40"/>
      <c r="AR106" s="43" t="str">
        <f t="shared" si="37"/>
        <v/>
      </c>
      <c r="AS106" s="40"/>
      <c r="AT106" s="43" t="str">
        <f t="shared" si="38"/>
        <v/>
      </c>
      <c r="AU106" s="40"/>
      <c r="AV106" s="43" t="str">
        <f t="shared" si="39"/>
        <v/>
      </c>
      <c r="AW106" s="38"/>
      <c r="AX106" s="43" t="str">
        <f t="shared" si="40"/>
        <v/>
      </c>
      <c r="AY106" s="66">
        <v>43</v>
      </c>
      <c r="AZ106" s="43">
        <f t="shared" si="41"/>
        <v>5.4499366286438535</v>
      </c>
      <c r="BA106" s="24" t="s">
        <v>418</v>
      </c>
    </row>
    <row r="107" spans="1:53" ht="20" customHeight="1" x14ac:dyDescent="0.2">
      <c r="A107" s="67"/>
      <c r="B107" s="96"/>
      <c r="C107" s="93" t="s">
        <v>423</v>
      </c>
      <c r="D107" s="24" t="s">
        <v>359</v>
      </c>
      <c r="E107" s="24" t="s">
        <v>360</v>
      </c>
      <c r="F107" s="25">
        <v>2016</v>
      </c>
      <c r="H107" s="29">
        <v>16</v>
      </c>
      <c r="I107" s="28" t="s">
        <v>421</v>
      </c>
      <c r="J107" s="92" t="s">
        <v>422</v>
      </c>
      <c r="K107" s="40"/>
      <c r="L107" s="43" t="str">
        <f t="shared" si="42"/>
        <v/>
      </c>
      <c r="M107" s="40"/>
      <c r="N107" s="43" t="str">
        <f t="shared" si="1"/>
        <v/>
      </c>
      <c r="O107" s="40"/>
      <c r="P107" s="43" t="str">
        <f t="shared" si="43"/>
        <v/>
      </c>
      <c r="Q107" s="40"/>
      <c r="R107" s="43" t="str">
        <f t="shared" si="25"/>
        <v/>
      </c>
      <c r="S107" s="40"/>
      <c r="T107" s="43" t="str">
        <f t="shared" si="26"/>
        <v/>
      </c>
      <c r="U107" s="40"/>
      <c r="V107" s="43" t="str">
        <f t="shared" si="27"/>
        <v/>
      </c>
      <c r="W107" s="40"/>
      <c r="X107" s="43" t="str">
        <f t="shared" si="28"/>
        <v/>
      </c>
      <c r="Y107" s="40"/>
      <c r="Z107" s="43" t="str">
        <f t="shared" si="29"/>
        <v/>
      </c>
      <c r="AA107" s="40"/>
      <c r="AB107" s="43" t="str">
        <f t="shared" si="30"/>
        <v/>
      </c>
      <c r="AC107" s="40"/>
      <c r="AD107" s="43" t="str">
        <f t="shared" si="31"/>
        <v/>
      </c>
      <c r="AE107" s="40"/>
      <c r="AF107" s="43" t="str">
        <f t="shared" si="32"/>
        <v/>
      </c>
      <c r="AG107" s="40"/>
      <c r="AH107" s="43" t="str">
        <f t="shared" si="33"/>
        <v/>
      </c>
      <c r="AI107" s="40"/>
      <c r="AJ107" s="43" t="str">
        <f t="shared" si="34"/>
        <v/>
      </c>
      <c r="AK107" s="40"/>
      <c r="AL107" s="43" t="str">
        <f t="shared" si="24"/>
        <v/>
      </c>
      <c r="AM107" s="40"/>
      <c r="AN107" s="43" t="str">
        <f t="shared" si="35"/>
        <v/>
      </c>
      <c r="AO107" s="40"/>
      <c r="AP107" s="43" t="str">
        <f t="shared" si="36"/>
        <v/>
      </c>
      <c r="AQ107" s="40"/>
      <c r="AR107" s="43" t="str">
        <f t="shared" si="37"/>
        <v/>
      </c>
      <c r="AS107" s="40"/>
      <c r="AT107" s="43" t="str">
        <f t="shared" si="38"/>
        <v/>
      </c>
      <c r="AU107" s="40"/>
      <c r="AV107" s="43" t="str">
        <f t="shared" si="39"/>
        <v/>
      </c>
      <c r="AW107" s="38"/>
      <c r="AX107" s="43" t="str">
        <f t="shared" si="40"/>
        <v/>
      </c>
      <c r="AY107" s="66"/>
      <c r="AZ107" s="43" t="str">
        <f t="shared" si="41"/>
        <v/>
      </c>
      <c r="BA107" s="24" t="s">
        <v>424</v>
      </c>
    </row>
    <row r="108" spans="1:53" ht="20" customHeight="1" x14ac:dyDescent="0.2">
      <c r="A108" s="67"/>
      <c r="B108" s="95"/>
      <c r="C108" s="94" t="s">
        <v>425</v>
      </c>
      <c r="D108" s="56" t="s">
        <v>140</v>
      </c>
      <c r="E108" s="56" t="s">
        <v>141</v>
      </c>
      <c r="F108" s="57">
        <v>2005</v>
      </c>
      <c r="G108" s="57">
        <v>21</v>
      </c>
      <c r="H108" s="29"/>
      <c r="I108" s="28" t="s">
        <v>259</v>
      </c>
      <c r="J108" s="39"/>
      <c r="K108" s="40"/>
      <c r="L108" s="43" t="str">
        <f t="shared" si="42"/>
        <v/>
      </c>
      <c r="M108" s="40"/>
      <c r="N108" s="43" t="str">
        <f t="shared" si="1"/>
        <v/>
      </c>
      <c r="O108" s="40"/>
      <c r="P108" s="43" t="str">
        <f t="shared" si="43"/>
        <v/>
      </c>
      <c r="Q108" s="40"/>
      <c r="R108" s="43" t="str">
        <f t="shared" si="25"/>
        <v/>
      </c>
      <c r="S108" s="40"/>
      <c r="T108" s="43" t="str">
        <f t="shared" si="26"/>
        <v/>
      </c>
      <c r="U108" s="40"/>
      <c r="V108" s="43" t="str">
        <f t="shared" si="27"/>
        <v/>
      </c>
      <c r="W108" s="40"/>
      <c r="X108" s="43" t="str">
        <f t="shared" si="28"/>
        <v/>
      </c>
      <c r="Y108" s="40"/>
      <c r="Z108" s="43" t="str">
        <f t="shared" si="29"/>
        <v/>
      </c>
      <c r="AA108" s="40"/>
      <c r="AB108" s="43" t="str">
        <f t="shared" si="30"/>
        <v/>
      </c>
      <c r="AC108" s="40"/>
      <c r="AD108" s="43" t="str">
        <f t="shared" si="31"/>
        <v/>
      </c>
      <c r="AE108" s="40"/>
      <c r="AF108" s="43" t="str">
        <f t="shared" si="32"/>
        <v/>
      </c>
      <c r="AG108" s="40"/>
      <c r="AH108" s="43" t="str">
        <f t="shared" si="33"/>
        <v/>
      </c>
      <c r="AI108" s="45">
        <v>5</v>
      </c>
      <c r="AJ108" s="46" t="str">
        <f t="shared" si="34"/>
        <v/>
      </c>
      <c r="AK108" s="40"/>
      <c r="AL108" s="43" t="str">
        <f t="shared" si="24"/>
        <v/>
      </c>
      <c r="AM108" s="40"/>
      <c r="AN108" s="43" t="str">
        <f t="shared" si="35"/>
        <v/>
      </c>
      <c r="AO108" s="40"/>
      <c r="AP108" s="43" t="str">
        <f t="shared" si="36"/>
        <v/>
      </c>
      <c r="AQ108" s="40"/>
      <c r="AR108" s="43" t="str">
        <f t="shared" si="37"/>
        <v/>
      </c>
      <c r="AS108" s="45">
        <v>5</v>
      </c>
      <c r="AT108" s="46" t="str">
        <f t="shared" si="38"/>
        <v/>
      </c>
      <c r="AU108" s="40"/>
      <c r="AV108" s="43" t="str">
        <f t="shared" si="39"/>
        <v/>
      </c>
      <c r="AW108" s="47">
        <v>16</v>
      </c>
      <c r="AX108" s="46" t="str">
        <f t="shared" si="40"/>
        <v/>
      </c>
      <c r="AY108" s="66"/>
      <c r="AZ108" s="43" t="str">
        <f t="shared" si="41"/>
        <v/>
      </c>
      <c r="BA108" s="24" t="s">
        <v>260</v>
      </c>
    </row>
    <row r="109" spans="1:53" ht="20" customHeight="1" x14ac:dyDescent="0.2">
      <c r="A109" s="68"/>
      <c r="B109" s="25"/>
      <c r="C109" s="25" t="s">
        <v>35</v>
      </c>
      <c r="D109" s="24" t="s">
        <v>142</v>
      </c>
      <c r="E109" s="24" t="s">
        <v>143</v>
      </c>
      <c r="F109" s="25">
        <v>2015</v>
      </c>
      <c r="G109" s="25">
        <v>1</v>
      </c>
      <c r="H109" s="29">
        <v>119</v>
      </c>
      <c r="I109" s="28"/>
      <c r="J109" s="39"/>
      <c r="K109" s="40"/>
      <c r="L109" s="43" t="str">
        <f t="shared" si="42"/>
        <v/>
      </c>
      <c r="M109" s="40"/>
      <c r="N109" s="43" t="str">
        <f t="shared" si="1"/>
        <v/>
      </c>
      <c r="O109" s="40"/>
      <c r="P109" s="43" t="str">
        <f t="shared" si="43"/>
        <v/>
      </c>
      <c r="Q109" s="40"/>
      <c r="R109" s="43" t="str">
        <f t="shared" si="25"/>
        <v/>
      </c>
      <c r="S109" s="40"/>
      <c r="T109" s="43" t="str">
        <f t="shared" si="26"/>
        <v/>
      </c>
      <c r="U109" s="40"/>
      <c r="V109" s="43" t="str">
        <f t="shared" si="27"/>
        <v/>
      </c>
      <c r="W109" s="40"/>
      <c r="X109" s="43" t="str">
        <f t="shared" si="28"/>
        <v/>
      </c>
      <c r="Y109" s="40"/>
      <c r="Z109" s="43" t="str">
        <f t="shared" si="29"/>
        <v/>
      </c>
      <c r="AA109" s="40"/>
      <c r="AB109" s="43" t="str">
        <f t="shared" si="30"/>
        <v/>
      </c>
      <c r="AC109" s="40"/>
      <c r="AD109" s="43" t="str">
        <f t="shared" si="31"/>
        <v/>
      </c>
      <c r="AE109" s="40"/>
      <c r="AF109" s="43" t="str">
        <f t="shared" si="32"/>
        <v/>
      </c>
      <c r="AG109" s="40"/>
      <c r="AH109" s="43" t="str">
        <f t="shared" si="33"/>
        <v/>
      </c>
      <c r="AI109" s="40"/>
      <c r="AJ109" s="43" t="str">
        <f t="shared" si="34"/>
        <v/>
      </c>
      <c r="AK109" s="40"/>
      <c r="AL109" s="43" t="str">
        <f t="shared" si="24"/>
        <v/>
      </c>
      <c r="AM109" s="40"/>
      <c r="AN109" s="43" t="str">
        <f t="shared" si="35"/>
        <v/>
      </c>
      <c r="AO109" s="40"/>
      <c r="AP109" s="43" t="str">
        <f t="shared" si="36"/>
        <v/>
      </c>
      <c r="AQ109" s="40"/>
      <c r="AR109" s="43" t="str">
        <f t="shared" si="37"/>
        <v/>
      </c>
      <c r="AS109" s="40"/>
      <c r="AT109" s="43" t="str">
        <f t="shared" si="38"/>
        <v/>
      </c>
      <c r="AU109" s="40"/>
      <c r="AV109" s="43" t="str">
        <f t="shared" si="39"/>
        <v/>
      </c>
      <c r="AW109" s="37"/>
      <c r="AX109" s="43" t="str">
        <f t="shared" si="40"/>
        <v/>
      </c>
      <c r="AY109" s="66"/>
      <c r="AZ109" s="43" t="str">
        <f t="shared" si="41"/>
        <v/>
      </c>
      <c r="BA109" s="24" t="s">
        <v>261</v>
      </c>
    </row>
    <row r="110" spans="1:53" ht="20" customHeight="1" x14ac:dyDescent="0.2">
      <c r="A110" s="68"/>
      <c r="B110" s="25"/>
      <c r="C110" s="25" t="s">
        <v>86</v>
      </c>
      <c r="D110" s="24" t="s">
        <v>144</v>
      </c>
      <c r="E110" s="24" t="s">
        <v>145</v>
      </c>
      <c r="F110" s="25">
        <v>2008</v>
      </c>
      <c r="G110" s="25">
        <v>156</v>
      </c>
      <c r="H110" s="29">
        <v>51</v>
      </c>
      <c r="I110" s="28" t="s">
        <v>189</v>
      </c>
      <c r="J110" s="39"/>
      <c r="K110" s="40"/>
      <c r="L110" s="43" t="str">
        <f t="shared" si="42"/>
        <v/>
      </c>
      <c r="M110" s="40"/>
      <c r="N110" s="43" t="str">
        <f t="shared" si="1"/>
        <v/>
      </c>
      <c r="O110" s="40"/>
      <c r="P110" s="43" t="str">
        <f t="shared" si="43"/>
        <v/>
      </c>
      <c r="Q110" s="40"/>
      <c r="R110" s="43" t="str">
        <f t="shared" si="25"/>
        <v/>
      </c>
      <c r="S110" s="40"/>
      <c r="T110" s="43" t="str">
        <f t="shared" si="26"/>
        <v/>
      </c>
      <c r="U110" s="40"/>
      <c r="V110" s="43" t="str">
        <f t="shared" si="27"/>
        <v/>
      </c>
      <c r="W110" s="40"/>
      <c r="X110" s="43" t="str">
        <f t="shared" si="28"/>
        <v/>
      </c>
      <c r="Y110" s="40"/>
      <c r="Z110" s="43" t="str">
        <f t="shared" si="29"/>
        <v/>
      </c>
      <c r="AA110" s="40"/>
      <c r="AB110" s="43" t="str">
        <f t="shared" si="30"/>
        <v/>
      </c>
      <c r="AC110" s="40"/>
      <c r="AD110" s="43" t="str">
        <f t="shared" si="31"/>
        <v/>
      </c>
      <c r="AE110" s="40"/>
      <c r="AF110" s="43" t="str">
        <f t="shared" si="32"/>
        <v/>
      </c>
      <c r="AG110" s="40"/>
      <c r="AH110" s="43" t="str">
        <f t="shared" si="33"/>
        <v/>
      </c>
      <c r="AI110" s="40"/>
      <c r="AJ110" s="43" t="str">
        <f t="shared" si="34"/>
        <v/>
      </c>
      <c r="AK110" s="40"/>
      <c r="AL110" s="43" t="str">
        <f t="shared" si="24"/>
        <v/>
      </c>
      <c r="AM110" s="40"/>
      <c r="AN110" s="43" t="str">
        <f t="shared" si="35"/>
        <v/>
      </c>
      <c r="AO110" s="40"/>
      <c r="AP110" s="43" t="str">
        <f t="shared" si="36"/>
        <v/>
      </c>
      <c r="AQ110" s="40"/>
      <c r="AR110" s="43" t="str">
        <f t="shared" si="37"/>
        <v/>
      </c>
      <c r="AS110" s="40"/>
      <c r="AT110" s="43" t="str">
        <f t="shared" si="38"/>
        <v/>
      </c>
      <c r="AU110" s="40"/>
      <c r="AV110" s="43" t="str">
        <f t="shared" si="39"/>
        <v/>
      </c>
      <c r="AW110" s="37"/>
      <c r="AX110" s="43" t="str">
        <f t="shared" si="40"/>
        <v/>
      </c>
      <c r="AY110" s="66"/>
      <c r="AZ110" s="43" t="str">
        <f t="shared" si="41"/>
        <v/>
      </c>
      <c r="BA110" s="24" t="s">
        <v>262</v>
      </c>
    </row>
    <row r="111" spans="1:53" ht="20" customHeight="1" x14ac:dyDescent="0.2">
      <c r="A111" s="68"/>
      <c r="B111" s="25"/>
      <c r="C111" s="57" t="s">
        <v>49</v>
      </c>
      <c r="D111" s="56" t="s">
        <v>146</v>
      </c>
      <c r="E111" s="56" t="s">
        <v>147</v>
      </c>
      <c r="F111" s="57">
        <v>1997</v>
      </c>
      <c r="G111" s="57">
        <v>47</v>
      </c>
      <c r="H111" s="29"/>
      <c r="I111" s="28"/>
      <c r="J111" s="39"/>
      <c r="K111" s="40"/>
      <c r="L111" s="43" t="str">
        <f t="shared" si="42"/>
        <v/>
      </c>
      <c r="M111" s="40"/>
      <c r="N111" s="43" t="str">
        <f t="shared" si="1"/>
        <v/>
      </c>
      <c r="O111" s="40"/>
      <c r="P111" s="43" t="str">
        <f t="shared" si="43"/>
        <v/>
      </c>
      <c r="Q111" s="40"/>
      <c r="R111" s="43" t="str">
        <f t="shared" si="25"/>
        <v/>
      </c>
      <c r="S111" s="40"/>
      <c r="T111" s="43" t="str">
        <f t="shared" si="26"/>
        <v/>
      </c>
      <c r="U111" s="40"/>
      <c r="V111" s="43" t="str">
        <f t="shared" si="27"/>
        <v/>
      </c>
      <c r="W111" s="40"/>
      <c r="X111" s="43" t="str">
        <f t="shared" si="28"/>
        <v/>
      </c>
      <c r="Y111" s="40"/>
      <c r="Z111" s="43" t="str">
        <f t="shared" si="29"/>
        <v/>
      </c>
      <c r="AA111" s="40"/>
      <c r="AB111" s="43" t="str">
        <f t="shared" si="30"/>
        <v/>
      </c>
      <c r="AC111" s="40"/>
      <c r="AD111" s="43" t="str">
        <f t="shared" si="31"/>
        <v/>
      </c>
      <c r="AE111" s="40"/>
      <c r="AF111" s="43" t="str">
        <f t="shared" si="32"/>
        <v/>
      </c>
      <c r="AG111" s="40"/>
      <c r="AH111" s="43" t="str">
        <f t="shared" si="33"/>
        <v/>
      </c>
      <c r="AI111" s="40"/>
      <c r="AJ111" s="43" t="str">
        <f t="shared" si="34"/>
        <v/>
      </c>
      <c r="AK111" s="40"/>
      <c r="AL111" s="43" t="str">
        <f t="shared" si="24"/>
        <v/>
      </c>
      <c r="AM111" s="40"/>
      <c r="AN111" s="43" t="str">
        <f t="shared" si="35"/>
        <v/>
      </c>
      <c r="AO111" s="40"/>
      <c r="AP111" s="43" t="str">
        <f t="shared" si="36"/>
        <v/>
      </c>
      <c r="AQ111" s="40"/>
      <c r="AR111" s="43" t="str">
        <f t="shared" si="37"/>
        <v/>
      </c>
      <c r="AS111" s="40"/>
      <c r="AT111" s="43" t="str">
        <f t="shared" si="38"/>
        <v/>
      </c>
      <c r="AU111" s="40"/>
      <c r="AV111" s="43" t="str">
        <f t="shared" si="39"/>
        <v/>
      </c>
      <c r="AW111" s="37"/>
      <c r="AX111" s="43" t="str">
        <f t="shared" si="40"/>
        <v/>
      </c>
      <c r="AY111" s="66"/>
      <c r="AZ111" s="43" t="str">
        <f t="shared" si="41"/>
        <v/>
      </c>
      <c r="BA111" s="24" t="s">
        <v>263</v>
      </c>
    </row>
    <row r="112" spans="1:53" ht="20" customHeight="1" x14ac:dyDescent="0.2">
      <c r="A112" s="67"/>
      <c r="B112" s="96"/>
      <c r="C112" s="25" t="s">
        <v>86</v>
      </c>
      <c r="D112" s="24" t="s">
        <v>361</v>
      </c>
      <c r="E112" s="24" t="s">
        <v>362</v>
      </c>
      <c r="F112" s="25">
        <v>2009</v>
      </c>
      <c r="H112" s="29">
        <v>12</v>
      </c>
      <c r="I112" s="28" t="s">
        <v>238</v>
      </c>
      <c r="J112" s="39" t="s">
        <v>212</v>
      </c>
      <c r="K112" s="82"/>
      <c r="L112" s="83" t="str">
        <f t="shared" si="42"/>
        <v/>
      </c>
      <c r="M112" s="82"/>
      <c r="N112" s="83" t="str">
        <f t="shared" si="1"/>
        <v/>
      </c>
      <c r="O112" s="82"/>
      <c r="P112" s="83" t="str">
        <f t="shared" si="43"/>
        <v/>
      </c>
      <c r="Q112" s="82"/>
      <c r="R112" s="83" t="str">
        <f t="shared" si="25"/>
        <v/>
      </c>
      <c r="S112" s="82"/>
      <c r="T112" s="83" t="str">
        <f t="shared" si="26"/>
        <v/>
      </c>
      <c r="U112" s="82"/>
      <c r="V112" s="83" t="str">
        <f t="shared" si="27"/>
        <v/>
      </c>
      <c r="W112" s="82"/>
      <c r="X112" s="83" t="str">
        <f t="shared" si="28"/>
        <v/>
      </c>
      <c r="Y112" s="82"/>
      <c r="Z112" s="83" t="str">
        <f t="shared" si="29"/>
        <v/>
      </c>
      <c r="AA112" s="82"/>
      <c r="AB112" s="83" t="str">
        <f t="shared" si="30"/>
        <v/>
      </c>
      <c r="AC112" s="82"/>
      <c r="AD112" s="83" t="str">
        <f t="shared" si="31"/>
        <v/>
      </c>
      <c r="AE112" s="82"/>
      <c r="AF112" s="83" t="str">
        <f t="shared" si="32"/>
        <v/>
      </c>
      <c r="AG112" s="82"/>
      <c r="AH112" s="83" t="str">
        <f t="shared" si="33"/>
        <v/>
      </c>
      <c r="AI112" s="82"/>
      <c r="AJ112" s="83" t="str">
        <f t="shared" si="34"/>
        <v/>
      </c>
      <c r="AK112" s="82"/>
      <c r="AL112" s="83" t="str">
        <f t="shared" si="24"/>
        <v/>
      </c>
      <c r="AM112" s="82"/>
      <c r="AN112" s="83" t="str">
        <f t="shared" si="35"/>
        <v/>
      </c>
      <c r="AO112" s="82"/>
      <c r="AP112" s="83" t="str">
        <f t="shared" si="36"/>
        <v/>
      </c>
      <c r="AQ112" s="82"/>
      <c r="AR112" s="83" t="str">
        <f t="shared" si="37"/>
        <v/>
      </c>
      <c r="AS112" s="82"/>
      <c r="AT112" s="83" t="str">
        <f t="shared" si="38"/>
        <v/>
      </c>
      <c r="AU112" s="82"/>
      <c r="AV112" s="83" t="str">
        <f t="shared" si="39"/>
        <v/>
      </c>
      <c r="AW112" s="84"/>
      <c r="AX112" s="83" t="str">
        <f t="shared" si="40"/>
        <v/>
      </c>
      <c r="AY112" s="84"/>
      <c r="AZ112" s="83" t="str">
        <f t="shared" si="41"/>
        <v/>
      </c>
      <c r="BA112" s="24" t="s">
        <v>195</v>
      </c>
    </row>
    <row r="113" spans="1:53" ht="20" customHeight="1" thickBot="1" x14ac:dyDescent="0.25">
      <c r="A113" s="68"/>
      <c r="B113" s="25"/>
      <c r="C113" s="25" t="s">
        <v>86</v>
      </c>
      <c r="D113" s="24" t="s">
        <v>150</v>
      </c>
      <c r="E113" s="24" t="s">
        <v>151</v>
      </c>
      <c r="F113" s="25">
        <v>2011</v>
      </c>
      <c r="G113" s="25">
        <v>112</v>
      </c>
      <c r="H113" s="29">
        <v>22</v>
      </c>
      <c r="I113" s="28" t="s">
        <v>246</v>
      </c>
      <c r="J113" s="39" t="s">
        <v>213</v>
      </c>
      <c r="K113" s="41"/>
      <c r="L113" s="44" t="str">
        <f t="shared" si="42"/>
        <v/>
      </c>
      <c r="M113" s="41"/>
      <c r="N113" s="44" t="str">
        <f t="shared" si="1"/>
        <v/>
      </c>
      <c r="O113" s="41"/>
      <c r="P113" s="44" t="str">
        <f t="shared" si="43"/>
        <v/>
      </c>
      <c r="Q113" s="41"/>
      <c r="R113" s="44" t="str">
        <f t="shared" si="25"/>
        <v/>
      </c>
      <c r="S113" s="41"/>
      <c r="T113" s="44" t="str">
        <f t="shared" si="26"/>
        <v/>
      </c>
      <c r="U113" s="41"/>
      <c r="V113" s="44" t="str">
        <f t="shared" si="27"/>
        <v/>
      </c>
      <c r="W113" s="41"/>
      <c r="X113" s="44" t="str">
        <f t="shared" si="28"/>
        <v/>
      </c>
      <c r="Y113" s="41"/>
      <c r="Z113" s="44" t="str">
        <f t="shared" si="29"/>
        <v/>
      </c>
      <c r="AA113" s="41"/>
      <c r="AB113" s="44" t="str">
        <f t="shared" si="30"/>
        <v/>
      </c>
      <c r="AC113" s="41"/>
      <c r="AD113" s="44" t="str">
        <f t="shared" si="31"/>
        <v/>
      </c>
      <c r="AE113" s="41"/>
      <c r="AF113" s="44" t="str">
        <f t="shared" si="32"/>
        <v/>
      </c>
      <c r="AG113" s="41"/>
      <c r="AH113" s="44" t="str">
        <f t="shared" si="33"/>
        <v/>
      </c>
      <c r="AI113" s="41"/>
      <c r="AJ113" s="44" t="str">
        <f t="shared" si="34"/>
        <v/>
      </c>
      <c r="AK113" s="41"/>
      <c r="AL113" s="44" t="str">
        <f t="shared" si="24"/>
        <v/>
      </c>
      <c r="AM113" s="41"/>
      <c r="AN113" s="44" t="str">
        <f t="shared" si="35"/>
        <v/>
      </c>
      <c r="AO113" s="41"/>
      <c r="AP113" s="44" t="str">
        <f t="shared" si="36"/>
        <v/>
      </c>
      <c r="AQ113" s="41"/>
      <c r="AR113" s="44" t="str">
        <f t="shared" si="37"/>
        <v/>
      </c>
      <c r="AS113" s="41"/>
      <c r="AT113" s="44" t="str">
        <f t="shared" si="38"/>
        <v/>
      </c>
      <c r="AU113" s="41"/>
      <c r="AV113" s="44" t="str">
        <f t="shared" si="39"/>
        <v/>
      </c>
      <c r="AW113" s="42"/>
      <c r="AX113" s="44" t="str">
        <f t="shared" si="40"/>
        <v/>
      </c>
      <c r="AY113" s="42"/>
      <c r="AZ113" s="44" t="str">
        <f t="shared" si="41"/>
        <v/>
      </c>
      <c r="BA113" s="24" t="s">
        <v>264</v>
      </c>
    </row>
    <row r="115" spans="1:53" ht="17" thickBot="1" x14ac:dyDescent="0.25"/>
    <row r="116" spans="1:53" s="23" customFormat="1" x14ac:dyDescent="0.2">
      <c r="C116" s="48"/>
      <c r="F116" s="25"/>
      <c r="G116" s="50" t="s">
        <v>280</v>
      </c>
      <c r="H116" s="51">
        <f>SUM(H11:H113)</f>
        <v>4016</v>
      </c>
      <c r="I116" s="52" t="s">
        <v>278</v>
      </c>
      <c r="J116" s="53" t="s">
        <v>277</v>
      </c>
      <c r="K116" s="58">
        <f>IF((SUM(K11:K113)&lt;&gt;0), SUMIF($H11:$H113, "&gt;0", K11:K113), "")</f>
        <v>45</v>
      </c>
      <c r="L116" s="59">
        <f>IF(ISERROR((K116/$H116)*100), "", IF(((K116/$H116)*100) &lt;&gt; 0, (K116/$H116)*100, ""))</f>
        <v>1.1205179282868527</v>
      </c>
      <c r="M116" s="58">
        <f>IF((SUM(M11:M113)&lt;&gt;0), SUMIF($H11:$H113, "&gt;0", M11:M113), "")</f>
        <v>6</v>
      </c>
      <c r="N116" s="59">
        <f>IF(ISERROR((M116/$H116)*100), "", IF(((M116/$H116)*100) &lt;&gt; 0, (M116/$H116)*100, ""))</f>
        <v>0.14940239043824702</v>
      </c>
      <c r="O116" s="58">
        <f>IF((SUM(O11:O113)&lt;&gt;0), SUMIF($H11:$H113, "&gt;0", O11:O113), "")</f>
        <v>6</v>
      </c>
      <c r="P116" s="59">
        <f>IF(ISERROR((O116/$H116)*100), "", IF(((O116/$H116)*100) &lt;&gt; 0, (O116/$H116)*100, ""))</f>
        <v>0.14940239043824702</v>
      </c>
      <c r="Q116" s="58">
        <f>IF((SUM(Q11:Q113)&lt;&gt;0), SUMIF($H11:$H113, "&gt;0", Q11:Q113), "")</f>
        <v>29</v>
      </c>
      <c r="R116" s="59">
        <f>IF(ISERROR((Q116/$H116)*100), "", IF(((Q116/$H116)*100) &lt;&gt; 0, (Q116/$H116)*100, ""))</f>
        <v>0.72211155378486047</v>
      </c>
      <c r="S116" s="58" t="str">
        <f>IF((SUM(S11:S113)&lt;&gt;0), SUMIF($H11:$H113, "&gt;0", S11:S113), "")</f>
        <v/>
      </c>
      <c r="T116" s="59" t="str">
        <f>IF(ISERROR((S116/$H116)*100), "", IF(((S116/$H116)*100) &lt;&gt; 0, (S116/$H116)*100, ""))</f>
        <v/>
      </c>
      <c r="U116" s="58">
        <f>IF((SUM(U11:U113)&lt;&gt;0), SUMIF($H11:$H113, "&gt;0", U11:U113), "")</f>
        <v>48</v>
      </c>
      <c r="V116" s="59">
        <f>IF(ISERROR((U116/$H116)*100), "", IF(((U116/$H116)*100) &lt;&gt; 0, (U116/$H116)*100, ""))</f>
        <v>1.1952191235059761</v>
      </c>
      <c r="W116" s="58">
        <f>IF((SUM(W11:W113)&lt;&gt;0), SUMIF($H11:$H113, "&gt;0", W11:W113), "")</f>
        <v>25</v>
      </c>
      <c r="X116" s="59">
        <f>IF(ISERROR((W116/$H116)*100), "", IF(((W116/$H116)*100) &lt;&gt; 0, (W116/$H116)*100, ""))</f>
        <v>0.62250996015936255</v>
      </c>
      <c r="Y116" s="58">
        <f>IF((SUM(Y11:Y113)&lt;&gt;0), SUMIF($H11:$H113, "&gt;0", Y11:Y113), "")</f>
        <v>24</v>
      </c>
      <c r="Z116" s="59">
        <f>IF(ISERROR((Y116/$H116)*100), "", IF(((Y116/$H116)*100) &lt;&gt; 0, (Y116/$H116)*100, ""))</f>
        <v>0.59760956175298807</v>
      </c>
      <c r="AA116" s="58">
        <f>IF((SUM(AA11:AA113)&lt;&gt;0), SUMIF($H11:$H113, "&gt;0", AA11:AA113), "")</f>
        <v>2</v>
      </c>
      <c r="AB116" s="59">
        <f>IF(ISERROR((AA116/$H116)*100), "", IF(((AA116/$H116)*100) &lt;&gt; 0, (AA116/$H116)*100, ""))</f>
        <v>4.9800796812749001E-2</v>
      </c>
      <c r="AC116" s="58">
        <f>IF((SUM(AC11:AC113)&lt;&gt;0), SUMIF($H11:$H113, "&gt;0", AC11:AC113), "")</f>
        <v>1</v>
      </c>
      <c r="AD116" s="59">
        <f>IF(ISERROR((AC116/$H116)*100), "", IF(((AC116/$H116)*100) &lt;&gt; 0, (AC116/$H116)*100, ""))</f>
        <v>2.4900398406374501E-2</v>
      </c>
      <c r="AE116" s="58">
        <f>IF((SUM(AE11:AE113)&lt;&gt;0), SUMIF($H11:$H113, "&gt;0", AE11:AE113), "")</f>
        <v>6</v>
      </c>
      <c r="AF116" s="59">
        <f>IF(ISERROR((AE116/$H116)*100), "", IF(((AE116/$H116)*100) &lt;&gt; 0, (AE116/$H116)*100, ""))</f>
        <v>0.14940239043824702</v>
      </c>
      <c r="AG116" s="58">
        <f>IF((SUM(AG11:AG113)&lt;&gt;0), SUMIF($H11:$H113, "&gt;0", AG11:AG113), "")</f>
        <v>1</v>
      </c>
      <c r="AH116" s="59">
        <f>IF(ISERROR((AG116/$H116)*100), "", IF(((AG116/$H116)*100) &lt;&gt; 0, (AG116/$H116)*100, ""))</f>
        <v>2.4900398406374501E-2</v>
      </c>
      <c r="AI116" s="58">
        <f>IF((SUM(AI11:AI113)&lt;&gt;0), SUMIF($H11:$H113, "&gt;0", AI11:AI113), "")</f>
        <v>1</v>
      </c>
      <c r="AJ116" s="59">
        <f>IF(ISERROR((AI116/$H116)*100), "", IF(((AI116/$H116)*100) &lt;&gt; 0, (AI116/$H116)*100, ""))</f>
        <v>2.4900398406374501E-2</v>
      </c>
      <c r="AK116" s="58">
        <f>IF((SUM(AK11:AK113)&lt;&gt;0), SUMIF($H11:$H113, "&gt;0", AK11:AK113), "")</f>
        <v>4</v>
      </c>
      <c r="AL116" s="59">
        <f>IF(ISERROR((AK116/$H116)*100), "", IF(((AK116/$H116)*100) &lt;&gt; 0, (AK116/$H116)*100, ""))</f>
        <v>9.9601593625498003E-2</v>
      </c>
      <c r="AM116" s="58">
        <f>IF((SUM(AM11:AM113)&lt;&gt;0), SUMIF($H11:$H113, "&gt;0", AM11:AM113), "")</f>
        <v>2</v>
      </c>
      <c r="AN116" s="59">
        <f>IF(ISERROR((AM116/$H116)*100), "", IF(((AM116/$H116)*100) &lt;&gt; 0, (AM116/$H116)*100, ""))</f>
        <v>4.9800796812749001E-2</v>
      </c>
      <c r="AO116" s="58">
        <f>IF((SUM(AO11:AO113)&lt;&gt;0), SUMIF($H11:$H113, "&gt;0", AO11:AO113), "")</f>
        <v>1</v>
      </c>
      <c r="AP116" s="59">
        <f>IF(ISERROR((AO116/$H116)*100), "", IF(((AO116/$H116)*100) &lt;&gt; 0, (AO116/$H116)*100, ""))</f>
        <v>2.4900398406374501E-2</v>
      </c>
      <c r="AQ116" s="58">
        <f>IF((SUM(AQ11:AQ113)&lt;&gt;0), SUMIF($H11:$H113, "&gt;0", AQ11:AQ113), "")</f>
        <v>2</v>
      </c>
      <c r="AR116" s="59">
        <f>IF(ISERROR((AQ116/$H116)*100), "", IF(((AQ116/$H116)*100) &lt;&gt; 0, (AQ116/$H116)*100, ""))</f>
        <v>4.9800796812749001E-2</v>
      </c>
      <c r="AS116" s="58">
        <f>IF((SUM(AS11:AS113)&lt;&gt;0), SUMIF($H11:$H113, "&gt;0", AS11:AS113), "")</f>
        <v>8</v>
      </c>
      <c r="AT116" s="59">
        <f>IF(ISERROR((AS116/$H116)*100), "", IF(((AS116/$H116)*100) &lt;&gt; 0, (AS116/$H116)*100, ""))</f>
        <v>0.19920318725099601</v>
      </c>
      <c r="AU116" s="58">
        <f>IF((SUM(AU11:AU113)&lt;&gt;0), SUMIF($H11:$H113, "&gt;0", AU11:AU113), "")</f>
        <v>1</v>
      </c>
      <c r="AV116" s="59">
        <f>IF(ISERROR((AU116/$H116)*100), "", IF(((AU116/$H116)*100) &lt;&gt; 0, (AU116/$H116)*100, ""))</f>
        <v>2.4900398406374501E-2</v>
      </c>
      <c r="AW116" s="58">
        <f>IF((SUM(AW11:AW113)&lt;&gt;0), SUMIF($H11:$H113, "&gt;0", AW11:AW113), "")</f>
        <v>45</v>
      </c>
      <c r="AX116" s="59">
        <f>IF(ISERROR((AW116/$H116)*100), "", IF(((AW116/$H116)*100) &lt;&gt; 0, (AW116/$H116)*100, ""))</f>
        <v>1.1205179282868527</v>
      </c>
      <c r="AY116" s="58">
        <f>IF((SUM(AY11:AY113)&lt;&gt;0), SUMIF($H11:$H113, "&gt;0", AY11:AY113), "")</f>
        <v>58</v>
      </c>
      <c r="AZ116" s="59">
        <f>IF(ISERROR((AY116/$H116)*100), "", IF(((AY116/$H116)*100) &lt;&gt; 0, (AY116/$H116)*100, ""))</f>
        <v>1.4442231075697209</v>
      </c>
    </row>
    <row r="117" spans="1:53" s="23" customFormat="1" ht="18" customHeight="1" x14ac:dyDescent="0.2">
      <c r="C117" s="48"/>
      <c r="F117" s="25"/>
      <c r="G117" s="50" t="s">
        <v>281</v>
      </c>
      <c r="H117" s="49" t="s">
        <v>279</v>
      </c>
      <c r="I117" s="54" t="s">
        <v>278</v>
      </c>
      <c r="J117" s="55" t="s">
        <v>277</v>
      </c>
      <c r="K117" s="60">
        <f>IF(SUMIF(K11:K113, "&gt; 0", $H11:$H113) &gt; 0, SUMIF(K11:K113, "&gt; 0", $H11:$H113), "")</f>
        <v>576</v>
      </c>
      <c r="L117" s="61">
        <f>IF(AND(NOT(ISERROR((K116/K117)*100)), K116/K117 &lt;&gt; 0), (K116/K117)*100, "")</f>
        <v>7.8125</v>
      </c>
      <c r="M117" s="60">
        <f>IF(SUMIF(M11:M113, "&gt; 0", $H11:$H113) &gt; 0, SUMIF(M11:M113, "&gt; 0", $H11:$H113), "")</f>
        <v>97</v>
      </c>
      <c r="N117" s="61">
        <f>IF(AND(NOT(ISERROR((M116/M117)*100)), M116/M117 &lt;&gt; 0), (M116/M117)*100, "")</f>
        <v>6.1855670103092786</v>
      </c>
      <c r="O117" s="60">
        <f>IF(SUMIF(O11:O113, "&gt; 0", $H11:$H113) &gt; 0, SUMIF(O11:O113, "&gt; 0", $H11:$H113), "")</f>
        <v>143</v>
      </c>
      <c r="P117" s="61">
        <f>IF(AND(NOT(ISERROR((O116/O117)*100)), O116/O117 &lt;&gt; 0), (O116/O117)*100, "")</f>
        <v>4.1958041958041958</v>
      </c>
      <c r="Q117" s="60">
        <f>IF(SUMIF(Q11:Q113, "&gt; 0", $H11:$H113) &gt; 0, SUMIF(Q11:Q113, "&gt; 0", $H11:$H113), "")</f>
        <v>461</v>
      </c>
      <c r="R117" s="61">
        <f>IF(AND(NOT(ISERROR((Q116/Q117)*100)), Q116/Q117 &lt;&gt; 0), (Q116/Q117)*100, "")</f>
        <v>6.2906724511930596</v>
      </c>
      <c r="S117" s="60" t="str">
        <f>IF(SUMIF(S11:S113, "&gt; 0", $H11:$H113) &gt; 0, SUMIF(S11:S113, "&gt; 0", $H11:$H113), "")</f>
        <v/>
      </c>
      <c r="T117" s="61"/>
      <c r="U117" s="60">
        <f>IF(SUMIF(U11:U113, "&gt; 0", $H11:$H113) &gt; 0, SUMIF(U11:U113, "&gt; 0", $H11:$H113), "")</f>
        <v>136</v>
      </c>
      <c r="V117" s="61">
        <f>IF(AND(NOT(ISERROR((U116/U117)*100)), U116/U117 &lt;&gt; 0), (U116/U117)*100, "")</f>
        <v>35.294117647058826</v>
      </c>
      <c r="W117" s="60">
        <f>IF(SUMIF(W11:W113, "&gt; 0", $H11:$H113) &gt; 0, SUMIF(W11:W113, "&gt; 0", $H11:$H113), "")</f>
        <v>62</v>
      </c>
      <c r="X117" s="61">
        <f>IF(AND(NOT(ISERROR((W116/W117)*100)), W116/W117 &lt;&gt; 0), (W116/W117)*100, "")</f>
        <v>40.322580645161288</v>
      </c>
      <c r="Y117" s="60">
        <f>IF(SUMIF(Y11:Y113, "&gt; 0", $H11:$H113) &gt; 0, SUMIF(Y11:Y113, "&gt; 0", $H11:$H113), "")</f>
        <v>47</v>
      </c>
      <c r="Z117" s="61">
        <f>IF(AND(NOT(ISERROR((Y116/Y117)*100)), Y116/Y117 &lt;&gt; 0), (Y116/Y117)*100, "")</f>
        <v>51.063829787234042</v>
      </c>
      <c r="AA117" s="60">
        <f>IF(SUMIF(AA11:AA113, "&gt; 0", $H11:$H113) &gt; 0, SUMIF(AA11:AA113, "&gt; 0", $H11:$H113), "")</f>
        <v>22</v>
      </c>
      <c r="AB117" s="61">
        <f>IF(AND(NOT(ISERROR((AA116/AA117)*100)), AA116/AA117 &lt;&gt; 0), (AA116/AA117)*100, "")</f>
        <v>9.0909090909090917</v>
      </c>
      <c r="AC117" s="60">
        <f>IF(SUMIF(AC11:AC113, "&gt; 0", $H11:$H113) &gt; 0, SUMIF(AC11:AC113, "&gt; 0", $H11:$H113), "")</f>
        <v>97</v>
      </c>
      <c r="AD117" s="61">
        <f>IF(AND(NOT(ISERROR((AC116/AC117)*100)), AC116/AC117 &lt;&gt; 0), (AC116/AC117)*100, "")</f>
        <v>1.0309278350515463</v>
      </c>
      <c r="AE117" s="60">
        <f>IF(SUMIF(AE11:AE113, "&gt; 0", $H11:$H113) &gt; 0, SUMIF(AE11:AE113, "&gt; 0", $H11:$H113), "")</f>
        <v>17</v>
      </c>
      <c r="AF117" s="61">
        <f>IF(AND(NOT(ISERROR((AE116/AE117)*100)), AE116/AE117 &lt;&gt; 0), (AE116/AE117)*100, "")</f>
        <v>35.294117647058826</v>
      </c>
      <c r="AG117" s="60">
        <f>IF(SUMIF(AG11:AG113, "&gt; 0", $H11:$H113) &gt; 0, SUMIF(AG11:AG113, "&gt; 0", $H11:$H113), "")</f>
        <v>8</v>
      </c>
      <c r="AH117" s="61">
        <f>IF(AND(NOT(ISERROR((AG116/AG117)*100)), AG116/AG117 &lt;&gt; 0), (AG116/AG117)*100, "")</f>
        <v>12.5</v>
      </c>
      <c r="AI117" s="60">
        <f>IF(SUMIF(AI11:AI113, "&gt; 0", $H11:$H113) &gt; 0, SUMIF(AI11:AI113, "&gt; 0", $H11:$H113), "")</f>
        <v>97</v>
      </c>
      <c r="AJ117" s="61">
        <f>IF(AND(NOT(ISERROR((AI116/AI117)*100)), AI116/AI117 &lt;&gt; 0), (AI116/AI117)*100, "")</f>
        <v>1.0309278350515463</v>
      </c>
      <c r="AK117" s="60">
        <f>IF(SUMIF(AK11:AK113, "&gt; 0", $H11:$H113) &gt; 0, SUMIF(AK11:AK113, "&gt; 0", $H11:$H113), "")</f>
        <v>61</v>
      </c>
      <c r="AL117" s="61">
        <f>IF(AND(NOT(ISERROR((AK116/AK117)*100)), AK116/AK117 &lt;&gt; 0), (AK116/AK117)*100, "")</f>
        <v>6.557377049180328</v>
      </c>
      <c r="AM117" s="60">
        <f>IF(SUMIF(AM11:AM113, "&gt; 0", $H11:$H113) &gt; 0, SUMIF(AM11:AM113, "&gt; 0", $H11:$H113), "")</f>
        <v>45</v>
      </c>
      <c r="AN117" s="61">
        <f>IF(AND(NOT(ISERROR((AM116/AM117)*100)), AM116/AM117 &lt;&gt; 0), (AM116/AM117)*100, "")</f>
        <v>4.4444444444444446</v>
      </c>
      <c r="AO117" s="60">
        <f>IF(SUMIF(AO11:AO113, "&gt; 0", $H11:$H113) &gt; 0, SUMIF(AO11:AO113, "&gt; 0", $H11:$H113), "")</f>
        <v>8</v>
      </c>
      <c r="AP117" s="61">
        <f>IF(AND(NOT(ISERROR((AO116/AO117)*100)), AO116/AO117 &lt;&gt; 0), (AO116/AO117)*100, "")</f>
        <v>12.5</v>
      </c>
      <c r="AQ117" s="60">
        <f>IF(SUMIF(AQ11:AQ113, "&gt; 0", $H11:$H113) &gt; 0, SUMIF(AQ11:AQ113, "&gt; 0", $H11:$H113), "")</f>
        <v>8</v>
      </c>
      <c r="AR117" s="61">
        <f>IF(AND(NOT(ISERROR((AQ116/AQ117)*100)), AQ116/AQ117 &lt;&gt; 0), (AQ116/AQ117)*100, "")</f>
        <v>25</v>
      </c>
      <c r="AS117" s="60">
        <f>IF(SUMIF(AS11:AS113, "&gt; 0", $H11:$H113) &gt; 0, SUMIF(AS11:AS113, "&gt; 0", $H11:$H113), "")</f>
        <v>59</v>
      </c>
      <c r="AT117" s="61">
        <f>IF(AND(NOT(ISERROR((AS116/AS117)*100)), AS116/AS117 &lt;&gt; 0), (AS116/AS117)*100, "")</f>
        <v>13.559322033898304</v>
      </c>
      <c r="AU117" s="60">
        <f>IF(SUMIF(AU11:AU113, "&gt; 0", $H11:$H113) &gt; 0, SUMIF(AU11:AU113, "&gt; 0", $H11:$H113), "")</f>
        <v>8</v>
      </c>
      <c r="AV117" s="61">
        <f>IF(AND(NOT(ISERROR((AU116/AU117)*100)), AU116/AU117 &lt;&gt; 0), (AU116/AU117)*100, "")</f>
        <v>12.5</v>
      </c>
      <c r="AW117" s="60">
        <f>IF(SUMIF(AW11:AW113, "&gt; 0", $H11:$H113) &gt; 0, SUMIF(AW11:AW113, "&gt; 0", $H11:$H113), "")</f>
        <v>290</v>
      </c>
      <c r="AX117" s="61">
        <f>IF(AND(NOT(ISERROR((AW116/AW117)*100)), AW116/AW117 &lt;&gt; 0), (AW116/AW117)*100, "")</f>
        <v>15.517241379310345</v>
      </c>
      <c r="AY117" s="60">
        <f>IF(SUMIF(AY11:AY113, "&gt; 0", $H11:$H113) &gt; 0, SUMIF(AY11:AY113, "&gt; 0", $H11:$H113), "")</f>
        <v>1007</v>
      </c>
      <c r="AZ117" s="61">
        <f>IF(AND(NOT(ISERROR((AY116/AY117)*100)), AY116/AY117 &lt;&gt; 0), (AY116/AY117)*100, "")</f>
        <v>5.7596822244289969</v>
      </c>
    </row>
    <row r="118" spans="1:53" ht="18" customHeight="1" thickBot="1" x14ac:dyDescent="0.25">
      <c r="H118" s="180" t="s">
        <v>278</v>
      </c>
      <c r="I118" s="183"/>
      <c r="J118" s="184"/>
      <c r="K118" s="163" t="s">
        <v>276</v>
      </c>
      <c r="L118" s="162" t="s">
        <v>277</v>
      </c>
      <c r="M118" s="159" t="s">
        <v>276</v>
      </c>
      <c r="N118" s="161" t="s">
        <v>277</v>
      </c>
      <c r="O118" s="159" t="s">
        <v>276</v>
      </c>
      <c r="P118" s="161" t="s">
        <v>277</v>
      </c>
      <c r="Q118" s="159" t="s">
        <v>276</v>
      </c>
      <c r="R118" s="161" t="s">
        <v>277</v>
      </c>
      <c r="S118" s="159" t="s">
        <v>276</v>
      </c>
      <c r="T118" s="161" t="s">
        <v>277</v>
      </c>
      <c r="U118" s="159" t="s">
        <v>276</v>
      </c>
      <c r="V118" s="161" t="s">
        <v>277</v>
      </c>
      <c r="W118" s="159" t="s">
        <v>276</v>
      </c>
      <c r="X118" s="161" t="s">
        <v>277</v>
      </c>
      <c r="Y118" s="159" t="s">
        <v>276</v>
      </c>
      <c r="Z118" s="161" t="s">
        <v>277</v>
      </c>
      <c r="AA118" s="159" t="s">
        <v>276</v>
      </c>
      <c r="AB118" s="161" t="s">
        <v>277</v>
      </c>
      <c r="AC118" s="159" t="s">
        <v>276</v>
      </c>
      <c r="AD118" s="161" t="s">
        <v>277</v>
      </c>
      <c r="AE118" s="159" t="s">
        <v>276</v>
      </c>
      <c r="AF118" s="161" t="s">
        <v>277</v>
      </c>
      <c r="AG118" s="159" t="s">
        <v>276</v>
      </c>
      <c r="AH118" s="161" t="s">
        <v>277</v>
      </c>
      <c r="AI118" s="159" t="s">
        <v>276</v>
      </c>
      <c r="AJ118" s="161" t="s">
        <v>277</v>
      </c>
      <c r="AK118" s="159" t="s">
        <v>276</v>
      </c>
      <c r="AL118" s="161" t="s">
        <v>277</v>
      </c>
      <c r="AM118" s="159" t="s">
        <v>276</v>
      </c>
      <c r="AN118" s="161" t="s">
        <v>277</v>
      </c>
      <c r="AO118" s="159" t="s">
        <v>276</v>
      </c>
      <c r="AP118" s="161" t="s">
        <v>277</v>
      </c>
      <c r="AQ118" s="159" t="s">
        <v>276</v>
      </c>
      <c r="AR118" s="161" t="s">
        <v>277</v>
      </c>
      <c r="AS118" s="159" t="s">
        <v>276</v>
      </c>
      <c r="AT118" s="161" t="s">
        <v>277</v>
      </c>
      <c r="AU118" s="159" t="s">
        <v>276</v>
      </c>
      <c r="AV118" s="161" t="s">
        <v>277</v>
      </c>
      <c r="AW118" s="159" t="s">
        <v>276</v>
      </c>
      <c r="AX118" s="161" t="s">
        <v>277</v>
      </c>
      <c r="AY118" s="159" t="s">
        <v>276</v>
      </c>
      <c r="AZ118" s="161" t="s">
        <v>277</v>
      </c>
    </row>
    <row r="119" spans="1:53" ht="18" customHeight="1" x14ac:dyDescent="0.2">
      <c r="E119" s="62" t="s">
        <v>283</v>
      </c>
      <c r="F119" s="65">
        <v>1</v>
      </c>
      <c r="H119" s="181"/>
      <c r="I119" s="185"/>
      <c r="J119" s="186"/>
      <c r="K119" s="159"/>
      <c r="L119" s="162"/>
      <c r="M119" s="159"/>
      <c r="N119" s="162"/>
      <c r="O119" s="159"/>
      <c r="P119" s="162"/>
      <c r="Q119" s="159"/>
      <c r="R119" s="162"/>
      <c r="S119" s="159"/>
      <c r="T119" s="162"/>
      <c r="U119" s="159"/>
      <c r="V119" s="162"/>
      <c r="W119" s="159"/>
      <c r="X119" s="162"/>
      <c r="Y119" s="159"/>
      <c r="Z119" s="162"/>
      <c r="AA119" s="159"/>
      <c r="AB119" s="162"/>
      <c r="AC119" s="159"/>
      <c r="AD119" s="162"/>
      <c r="AE119" s="159"/>
      <c r="AF119" s="162"/>
      <c r="AG119" s="159"/>
      <c r="AH119" s="162"/>
      <c r="AI119" s="159"/>
      <c r="AJ119" s="162"/>
      <c r="AK119" s="159"/>
      <c r="AL119" s="162"/>
      <c r="AM119" s="159"/>
      <c r="AN119" s="162"/>
      <c r="AO119" s="159"/>
      <c r="AP119" s="162"/>
      <c r="AQ119" s="159"/>
      <c r="AR119" s="162"/>
      <c r="AS119" s="159"/>
      <c r="AT119" s="162"/>
      <c r="AU119" s="159"/>
      <c r="AV119" s="162"/>
      <c r="AW119" s="159"/>
      <c r="AX119" s="162"/>
      <c r="AY119" s="159"/>
      <c r="AZ119" s="162"/>
    </row>
    <row r="120" spans="1:53" ht="18" customHeight="1" x14ac:dyDescent="0.2">
      <c r="E120" s="63"/>
      <c r="F120" s="64"/>
      <c r="H120" s="181"/>
      <c r="I120" s="185"/>
      <c r="J120" s="186"/>
      <c r="K120" s="159"/>
      <c r="L120" s="162"/>
      <c r="M120" s="159"/>
      <c r="N120" s="162"/>
      <c r="O120" s="159"/>
      <c r="P120" s="162"/>
      <c r="Q120" s="159"/>
      <c r="R120" s="162"/>
      <c r="S120" s="159"/>
      <c r="T120" s="162"/>
      <c r="U120" s="159"/>
      <c r="V120" s="162"/>
      <c r="W120" s="159"/>
      <c r="X120" s="162"/>
      <c r="Y120" s="159"/>
      <c r="Z120" s="162"/>
      <c r="AA120" s="159"/>
      <c r="AB120" s="162"/>
      <c r="AC120" s="159"/>
      <c r="AD120" s="162"/>
      <c r="AE120" s="159"/>
      <c r="AF120" s="162"/>
      <c r="AG120" s="159"/>
      <c r="AH120" s="162"/>
      <c r="AI120" s="159"/>
      <c r="AJ120" s="162"/>
      <c r="AK120" s="159"/>
      <c r="AL120" s="162"/>
      <c r="AM120" s="159"/>
      <c r="AN120" s="162"/>
      <c r="AO120" s="159"/>
      <c r="AP120" s="162"/>
      <c r="AQ120" s="159"/>
      <c r="AR120" s="162"/>
      <c r="AS120" s="159"/>
      <c r="AT120" s="162"/>
      <c r="AU120" s="159"/>
      <c r="AV120" s="162"/>
      <c r="AW120" s="159"/>
      <c r="AX120" s="162"/>
      <c r="AY120" s="159"/>
      <c r="AZ120" s="162"/>
    </row>
    <row r="121" spans="1:53" ht="18" customHeight="1" x14ac:dyDescent="0.2">
      <c r="E121" s="194" t="s">
        <v>284</v>
      </c>
      <c r="F121" s="195"/>
      <c r="H121" s="181"/>
      <c r="I121" s="185"/>
      <c r="J121" s="186"/>
      <c r="K121" s="159"/>
      <c r="L121" s="162"/>
      <c r="M121" s="159"/>
      <c r="N121" s="162"/>
      <c r="O121" s="159"/>
      <c r="P121" s="162"/>
      <c r="Q121" s="159"/>
      <c r="R121" s="162"/>
      <c r="S121" s="159"/>
      <c r="T121" s="162"/>
      <c r="U121" s="159"/>
      <c r="V121" s="162"/>
      <c r="W121" s="159"/>
      <c r="X121" s="162"/>
      <c r="Y121" s="159"/>
      <c r="Z121" s="162"/>
      <c r="AA121" s="159"/>
      <c r="AB121" s="162"/>
      <c r="AC121" s="159"/>
      <c r="AD121" s="162"/>
      <c r="AE121" s="159"/>
      <c r="AF121" s="162"/>
      <c r="AG121" s="159"/>
      <c r="AH121" s="162"/>
      <c r="AI121" s="159"/>
      <c r="AJ121" s="162"/>
      <c r="AK121" s="159"/>
      <c r="AL121" s="162"/>
      <c r="AM121" s="159"/>
      <c r="AN121" s="162"/>
      <c r="AO121" s="159"/>
      <c r="AP121" s="162"/>
      <c r="AQ121" s="159"/>
      <c r="AR121" s="162"/>
      <c r="AS121" s="159"/>
      <c r="AT121" s="162"/>
      <c r="AU121" s="159"/>
      <c r="AV121" s="162"/>
      <c r="AW121" s="159"/>
      <c r="AX121" s="162"/>
      <c r="AY121" s="159"/>
      <c r="AZ121" s="162"/>
    </row>
    <row r="122" spans="1:53" ht="18" customHeight="1" x14ac:dyDescent="0.2">
      <c r="E122" s="194"/>
      <c r="F122" s="195"/>
      <c r="H122" s="181"/>
      <c r="I122" s="185"/>
      <c r="J122" s="186"/>
      <c r="K122" s="160"/>
      <c r="L122" s="162"/>
      <c r="M122" s="160"/>
      <c r="N122" s="162"/>
      <c r="O122" s="160"/>
      <c r="P122" s="162"/>
      <c r="Q122" s="160"/>
      <c r="R122" s="162"/>
      <c r="S122" s="160"/>
      <c r="T122" s="162"/>
      <c r="U122" s="160"/>
      <c r="V122" s="162"/>
      <c r="W122" s="160"/>
      <c r="X122" s="162"/>
      <c r="Y122" s="160"/>
      <c r="Z122" s="162"/>
      <c r="AA122" s="160"/>
      <c r="AB122" s="162"/>
      <c r="AC122" s="160"/>
      <c r="AD122" s="162"/>
      <c r="AE122" s="160"/>
      <c r="AF122" s="162"/>
      <c r="AG122" s="160"/>
      <c r="AH122" s="162"/>
      <c r="AI122" s="160"/>
      <c r="AJ122" s="162"/>
      <c r="AK122" s="160"/>
      <c r="AL122" s="162"/>
      <c r="AM122" s="160"/>
      <c r="AN122" s="162"/>
      <c r="AO122" s="160"/>
      <c r="AP122" s="162"/>
      <c r="AQ122" s="160"/>
      <c r="AR122" s="162"/>
      <c r="AS122" s="160"/>
      <c r="AT122" s="162"/>
      <c r="AU122" s="160"/>
      <c r="AV122" s="162"/>
      <c r="AW122" s="160"/>
      <c r="AX122" s="162"/>
      <c r="AY122" s="160"/>
      <c r="AZ122" s="162"/>
    </row>
    <row r="123" spans="1:53" ht="18" customHeight="1" x14ac:dyDescent="0.2">
      <c r="E123" s="194"/>
      <c r="F123" s="195"/>
      <c r="H123" s="181"/>
      <c r="I123" s="185"/>
      <c r="J123" s="186"/>
      <c r="K123" s="189" t="s">
        <v>161</v>
      </c>
      <c r="L123" s="190"/>
      <c r="M123" s="189" t="s">
        <v>229</v>
      </c>
      <c r="N123" s="190"/>
      <c r="O123" s="189" t="s">
        <v>163</v>
      </c>
      <c r="P123" s="190"/>
      <c r="Q123" s="189" t="s">
        <v>162</v>
      </c>
      <c r="R123" s="190"/>
      <c r="S123" s="189" t="s">
        <v>223</v>
      </c>
      <c r="T123" s="190"/>
      <c r="U123" s="189" t="s">
        <v>169</v>
      </c>
      <c r="V123" s="190"/>
      <c r="W123" s="193" t="s">
        <v>273</v>
      </c>
      <c r="X123" s="190"/>
      <c r="Y123" s="189" t="s">
        <v>186</v>
      </c>
      <c r="Z123" s="190"/>
      <c r="AA123" s="193" t="s">
        <v>274</v>
      </c>
      <c r="AB123" s="190"/>
      <c r="AC123" s="189" t="s">
        <v>228</v>
      </c>
      <c r="AD123" s="190"/>
      <c r="AE123" s="193" t="s">
        <v>275</v>
      </c>
      <c r="AF123" s="190"/>
      <c r="AG123" s="189" t="s">
        <v>183</v>
      </c>
      <c r="AH123" s="190"/>
      <c r="AI123" s="189" t="s">
        <v>227</v>
      </c>
      <c r="AJ123" s="190"/>
      <c r="AK123" s="189" t="s">
        <v>168</v>
      </c>
      <c r="AL123" s="190"/>
      <c r="AM123" s="193" t="s">
        <v>272</v>
      </c>
      <c r="AN123" s="190"/>
      <c r="AO123" s="189" t="s">
        <v>187</v>
      </c>
      <c r="AP123" s="190"/>
      <c r="AQ123" s="189" t="s">
        <v>184</v>
      </c>
      <c r="AR123" s="190"/>
      <c r="AS123" s="189" t="s">
        <v>164</v>
      </c>
      <c r="AT123" s="190"/>
      <c r="AU123" s="189" t="s">
        <v>165</v>
      </c>
      <c r="AV123" s="190"/>
      <c r="AW123" s="209" t="s">
        <v>230</v>
      </c>
      <c r="AX123" s="190"/>
      <c r="AY123" s="209" t="s">
        <v>420</v>
      </c>
      <c r="AZ123" s="190"/>
    </row>
    <row r="124" spans="1:53" ht="18" customHeight="1" x14ac:dyDescent="0.2">
      <c r="E124" s="194"/>
      <c r="F124" s="195"/>
      <c r="H124" s="181"/>
      <c r="I124" s="185"/>
      <c r="J124" s="186"/>
      <c r="K124" s="166"/>
      <c r="L124" s="167"/>
      <c r="M124" s="166"/>
      <c r="N124" s="167"/>
      <c r="O124" s="166"/>
      <c r="P124" s="167"/>
      <c r="Q124" s="166"/>
      <c r="R124" s="167"/>
      <c r="S124" s="166"/>
      <c r="T124" s="167"/>
      <c r="U124" s="166"/>
      <c r="V124" s="167"/>
      <c r="W124" s="166"/>
      <c r="X124" s="167"/>
      <c r="Y124" s="166"/>
      <c r="Z124" s="167"/>
      <c r="AA124" s="166"/>
      <c r="AB124" s="167"/>
      <c r="AC124" s="166"/>
      <c r="AD124" s="167"/>
      <c r="AE124" s="166"/>
      <c r="AF124" s="167"/>
      <c r="AG124" s="166"/>
      <c r="AH124" s="167"/>
      <c r="AI124" s="166"/>
      <c r="AJ124" s="167"/>
      <c r="AK124" s="166"/>
      <c r="AL124" s="167"/>
      <c r="AM124" s="166"/>
      <c r="AN124" s="167"/>
      <c r="AO124" s="166"/>
      <c r="AP124" s="167"/>
      <c r="AQ124" s="166"/>
      <c r="AR124" s="167"/>
      <c r="AS124" s="166"/>
      <c r="AT124" s="167"/>
      <c r="AU124" s="166"/>
      <c r="AV124" s="167"/>
      <c r="AW124" s="210"/>
      <c r="AX124" s="167"/>
      <c r="AY124" s="210"/>
      <c r="AZ124" s="167"/>
    </row>
    <row r="125" spans="1:53" ht="18" customHeight="1" thickBot="1" x14ac:dyDescent="0.25">
      <c r="E125" s="194"/>
      <c r="F125" s="195"/>
      <c r="H125" s="181"/>
      <c r="I125" s="185"/>
      <c r="J125" s="186"/>
      <c r="K125" s="191"/>
      <c r="L125" s="192"/>
      <c r="M125" s="191"/>
      <c r="N125" s="192"/>
      <c r="O125" s="191"/>
      <c r="P125" s="192"/>
      <c r="Q125" s="191"/>
      <c r="R125" s="192"/>
      <c r="S125" s="191"/>
      <c r="T125" s="192"/>
      <c r="U125" s="191"/>
      <c r="V125" s="192"/>
      <c r="W125" s="191"/>
      <c r="X125" s="192"/>
      <c r="Y125" s="191"/>
      <c r="Z125" s="192"/>
      <c r="AA125" s="191"/>
      <c r="AB125" s="192"/>
      <c r="AC125" s="191"/>
      <c r="AD125" s="192"/>
      <c r="AE125" s="191"/>
      <c r="AF125" s="192"/>
      <c r="AG125" s="191"/>
      <c r="AH125" s="192"/>
      <c r="AI125" s="191"/>
      <c r="AJ125" s="192"/>
      <c r="AK125" s="191"/>
      <c r="AL125" s="192"/>
      <c r="AM125" s="191"/>
      <c r="AN125" s="192"/>
      <c r="AO125" s="191"/>
      <c r="AP125" s="192"/>
      <c r="AQ125" s="191"/>
      <c r="AR125" s="192"/>
      <c r="AS125" s="191"/>
      <c r="AT125" s="192"/>
      <c r="AU125" s="191"/>
      <c r="AV125" s="192"/>
      <c r="AW125" s="211"/>
      <c r="AX125" s="192"/>
      <c r="AY125" s="211"/>
      <c r="AZ125" s="192"/>
    </row>
    <row r="126" spans="1:53" ht="20" customHeight="1" thickBot="1" x14ac:dyDescent="0.3">
      <c r="E126" s="196"/>
      <c r="F126" s="197"/>
      <c r="H126" s="182"/>
      <c r="I126" s="187"/>
      <c r="J126" s="188"/>
      <c r="K126" s="201" t="s">
        <v>167</v>
      </c>
      <c r="L126" s="202"/>
      <c r="M126" s="202"/>
      <c r="N126" s="202"/>
      <c r="O126" s="202"/>
      <c r="P126" s="202"/>
      <c r="Q126" s="202"/>
      <c r="R126" s="202"/>
      <c r="S126" s="202"/>
      <c r="T126" s="202"/>
      <c r="U126" s="202"/>
      <c r="V126" s="202"/>
      <c r="W126" s="202"/>
      <c r="X126" s="202"/>
      <c r="Y126" s="202"/>
      <c r="Z126" s="202"/>
      <c r="AA126" s="202"/>
      <c r="AB126" s="202"/>
      <c r="AC126" s="202"/>
      <c r="AD126" s="202"/>
      <c r="AE126" s="202"/>
      <c r="AF126" s="202"/>
      <c r="AG126" s="202"/>
      <c r="AH126" s="202"/>
      <c r="AI126" s="202"/>
      <c r="AJ126" s="202"/>
      <c r="AK126" s="202"/>
      <c r="AL126" s="202"/>
      <c r="AM126" s="202"/>
      <c r="AN126" s="202"/>
      <c r="AO126" s="202"/>
      <c r="AP126" s="202"/>
      <c r="AQ126" s="202"/>
      <c r="AR126" s="202"/>
      <c r="AS126" s="202"/>
      <c r="AT126" s="202"/>
      <c r="AU126" s="202"/>
      <c r="AV126" s="202"/>
      <c r="AW126" s="202"/>
      <c r="AX126" s="202"/>
      <c r="AY126" s="202"/>
      <c r="AZ126" s="203"/>
    </row>
  </sheetData>
  <mergeCells count="139">
    <mergeCell ref="K2:AZ2"/>
    <mergeCell ref="K126:AZ126"/>
    <mergeCell ref="AY3:AZ5"/>
    <mergeCell ref="AY6:AY10"/>
    <mergeCell ref="AZ6:AZ10"/>
    <mergeCell ref="AY118:AY122"/>
    <mergeCell ref="AZ118:AZ122"/>
    <mergeCell ref="AY123:AZ125"/>
    <mergeCell ref="AW123:AX125"/>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 ref="E121:F126"/>
    <mergeCell ref="AI123:AJ125"/>
    <mergeCell ref="AK123:AL125"/>
    <mergeCell ref="AM123:AN125"/>
    <mergeCell ref="AO123:AP125"/>
    <mergeCell ref="AQ123:AR125"/>
    <mergeCell ref="AS123:AT125"/>
    <mergeCell ref="AQ3:AR5"/>
    <mergeCell ref="AS3:AT5"/>
    <mergeCell ref="Q123:R125"/>
    <mergeCell ref="S123:T125"/>
    <mergeCell ref="U123:V125"/>
    <mergeCell ref="W123:X125"/>
    <mergeCell ref="Y123:Z125"/>
    <mergeCell ref="AA123:AB125"/>
    <mergeCell ref="W3:X5"/>
    <mergeCell ref="Y3:Z5"/>
    <mergeCell ref="AA3:AB5"/>
    <mergeCell ref="AC3:AD5"/>
    <mergeCell ref="AE3:AF5"/>
    <mergeCell ref="AG3:AH5"/>
    <mergeCell ref="K3:L5"/>
    <mergeCell ref="M3:N5"/>
    <mergeCell ref="O3:P5"/>
    <mergeCell ref="H118:H126"/>
    <mergeCell ref="I118:J126"/>
    <mergeCell ref="AU123:AV125"/>
    <mergeCell ref="AC123:AD125"/>
    <mergeCell ref="AE123:AF125"/>
    <mergeCell ref="AG123:AH125"/>
    <mergeCell ref="AT118:AT122"/>
    <mergeCell ref="AV118:AV122"/>
    <mergeCell ref="AX118:AX122"/>
    <mergeCell ref="K123:L125"/>
    <mergeCell ref="M123:N125"/>
    <mergeCell ref="O123:P125"/>
    <mergeCell ref="AH118:AH122"/>
    <mergeCell ref="AJ118:AJ122"/>
    <mergeCell ref="AL118:AL122"/>
    <mergeCell ref="AN118:AN122"/>
    <mergeCell ref="AP118:AP122"/>
    <mergeCell ref="AR118:AR122"/>
    <mergeCell ref="T118:T122"/>
    <mergeCell ref="V118:V122"/>
    <mergeCell ref="X118:X122"/>
    <mergeCell ref="Z118:Z122"/>
    <mergeCell ref="AB118:AB122"/>
    <mergeCell ref="AD118:AD122"/>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AI3:AJ5"/>
    <mergeCell ref="AK3:AL5"/>
    <mergeCell ref="AM3:AN5"/>
    <mergeCell ref="AO3:AP5"/>
    <mergeCell ref="AU118:AU122"/>
    <mergeCell ref="AW118:AW122"/>
    <mergeCell ref="AI118:AI122"/>
    <mergeCell ref="AK118:AK122"/>
    <mergeCell ref="AM118:AM122"/>
    <mergeCell ref="AO118:AO122"/>
    <mergeCell ref="AQ118:AQ122"/>
    <mergeCell ref="AS118:AS122"/>
    <mergeCell ref="AO6:AO10"/>
    <mergeCell ref="AQ6:AQ10"/>
    <mergeCell ref="AS6:AS10"/>
    <mergeCell ref="AI6:AI10"/>
    <mergeCell ref="AK6:AK10"/>
    <mergeCell ref="AM6:AM10"/>
    <mergeCell ref="AJ6:AJ10"/>
    <mergeCell ref="AL6:AL10"/>
    <mergeCell ref="W118:W122"/>
    <mergeCell ref="Y118:Y122"/>
    <mergeCell ref="AA118:AA122"/>
    <mergeCell ref="AC118:AC122"/>
    <mergeCell ref="AE118:AE122"/>
    <mergeCell ref="AG118:AG122"/>
    <mergeCell ref="AF118:AF122"/>
    <mergeCell ref="K118:K122"/>
    <mergeCell ref="M118:M122"/>
    <mergeCell ref="O118:O122"/>
    <mergeCell ref="Q118:Q122"/>
    <mergeCell ref="S118:S122"/>
    <mergeCell ref="U118:U122"/>
    <mergeCell ref="L118:L122"/>
    <mergeCell ref="N118:N122"/>
    <mergeCell ref="P118:P122"/>
    <mergeCell ref="R118:R122"/>
    <mergeCell ref="A7:A10"/>
    <mergeCell ref="B7:B10"/>
    <mergeCell ref="D5:D7"/>
    <mergeCell ref="D3:D4"/>
    <mergeCell ref="Q6:Q10"/>
    <mergeCell ref="S6:S10"/>
    <mergeCell ref="G6:G10"/>
    <mergeCell ref="H6:H10"/>
    <mergeCell ref="I6:I10"/>
    <mergeCell ref="J6:J10"/>
    <mergeCell ref="K6:K10"/>
    <mergeCell ref="M6:M10"/>
    <mergeCell ref="O6:O10"/>
  </mergeCells>
  <pageMargins left="0.7" right="0.7" top="0.75" bottom="0.75" header="0.3" footer="0.3"/>
  <ignoredErrors>
    <ignoredError sqref="I14 I18 I67:I71 I65 I60:I61 I54:I55 I45 I41 I36:I38 I29:I31 I27:I28 I25 I22 I80:I81 I83:I86 I88 I90 I92:I94 I97 I99:I100 I105:I106 I110 I112:I113"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77"/>
  <sheetViews>
    <sheetView tabSelected="1"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68" width="6.83203125" style="25" customWidth="1"/>
    <col min="69" max="69" width="6.5" style="25" customWidth="1"/>
    <col min="70" max="94" width="6.83203125" style="25" customWidth="1"/>
    <col min="95" max="95" width="113.83203125" style="24" customWidth="1"/>
    <col min="96" max="16384" width="10.83203125" style="24"/>
  </cols>
  <sheetData>
    <row r="1" spans="1:95" ht="17" thickBot="1" x14ac:dyDescent="0.25"/>
    <row r="2" spans="1:95" ht="20" thickBot="1" x14ac:dyDescent="0.3">
      <c r="K2" s="198" t="s">
        <v>167</v>
      </c>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199"/>
      <c r="AS2" s="199"/>
      <c r="AT2" s="199"/>
      <c r="AU2" s="199"/>
      <c r="AV2" s="199"/>
      <c r="AW2" s="199"/>
      <c r="AX2" s="199"/>
      <c r="AY2" s="199"/>
      <c r="AZ2" s="199"/>
      <c r="BA2" s="199"/>
      <c r="BB2" s="199"/>
      <c r="BC2" s="199"/>
      <c r="BD2" s="199"/>
      <c r="BE2" s="199"/>
      <c r="BF2" s="199"/>
      <c r="BG2" s="199"/>
      <c r="BH2" s="199"/>
      <c r="BI2" s="199"/>
      <c r="BJ2" s="199"/>
      <c r="BK2" s="199"/>
      <c r="BL2" s="199"/>
      <c r="BM2" s="199"/>
      <c r="BN2" s="199"/>
      <c r="BO2" s="199"/>
      <c r="BP2" s="199"/>
      <c r="BQ2" s="199"/>
      <c r="BR2" s="199"/>
      <c r="BS2" s="199"/>
      <c r="BT2" s="199"/>
      <c r="BU2" s="199"/>
      <c r="BV2" s="199"/>
      <c r="BW2" s="199"/>
      <c r="BX2" s="199"/>
      <c r="BY2" s="199"/>
      <c r="BZ2" s="199"/>
      <c r="CA2" s="199"/>
      <c r="CB2" s="199"/>
      <c r="CC2" s="199"/>
      <c r="CD2" s="199"/>
      <c r="CE2" s="199"/>
      <c r="CF2" s="199"/>
      <c r="CG2" s="199"/>
      <c r="CH2" s="199"/>
      <c r="CI2" s="199"/>
      <c r="CJ2" s="199"/>
      <c r="CK2" s="199"/>
      <c r="CL2" s="199"/>
      <c r="CM2" s="199"/>
      <c r="CN2" s="199"/>
      <c r="CO2" s="199"/>
      <c r="CP2" s="200"/>
    </row>
    <row r="3" spans="1:95" ht="16" customHeight="1" x14ac:dyDescent="0.2">
      <c r="D3" s="142" t="s">
        <v>265</v>
      </c>
      <c r="K3" s="170" t="s">
        <v>275</v>
      </c>
      <c r="L3" s="225"/>
      <c r="M3" s="225"/>
      <c r="N3" s="204"/>
      <c r="O3" s="164" t="s">
        <v>186</v>
      </c>
      <c r="P3" s="212"/>
      <c r="Q3" s="212"/>
      <c r="R3" s="165"/>
      <c r="S3" s="170" t="s">
        <v>273</v>
      </c>
      <c r="T3" s="225"/>
      <c r="U3" s="225"/>
      <c r="V3" s="204"/>
      <c r="W3" s="164" t="s">
        <v>169</v>
      </c>
      <c r="X3" s="212"/>
      <c r="Y3" s="212"/>
      <c r="Z3" s="165"/>
      <c r="AA3" s="164" t="s">
        <v>184</v>
      </c>
      <c r="AB3" s="212"/>
      <c r="AC3" s="212"/>
      <c r="AD3" s="165"/>
      <c r="AE3" s="164" t="s">
        <v>230</v>
      </c>
      <c r="AF3" s="212"/>
      <c r="AG3" s="212"/>
      <c r="AH3" s="165"/>
      <c r="AI3" s="164" t="s">
        <v>162</v>
      </c>
      <c r="AJ3" s="212"/>
      <c r="AK3" s="212"/>
      <c r="AL3" s="165"/>
      <c r="AM3" s="170" t="s">
        <v>274</v>
      </c>
      <c r="AN3" s="225"/>
      <c r="AO3" s="225"/>
      <c r="AP3" s="204"/>
      <c r="AQ3" s="164" t="s">
        <v>183</v>
      </c>
      <c r="AR3" s="212"/>
      <c r="AS3" s="212"/>
      <c r="AT3" s="165"/>
      <c r="AU3" s="164" t="s">
        <v>187</v>
      </c>
      <c r="AV3" s="212"/>
      <c r="AW3" s="212"/>
      <c r="AX3" s="165"/>
      <c r="AY3" s="164" t="s">
        <v>161</v>
      </c>
      <c r="AZ3" s="212"/>
      <c r="BA3" s="212"/>
      <c r="BB3" s="165"/>
      <c r="BC3" s="164" t="s">
        <v>168</v>
      </c>
      <c r="BD3" s="212"/>
      <c r="BE3" s="212"/>
      <c r="BF3" s="165"/>
      <c r="BG3" s="170" t="s">
        <v>420</v>
      </c>
      <c r="BH3" s="225"/>
      <c r="BI3" s="225"/>
      <c r="BJ3" s="204"/>
      <c r="BK3" s="164" t="s">
        <v>163</v>
      </c>
      <c r="BL3" s="212"/>
      <c r="BM3" s="212"/>
      <c r="BN3" s="165"/>
      <c r="BO3" s="170" t="s">
        <v>272</v>
      </c>
      <c r="BP3" s="225"/>
      <c r="BQ3" s="225"/>
      <c r="BR3" s="204"/>
      <c r="BS3" s="164" t="s">
        <v>164</v>
      </c>
      <c r="BT3" s="212"/>
      <c r="BU3" s="212"/>
      <c r="BV3" s="165"/>
      <c r="BW3" s="164" t="s">
        <v>228</v>
      </c>
      <c r="BX3" s="212"/>
      <c r="BY3" s="212"/>
      <c r="BZ3" s="165"/>
      <c r="CA3" s="164" t="s">
        <v>227</v>
      </c>
      <c r="CB3" s="212"/>
      <c r="CC3" s="212"/>
      <c r="CD3" s="165"/>
      <c r="CE3" s="164" t="s">
        <v>229</v>
      </c>
      <c r="CF3" s="212"/>
      <c r="CG3" s="212"/>
      <c r="CH3" s="165"/>
      <c r="CI3" s="164" t="s">
        <v>223</v>
      </c>
      <c r="CJ3" s="212"/>
      <c r="CK3" s="212"/>
      <c r="CL3" s="165"/>
      <c r="CM3" s="164" t="s">
        <v>165</v>
      </c>
      <c r="CN3" s="212"/>
      <c r="CO3" s="212"/>
      <c r="CP3" s="165"/>
    </row>
    <row r="4" spans="1:95" ht="20" customHeight="1" x14ac:dyDescent="0.2">
      <c r="B4" s="97"/>
      <c r="D4" s="143"/>
      <c r="K4" s="205"/>
      <c r="L4" s="221"/>
      <c r="M4" s="221"/>
      <c r="N4" s="206"/>
      <c r="O4" s="166"/>
      <c r="P4" s="210"/>
      <c r="Q4" s="210"/>
      <c r="R4" s="167"/>
      <c r="S4" s="205"/>
      <c r="T4" s="221"/>
      <c r="U4" s="221"/>
      <c r="V4" s="206"/>
      <c r="W4" s="166"/>
      <c r="X4" s="210"/>
      <c r="Y4" s="210"/>
      <c r="Z4" s="167"/>
      <c r="AA4" s="166"/>
      <c r="AB4" s="210"/>
      <c r="AC4" s="210"/>
      <c r="AD4" s="167"/>
      <c r="AE4" s="166"/>
      <c r="AF4" s="210"/>
      <c r="AG4" s="210"/>
      <c r="AH4" s="167"/>
      <c r="AI4" s="166"/>
      <c r="AJ4" s="210"/>
      <c r="AK4" s="210"/>
      <c r="AL4" s="167"/>
      <c r="AM4" s="205"/>
      <c r="AN4" s="221"/>
      <c r="AO4" s="221"/>
      <c r="AP4" s="206"/>
      <c r="AQ4" s="166"/>
      <c r="AR4" s="210"/>
      <c r="AS4" s="210"/>
      <c r="AT4" s="167"/>
      <c r="AU4" s="166"/>
      <c r="AV4" s="210"/>
      <c r="AW4" s="210"/>
      <c r="AX4" s="167"/>
      <c r="AY4" s="166"/>
      <c r="AZ4" s="210"/>
      <c r="BA4" s="210"/>
      <c r="BB4" s="167"/>
      <c r="BC4" s="166"/>
      <c r="BD4" s="210"/>
      <c r="BE4" s="210"/>
      <c r="BF4" s="167"/>
      <c r="BG4" s="205"/>
      <c r="BH4" s="221"/>
      <c r="BI4" s="221"/>
      <c r="BJ4" s="206"/>
      <c r="BK4" s="166"/>
      <c r="BL4" s="210"/>
      <c r="BM4" s="210"/>
      <c r="BN4" s="167"/>
      <c r="BO4" s="205"/>
      <c r="BP4" s="221"/>
      <c r="BQ4" s="221"/>
      <c r="BR4" s="206"/>
      <c r="BS4" s="166"/>
      <c r="BT4" s="210"/>
      <c r="BU4" s="210"/>
      <c r="BV4" s="167"/>
      <c r="BW4" s="166"/>
      <c r="BX4" s="210"/>
      <c r="BY4" s="210"/>
      <c r="BZ4" s="167"/>
      <c r="CA4" s="166"/>
      <c r="CB4" s="210"/>
      <c r="CC4" s="210"/>
      <c r="CD4" s="167"/>
      <c r="CE4" s="166"/>
      <c r="CF4" s="210"/>
      <c r="CG4" s="210"/>
      <c r="CH4" s="167"/>
      <c r="CI4" s="166"/>
      <c r="CJ4" s="210"/>
      <c r="CK4" s="210"/>
      <c r="CL4" s="167"/>
      <c r="CM4" s="166"/>
      <c r="CN4" s="210"/>
      <c r="CO4" s="210"/>
      <c r="CP4" s="167"/>
    </row>
    <row r="5" spans="1:95" ht="20" customHeight="1" x14ac:dyDescent="0.2">
      <c r="A5" s="68"/>
      <c r="B5" s="96"/>
      <c r="D5" s="140" t="s">
        <v>282</v>
      </c>
      <c r="I5" s="25"/>
      <c r="J5" s="25"/>
      <c r="K5" s="207"/>
      <c r="L5" s="226"/>
      <c r="M5" s="226"/>
      <c r="N5" s="208"/>
      <c r="O5" s="168"/>
      <c r="P5" s="213"/>
      <c r="Q5" s="213"/>
      <c r="R5" s="169"/>
      <c r="S5" s="207"/>
      <c r="T5" s="226"/>
      <c r="U5" s="226"/>
      <c r="V5" s="208"/>
      <c r="W5" s="168"/>
      <c r="X5" s="213"/>
      <c r="Y5" s="213"/>
      <c r="Z5" s="169"/>
      <c r="AA5" s="168"/>
      <c r="AB5" s="213"/>
      <c r="AC5" s="213"/>
      <c r="AD5" s="169"/>
      <c r="AE5" s="168"/>
      <c r="AF5" s="213"/>
      <c r="AG5" s="213"/>
      <c r="AH5" s="169"/>
      <c r="AI5" s="168"/>
      <c r="AJ5" s="213"/>
      <c r="AK5" s="213"/>
      <c r="AL5" s="169"/>
      <c r="AM5" s="207"/>
      <c r="AN5" s="226"/>
      <c r="AO5" s="226"/>
      <c r="AP5" s="208"/>
      <c r="AQ5" s="168"/>
      <c r="AR5" s="213"/>
      <c r="AS5" s="213"/>
      <c r="AT5" s="169"/>
      <c r="AU5" s="168"/>
      <c r="AV5" s="213"/>
      <c r="AW5" s="213"/>
      <c r="AX5" s="169"/>
      <c r="AY5" s="168"/>
      <c r="AZ5" s="213"/>
      <c r="BA5" s="213"/>
      <c r="BB5" s="169"/>
      <c r="BC5" s="168"/>
      <c r="BD5" s="213"/>
      <c r="BE5" s="213"/>
      <c r="BF5" s="169"/>
      <c r="BG5" s="207"/>
      <c r="BH5" s="226"/>
      <c r="BI5" s="226"/>
      <c r="BJ5" s="208"/>
      <c r="BK5" s="168"/>
      <c r="BL5" s="213"/>
      <c r="BM5" s="213"/>
      <c r="BN5" s="169"/>
      <c r="BO5" s="207"/>
      <c r="BP5" s="226"/>
      <c r="BQ5" s="226"/>
      <c r="BR5" s="208"/>
      <c r="BS5" s="168"/>
      <c r="BT5" s="213"/>
      <c r="BU5" s="213"/>
      <c r="BV5" s="169"/>
      <c r="BW5" s="168"/>
      <c r="BX5" s="213"/>
      <c r="BY5" s="213"/>
      <c r="BZ5" s="169"/>
      <c r="CA5" s="168"/>
      <c r="CB5" s="213"/>
      <c r="CC5" s="213"/>
      <c r="CD5" s="169"/>
      <c r="CE5" s="168"/>
      <c r="CF5" s="213"/>
      <c r="CG5" s="213"/>
      <c r="CH5" s="169"/>
      <c r="CI5" s="168"/>
      <c r="CJ5" s="213"/>
      <c r="CK5" s="213"/>
      <c r="CL5" s="169"/>
      <c r="CM5" s="168"/>
      <c r="CN5" s="213"/>
      <c r="CO5" s="213"/>
      <c r="CP5" s="169"/>
    </row>
    <row r="6" spans="1:95" ht="20" customHeight="1" x14ac:dyDescent="0.2">
      <c r="A6" s="67"/>
      <c r="B6" s="95"/>
      <c r="D6" s="140"/>
      <c r="G6" s="136" t="s">
        <v>24</v>
      </c>
      <c r="H6" s="147" t="s">
        <v>365</v>
      </c>
      <c r="I6" s="150" t="s">
        <v>363</v>
      </c>
      <c r="J6" s="153" t="s">
        <v>364</v>
      </c>
      <c r="K6" s="144" t="s">
        <v>276</v>
      </c>
      <c r="L6" s="172" t="s">
        <v>277</v>
      </c>
      <c r="M6" s="230" t="s">
        <v>445</v>
      </c>
      <c r="N6" s="232" t="s">
        <v>446</v>
      </c>
      <c r="O6" s="177" t="s">
        <v>276</v>
      </c>
      <c r="P6" s="172" t="s">
        <v>277</v>
      </c>
      <c r="Q6" s="230" t="s">
        <v>445</v>
      </c>
      <c r="R6" s="232" t="s">
        <v>446</v>
      </c>
      <c r="S6" s="171" t="s">
        <v>276</v>
      </c>
      <c r="T6" s="172" t="s">
        <v>277</v>
      </c>
      <c r="U6" s="230" t="s">
        <v>445</v>
      </c>
      <c r="V6" s="232" t="s">
        <v>446</v>
      </c>
      <c r="W6" s="144" t="s">
        <v>276</v>
      </c>
      <c r="X6" s="172" t="s">
        <v>277</v>
      </c>
      <c r="Y6" s="230" t="s">
        <v>445</v>
      </c>
      <c r="Z6" s="232" t="s">
        <v>446</v>
      </c>
      <c r="AA6" s="144" t="s">
        <v>276</v>
      </c>
      <c r="AB6" s="172" t="s">
        <v>277</v>
      </c>
      <c r="AC6" s="230" t="s">
        <v>445</v>
      </c>
      <c r="AD6" s="232" t="s">
        <v>446</v>
      </c>
      <c r="AE6" s="174" t="s">
        <v>276</v>
      </c>
      <c r="AF6" s="172" t="s">
        <v>277</v>
      </c>
      <c r="AG6" s="230" t="s">
        <v>445</v>
      </c>
      <c r="AH6" s="232" t="s">
        <v>446</v>
      </c>
      <c r="AI6" s="144" t="s">
        <v>276</v>
      </c>
      <c r="AJ6" s="172" t="s">
        <v>277</v>
      </c>
      <c r="AK6" s="230" t="s">
        <v>445</v>
      </c>
      <c r="AL6" s="232" t="s">
        <v>446</v>
      </c>
      <c r="AM6" s="171" t="s">
        <v>276</v>
      </c>
      <c r="AN6" s="172" t="s">
        <v>277</v>
      </c>
      <c r="AO6" s="230" t="s">
        <v>445</v>
      </c>
      <c r="AP6" s="232" t="s">
        <v>446</v>
      </c>
      <c r="AQ6" s="144" t="s">
        <v>276</v>
      </c>
      <c r="AR6" s="172" t="s">
        <v>277</v>
      </c>
      <c r="AS6" s="230" t="s">
        <v>445</v>
      </c>
      <c r="AT6" s="232" t="s">
        <v>446</v>
      </c>
      <c r="AU6" s="144" t="s">
        <v>276</v>
      </c>
      <c r="AV6" s="172" t="s">
        <v>277</v>
      </c>
      <c r="AW6" s="230" t="s">
        <v>445</v>
      </c>
      <c r="AX6" s="232" t="s">
        <v>446</v>
      </c>
      <c r="AY6" s="156" t="s">
        <v>276</v>
      </c>
      <c r="AZ6" s="214" t="s">
        <v>277</v>
      </c>
      <c r="BA6" s="230" t="s">
        <v>445</v>
      </c>
      <c r="BB6" s="232" t="s">
        <v>446</v>
      </c>
      <c r="BC6" s="144" t="s">
        <v>276</v>
      </c>
      <c r="BD6" s="172" t="s">
        <v>277</v>
      </c>
      <c r="BE6" s="230" t="s">
        <v>445</v>
      </c>
      <c r="BF6" s="232" t="s">
        <v>446</v>
      </c>
      <c r="BG6" s="174" t="s">
        <v>276</v>
      </c>
      <c r="BH6" s="172" t="s">
        <v>277</v>
      </c>
      <c r="BI6" s="230" t="s">
        <v>445</v>
      </c>
      <c r="BJ6" s="232" t="s">
        <v>446</v>
      </c>
      <c r="BK6" s="144" t="s">
        <v>276</v>
      </c>
      <c r="BL6" s="172" t="s">
        <v>277</v>
      </c>
      <c r="BM6" s="230" t="s">
        <v>445</v>
      </c>
      <c r="BN6" s="232" t="s">
        <v>446</v>
      </c>
      <c r="BO6" s="171" t="s">
        <v>276</v>
      </c>
      <c r="BP6" s="172" t="s">
        <v>277</v>
      </c>
      <c r="BQ6" s="230" t="s">
        <v>445</v>
      </c>
      <c r="BR6" s="232" t="s">
        <v>446</v>
      </c>
      <c r="BS6" s="144" t="s">
        <v>276</v>
      </c>
      <c r="BT6" s="172" t="s">
        <v>277</v>
      </c>
      <c r="BU6" s="230" t="s">
        <v>445</v>
      </c>
      <c r="BV6" s="232" t="s">
        <v>446</v>
      </c>
      <c r="BW6" s="144" t="s">
        <v>276</v>
      </c>
      <c r="BX6" s="172" t="s">
        <v>277</v>
      </c>
      <c r="BY6" s="230" t="s">
        <v>445</v>
      </c>
      <c r="BZ6" s="232" t="s">
        <v>446</v>
      </c>
      <c r="CA6" s="144" t="s">
        <v>276</v>
      </c>
      <c r="CB6" s="172" t="s">
        <v>277</v>
      </c>
      <c r="CC6" s="230" t="s">
        <v>445</v>
      </c>
      <c r="CD6" s="232" t="s">
        <v>446</v>
      </c>
      <c r="CE6" s="144" t="s">
        <v>276</v>
      </c>
      <c r="CF6" s="172" t="s">
        <v>277</v>
      </c>
      <c r="CG6" s="230" t="s">
        <v>445</v>
      </c>
      <c r="CH6" s="232" t="s">
        <v>446</v>
      </c>
      <c r="CI6" s="144" t="s">
        <v>276</v>
      </c>
      <c r="CJ6" s="172" t="s">
        <v>277</v>
      </c>
      <c r="CK6" s="230" t="s">
        <v>445</v>
      </c>
      <c r="CL6" s="232" t="s">
        <v>446</v>
      </c>
      <c r="CM6" s="156" t="s">
        <v>276</v>
      </c>
      <c r="CN6" s="172" t="s">
        <v>277</v>
      </c>
      <c r="CO6" s="230" t="s">
        <v>445</v>
      </c>
      <c r="CP6" s="232" t="s">
        <v>446</v>
      </c>
    </row>
    <row r="7" spans="1:95" ht="20" customHeight="1" thickBot="1" x14ac:dyDescent="0.25">
      <c r="A7" s="136" t="s">
        <v>285</v>
      </c>
      <c r="B7" s="138" t="s">
        <v>369</v>
      </c>
      <c r="D7" s="141"/>
      <c r="G7" s="136"/>
      <c r="H7" s="148"/>
      <c r="I7" s="151"/>
      <c r="J7" s="154"/>
      <c r="K7" s="144"/>
      <c r="L7" s="172"/>
      <c r="M7" s="230"/>
      <c r="N7" s="232"/>
      <c r="O7" s="178"/>
      <c r="P7" s="172"/>
      <c r="Q7" s="230"/>
      <c r="R7" s="232"/>
      <c r="S7" s="171"/>
      <c r="T7" s="172"/>
      <c r="U7" s="230"/>
      <c r="V7" s="232"/>
      <c r="W7" s="144"/>
      <c r="X7" s="172"/>
      <c r="Y7" s="230"/>
      <c r="Z7" s="232"/>
      <c r="AA7" s="144"/>
      <c r="AB7" s="172"/>
      <c r="AC7" s="230"/>
      <c r="AD7" s="232"/>
      <c r="AE7" s="174"/>
      <c r="AF7" s="172"/>
      <c r="AG7" s="230"/>
      <c r="AH7" s="232"/>
      <c r="AI7" s="144"/>
      <c r="AJ7" s="172"/>
      <c r="AK7" s="230"/>
      <c r="AL7" s="232"/>
      <c r="AM7" s="171"/>
      <c r="AN7" s="172"/>
      <c r="AO7" s="230"/>
      <c r="AP7" s="232"/>
      <c r="AQ7" s="144"/>
      <c r="AR7" s="172"/>
      <c r="AS7" s="230"/>
      <c r="AT7" s="232"/>
      <c r="AU7" s="144"/>
      <c r="AV7" s="172"/>
      <c r="AW7" s="230"/>
      <c r="AX7" s="232"/>
      <c r="AY7" s="157"/>
      <c r="AZ7" s="215"/>
      <c r="BA7" s="230"/>
      <c r="BB7" s="232"/>
      <c r="BC7" s="144"/>
      <c r="BD7" s="172"/>
      <c r="BE7" s="230"/>
      <c r="BF7" s="232"/>
      <c r="BG7" s="174"/>
      <c r="BH7" s="172"/>
      <c r="BI7" s="230"/>
      <c r="BJ7" s="232"/>
      <c r="BK7" s="144"/>
      <c r="BL7" s="172"/>
      <c r="BM7" s="230"/>
      <c r="BN7" s="232"/>
      <c r="BO7" s="144"/>
      <c r="BP7" s="172"/>
      <c r="BQ7" s="230"/>
      <c r="BR7" s="232"/>
      <c r="BS7" s="144"/>
      <c r="BT7" s="172"/>
      <c r="BU7" s="230"/>
      <c r="BV7" s="232"/>
      <c r="BW7" s="144"/>
      <c r="BX7" s="172"/>
      <c r="BY7" s="230"/>
      <c r="BZ7" s="232"/>
      <c r="CA7" s="144"/>
      <c r="CB7" s="172"/>
      <c r="CC7" s="230"/>
      <c r="CD7" s="232"/>
      <c r="CE7" s="144"/>
      <c r="CF7" s="172"/>
      <c r="CG7" s="230"/>
      <c r="CH7" s="232"/>
      <c r="CI7" s="144"/>
      <c r="CJ7" s="172"/>
      <c r="CK7" s="230"/>
      <c r="CL7" s="232"/>
      <c r="CM7" s="157"/>
      <c r="CN7" s="172"/>
      <c r="CO7" s="230"/>
      <c r="CP7" s="232"/>
    </row>
    <row r="8" spans="1:95" ht="20" customHeight="1" x14ac:dyDescent="0.2">
      <c r="A8" s="136"/>
      <c r="B8" s="138"/>
      <c r="G8" s="136"/>
      <c r="H8" s="148"/>
      <c r="I8" s="151"/>
      <c r="J8" s="154"/>
      <c r="K8" s="144"/>
      <c r="L8" s="172"/>
      <c r="M8" s="230"/>
      <c r="N8" s="232"/>
      <c r="O8" s="178"/>
      <c r="P8" s="172"/>
      <c r="Q8" s="230"/>
      <c r="R8" s="232"/>
      <c r="S8" s="171"/>
      <c r="T8" s="172"/>
      <c r="U8" s="230"/>
      <c r="V8" s="232"/>
      <c r="W8" s="144"/>
      <c r="X8" s="172"/>
      <c r="Y8" s="230"/>
      <c r="Z8" s="232"/>
      <c r="AA8" s="144"/>
      <c r="AB8" s="172"/>
      <c r="AC8" s="230"/>
      <c r="AD8" s="232"/>
      <c r="AE8" s="174"/>
      <c r="AF8" s="172"/>
      <c r="AG8" s="230"/>
      <c r="AH8" s="232"/>
      <c r="AI8" s="144"/>
      <c r="AJ8" s="172"/>
      <c r="AK8" s="230"/>
      <c r="AL8" s="232"/>
      <c r="AM8" s="171"/>
      <c r="AN8" s="172"/>
      <c r="AO8" s="230"/>
      <c r="AP8" s="232"/>
      <c r="AQ8" s="144"/>
      <c r="AR8" s="172"/>
      <c r="AS8" s="230"/>
      <c r="AT8" s="232"/>
      <c r="AU8" s="144"/>
      <c r="AV8" s="172"/>
      <c r="AW8" s="230"/>
      <c r="AX8" s="232"/>
      <c r="AY8" s="157"/>
      <c r="AZ8" s="215"/>
      <c r="BA8" s="230"/>
      <c r="BB8" s="232"/>
      <c r="BC8" s="144"/>
      <c r="BD8" s="172"/>
      <c r="BE8" s="230"/>
      <c r="BF8" s="232"/>
      <c r="BG8" s="174"/>
      <c r="BH8" s="172"/>
      <c r="BI8" s="230"/>
      <c r="BJ8" s="232"/>
      <c r="BK8" s="144"/>
      <c r="BL8" s="172"/>
      <c r="BM8" s="230"/>
      <c r="BN8" s="232"/>
      <c r="BO8" s="144"/>
      <c r="BP8" s="172"/>
      <c r="BQ8" s="230"/>
      <c r="BR8" s="232"/>
      <c r="BS8" s="144"/>
      <c r="BT8" s="172"/>
      <c r="BU8" s="230"/>
      <c r="BV8" s="232"/>
      <c r="BW8" s="144"/>
      <c r="BX8" s="172"/>
      <c r="BY8" s="230"/>
      <c r="BZ8" s="232"/>
      <c r="CA8" s="144"/>
      <c r="CB8" s="172"/>
      <c r="CC8" s="230"/>
      <c r="CD8" s="232"/>
      <c r="CE8" s="144"/>
      <c r="CF8" s="172"/>
      <c r="CG8" s="230"/>
      <c r="CH8" s="232"/>
      <c r="CI8" s="144"/>
      <c r="CJ8" s="172"/>
      <c r="CK8" s="230"/>
      <c r="CL8" s="232"/>
      <c r="CM8" s="157"/>
      <c r="CN8" s="172"/>
      <c r="CO8" s="230"/>
      <c r="CP8" s="232"/>
    </row>
    <row r="9" spans="1:95" ht="20" customHeight="1" x14ac:dyDescent="0.2">
      <c r="A9" s="136"/>
      <c r="B9" s="138"/>
      <c r="G9" s="136"/>
      <c r="H9" s="148"/>
      <c r="I9" s="151"/>
      <c r="J9" s="154"/>
      <c r="K9" s="144"/>
      <c r="L9" s="172"/>
      <c r="M9" s="230"/>
      <c r="N9" s="232"/>
      <c r="O9" s="178"/>
      <c r="P9" s="172"/>
      <c r="Q9" s="230"/>
      <c r="R9" s="232"/>
      <c r="S9" s="171"/>
      <c r="T9" s="172"/>
      <c r="U9" s="230"/>
      <c r="V9" s="232"/>
      <c r="W9" s="144"/>
      <c r="X9" s="172"/>
      <c r="Y9" s="230"/>
      <c r="Z9" s="232"/>
      <c r="AA9" s="144"/>
      <c r="AB9" s="172"/>
      <c r="AC9" s="230"/>
      <c r="AD9" s="232"/>
      <c r="AE9" s="174"/>
      <c r="AF9" s="172"/>
      <c r="AG9" s="230"/>
      <c r="AH9" s="232"/>
      <c r="AI9" s="144"/>
      <c r="AJ9" s="172"/>
      <c r="AK9" s="230"/>
      <c r="AL9" s="232"/>
      <c r="AM9" s="171"/>
      <c r="AN9" s="172"/>
      <c r="AO9" s="230"/>
      <c r="AP9" s="232"/>
      <c r="AQ9" s="144"/>
      <c r="AR9" s="172"/>
      <c r="AS9" s="230"/>
      <c r="AT9" s="232"/>
      <c r="AU9" s="144"/>
      <c r="AV9" s="172"/>
      <c r="AW9" s="230"/>
      <c r="AX9" s="232"/>
      <c r="AY9" s="157"/>
      <c r="AZ9" s="215"/>
      <c r="BA9" s="230"/>
      <c r="BB9" s="232"/>
      <c r="BC9" s="144"/>
      <c r="BD9" s="172"/>
      <c r="BE9" s="230"/>
      <c r="BF9" s="232"/>
      <c r="BG9" s="174"/>
      <c r="BH9" s="172"/>
      <c r="BI9" s="230"/>
      <c r="BJ9" s="232"/>
      <c r="BK9" s="144"/>
      <c r="BL9" s="172"/>
      <c r="BM9" s="230"/>
      <c r="BN9" s="232"/>
      <c r="BO9" s="144"/>
      <c r="BP9" s="172"/>
      <c r="BQ9" s="230"/>
      <c r="BR9" s="232"/>
      <c r="BS9" s="144"/>
      <c r="BT9" s="172"/>
      <c r="BU9" s="230"/>
      <c r="BV9" s="232"/>
      <c r="BW9" s="144"/>
      <c r="BX9" s="172"/>
      <c r="BY9" s="230"/>
      <c r="BZ9" s="232"/>
      <c r="CA9" s="144"/>
      <c r="CB9" s="172"/>
      <c r="CC9" s="230"/>
      <c r="CD9" s="232"/>
      <c r="CE9" s="144"/>
      <c r="CF9" s="172"/>
      <c r="CG9" s="230"/>
      <c r="CH9" s="232"/>
      <c r="CI9" s="144"/>
      <c r="CJ9" s="172"/>
      <c r="CK9" s="230"/>
      <c r="CL9" s="232"/>
      <c r="CM9" s="157"/>
      <c r="CN9" s="172"/>
      <c r="CO9" s="230"/>
      <c r="CP9" s="232"/>
    </row>
    <row r="10" spans="1:95" s="23" customFormat="1" ht="20" customHeight="1" thickBot="1" x14ac:dyDescent="0.25">
      <c r="A10" s="137"/>
      <c r="B10" s="139"/>
      <c r="C10" s="22" t="s">
        <v>20</v>
      </c>
      <c r="D10" s="21" t="s">
        <v>21</v>
      </c>
      <c r="E10" s="21" t="s">
        <v>22</v>
      </c>
      <c r="F10" s="22" t="s">
        <v>23</v>
      </c>
      <c r="G10" s="146"/>
      <c r="H10" s="149"/>
      <c r="I10" s="152"/>
      <c r="J10" s="155"/>
      <c r="K10" s="145"/>
      <c r="L10" s="173"/>
      <c r="M10" s="231"/>
      <c r="N10" s="233"/>
      <c r="O10" s="179"/>
      <c r="P10" s="173"/>
      <c r="Q10" s="231"/>
      <c r="R10" s="233"/>
      <c r="S10" s="176"/>
      <c r="T10" s="173"/>
      <c r="U10" s="231"/>
      <c r="V10" s="233"/>
      <c r="W10" s="145"/>
      <c r="X10" s="173"/>
      <c r="Y10" s="231"/>
      <c r="Z10" s="233"/>
      <c r="AA10" s="145"/>
      <c r="AB10" s="173"/>
      <c r="AC10" s="231"/>
      <c r="AD10" s="233"/>
      <c r="AE10" s="175"/>
      <c r="AF10" s="173"/>
      <c r="AG10" s="231"/>
      <c r="AH10" s="233"/>
      <c r="AI10" s="145"/>
      <c r="AJ10" s="173"/>
      <c r="AK10" s="231"/>
      <c r="AL10" s="233"/>
      <c r="AM10" s="176"/>
      <c r="AN10" s="173"/>
      <c r="AO10" s="231"/>
      <c r="AP10" s="233"/>
      <c r="AQ10" s="145"/>
      <c r="AR10" s="173"/>
      <c r="AS10" s="231"/>
      <c r="AT10" s="233"/>
      <c r="AU10" s="145"/>
      <c r="AV10" s="173"/>
      <c r="AW10" s="231"/>
      <c r="AX10" s="233"/>
      <c r="AY10" s="158"/>
      <c r="AZ10" s="216"/>
      <c r="BA10" s="231"/>
      <c r="BB10" s="233"/>
      <c r="BC10" s="145"/>
      <c r="BD10" s="173"/>
      <c r="BE10" s="231"/>
      <c r="BF10" s="233"/>
      <c r="BG10" s="175"/>
      <c r="BH10" s="173"/>
      <c r="BI10" s="231"/>
      <c r="BJ10" s="233"/>
      <c r="BK10" s="145"/>
      <c r="BL10" s="173"/>
      <c r="BM10" s="231"/>
      <c r="BN10" s="233"/>
      <c r="BO10" s="145"/>
      <c r="BP10" s="173"/>
      <c r="BQ10" s="231"/>
      <c r="BR10" s="233"/>
      <c r="BS10" s="145"/>
      <c r="BT10" s="173"/>
      <c r="BU10" s="231"/>
      <c r="BV10" s="233"/>
      <c r="BW10" s="145"/>
      <c r="BX10" s="173"/>
      <c r="BY10" s="231"/>
      <c r="BZ10" s="233"/>
      <c r="CA10" s="145"/>
      <c r="CB10" s="173"/>
      <c r="CC10" s="231"/>
      <c r="CD10" s="233"/>
      <c r="CE10" s="145"/>
      <c r="CF10" s="173"/>
      <c r="CG10" s="231"/>
      <c r="CH10" s="233"/>
      <c r="CI10" s="145"/>
      <c r="CJ10" s="173"/>
      <c r="CK10" s="231"/>
      <c r="CL10" s="233"/>
      <c r="CM10" s="158"/>
      <c r="CN10" s="173"/>
      <c r="CO10" s="231"/>
      <c r="CP10" s="233"/>
      <c r="CQ10" s="21" t="s">
        <v>25</v>
      </c>
    </row>
    <row r="11" spans="1:95" s="23" customFormat="1" ht="20" customHeight="1" x14ac:dyDescent="0.2">
      <c r="A11" s="67"/>
      <c r="B11" s="97"/>
      <c r="C11" s="70" t="s">
        <v>86</v>
      </c>
      <c r="D11" s="69" t="s">
        <v>287</v>
      </c>
      <c r="E11" s="69" t="s">
        <v>288</v>
      </c>
      <c r="F11" s="70">
        <v>2015</v>
      </c>
      <c r="G11" s="70"/>
      <c r="H11" s="71">
        <v>40</v>
      </c>
      <c r="I11" s="72" t="s">
        <v>366</v>
      </c>
      <c r="J11" s="73" t="s">
        <v>367</v>
      </c>
      <c r="K11" s="79"/>
      <c r="L11" s="89" t="str">
        <f t="shared" ref="L11:L64" si="0">IF((ISERROR((K11/$H11)*100)), "", IF(AND(NOT(ISERROR((K11/$H11)*100)),((K11/$H11)*100) &lt;&gt; 0), (K11/$H11)*100, ""))</f>
        <v/>
      </c>
      <c r="M11" s="127"/>
      <c r="N11" s="128" t="str">
        <f t="shared" ref="N11:N64" si="1">IF(AND(NOT(ISERROR(K11-M11)), AND(M11&lt;&gt;"", K11&lt;&gt;"")), K11-M11, "")</f>
        <v/>
      </c>
      <c r="O11" s="80"/>
      <c r="P11" s="89" t="str">
        <f t="shared" ref="P11:P60" si="2">IF((ISERROR((O11/$H11)*100)), "", IF(AND(NOT(ISERROR((O11/$H11)*100)),((O11/$H11)*100) &lt;&gt; 0), (O11/$H11)*100, ""))</f>
        <v/>
      </c>
      <c r="Q11" s="127"/>
      <c r="R11" s="131" t="str">
        <f t="shared" ref="R11:R64" si="3">IF(AND(NOT(ISERROR(O11-Q11)), AND(Q11&lt;&gt;"", O11&lt;&gt;"")), O11-Q11, "")</f>
        <v/>
      </c>
      <c r="S11" s="80"/>
      <c r="T11" s="89" t="str">
        <f t="shared" ref="T11:T64" si="4">IF((ISERROR((S11/$H11)*100)), "", IF(AND(NOT(ISERROR((S11/$H11)*100)),((S11/$H11)*100) &lt;&gt; 0), (S11/$H11)*100, ""))</f>
        <v/>
      </c>
      <c r="U11" s="127"/>
      <c r="V11" s="131" t="str">
        <f t="shared" ref="V11:V64" si="5">IF(AND(NOT(ISERROR(S11-U11)), AND(U11&lt;&gt;"", S11&lt;&gt;"")), S11-U11, "")</f>
        <v/>
      </c>
      <c r="W11" s="79"/>
      <c r="X11" s="89" t="str">
        <f t="shared" ref="X11:X64" si="6">IF((ISERROR((W11/$H11)*100)), "", IF(AND(NOT(ISERROR((W11/$H11)*100)),((W11/$H11)*100) &lt;&gt; 0), (W11/$H11)*100, ""))</f>
        <v/>
      </c>
      <c r="Y11" s="127"/>
      <c r="Z11" s="131" t="str">
        <f t="shared" ref="Z11:Z64" si="7">IF(AND(NOT(ISERROR(W11-Y11)), AND(Y11&lt;&gt;"", W11&lt;&gt;"")), W11-Y11, "")</f>
        <v/>
      </c>
      <c r="AA11" s="79"/>
      <c r="AB11" s="89" t="str">
        <f t="shared" ref="AB11:AB64" si="8">IF((ISERROR((AA11/$H11)*100)), "", IF(AND(NOT(ISERROR((AA11/$H11)*100)),((AA11/$H11)*100) &lt;&gt; 0), (AA11/$H11)*100, ""))</f>
        <v/>
      </c>
      <c r="AC11" s="127"/>
      <c r="AD11" s="131" t="str">
        <f t="shared" ref="AD11:AD64" si="9">IF(AND(NOT(ISERROR(AA11-AC11)), AND(AC11&lt;&gt;"", AA11&lt;&gt;"")), AA11-AC11, "")</f>
        <v/>
      </c>
      <c r="AE11" s="81"/>
      <c r="AF11" s="90" t="str">
        <f t="shared" ref="AF11:AF30" si="10">IF((ISERROR((AE11/$H11)*100)), "", IF(AND(NOT(ISERROR((AE11/$H11)*100)),((AE11/$H11)*100) &lt;&gt; 0), (AE11/$H11)*100, ""))</f>
        <v/>
      </c>
      <c r="AG11" s="127"/>
      <c r="AH11" s="131" t="str">
        <f t="shared" ref="AH11:AH64" si="11">IF(AND(NOT(ISERROR(AE11-AG11)), AND(AG11&lt;&gt;"", AE11&lt;&gt;"")), AE11-AG11, "")</f>
        <v/>
      </c>
      <c r="AI11" s="79"/>
      <c r="AJ11" s="89" t="str">
        <f t="shared" ref="AJ11:AJ64" si="12">IF((ISERROR((AI11/$H11)*100)), "", IF(AND(NOT(ISERROR((AI11/$H11)*100)),((AI11/$H11)*100) &lt;&gt; 0), (AI11/$H11)*100, ""))</f>
        <v/>
      </c>
      <c r="AK11" s="127"/>
      <c r="AL11" s="131" t="str">
        <f t="shared" ref="AL11:AL64" si="13">IF(AND(NOT(ISERROR(AI11-AK11)), AND(AK11&lt;&gt;"", AI11&lt;&gt;"")), AI11-AK11, "")</f>
        <v/>
      </c>
      <c r="AM11" s="80"/>
      <c r="AN11" s="89" t="str">
        <f t="shared" ref="AN11:AN64" si="14">IF((ISERROR((AM11/$H11)*100)), "", IF(AND(NOT(ISERROR((AM11/$H11)*100)),((AM11/$H11)*100) &lt;&gt; 0), (AM11/$H11)*100, ""))</f>
        <v/>
      </c>
      <c r="AO11" s="127"/>
      <c r="AP11" s="131" t="str">
        <f t="shared" ref="AP11:AP64" si="15">IF(AND(NOT(ISERROR(AM11-AO11)), AND(AO11&lt;&gt;"", AM11&lt;&gt;"")), AM11-AO11, "")</f>
        <v/>
      </c>
      <c r="AQ11" s="79"/>
      <c r="AR11" s="89" t="str">
        <f t="shared" ref="AR11:AR64" si="16">IF((ISERROR((AQ11/$H11)*100)), "", IF(AND(NOT(ISERROR((AQ11/$H11)*100)),((AQ11/$H11)*100) &lt;&gt; 0), (AQ11/$H11)*100, ""))</f>
        <v/>
      </c>
      <c r="AS11" s="127"/>
      <c r="AT11" s="131" t="str">
        <f t="shared" ref="AT11:AT64" si="17">IF(AND(NOT(ISERROR(AQ11-AS11)), AND(AS11&lt;&gt;"", AQ11&lt;&gt;"")), AQ11-AS11, "")</f>
        <v/>
      </c>
      <c r="AU11" s="79"/>
      <c r="AV11" s="89" t="str">
        <f t="shared" ref="AV11:AV59" si="18">IF((ISERROR((AU11/$H11)*100)), "", IF(AND(NOT(ISERROR((AU11/$H11)*100)),((AU11/$H11)*100) &lt;&gt; 0), (AU11/$H11)*100, ""))</f>
        <v/>
      </c>
      <c r="AW11" s="127"/>
      <c r="AX11" s="131" t="str">
        <f t="shared" ref="AX11:AX64" si="19">IF(AND(NOT(ISERROR(AU11-AW11)), AND(AW11&lt;&gt;"", AU11&lt;&gt;"")), AU11-AW11, "")</f>
        <v/>
      </c>
      <c r="AY11" s="79"/>
      <c r="AZ11" s="89" t="str">
        <f t="shared" ref="AZ11:AZ64" si="20">IF((ISERROR((AY11/$H11)*100)), "", IF(AND(NOT(ISERROR((AY11/$H11)*100)),((AY11/$H11)*100) &lt;&gt; 0), (AY11/$H11)*100, ""))</f>
        <v/>
      </c>
      <c r="BA11" s="127"/>
      <c r="BB11" s="131" t="str">
        <f t="shared" ref="BB11:BB12" si="21">IF(AND(NOT(ISERROR(AY11-BA11)), AND(BA11&lt;&gt;"", AY11&lt;&gt;"")), AY11-BA11, "")</f>
        <v/>
      </c>
      <c r="BC11" s="79"/>
      <c r="BD11" s="89" t="str">
        <f t="shared" ref="BD11:BD64" si="22">IF((ISERROR((BC11/$H11)*100)), "", IF(AND(NOT(ISERROR((BC11/$H11)*100)),((BC11/$H11)*100) &lt;&gt; 0), (BC11/$H11)*100, ""))</f>
        <v/>
      </c>
      <c r="BE11" s="127"/>
      <c r="BF11" s="131" t="str">
        <f t="shared" ref="BF11:BF64" si="23">IF(AND(NOT(ISERROR(BC11-BE11)), AND(BE11&lt;&gt;"", BC11&lt;&gt;"")), BC11-BE11, "")</f>
        <v/>
      </c>
      <c r="BG11" s="81"/>
      <c r="BH11" s="90" t="str">
        <f t="shared" ref="BH11:BH64" si="24">IF((ISERROR((BG11/$H11)*100)), "", IF(AND(NOT(ISERROR((BG11/$H11)*100)),((BG11/$H11)*100) &lt;&gt; 0), (BG11/$H11)*100, ""))</f>
        <v/>
      </c>
      <c r="BI11" s="127"/>
      <c r="BJ11" s="131" t="str">
        <f t="shared" ref="BJ11:BJ64" si="25">IF(AND(NOT(ISERROR(BG11-BI11)), AND(BI11&lt;&gt;"", BG11&lt;&gt;"")), BG11-BI11, "")</f>
        <v/>
      </c>
      <c r="BK11" s="79"/>
      <c r="BL11" s="89" t="str">
        <f t="shared" ref="BL11:BL64" si="26">IF((ISERROR((BK11/$H11)*100)), "", IF(AND(NOT(ISERROR((BK11/$H11)*100)),((BK11/$H11)*100) &lt;&gt; 0), (BK11/$H11)*100, ""))</f>
        <v/>
      </c>
      <c r="BM11" s="127"/>
      <c r="BN11" s="131" t="str">
        <f t="shared" ref="BN11:BN64" si="27">IF(AND(NOT(ISERROR(BK11-BM11)), AND(BM11&lt;&gt;"", BK11&lt;&gt;"")), BK11-BM11, "")</f>
        <v/>
      </c>
      <c r="BO11" s="79"/>
      <c r="BP11" s="89" t="str">
        <f t="shared" ref="BP11:BP64" si="28">IF((ISERROR((BO11/$H11)*100)), "", IF(AND(NOT(ISERROR((BO11/$H11)*100)),((BO11/$H11)*100) &lt;&gt; 0), (BO11/$H11)*100, ""))</f>
        <v/>
      </c>
      <c r="BQ11" s="127"/>
      <c r="BR11" s="131" t="str">
        <f t="shared" ref="BR11:BR64" si="29">IF(AND(NOT(ISERROR(BO11-BQ11)), AND(BQ11&lt;&gt;"", BO11&lt;&gt;"")), BO11-BQ11, "")</f>
        <v/>
      </c>
      <c r="BS11" s="79"/>
      <c r="BT11" s="89" t="str">
        <f t="shared" ref="BT11:BT64" si="30">IF((ISERROR((BS11/$H11)*100)), "", IF(AND(NOT(ISERROR((BS11/$H11)*100)),((BS11/$H11)*100) &lt;&gt; 0), (BS11/$H11)*100, ""))</f>
        <v/>
      </c>
      <c r="BU11" s="127"/>
      <c r="BV11" s="131" t="str">
        <f t="shared" ref="BV11:BV64" si="31">IF(AND(NOT(ISERROR(BS11-BU11)), AND(BU11&lt;&gt;"", BS11&lt;&gt;"")), BS11-BU11, "")</f>
        <v/>
      </c>
      <c r="BW11" s="79"/>
      <c r="BX11" s="89" t="str">
        <f t="shared" ref="BX11:BX64" si="32">IF((ISERROR((BW11/$H11)*100)), "", IF(AND(NOT(ISERROR((BW11/$H11)*100)),((BW11/$H11)*100) &lt;&gt; 0), (BW11/$H11)*100, ""))</f>
        <v/>
      </c>
      <c r="BY11" s="127"/>
      <c r="BZ11" s="131" t="str">
        <f t="shared" ref="BZ11:BZ64" si="33">IF(AND(NOT(ISERROR(BW11-BY11)), AND(BY11&lt;&gt;"", BW11&lt;&gt;"")), BW11-BY11, "")</f>
        <v/>
      </c>
      <c r="CA11" s="79"/>
      <c r="CB11" s="89" t="str">
        <f t="shared" ref="CB11:CB64" si="34">IF((ISERROR((CA11/$H11)*100)), "", IF(AND(NOT(ISERROR((CA11/$H11)*100)),((CA11/$H11)*100) &lt;&gt; 0), (CA11/$H11)*100, ""))</f>
        <v/>
      </c>
      <c r="CC11" s="127"/>
      <c r="CD11" s="131" t="str">
        <f t="shared" ref="CD11:CD64" si="35">IF(AND(NOT(ISERROR(CA11-CC11)), AND(CC11&lt;&gt;"", CA11&lt;&gt;"")), CA11-CC11, "")</f>
        <v/>
      </c>
      <c r="CE11" s="79"/>
      <c r="CF11" s="89" t="str">
        <f t="shared" ref="CF11:CF64" si="36">IF((ISERROR((CE11/$H11)*100)), "", IF(AND(NOT(ISERROR((CE11/$H11)*100)),((CE11/$H11)*100) &lt;&gt; 0), (CE11/$H11)*100, ""))</f>
        <v/>
      </c>
      <c r="CG11" s="127"/>
      <c r="CH11" s="131" t="str">
        <f t="shared" ref="CH11:CH64" si="37">IF(AND(NOT(ISERROR(CE11-CG11)), AND(CG11&lt;&gt;"", CE11&lt;&gt;"")), CE11-CG11, "")</f>
        <v/>
      </c>
      <c r="CI11" s="79"/>
      <c r="CJ11" s="89" t="str">
        <f t="shared" ref="CJ11:CJ64" si="38">IF((ISERROR((CI11/$H11)*100)), "", IF(AND(NOT(ISERROR((CI11/$H11)*100)),((CI11/$H11)*100) &lt;&gt; 0), (CI11/$H11)*100, ""))</f>
        <v/>
      </c>
      <c r="CK11" s="127"/>
      <c r="CL11" s="131" t="str">
        <f t="shared" ref="CL11:CL64" si="39">IF(AND(NOT(ISERROR(CI11-CK11)), AND(CK11&lt;&gt;"", CI11&lt;&gt;"")), CI11-CK11, "")</f>
        <v/>
      </c>
      <c r="CM11" s="79"/>
      <c r="CN11" s="89" t="str">
        <f t="shared" ref="CN11:CN64" si="40">IF((ISERROR((CM11/$H11)*100)), "", IF(AND(NOT(ISERROR((CM11/$H11)*100)),((CM11/$H11)*100) &lt;&gt; 0), (CM11/$H11)*100, ""))</f>
        <v/>
      </c>
      <c r="CO11" s="127"/>
      <c r="CP11" s="131" t="str">
        <f t="shared" ref="CP11:CP64" si="41">IF(AND(NOT(ISERROR(CM11-CO11)), AND(CO11&lt;&gt;"", CM11&lt;&gt;"")), CM11-CO11, "")</f>
        <v/>
      </c>
      <c r="CQ11" s="69" t="s">
        <v>368</v>
      </c>
    </row>
    <row r="12" spans="1:95" customFormat="1" ht="20" customHeight="1" x14ac:dyDescent="0.2">
      <c r="A12" s="68"/>
      <c r="B12" s="96"/>
      <c r="C12" s="25" t="s">
        <v>86</v>
      </c>
      <c r="D12" s="24" t="s">
        <v>289</v>
      </c>
      <c r="E12" s="24" t="s">
        <v>290</v>
      </c>
      <c r="F12" s="25">
        <v>2016</v>
      </c>
      <c r="H12" s="29">
        <v>12</v>
      </c>
      <c r="I12" s="28" t="s">
        <v>370</v>
      </c>
      <c r="J12" s="39"/>
      <c r="K12" s="40"/>
      <c r="L12" s="43" t="str">
        <f t="shared" si="0"/>
        <v/>
      </c>
      <c r="M12" s="128"/>
      <c r="N12" s="128" t="str">
        <f t="shared" si="1"/>
        <v/>
      </c>
      <c r="O12" s="40"/>
      <c r="P12" s="43" t="str">
        <f t="shared" si="2"/>
        <v/>
      </c>
      <c r="Q12" s="128"/>
      <c r="R12" s="132" t="str">
        <f t="shared" si="3"/>
        <v/>
      </c>
      <c r="S12" s="40"/>
      <c r="T12" s="43" t="str">
        <f t="shared" si="4"/>
        <v/>
      </c>
      <c r="U12" s="128"/>
      <c r="V12" s="132" t="str">
        <f t="shared" si="5"/>
        <v/>
      </c>
      <c r="W12" s="40"/>
      <c r="X12" s="43" t="str">
        <f t="shared" si="6"/>
        <v/>
      </c>
      <c r="Y12" s="128"/>
      <c r="Z12" s="132" t="str">
        <f t="shared" si="7"/>
        <v/>
      </c>
      <c r="AA12" s="40"/>
      <c r="AB12" s="43" t="str">
        <f t="shared" si="8"/>
        <v/>
      </c>
      <c r="AC12" s="128"/>
      <c r="AD12" s="132" t="str">
        <f t="shared" si="9"/>
        <v/>
      </c>
      <c r="AE12" s="86"/>
      <c r="AF12" s="43" t="str">
        <f t="shared" si="10"/>
        <v/>
      </c>
      <c r="AG12" s="128"/>
      <c r="AH12" s="132" t="str">
        <f t="shared" si="11"/>
        <v/>
      </c>
      <c r="AI12" s="40"/>
      <c r="AJ12" s="43" t="str">
        <f t="shared" si="12"/>
        <v/>
      </c>
      <c r="AK12" s="128"/>
      <c r="AL12" s="132" t="str">
        <f t="shared" si="13"/>
        <v/>
      </c>
      <c r="AM12" s="40"/>
      <c r="AN12" s="43" t="str">
        <f t="shared" si="14"/>
        <v/>
      </c>
      <c r="AO12" s="128"/>
      <c r="AP12" s="132" t="str">
        <f t="shared" si="15"/>
        <v/>
      </c>
      <c r="AQ12" s="40"/>
      <c r="AR12" s="43" t="str">
        <f t="shared" si="16"/>
        <v/>
      </c>
      <c r="AS12" s="128"/>
      <c r="AT12" s="132" t="str">
        <f t="shared" si="17"/>
        <v/>
      </c>
      <c r="AU12" s="40"/>
      <c r="AV12" s="43" t="str">
        <f t="shared" si="18"/>
        <v/>
      </c>
      <c r="AW12" s="128"/>
      <c r="AX12" s="132" t="str">
        <f t="shared" si="19"/>
        <v/>
      </c>
      <c r="AY12" s="40"/>
      <c r="AZ12" s="43" t="str">
        <f t="shared" si="20"/>
        <v/>
      </c>
      <c r="BA12" s="128"/>
      <c r="BB12" s="132" t="str">
        <f t="shared" si="21"/>
        <v/>
      </c>
      <c r="BC12" s="40"/>
      <c r="BD12" s="43" t="str">
        <f t="shared" si="22"/>
        <v/>
      </c>
      <c r="BE12" s="128"/>
      <c r="BF12" s="132" t="str">
        <f t="shared" si="23"/>
        <v/>
      </c>
      <c r="BG12" s="86"/>
      <c r="BH12" s="43" t="str">
        <f t="shared" si="24"/>
        <v/>
      </c>
      <c r="BI12" s="128"/>
      <c r="BJ12" s="132" t="str">
        <f t="shared" si="25"/>
        <v/>
      </c>
      <c r="BK12" s="40"/>
      <c r="BL12" s="43" t="str">
        <f t="shared" si="26"/>
        <v/>
      </c>
      <c r="BM12" s="128"/>
      <c r="BN12" s="132" t="str">
        <f t="shared" si="27"/>
        <v/>
      </c>
      <c r="BO12" s="40"/>
      <c r="BP12" s="43" t="str">
        <f t="shared" si="28"/>
        <v/>
      </c>
      <c r="BQ12" s="128"/>
      <c r="BR12" s="132" t="str">
        <f t="shared" si="29"/>
        <v/>
      </c>
      <c r="BS12" s="40"/>
      <c r="BT12" s="43" t="str">
        <f t="shared" si="30"/>
        <v/>
      </c>
      <c r="BU12" s="128"/>
      <c r="BV12" s="132" t="str">
        <f t="shared" si="31"/>
        <v/>
      </c>
      <c r="BW12" s="40"/>
      <c r="BX12" s="43" t="str">
        <f t="shared" si="32"/>
        <v/>
      </c>
      <c r="BY12" s="128"/>
      <c r="BZ12" s="132" t="str">
        <f t="shared" si="33"/>
        <v/>
      </c>
      <c r="CA12" s="40"/>
      <c r="CB12" s="43" t="str">
        <f t="shared" si="34"/>
        <v/>
      </c>
      <c r="CC12" s="128"/>
      <c r="CD12" s="132" t="str">
        <f t="shared" si="35"/>
        <v/>
      </c>
      <c r="CE12" s="40"/>
      <c r="CF12" s="43" t="str">
        <f t="shared" si="36"/>
        <v/>
      </c>
      <c r="CG12" s="128"/>
      <c r="CH12" s="132" t="str">
        <f t="shared" si="37"/>
        <v/>
      </c>
      <c r="CI12" s="40"/>
      <c r="CJ12" s="43" t="str">
        <f t="shared" si="38"/>
        <v/>
      </c>
      <c r="CK12" s="128"/>
      <c r="CL12" s="132" t="str">
        <f t="shared" si="39"/>
        <v/>
      </c>
      <c r="CM12" s="40"/>
      <c r="CN12" s="43" t="str">
        <f t="shared" si="40"/>
        <v/>
      </c>
      <c r="CO12" s="128"/>
      <c r="CP12" s="132" t="str">
        <f t="shared" si="41"/>
        <v/>
      </c>
      <c r="CQ12" s="24" t="s">
        <v>371</v>
      </c>
    </row>
    <row r="13" spans="1:95" ht="20" customHeight="1" x14ac:dyDescent="0.2">
      <c r="A13" s="67"/>
      <c r="B13" s="95"/>
      <c r="C13" s="25" t="s">
        <v>86</v>
      </c>
      <c r="D13" s="24" t="s">
        <v>291</v>
      </c>
      <c r="E13" s="24" t="s">
        <v>292</v>
      </c>
      <c r="F13" s="25">
        <v>2008</v>
      </c>
      <c r="H13" s="29">
        <v>13</v>
      </c>
      <c r="I13" s="28" t="s">
        <v>246</v>
      </c>
      <c r="J13" s="39" t="s">
        <v>373</v>
      </c>
      <c r="K13" s="40"/>
      <c r="L13" s="43" t="str">
        <f t="shared" si="0"/>
        <v/>
      </c>
      <c r="M13" s="128"/>
      <c r="N13" s="128" t="str">
        <f t="shared" si="1"/>
        <v/>
      </c>
      <c r="O13" s="40"/>
      <c r="P13" s="43" t="str">
        <f t="shared" si="2"/>
        <v/>
      </c>
      <c r="Q13" s="128"/>
      <c r="R13" s="132" t="str">
        <f t="shared" si="3"/>
        <v/>
      </c>
      <c r="S13" s="40"/>
      <c r="T13" s="43" t="str">
        <f t="shared" si="4"/>
        <v/>
      </c>
      <c r="U13" s="128"/>
      <c r="V13" s="132" t="str">
        <f t="shared" si="5"/>
        <v/>
      </c>
      <c r="W13" s="40"/>
      <c r="X13" s="43" t="str">
        <f t="shared" si="6"/>
        <v/>
      </c>
      <c r="Y13" s="128"/>
      <c r="Z13" s="132" t="str">
        <f t="shared" si="7"/>
        <v/>
      </c>
      <c r="AA13" s="40"/>
      <c r="AB13" s="43" t="str">
        <f t="shared" si="8"/>
        <v/>
      </c>
      <c r="AC13" s="128"/>
      <c r="AD13" s="132" t="str">
        <f t="shared" si="9"/>
        <v/>
      </c>
      <c r="AE13" s="86"/>
      <c r="AF13" s="43" t="str">
        <f t="shared" si="10"/>
        <v/>
      </c>
      <c r="AG13" s="128"/>
      <c r="AH13" s="132" t="str">
        <f t="shared" si="11"/>
        <v/>
      </c>
      <c r="AI13" s="40"/>
      <c r="AJ13" s="43" t="str">
        <f t="shared" si="12"/>
        <v/>
      </c>
      <c r="AK13" s="128"/>
      <c r="AL13" s="132" t="str">
        <f t="shared" si="13"/>
        <v/>
      </c>
      <c r="AM13" s="40"/>
      <c r="AN13" s="43" t="str">
        <f t="shared" si="14"/>
        <v/>
      </c>
      <c r="AO13" s="128"/>
      <c r="AP13" s="132" t="str">
        <f t="shared" si="15"/>
        <v/>
      </c>
      <c r="AQ13" s="40"/>
      <c r="AR13" s="43" t="str">
        <f t="shared" si="16"/>
        <v/>
      </c>
      <c r="AS13" s="128"/>
      <c r="AT13" s="132" t="str">
        <f t="shared" si="17"/>
        <v/>
      </c>
      <c r="AU13" s="40"/>
      <c r="AV13" s="43" t="str">
        <f t="shared" si="18"/>
        <v/>
      </c>
      <c r="AW13" s="128"/>
      <c r="AX13" s="132" t="str">
        <f t="shared" si="19"/>
        <v/>
      </c>
      <c r="AY13" s="40">
        <v>1</v>
      </c>
      <c r="AZ13" s="43">
        <f t="shared" si="20"/>
        <v>7.6923076923076925</v>
      </c>
      <c r="BA13" s="128">
        <v>0</v>
      </c>
      <c r="BB13" s="132">
        <f>IF(AND(NOT(ISERROR(AY13-BA13)), AND(BA13&lt;&gt;"", AY13&lt;&gt;"")), AY13-BA13, "")</f>
        <v>1</v>
      </c>
      <c r="BC13" s="40"/>
      <c r="BD13" s="43" t="str">
        <f t="shared" si="22"/>
        <v/>
      </c>
      <c r="BE13" s="128"/>
      <c r="BF13" s="132" t="str">
        <f t="shared" si="23"/>
        <v/>
      </c>
      <c r="BG13" s="86"/>
      <c r="BH13" s="43" t="str">
        <f t="shared" si="24"/>
        <v/>
      </c>
      <c r="BI13" s="128"/>
      <c r="BJ13" s="132" t="str">
        <f t="shared" si="25"/>
        <v/>
      </c>
      <c r="BK13" s="40"/>
      <c r="BL13" s="43" t="str">
        <f t="shared" si="26"/>
        <v/>
      </c>
      <c r="BM13" s="128"/>
      <c r="BN13" s="132" t="str">
        <f t="shared" si="27"/>
        <v/>
      </c>
      <c r="BO13" s="40"/>
      <c r="BP13" s="43" t="str">
        <f t="shared" si="28"/>
        <v/>
      </c>
      <c r="BQ13" s="128"/>
      <c r="BR13" s="132" t="str">
        <f t="shared" si="29"/>
        <v/>
      </c>
      <c r="BS13" s="40"/>
      <c r="BT13" s="43" t="str">
        <f t="shared" si="30"/>
        <v/>
      </c>
      <c r="BU13" s="128"/>
      <c r="BV13" s="132" t="str">
        <f t="shared" si="31"/>
        <v/>
      </c>
      <c r="BW13" s="40"/>
      <c r="BX13" s="43" t="str">
        <f t="shared" si="32"/>
        <v/>
      </c>
      <c r="BY13" s="128"/>
      <c r="BZ13" s="132" t="str">
        <f t="shared" si="33"/>
        <v/>
      </c>
      <c r="CA13" s="40"/>
      <c r="CB13" s="43" t="str">
        <f t="shared" si="34"/>
        <v/>
      </c>
      <c r="CC13" s="128"/>
      <c r="CD13" s="132" t="str">
        <f t="shared" si="35"/>
        <v/>
      </c>
      <c r="CE13" s="40"/>
      <c r="CF13" s="43" t="str">
        <f t="shared" si="36"/>
        <v/>
      </c>
      <c r="CG13" s="128"/>
      <c r="CH13" s="132" t="str">
        <f t="shared" si="37"/>
        <v/>
      </c>
      <c r="CI13" s="40"/>
      <c r="CJ13" s="43" t="str">
        <f t="shared" si="38"/>
        <v/>
      </c>
      <c r="CK13" s="128"/>
      <c r="CL13" s="132" t="str">
        <f t="shared" si="39"/>
        <v/>
      </c>
      <c r="CM13" s="40"/>
      <c r="CN13" s="43" t="str">
        <f t="shared" si="40"/>
        <v/>
      </c>
      <c r="CO13" s="128"/>
      <c r="CP13" s="132" t="str">
        <f t="shared" si="41"/>
        <v/>
      </c>
    </row>
    <row r="14" spans="1:95" ht="20" customHeight="1" x14ac:dyDescent="0.2">
      <c r="A14" s="68"/>
      <c r="B14" s="95"/>
      <c r="C14" s="25" t="s">
        <v>86</v>
      </c>
      <c r="D14" s="24" t="s">
        <v>36</v>
      </c>
      <c r="E14" s="24" t="s">
        <v>37</v>
      </c>
      <c r="F14" s="25">
        <v>2008</v>
      </c>
      <c r="G14" s="25">
        <v>40</v>
      </c>
      <c r="H14" s="29"/>
      <c r="I14" s="28"/>
      <c r="J14" s="39" t="s">
        <v>176</v>
      </c>
      <c r="K14" s="40"/>
      <c r="L14" s="43" t="str">
        <f t="shared" si="0"/>
        <v/>
      </c>
      <c r="M14" s="128"/>
      <c r="N14" s="128" t="str">
        <f t="shared" si="1"/>
        <v/>
      </c>
      <c r="O14" s="40"/>
      <c r="P14" s="43" t="str">
        <f t="shared" si="2"/>
        <v/>
      </c>
      <c r="Q14" s="128"/>
      <c r="R14" s="132" t="str">
        <f t="shared" si="3"/>
        <v/>
      </c>
      <c r="S14" s="40"/>
      <c r="T14" s="43" t="str">
        <f t="shared" si="4"/>
        <v/>
      </c>
      <c r="U14" s="128"/>
      <c r="V14" s="132" t="str">
        <f t="shared" si="5"/>
        <v/>
      </c>
      <c r="W14" s="40"/>
      <c r="X14" s="43" t="str">
        <f t="shared" si="6"/>
        <v/>
      </c>
      <c r="Y14" s="128"/>
      <c r="Z14" s="132" t="str">
        <f t="shared" si="7"/>
        <v/>
      </c>
      <c r="AA14" s="40"/>
      <c r="AB14" s="43" t="str">
        <f t="shared" si="8"/>
        <v/>
      </c>
      <c r="AC14" s="128"/>
      <c r="AD14" s="132" t="str">
        <f t="shared" si="9"/>
        <v/>
      </c>
      <c r="AE14" s="86"/>
      <c r="AF14" s="43" t="str">
        <f t="shared" si="10"/>
        <v/>
      </c>
      <c r="AG14" s="128"/>
      <c r="AH14" s="132" t="str">
        <f t="shared" si="11"/>
        <v/>
      </c>
      <c r="AI14" s="40"/>
      <c r="AJ14" s="43" t="str">
        <f t="shared" si="12"/>
        <v/>
      </c>
      <c r="AK14" s="128"/>
      <c r="AL14" s="132" t="str">
        <f t="shared" si="13"/>
        <v/>
      </c>
      <c r="AM14" s="40"/>
      <c r="AN14" s="43" t="str">
        <f t="shared" si="14"/>
        <v/>
      </c>
      <c r="AO14" s="128"/>
      <c r="AP14" s="132" t="str">
        <f t="shared" si="15"/>
        <v/>
      </c>
      <c r="AQ14" s="40"/>
      <c r="AR14" s="43" t="str">
        <f t="shared" si="16"/>
        <v/>
      </c>
      <c r="AS14" s="128"/>
      <c r="AT14" s="132" t="str">
        <f t="shared" si="17"/>
        <v/>
      </c>
      <c r="AU14" s="40"/>
      <c r="AV14" s="43" t="str">
        <f t="shared" si="18"/>
        <v/>
      </c>
      <c r="AW14" s="128"/>
      <c r="AX14" s="132" t="str">
        <f t="shared" si="19"/>
        <v/>
      </c>
      <c r="AY14" s="40"/>
      <c r="AZ14" s="43" t="str">
        <f t="shared" si="20"/>
        <v/>
      </c>
      <c r="BA14" s="128"/>
      <c r="BB14" s="132" t="str">
        <f t="shared" ref="BB14:BB64" si="42">IF(AND(NOT(ISERROR(AY14-BA14)), AND(BA14&lt;&gt;"", AY14&lt;&gt;"")), AY14-BA14, "")</f>
        <v/>
      </c>
      <c r="BC14" s="40"/>
      <c r="BD14" s="43" t="str">
        <f t="shared" si="22"/>
        <v/>
      </c>
      <c r="BE14" s="128"/>
      <c r="BF14" s="132" t="str">
        <f t="shared" si="23"/>
        <v/>
      </c>
      <c r="BG14" s="47"/>
      <c r="BH14" s="46" t="str">
        <f t="shared" si="24"/>
        <v/>
      </c>
      <c r="BI14" s="128"/>
      <c r="BJ14" s="132" t="str">
        <f t="shared" si="25"/>
        <v/>
      </c>
      <c r="BK14" s="40"/>
      <c r="BL14" s="43" t="str">
        <f t="shared" si="26"/>
        <v/>
      </c>
      <c r="BM14" s="128"/>
      <c r="BN14" s="132" t="str">
        <f t="shared" si="27"/>
        <v/>
      </c>
      <c r="BO14" s="40"/>
      <c r="BP14" s="43" t="str">
        <f t="shared" si="28"/>
        <v/>
      </c>
      <c r="BQ14" s="128"/>
      <c r="BR14" s="132" t="str">
        <f t="shared" si="29"/>
        <v/>
      </c>
      <c r="BS14" s="40"/>
      <c r="BT14" s="43" t="str">
        <f t="shared" si="30"/>
        <v/>
      </c>
      <c r="BU14" s="128"/>
      <c r="BV14" s="132" t="str">
        <f t="shared" si="31"/>
        <v/>
      </c>
      <c r="BW14" s="40"/>
      <c r="BX14" s="43" t="str">
        <f t="shared" si="32"/>
        <v/>
      </c>
      <c r="BY14" s="128"/>
      <c r="BZ14" s="132" t="str">
        <f t="shared" si="33"/>
        <v/>
      </c>
      <c r="CA14" s="40"/>
      <c r="CB14" s="43" t="str">
        <f t="shared" si="34"/>
        <v/>
      </c>
      <c r="CC14" s="128"/>
      <c r="CD14" s="132" t="str">
        <f t="shared" si="35"/>
        <v/>
      </c>
      <c r="CE14" s="40"/>
      <c r="CF14" s="43" t="str">
        <f t="shared" si="36"/>
        <v/>
      </c>
      <c r="CG14" s="128"/>
      <c r="CH14" s="132" t="str">
        <f t="shared" si="37"/>
        <v/>
      </c>
      <c r="CI14" s="40"/>
      <c r="CJ14" s="43" t="str">
        <f t="shared" si="38"/>
        <v/>
      </c>
      <c r="CK14" s="128"/>
      <c r="CL14" s="132" t="str">
        <f t="shared" si="39"/>
        <v/>
      </c>
      <c r="CM14" s="40"/>
      <c r="CN14" s="43" t="str">
        <f t="shared" si="40"/>
        <v/>
      </c>
      <c r="CO14" s="128"/>
      <c r="CP14" s="132" t="str">
        <f t="shared" si="41"/>
        <v/>
      </c>
      <c r="CQ14" s="24" t="s">
        <v>179</v>
      </c>
    </row>
    <row r="15" spans="1:95" ht="20" customHeight="1" x14ac:dyDescent="0.2">
      <c r="A15" s="67"/>
      <c r="B15" s="95"/>
      <c r="C15" s="25" t="s">
        <v>86</v>
      </c>
      <c r="D15" s="24" t="s">
        <v>41</v>
      </c>
      <c r="E15" s="24" t="s">
        <v>42</v>
      </c>
      <c r="F15" s="25">
        <v>2004</v>
      </c>
      <c r="G15" s="25">
        <v>79</v>
      </c>
      <c r="H15" s="29">
        <v>12</v>
      </c>
      <c r="I15" s="28" t="s">
        <v>174</v>
      </c>
      <c r="J15" s="39" t="s">
        <v>176</v>
      </c>
      <c r="K15" s="40"/>
      <c r="L15" s="43" t="str">
        <f t="shared" si="0"/>
        <v/>
      </c>
      <c r="M15" s="128"/>
      <c r="N15" s="128" t="str">
        <f t="shared" si="1"/>
        <v/>
      </c>
      <c r="O15" s="40"/>
      <c r="P15" s="43" t="str">
        <f t="shared" si="2"/>
        <v/>
      </c>
      <c r="Q15" s="128"/>
      <c r="R15" s="132" t="str">
        <f t="shared" si="3"/>
        <v/>
      </c>
      <c r="S15" s="40"/>
      <c r="T15" s="43" t="str">
        <f t="shared" si="4"/>
        <v/>
      </c>
      <c r="U15" s="128"/>
      <c r="V15" s="132" t="str">
        <f t="shared" si="5"/>
        <v/>
      </c>
      <c r="W15" s="40"/>
      <c r="X15" s="43" t="str">
        <f t="shared" si="6"/>
        <v/>
      </c>
      <c r="Y15" s="128"/>
      <c r="Z15" s="132" t="str">
        <f t="shared" si="7"/>
        <v/>
      </c>
      <c r="AA15" s="40"/>
      <c r="AB15" s="43" t="str">
        <f t="shared" si="8"/>
        <v/>
      </c>
      <c r="AC15" s="128"/>
      <c r="AD15" s="132" t="str">
        <f t="shared" si="9"/>
        <v/>
      </c>
      <c r="AE15" s="86"/>
      <c r="AF15" s="43" t="str">
        <f t="shared" si="10"/>
        <v/>
      </c>
      <c r="AG15" s="128"/>
      <c r="AH15" s="132" t="str">
        <f t="shared" si="11"/>
        <v/>
      </c>
      <c r="AI15" s="40"/>
      <c r="AJ15" s="43" t="str">
        <f t="shared" si="12"/>
        <v/>
      </c>
      <c r="AK15" s="128"/>
      <c r="AL15" s="132" t="str">
        <f t="shared" si="13"/>
        <v/>
      </c>
      <c r="AM15" s="40"/>
      <c r="AN15" s="43" t="str">
        <f t="shared" si="14"/>
        <v/>
      </c>
      <c r="AO15" s="128"/>
      <c r="AP15" s="132" t="str">
        <f t="shared" si="15"/>
        <v/>
      </c>
      <c r="AQ15" s="40"/>
      <c r="AR15" s="43" t="str">
        <f t="shared" si="16"/>
        <v/>
      </c>
      <c r="AS15" s="128"/>
      <c r="AT15" s="132" t="str">
        <f t="shared" si="17"/>
        <v/>
      </c>
      <c r="AU15" s="40"/>
      <c r="AV15" s="43" t="str">
        <f t="shared" si="18"/>
        <v/>
      </c>
      <c r="AW15" s="128"/>
      <c r="AX15" s="132" t="str">
        <f t="shared" si="19"/>
        <v/>
      </c>
      <c r="AY15" s="40">
        <v>5</v>
      </c>
      <c r="AZ15" s="43">
        <f t="shared" si="20"/>
        <v>41.666666666666671</v>
      </c>
      <c r="BA15" s="128">
        <v>3</v>
      </c>
      <c r="BB15" s="132">
        <f t="shared" si="42"/>
        <v>2</v>
      </c>
      <c r="BC15" s="40"/>
      <c r="BD15" s="43" t="str">
        <f t="shared" si="22"/>
        <v/>
      </c>
      <c r="BE15" s="128"/>
      <c r="BF15" s="132" t="str">
        <f t="shared" si="23"/>
        <v/>
      </c>
      <c r="BG15" s="86"/>
      <c r="BH15" s="43" t="str">
        <f t="shared" si="24"/>
        <v/>
      </c>
      <c r="BI15" s="128"/>
      <c r="BJ15" s="132" t="str">
        <f t="shared" si="25"/>
        <v/>
      </c>
      <c r="BK15" s="40">
        <v>0</v>
      </c>
      <c r="BL15" s="43" t="str">
        <f t="shared" si="26"/>
        <v/>
      </c>
      <c r="BM15" s="128">
        <v>1</v>
      </c>
      <c r="BN15" s="135">
        <f t="shared" si="27"/>
        <v>-1</v>
      </c>
      <c r="BO15" s="40"/>
      <c r="BP15" s="43" t="str">
        <f t="shared" si="28"/>
        <v/>
      </c>
      <c r="BQ15" s="128"/>
      <c r="BR15" s="132" t="str">
        <f t="shared" si="29"/>
        <v/>
      </c>
      <c r="BS15" s="40"/>
      <c r="BT15" s="43" t="str">
        <f t="shared" si="30"/>
        <v/>
      </c>
      <c r="BU15" s="128"/>
      <c r="BV15" s="132" t="str">
        <f t="shared" si="31"/>
        <v/>
      </c>
      <c r="BW15" s="40"/>
      <c r="BX15" s="43" t="str">
        <f t="shared" si="32"/>
        <v/>
      </c>
      <c r="BY15" s="128"/>
      <c r="BZ15" s="132" t="str">
        <f t="shared" si="33"/>
        <v/>
      </c>
      <c r="CA15" s="40"/>
      <c r="CB15" s="43" t="str">
        <f t="shared" si="34"/>
        <v/>
      </c>
      <c r="CC15" s="128"/>
      <c r="CD15" s="132" t="str">
        <f t="shared" si="35"/>
        <v/>
      </c>
      <c r="CE15" s="40"/>
      <c r="CF15" s="43" t="str">
        <f t="shared" si="36"/>
        <v/>
      </c>
      <c r="CG15" s="128"/>
      <c r="CH15" s="132" t="str">
        <f t="shared" si="37"/>
        <v/>
      </c>
      <c r="CI15" s="40"/>
      <c r="CJ15" s="43" t="str">
        <f t="shared" si="38"/>
        <v/>
      </c>
      <c r="CK15" s="128"/>
      <c r="CL15" s="132" t="str">
        <f t="shared" si="39"/>
        <v/>
      </c>
      <c r="CM15" s="40"/>
      <c r="CN15" s="43" t="str">
        <f t="shared" si="40"/>
        <v/>
      </c>
      <c r="CO15" s="128"/>
      <c r="CP15" s="132" t="str">
        <f t="shared" si="41"/>
        <v/>
      </c>
      <c r="CQ15" s="24" t="s">
        <v>177</v>
      </c>
    </row>
    <row r="16" spans="1:95" ht="20" customHeight="1" x14ac:dyDescent="0.2">
      <c r="A16" s="67"/>
      <c r="B16" s="95"/>
      <c r="C16" s="25" t="s">
        <v>86</v>
      </c>
      <c r="D16" s="24" t="s">
        <v>43</v>
      </c>
      <c r="E16" s="24" t="s">
        <v>44</v>
      </c>
      <c r="F16" s="25">
        <v>1976</v>
      </c>
      <c r="G16" s="25">
        <v>179</v>
      </c>
      <c r="H16" s="29">
        <v>8</v>
      </c>
      <c r="I16" s="91" t="s">
        <v>374</v>
      </c>
      <c r="J16" s="39"/>
      <c r="K16" s="45">
        <v>5</v>
      </c>
      <c r="L16" s="46">
        <f t="shared" si="0"/>
        <v>62.5</v>
      </c>
      <c r="M16" s="128"/>
      <c r="N16" s="128" t="str">
        <f t="shared" si="1"/>
        <v/>
      </c>
      <c r="O16" s="45">
        <v>1</v>
      </c>
      <c r="P16" s="46">
        <f t="shared" si="2"/>
        <v>12.5</v>
      </c>
      <c r="Q16" s="128"/>
      <c r="R16" s="132" t="str">
        <f t="shared" si="3"/>
        <v/>
      </c>
      <c r="S16" s="45">
        <v>2</v>
      </c>
      <c r="T16" s="46">
        <f t="shared" si="4"/>
        <v>25</v>
      </c>
      <c r="U16" s="128"/>
      <c r="V16" s="132" t="str">
        <f t="shared" si="5"/>
        <v/>
      </c>
      <c r="W16" s="45">
        <v>1</v>
      </c>
      <c r="X16" s="46">
        <f t="shared" si="6"/>
        <v>12.5</v>
      </c>
      <c r="Y16" s="128"/>
      <c r="Z16" s="132" t="str">
        <f t="shared" si="7"/>
        <v/>
      </c>
      <c r="AA16" s="45">
        <v>2</v>
      </c>
      <c r="AB16" s="46">
        <f t="shared" si="8"/>
        <v>25</v>
      </c>
      <c r="AC16" s="128"/>
      <c r="AD16" s="132" t="str">
        <f t="shared" si="9"/>
        <v/>
      </c>
      <c r="AE16" s="86">
        <v>1</v>
      </c>
      <c r="AF16" s="43">
        <f t="shared" si="10"/>
        <v>12.5</v>
      </c>
      <c r="AG16" s="128"/>
      <c r="AH16" s="132" t="str">
        <f t="shared" si="11"/>
        <v/>
      </c>
      <c r="AI16" s="40"/>
      <c r="AJ16" s="43" t="str">
        <f t="shared" si="12"/>
        <v/>
      </c>
      <c r="AK16" s="128"/>
      <c r="AL16" s="132" t="str">
        <f t="shared" si="13"/>
        <v/>
      </c>
      <c r="AM16" s="45">
        <v>1</v>
      </c>
      <c r="AN16" s="46">
        <f t="shared" si="14"/>
        <v>12.5</v>
      </c>
      <c r="AO16" s="128"/>
      <c r="AP16" s="132" t="str">
        <f t="shared" si="15"/>
        <v/>
      </c>
      <c r="AQ16" s="45">
        <v>1</v>
      </c>
      <c r="AR16" s="46">
        <f t="shared" si="16"/>
        <v>12.5</v>
      </c>
      <c r="AS16" s="128"/>
      <c r="AT16" s="132" t="str">
        <f t="shared" si="17"/>
        <v/>
      </c>
      <c r="AU16" s="45">
        <v>1</v>
      </c>
      <c r="AV16" s="46">
        <f t="shared" si="18"/>
        <v>12.5</v>
      </c>
      <c r="AW16" s="128"/>
      <c r="AX16" s="132" t="str">
        <f t="shared" si="19"/>
        <v/>
      </c>
      <c r="AY16" s="40"/>
      <c r="AZ16" s="43" t="str">
        <f t="shared" si="20"/>
        <v/>
      </c>
      <c r="BA16" s="128"/>
      <c r="BB16" s="132" t="str">
        <f t="shared" si="42"/>
        <v/>
      </c>
      <c r="BC16" s="45">
        <v>1</v>
      </c>
      <c r="BD16" s="46">
        <f t="shared" si="22"/>
        <v>12.5</v>
      </c>
      <c r="BE16" s="128"/>
      <c r="BF16" s="132" t="str">
        <f t="shared" si="23"/>
        <v/>
      </c>
      <c r="BG16" s="86"/>
      <c r="BH16" s="43" t="str">
        <f t="shared" si="24"/>
        <v/>
      </c>
      <c r="BI16" s="128"/>
      <c r="BJ16" s="132" t="str">
        <f t="shared" si="25"/>
        <v/>
      </c>
      <c r="BK16" s="40"/>
      <c r="BL16" s="43" t="str">
        <f t="shared" si="26"/>
        <v/>
      </c>
      <c r="BM16" s="128"/>
      <c r="BN16" s="132" t="str">
        <f t="shared" si="27"/>
        <v/>
      </c>
      <c r="BO16" s="40"/>
      <c r="BP16" s="43" t="str">
        <f t="shared" si="28"/>
        <v/>
      </c>
      <c r="BQ16" s="128"/>
      <c r="BR16" s="132" t="str">
        <f t="shared" si="29"/>
        <v/>
      </c>
      <c r="BS16" s="40"/>
      <c r="BT16" s="43" t="str">
        <f t="shared" si="30"/>
        <v/>
      </c>
      <c r="BU16" s="128"/>
      <c r="BV16" s="132" t="str">
        <f t="shared" si="31"/>
        <v/>
      </c>
      <c r="BW16" s="45"/>
      <c r="BX16" s="46" t="str">
        <f t="shared" si="32"/>
        <v/>
      </c>
      <c r="BY16" s="128"/>
      <c r="BZ16" s="132" t="str">
        <f t="shared" si="33"/>
        <v/>
      </c>
      <c r="CA16" s="45"/>
      <c r="CB16" s="46" t="str">
        <f t="shared" si="34"/>
        <v/>
      </c>
      <c r="CC16" s="128"/>
      <c r="CD16" s="132" t="str">
        <f t="shared" si="35"/>
        <v/>
      </c>
      <c r="CE16" s="40"/>
      <c r="CF16" s="43" t="str">
        <f t="shared" si="36"/>
        <v/>
      </c>
      <c r="CG16" s="128"/>
      <c r="CH16" s="132" t="str">
        <f t="shared" si="37"/>
        <v/>
      </c>
      <c r="CI16" s="40"/>
      <c r="CJ16" s="43" t="str">
        <f t="shared" si="38"/>
        <v/>
      </c>
      <c r="CK16" s="128"/>
      <c r="CL16" s="132" t="str">
        <f t="shared" si="39"/>
        <v/>
      </c>
      <c r="CM16" s="40"/>
      <c r="CN16" s="43" t="str">
        <f t="shared" si="40"/>
        <v/>
      </c>
      <c r="CO16" s="128"/>
      <c r="CP16" s="132" t="str">
        <f t="shared" si="41"/>
        <v/>
      </c>
      <c r="CQ16" s="24" t="s">
        <v>198</v>
      </c>
    </row>
    <row r="17" spans="1:95" ht="20" customHeight="1" x14ac:dyDescent="0.2">
      <c r="A17" s="67"/>
      <c r="B17" s="96"/>
      <c r="C17" s="25" t="s">
        <v>86</v>
      </c>
      <c r="D17" s="24" t="s">
        <v>293</v>
      </c>
      <c r="E17" s="24" t="s">
        <v>294</v>
      </c>
      <c r="F17" s="25">
        <v>2014</v>
      </c>
      <c r="H17" s="29">
        <v>48</v>
      </c>
      <c r="I17" s="28" t="s">
        <v>238</v>
      </c>
      <c r="J17" s="39" t="s">
        <v>375</v>
      </c>
      <c r="K17" s="40"/>
      <c r="L17" s="43" t="str">
        <f t="shared" si="0"/>
        <v/>
      </c>
      <c r="M17" s="128"/>
      <c r="N17" s="128" t="str">
        <f t="shared" si="1"/>
        <v/>
      </c>
      <c r="O17" s="40"/>
      <c r="P17" s="43" t="str">
        <f t="shared" si="2"/>
        <v/>
      </c>
      <c r="Q17" s="128"/>
      <c r="R17" s="132" t="str">
        <f t="shared" si="3"/>
        <v/>
      </c>
      <c r="S17" s="45"/>
      <c r="T17" s="45" t="str">
        <f t="shared" si="4"/>
        <v/>
      </c>
      <c r="U17" s="128"/>
      <c r="V17" s="132" t="str">
        <f t="shared" si="5"/>
        <v/>
      </c>
      <c r="W17" s="40"/>
      <c r="X17" s="43" t="str">
        <f t="shared" si="6"/>
        <v/>
      </c>
      <c r="Y17" s="128"/>
      <c r="Z17" s="132" t="str">
        <f t="shared" si="7"/>
        <v/>
      </c>
      <c r="AA17" s="40"/>
      <c r="AB17" s="43" t="str">
        <f t="shared" si="8"/>
        <v/>
      </c>
      <c r="AC17" s="128"/>
      <c r="AD17" s="132" t="str">
        <f t="shared" si="9"/>
        <v/>
      </c>
      <c r="AE17" s="86"/>
      <c r="AF17" s="43" t="str">
        <f t="shared" si="10"/>
        <v/>
      </c>
      <c r="AG17" s="128"/>
      <c r="AH17" s="132" t="str">
        <f t="shared" si="11"/>
        <v/>
      </c>
      <c r="AI17" s="40"/>
      <c r="AJ17" s="43" t="str">
        <f t="shared" si="12"/>
        <v/>
      </c>
      <c r="AK17" s="128"/>
      <c r="AL17" s="132" t="str">
        <f t="shared" si="13"/>
        <v/>
      </c>
      <c r="AM17" s="40"/>
      <c r="AN17" s="43" t="str">
        <f t="shared" si="14"/>
        <v/>
      </c>
      <c r="AO17" s="128"/>
      <c r="AP17" s="132" t="str">
        <f t="shared" si="15"/>
        <v/>
      </c>
      <c r="AQ17" s="40"/>
      <c r="AR17" s="43" t="str">
        <f t="shared" si="16"/>
        <v/>
      </c>
      <c r="AS17" s="128"/>
      <c r="AT17" s="132" t="str">
        <f t="shared" si="17"/>
        <v/>
      </c>
      <c r="AU17" s="40"/>
      <c r="AV17" s="43" t="str">
        <f t="shared" si="18"/>
        <v/>
      </c>
      <c r="AW17" s="128"/>
      <c r="AX17" s="132" t="str">
        <f t="shared" si="19"/>
        <v/>
      </c>
      <c r="AY17" s="45"/>
      <c r="AZ17" s="45" t="str">
        <f t="shared" si="20"/>
        <v/>
      </c>
      <c r="BA17" s="128"/>
      <c r="BB17" s="132" t="str">
        <f t="shared" si="42"/>
        <v/>
      </c>
      <c r="BC17" s="40"/>
      <c r="BD17" s="43" t="str">
        <f t="shared" si="22"/>
        <v/>
      </c>
      <c r="BE17" s="128"/>
      <c r="BF17" s="132" t="str">
        <f t="shared" si="23"/>
        <v/>
      </c>
      <c r="BG17" s="86"/>
      <c r="BH17" s="43" t="str">
        <f t="shared" si="24"/>
        <v/>
      </c>
      <c r="BI17" s="128"/>
      <c r="BJ17" s="132" t="str">
        <f t="shared" si="25"/>
        <v/>
      </c>
      <c r="BK17" s="40"/>
      <c r="BL17" s="43" t="str">
        <f t="shared" si="26"/>
        <v/>
      </c>
      <c r="BM17" s="128"/>
      <c r="BN17" s="132" t="str">
        <f t="shared" si="27"/>
        <v/>
      </c>
      <c r="BO17" s="40"/>
      <c r="BP17" s="43" t="str">
        <f t="shared" si="28"/>
        <v/>
      </c>
      <c r="BQ17" s="128"/>
      <c r="BR17" s="132" t="str">
        <f t="shared" si="29"/>
        <v/>
      </c>
      <c r="BS17" s="40"/>
      <c r="BT17" s="43" t="str">
        <f t="shared" si="30"/>
        <v/>
      </c>
      <c r="BU17" s="128"/>
      <c r="BV17" s="132" t="str">
        <f t="shared" si="31"/>
        <v/>
      </c>
      <c r="BW17" s="40"/>
      <c r="BX17" s="43" t="str">
        <f t="shared" si="32"/>
        <v/>
      </c>
      <c r="BY17" s="128"/>
      <c r="BZ17" s="132" t="str">
        <f t="shared" si="33"/>
        <v/>
      </c>
      <c r="CA17" s="40"/>
      <c r="CB17" s="43" t="str">
        <f t="shared" si="34"/>
        <v/>
      </c>
      <c r="CC17" s="128"/>
      <c r="CD17" s="132" t="str">
        <f t="shared" si="35"/>
        <v/>
      </c>
      <c r="CE17" s="40"/>
      <c r="CF17" s="43" t="str">
        <f t="shared" si="36"/>
        <v/>
      </c>
      <c r="CG17" s="128"/>
      <c r="CH17" s="132" t="str">
        <f t="shared" si="37"/>
        <v/>
      </c>
      <c r="CI17" s="40"/>
      <c r="CJ17" s="43" t="str">
        <f t="shared" si="38"/>
        <v/>
      </c>
      <c r="CK17" s="128"/>
      <c r="CL17" s="132" t="str">
        <f t="shared" si="39"/>
        <v/>
      </c>
      <c r="CM17" s="40"/>
      <c r="CN17" s="43" t="str">
        <f t="shared" si="40"/>
        <v/>
      </c>
      <c r="CO17" s="128"/>
      <c r="CP17" s="132" t="str">
        <f t="shared" si="41"/>
        <v/>
      </c>
      <c r="CQ17" s="24" t="s">
        <v>447</v>
      </c>
    </row>
    <row r="18" spans="1:95" ht="20" customHeight="1" x14ac:dyDescent="0.2">
      <c r="A18" s="67"/>
      <c r="B18" s="25"/>
      <c r="D18" s="24" t="s">
        <v>295</v>
      </c>
      <c r="E18" s="24" t="s">
        <v>296</v>
      </c>
      <c r="F18" s="25">
        <v>2015</v>
      </c>
      <c r="H18" s="29"/>
      <c r="I18" s="28"/>
      <c r="J18" s="39"/>
      <c r="K18" s="40"/>
      <c r="L18" s="43" t="str">
        <f t="shared" si="0"/>
        <v/>
      </c>
      <c r="M18" s="128"/>
      <c r="N18" s="128" t="str">
        <f t="shared" si="1"/>
        <v/>
      </c>
      <c r="O18" s="40"/>
      <c r="P18" s="43" t="str">
        <f t="shared" si="2"/>
        <v/>
      </c>
      <c r="Q18" s="128"/>
      <c r="R18" s="132" t="str">
        <f t="shared" si="3"/>
        <v/>
      </c>
      <c r="S18" s="40"/>
      <c r="T18" s="43" t="str">
        <f t="shared" si="4"/>
        <v/>
      </c>
      <c r="U18" s="128"/>
      <c r="V18" s="132" t="str">
        <f t="shared" si="5"/>
        <v/>
      </c>
      <c r="W18" s="40"/>
      <c r="X18" s="43" t="str">
        <f t="shared" si="6"/>
        <v/>
      </c>
      <c r="Y18" s="128"/>
      <c r="Z18" s="132" t="str">
        <f t="shared" si="7"/>
        <v/>
      </c>
      <c r="AA18" s="40"/>
      <c r="AB18" s="43" t="str">
        <f t="shared" si="8"/>
        <v/>
      </c>
      <c r="AC18" s="128"/>
      <c r="AD18" s="132" t="str">
        <f t="shared" si="9"/>
        <v/>
      </c>
      <c r="AE18" s="86"/>
      <c r="AF18" s="43" t="str">
        <f t="shared" si="10"/>
        <v/>
      </c>
      <c r="AG18" s="128"/>
      <c r="AH18" s="132" t="str">
        <f t="shared" si="11"/>
        <v/>
      </c>
      <c r="AI18" s="40"/>
      <c r="AJ18" s="43" t="str">
        <f t="shared" si="12"/>
        <v/>
      </c>
      <c r="AK18" s="128"/>
      <c r="AL18" s="132" t="str">
        <f t="shared" si="13"/>
        <v/>
      </c>
      <c r="AM18" s="40"/>
      <c r="AN18" s="43" t="str">
        <f t="shared" si="14"/>
        <v/>
      </c>
      <c r="AO18" s="128"/>
      <c r="AP18" s="132" t="str">
        <f t="shared" si="15"/>
        <v/>
      </c>
      <c r="AQ18" s="40"/>
      <c r="AR18" s="43" t="str">
        <f t="shared" si="16"/>
        <v/>
      </c>
      <c r="AS18" s="128"/>
      <c r="AT18" s="132" t="str">
        <f t="shared" si="17"/>
        <v/>
      </c>
      <c r="AU18" s="40"/>
      <c r="AV18" s="43" t="str">
        <f t="shared" si="18"/>
        <v/>
      </c>
      <c r="AW18" s="128"/>
      <c r="AX18" s="132" t="str">
        <f t="shared" si="19"/>
        <v/>
      </c>
      <c r="AY18" s="40"/>
      <c r="AZ18" s="43" t="str">
        <f t="shared" si="20"/>
        <v/>
      </c>
      <c r="BA18" s="128"/>
      <c r="BB18" s="132" t="str">
        <f t="shared" si="42"/>
        <v/>
      </c>
      <c r="BC18" s="40"/>
      <c r="BD18" s="43" t="str">
        <f t="shared" si="22"/>
        <v/>
      </c>
      <c r="BE18" s="128"/>
      <c r="BF18" s="132" t="str">
        <f t="shared" si="23"/>
        <v/>
      </c>
      <c r="BG18" s="86"/>
      <c r="BH18" s="43" t="str">
        <f t="shared" si="24"/>
        <v/>
      </c>
      <c r="BI18" s="128"/>
      <c r="BJ18" s="132" t="str">
        <f t="shared" si="25"/>
        <v/>
      </c>
      <c r="BK18" s="40"/>
      <c r="BL18" s="43" t="str">
        <f t="shared" si="26"/>
        <v/>
      </c>
      <c r="BM18" s="128"/>
      <c r="BN18" s="132" t="str">
        <f t="shared" si="27"/>
        <v/>
      </c>
      <c r="BO18" s="40"/>
      <c r="BP18" s="43" t="str">
        <f t="shared" si="28"/>
        <v/>
      </c>
      <c r="BQ18" s="128"/>
      <c r="BR18" s="132" t="str">
        <f t="shared" si="29"/>
        <v/>
      </c>
      <c r="BS18" s="40"/>
      <c r="BT18" s="43" t="str">
        <f t="shared" si="30"/>
        <v/>
      </c>
      <c r="BU18" s="128"/>
      <c r="BV18" s="132" t="str">
        <f t="shared" si="31"/>
        <v/>
      </c>
      <c r="BW18" s="40"/>
      <c r="BX18" s="43" t="str">
        <f t="shared" si="32"/>
        <v/>
      </c>
      <c r="BY18" s="128"/>
      <c r="BZ18" s="132" t="str">
        <f t="shared" si="33"/>
        <v/>
      </c>
      <c r="CA18" s="40"/>
      <c r="CB18" s="43" t="str">
        <f t="shared" si="34"/>
        <v/>
      </c>
      <c r="CC18" s="128"/>
      <c r="CD18" s="132" t="str">
        <f t="shared" si="35"/>
        <v/>
      </c>
      <c r="CE18" s="40"/>
      <c r="CF18" s="43" t="str">
        <f t="shared" si="36"/>
        <v/>
      </c>
      <c r="CG18" s="128"/>
      <c r="CH18" s="132" t="str">
        <f t="shared" si="37"/>
        <v/>
      </c>
      <c r="CI18" s="40"/>
      <c r="CJ18" s="43" t="str">
        <f t="shared" si="38"/>
        <v/>
      </c>
      <c r="CK18" s="128"/>
      <c r="CL18" s="132" t="str">
        <f t="shared" si="39"/>
        <v/>
      </c>
      <c r="CM18" s="40"/>
      <c r="CN18" s="43" t="str">
        <f t="shared" si="40"/>
        <v/>
      </c>
      <c r="CO18" s="128"/>
      <c r="CP18" s="132" t="str">
        <f t="shared" si="41"/>
        <v/>
      </c>
    </row>
    <row r="19" spans="1:95" ht="20" customHeight="1" x14ac:dyDescent="0.2">
      <c r="A19" s="67"/>
      <c r="B19" s="96"/>
      <c r="C19" s="25" t="s">
        <v>86</v>
      </c>
      <c r="D19" s="24" t="s">
        <v>297</v>
      </c>
      <c r="E19" s="24" t="s">
        <v>298</v>
      </c>
      <c r="F19" s="25">
        <v>2012</v>
      </c>
      <c r="H19" s="29">
        <v>80</v>
      </c>
      <c r="I19" s="28" t="s">
        <v>238</v>
      </c>
      <c r="J19" s="39" t="s">
        <v>211</v>
      </c>
      <c r="K19" s="40"/>
      <c r="L19" s="43" t="str">
        <f t="shared" si="0"/>
        <v/>
      </c>
      <c r="M19" s="128"/>
      <c r="N19" s="128" t="str">
        <f t="shared" si="1"/>
        <v/>
      </c>
      <c r="O19" s="40"/>
      <c r="P19" s="43" t="str">
        <f t="shared" si="2"/>
        <v/>
      </c>
      <c r="Q19" s="128"/>
      <c r="R19" s="132" t="str">
        <f t="shared" si="3"/>
        <v/>
      </c>
      <c r="S19" s="40"/>
      <c r="T19" s="43" t="str">
        <f t="shared" si="4"/>
        <v/>
      </c>
      <c r="U19" s="128"/>
      <c r="V19" s="132" t="str">
        <f t="shared" si="5"/>
        <v/>
      </c>
      <c r="W19" s="40"/>
      <c r="X19" s="43" t="str">
        <f t="shared" si="6"/>
        <v/>
      </c>
      <c r="Y19" s="128"/>
      <c r="Z19" s="132" t="str">
        <f t="shared" si="7"/>
        <v/>
      </c>
      <c r="AA19" s="40"/>
      <c r="AB19" s="43" t="str">
        <f t="shared" si="8"/>
        <v/>
      </c>
      <c r="AC19" s="128"/>
      <c r="AD19" s="132" t="str">
        <f t="shared" si="9"/>
        <v/>
      </c>
      <c r="AE19" s="86"/>
      <c r="AF19" s="43" t="str">
        <f t="shared" si="10"/>
        <v/>
      </c>
      <c r="AG19" s="128"/>
      <c r="AH19" s="132" t="str">
        <f t="shared" si="11"/>
        <v/>
      </c>
      <c r="AI19" s="40"/>
      <c r="AJ19" s="43" t="str">
        <f t="shared" si="12"/>
        <v/>
      </c>
      <c r="AK19" s="128"/>
      <c r="AL19" s="132" t="str">
        <f t="shared" si="13"/>
        <v/>
      </c>
      <c r="AM19" s="40"/>
      <c r="AN19" s="43" t="str">
        <f t="shared" si="14"/>
        <v/>
      </c>
      <c r="AO19" s="128"/>
      <c r="AP19" s="132" t="str">
        <f t="shared" si="15"/>
        <v/>
      </c>
      <c r="AQ19" s="40"/>
      <c r="AR19" s="43" t="str">
        <f t="shared" si="16"/>
        <v/>
      </c>
      <c r="AS19" s="128"/>
      <c r="AT19" s="132" t="str">
        <f t="shared" si="17"/>
        <v/>
      </c>
      <c r="AU19" s="40"/>
      <c r="AV19" s="43" t="str">
        <f t="shared" si="18"/>
        <v/>
      </c>
      <c r="AW19" s="128"/>
      <c r="AX19" s="132" t="str">
        <f t="shared" si="19"/>
        <v/>
      </c>
      <c r="AY19" s="40"/>
      <c r="AZ19" s="43" t="str">
        <f t="shared" si="20"/>
        <v/>
      </c>
      <c r="BA19" s="128"/>
      <c r="BB19" s="132" t="str">
        <f t="shared" si="42"/>
        <v/>
      </c>
      <c r="BC19" s="40"/>
      <c r="BD19" s="43" t="str">
        <f t="shared" si="22"/>
        <v/>
      </c>
      <c r="BE19" s="128"/>
      <c r="BF19" s="132" t="str">
        <f t="shared" si="23"/>
        <v/>
      </c>
      <c r="BG19" s="86"/>
      <c r="BH19" s="43" t="str">
        <f t="shared" si="24"/>
        <v/>
      </c>
      <c r="BI19" s="128"/>
      <c r="BJ19" s="132" t="str">
        <f t="shared" si="25"/>
        <v/>
      </c>
      <c r="BK19" s="40"/>
      <c r="BL19" s="43" t="str">
        <f t="shared" si="26"/>
        <v/>
      </c>
      <c r="BM19" s="128"/>
      <c r="BN19" s="132" t="str">
        <f t="shared" si="27"/>
        <v/>
      </c>
      <c r="BO19" s="40"/>
      <c r="BP19" s="43" t="str">
        <f t="shared" si="28"/>
        <v/>
      </c>
      <c r="BQ19" s="128"/>
      <c r="BR19" s="132" t="str">
        <f t="shared" si="29"/>
        <v/>
      </c>
      <c r="BS19" s="40"/>
      <c r="BT19" s="43" t="str">
        <f t="shared" si="30"/>
        <v/>
      </c>
      <c r="BU19" s="128"/>
      <c r="BV19" s="132" t="str">
        <f t="shared" si="31"/>
        <v/>
      </c>
      <c r="BW19" s="40"/>
      <c r="BX19" s="43" t="str">
        <f t="shared" si="32"/>
        <v/>
      </c>
      <c r="BY19" s="128"/>
      <c r="BZ19" s="132" t="str">
        <f t="shared" si="33"/>
        <v/>
      </c>
      <c r="CA19" s="40"/>
      <c r="CB19" s="43" t="str">
        <f t="shared" si="34"/>
        <v/>
      </c>
      <c r="CC19" s="128"/>
      <c r="CD19" s="132" t="str">
        <f t="shared" si="35"/>
        <v/>
      </c>
      <c r="CE19" s="40"/>
      <c r="CF19" s="43" t="str">
        <f t="shared" si="36"/>
        <v/>
      </c>
      <c r="CG19" s="128"/>
      <c r="CH19" s="132" t="str">
        <f t="shared" si="37"/>
        <v/>
      </c>
      <c r="CI19" s="40"/>
      <c r="CJ19" s="43" t="str">
        <f t="shared" si="38"/>
        <v/>
      </c>
      <c r="CK19" s="128"/>
      <c r="CL19" s="132" t="str">
        <f t="shared" si="39"/>
        <v/>
      </c>
      <c r="CM19" s="40"/>
      <c r="CN19" s="43" t="str">
        <f t="shared" si="40"/>
        <v/>
      </c>
      <c r="CO19" s="128"/>
      <c r="CP19" s="132" t="str">
        <f t="shared" si="41"/>
        <v/>
      </c>
    </row>
    <row r="20" spans="1:95" ht="20" customHeight="1" x14ac:dyDescent="0.2">
      <c r="A20" s="67"/>
      <c r="B20" s="95"/>
      <c r="C20" s="25" t="s">
        <v>86</v>
      </c>
      <c r="D20" s="24" t="s">
        <v>299</v>
      </c>
      <c r="E20" s="24" t="s">
        <v>300</v>
      </c>
      <c r="F20" s="25">
        <v>2013</v>
      </c>
      <c r="H20" s="29">
        <v>12</v>
      </c>
      <c r="I20" s="28" t="s">
        <v>238</v>
      </c>
      <c r="J20" s="39" t="s">
        <v>377</v>
      </c>
      <c r="K20" s="40"/>
      <c r="L20" s="43" t="str">
        <f t="shared" si="0"/>
        <v/>
      </c>
      <c r="M20" s="128"/>
      <c r="N20" s="128" t="str">
        <f t="shared" si="1"/>
        <v/>
      </c>
      <c r="O20" s="40"/>
      <c r="P20" s="43" t="str">
        <f t="shared" si="2"/>
        <v/>
      </c>
      <c r="Q20" s="128"/>
      <c r="R20" s="132" t="str">
        <f t="shared" si="3"/>
        <v/>
      </c>
      <c r="S20" s="40"/>
      <c r="T20" s="43" t="str">
        <f t="shared" si="4"/>
        <v/>
      </c>
      <c r="U20" s="128"/>
      <c r="V20" s="132" t="str">
        <f t="shared" si="5"/>
        <v/>
      </c>
      <c r="W20" s="45"/>
      <c r="X20" s="46" t="str">
        <f t="shared" si="6"/>
        <v/>
      </c>
      <c r="Y20" s="128"/>
      <c r="Z20" s="132" t="str">
        <f t="shared" si="7"/>
        <v/>
      </c>
      <c r="AA20" s="40"/>
      <c r="AB20" s="43" t="str">
        <f t="shared" si="8"/>
        <v/>
      </c>
      <c r="AC20" s="128"/>
      <c r="AD20" s="132" t="str">
        <f t="shared" si="9"/>
        <v/>
      </c>
      <c r="AE20" s="47"/>
      <c r="AF20" s="46" t="str">
        <f t="shared" si="10"/>
        <v/>
      </c>
      <c r="AG20" s="128"/>
      <c r="AH20" s="132" t="str">
        <f t="shared" si="11"/>
        <v/>
      </c>
      <c r="AI20" s="40"/>
      <c r="AJ20" s="43" t="str">
        <f t="shared" si="12"/>
        <v/>
      </c>
      <c r="AK20" s="128"/>
      <c r="AL20" s="132" t="str">
        <f t="shared" si="13"/>
        <v/>
      </c>
      <c r="AM20" s="40"/>
      <c r="AN20" s="43" t="str">
        <f t="shared" si="14"/>
        <v/>
      </c>
      <c r="AO20" s="128"/>
      <c r="AP20" s="132" t="str">
        <f t="shared" si="15"/>
        <v/>
      </c>
      <c r="AQ20" s="40"/>
      <c r="AR20" s="43" t="str">
        <f t="shared" si="16"/>
        <v/>
      </c>
      <c r="AS20" s="128"/>
      <c r="AT20" s="132" t="str">
        <f t="shared" si="17"/>
        <v/>
      </c>
      <c r="AU20" s="40"/>
      <c r="AV20" s="43" t="str">
        <f t="shared" si="18"/>
        <v/>
      </c>
      <c r="AW20" s="128"/>
      <c r="AX20" s="132" t="str">
        <f t="shared" si="19"/>
        <v/>
      </c>
      <c r="AY20" s="40"/>
      <c r="AZ20" s="43" t="str">
        <f t="shared" si="20"/>
        <v/>
      </c>
      <c r="BA20" s="128"/>
      <c r="BB20" s="132" t="str">
        <f t="shared" si="42"/>
        <v/>
      </c>
      <c r="BC20" s="40"/>
      <c r="BD20" s="43" t="str">
        <f t="shared" si="22"/>
        <v/>
      </c>
      <c r="BE20" s="128"/>
      <c r="BF20" s="132" t="str">
        <f t="shared" si="23"/>
        <v/>
      </c>
      <c r="BG20" s="86"/>
      <c r="BH20" s="43" t="str">
        <f t="shared" si="24"/>
        <v/>
      </c>
      <c r="BI20" s="128"/>
      <c r="BJ20" s="132" t="str">
        <f t="shared" si="25"/>
        <v/>
      </c>
      <c r="BK20" s="40"/>
      <c r="BL20" s="43" t="str">
        <f t="shared" si="26"/>
        <v/>
      </c>
      <c r="BM20" s="128"/>
      <c r="BN20" s="132" t="str">
        <f t="shared" si="27"/>
        <v/>
      </c>
      <c r="BO20" s="40"/>
      <c r="BP20" s="43" t="str">
        <f t="shared" si="28"/>
        <v/>
      </c>
      <c r="BQ20" s="128"/>
      <c r="BR20" s="132" t="str">
        <f t="shared" si="29"/>
        <v/>
      </c>
      <c r="BS20" s="40"/>
      <c r="BT20" s="43" t="str">
        <f t="shared" si="30"/>
        <v/>
      </c>
      <c r="BU20" s="128"/>
      <c r="BV20" s="132" t="str">
        <f t="shared" si="31"/>
        <v/>
      </c>
      <c r="BW20" s="40"/>
      <c r="BX20" s="43" t="str">
        <f t="shared" si="32"/>
        <v/>
      </c>
      <c r="BY20" s="128"/>
      <c r="BZ20" s="132" t="str">
        <f t="shared" si="33"/>
        <v/>
      </c>
      <c r="CA20" s="40"/>
      <c r="CB20" s="43" t="str">
        <f t="shared" si="34"/>
        <v/>
      </c>
      <c r="CC20" s="128"/>
      <c r="CD20" s="132" t="str">
        <f t="shared" si="35"/>
        <v/>
      </c>
      <c r="CE20" s="40"/>
      <c r="CF20" s="43" t="str">
        <f t="shared" si="36"/>
        <v/>
      </c>
      <c r="CG20" s="128"/>
      <c r="CH20" s="132" t="str">
        <f t="shared" si="37"/>
        <v/>
      </c>
      <c r="CI20" s="40"/>
      <c r="CJ20" s="43" t="str">
        <f t="shared" si="38"/>
        <v/>
      </c>
      <c r="CK20" s="128"/>
      <c r="CL20" s="132" t="str">
        <f t="shared" si="39"/>
        <v/>
      </c>
      <c r="CM20" s="40"/>
      <c r="CN20" s="43" t="str">
        <f t="shared" si="40"/>
        <v/>
      </c>
      <c r="CO20" s="128"/>
      <c r="CP20" s="132" t="str">
        <f t="shared" si="41"/>
        <v/>
      </c>
      <c r="CQ20" s="24" t="s">
        <v>448</v>
      </c>
    </row>
    <row r="21" spans="1:95" ht="20" customHeight="1" x14ac:dyDescent="0.2">
      <c r="A21" s="67"/>
      <c r="B21" s="95"/>
      <c r="C21" s="25" t="s">
        <v>86</v>
      </c>
      <c r="D21" s="24" t="s">
        <v>449</v>
      </c>
      <c r="E21" s="24" t="s">
        <v>450</v>
      </c>
      <c r="F21" s="25">
        <v>2013</v>
      </c>
      <c r="H21" s="29">
        <v>38</v>
      </c>
      <c r="I21" s="28" t="s">
        <v>451</v>
      </c>
      <c r="J21" s="39" t="s">
        <v>176</v>
      </c>
      <c r="K21" s="40"/>
      <c r="L21" s="43" t="str">
        <f t="shared" si="0"/>
        <v/>
      </c>
      <c r="M21" s="128"/>
      <c r="N21" s="128"/>
      <c r="O21" s="40"/>
      <c r="P21" s="43" t="str">
        <f t="shared" si="2"/>
        <v/>
      </c>
      <c r="Q21" s="128"/>
      <c r="R21" s="132"/>
      <c r="S21" s="40"/>
      <c r="T21" s="43" t="str">
        <f t="shared" si="4"/>
        <v/>
      </c>
      <c r="U21" s="128"/>
      <c r="V21" s="132"/>
      <c r="W21" s="40"/>
      <c r="X21" s="43" t="str">
        <f t="shared" si="6"/>
        <v/>
      </c>
      <c r="Y21" s="128"/>
      <c r="Z21" s="132"/>
      <c r="AA21" s="40"/>
      <c r="AB21" s="43" t="str">
        <f t="shared" si="8"/>
        <v/>
      </c>
      <c r="AC21" s="128"/>
      <c r="AD21" s="132"/>
      <c r="AE21" s="40"/>
      <c r="AF21" s="43" t="str">
        <f t="shared" si="10"/>
        <v/>
      </c>
      <c r="AG21" s="128"/>
      <c r="AH21" s="132"/>
      <c r="AI21" s="40"/>
      <c r="AJ21" s="43" t="str">
        <f t="shared" si="12"/>
        <v/>
      </c>
      <c r="AK21" s="128"/>
      <c r="AL21" s="132"/>
      <c r="AM21" s="40"/>
      <c r="AN21" s="43" t="str">
        <f t="shared" si="14"/>
        <v/>
      </c>
      <c r="AO21" s="128"/>
      <c r="AP21" s="132"/>
      <c r="AQ21" s="40"/>
      <c r="AR21" s="43" t="str">
        <f t="shared" si="16"/>
        <v/>
      </c>
      <c r="AS21" s="128"/>
      <c r="AT21" s="132"/>
      <c r="AU21" s="40"/>
      <c r="AV21" s="43" t="str">
        <f t="shared" si="18"/>
        <v/>
      </c>
      <c r="AW21" s="128"/>
      <c r="AX21" s="132"/>
      <c r="AY21" s="40"/>
      <c r="AZ21" s="43" t="str">
        <f t="shared" si="20"/>
        <v/>
      </c>
      <c r="BA21" s="128"/>
      <c r="BB21" s="132"/>
      <c r="BC21" s="40"/>
      <c r="BD21" s="43" t="str">
        <f t="shared" si="22"/>
        <v/>
      </c>
      <c r="BE21" s="128"/>
      <c r="BF21" s="132"/>
      <c r="BG21" s="86">
        <v>37</v>
      </c>
      <c r="BH21" s="43">
        <f t="shared" si="24"/>
        <v>97.368421052631575</v>
      </c>
      <c r="BI21" s="128">
        <v>34</v>
      </c>
      <c r="BJ21" s="132">
        <f t="shared" si="25"/>
        <v>3</v>
      </c>
      <c r="BK21" s="40"/>
      <c r="BL21" s="43" t="str">
        <f t="shared" si="26"/>
        <v/>
      </c>
      <c r="BM21" s="128"/>
      <c r="BN21" s="132"/>
      <c r="BO21" s="40"/>
      <c r="BP21" s="43" t="str">
        <f t="shared" si="28"/>
        <v/>
      </c>
      <c r="BQ21" s="128"/>
      <c r="BR21" s="132"/>
      <c r="BS21" s="40"/>
      <c r="BT21" s="43" t="str">
        <f t="shared" si="30"/>
        <v/>
      </c>
      <c r="BU21" s="128"/>
      <c r="BV21" s="132"/>
      <c r="BW21" s="40"/>
      <c r="BX21" s="43" t="str">
        <f t="shared" si="32"/>
        <v/>
      </c>
      <c r="BY21" s="128"/>
      <c r="BZ21" s="132"/>
      <c r="CA21" s="40"/>
      <c r="CB21" s="43" t="str">
        <f t="shared" si="34"/>
        <v/>
      </c>
      <c r="CC21" s="128"/>
      <c r="CD21" s="132"/>
      <c r="CE21" s="40"/>
      <c r="CF21" s="43" t="str">
        <f t="shared" si="36"/>
        <v/>
      </c>
      <c r="CG21" s="128"/>
      <c r="CH21" s="132"/>
      <c r="CI21" s="40"/>
      <c r="CJ21" s="43" t="str">
        <f t="shared" si="38"/>
        <v/>
      </c>
      <c r="CK21" s="128"/>
      <c r="CL21" s="132"/>
      <c r="CM21" s="40"/>
      <c r="CN21" s="43" t="str">
        <f t="shared" si="40"/>
        <v/>
      </c>
      <c r="CO21" s="128"/>
      <c r="CP21" s="132"/>
      <c r="CQ21" s="24" t="s">
        <v>459</v>
      </c>
    </row>
    <row r="22" spans="1:95" ht="20" customHeight="1" x14ac:dyDescent="0.2">
      <c r="A22" s="68"/>
      <c r="B22" s="96"/>
      <c r="C22" s="25" t="s">
        <v>86</v>
      </c>
      <c r="D22" s="24" t="s">
        <v>52</v>
      </c>
      <c r="E22" s="24" t="s">
        <v>53</v>
      </c>
      <c r="F22" s="25">
        <v>2001</v>
      </c>
      <c r="G22" s="25">
        <v>118</v>
      </c>
      <c r="H22" s="29">
        <v>20</v>
      </c>
      <c r="I22" s="28"/>
      <c r="J22" s="39" t="s">
        <v>208</v>
      </c>
      <c r="K22" s="40"/>
      <c r="L22" s="43" t="str">
        <f t="shared" si="0"/>
        <v/>
      </c>
      <c r="M22" s="128"/>
      <c r="N22" s="128" t="str">
        <f t="shared" si="1"/>
        <v/>
      </c>
      <c r="O22" s="40"/>
      <c r="P22" s="43" t="str">
        <f t="shared" si="2"/>
        <v/>
      </c>
      <c r="Q22" s="128"/>
      <c r="R22" s="132" t="str">
        <f t="shared" si="3"/>
        <v/>
      </c>
      <c r="S22" s="40"/>
      <c r="T22" s="43" t="str">
        <f t="shared" si="4"/>
        <v/>
      </c>
      <c r="U22" s="128"/>
      <c r="V22" s="132" t="str">
        <f t="shared" si="5"/>
        <v/>
      </c>
      <c r="W22" s="40"/>
      <c r="X22" s="43" t="str">
        <f t="shared" si="6"/>
        <v/>
      </c>
      <c r="Y22" s="128"/>
      <c r="Z22" s="132" t="str">
        <f t="shared" si="7"/>
        <v/>
      </c>
      <c r="AA22" s="40"/>
      <c r="AB22" s="43" t="str">
        <f t="shared" si="8"/>
        <v/>
      </c>
      <c r="AC22" s="128"/>
      <c r="AD22" s="132" t="str">
        <f t="shared" si="9"/>
        <v/>
      </c>
      <c r="AE22" s="86"/>
      <c r="AF22" s="43" t="str">
        <f t="shared" si="10"/>
        <v/>
      </c>
      <c r="AG22" s="128"/>
      <c r="AH22" s="132" t="str">
        <f t="shared" si="11"/>
        <v/>
      </c>
      <c r="AI22" s="40"/>
      <c r="AJ22" s="43" t="str">
        <f t="shared" si="12"/>
        <v/>
      </c>
      <c r="AK22" s="128"/>
      <c r="AL22" s="132" t="str">
        <f t="shared" si="13"/>
        <v/>
      </c>
      <c r="AM22" s="40"/>
      <c r="AN22" s="43" t="str">
        <f t="shared" si="14"/>
        <v/>
      </c>
      <c r="AO22" s="128"/>
      <c r="AP22" s="132" t="str">
        <f t="shared" si="15"/>
        <v/>
      </c>
      <c r="AQ22" s="40"/>
      <c r="AR22" s="43" t="str">
        <f t="shared" si="16"/>
        <v/>
      </c>
      <c r="AS22" s="128"/>
      <c r="AT22" s="132" t="str">
        <f t="shared" si="17"/>
        <v/>
      </c>
      <c r="AU22" s="40"/>
      <c r="AV22" s="43" t="str">
        <f t="shared" si="18"/>
        <v/>
      </c>
      <c r="AW22" s="128"/>
      <c r="AX22" s="132" t="str">
        <f t="shared" si="19"/>
        <v/>
      </c>
      <c r="AY22" s="40"/>
      <c r="AZ22" s="43" t="str">
        <f t="shared" si="20"/>
        <v/>
      </c>
      <c r="BA22" s="128"/>
      <c r="BB22" s="132" t="str">
        <f t="shared" si="42"/>
        <v/>
      </c>
      <c r="BC22" s="40"/>
      <c r="BD22" s="43" t="str">
        <f t="shared" si="22"/>
        <v/>
      </c>
      <c r="BE22" s="128"/>
      <c r="BF22" s="132" t="str">
        <f t="shared" si="23"/>
        <v/>
      </c>
      <c r="BG22" s="86"/>
      <c r="BH22" s="43" t="str">
        <f t="shared" si="24"/>
        <v/>
      </c>
      <c r="BI22" s="128"/>
      <c r="BJ22" s="132" t="str">
        <f t="shared" si="25"/>
        <v/>
      </c>
      <c r="BK22" s="40"/>
      <c r="BL22" s="43" t="str">
        <f t="shared" si="26"/>
        <v/>
      </c>
      <c r="BM22" s="128"/>
      <c r="BN22" s="132" t="str">
        <f t="shared" si="27"/>
        <v/>
      </c>
      <c r="BO22" s="40"/>
      <c r="BP22" s="43" t="str">
        <f t="shared" si="28"/>
        <v/>
      </c>
      <c r="BQ22" s="128"/>
      <c r="BR22" s="132" t="str">
        <f t="shared" si="29"/>
        <v/>
      </c>
      <c r="BS22" s="40"/>
      <c r="BT22" s="43" t="str">
        <f t="shared" si="30"/>
        <v/>
      </c>
      <c r="BU22" s="128"/>
      <c r="BV22" s="132" t="str">
        <f t="shared" si="31"/>
        <v/>
      </c>
      <c r="BW22" s="40"/>
      <c r="BX22" s="43" t="str">
        <f t="shared" si="32"/>
        <v/>
      </c>
      <c r="BY22" s="128"/>
      <c r="BZ22" s="132" t="str">
        <f t="shared" si="33"/>
        <v/>
      </c>
      <c r="CA22" s="40"/>
      <c r="CB22" s="43" t="str">
        <f t="shared" si="34"/>
        <v/>
      </c>
      <c r="CC22" s="128"/>
      <c r="CD22" s="132" t="str">
        <f t="shared" si="35"/>
        <v/>
      </c>
      <c r="CE22" s="40"/>
      <c r="CF22" s="43" t="str">
        <f t="shared" si="36"/>
        <v/>
      </c>
      <c r="CG22" s="128"/>
      <c r="CH22" s="132" t="str">
        <f t="shared" si="37"/>
        <v/>
      </c>
      <c r="CI22" s="40"/>
      <c r="CJ22" s="43" t="str">
        <f t="shared" si="38"/>
        <v/>
      </c>
      <c r="CK22" s="128"/>
      <c r="CL22" s="132" t="str">
        <f t="shared" si="39"/>
        <v/>
      </c>
      <c r="CM22" s="40"/>
      <c r="CN22" s="43" t="str">
        <f t="shared" si="40"/>
        <v/>
      </c>
      <c r="CO22" s="128"/>
      <c r="CP22" s="132" t="str">
        <f t="shared" si="41"/>
        <v/>
      </c>
      <c r="CQ22" s="24" t="s">
        <v>195</v>
      </c>
    </row>
    <row r="23" spans="1:95" ht="20" customHeight="1" x14ac:dyDescent="0.2">
      <c r="A23" s="67"/>
      <c r="B23" s="95"/>
      <c r="C23" s="25" t="s">
        <v>86</v>
      </c>
      <c r="D23" s="24" t="s">
        <v>305</v>
      </c>
      <c r="E23" s="24" t="s">
        <v>306</v>
      </c>
      <c r="F23" s="25">
        <v>1994</v>
      </c>
      <c r="H23" s="29">
        <v>20</v>
      </c>
      <c r="I23" s="28" t="s">
        <v>380</v>
      </c>
      <c r="J23" s="39"/>
      <c r="K23" s="40"/>
      <c r="L23" s="43" t="str">
        <f t="shared" si="0"/>
        <v/>
      </c>
      <c r="M23" s="128"/>
      <c r="N23" s="128" t="str">
        <f t="shared" si="1"/>
        <v/>
      </c>
      <c r="O23" s="45"/>
      <c r="P23" s="46" t="str">
        <f t="shared" si="2"/>
        <v/>
      </c>
      <c r="Q23" s="128"/>
      <c r="R23" s="132" t="str">
        <f t="shared" si="3"/>
        <v/>
      </c>
      <c r="S23" s="40"/>
      <c r="T23" s="43" t="str">
        <f t="shared" si="4"/>
        <v/>
      </c>
      <c r="U23" s="128"/>
      <c r="V23" s="132" t="str">
        <f t="shared" si="5"/>
        <v/>
      </c>
      <c r="W23" s="45"/>
      <c r="X23" s="46" t="str">
        <f t="shared" si="6"/>
        <v/>
      </c>
      <c r="Y23" s="128"/>
      <c r="Z23" s="132" t="str">
        <f t="shared" si="7"/>
        <v/>
      </c>
      <c r="AA23" s="40"/>
      <c r="AB23" s="43" t="str">
        <f t="shared" si="8"/>
        <v/>
      </c>
      <c r="AC23" s="128"/>
      <c r="AD23" s="132" t="str">
        <f t="shared" si="9"/>
        <v/>
      </c>
      <c r="AE23" s="47"/>
      <c r="AF23" s="46" t="str">
        <f t="shared" si="10"/>
        <v/>
      </c>
      <c r="AG23" s="128"/>
      <c r="AH23" s="132" t="str">
        <f t="shared" si="11"/>
        <v/>
      </c>
      <c r="AI23" s="40"/>
      <c r="AJ23" s="43" t="str">
        <f t="shared" si="12"/>
        <v/>
      </c>
      <c r="AK23" s="128"/>
      <c r="AL23" s="132" t="str">
        <f t="shared" si="13"/>
        <v/>
      </c>
      <c r="AM23" s="40"/>
      <c r="AN23" s="43" t="str">
        <f t="shared" si="14"/>
        <v/>
      </c>
      <c r="AO23" s="128"/>
      <c r="AP23" s="132" t="str">
        <f t="shared" si="15"/>
        <v/>
      </c>
      <c r="AQ23" s="40"/>
      <c r="AR23" s="43" t="str">
        <f t="shared" si="16"/>
        <v/>
      </c>
      <c r="AS23" s="128"/>
      <c r="AT23" s="132" t="str">
        <f t="shared" si="17"/>
        <v/>
      </c>
      <c r="AU23" s="40"/>
      <c r="AV23" s="43" t="str">
        <f t="shared" si="18"/>
        <v/>
      </c>
      <c r="AW23" s="128"/>
      <c r="AX23" s="132" t="str">
        <f t="shared" si="19"/>
        <v/>
      </c>
      <c r="AY23" s="40"/>
      <c r="AZ23" s="43" t="str">
        <f t="shared" si="20"/>
        <v/>
      </c>
      <c r="BA23" s="128"/>
      <c r="BB23" s="132" t="str">
        <f t="shared" si="42"/>
        <v/>
      </c>
      <c r="BC23" s="40"/>
      <c r="BD23" s="43" t="str">
        <f t="shared" si="22"/>
        <v/>
      </c>
      <c r="BE23" s="128"/>
      <c r="BF23" s="132" t="str">
        <f t="shared" si="23"/>
        <v/>
      </c>
      <c r="BG23" s="86"/>
      <c r="BH23" s="43" t="str">
        <f t="shared" si="24"/>
        <v/>
      </c>
      <c r="BI23" s="128"/>
      <c r="BJ23" s="132" t="str">
        <f t="shared" si="25"/>
        <v/>
      </c>
      <c r="BK23" s="40"/>
      <c r="BL23" s="43" t="str">
        <f t="shared" si="26"/>
        <v/>
      </c>
      <c r="BM23" s="128"/>
      <c r="BN23" s="132" t="str">
        <f t="shared" si="27"/>
        <v/>
      </c>
      <c r="BO23" s="40"/>
      <c r="BP23" s="43" t="str">
        <f t="shared" si="28"/>
        <v/>
      </c>
      <c r="BQ23" s="128"/>
      <c r="BR23" s="132" t="str">
        <f t="shared" si="29"/>
        <v/>
      </c>
      <c r="BS23" s="40"/>
      <c r="BT23" s="43" t="str">
        <f t="shared" si="30"/>
        <v/>
      </c>
      <c r="BU23" s="128"/>
      <c r="BV23" s="132" t="str">
        <f t="shared" si="31"/>
        <v/>
      </c>
      <c r="BW23" s="40"/>
      <c r="BX23" s="43" t="str">
        <f t="shared" si="32"/>
        <v/>
      </c>
      <c r="BY23" s="128"/>
      <c r="BZ23" s="132" t="str">
        <f t="shared" si="33"/>
        <v/>
      </c>
      <c r="CA23" s="40"/>
      <c r="CB23" s="43" t="str">
        <f t="shared" si="34"/>
        <v/>
      </c>
      <c r="CC23" s="128"/>
      <c r="CD23" s="132" t="str">
        <f t="shared" si="35"/>
        <v/>
      </c>
      <c r="CE23" s="40"/>
      <c r="CF23" s="43" t="str">
        <f t="shared" si="36"/>
        <v/>
      </c>
      <c r="CG23" s="128"/>
      <c r="CH23" s="132" t="str">
        <f t="shared" si="37"/>
        <v/>
      </c>
      <c r="CI23" s="40"/>
      <c r="CJ23" s="43" t="str">
        <f t="shared" si="38"/>
        <v/>
      </c>
      <c r="CK23" s="128"/>
      <c r="CL23" s="132" t="str">
        <f t="shared" si="39"/>
        <v/>
      </c>
      <c r="CM23" s="40"/>
      <c r="CN23" s="43" t="str">
        <f t="shared" si="40"/>
        <v/>
      </c>
      <c r="CO23" s="128"/>
      <c r="CP23" s="132" t="str">
        <f t="shared" si="41"/>
        <v/>
      </c>
      <c r="CQ23" s="24" t="s">
        <v>452</v>
      </c>
    </row>
    <row r="24" spans="1:95" ht="20" customHeight="1" x14ac:dyDescent="0.2">
      <c r="A24" s="67"/>
      <c r="B24" s="96"/>
      <c r="C24" s="25" t="s">
        <v>86</v>
      </c>
      <c r="D24" s="24" t="s">
        <v>382</v>
      </c>
      <c r="E24" s="24" t="s">
        <v>383</v>
      </c>
      <c r="F24" s="25">
        <v>2008</v>
      </c>
      <c r="H24" s="29">
        <v>16</v>
      </c>
      <c r="I24" s="28" t="s">
        <v>189</v>
      </c>
      <c r="J24" s="39" t="s">
        <v>384</v>
      </c>
      <c r="K24" s="40"/>
      <c r="L24" s="43" t="str">
        <f t="shared" si="0"/>
        <v/>
      </c>
      <c r="M24" s="128"/>
      <c r="N24" s="128" t="str">
        <f t="shared" si="1"/>
        <v/>
      </c>
      <c r="O24" s="40"/>
      <c r="P24" s="43" t="str">
        <f t="shared" si="2"/>
        <v/>
      </c>
      <c r="Q24" s="128"/>
      <c r="R24" s="132" t="str">
        <f t="shared" si="3"/>
        <v/>
      </c>
      <c r="S24" s="40"/>
      <c r="T24" s="43" t="str">
        <f t="shared" si="4"/>
        <v/>
      </c>
      <c r="U24" s="128"/>
      <c r="V24" s="132" t="str">
        <f t="shared" si="5"/>
        <v/>
      </c>
      <c r="W24" s="40"/>
      <c r="X24" s="43" t="str">
        <f t="shared" si="6"/>
        <v/>
      </c>
      <c r="Y24" s="128"/>
      <c r="Z24" s="132" t="str">
        <f t="shared" si="7"/>
        <v/>
      </c>
      <c r="AA24" s="40"/>
      <c r="AB24" s="43" t="str">
        <f t="shared" si="8"/>
        <v/>
      </c>
      <c r="AC24" s="128"/>
      <c r="AD24" s="132" t="str">
        <f t="shared" si="9"/>
        <v/>
      </c>
      <c r="AE24" s="86"/>
      <c r="AF24" s="43" t="str">
        <f t="shared" si="10"/>
        <v/>
      </c>
      <c r="AG24" s="128"/>
      <c r="AH24" s="132" t="str">
        <f t="shared" si="11"/>
        <v/>
      </c>
      <c r="AI24" s="40"/>
      <c r="AJ24" s="43" t="str">
        <f t="shared" si="12"/>
        <v/>
      </c>
      <c r="AK24" s="128"/>
      <c r="AL24" s="132" t="str">
        <f t="shared" si="13"/>
        <v/>
      </c>
      <c r="AM24" s="40"/>
      <c r="AN24" s="43" t="str">
        <f t="shared" si="14"/>
        <v/>
      </c>
      <c r="AO24" s="128"/>
      <c r="AP24" s="132" t="str">
        <f t="shared" si="15"/>
        <v/>
      </c>
      <c r="AQ24" s="40"/>
      <c r="AR24" s="43" t="str">
        <f t="shared" si="16"/>
        <v/>
      </c>
      <c r="AS24" s="128"/>
      <c r="AT24" s="132" t="str">
        <f t="shared" si="17"/>
        <v/>
      </c>
      <c r="AU24" s="40"/>
      <c r="AV24" s="43" t="str">
        <f t="shared" si="18"/>
        <v/>
      </c>
      <c r="AW24" s="128"/>
      <c r="AX24" s="132" t="str">
        <f t="shared" si="19"/>
        <v/>
      </c>
      <c r="AY24" s="40"/>
      <c r="AZ24" s="43" t="str">
        <f t="shared" si="20"/>
        <v/>
      </c>
      <c r="BA24" s="128"/>
      <c r="BB24" s="132" t="str">
        <f t="shared" si="42"/>
        <v/>
      </c>
      <c r="BC24" s="40"/>
      <c r="BD24" s="43" t="str">
        <f t="shared" si="22"/>
        <v/>
      </c>
      <c r="BE24" s="128"/>
      <c r="BF24" s="132" t="str">
        <f t="shared" si="23"/>
        <v/>
      </c>
      <c r="BG24" s="86"/>
      <c r="BH24" s="43" t="str">
        <f t="shared" si="24"/>
        <v/>
      </c>
      <c r="BI24" s="128"/>
      <c r="BJ24" s="132" t="str">
        <f t="shared" si="25"/>
        <v/>
      </c>
      <c r="BK24" s="40"/>
      <c r="BL24" s="43" t="str">
        <f t="shared" si="26"/>
        <v/>
      </c>
      <c r="BM24" s="128"/>
      <c r="BN24" s="132" t="str">
        <f t="shared" si="27"/>
        <v/>
      </c>
      <c r="BO24" s="40"/>
      <c r="BP24" s="43" t="str">
        <f t="shared" si="28"/>
        <v/>
      </c>
      <c r="BQ24" s="128"/>
      <c r="BR24" s="132" t="str">
        <f t="shared" si="29"/>
        <v/>
      </c>
      <c r="BS24" s="40"/>
      <c r="BT24" s="43" t="str">
        <f t="shared" si="30"/>
        <v/>
      </c>
      <c r="BU24" s="128"/>
      <c r="BV24" s="132" t="str">
        <f t="shared" si="31"/>
        <v/>
      </c>
      <c r="BW24" s="40"/>
      <c r="BX24" s="43" t="str">
        <f t="shared" si="32"/>
        <v/>
      </c>
      <c r="BY24" s="128"/>
      <c r="BZ24" s="132" t="str">
        <f t="shared" si="33"/>
        <v/>
      </c>
      <c r="CA24" s="40"/>
      <c r="CB24" s="43" t="str">
        <f t="shared" si="34"/>
        <v/>
      </c>
      <c r="CC24" s="128"/>
      <c r="CD24" s="132" t="str">
        <f t="shared" si="35"/>
        <v/>
      </c>
      <c r="CE24" s="40"/>
      <c r="CF24" s="43" t="str">
        <f t="shared" si="36"/>
        <v/>
      </c>
      <c r="CG24" s="128"/>
      <c r="CH24" s="132" t="str">
        <f t="shared" si="37"/>
        <v/>
      </c>
      <c r="CI24" s="40"/>
      <c r="CJ24" s="43" t="str">
        <f t="shared" si="38"/>
        <v/>
      </c>
      <c r="CK24" s="128"/>
      <c r="CL24" s="132" t="str">
        <f t="shared" si="39"/>
        <v/>
      </c>
      <c r="CM24" s="40"/>
      <c r="CN24" s="43" t="str">
        <f t="shared" si="40"/>
        <v/>
      </c>
      <c r="CO24" s="128"/>
      <c r="CP24" s="132" t="str">
        <f t="shared" si="41"/>
        <v/>
      </c>
      <c r="CQ24" s="24" t="s">
        <v>460</v>
      </c>
    </row>
    <row r="25" spans="1:95" ht="20" customHeight="1" x14ac:dyDescent="0.2">
      <c r="A25" s="67"/>
      <c r="B25" s="95"/>
      <c r="C25" s="25" t="s">
        <v>86</v>
      </c>
      <c r="D25" s="24" t="s">
        <v>54</v>
      </c>
      <c r="E25" s="24" t="s">
        <v>55</v>
      </c>
      <c r="F25" s="25">
        <v>1996</v>
      </c>
      <c r="G25" s="25">
        <v>82</v>
      </c>
      <c r="H25" s="29">
        <v>15</v>
      </c>
      <c r="I25" s="28" t="s">
        <v>189</v>
      </c>
      <c r="J25" s="39" t="s">
        <v>191</v>
      </c>
      <c r="K25" s="40"/>
      <c r="L25" s="43" t="str">
        <f t="shared" si="0"/>
        <v/>
      </c>
      <c r="M25" s="128"/>
      <c r="N25" s="128" t="str">
        <f t="shared" si="1"/>
        <v/>
      </c>
      <c r="O25" s="40"/>
      <c r="P25" s="43" t="str">
        <f t="shared" si="2"/>
        <v/>
      </c>
      <c r="Q25" s="128"/>
      <c r="R25" s="132" t="str">
        <f t="shared" si="3"/>
        <v/>
      </c>
      <c r="S25" s="40">
        <v>1</v>
      </c>
      <c r="T25" s="43">
        <f t="shared" si="4"/>
        <v>6.666666666666667</v>
      </c>
      <c r="U25" s="128"/>
      <c r="V25" s="132" t="str">
        <f t="shared" si="5"/>
        <v/>
      </c>
      <c r="W25" s="40"/>
      <c r="X25" s="43" t="str">
        <f t="shared" si="6"/>
        <v/>
      </c>
      <c r="Y25" s="128"/>
      <c r="Z25" s="132" t="str">
        <f t="shared" si="7"/>
        <v/>
      </c>
      <c r="AA25" s="40"/>
      <c r="AB25" s="43" t="str">
        <f t="shared" si="8"/>
        <v/>
      </c>
      <c r="AC25" s="128"/>
      <c r="AD25" s="132" t="str">
        <f t="shared" si="9"/>
        <v/>
      </c>
      <c r="AE25" s="86">
        <v>1</v>
      </c>
      <c r="AF25" s="43">
        <f t="shared" si="10"/>
        <v>6.666666666666667</v>
      </c>
      <c r="AG25" s="128"/>
      <c r="AH25" s="132" t="str">
        <f t="shared" si="11"/>
        <v/>
      </c>
      <c r="AI25" s="40"/>
      <c r="AJ25" s="43" t="str">
        <f t="shared" si="12"/>
        <v/>
      </c>
      <c r="AK25" s="128"/>
      <c r="AL25" s="132" t="str">
        <f t="shared" si="13"/>
        <v/>
      </c>
      <c r="AM25" s="40"/>
      <c r="AN25" s="43" t="str">
        <f t="shared" si="14"/>
        <v/>
      </c>
      <c r="AO25" s="128"/>
      <c r="AP25" s="132" t="str">
        <f t="shared" si="15"/>
        <v/>
      </c>
      <c r="AQ25" s="40"/>
      <c r="AR25" s="43" t="str">
        <f t="shared" si="16"/>
        <v/>
      </c>
      <c r="AS25" s="128"/>
      <c r="AT25" s="132" t="str">
        <f t="shared" si="17"/>
        <v/>
      </c>
      <c r="AU25" s="40"/>
      <c r="AV25" s="43" t="str">
        <f t="shared" si="18"/>
        <v/>
      </c>
      <c r="AW25" s="128"/>
      <c r="AX25" s="132" t="str">
        <f t="shared" si="19"/>
        <v/>
      </c>
      <c r="AY25" s="40">
        <v>3</v>
      </c>
      <c r="AZ25" s="43">
        <f t="shared" si="20"/>
        <v>20</v>
      </c>
      <c r="BA25" s="128"/>
      <c r="BB25" s="132" t="str">
        <f t="shared" si="42"/>
        <v/>
      </c>
      <c r="BC25" s="40"/>
      <c r="BD25" s="43" t="str">
        <f t="shared" si="22"/>
        <v/>
      </c>
      <c r="BE25" s="128"/>
      <c r="BF25" s="132" t="str">
        <f t="shared" si="23"/>
        <v/>
      </c>
      <c r="BG25" s="86"/>
      <c r="BH25" s="43" t="str">
        <f t="shared" si="24"/>
        <v/>
      </c>
      <c r="BI25" s="128"/>
      <c r="BJ25" s="132" t="str">
        <f t="shared" si="25"/>
        <v/>
      </c>
      <c r="BK25" s="40"/>
      <c r="BL25" s="43" t="str">
        <f t="shared" si="26"/>
        <v/>
      </c>
      <c r="BM25" s="128"/>
      <c r="BN25" s="132" t="str">
        <f t="shared" si="27"/>
        <v/>
      </c>
      <c r="BO25" s="40">
        <v>1</v>
      </c>
      <c r="BP25" s="43">
        <f t="shared" si="28"/>
        <v>6.666666666666667</v>
      </c>
      <c r="BQ25" s="128"/>
      <c r="BR25" s="132" t="str">
        <f t="shared" si="29"/>
        <v/>
      </c>
      <c r="BS25" s="40"/>
      <c r="BT25" s="43" t="str">
        <f t="shared" si="30"/>
        <v/>
      </c>
      <c r="BU25" s="128"/>
      <c r="BV25" s="132" t="str">
        <f t="shared" si="31"/>
        <v/>
      </c>
      <c r="BW25" s="40"/>
      <c r="BX25" s="43" t="str">
        <f t="shared" si="32"/>
        <v/>
      </c>
      <c r="BY25" s="128"/>
      <c r="BZ25" s="132" t="str">
        <f t="shared" si="33"/>
        <v/>
      </c>
      <c r="CA25" s="40"/>
      <c r="CB25" s="43" t="str">
        <f t="shared" si="34"/>
        <v/>
      </c>
      <c r="CC25" s="128"/>
      <c r="CD25" s="132" t="str">
        <f t="shared" si="35"/>
        <v/>
      </c>
      <c r="CE25" s="40"/>
      <c r="CF25" s="43" t="str">
        <f t="shared" si="36"/>
        <v/>
      </c>
      <c r="CG25" s="128"/>
      <c r="CH25" s="132" t="str">
        <f t="shared" si="37"/>
        <v/>
      </c>
      <c r="CI25" s="40"/>
      <c r="CJ25" s="43" t="str">
        <f t="shared" si="38"/>
        <v/>
      </c>
      <c r="CK25" s="128"/>
      <c r="CL25" s="132" t="str">
        <f t="shared" si="39"/>
        <v/>
      </c>
      <c r="CM25" s="40"/>
      <c r="CN25" s="43" t="str">
        <f t="shared" si="40"/>
        <v/>
      </c>
      <c r="CO25" s="128"/>
      <c r="CP25" s="132" t="str">
        <f t="shared" si="41"/>
        <v/>
      </c>
      <c r="CQ25" s="24" t="s">
        <v>385</v>
      </c>
    </row>
    <row r="26" spans="1:95" ht="20" customHeight="1" x14ac:dyDescent="0.2">
      <c r="A26" s="68"/>
      <c r="B26" s="25"/>
      <c r="C26" s="25" t="s">
        <v>86</v>
      </c>
      <c r="D26" s="24" t="s">
        <v>57</v>
      </c>
      <c r="E26" s="24" t="s">
        <v>58</v>
      </c>
      <c r="F26" s="25">
        <v>2006</v>
      </c>
      <c r="G26" s="25">
        <v>132</v>
      </c>
      <c r="H26" s="29">
        <v>7</v>
      </c>
      <c r="I26" s="28"/>
      <c r="J26" s="39"/>
      <c r="K26" s="40"/>
      <c r="L26" s="43" t="str">
        <f t="shared" si="0"/>
        <v/>
      </c>
      <c r="M26" s="128"/>
      <c r="N26" s="128" t="str">
        <f t="shared" si="1"/>
        <v/>
      </c>
      <c r="O26" s="40"/>
      <c r="P26" s="43" t="str">
        <f t="shared" si="2"/>
        <v/>
      </c>
      <c r="Q26" s="128"/>
      <c r="R26" s="132" t="str">
        <f t="shared" si="3"/>
        <v/>
      </c>
      <c r="S26" s="40"/>
      <c r="T26" s="43" t="str">
        <f t="shared" si="4"/>
        <v/>
      </c>
      <c r="U26" s="128"/>
      <c r="V26" s="132" t="str">
        <f t="shared" si="5"/>
        <v/>
      </c>
      <c r="W26" s="40"/>
      <c r="X26" s="43" t="str">
        <f t="shared" si="6"/>
        <v/>
      </c>
      <c r="Y26" s="128"/>
      <c r="Z26" s="132" t="str">
        <f t="shared" si="7"/>
        <v/>
      </c>
      <c r="AA26" s="40"/>
      <c r="AB26" s="43" t="str">
        <f t="shared" si="8"/>
        <v/>
      </c>
      <c r="AC26" s="128"/>
      <c r="AD26" s="132" t="str">
        <f t="shared" si="9"/>
        <v/>
      </c>
      <c r="AE26" s="86"/>
      <c r="AF26" s="43" t="str">
        <f t="shared" si="10"/>
        <v/>
      </c>
      <c r="AG26" s="128"/>
      <c r="AH26" s="132" t="str">
        <f t="shared" si="11"/>
        <v/>
      </c>
      <c r="AI26" s="40"/>
      <c r="AJ26" s="43" t="str">
        <f t="shared" si="12"/>
        <v/>
      </c>
      <c r="AK26" s="128"/>
      <c r="AL26" s="132" t="str">
        <f t="shared" si="13"/>
        <v/>
      </c>
      <c r="AM26" s="40"/>
      <c r="AN26" s="43" t="str">
        <f t="shared" si="14"/>
        <v/>
      </c>
      <c r="AO26" s="128"/>
      <c r="AP26" s="132" t="str">
        <f t="shared" si="15"/>
        <v/>
      </c>
      <c r="AQ26" s="40"/>
      <c r="AR26" s="43" t="str">
        <f t="shared" si="16"/>
        <v/>
      </c>
      <c r="AS26" s="128"/>
      <c r="AT26" s="132" t="str">
        <f t="shared" si="17"/>
        <v/>
      </c>
      <c r="AU26" s="40"/>
      <c r="AV26" s="43" t="str">
        <f t="shared" si="18"/>
        <v/>
      </c>
      <c r="AW26" s="128"/>
      <c r="AX26" s="132" t="str">
        <f t="shared" si="19"/>
        <v/>
      </c>
      <c r="AY26" s="40"/>
      <c r="AZ26" s="43" t="str">
        <f t="shared" si="20"/>
        <v/>
      </c>
      <c r="BA26" s="128"/>
      <c r="BB26" s="132" t="str">
        <f t="shared" si="42"/>
        <v/>
      </c>
      <c r="BC26" s="40"/>
      <c r="BD26" s="43" t="str">
        <f t="shared" si="22"/>
        <v/>
      </c>
      <c r="BE26" s="128"/>
      <c r="BF26" s="132" t="str">
        <f t="shared" si="23"/>
        <v/>
      </c>
      <c r="BG26" s="86"/>
      <c r="BH26" s="43" t="str">
        <f t="shared" si="24"/>
        <v/>
      </c>
      <c r="BI26" s="128"/>
      <c r="BJ26" s="132" t="str">
        <f t="shared" si="25"/>
        <v/>
      </c>
      <c r="BK26" s="40"/>
      <c r="BL26" s="43" t="str">
        <f t="shared" si="26"/>
        <v/>
      </c>
      <c r="BM26" s="128"/>
      <c r="BN26" s="132" t="str">
        <f t="shared" si="27"/>
        <v/>
      </c>
      <c r="BO26" s="40"/>
      <c r="BP26" s="43" t="str">
        <f t="shared" si="28"/>
        <v/>
      </c>
      <c r="BQ26" s="128"/>
      <c r="BR26" s="132" t="str">
        <f t="shared" si="29"/>
        <v/>
      </c>
      <c r="BS26" s="40"/>
      <c r="BT26" s="43" t="str">
        <f t="shared" si="30"/>
        <v/>
      </c>
      <c r="BU26" s="128"/>
      <c r="BV26" s="132" t="str">
        <f t="shared" si="31"/>
        <v/>
      </c>
      <c r="BW26" s="40"/>
      <c r="BX26" s="43" t="str">
        <f t="shared" si="32"/>
        <v/>
      </c>
      <c r="BY26" s="128"/>
      <c r="BZ26" s="132" t="str">
        <f t="shared" si="33"/>
        <v/>
      </c>
      <c r="CA26" s="40"/>
      <c r="CB26" s="43" t="str">
        <f t="shared" si="34"/>
        <v/>
      </c>
      <c r="CC26" s="128"/>
      <c r="CD26" s="132" t="str">
        <f t="shared" si="35"/>
        <v/>
      </c>
      <c r="CE26" s="40"/>
      <c r="CF26" s="43" t="str">
        <f t="shared" si="36"/>
        <v/>
      </c>
      <c r="CG26" s="128"/>
      <c r="CH26" s="132" t="str">
        <f t="shared" si="37"/>
        <v/>
      </c>
      <c r="CI26" s="40"/>
      <c r="CJ26" s="43" t="str">
        <f t="shared" si="38"/>
        <v/>
      </c>
      <c r="CK26" s="128"/>
      <c r="CL26" s="132" t="str">
        <f t="shared" si="39"/>
        <v/>
      </c>
      <c r="CM26" s="40"/>
      <c r="CN26" s="43" t="str">
        <f t="shared" si="40"/>
        <v/>
      </c>
      <c r="CO26" s="128"/>
      <c r="CP26" s="132" t="str">
        <f t="shared" si="41"/>
        <v/>
      </c>
      <c r="CQ26" s="24" t="s">
        <v>389</v>
      </c>
    </row>
    <row r="27" spans="1:95" ht="20" customHeight="1" x14ac:dyDescent="0.2">
      <c r="A27" s="67"/>
      <c r="B27" s="96"/>
      <c r="C27" s="25" t="s">
        <v>86</v>
      </c>
      <c r="D27" s="24" t="s">
        <v>59</v>
      </c>
      <c r="E27" s="24" t="s">
        <v>60</v>
      </c>
      <c r="F27" s="25">
        <v>2009</v>
      </c>
      <c r="G27" s="25">
        <v>49</v>
      </c>
      <c r="H27" s="29">
        <v>22</v>
      </c>
      <c r="I27" s="28" t="s">
        <v>189</v>
      </c>
      <c r="J27" s="39" t="s">
        <v>209</v>
      </c>
      <c r="K27" s="40"/>
      <c r="L27" s="43" t="str">
        <f t="shared" si="0"/>
        <v/>
      </c>
      <c r="M27" s="128"/>
      <c r="N27" s="128" t="str">
        <f t="shared" si="1"/>
        <v/>
      </c>
      <c r="O27" s="40"/>
      <c r="P27" s="43" t="str">
        <f t="shared" si="2"/>
        <v/>
      </c>
      <c r="Q27" s="128"/>
      <c r="R27" s="132" t="str">
        <f t="shared" si="3"/>
        <v/>
      </c>
      <c r="S27" s="40"/>
      <c r="T27" s="43" t="str">
        <f t="shared" si="4"/>
        <v/>
      </c>
      <c r="U27" s="128"/>
      <c r="V27" s="132" t="str">
        <f t="shared" si="5"/>
        <v/>
      </c>
      <c r="W27" s="40"/>
      <c r="X27" s="43" t="str">
        <f t="shared" si="6"/>
        <v/>
      </c>
      <c r="Y27" s="128"/>
      <c r="Z27" s="132" t="str">
        <f t="shared" si="7"/>
        <v/>
      </c>
      <c r="AA27" s="40"/>
      <c r="AB27" s="43" t="str">
        <f t="shared" si="8"/>
        <v/>
      </c>
      <c r="AC27" s="128"/>
      <c r="AD27" s="132" t="str">
        <f t="shared" si="9"/>
        <v/>
      </c>
      <c r="AE27" s="86"/>
      <c r="AF27" s="43" t="str">
        <f t="shared" si="10"/>
        <v/>
      </c>
      <c r="AG27" s="128"/>
      <c r="AH27" s="132" t="str">
        <f t="shared" si="11"/>
        <v/>
      </c>
      <c r="AI27" s="40"/>
      <c r="AJ27" s="43" t="str">
        <f t="shared" si="12"/>
        <v/>
      </c>
      <c r="AK27" s="128"/>
      <c r="AL27" s="132" t="str">
        <f t="shared" si="13"/>
        <v/>
      </c>
      <c r="AM27" s="40"/>
      <c r="AN27" s="43" t="str">
        <f t="shared" si="14"/>
        <v/>
      </c>
      <c r="AO27" s="128"/>
      <c r="AP27" s="132" t="str">
        <f t="shared" si="15"/>
        <v/>
      </c>
      <c r="AQ27" s="40"/>
      <c r="AR27" s="43" t="str">
        <f t="shared" si="16"/>
        <v/>
      </c>
      <c r="AS27" s="128"/>
      <c r="AT27" s="132" t="str">
        <f t="shared" si="17"/>
        <v/>
      </c>
      <c r="AU27" s="40"/>
      <c r="AV27" s="43" t="str">
        <f t="shared" si="18"/>
        <v/>
      </c>
      <c r="AW27" s="128"/>
      <c r="AX27" s="132" t="str">
        <f t="shared" si="19"/>
        <v/>
      </c>
      <c r="AY27" s="40"/>
      <c r="AZ27" s="43" t="str">
        <f t="shared" si="20"/>
        <v/>
      </c>
      <c r="BA27" s="128"/>
      <c r="BB27" s="132" t="str">
        <f t="shared" si="42"/>
        <v/>
      </c>
      <c r="BC27" s="40"/>
      <c r="BD27" s="43" t="str">
        <f t="shared" si="22"/>
        <v/>
      </c>
      <c r="BE27" s="128"/>
      <c r="BF27" s="132" t="str">
        <f t="shared" si="23"/>
        <v/>
      </c>
      <c r="BG27" s="86"/>
      <c r="BH27" s="43" t="str">
        <f t="shared" si="24"/>
        <v/>
      </c>
      <c r="BI27" s="128"/>
      <c r="BJ27" s="132" t="str">
        <f t="shared" si="25"/>
        <v/>
      </c>
      <c r="BK27" s="40"/>
      <c r="BL27" s="43" t="str">
        <f t="shared" si="26"/>
        <v/>
      </c>
      <c r="BM27" s="128"/>
      <c r="BN27" s="132" t="str">
        <f t="shared" si="27"/>
        <v/>
      </c>
      <c r="BO27" s="40"/>
      <c r="BP27" s="43" t="str">
        <f t="shared" si="28"/>
        <v/>
      </c>
      <c r="BQ27" s="128"/>
      <c r="BR27" s="132" t="str">
        <f t="shared" si="29"/>
        <v/>
      </c>
      <c r="BS27" s="40"/>
      <c r="BT27" s="43" t="str">
        <f t="shared" si="30"/>
        <v/>
      </c>
      <c r="BU27" s="128"/>
      <c r="BV27" s="132" t="str">
        <f t="shared" si="31"/>
        <v/>
      </c>
      <c r="BW27" s="40"/>
      <c r="BX27" s="43" t="str">
        <f t="shared" si="32"/>
        <v/>
      </c>
      <c r="BY27" s="128"/>
      <c r="BZ27" s="132" t="str">
        <f t="shared" si="33"/>
        <v/>
      </c>
      <c r="CA27" s="40"/>
      <c r="CB27" s="43" t="str">
        <f t="shared" si="34"/>
        <v/>
      </c>
      <c r="CC27" s="128"/>
      <c r="CD27" s="132" t="str">
        <f t="shared" si="35"/>
        <v/>
      </c>
      <c r="CE27" s="40"/>
      <c r="CF27" s="43" t="str">
        <f t="shared" si="36"/>
        <v/>
      </c>
      <c r="CG27" s="128"/>
      <c r="CH27" s="132" t="str">
        <f t="shared" si="37"/>
        <v/>
      </c>
      <c r="CI27" s="40"/>
      <c r="CJ27" s="43" t="str">
        <f t="shared" si="38"/>
        <v/>
      </c>
      <c r="CK27" s="128"/>
      <c r="CL27" s="132" t="str">
        <f t="shared" si="39"/>
        <v/>
      </c>
      <c r="CM27" s="40"/>
      <c r="CN27" s="43" t="str">
        <f t="shared" si="40"/>
        <v/>
      </c>
      <c r="CO27" s="128"/>
      <c r="CP27" s="132" t="str">
        <f t="shared" si="41"/>
        <v/>
      </c>
      <c r="CQ27" s="24" t="s">
        <v>453</v>
      </c>
    </row>
    <row r="28" spans="1:95" ht="20" customHeight="1" x14ac:dyDescent="0.2">
      <c r="A28" s="67"/>
      <c r="B28" s="95"/>
      <c r="C28" s="25" t="s">
        <v>86</v>
      </c>
      <c r="D28" s="24" t="s">
        <v>311</v>
      </c>
      <c r="E28" s="24" t="s">
        <v>312</v>
      </c>
      <c r="F28" s="25">
        <v>2014</v>
      </c>
      <c r="H28" s="29">
        <v>39</v>
      </c>
      <c r="I28" s="28" t="s">
        <v>454</v>
      </c>
      <c r="J28" s="39" t="s">
        <v>384</v>
      </c>
      <c r="K28" s="40"/>
      <c r="L28" s="43" t="str">
        <f t="shared" si="0"/>
        <v/>
      </c>
      <c r="M28" s="128"/>
      <c r="N28" s="128" t="str">
        <f t="shared" si="1"/>
        <v/>
      </c>
      <c r="O28" s="40">
        <v>23</v>
      </c>
      <c r="P28" s="43">
        <f t="shared" si="2"/>
        <v>58.974358974358978</v>
      </c>
      <c r="Q28" s="128">
        <v>19</v>
      </c>
      <c r="R28" s="132">
        <f t="shared" si="3"/>
        <v>4</v>
      </c>
      <c r="S28" s="40">
        <v>22</v>
      </c>
      <c r="T28" s="43">
        <f t="shared" si="4"/>
        <v>56.410256410256409</v>
      </c>
      <c r="U28" s="128">
        <v>23</v>
      </c>
      <c r="V28" s="132">
        <f t="shared" si="5"/>
        <v>-1</v>
      </c>
      <c r="W28" s="40">
        <v>22</v>
      </c>
      <c r="X28" s="43">
        <f t="shared" si="6"/>
        <v>56.410256410256409</v>
      </c>
      <c r="Y28" s="128">
        <v>17</v>
      </c>
      <c r="Z28" s="132">
        <f t="shared" si="7"/>
        <v>5</v>
      </c>
      <c r="AA28" s="40"/>
      <c r="AB28" s="43" t="str">
        <f t="shared" si="8"/>
        <v/>
      </c>
      <c r="AC28" s="128"/>
      <c r="AD28" s="132" t="str">
        <f t="shared" si="9"/>
        <v/>
      </c>
      <c r="AE28" s="86"/>
      <c r="AF28" s="43" t="str">
        <f t="shared" si="10"/>
        <v/>
      </c>
      <c r="AG28" s="128"/>
      <c r="AH28" s="132" t="str">
        <f t="shared" si="11"/>
        <v/>
      </c>
      <c r="AI28" s="40">
        <v>8</v>
      </c>
      <c r="AJ28" s="43">
        <f t="shared" si="12"/>
        <v>20.512820512820511</v>
      </c>
      <c r="AK28" s="128">
        <v>10</v>
      </c>
      <c r="AL28" s="132">
        <f t="shared" si="13"/>
        <v>-2</v>
      </c>
      <c r="AM28" s="40"/>
      <c r="AN28" s="43" t="str">
        <f t="shared" si="14"/>
        <v/>
      </c>
      <c r="AO28" s="128"/>
      <c r="AP28" s="132" t="str">
        <f t="shared" si="15"/>
        <v/>
      </c>
      <c r="AQ28" s="40"/>
      <c r="AR28" s="43" t="str">
        <f t="shared" si="16"/>
        <v/>
      </c>
      <c r="AS28" s="128"/>
      <c r="AT28" s="132" t="str">
        <f t="shared" si="17"/>
        <v/>
      </c>
      <c r="AU28" s="40"/>
      <c r="AV28" s="43" t="str">
        <f t="shared" si="18"/>
        <v/>
      </c>
      <c r="AW28" s="128"/>
      <c r="AX28" s="132" t="str">
        <f t="shared" si="19"/>
        <v/>
      </c>
      <c r="AY28" s="40"/>
      <c r="AZ28" s="43" t="str">
        <f t="shared" si="20"/>
        <v/>
      </c>
      <c r="BA28" s="128"/>
      <c r="BB28" s="132" t="str">
        <f t="shared" si="42"/>
        <v/>
      </c>
      <c r="BC28" s="40"/>
      <c r="BD28" s="43" t="str">
        <f t="shared" si="22"/>
        <v/>
      </c>
      <c r="BE28" s="128"/>
      <c r="BF28" s="132" t="str">
        <f t="shared" si="23"/>
        <v/>
      </c>
      <c r="BG28" s="86"/>
      <c r="BH28" s="43" t="str">
        <f t="shared" si="24"/>
        <v/>
      </c>
      <c r="BI28" s="128"/>
      <c r="BJ28" s="132" t="str">
        <f t="shared" si="25"/>
        <v/>
      </c>
      <c r="BK28" s="40">
        <v>3</v>
      </c>
      <c r="BL28" s="43">
        <f t="shared" si="26"/>
        <v>7.6923076923076925</v>
      </c>
      <c r="BM28" s="128">
        <v>4</v>
      </c>
      <c r="BN28" s="132">
        <f t="shared" si="27"/>
        <v>-1</v>
      </c>
      <c r="BO28" s="40"/>
      <c r="BP28" s="43" t="str">
        <f t="shared" si="28"/>
        <v/>
      </c>
      <c r="BQ28" s="128"/>
      <c r="BR28" s="132" t="str">
        <f t="shared" si="29"/>
        <v/>
      </c>
      <c r="BS28" s="40"/>
      <c r="BT28" s="43" t="str">
        <f t="shared" si="30"/>
        <v/>
      </c>
      <c r="BU28" s="128"/>
      <c r="BV28" s="132" t="str">
        <f t="shared" si="31"/>
        <v/>
      </c>
      <c r="BW28" s="40"/>
      <c r="BX28" s="43" t="str">
        <f t="shared" si="32"/>
        <v/>
      </c>
      <c r="BY28" s="128"/>
      <c r="BZ28" s="132" t="str">
        <f t="shared" si="33"/>
        <v/>
      </c>
      <c r="CA28" s="40"/>
      <c r="CB28" s="43" t="str">
        <f t="shared" si="34"/>
        <v/>
      </c>
      <c r="CC28" s="128"/>
      <c r="CD28" s="132" t="str">
        <f t="shared" si="35"/>
        <v/>
      </c>
      <c r="CE28" s="40"/>
      <c r="CF28" s="43" t="str">
        <f t="shared" si="36"/>
        <v/>
      </c>
      <c r="CG28" s="128"/>
      <c r="CH28" s="132" t="str">
        <f t="shared" si="37"/>
        <v/>
      </c>
      <c r="CI28" s="40"/>
      <c r="CJ28" s="43" t="str">
        <f t="shared" si="38"/>
        <v/>
      </c>
      <c r="CK28" s="128"/>
      <c r="CL28" s="132" t="str">
        <f t="shared" si="39"/>
        <v/>
      </c>
      <c r="CM28" s="40"/>
      <c r="CN28" s="43" t="str">
        <f t="shared" si="40"/>
        <v/>
      </c>
      <c r="CO28" s="128"/>
      <c r="CP28" s="132" t="str">
        <f t="shared" si="41"/>
        <v/>
      </c>
      <c r="CQ28" s="24" t="s">
        <v>390</v>
      </c>
    </row>
    <row r="29" spans="1:95" ht="20" customHeight="1" x14ac:dyDescent="0.2">
      <c r="A29" s="67"/>
      <c r="B29" s="25"/>
      <c r="C29" s="25" t="s">
        <v>86</v>
      </c>
      <c r="D29" s="24" t="s">
        <v>313</v>
      </c>
      <c r="E29" s="24" t="s">
        <v>314</v>
      </c>
      <c r="F29" s="25">
        <v>2015</v>
      </c>
      <c r="H29" s="29">
        <v>8</v>
      </c>
      <c r="I29" s="28" t="s">
        <v>238</v>
      </c>
      <c r="J29" s="39" t="s">
        <v>391</v>
      </c>
      <c r="K29" s="40"/>
      <c r="L29" s="43" t="str">
        <f t="shared" si="0"/>
        <v/>
      </c>
      <c r="M29" s="128"/>
      <c r="N29" s="128" t="str">
        <f t="shared" si="1"/>
        <v/>
      </c>
      <c r="O29" s="40"/>
      <c r="P29" s="43" t="str">
        <f t="shared" si="2"/>
        <v/>
      </c>
      <c r="Q29" s="128"/>
      <c r="R29" s="132" t="str">
        <f t="shared" si="3"/>
        <v/>
      </c>
      <c r="S29" s="40"/>
      <c r="T29" s="43" t="str">
        <f t="shared" si="4"/>
        <v/>
      </c>
      <c r="U29" s="128"/>
      <c r="V29" s="132" t="str">
        <f t="shared" si="5"/>
        <v/>
      </c>
      <c r="W29" s="40">
        <v>2</v>
      </c>
      <c r="X29" s="43">
        <f t="shared" si="6"/>
        <v>25</v>
      </c>
      <c r="Y29" s="128"/>
      <c r="Z29" s="132" t="str">
        <f t="shared" si="7"/>
        <v/>
      </c>
      <c r="AA29" s="40"/>
      <c r="AB29" s="43" t="str">
        <f t="shared" si="8"/>
        <v/>
      </c>
      <c r="AC29" s="128"/>
      <c r="AD29" s="132" t="str">
        <f t="shared" si="9"/>
        <v/>
      </c>
      <c r="AE29" s="86"/>
      <c r="AF29" s="43" t="str">
        <f t="shared" si="10"/>
        <v/>
      </c>
      <c r="AG29" s="128"/>
      <c r="AH29" s="132" t="str">
        <f t="shared" si="11"/>
        <v/>
      </c>
      <c r="AI29" s="40"/>
      <c r="AJ29" s="43" t="str">
        <f t="shared" si="12"/>
        <v/>
      </c>
      <c r="AK29" s="128"/>
      <c r="AL29" s="132" t="str">
        <f t="shared" si="13"/>
        <v/>
      </c>
      <c r="AM29" s="40"/>
      <c r="AN29" s="43" t="str">
        <f t="shared" si="14"/>
        <v/>
      </c>
      <c r="AO29" s="128"/>
      <c r="AP29" s="132" t="str">
        <f t="shared" si="15"/>
        <v/>
      </c>
      <c r="AQ29" s="40"/>
      <c r="AR29" s="43" t="str">
        <f t="shared" si="16"/>
        <v/>
      </c>
      <c r="AS29" s="128"/>
      <c r="AT29" s="132" t="str">
        <f t="shared" si="17"/>
        <v/>
      </c>
      <c r="AU29" s="40"/>
      <c r="AV29" s="43" t="str">
        <f t="shared" si="18"/>
        <v/>
      </c>
      <c r="AW29" s="128"/>
      <c r="AX29" s="132" t="str">
        <f t="shared" si="19"/>
        <v/>
      </c>
      <c r="AY29" s="40"/>
      <c r="AZ29" s="43" t="str">
        <f t="shared" si="20"/>
        <v/>
      </c>
      <c r="BA29" s="128"/>
      <c r="BB29" s="132" t="str">
        <f t="shared" si="42"/>
        <v/>
      </c>
      <c r="BC29" s="40"/>
      <c r="BD29" s="43" t="str">
        <f t="shared" si="22"/>
        <v/>
      </c>
      <c r="BE29" s="128"/>
      <c r="BF29" s="132" t="str">
        <f t="shared" si="23"/>
        <v/>
      </c>
      <c r="BG29" s="86"/>
      <c r="BH29" s="43" t="str">
        <f t="shared" si="24"/>
        <v/>
      </c>
      <c r="BI29" s="128"/>
      <c r="BJ29" s="132" t="str">
        <f t="shared" si="25"/>
        <v/>
      </c>
      <c r="BK29" s="40"/>
      <c r="BL29" s="43" t="str">
        <f t="shared" si="26"/>
        <v/>
      </c>
      <c r="BM29" s="128"/>
      <c r="BN29" s="132" t="str">
        <f t="shared" si="27"/>
        <v/>
      </c>
      <c r="BO29" s="40"/>
      <c r="BP29" s="43" t="str">
        <f t="shared" si="28"/>
        <v/>
      </c>
      <c r="BQ29" s="128"/>
      <c r="BR29" s="132" t="str">
        <f t="shared" si="29"/>
        <v/>
      </c>
      <c r="BS29" s="40"/>
      <c r="BT29" s="43" t="str">
        <f t="shared" si="30"/>
        <v/>
      </c>
      <c r="BU29" s="128"/>
      <c r="BV29" s="132" t="str">
        <f t="shared" si="31"/>
        <v/>
      </c>
      <c r="BW29" s="40"/>
      <c r="BX29" s="43" t="str">
        <f t="shared" si="32"/>
        <v/>
      </c>
      <c r="BY29" s="128"/>
      <c r="BZ29" s="132" t="str">
        <f t="shared" si="33"/>
        <v/>
      </c>
      <c r="CA29" s="40"/>
      <c r="CB29" s="43" t="str">
        <f t="shared" si="34"/>
        <v/>
      </c>
      <c r="CC29" s="128"/>
      <c r="CD29" s="132" t="str">
        <f t="shared" si="35"/>
        <v/>
      </c>
      <c r="CE29" s="40"/>
      <c r="CF29" s="43" t="str">
        <f t="shared" si="36"/>
        <v/>
      </c>
      <c r="CG29" s="128"/>
      <c r="CH29" s="132" t="str">
        <f t="shared" si="37"/>
        <v/>
      </c>
      <c r="CI29" s="40"/>
      <c r="CJ29" s="43" t="str">
        <f t="shared" si="38"/>
        <v/>
      </c>
      <c r="CK29" s="128"/>
      <c r="CL29" s="132" t="str">
        <f t="shared" si="39"/>
        <v/>
      </c>
      <c r="CM29" s="40"/>
      <c r="CN29" s="43" t="str">
        <f t="shared" si="40"/>
        <v/>
      </c>
      <c r="CO29" s="128"/>
      <c r="CP29" s="132" t="str">
        <f t="shared" si="41"/>
        <v/>
      </c>
      <c r="CQ29" s="24" t="s">
        <v>455</v>
      </c>
    </row>
    <row r="30" spans="1:95" ht="20" customHeight="1" x14ac:dyDescent="0.2">
      <c r="A30" s="68"/>
      <c r="B30" s="95"/>
      <c r="C30" s="25" t="s">
        <v>86</v>
      </c>
      <c r="D30" s="24" t="s">
        <v>315</v>
      </c>
      <c r="E30" s="24" t="s">
        <v>316</v>
      </c>
      <c r="F30" s="25">
        <v>2001</v>
      </c>
      <c r="H30" s="29">
        <v>9</v>
      </c>
      <c r="I30" s="28"/>
      <c r="J30" s="39" t="s">
        <v>393</v>
      </c>
      <c r="K30" s="40"/>
      <c r="L30" s="43" t="str">
        <f t="shared" si="0"/>
        <v/>
      </c>
      <c r="M30" s="128"/>
      <c r="N30" s="128" t="str">
        <f t="shared" si="1"/>
        <v/>
      </c>
      <c r="O30" s="40"/>
      <c r="P30" s="43" t="str">
        <f t="shared" si="2"/>
        <v/>
      </c>
      <c r="Q30" s="128"/>
      <c r="R30" s="132" t="str">
        <f t="shared" si="3"/>
        <v/>
      </c>
      <c r="S30" s="40"/>
      <c r="T30" s="43" t="str">
        <f t="shared" si="4"/>
        <v/>
      </c>
      <c r="U30" s="128"/>
      <c r="V30" s="132" t="str">
        <f t="shared" si="5"/>
        <v/>
      </c>
      <c r="W30" s="40"/>
      <c r="X30" s="43" t="str">
        <f t="shared" si="6"/>
        <v/>
      </c>
      <c r="Y30" s="128"/>
      <c r="Z30" s="132" t="str">
        <f t="shared" si="7"/>
        <v/>
      </c>
      <c r="AA30" s="40"/>
      <c r="AB30" s="43" t="str">
        <f t="shared" si="8"/>
        <v/>
      </c>
      <c r="AC30" s="128"/>
      <c r="AD30" s="132" t="str">
        <f t="shared" si="9"/>
        <v/>
      </c>
      <c r="AE30" s="47"/>
      <c r="AF30" s="46" t="str">
        <f t="shared" si="10"/>
        <v/>
      </c>
      <c r="AG30" s="128"/>
      <c r="AH30" s="132" t="str">
        <f t="shared" si="11"/>
        <v/>
      </c>
      <c r="AI30" s="40"/>
      <c r="AJ30" s="43" t="str">
        <f t="shared" si="12"/>
        <v/>
      </c>
      <c r="AK30" s="128"/>
      <c r="AL30" s="132" t="str">
        <f t="shared" si="13"/>
        <v/>
      </c>
      <c r="AM30" s="40"/>
      <c r="AN30" s="43" t="str">
        <f t="shared" si="14"/>
        <v/>
      </c>
      <c r="AO30" s="128"/>
      <c r="AP30" s="132" t="str">
        <f t="shared" si="15"/>
        <v/>
      </c>
      <c r="AQ30" s="40"/>
      <c r="AR30" s="43" t="str">
        <f t="shared" si="16"/>
        <v/>
      </c>
      <c r="AS30" s="128"/>
      <c r="AT30" s="132" t="str">
        <f t="shared" si="17"/>
        <v/>
      </c>
      <c r="AU30" s="40"/>
      <c r="AV30" s="43" t="str">
        <f t="shared" si="18"/>
        <v/>
      </c>
      <c r="AW30" s="128"/>
      <c r="AX30" s="132" t="str">
        <f t="shared" si="19"/>
        <v/>
      </c>
      <c r="AY30" s="40"/>
      <c r="AZ30" s="43" t="str">
        <f t="shared" si="20"/>
        <v/>
      </c>
      <c r="BA30" s="128"/>
      <c r="BB30" s="132" t="str">
        <f t="shared" si="42"/>
        <v/>
      </c>
      <c r="BC30" s="40"/>
      <c r="BD30" s="43" t="str">
        <f t="shared" si="22"/>
        <v/>
      </c>
      <c r="BE30" s="128"/>
      <c r="BF30" s="132" t="str">
        <f t="shared" si="23"/>
        <v/>
      </c>
      <c r="BG30" s="86"/>
      <c r="BH30" s="43" t="str">
        <f t="shared" si="24"/>
        <v/>
      </c>
      <c r="BI30" s="128"/>
      <c r="BJ30" s="132" t="str">
        <f t="shared" si="25"/>
        <v/>
      </c>
      <c r="BK30" s="40"/>
      <c r="BL30" s="43" t="str">
        <f t="shared" si="26"/>
        <v/>
      </c>
      <c r="BM30" s="128"/>
      <c r="BN30" s="132" t="str">
        <f t="shared" si="27"/>
        <v/>
      </c>
      <c r="BO30" s="40"/>
      <c r="BP30" s="43" t="str">
        <f t="shared" si="28"/>
        <v/>
      </c>
      <c r="BQ30" s="128"/>
      <c r="BR30" s="132" t="str">
        <f t="shared" si="29"/>
        <v/>
      </c>
      <c r="BS30" s="40"/>
      <c r="BT30" s="43" t="str">
        <f t="shared" si="30"/>
        <v/>
      </c>
      <c r="BU30" s="128"/>
      <c r="BV30" s="132" t="str">
        <f t="shared" si="31"/>
        <v/>
      </c>
      <c r="BW30" s="40"/>
      <c r="BX30" s="43" t="str">
        <f t="shared" si="32"/>
        <v/>
      </c>
      <c r="BY30" s="128"/>
      <c r="BZ30" s="132" t="str">
        <f t="shared" si="33"/>
        <v/>
      </c>
      <c r="CA30" s="40"/>
      <c r="CB30" s="43" t="str">
        <f t="shared" si="34"/>
        <v/>
      </c>
      <c r="CC30" s="128"/>
      <c r="CD30" s="132" t="str">
        <f t="shared" si="35"/>
        <v/>
      </c>
      <c r="CE30" s="40"/>
      <c r="CF30" s="43" t="str">
        <f t="shared" si="36"/>
        <v/>
      </c>
      <c r="CG30" s="128"/>
      <c r="CH30" s="132" t="str">
        <f t="shared" si="37"/>
        <v/>
      </c>
      <c r="CI30" s="40"/>
      <c r="CJ30" s="43" t="str">
        <f t="shared" si="38"/>
        <v/>
      </c>
      <c r="CK30" s="128"/>
      <c r="CL30" s="132" t="str">
        <f t="shared" si="39"/>
        <v/>
      </c>
      <c r="CM30" s="40"/>
      <c r="CN30" s="43" t="str">
        <f t="shared" si="40"/>
        <v/>
      </c>
      <c r="CO30" s="128"/>
      <c r="CP30" s="132" t="str">
        <f t="shared" si="41"/>
        <v/>
      </c>
      <c r="CQ30" s="24" t="s">
        <v>394</v>
      </c>
    </row>
    <row r="31" spans="1:95" ht="20" customHeight="1" x14ac:dyDescent="0.2">
      <c r="A31" s="67"/>
      <c r="B31" s="95"/>
      <c r="C31" s="25" t="s">
        <v>86</v>
      </c>
      <c r="D31" s="24" t="s">
        <v>63</v>
      </c>
      <c r="E31" s="24" t="s">
        <v>64</v>
      </c>
      <c r="F31" s="25">
        <v>2012</v>
      </c>
      <c r="G31" s="25">
        <v>83</v>
      </c>
      <c r="H31" s="29">
        <v>70</v>
      </c>
      <c r="I31" s="28" t="s">
        <v>197</v>
      </c>
      <c r="J31" s="39" t="s">
        <v>211</v>
      </c>
      <c r="K31" s="40"/>
      <c r="L31" s="43" t="str">
        <f t="shared" si="0"/>
        <v/>
      </c>
      <c r="M31" s="128"/>
      <c r="N31" s="128" t="str">
        <f t="shared" si="1"/>
        <v/>
      </c>
      <c r="O31" s="40">
        <v>8</v>
      </c>
      <c r="P31" s="43">
        <f t="shared" si="2"/>
        <v>11.428571428571429</v>
      </c>
      <c r="Q31" s="128">
        <v>8</v>
      </c>
      <c r="R31" s="132">
        <f t="shared" si="3"/>
        <v>0</v>
      </c>
      <c r="S31" s="40"/>
      <c r="T31" s="43" t="str">
        <f t="shared" si="4"/>
        <v/>
      </c>
      <c r="U31" s="128"/>
      <c r="V31" s="132" t="str">
        <f t="shared" si="5"/>
        <v/>
      </c>
      <c r="W31" s="40">
        <v>9</v>
      </c>
      <c r="X31" s="43">
        <f t="shared" si="6"/>
        <v>12.857142857142856</v>
      </c>
      <c r="Y31" s="128">
        <v>10</v>
      </c>
      <c r="Z31" s="132">
        <f t="shared" si="7"/>
        <v>-1</v>
      </c>
      <c r="AA31" s="40"/>
      <c r="AB31" s="43" t="str">
        <f t="shared" si="8"/>
        <v/>
      </c>
      <c r="AC31" s="128"/>
      <c r="AD31" s="132" t="str">
        <f t="shared" si="9"/>
        <v/>
      </c>
      <c r="AE31" s="86">
        <v>31</v>
      </c>
      <c r="AF31" s="43">
        <f t="shared" ref="AF31:AF64" si="43">IF((ISERROR((AE31/$H31)*100)), "", IF(AND(NOT(ISERROR((AE31/$H31)*100)),((AE31/$H31)*100) &lt;&gt; 0), (AE31/$H31)*100, ""))</f>
        <v>44.285714285714285</v>
      </c>
      <c r="AG31" s="128">
        <v>40</v>
      </c>
      <c r="AH31" s="132">
        <f t="shared" si="11"/>
        <v>-9</v>
      </c>
      <c r="AI31" s="40">
        <v>1</v>
      </c>
      <c r="AJ31" s="43">
        <f t="shared" si="12"/>
        <v>1.4285714285714286</v>
      </c>
      <c r="AK31" s="128">
        <v>5</v>
      </c>
      <c r="AL31" s="132">
        <f t="shared" si="13"/>
        <v>-4</v>
      </c>
      <c r="AM31" s="40"/>
      <c r="AN31" s="43" t="str">
        <f t="shared" si="14"/>
        <v/>
      </c>
      <c r="AO31" s="128"/>
      <c r="AP31" s="132" t="str">
        <f t="shared" si="15"/>
        <v/>
      </c>
      <c r="AQ31" s="40"/>
      <c r="AR31" s="43" t="str">
        <f t="shared" si="16"/>
        <v/>
      </c>
      <c r="AS31" s="128"/>
      <c r="AT31" s="132" t="str">
        <f t="shared" si="17"/>
        <v/>
      </c>
      <c r="AU31" s="40"/>
      <c r="AV31" s="43" t="str">
        <f t="shared" si="18"/>
        <v/>
      </c>
      <c r="AW31" s="128"/>
      <c r="AX31" s="132" t="str">
        <f t="shared" si="19"/>
        <v/>
      </c>
      <c r="AY31" s="40">
        <v>10</v>
      </c>
      <c r="AZ31" s="43">
        <f t="shared" si="20"/>
        <v>14.285714285714285</v>
      </c>
      <c r="BA31" s="128">
        <v>7</v>
      </c>
      <c r="BB31" s="132">
        <f t="shared" si="42"/>
        <v>3</v>
      </c>
      <c r="BC31" s="40"/>
      <c r="BD31" s="43" t="str">
        <f t="shared" si="22"/>
        <v/>
      </c>
      <c r="BE31" s="128"/>
      <c r="BF31" s="132" t="str">
        <f t="shared" si="23"/>
        <v/>
      </c>
      <c r="BG31" s="86">
        <v>1</v>
      </c>
      <c r="BH31" s="43">
        <f t="shared" si="24"/>
        <v>1.4285714285714286</v>
      </c>
      <c r="BI31" s="128">
        <v>1</v>
      </c>
      <c r="BJ31" s="132">
        <f t="shared" si="25"/>
        <v>0</v>
      </c>
      <c r="BK31" s="40">
        <v>3</v>
      </c>
      <c r="BL31" s="43">
        <f t="shared" si="26"/>
        <v>4.2857142857142856</v>
      </c>
      <c r="BM31" s="128">
        <v>11</v>
      </c>
      <c r="BN31" s="132">
        <f t="shared" si="27"/>
        <v>-8</v>
      </c>
      <c r="BO31" s="40"/>
      <c r="BP31" s="43" t="str">
        <f t="shared" si="28"/>
        <v/>
      </c>
      <c r="BQ31" s="128"/>
      <c r="BR31" s="132" t="str">
        <f t="shared" si="29"/>
        <v/>
      </c>
      <c r="BS31" s="40">
        <v>0</v>
      </c>
      <c r="BT31" s="43" t="str">
        <f t="shared" si="30"/>
        <v/>
      </c>
      <c r="BU31" s="128">
        <v>1</v>
      </c>
      <c r="BV31" s="132">
        <f t="shared" si="31"/>
        <v>-1</v>
      </c>
      <c r="BW31" s="40"/>
      <c r="BX31" s="43" t="str">
        <f t="shared" si="32"/>
        <v/>
      </c>
      <c r="BY31" s="128"/>
      <c r="BZ31" s="132" t="str">
        <f t="shared" si="33"/>
        <v/>
      </c>
      <c r="CA31" s="40"/>
      <c r="CB31" s="43" t="str">
        <f t="shared" si="34"/>
        <v/>
      </c>
      <c r="CC31" s="128"/>
      <c r="CD31" s="132" t="str">
        <f t="shared" si="35"/>
        <v/>
      </c>
      <c r="CE31" s="40"/>
      <c r="CF31" s="43" t="str">
        <f t="shared" si="36"/>
        <v/>
      </c>
      <c r="CG31" s="128"/>
      <c r="CH31" s="132" t="str">
        <f t="shared" si="37"/>
        <v/>
      </c>
      <c r="CI31" s="40"/>
      <c r="CJ31" s="43" t="str">
        <f t="shared" si="38"/>
        <v/>
      </c>
      <c r="CK31" s="128"/>
      <c r="CL31" s="132" t="str">
        <f t="shared" si="39"/>
        <v/>
      </c>
      <c r="CM31" s="40"/>
      <c r="CN31" s="43" t="str">
        <f t="shared" si="40"/>
        <v/>
      </c>
      <c r="CO31" s="128"/>
      <c r="CP31" s="132" t="str">
        <f t="shared" si="41"/>
        <v/>
      </c>
      <c r="CQ31" s="24" t="s">
        <v>461</v>
      </c>
    </row>
    <row r="32" spans="1:95" ht="20" customHeight="1" x14ac:dyDescent="0.2">
      <c r="A32" s="67"/>
      <c r="B32" s="97"/>
      <c r="C32" s="25" t="s">
        <v>86</v>
      </c>
      <c r="D32" s="24" t="s">
        <v>69</v>
      </c>
      <c r="E32" s="24" t="s">
        <v>70</v>
      </c>
      <c r="F32" s="25">
        <v>2004</v>
      </c>
      <c r="G32" s="25">
        <v>61</v>
      </c>
      <c r="H32" s="29">
        <v>15</v>
      </c>
      <c r="I32" s="28" t="s">
        <v>201</v>
      </c>
      <c r="J32" s="39" t="s">
        <v>212</v>
      </c>
      <c r="K32" s="40"/>
      <c r="L32" s="43" t="str">
        <f t="shared" si="0"/>
        <v/>
      </c>
      <c r="M32" s="128"/>
      <c r="N32" s="128" t="str">
        <f t="shared" si="1"/>
        <v/>
      </c>
      <c r="O32" s="40"/>
      <c r="P32" s="43" t="str">
        <f t="shared" si="2"/>
        <v/>
      </c>
      <c r="Q32" s="128"/>
      <c r="R32" s="132" t="str">
        <f t="shared" si="3"/>
        <v/>
      </c>
      <c r="S32" s="40"/>
      <c r="T32" s="43" t="str">
        <f t="shared" si="4"/>
        <v/>
      </c>
      <c r="U32" s="128"/>
      <c r="V32" s="132" t="str">
        <f t="shared" si="5"/>
        <v/>
      </c>
      <c r="W32" s="40"/>
      <c r="X32" s="43" t="str">
        <f t="shared" si="6"/>
        <v/>
      </c>
      <c r="Y32" s="128"/>
      <c r="Z32" s="132" t="str">
        <f t="shared" si="7"/>
        <v/>
      </c>
      <c r="AA32" s="40"/>
      <c r="AB32" s="43" t="str">
        <f t="shared" si="8"/>
        <v/>
      </c>
      <c r="AC32" s="128"/>
      <c r="AD32" s="132" t="str">
        <f t="shared" si="9"/>
        <v/>
      </c>
      <c r="AE32" s="86">
        <v>13</v>
      </c>
      <c r="AF32" s="43">
        <f t="shared" si="43"/>
        <v>86.666666666666671</v>
      </c>
      <c r="AG32" s="128">
        <v>4</v>
      </c>
      <c r="AH32" s="132">
        <f t="shared" si="11"/>
        <v>9</v>
      </c>
      <c r="AI32" s="40"/>
      <c r="AJ32" s="43" t="str">
        <f t="shared" si="12"/>
        <v/>
      </c>
      <c r="AK32" s="128"/>
      <c r="AL32" s="132" t="str">
        <f t="shared" si="13"/>
        <v/>
      </c>
      <c r="AM32" s="40"/>
      <c r="AN32" s="43" t="str">
        <f t="shared" si="14"/>
        <v/>
      </c>
      <c r="AO32" s="128"/>
      <c r="AP32" s="132" t="str">
        <f t="shared" si="15"/>
        <v/>
      </c>
      <c r="AQ32" s="40"/>
      <c r="AR32" s="43" t="str">
        <f t="shared" si="16"/>
        <v/>
      </c>
      <c r="AS32" s="128"/>
      <c r="AT32" s="132" t="str">
        <f t="shared" si="17"/>
        <v/>
      </c>
      <c r="AU32" s="40"/>
      <c r="AV32" s="43" t="str">
        <f t="shared" si="18"/>
        <v/>
      </c>
      <c r="AW32" s="128"/>
      <c r="AX32" s="132" t="str">
        <f t="shared" si="19"/>
        <v/>
      </c>
      <c r="AY32" s="40"/>
      <c r="AZ32" s="43" t="str">
        <f t="shared" si="20"/>
        <v/>
      </c>
      <c r="BA32" s="128"/>
      <c r="BB32" s="132" t="str">
        <f t="shared" si="42"/>
        <v/>
      </c>
      <c r="BC32" s="40"/>
      <c r="BD32" s="43" t="str">
        <f t="shared" si="22"/>
        <v/>
      </c>
      <c r="BE32" s="128"/>
      <c r="BF32" s="132" t="str">
        <f t="shared" si="23"/>
        <v/>
      </c>
      <c r="BG32" s="86"/>
      <c r="BH32" s="43" t="str">
        <f t="shared" si="24"/>
        <v/>
      </c>
      <c r="BI32" s="128"/>
      <c r="BJ32" s="132" t="str">
        <f t="shared" si="25"/>
        <v/>
      </c>
      <c r="BK32" s="40"/>
      <c r="BL32" s="43" t="str">
        <f t="shared" si="26"/>
        <v/>
      </c>
      <c r="BM32" s="128"/>
      <c r="BN32" s="132" t="str">
        <f t="shared" si="27"/>
        <v/>
      </c>
      <c r="BO32" s="40"/>
      <c r="BP32" s="43" t="str">
        <f t="shared" si="28"/>
        <v/>
      </c>
      <c r="BQ32" s="128"/>
      <c r="BR32" s="132" t="str">
        <f t="shared" si="29"/>
        <v/>
      </c>
      <c r="BS32" s="40"/>
      <c r="BT32" s="43" t="str">
        <f t="shared" si="30"/>
        <v/>
      </c>
      <c r="BU32" s="128"/>
      <c r="BV32" s="132" t="str">
        <f t="shared" si="31"/>
        <v/>
      </c>
      <c r="BW32" s="40"/>
      <c r="BX32" s="43" t="str">
        <f t="shared" si="32"/>
        <v/>
      </c>
      <c r="BY32" s="128"/>
      <c r="BZ32" s="132" t="str">
        <f t="shared" si="33"/>
        <v/>
      </c>
      <c r="CA32" s="40"/>
      <c r="CB32" s="43" t="str">
        <f t="shared" si="34"/>
        <v/>
      </c>
      <c r="CC32" s="128"/>
      <c r="CD32" s="132" t="str">
        <f t="shared" si="35"/>
        <v/>
      </c>
      <c r="CE32" s="40"/>
      <c r="CF32" s="43" t="str">
        <f t="shared" si="36"/>
        <v/>
      </c>
      <c r="CG32" s="128"/>
      <c r="CH32" s="132" t="str">
        <f t="shared" si="37"/>
        <v/>
      </c>
      <c r="CI32" s="40"/>
      <c r="CJ32" s="43" t="str">
        <f t="shared" si="38"/>
        <v/>
      </c>
      <c r="CK32" s="128"/>
      <c r="CL32" s="132" t="str">
        <f t="shared" si="39"/>
        <v/>
      </c>
      <c r="CM32" s="40"/>
      <c r="CN32" s="43" t="str">
        <f t="shared" si="40"/>
        <v/>
      </c>
      <c r="CO32" s="128"/>
      <c r="CP32" s="132" t="str">
        <f t="shared" si="41"/>
        <v/>
      </c>
      <c r="CQ32" s="24" t="s">
        <v>462</v>
      </c>
    </row>
    <row r="33" spans="1:95" ht="20" customHeight="1" x14ac:dyDescent="0.2">
      <c r="A33" s="67"/>
      <c r="B33" s="96"/>
      <c r="C33" s="57" t="s">
        <v>86</v>
      </c>
      <c r="D33" s="56" t="s">
        <v>71</v>
      </c>
      <c r="E33" s="56" t="s">
        <v>70</v>
      </c>
      <c r="F33" s="57">
        <v>2004</v>
      </c>
      <c r="G33" s="57">
        <v>45</v>
      </c>
      <c r="H33" s="29">
        <v>15</v>
      </c>
      <c r="I33" s="28" t="s">
        <v>201</v>
      </c>
      <c r="J33" s="39" t="s">
        <v>212</v>
      </c>
      <c r="K33" s="40"/>
      <c r="L33" s="43" t="str">
        <f t="shared" si="0"/>
        <v/>
      </c>
      <c r="M33" s="128"/>
      <c r="N33" s="128" t="str">
        <f t="shared" si="1"/>
        <v/>
      </c>
      <c r="O33" s="40"/>
      <c r="P33" s="43" t="str">
        <f t="shared" si="2"/>
        <v/>
      </c>
      <c r="Q33" s="128"/>
      <c r="R33" s="132" t="str">
        <f t="shared" si="3"/>
        <v/>
      </c>
      <c r="S33" s="40"/>
      <c r="T33" s="43" t="str">
        <f t="shared" si="4"/>
        <v/>
      </c>
      <c r="U33" s="128"/>
      <c r="V33" s="132" t="str">
        <f t="shared" si="5"/>
        <v/>
      </c>
      <c r="W33" s="40"/>
      <c r="X33" s="43" t="str">
        <f t="shared" si="6"/>
        <v/>
      </c>
      <c r="Y33" s="128"/>
      <c r="Z33" s="132" t="str">
        <f t="shared" si="7"/>
        <v/>
      </c>
      <c r="AA33" s="40"/>
      <c r="AB33" s="43" t="str">
        <f t="shared" si="8"/>
        <v/>
      </c>
      <c r="AC33" s="128"/>
      <c r="AD33" s="132" t="str">
        <f t="shared" si="9"/>
        <v/>
      </c>
      <c r="AE33" s="86"/>
      <c r="AF33" s="43" t="str">
        <f t="shared" si="43"/>
        <v/>
      </c>
      <c r="AG33" s="128"/>
      <c r="AH33" s="132" t="str">
        <f t="shared" si="11"/>
        <v/>
      </c>
      <c r="AI33" s="40"/>
      <c r="AJ33" s="43" t="str">
        <f t="shared" si="12"/>
        <v/>
      </c>
      <c r="AK33" s="128"/>
      <c r="AL33" s="132" t="str">
        <f t="shared" si="13"/>
        <v/>
      </c>
      <c r="AM33" s="40"/>
      <c r="AN33" s="43" t="str">
        <f t="shared" si="14"/>
        <v/>
      </c>
      <c r="AO33" s="128"/>
      <c r="AP33" s="132" t="str">
        <f t="shared" si="15"/>
        <v/>
      </c>
      <c r="AQ33" s="40"/>
      <c r="AR33" s="43" t="str">
        <f t="shared" si="16"/>
        <v/>
      </c>
      <c r="AS33" s="128"/>
      <c r="AT33" s="132" t="str">
        <f t="shared" si="17"/>
        <v/>
      </c>
      <c r="AU33" s="40"/>
      <c r="AV33" s="43" t="str">
        <f t="shared" si="18"/>
        <v/>
      </c>
      <c r="AW33" s="128"/>
      <c r="AX33" s="132" t="str">
        <f t="shared" si="19"/>
        <v/>
      </c>
      <c r="AY33" s="40"/>
      <c r="AZ33" s="43" t="str">
        <f t="shared" si="20"/>
        <v/>
      </c>
      <c r="BA33" s="128"/>
      <c r="BB33" s="132" t="str">
        <f t="shared" si="42"/>
        <v/>
      </c>
      <c r="BC33" s="40"/>
      <c r="BD33" s="43" t="str">
        <f t="shared" si="22"/>
        <v/>
      </c>
      <c r="BE33" s="128"/>
      <c r="BF33" s="132" t="str">
        <f t="shared" si="23"/>
        <v/>
      </c>
      <c r="BG33" s="86"/>
      <c r="BH33" s="43" t="str">
        <f t="shared" si="24"/>
        <v/>
      </c>
      <c r="BI33" s="128"/>
      <c r="BJ33" s="132" t="str">
        <f t="shared" si="25"/>
        <v/>
      </c>
      <c r="BK33" s="40"/>
      <c r="BL33" s="43" t="str">
        <f t="shared" si="26"/>
        <v/>
      </c>
      <c r="BM33" s="128"/>
      <c r="BN33" s="132" t="str">
        <f t="shared" si="27"/>
        <v/>
      </c>
      <c r="BO33" s="40"/>
      <c r="BP33" s="43" t="str">
        <f t="shared" si="28"/>
        <v/>
      </c>
      <c r="BQ33" s="128"/>
      <c r="BR33" s="132" t="str">
        <f t="shared" si="29"/>
        <v/>
      </c>
      <c r="BS33" s="40"/>
      <c r="BT33" s="43" t="str">
        <f t="shared" si="30"/>
        <v/>
      </c>
      <c r="BU33" s="128"/>
      <c r="BV33" s="132" t="str">
        <f t="shared" si="31"/>
        <v/>
      </c>
      <c r="BW33" s="40"/>
      <c r="BX33" s="43" t="str">
        <f t="shared" si="32"/>
        <v/>
      </c>
      <c r="BY33" s="128"/>
      <c r="BZ33" s="132" t="str">
        <f t="shared" si="33"/>
        <v/>
      </c>
      <c r="CA33" s="40"/>
      <c r="CB33" s="43" t="str">
        <f t="shared" si="34"/>
        <v/>
      </c>
      <c r="CC33" s="128"/>
      <c r="CD33" s="132" t="str">
        <f t="shared" si="35"/>
        <v/>
      </c>
      <c r="CE33" s="40"/>
      <c r="CF33" s="43" t="str">
        <f t="shared" si="36"/>
        <v/>
      </c>
      <c r="CG33" s="128"/>
      <c r="CH33" s="132" t="str">
        <f t="shared" si="37"/>
        <v/>
      </c>
      <c r="CI33" s="40"/>
      <c r="CJ33" s="43" t="str">
        <f t="shared" si="38"/>
        <v/>
      </c>
      <c r="CK33" s="128"/>
      <c r="CL33" s="132" t="str">
        <f t="shared" si="39"/>
        <v/>
      </c>
      <c r="CM33" s="40"/>
      <c r="CN33" s="43" t="str">
        <f t="shared" si="40"/>
        <v/>
      </c>
      <c r="CO33" s="128"/>
      <c r="CP33" s="132" t="str">
        <f t="shared" si="41"/>
        <v/>
      </c>
      <c r="CQ33" s="24" t="s">
        <v>463</v>
      </c>
    </row>
    <row r="34" spans="1:95" ht="20" customHeight="1" x14ac:dyDescent="0.2">
      <c r="A34" s="67"/>
      <c r="B34" s="96"/>
      <c r="C34" s="25" t="s">
        <v>86</v>
      </c>
      <c r="D34" s="24" t="s">
        <v>318</v>
      </c>
      <c r="E34" s="24" t="s">
        <v>319</v>
      </c>
      <c r="F34" s="25">
        <v>2013</v>
      </c>
      <c r="H34" s="29">
        <v>23</v>
      </c>
      <c r="I34" s="28"/>
      <c r="J34" s="39"/>
      <c r="K34" s="40"/>
      <c r="L34" s="43" t="str">
        <f t="shared" si="0"/>
        <v/>
      </c>
      <c r="M34" s="128"/>
      <c r="N34" s="128" t="str">
        <f t="shared" si="1"/>
        <v/>
      </c>
      <c r="O34" s="40"/>
      <c r="P34" s="43" t="str">
        <f t="shared" si="2"/>
        <v/>
      </c>
      <c r="Q34" s="128"/>
      <c r="R34" s="132" t="str">
        <f t="shared" si="3"/>
        <v/>
      </c>
      <c r="S34" s="40"/>
      <c r="T34" s="43" t="str">
        <f t="shared" si="4"/>
        <v/>
      </c>
      <c r="U34" s="128"/>
      <c r="V34" s="132" t="str">
        <f t="shared" si="5"/>
        <v/>
      </c>
      <c r="W34" s="40"/>
      <c r="X34" s="43" t="str">
        <f t="shared" si="6"/>
        <v/>
      </c>
      <c r="Y34" s="128"/>
      <c r="Z34" s="132" t="str">
        <f t="shared" si="7"/>
        <v/>
      </c>
      <c r="AA34" s="40"/>
      <c r="AB34" s="43" t="str">
        <f t="shared" si="8"/>
        <v/>
      </c>
      <c r="AC34" s="128"/>
      <c r="AD34" s="132" t="str">
        <f t="shared" si="9"/>
        <v/>
      </c>
      <c r="AE34" s="86"/>
      <c r="AF34" s="43" t="str">
        <f t="shared" si="43"/>
        <v/>
      </c>
      <c r="AG34" s="128"/>
      <c r="AH34" s="132" t="str">
        <f t="shared" si="11"/>
        <v/>
      </c>
      <c r="AI34" s="40"/>
      <c r="AJ34" s="43" t="str">
        <f t="shared" si="12"/>
        <v/>
      </c>
      <c r="AK34" s="128"/>
      <c r="AL34" s="132" t="str">
        <f t="shared" si="13"/>
        <v/>
      </c>
      <c r="AM34" s="40"/>
      <c r="AN34" s="43" t="str">
        <f t="shared" si="14"/>
        <v/>
      </c>
      <c r="AO34" s="128"/>
      <c r="AP34" s="132" t="str">
        <f t="shared" si="15"/>
        <v/>
      </c>
      <c r="AQ34" s="40"/>
      <c r="AR34" s="43" t="str">
        <f t="shared" si="16"/>
        <v/>
      </c>
      <c r="AS34" s="128"/>
      <c r="AT34" s="132" t="str">
        <f t="shared" si="17"/>
        <v/>
      </c>
      <c r="AU34" s="40"/>
      <c r="AV34" s="43" t="str">
        <f t="shared" si="18"/>
        <v/>
      </c>
      <c r="AW34" s="128"/>
      <c r="AX34" s="132" t="str">
        <f t="shared" si="19"/>
        <v/>
      </c>
      <c r="AY34" s="40"/>
      <c r="AZ34" s="43" t="str">
        <f t="shared" si="20"/>
        <v/>
      </c>
      <c r="BA34" s="128"/>
      <c r="BB34" s="132" t="str">
        <f t="shared" si="42"/>
        <v/>
      </c>
      <c r="BC34" s="40"/>
      <c r="BD34" s="43" t="str">
        <f t="shared" si="22"/>
        <v/>
      </c>
      <c r="BE34" s="128"/>
      <c r="BF34" s="132" t="str">
        <f t="shared" si="23"/>
        <v/>
      </c>
      <c r="BG34" s="86"/>
      <c r="BH34" s="43" t="str">
        <f t="shared" si="24"/>
        <v/>
      </c>
      <c r="BI34" s="128"/>
      <c r="BJ34" s="132" t="str">
        <f t="shared" si="25"/>
        <v/>
      </c>
      <c r="BK34" s="40"/>
      <c r="BL34" s="43" t="str">
        <f t="shared" si="26"/>
        <v/>
      </c>
      <c r="BM34" s="128"/>
      <c r="BN34" s="132" t="str">
        <f t="shared" si="27"/>
        <v/>
      </c>
      <c r="BO34" s="40"/>
      <c r="BP34" s="43" t="str">
        <f t="shared" si="28"/>
        <v/>
      </c>
      <c r="BQ34" s="128"/>
      <c r="BR34" s="132" t="str">
        <f t="shared" si="29"/>
        <v/>
      </c>
      <c r="BS34" s="40"/>
      <c r="BT34" s="43" t="str">
        <f t="shared" si="30"/>
        <v/>
      </c>
      <c r="BU34" s="128"/>
      <c r="BV34" s="132" t="str">
        <f t="shared" si="31"/>
        <v/>
      </c>
      <c r="BW34" s="40"/>
      <c r="BX34" s="43" t="str">
        <f t="shared" si="32"/>
        <v/>
      </c>
      <c r="BY34" s="128"/>
      <c r="BZ34" s="132" t="str">
        <f t="shared" si="33"/>
        <v/>
      </c>
      <c r="CA34" s="40"/>
      <c r="CB34" s="43" t="str">
        <f t="shared" si="34"/>
        <v/>
      </c>
      <c r="CC34" s="128"/>
      <c r="CD34" s="132" t="str">
        <f t="shared" si="35"/>
        <v/>
      </c>
      <c r="CE34" s="40"/>
      <c r="CF34" s="43" t="str">
        <f t="shared" si="36"/>
        <v/>
      </c>
      <c r="CG34" s="128"/>
      <c r="CH34" s="132" t="str">
        <f t="shared" si="37"/>
        <v/>
      </c>
      <c r="CI34" s="40"/>
      <c r="CJ34" s="43" t="str">
        <f t="shared" si="38"/>
        <v/>
      </c>
      <c r="CK34" s="128"/>
      <c r="CL34" s="132" t="str">
        <f t="shared" si="39"/>
        <v/>
      </c>
      <c r="CM34" s="40"/>
      <c r="CN34" s="43" t="str">
        <f t="shared" si="40"/>
        <v/>
      </c>
      <c r="CO34" s="128"/>
      <c r="CP34" s="132" t="str">
        <f t="shared" si="41"/>
        <v/>
      </c>
      <c r="CQ34" s="24" t="s">
        <v>464</v>
      </c>
    </row>
    <row r="35" spans="1:95" ht="20" customHeight="1" x14ac:dyDescent="0.2">
      <c r="A35" s="68"/>
      <c r="B35" s="25"/>
      <c r="C35" s="57" t="s">
        <v>86</v>
      </c>
      <c r="D35" s="56" t="s">
        <v>397</v>
      </c>
      <c r="E35" s="56" t="s">
        <v>73</v>
      </c>
      <c r="F35" s="57">
        <v>2014</v>
      </c>
      <c r="G35" s="57">
        <v>23</v>
      </c>
      <c r="H35" s="29">
        <v>28</v>
      </c>
      <c r="I35" s="28" t="s">
        <v>203</v>
      </c>
      <c r="J35" s="39" t="s">
        <v>213</v>
      </c>
      <c r="K35" s="40"/>
      <c r="L35" s="43" t="str">
        <f t="shared" si="0"/>
        <v/>
      </c>
      <c r="M35" s="128"/>
      <c r="N35" s="128" t="str">
        <f t="shared" si="1"/>
        <v/>
      </c>
      <c r="O35" s="40"/>
      <c r="P35" s="43" t="str">
        <f t="shared" si="2"/>
        <v/>
      </c>
      <c r="Q35" s="128"/>
      <c r="R35" s="132" t="str">
        <f t="shared" si="3"/>
        <v/>
      </c>
      <c r="S35" s="40"/>
      <c r="T35" s="43" t="str">
        <f t="shared" si="4"/>
        <v/>
      </c>
      <c r="U35" s="128"/>
      <c r="V35" s="132" t="str">
        <f t="shared" si="5"/>
        <v/>
      </c>
      <c r="W35" s="40"/>
      <c r="X35" s="43" t="str">
        <f t="shared" si="6"/>
        <v/>
      </c>
      <c r="Y35" s="128"/>
      <c r="Z35" s="132" t="str">
        <f t="shared" si="7"/>
        <v/>
      </c>
      <c r="AA35" s="40"/>
      <c r="AB35" s="43" t="str">
        <f t="shared" si="8"/>
        <v/>
      </c>
      <c r="AC35" s="128"/>
      <c r="AD35" s="132" t="str">
        <f t="shared" si="9"/>
        <v/>
      </c>
      <c r="AE35" s="86"/>
      <c r="AF35" s="43" t="str">
        <f t="shared" si="43"/>
        <v/>
      </c>
      <c r="AG35" s="128"/>
      <c r="AH35" s="132" t="str">
        <f t="shared" si="11"/>
        <v/>
      </c>
      <c r="AI35" s="40"/>
      <c r="AJ35" s="43" t="str">
        <f t="shared" si="12"/>
        <v/>
      </c>
      <c r="AK35" s="128"/>
      <c r="AL35" s="132" t="str">
        <f t="shared" si="13"/>
        <v/>
      </c>
      <c r="AM35" s="40"/>
      <c r="AN35" s="43" t="str">
        <f t="shared" si="14"/>
        <v/>
      </c>
      <c r="AO35" s="128"/>
      <c r="AP35" s="132" t="str">
        <f t="shared" si="15"/>
        <v/>
      </c>
      <c r="AQ35" s="40"/>
      <c r="AR35" s="43" t="str">
        <f t="shared" si="16"/>
        <v/>
      </c>
      <c r="AS35" s="128"/>
      <c r="AT35" s="132" t="str">
        <f t="shared" si="17"/>
        <v/>
      </c>
      <c r="AU35" s="40"/>
      <c r="AV35" s="43" t="str">
        <f t="shared" si="18"/>
        <v/>
      </c>
      <c r="AW35" s="128"/>
      <c r="AX35" s="132" t="str">
        <f t="shared" si="19"/>
        <v/>
      </c>
      <c r="AY35" s="40"/>
      <c r="AZ35" s="43" t="str">
        <f t="shared" si="20"/>
        <v/>
      </c>
      <c r="BA35" s="128"/>
      <c r="BB35" s="132" t="str">
        <f t="shared" si="42"/>
        <v/>
      </c>
      <c r="BC35" s="40"/>
      <c r="BD35" s="43" t="str">
        <f t="shared" si="22"/>
        <v/>
      </c>
      <c r="BE35" s="128"/>
      <c r="BF35" s="132" t="str">
        <f t="shared" si="23"/>
        <v/>
      </c>
      <c r="BG35" s="86"/>
      <c r="BH35" s="43" t="str">
        <f t="shared" si="24"/>
        <v/>
      </c>
      <c r="BI35" s="128"/>
      <c r="BJ35" s="132" t="str">
        <f t="shared" si="25"/>
        <v/>
      </c>
      <c r="BK35" s="40"/>
      <c r="BL35" s="43" t="str">
        <f t="shared" si="26"/>
        <v/>
      </c>
      <c r="BM35" s="128"/>
      <c r="BN35" s="132" t="str">
        <f t="shared" si="27"/>
        <v/>
      </c>
      <c r="BO35" s="40"/>
      <c r="BP35" s="43" t="str">
        <f t="shared" si="28"/>
        <v/>
      </c>
      <c r="BQ35" s="128"/>
      <c r="BR35" s="132" t="str">
        <f t="shared" si="29"/>
        <v/>
      </c>
      <c r="BS35" s="40"/>
      <c r="BT35" s="43" t="str">
        <f t="shared" si="30"/>
        <v/>
      </c>
      <c r="BU35" s="128"/>
      <c r="BV35" s="132" t="str">
        <f t="shared" si="31"/>
        <v/>
      </c>
      <c r="BW35" s="40"/>
      <c r="BX35" s="43" t="str">
        <f t="shared" si="32"/>
        <v/>
      </c>
      <c r="BY35" s="128"/>
      <c r="BZ35" s="132" t="str">
        <f t="shared" si="33"/>
        <v/>
      </c>
      <c r="CA35" s="40"/>
      <c r="CB35" s="43" t="str">
        <f t="shared" si="34"/>
        <v/>
      </c>
      <c r="CC35" s="128"/>
      <c r="CD35" s="132" t="str">
        <f t="shared" si="35"/>
        <v/>
      </c>
      <c r="CE35" s="40"/>
      <c r="CF35" s="43" t="str">
        <f t="shared" si="36"/>
        <v/>
      </c>
      <c r="CG35" s="128"/>
      <c r="CH35" s="132" t="str">
        <f t="shared" si="37"/>
        <v/>
      </c>
      <c r="CI35" s="40"/>
      <c r="CJ35" s="43" t="str">
        <f t="shared" si="38"/>
        <v/>
      </c>
      <c r="CK35" s="128"/>
      <c r="CL35" s="132" t="str">
        <f t="shared" si="39"/>
        <v/>
      </c>
      <c r="CM35" s="40"/>
      <c r="CN35" s="43" t="str">
        <f t="shared" si="40"/>
        <v/>
      </c>
      <c r="CO35" s="128"/>
      <c r="CP35" s="132" t="str">
        <f t="shared" si="41"/>
        <v/>
      </c>
      <c r="CQ35" s="24" t="s">
        <v>465</v>
      </c>
    </row>
    <row r="36" spans="1:95" ht="20" customHeight="1" x14ac:dyDescent="0.2">
      <c r="A36" s="67"/>
      <c r="B36" s="95"/>
      <c r="C36" s="25" t="s">
        <v>86</v>
      </c>
      <c r="D36" s="24" t="s">
        <v>321</v>
      </c>
      <c r="E36" s="24" t="s">
        <v>322</v>
      </c>
      <c r="F36" s="25">
        <v>2014</v>
      </c>
      <c r="H36" s="29">
        <v>28</v>
      </c>
      <c r="I36" s="28" t="s">
        <v>203</v>
      </c>
      <c r="J36" s="39" t="s">
        <v>213</v>
      </c>
      <c r="K36" s="40"/>
      <c r="L36" s="43" t="str">
        <f t="shared" si="0"/>
        <v/>
      </c>
      <c r="M36" s="128"/>
      <c r="N36" s="128" t="str">
        <f t="shared" si="1"/>
        <v/>
      </c>
      <c r="O36" s="40"/>
      <c r="P36" s="43" t="str">
        <f t="shared" si="2"/>
        <v/>
      </c>
      <c r="Q36" s="128"/>
      <c r="R36" s="132" t="str">
        <f t="shared" si="3"/>
        <v/>
      </c>
      <c r="S36" s="40"/>
      <c r="T36" s="43" t="str">
        <f t="shared" si="4"/>
        <v/>
      </c>
      <c r="U36" s="128"/>
      <c r="V36" s="132" t="str">
        <f t="shared" si="5"/>
        <v/>
      </c>
      <c r="W36" s="40"/>
      <c r="X36" s="43" t="str">
        <f t="shared" si="6"/>
        <v/>
      </c>
      <c r="Y36" s="128"/>
      <c r="Z36" s="132" t="str">
        <f t="shared" si="7"/>
        <v/>
      </c>
      <c r="AA36" s="40"/>
      <c r="AB36" s="43" t="str">
        <f t="shared" si="8"/>
        <v/>
      </c>
      <c r="AC36" s="128"/>
      <c r="AD36" s="132" t="str">
        <f t="shared" si="9"/>
        <v/>
      </c>
      <c r="AE36" s="86">
        <v>3</v>
      </c>
      <c r="AF36" s="43">
        <f t="shared" si="43"/>
        <v>10.714285714285714</v>
      </c>
      <c r="AG36" s="128">
        <v>3</v>
      </c>
      <c r="AH36" s="132">
        <f t="shared" si="11"/>
        <v>0</v>
      </c>
      <c r="AI36" s="40">
        <v>4</v>
      </c>
      <c r="AJ36" s="43">
        <f t="shared" si="12"/>
        <v>14.285714285714285</v>
      </c>
      <c r="AK36" s="128"/>
      <c r="AL36" s="132" t="str">
        <f t="shared" si="13"/>
        <v/>
      </c>
      <c r="AM36" s="40"/>
      <c r="AN36" s="43" t="str">
        <f t="shared" si="14"/>
        <v/>
      </c>
      <c r="AO36" s="128"/>
      <c r="AP36" s="132" t="str">
        <f t="shared" si="15"/>
        <v/>
      </c>
      <c r="AQ36" s="40"/>
      <c r="AR36" s="43" t="str">
        <f t="shared" si="16"/>
        <v/>
      </c>
      <c r="AS36" s="128"/>
      <c r="AT36" s="132" t="str">
        <f t="shared" si="17"/>
        <v/>
      </c>
      <c r="AU36" s="40"/>
      <c r="AV36" s="43" t="str">
        <f t="shared" si="18"/>
        <v/>
      </c>
      <c r="AW36" s="128"/>
      <c r="AX36" s="132" t="str">
        <f t="shared" si="19"/>
        <v/>
      </c>
      <c r="AY36" s="40">
        <v>3</v>
      </c>
      <c r="AZ36" s="43">
        <f t="shared" si="20"/>
        <v>10.714285714285714</v>
      </c>
      <c r="BA36" s="128">
        <v>7</v>
      </c>
      <c r="BB36" s="132">
        <f t="shared" si="42"/>
        <v>-4</v>
      </c>
      <c r="BC36" s="40"/>
      <c r="BD36" s="43" t="str">
        <f t="shared" si="22"/>
        <v/>
      </c>
      <c r="BE36" s="128"/>
      <c r="BF36" s="132" t="str">
        <f t="shared" si="23"/>
        <v/>
      </c>
      <c r="BG36" s="86">
        <v>5</v>
      </c>
      <c r="BH36" s="43">
        <f t="shared" si="24"/>
        <v>17.857142857142858</v>
      </c>
      <c r="BI36" s="128"/>
      <c r="BJ36" s="132" t="str">
        <f t="shared" si="25"/>
        <v/>
      </c>
      <c r="BK36" s="40">
        <v>0</v>
      </c>
      <c r="BL36" s="43" t="str">
        <f t="shared" si="26"/>
        <v/>
      </c>
      <c r="BM36" s="128">
        <v>3</v>
      </c>
      <c r="BN36" s="132">
        <f t="shared" si="27"/>
        <v>-3</v>
      </c>
      <c r="BO36" s="40"/>
      <c r="BP36" s="43" t="str">
        <f t="shared" si="28"/>
        <v/>
      </c>
      <c r="BQ36" s="128"/>
      <c r="BR36" s="132" t="str">
        <f t="shared" si="29"/>
        <v/>
      </c>
      <c r="BS36" s="40"/>
      <c r="BT36" s="43" t="str">
        <f t="shared" si="30"/>
        <v/>
      </c>
      <c r="BU36" s="128"/>
      <c r="BV36" s="132" t="str">
        <f t="shared" si="31"/>
        <v/>
      </c>
      <c r="BW36" s="40"/>
      <c r="BX36" s="43" t="str">
        <f t="shared" si="32"/>
        <v/>
      </c>
      <c r="BY36" s="128"/>
      <c r="BZ36" s="132" t="str">
        <f t="shared" si="33"/>
        <v/>
      </c>
      <c r="CA36" s="40"/>
      <c r="CB36" s="43" t="str">
        <f t="shared" si="34"/>
        <v/>
      </c>
      <c r="CC36" s="128"/>
      <c r="CD36" s="132" t="str">
        <f t="shared" si="35"/>
        <v/>
      </c>
      <c r="CE36" s="40"/>
      <c r="CF36" s="43" t="str">
        <f t="shared" si="36"/>
        <v/>
      </c>
      <c r="CG36" s="128"/>
      <c r="CH36" s="132" t="str">
        <f t="shared" si="37"/>
        <v/>
      </c>
      <c r="CI36" s="40"/>
      <c r="CJ36" s="43" t="str">
        <f t="shared" si="38"/>
        <v/>
      </c>
      <c r="CK36" s="128"/>
      <c r="CL36" s="132" t="str">
        <f t="shared" si="39"/>
        <v/>
      </c>
      <c r="CM36" s="40"/>
      <c r="CN36" s="43" t="str">
        <f t="shared" si="40"/>
        <v/>
      </c>
      <c r="CO36" s="128"/>
      <c r="CP36" s="132" t="str">
        <f t="shared" si="41"/>
        <v/>
      </c>
      <c r="CQ36" s="24" t="s">
        <v>398</v>
      </c>
    </row>
    <row r="37" spans="1:95" ht="20" customHeight="1" x14ac:dyDescent="0.2">
      <c r="A37" s="67"/>
      <c r="B37" s="96"/>
      <c r="C37" s="25" t="s">
        <v>86</v>
      </c>
      <c r="D37" s="24" t="s">
        <v>325</v>
      </c>
      <c r="E37" s="24" t="s">
        <v>326</v>
      </c>
      <c r="F37" s="25">
        <v>2015</v>
      </c>
      <c r="H37" s="29">
        <v>10</v>
      </c>
      <c r="I37" s="28" t="s">
        <v>386</v>
      </c>
      <c r="J37" s="39" t="s">
        <v>399</v>
      </c>
      <c r="K37" s="40"/>
      <c r="L37" s="43" t="str">
        <f t="shared" si="0"/>
        <v/>
      </c>
      <c r="M37" s="128"/>
      <c r="N37" s="128" t="str">
        <f t="shared" si="1"/>
        <v/>
      </c>
      <c r="O37" s="40"/>
      <c r="P37" s="43" t="str">
        <f t="shared" si="2"/>
        <v/>
      </c>
      <c r="Q37" s="128"/>
      <c r="R37" s="132" t="str">
        <f t="shared" si="3"/>
        <v/>
      </c>
      <c r="S37" s="40"/>
      <c r="T37" s="43" t="str">
        <f t="shared" si="4"/>
        <v/>
      </c>
      <c r="U37" s="128"/>
      <c r="V37" s="132" t="str">
        <f t="shared" si="5"/>
        <v/>
      </c>
      <c r="W37" s="40"/>
      <c r="X37" s="43" t="str">
        <f t="shared" si="6"/>
        <v/>
      </c>
      <c r="Y37" s="128"/>
      <c r="Z37" s="132" t="str">
        <f t="shared" si="7"/>
        <v/>
      </c>
      <c r="AA37" s="40"/>
      <c r="AB37" s="43" t="str">
        <f t="shared" si="8"/>
        <v/>
      </c>
      <c r="AC37" s="128"/>
      <c r="AD37" s="132" t="str">
        <f t="shared" si="9"/>
        <v/>
      </c>
      <c r="AE37" s="86"/>
      <c r="AF37" s="43" t="str">
        <f t="shared" si="43"/>
        <v/>
      </c>
      <c r="AG37" s="128"/>
      <c r="AH37" s="132" t="str">
        <f t="shared" si="11"/>
        <v/>
      </c>
      <c r="AI37" s="40"/>
      <c r="AJ37" s="43" t="str">
        <f t="shared" si="12"/>
        <v/>
      </c>
      <c r="AK37" s="128"/>
      <c r="AL37" s="132" t="str">
        <f t="shared" si="13"/>
        <v/>
      </c>
      <c r="AM37" s="40"/>
      <c r="AN37" s="43" t="str">
        <f t="shared" si="14"/>
        <v/>
      </c>
      <c r="AO37" s="128"/>
      <c r="AP37" s="132" t="str">
        <f t="shared" si="15"/>
        <v/>
      </c>
      <c r="AQ37" s="40"/>
      <c r="AR37" s="43" t="str">
        <f t="shared" si="16"/>
        <v/>
      </c>
      <c r="AS37" s="128"/>
      <c r="AT37" s="132" t="str">
        <f t="shared" si="17"/>
        <v/>
      </c>
      <c r="AU37" s="40"/>
      <c r="AV37" s="43" t="str">
        <f t="shared" si="18"/>
        <v/>
      </c>
      <c r="AW37" s="128"/>
      <c r="AX37" s="132" t="str">
        <f t="shared" si="19"/>
        <v/>
      </c>
      <c r="AY37" s="40"/>
      <c r="AZ37" s="43" t="str">
        <f t="shared" si="20"/>
        <v/>
      </c>
      <c r="BA37" s="128"/>
      <c r="BB37" s="132" t="str">
        <f t="shared" si="42"/>
        <v/>
      </c>
      <c r="BC37" s="40"/>
      <c r="BD37" s="43" t="str">
        <f t="shared" si="22"/>
        <v/>
      </c>
      <c r="BE37" s="128"/>
      <c r="BF37" s="132" t="str">
        <f t="shared" si="23"/>
        <v/>
      </c>
      <c r="BG37" s="86"/>
      <c r="BH37" s="43" t="str">
        <f t="shared" si="24"/>
        <v/>
      </c>
      <c r="BI37" s="128"/>
      <c r="BJ37" s="132" t="str">
        <f t="shared" si="25"/>
        <v/>
      </c>
      <c r="BK37" s="40"/>
      <c r="BL37" s="43" t="str">
        <f t="shared" si="26"/>
        <v/>
      </c>
      <c r="BM37" s="128"/>
      <c r="BN37" s="132" t="str">
        <f t="shared" si="27"/>
        <v/>
      </c>
      <c r="BO37" s="40"/>
      <c r="BP37" s="43" t="str">
        <f t="shared" si="28"/>
        <v/>
      </c>
      <c r="BQ37" s="128"/>
      <c r="BR37" s="132" t="str">
        <f t="shared" si="29"/>
        <v/>
      </c>
      <c r="BS37" s="40"/>
      <c r="BT37" s="43" t="str">
        <f t="shared" si="30"/>
        <v/>
      </c>
      <c r="BU37" s="128"/>
      <c r="BV37" s="132" t="str">
        <f t="shared" si="31"/>
        <v/>
      </c>
      <c r="BW37" s="40"/>
      <c r="BX37" s="43" t="str">
        <f t="shared" si="32"/>
        <v/>
      </c>
      <c r="BY37" s="128"/>
      <c r="BZ37" s="132" t="str">
        <f t="shared" si="33"/>
        <v/>
      </c>
      <c r="CA37" s="40"/>
      <c r="CB37" s="43" t="str">
        <f t="shared" si="34"/>
        <v/>
      </c>
      <c r="CC37" s="128"/>
      <c r="CD37" s="132" t="str">
        <f t="shared" si="35"/>
        <v/>
      </c>
      <c r="CE37" s="40"/>
      <c r="CF37" s="43" t="str">
        <f t="shared" si="36"/>
        <v/>
      </c>
      <c r="CG37" s="128"/>
      <c r="CH37" s="132" t="str">
        <f t="shared" si="37"/>
        <v/>
      </c>
      <c r="CI37" s="40"/>
      <c r="CJ37" s="43" t="str">
        <f t="shared" si="38"/>
        <v/>
      </c>
      <c r="CK37" s="128"/>
      <c r="CL37" s="132" t="str">
        <f t="shared" si="39"/>
        <v/>
      </c>
      <c r="CM37" s="40"/>
      <c r="CN37" s="43" t="str">
        <f t="shared" si="40"/>
        <v/>
      </c>
      <c r="CO37" s="128"/>
      <c r="CP37" s="132" t="str">
        <f t="shared" si="41"/>
        <v/>
      </c>
    </row>
    <row r="38" spans="1:95" ht="20" customHeight="1" x14ac:dyDescent="0.2">
      <c r="A38" s="67"/>
      <c r="B38" s="95"/>
      <c r="C38" s="25" t="s">
        <v>86</v>
      </c>
      <c r="D38" s="24" t="s">
        <v>80</v>
      </c>
      <c r="E38" s="24" t="s">
        <v>81</v>
      </c>
      <c r="F38" s="25">
        <v>2015</v>
      </c>
      <c r="G38" s="25">
        <v>10</v>
      </c>
      <c r="H38" s="29">
        <v>11</v>
      </c>
      <c r="I38" s="28" t="s">
        <v>215</v>
      </c>
      <c r="J38" s="39" t="s">
        <v>176</v>
      </c>
      <c r="K38" s="40"/>
      <c r="L38" s="43" t="str">
        <f t="shared" si="0"/>
        <v/>
      </c>
      <c r="M38" s="128"/>
      <c r="N38" s="128" t="str">
        <f t="shared" si="1"/>
        <v/>
      </c>
      <c r="O38" s="40"/>
      <c r="P38" s="43" t="str">
        <f t="shared" si="2"/>
        <v/>
      </c>
      <c r="Q38" s="128"/>
      <c r="R38" s="132" t="str">
        <f t="shared" si="3"/>
        <v/>
      </c>
      <c r="S38" s="40"/>
      <c r="T38" s="43" t="str">
        <f t="shared" si="4"/>
        <v/>
      </c>
      <c r="U38" s="128"/>
      <c r="V38" s="132" t="str">
        <f t="shared" si="5"/>
        <v/>
      </c>
      <c r="W38" s="40"/>
      <c r="X38" s="43" t="str">
        <f t="shared" si="6"/>
        <v/>
      </c>
      <c r="Y38" s="128"/>
      <c r="Z38" s="132" t="str">
        <f t="shared" si="7"/>
        <v/>
      </c>
      <c r="AA38" s="40"/>
      <c r="AB38" s="43" t="str">
        <f t="shared" si="8"/>
        <v/>
      </c>
      <c r="AC38" s="128"/>
      <c r="AD38" s="132" t="str">
        <f t="shared" si="9"/>
        <v/>
      </c>
      <c r="AE38" s="86"/>
      <c r="AF38" s="43" t="str">
        <f t="shared" si="43"/>
        <v/>
      </c>
      <c r="AG38" s="128"/>
      <c r="AH38" s="132" t="str">
        <f t="shared" si="11"/>
        <v/>
      </c>
      <c r="AI38" s="40"/>
      <c r="AJ38" s="43" t="str">
        <f t="shared" si="12"/>
        <v/>
      </c>
      <c r="AK38" s="128"/>
      <c r="AL38" s="132" t="str">
        <f t="shared" si="13"/>
        <v/>
      </c>
      <c r="AM38" s="40"/>
      <c r="AN38" s="43" t="str">
        <f t="shared" si="14"/>
        <v/>
      </c>
      <c r="AO38" s="128"/>
      <c r="AP38" s="132" t="str">
        <f t="shared" si="15"/>
        <v/>
      </c>
      <c r="AQ38" s="40"/>
      <c r="AR38" s="43" t="str">
        <f t="shared" si="16"/>
        <v/>
      </c>
      <c r="AS38" s="128"/>
      <c r="AT38" s="132" t="str">
        <f t="shared" si="17"/>
        <v/>
      </c>
      <c r="AU38" s="40"/>
      <c r="AV38" s="43" t="str">
        <f t="shared" si="18"/>
        <v/>
      </c>
      <c r="AW38" s="128"/>
      <c r="AX38" s="132" t="str">
        <f t="shared" si="19"/>
        <v/>
      </c>
      <c r="AY38" s="45">
        <v>1</v>
      </c>
      <c r="AZ38" s="46">
        <f t="shared" si="20"/>
        <v>9.0909090909090917</v>
      </c>
      <c r="BA38" s="128"/>
      <c r="BB38" s="132" t="str">
        <f t="shared" si="42"/>
        <v/>
      </c>
      <c r="BC38" s="40"/>
      <c r="BD38" s="43" t="str">
        <f t="shared" si="22"/>
        <v/>
      </c>
      <c r="BE38" s="128"/>
      <c r="BF38" s="132" t="str">
        <f t="shared" si="23"/>
        <v/>
      </c>
      <c r="BG38" s="86">
        <v>3</v>
      </c>
      <c r="BH38" s="43">
        <f t="shared" si="24"/>
        <v>27.27272727272727</v>
      </c>
      <c r="BI38" s="128">
        <v>2</v>
      </c>
      <c r="BJ38" s="132">
        <f t="shared" si="25"/>
        <v>1</v>
      </c>
      <c r="BK38" s="40"/>
      <c r="BL38" s="43" t="str">
        <f t="shared" si="26"/>
        <v/>
      </c>
      <c r="BM38" s="128"/>
      <c r="BN38" s="132" t="str">
        <f t="shared" si="27"/>
        <v/>
      </c>
      <c r="BO38" s="40"/>
      <c r="BP38" s="43" t="str">
        <f t="shared" si="28"/>
        <v/>
      </c>
      <c r="BQ38" s="128"/>
      <c r="BR38" s="132" t="str">
        <f t="shared" si="29"/>
        <v/>
      </c>
      <c r="BS38" s="40"/>
      <c r="BT38" s="43" t="str">
        <f t="shared" si="30"/>
        <v/>
      </c>
      <c r="BU38" s="128"/>
      <c r="BV38" s="132" t="str">
        <f t="shared" si="31"/>
        <v/>
      </c>
      <c r="BW38" s="40"/>
      <c r="BX38" s="43" t="str">
        <f t="shared" si="32"/>
        <v/>
      </c>
      <c r="BY38" s="128"/>
      <c r="BZ38" s="132" t="str">
        <f t="shared" si="33"/>
        <v/>
      </c>
      <c r="CA38" s="40"/>
      <c r="CB38" s="43" t="str">
        <f t="shared" si="34"/>
        <v/>
      </c>
      <c r="CC38" s="128"/>
      <c r="CD38" s="132" t="str">
        <f t="shared" si="35"/>
        <v/>
      </c>
      <c r="CE38" s="40"/>
      <c r="CF38" s="43" t="str">
        <f t="shared" si="36"/>
        <v/>
      </c>
      <c r="CG38" s="128"/>
      <c r="CH38" s="132" t="str">
        <f t="shared" si="37"/>
        <v/>
      </c>
      <c r="CI38" s="40"/>
      <c r="CJ38" s="43" t="str">
        <f t="shared" si="38"/>
        <v/>
      </c>
      <c r="CK38" s="128"/>
      <c r="CL38" s="132" t="str">
        <f t="shared" si="39"/>
        <v/>
      </c>
      <c r="CM38" s="40"/>
      <c r="CN38" s="43" t="str">
        <f t="shared" si="40"/>
        <v/>
      </c>
      <c r="CO38" s="128"/>
      <c r="CP38" s="132" t="str">
        <f t="shared" si="41"/>
        <v/>
      </c>
      <c r="CQ38" s="24" t="s">
        <v>214</v>
      </c>
    </row>
    <row r="39" spans="1:95" ht="20" customHeight="1" x14ac:dyDescent="0.2">
      <c r="A39" s="68"/>
      <c r="B39" s="96"/>
      <c r="C39" s="25" t="s">
        <v>86</v>
      </c>
      <c r="D39" s="24" t="s">
        <v>92</v>
      </c>
      <c r="E39" s="24" t="s">
        <v>93</v>
      </c>
      <c r="F39" s="25">
        <v>2001</v>
      </c>
      <c r="G39" s="25">
        <v>170</v>
      </c>
      <c r="H39" s="29">
        <v>22</v>
      </c>
      <c r="I39" s="28" t="s">
        <v>189</v>
      </c>
      <c r="J39" s="39" t="s">
        <v>176</v>
      </c>
      <c r="K39" s="40"/>
      <c r="L39" s="43" t="str">
        <f t="shared" si="0"/>
        <v/>
      </c>
      <c r="M39" s="128"/>
      <c r="N39" s="128" t="str">
        <f t="shared" si="1"/>
        <v/>
      </c>
      <c r="O39" s="40"/>
      <c r="P39" s="43" t="str">
        <f t="shared" si="2"/>
        <v/>
      </c>
      <c r="Q39" s="128"/>
      <c r="R39" s="132" t="str">
        <f t="shared" si="3"/>
        <v/>
      </c>
      <c r="S39" s="40"/>
      <c r="T39" s="43" t="str">
        <f t="shared" si="4"/>
        <v/>
      </c>
      <c r="U39" s="128"/>
      <c r="V39" s="132" t="str">
        <f t="shared" si="5"/>
        <v/>
      </c>
      <c r="W39" s="40"/>
      <c r="X39" s="43" t="str">
        <f t="shared" si="6"/>
        <v/>
      </c>
      <c r="Y39" s="128"/>
      <c r="Z39" s="132" t="str">
        <f t="shared" si="7"/>
        <v/>
      </c>
      <c r="AA39" s="40"/>
      <c r="AB39" s="43" t="str">
        <f t="shared" si="8"/>
        <v/>
      </c>
      <c r="AC39" s="128"/>
      <c r="AD39" s="132" t="str">
        <f t="shared" si="9"/>
        <v/>
      </c>
      <c r="AE39" s="86"/>
      <c r="AF39" s="43" t="str">
        <f t="shared" si="43"/>
        <v/>
      </c>
      <c r="AG39" s="128"/>
      <c r="AH39" s="132" t="str">
        <f t="shared" si="11"/>
        <v/>
      </c>
      <c r="AI39" s="40"/>
      <c r="AJ39" s="43" t="str">
        <f t="shared" si="12"/>
        <v/>
      </c>
      <c r="AK39" s="128"/>
      <c r="AL39" s="132" t="str">
        <f t="shared" si="13"/>
        <v/>
      </c>
      <c r="AM39" s="40"/>
      <c r="AN39" s="43" t="str">
        <f t="shared" si="14"/>
        <v/>
      </c>
      <c r="AO39" s="128"/>
      <c r="AP39" s="132" t="str">
        <f t="shared" si="15"/>
        <v/>
      </c>
      <c r="AQ39" s="40"/>
      <c r="AR39" s="43" t="str">
        <f t="shared" si="16"/>
        <v/>
      </c>
      <c r="AS39" s="128"/>
      <c r="AT39" s="132" t="str">
        <f t="shared" si="17"/>
        <v/>
      </c>
      <c r="AU39" s="40"/>
      <c r="AV39" s="43" t="str">
        <f t="shared" si="18"/>
        <v/>
      </c>
      <c r="AW39" s="128"/>
      <c r="AX39" s="132" t="str">
        <f t="shared" si="19"/>
        <v/>
      </c>
      <c r="AY39" s="40"/>
      <c r="AZ39" s="43" t="str">
        <f t="shared" si="20"/>
        <v/>
      </c>
      <c r="BA39" s="128"/>
      <c r="BB39" s="132" t="str">
        <f t="shared" si="42"/>
        <v/>
      </c>
      <c r="BC39" s="40"/>
      <c r="BD39" s="43" t="str">
        <f t="shared" si="22"/>
        <v/>
      </c>
      <c r="BE39" s="128"/>
      <c r="BF39" s="132" t="str">
        <f t="shared" si="23"/>
        <v/>
      </c>
      <c r="BG39" s="86"/>
      <c r="BH39" s="43" t="str">
        <f t="shared" si="24"/>
        <v/>
      </c>
      <c r="BI39" s="128"/>
      <c r="BJ39" s="132" t="str">
        <f t="shared" si="25"/>
        <v/>
      </c>
      <c r="BK39" s="40"/>
      <c r="BL39" s="43" t="str">
        <f t="shared" si="26"/>
        <v/>
      </c>
      <c r="BM39" s="128"/>
      <c r="BN39" s="132" t="str">
        <f t="shared" si="27"/>
        <v/>
      </c>
      <c r="BO39" s="40"/>
      <c r="BP39" s="43" t="str">
        <f t="shared" si="28"/>
        <v/>
      </c>
      <c r="BQ39" s="128"/>
      <c r="BR39" s="132" t="str">
        <f t="shared" si="29"/>
        <v/>
      </c>
      <c r="BS39" s="40"/>
      <c r="BT39" s="43" t="str">
        <f t="shared" si="30"/>
        <v/>
      </c>
      <c r="BU39" s="128"/>
      <c r="BV39" s="132" t="str">
        <f t="shared" si="31"/>
        <v/>
      </c>
      <c r="BW39" s="40"/>
      <c r="BX39" s="43" t="str">
        <f t="shared" si="32"/>
        <v/>
      </c>
      <c r="BY39" s="128"/>
      <c r="BZ39" s="132" t="str">
        <f t="shared" si="33"/>
        <v/>
      </c>
      <c r="CA39" s="40"/>
      <c r="CB39" s="43" t="str">
        <f t="shared" si="34"/>
        <v/>
      </c>
      <c r="CC39" s="128"/>
      <c r="CD39" s="132" t="str">
        <f t="shared" si="35"/>
        <v/>
      </c>
      <c r="CE39" s="40"/>
      <c r="CF39" s="43" t="str">
        <f t="shared" si="36"/>
        <v/>
      </c>
      <c r="CG39" s="128"/>
      <c r="CH39" s="132" t="str">
        <f t="shared" si="37"/>
        <v/>
      </c>
      <c r="CI39" s="40"/>
      <c r="CJ39" s="43" t="str">
        <f t="shared" si="38"/>
        <v/>
      </c>
      <c r="CK39" s="128"/>
      <c r="CL39" s="132" t="str">
        <f t="shared" si="39"/>
        <v/>
      </c>
      <c r="CM39" s="40"/>
      <c r="CN39" s="43" t="str">
        <f t="shared" si="40"/>
        <v/>
      </c>
      <c r="CO39" s="128"/>
      <c r="CP39" s="132" t="str">
        <f t="shared" si="41"/>
        <v/>
      </c>
      <c r="CQ39" s="24" t="s">
        <v>196</v>
      </c>
    </row>
    <row r="40" spans="1:95" ht="20" customHeight="1" x14ac:dyDescent="0.2">
      <c r="A40" s="67"/>
      <c r="B40" s="96"/>
      <c r="C40" s="25" t="s">
        <v>86</v>
      </c>
      <c r="D40" s="24" t="s">
        <v>329</v>
      </c>
      <c r="E40" s="24" t="s">
        <v>330</v>
      </c>
      <c r="F40" s="25">
        <v>2009</v>
      </c>
      <c r="H40" s="29">
        <v>20</v>
      </c>
      <c r="I40" s="28" t="s">
        <v>238</v>
      </c>
      <c r="J40" s="39" t="s">
        <v>211</v>
      </c>
      <c r="K40" s="40"/>
      <c r="L40" s="43" t="str">
        <f t="shared" si="0"/>
        <v/>
      </c>
      <c r="M40" s="128"/>
      <c r="N40" s="128" t="str">
        <f t="shared" si="1"/>
        <v/>
      </c>
      <c r="O40" s="40"/>
      <c r="P40" s="43" t="str">
        <f t="shared" si="2"/>
        <v/>
      </c>
      <c r="Q40" s="128"/>
      <c r="R40" s="132" t="str">
        <f t="shared" si="3"/>
        <v/>
      </c>
      <c r="S40" s="40"/>
      <c r="T40" s="43" t="str">
        <f t="shared" si="4"/>
        <v/>
      </c>
      <c r="U40" s="128"/>
      <c r="V40" s="132" t="str">
        <f t="shared" si="5"/>
        <v/>
      </c>
      <c r="W40" s="40"/>
      <c r="X40" s="43" t="str">
        <f t="shared" si="6"/>
        <v/>
      </c>
      <c r="Y40" s="128"/>
      <c r="Z40" s="132" t="str">
        <f t="shared" si="7"/>
        <v/>
      </c>
      <c r="AA40" s="40"/>
      <c r="AB40" s="43" t="str">
        <f t="shared" si="8"/>
        <v/>
      </c>
      <c r="AC40" s="128"/>
      <c r="AD40" s="132" t="str">
        <f t="shared" si="9"/>
        <v/>
      </c>
      <c r="AE40" s="86"/>
      <c r="AF40" s="43" t="str">
        <f t="shared" si="43"/>
        <v/>
      </c>
      <c r="AG40" s="128"/>
      <c r="AH40" s="132" t="str">
        <f t="shared" si="11"/>
        <v/>
      </c>
      <c r="AI40" s="40"/>
      <c r="AJ40" s="43" t="str">
        <f t="shared" si="12"/>
        <v/>
      </c>
      <c r="AK40" s="128"/>
      <c r="AL40" s="132" t="str">
        <f t="shared" si="13"/>
        <v/>
      </c>
      <c r="AM40" s="40"/>
      <c r="AN40" s="43" t="str">
        <f t="shared" si="14"/>
        <v/>
      </c>
      <c r="AO40" s="128"/>
      <c r="AP40" s="132" t="str">
        <f t="shared" si="15"/>
        <v/>
      </c>
      <c r="AQ40" s="40"/>
      <c r="AR40" s="43" t="str">
        <f t="shared" si="16"/>
        <v/>
      </c>
      <c r="AS40" s="128"/>
      <c r="AT40" s="132" t="str">
        <f t="shared" si="17"/>
        <v/>
      </c>
      <c r="AU40" s="40"/>
      <c r="AV40" s="43" t="str">
        <f t="shared" si="18"/>
        <v/>
      </c>
      <c r="AW40" s="128"/>
      <c r="AX40" s="132" t="str">
        <f t="shared" si="19"/>
        <v/>
      </c>
      <c r="AY40" s="40"/>
      <c r="AZ40" s="43" t="str">
        <f t="shared" si="20"/>
        <v/>
      </c>
      <c r="BA40" s="128"/>
      <c r="BB40" s="132" t="str">
        <f t="shared" si="42"/>
        <v/>
      </c>
      <c r="BC40" s="40"/>
      <c r="BD40" s="43" t="str">
        <f t="shared" si="22"/>
        <v/>
      </c>
      <c r="BE40" s="128"/>
      <c r="BF40" s="132" t="str">
        <f t="shared" si="23"/>
        <v/>
      </c>
      <c r="BG40" s="86"/>
      <c r="BH40" s="43" t="str">
        <f t="shared" si="24"/>
        <v/>
      </c>
      <c r="BI40" s="128"/>
      <c r="BJ40" s="132" t="str">
        <f t="shared" si="25"/>
        <v/>
      </c>
      <c r="BK40" s="40"/>
      <c r="BL40" s="43" t="str">
        <f t="shared" si="26"/>
        <v/>
      </c>
      <c r="BM40" s="128"/>
      <c r="BN40" s="132" t="str">
        <f t="shared" si="27"/>
        <v/>
      </c>
      <c r="BO40" s="40"/>
      <c r="BP40" s="43" t="str">
        <f t="shared" si="28"/>
        <v/>
      </c>
      <c r="BQ40" s="128"/>
      <c r="BR40" s="132" t="str">
        <f t="shared" si="29"/>
        <v/>
      </c>
      <c r="BS40" s="40"/>
      <c r="BT40" s="43" t="str">
        <f t="shared" si="30"/>
        <v/>
      </c>
      <c r="BU40" s="128"/>
      <c r="BV40" s="132" t="str">
        <f t="shared" si="31"/>
        <v/>
      </c>
      <c r="BW40" s="40"/>
      <c r="BX40" s="43" t="str">
        <f t="shared" si="32"/>
        <v/>
      </c>
      <c r="BY40" s="128"/>
      <c r="BZ40" s="132" t="str">
        <f t="shared" si="33"/>
        <v/>
      </c>
      <c r="CA40" s="40"/>
      <c r="CB40" s="43" t="str">
        <f t="shared" si="34"/>
        <v/>
      </c>
      <c r="CC40" s="128"/>
      <c r="CD40" s="132" t="str">
        <f t="shared" si="35"/>
        <v/>
      </c>
      <c r="CE40" s="40"/>
      <c r="CF40" s="43" t="str">
        <f t="shared" si="36"/>
        <v/>
      </c>
      <c r="CG40" s="128"/>
      <c r="CH40" s="132" t="str">
        <f t="shared" si="37"/>
        <v/>
      </c>
      <c r="CI40" s="40"/>
      <c r="CJ40" s="43" t="str">
        <f t="shared" si="38"/>
        <v/>
      </c>
      <c r="CK40" s="128"/>
      <c r="CL40" s="132" t="str">
        <f t="shared" si="39"/>
        <v/>
      </c>
      <c r="CM40" s="40"/>
      <c r="CN40" s="43" t="str">
        <f t="shared" si="40"/>
        <v/>
      </c>
      <c r="CO40" s="128"/>
      <c r="CP40" s="132" t="str">
        <f t="shared" si="41"/>
        <v/>
      </c>
      <c r="CQ40" s="24" t="s">
        <v>403</v>
      </c>
    </row>
    <row r="41" spans="1:95" ht="20" customHeight="1" x14ac:dyDescent="0.2">
      <c r="A41" s="67"/>
      <c r="B41" s="25"/>
      <c r="C41" s="25" t="s">
        <v>86</v>
      </c>
      <c r="D41" s="24" t="s">
        <v>331</v>
      </c>
      <c r="E41" s="24" t="s">
        <v>332</v>
      </c>
      <c r="F41" s="25">
        <v>2006</v>
      </c>
      <c r="H41" s="29">
        <v>10</v>
      </c>
      <c r="I41" s="28" t="s">
        <v>404</v>
      </c>
      <c r="J41" s="39" t="s">
        <v>176</v>
      </c>
      <c r="K41" s="40"/>
      <c r="L41" s="43" t="str">
        <f t="shared" si="0"/>
        <v/>
      </c>
      <c r="M41" s="128"/>
      <c r="N41" s="128" t="str">
        <f t="shared" si="1"/>
        <v/>
      </c>
      <c r="O41" s="40"/>
      <c r="P41" s="43" t="str">
        <f t="shared" si="2"/>
        <v/>
      </c>
      <c r="Q41" s="128"/>
      <c r="R41" s="132" t="str">
        <f t="shared" si="3"/>
        <v/>
      </c>
      <c r="S41" s="40"/>
      <c r="T41" s="43" t="str">
        <f t="shared" si="4"/>
        <v/>
      </c>
      <c r="U41" s="128"/>
      <c r="V41" s="132" t="str">
        <f t="shared" si="5"/>
        <v/>
      </c>
      <c r="W41" s="45"/>
      <c r="X41" s="46" t="str">
        <f t="shared" si="6"/>
        <v/>
      </c>
      <c r="Y41" s="128"/>
      <c r="Z41" s="132" t="str">
        <f t="shared" si="7"/>
        <v/>
      </c>
      <c r="AA41" s="40"/>
      <c r="AB41" s="43" t="str">
        <f t="shared" si="8"/>
        <v/>
      </c>
      <c r="AC41" s="128"/>
      <c r="AD41" s="132" t="str">
        <f t="shared" si="9"/>
        <v/>
      </c>
      <c r="AE41" s="86"/>
      <c r="AF41" s="43" t="str">
        <f t="shared" si="43"/>
        <v/>
      </c>
      <c r="AG41" s="128"/>
      <c r="AH41" s="132" t="str">
        <f t="shared" si="11"/>
        <v/>
      </c>
      <c r="AI41" s="40"/>
      <c r="AJ41" s="43" t="str">
        <f t="shared" si="12"/>
        <v/>
      </c>
      <c r="AK41" s="128"/>
      <c r="AL41" s="132" t="str">
        <f t="shared" si="13"/>
        <v/>
      </c>
      <c r="AM41" s="40"/>
      <c r="AN41" s="43" t="str">
        <f t="shared" si="14"/>
        <v/>
      </c>
      <c r="AO41" s="128"/>
      <c r="AP41" s="132" t="str">
        <f t="shared" si="15"/>
        <v/>
      </c>
      <c r="AQ41" s="40"/>
      <c r="AR41" s="43" t="str">
        <f t="shared" si="16"/>
        <v/>
      </c>
      <c r="AS41" s="128"/>
      <c r="AT41" s="132" t="str">
        <f t="shared" si="17"/>
        <v/>
      </c>
      <c r="AU41" s="40"/>
      <c r="AV41" s="43" t="str">
        <f t="shared" si="18"/>
        <v/>
      </c>
      <c r="AW41" s="128"/>
      <c r="AX41" s="132" t="str">
        <f t="shared" si="19"/>
        <v/>
      </c>
      <c r="AY41" s="40"/>
      <c r="AZ41" s="43" t="str">
        <f t="shared" si="20"/>
        <v/>
      </c>
      <c r="BA41" s="128"/>
      <c r="BB41" s="132" t="str">
        <f t="shared" si="42"/>
        <v/>
      </c>
      <c r="BC41" s="40"/>
      <c r="BD41" s="43" t="str">
        <f t="shared" si="22"/>
        <v/>
      </c>
      <c r="BE41" s="128"/>
      <c r="BF41" s="132" t="str">
        <f t="shared" si="23"/>
        <v/>
      </c>
      <c r="BG41" s="86"/>
      <c r="BH41" s="43" t="str">
        <f t="shared" si="24"/>
        <v/>
      </c>
      <c r="BI41" s="128"/>
      <c r="BJ41" s="132" t="str">
        <f t="shared" si="25"/>
        <v/>
      </c>
      <c r="BK41" s="40"/>
      <c r="BL41" s="43" t="str">
        <f t="shared" si="26"/>
        <v/>
      </c>
      <c r="BM41" s="128"/>
      <c r="BN41" s="132" t="str">
        <f t="shared" si="27"/>
        <v/>
      </c>
      <c r="BO41" s="40"/>
      <c r="BP41" s="43" t="str">
        <f t="shared" si="28"/>
        <v/>
      </c>
      <c r="BQ41" s="128"/>
      <c r="BR41" s="132" t="str">
        <f t="shared" si="29"/>
        <v/>
      </c>
      <c r="BS41" s="40"/>
      <c r="BT41" s="43" t="str">
        <f t="shared" si="30"/>
        <v/>
      </c>
      <c r="BU41" s="128"/>
      <c r="BV41" s="132" t="str">
        <f t="shared" si="31"/>
        <v/>
      </c>
      <c r="BW41" s="40"/>
      <c r="BX41" s="43" t="str">
        <f t="shared" si="32"/>
        <v/>
      </c>
      <c r="BY41" s="128"/>
      <c r="BZ41" s="132" t="str">
        <f t="shared" si="33"/>
        <v/>
      </c>
      <c r="CA41" s="40"/>
      <c r="CB41" s="43" t="str">
        <f t="shared" si="34"/>
        <v/>
      </c>
      <c r="CC41" s="128"/>
      <c r="CD41" s="132" t="str">
        <f t="shared" si="35"/>
        <v/>
      </c>
      <c r="CE41" s="40"/>
      <c r="CF41" s="43" t="str">
        <f t="shared" si="36"/>
        <v/>
      </c>
      <c r="CG41" s="128"/>
      <c r="CH41" s="132" t="str">
        <f t="shared" si="37"/>
        <v/>
      </c>
      <c r="CI41" s="40"/>
      <c r="CJ41" s="43" t="str">
        <f t="shared" si="38"/>
        <v/>
      </c>
      <c r="CK41" s="128"/>
      <c r="CL41" s="132" t="str">
        <f t="shared" si="39"/>
        <v/>
      </c>
      <c r="CM41" s="40"/>
      <c r="CN41" s="43" t="str">
        <f t="shared" si="40"/>
        <v/>
      </c>
      <c r="CO41" s="128"/>
      <c r="CP41" s="132" t="str">
        <f t="shared" si="41"/>
        <v/>
      </c>
      <c r="CQ41" s="24" t="s">
        <v>405</v>
      </c>
    </row>
    <row r="42" spans="1:95" ht="20" customHeight="1" x14ac:dyDescent="0.2">
      <c r="A42" s="68"/>
      <c r="B42" s="25"/>
      <c r="C42" s="25" t="s">
        <v>86</v>
      </c>
      <c r="D42" s="24" t="s">
        <v>335</v>
      </c>
      <c r="E42" s="24" t="s">
        <v>336</v>
      </c>
      <c r="F42" s="25">
        <v>2016</v>
      </c>
      <c r="H42" s="29">
        <v>25</v>
      </c>
      <c r="I42" s="28" t="s">
        <v>238</v>
      </c>
      <c r="J42" s="39" t="s">
        <v>212</v>
      </c>
      <c r="K42" s="40"/>
      <c r="L42" s="43" t="str">
        <f t="shared" si="0"/>
        <v/>
      </c>
      <c r="M42" s="128"/>
      <c r="N42" s="128" t="str">
        <f t="shared" si="1"/>
        <v/>
      </c>
      <c r="O42" s="40"/>
      <c r="P42" s="43" t="str">
        <f t="shared" si="2"/>
        <v/>
      </c>
      <c r="Q42" s="128"/>
      <c r="R42" s="132" t="str">
        <f t="shared" si="3"/>
        <v/>
      </c>
      <c r="S42" s="40"/>
      <c r="T42" s="43" t="str">
        <f t="shared" si="4"/>
        <v/>
      </c>
      <c r="U42" s="128"/>
      <c r="V42" s="132" t="str">
        <f t="shared" si="5"/>
        <v/>
      </c>
      <c r="W42" s="40"/>
      <c r="X42" s="43" t="str">
        <f t="shared" si="6"/>
        <v/>
      </c>
      <c r="Y42" s="128"/>
      <c r="Z42" s="132" t="str">
        <f t="shared" si="7"/>
        <v/>
      </c>
      <c r="AA42" s="40"/>
      <c r="AB42" s="43" t="str">
        <f t="shared" si="8"/>
        <v/>
      </c>
      <c r="AC42" s="128"/>
      <c r="AD42" s="132" t="str">
        <f t="shared" si="9"/>
        <v/>
      </c>
      <c r="AE42" s="86"/>
      <c r="AF42" s="43" t="str">
        <f t="shared" si="43"/>
        <v/>
      </c>
      <c r="AG42" s="128"/>
      <c r="AH42" s="132" t="str">
        <f t="shared" si="11"/>
        <v/>
      </c>
      <c r="AI42" s="40"/>
      <c r="AJ42" s="43" t="str">
        <f t="shared" si="12"/>
        <v/>
      </c>
      <c r="AK42" s="128"/>
      <c r="AL42" s="132" t="str">
        <f t="shared" si="13"/>
        <v/>
      </c>
      <c r="AM42" s="40"/>
      <c r="AN42" s="43" t="str">
        <f t="shared" si="14"/>
        <v/>
      </c>
      <c r="AO42" s="128"/>
      <c r="AP42" s="132" t="str">
        <f t="shared" si="15"/>
        <v/>
      </c>
      <c r="AQ42" s="40"/>
      <c r="AR42" s="43" t="str">
        <f t="shared" si="16"/>
        <v/>
      </c>
      <c r="AS42" s="128"/>
      <c r="AT42" s="132" t="str">
        <f t="shared" si="17"/>
        <v/>
      </c>
      <c r="AU42" s="40"/>
      <c r="AV42" s="43" t="str">
        <f t="shared" si="18"/>
        <v/>
      </c>
      <c r="AW42" s="128"/>
      <c r="AX42" s="132" t="str">
        <f t="shared" si="19"/>
        <v/>
      </c>
      <c r="AY42" s="40"/>
      <c r="AZ42" s="43" t="str">
        <f t="shared" si="20"/>
        <v/>
      </c>
      <c r="BA42" s="128"/>
      <c r="BB42" s="132" t="str">
        <f t="shared" si="42"/>
        <v/>
      </c>
      <c r="BC42" s="40"/>
      <c r="BD42" s="43" t="str">
        <f t="shared" si="22"/>
        <v/>
      </c>
      <c r="BE42" s="128"/>
      <c r="BF42" s="132" t="str">
        <f t="shared" si="23"/>
        <v/>
      </c>
      <c r="BG42" s="86"/>
      <c r="BH42" s="43" t="str">
        <f t="shared" si="24"/>
        <v/>
      </c>
      <c r="BI42" s="128"/>
      <c r="BJ42" s="132" t="str">
        <f t="shared" si="25"/>
        <v/>
      </c>
      <c r="BK42" s="40"/>
      <c r="BL42" s="43" t="str">
        <f t="shared" si="26"/>
        <v/>
      </c>
      <c r="BM42" s="128"/>
      <c r="BN42" s="132" t="str">
        <f t="shared" si="27"/>
        <v/>
      </c>
      <c r="BO42" s="40"/>
      <c r="BP42" s="43" t="str">
        <f t="shared" si="28"/>
        <v/>
      </c>
      <c r="BQ42" s="128"/>
      <c r="BR42" s="132" t="str">
        <f t="shared" si="29"/>
        <v/>
      </c>
      <c r="BS42" s="40"/>
      <c r="BT42" s="43" t="str">
        <f t="shared" si="30"/>
        <v/>
      </c>
      <c r="BU42" s="128"/>
      <c r="BV42" s="132" t="str">
        <f t="shared" si="31"/>
        <v/>
      </c>
      <c r="BW42" s="40"/>
      <c r="BX42" s="43" t="str">
        <f t="shared" si="32"/>
        <v/>
      </c>
      <c r="BY42" s="128"/>
      <c r="BZ42" s="132" t="str">
        <f t="shared" si="33"/>
        <v/>
      </c>
      <c r="CA42" s="40"/>
      <c r="CB42" s="43" t="str">
        <f t="shared" si="34"/>
        <v/>
      </c>
      <c r="CC42" s="128"/>
      <c r="CD42" s="132" t="str">
        <f t="shared" si="35"/>
        <v/>
      </c>
      <c r="CE42" s="40"/>
      <c r="CF42" s="43" t="str">
        <f t="shared" si="36"/>
        <v/>
      </c>
      <c r="CG42" s="128"/>
      <c r="CH42" s="132" t="str">
        <f t="shared" si="37"/>
        <v/>
      </c>
      <c r="CI42" s="40"/>
      <c r="CJ42" s="43" t="str">
        <f t="shared" si="38"/>
        <v/>
      </c>
      <c r="CK42" s="128"/>
      <c r="CL42" s="132" t="str">
        <f t="shared" si="39"/>
        <v/>
      </c>
      <c r="CM42" s="40"/>
      <c r="CN42" s="43" t="str">
        <f t="shared" si="40"/>
        <v/>
      </c>
      <c r="CO42" s="128"/>
      <c r="CP42" s="132" t="str">
        <f t="shared" si="41"/>
        <v/>
      </c>
    </row>
    <row r="43" spans="1:95" ht="20" customHeight="1" x14ac:dyDescent="0.2">
      <c r="A43" s="67"/>
      <c r="B43" s="95"/>
      <c r="C43" s="25" t="s">
        <v>86</v>
      </c>
      <c r="D43" s="24" t="s">
        <v>100</v>
      </c>
      <c r="E43" s="24" t="s">
        <v>101</v>
      </c>
      <c r="F43" s="25">
        <v>2002</v>
      </c>
      <c r="G43" s="25">
        <v>103</v>
      </c>
      <c r="H43" s="29">
        <v>8</v>
      </c>
      <c r="I43" s="28"/>
      <c r="J43" s="39"/>
      <c r="K43" s="40"/>
      <c r="L43" s="43" t="str">
        <f t="shared" si="0"/>
        <v/>
      </c>
      <c r="M43" s="128"/>
      <c r="N43" s="128" t="str">
        <f t="shared" si="1"/>
        <v/>
      </c>
      <c r="O43" s="40"/>
      <c r="P43" s="43" t="str">
        <f t="shared" si="2"/>
        <v/>
      </c>
      <c r="Q43" s="128"/>
      <c r="R43" s="132" t="str">
        <f t="shared" si="3"/>
        <v/>
      </c>
      <c r="S43" s="40"/>
      <c r="T43" s="43" t="str">
        <f t="shared" si="4"/>
        <v/>
      </c>
      <c r="U43" s="128"/>
      <c r="V43" s="132" t="str">
        <f t="shared" si="5"/>
        <v/>
      </c>
      <c r="W43" s="40"/>
      <c r="X43" s="43" t="str">
        <f t="shared" si="6"/>
        <v/>
      </c>
      <c r="Y43" s="128"/>
      <c r="Z43" s="132" t="str">
        <f t="shared" si="7"/>
        <v/>
      </c>
      <c r="AA43" s="40"/>
      <c r="AB43" s="43" t="str">
        <f t="shared" si="8"/>
        <v/>
      </c>
      <c r="AC43" s="128"/>
      <c r="AD43" s="132" t="str">
        <f t="shared" si="9"/>
        <v/>
      </c>
      <c r="AE43" s="86">
        <v>2</v>
      </c>
      <c r="AF43" s="43">
        <f t="shared" si="43"/>
        <v>25</v>
      </c>
      <c r="AG43" s="128"/>
      <c r="AH43" s="132" t="str">
        <f t="shared" si="11"/>
        <v/>
      </c>
      <c r="AI43" s="40"/>
      <c r="AJ43" s="43" t="str">
        <f t="shared" si="12"/>
        <v/>
      </c>
      <c r="AK43" s="128"/>
      <c r="AL43" s="132" t="str">
        <f t="shared" si="13"/>
        <v/>
      </c>
      <c r="AM43" s="40"/>
      <c r="AN43" s="43" t="str">
        <f t="shared" si="14"/>
        <v/>
      </c>
      <c r="AO43" s="128"/>
      <c r="AP43" s="132" t="str">
        <f t="shared" si="15"/>
        <v/>
      </c>
      <c r="AQ43" s="40"/>
      <c r="AR43" s="43" t="str">
        <f t="shared" si="16"/>
        <v/>
      </c>
      <c r="AS43" s="128"/>
      <c r="AT43" s="132" t="str">
        <f t="shared" si="17"/>
        <v/>
      </c>
      <c r="AU43" s="40"/>
      <c r="AV43" s="43" t="str">
        <f t="shared" si="18"/>
        <v/>
      </c>
      <c r="AW43" s="128"/>
      <c r="AX43" s="132" t="str">
        <f t="shared" si="19"/>
        <v/>
      </c>
      <c r="AY43" s="40"/>
      <c r="AZ43" s="43" t="str">
        <f t="shared" si="20"/>
        <v/>
      </c>
      <c r="BA43" s="128"/>
      <c r="BB43" s="132" t="str">
        <f t="shared" si="42"/>
        <v/>
      </c>
      <c r="BC43" s="40"/>
      <c r="BD43" s="43" t="str">
        <f t="shared" si="22"/>
        <v/>
      </c>
      <c r="BE43" s="128"/>
      <c r="BF43" s="132" t="str">
        <f t="shared" si="23"/>
        <v/>
      </c>
      <c r="BG43" s="86"/>
      <c r="BH43" s="43" t="str">
        <f t="shared" si="24"/>
        <v/>
      </c>
      <c r="BI43" s="128"/>
      <c r="BJ43" s="132" t="str">
        <f t="shared" si="25"/>
        <v/>
      </c>
      <c r="BK43" s="40"/>
      <c r="BL43" s="43" t="str">
        <f t="shared" si="26"/>
        <v/>
      </c>
      <c r="BM43" s="128"/>
      <c r="BN43" s="132" t="str">
        <f t="shared" si="27"/>
        <v/>
      </c>
      <c r="BO43" s="40"/>
      <c r="BP43" s="43" t="str">
        <f t="shared" si="28"/>
        <v/>
      </c>
      <c r="BQ43" s="128"/>
      <c r="BR43" s="132" t="str">
        <f t="shared" si="29"/>
        <v/>
      </c>
      <c r="BS43" s="40"/>
      <c r="BT43" s="43" t="str">
        <f t="shared" si="30"/>
        <v/>
      </c>
      <c r="BU43" s="128"/>
      <c r="BV43" s="132" t="str">
        <f t="shared" si="31"/>
        <v/>
      </c>
      <c r="BW43" s="40"/>
      <c r="BX43" s="43" t="str">
        <f t="shared" si="32"/>
        <v/>
      </c>
      <c r="BY43" s="128"/>
      <c r="BZ43" s="132" t="str">
        <f t="shared" si="33"/>
        <v/>
      </c>
      <c r="CA43" s="40"/>
      <c r="CB43" s="43" t="str">
        <f t="shared" si="34"/>
        <v/>
      </c>
      <c r="CC43" s="128"/>
      <c r="CD43" s="132" t="str">
        <f t="shared" si="35"/>
        <v/>
      </c>
      <c r="CE43" s="40"/>
      <c r="CF43" s="43" t="str">
        <f t="shared" si="36"/>
        <v/>
      </c>
      <c r="CG43" s="128"/>
      <c r="CH43" s="132" t="str">
        <f t="shared" si="37"/>
        <v/>
      </c>
      <c r="CI43" s="40"/>
      <c r="CJ43" s="43" t="str">
        <f t="shared" si="38"/>
        <v/>
      </c>
      <c r="CK43" s="128"/>
      <c r="CL43" s="132" t="str">
        <f t="shared" si="39"/>
        <v/>
      </c>
      <c r="CM43" s="40"/>
      <c r="CN43" s="43" t="str">
        <f t="shared" si="40"/>
        <v/>
      </c>
      <c r="CO43" s="128"/>
      <c r="CP43" s="132" t="str">
        <f t="shared" si="41"/>
        <v/>
      </c>
      <c r="CQ43" s="24" t="s">
        <v>222</v>
      </c>
    </row>
    <row r="44" spans="1:95" ht="20" customHeight="1" x14ac:dyDescent="0.2">
      <c r="A44" s="67"/>
      <c r="B44" s="96"/>
      <c r="C44" s="25" t="s">
        <v>86</v>
      </c>
      <c r="D44" s="24" t="s">
        <v>339</v>
      </c>
      <c r="E44" s="24" t="s">
        <v>340</v>
      </c>
      <c r="F44" s="25">
        <v>2015</v>
      </c>
      <c r="H44" s="29">
        <v>41</v>
      </c>
      <c r="I44" s="28" t="s">
        <v>203</v>
      </c>
      <c r="J44" s="39"/>
      <c r="K44" s="40"/>
      <c r="L44" s="43" t="str">
        <f t="shared" si="0"/>
        <v/>
      </c>
      <c r="M44" s="128"/>
      <c r="N44" s="128" t="str">
        <f t="shared" si="1"/>
        <v/>
      </c>
      <c r="O44" s="40"/>
      <c r="P44" s="43" t="str">
        <f t="shared" si="2"/>
        <v/>
      </c>
      <c r="Q44" s="128"/>
      <c r="R44" s="132" t="str">
        <f t="shared" si="3"/>
        <v/>
      </c>
      <c r="S44" s="40"/>
      <c r="T44" s="43" t="str">
        <f t="shared" si="4"/>
        <v/>
      </c>
      <c r="U44" s="128"/>
      <c r="V44" s="132" t="str">
        <f t="shared" si="5"/>
        <v/>
      </c>
      <c r="W44" s="40"/>
      <c r="X44" s="43" t="str">
        <f t="shared" si="6"/>
        <v/>
      </c>
      <c r="Y44" s="128"/>
      <c r="Z44" s="132" t="str">
        <f t="shared" si="7"/>
        <v/>
      </c>
      <c r="AA44" s="40"/>
      <c r="AB44" s="43" t="str">
        <f t="shared" si="8"/>
        <v/>
      </c>
      <c r="AC44" s="128"/>
      <c r="AD44" s="132" t="str">
        <f t="shared" si="9"/>
        <v/>
      </c>
      <c r="AE44" s="86"/>
      <c r="AF44" s="43" t="str">
        <f t="shared" si="43"/>
        <v/>
      </c>
      <c r="AG44" s="128"/>
      <c r="AH44" s="132" t="str">
        <f t="shared" si="11"/>
        <v/>
      </c>
      <c r="AI44" s="40"/>
      <c r="AJ44" s="43" t="str">
        <f t="shared" si="12"/>
        <v/>
      </c>
      <c r="AK44" s="128"/>
      <c r="AL44" s="132" t="str">
        <f t="shared" si="13"/>
        <v/>
      </c>
      <c r="AM44" s="40"/>
      <c r="AN44" s="43" t="str">
        <f t="shared" si="14"/>
        <v/>
      </c>
      <c r="AO44" s="128"/>
      <c r="AP44" s="132" t="str">
        <f t="shared" si="15"/>
        <v/>
      </c>
      <c r="AQ44" s="40"/>
      <c r="AR44" s="43" t="str">
        <f t="shared" si="16"/>
        <v/>
      </c>
      <c r="AS44" s="128"/>
      <c r="AT44" s="132" t="str">
        <f t="shared" si="17"/>
        <v/>
      </c>
      <c r="AU44" s="40"/>
      <c r="AV44" s="43" t="str">
        <f t="shared" si="18"/>
        <v/>
      </c>
      <c r="AW44" s="128"/>
      <c r="AX44" s="132" t="str">
        <f t="shared" si="19"/>
        <v/>
      </c>
      <c r="AY44" s="40"/>
      <c r="AZ44" s="43" t="str">
        <f t="shared" si="20"/>
        <v/>
      </c>
      <c r="BA44" s="128"/>
      <c r="BB44" s="132" t="str">
        <f t="shared" si="42"/>
        <v/>
      </c>
      <c r="BC44" s="40"/>
      <c r="BD44" s="43" t="str">
        <f t="shared" si="22"/>
        <v/>
      </c>
      <c r="BE44" s="128"/>
      <c r="BF44" s="132" t="str">
        <f t="shared" si="23"/>
        <v/>
      </c>
      <c r="BG44" s="86"/>
      <c r="BH44" s="43" t="str">
        <f t="shared" si="24"/>
        <v/>
      </c>
      <c r="BI44" s="128"/>
      <c r="BJ44" s="132" t="str">
        <f t="shared" si="25"/>
        <v/>
      </c>
      <c r="BK44" s="40"/>
      <c r="BL44" s="43" t="str">
        <f t="shared" si="26"/>
        <v/>
      </c>
      <c r="BM44" s="128"/>
      <c r="BN44" s="132" t="str">
        <f t="shared" si="27"/>
        <v/>
      </c>
      <c r="BO44" s="40"/>
      <c r="BP44" s="43" t="str">
        <f t="shared" si="28"/>
        <v/>
      </c>
      <c r="BQ44" s="128"/>
      <c r="BR44" s="132" t="str">
        <f t="shared" si="29"/>
        <v/>
      </c>
      <c r="BS44" s="40"/>
      <c r="BT44" s="43" t="str">
        <f t="shared" si="30"/>
        <v/>
      </c>
      <c r="BU44" s="128"/>
      <c r="BV44" s="132" t="str">
        <f t="shared" si="31"/>
        <v/>
      </c>
      <c r="BW44" s="40"/>
      <c r="BX44" s="43" t="str">
        <f t="shared" si="32"/>
        <v/>
      </c>
      <c r="BY44" s="128"/>
      <c r="BZ44" s="132" t="str">
        <f t="shared" si="33"/>
        <v/>
      </c>
      <c r="CA44" s="40"/>
      <c r="CB44" s="43" t="str">
        <f t="shared" si="34"/>
        <v/>
      </c>
      <c r="CC44" s="128"/>
      <c r="CD44" s="132" t="str">
        <f t="shared" si="35"/>
        <v/>
      </c>
      <c r="CE44" s="40"/>
      <c r="CF44" s="43" t="str">
        <f t="shared" si="36"/>
        <v/>
      </c>
      <c r="CG44" s="128"/>
      <c r="CH44" s="132" t="str">
        <f t="shared" si="37"/>
        <v/>
      </c>
      <c r="CI44" s="40"/>
      <c r="CJ44" s="43" t="str">
        <f t="shared" si="38"/>
        <v/>
      </c>
      <c r="CK44" s="128"/>
      <c r="CL44" s="132" t="str">
        <f t="shared" si="39"/>
        <v/>
      </c>
      <c r="CM44" s="40"/>
      <c r="CN44" s="43" t="str">
        <f t="shared" si="40"/>
        <v/>
      </c>
      <c r="CO44" s="128"/>
      <c r="CP44" s="132" t="str">
        <f t="shared" si="41"/>
        <v/>
      </c>
      <c r="CQ44" s="24" t="s">
        <v>407</v>
      </c>
    </row>
    <row r="45" spans="1:95" ht="20" customHeight="1" x14ac:dyDescent="0.2">
      <c r="A45" s="67"/>
      <c r="B45" s="96"/>
      <c r="C45" s="25" t="s">
        <v>86</v>
      </c>
      <c r="D45" s="24" t="s">
        <v>341</v>
      </c>
      <c r="E45" s="24" t="s">
        <v>342</v>
      </c>
      <c r="F45" s="25">
        <v>2009</v>
      </c>
      <c r="H45" s="29">
        <v>68</v>
      </c>
      <c r="I45" s="28" t="s">
        <v>238</v>
      </c>
      <c r="J45" s="39" t="s">
        <v>408</v>
      </c>
      <c r="K45" s="40"/>
      <c r="L45" s="43" t="str">
        <f t="shared" si="0"/>
        <v/>
      </c>
      <c r="M45" s="128"/>
      <c r="N45" s="128" t="str">
        <f t="shared" si="1"/>
        <v/>
      </c>
      <c r="O45" s="40"/>
      <c r="P45" s="43" t="str">
        <f t="shared" si="2"/>
        <v/>
      </c>
      <c r="Q45" s="128"/>
      <c r="R45" s="132" t="str">
        <f t="shared" si="3"/>
        <v/>
      </c>
      <c r="S45" s="40"/>
      <c r="T45" s="43" t="str">
        <f t="shared" si="4"/>
        <v/>
      </c>
      <c r="U45" s="128"/>
      <c r="V45" s="132" t="str">
        <f t="shared" si="5"/>
        <v/>
      </c>
      <c r="W45" s="40"/>
      <c r="X45" s="43" t="str">
        <f t="shared" si="6"/>
        <v/>
      </c>
      <c r="Y45" s="128"/>
      <c r="Z45" s="132" t="str">
        <f t="shared" si="7"/>
        <v/>
      </c>
      <c r="AA45" s="40"/>
      <c r="AB45" s="43" t="str">
        <f t="shared" si="8"/>
        <v/>
      </c>
      <c r="AC45" s="128"/>
      <c r="AD45" s="132" t="str">
        <f t="shared" si="9"/>
        <v/>
      </c>
      <c r="AE45" s="86"/>
      <c r="AF45" s="43"/>
      <c r="AG45" s="128"/>
      <c r="AH45" s="132"/>
      <c r="AI45" s="40"/>
      <c r="AJ45" s="43" t="str">
        <f t="shared" si="12"/>
        <v/>
      </c>
      <c r="AK45" s="128"/>
      <c r="AL45" s="132" t="str">
        <f t="shared" si="13"/>
        <v/>
      </c>
      <c r="AM45" s="40"/>
      <c r="AN45" s="43" t="str">
        <f t="shared" si="14"/>
        <v/>
      </c>
      <c r="AO45" s="128"/>
      <c r="AP45" s="132" t="str">
        <f t="shared" si="15"/>
        <v/>
      </c>
      <c r="AQ45" s="40"/>
      <c r="AR45" s="43" t="str">
        <f t="shared" si="16"/>
        <v/>
      </c>
      <c r="AS45" s="128"/>
      <c r="AT45" s="132" t="str">
        <f t="shared" si="17"/>
        <v/>
      </c>
      <c r="AU45" s="40"/>
      <c r="AV45" s="43" t="str">
        <f t="shared" si="18"/>
        <v/>
      </c>
      <c r="AW45" s="128"/>
      <c r="AX45" s="132" t="str">
        <f t="shared" si="19"/>
        <v/>
      </c>
      <c r="AY45" s="40"/>
      <c r="AZ45" s="43" t="str">
        <f t="shared" si="20"/>
        <v/>
      </c>
      <c r="BA45" s="128"/>
      <c r="BB45" s="132" t="str">
        <f t="shared" si="42"/>
        <v/>
      </c>
      <c r="BC45" s="40"/>
      <c r="BD45" s="43" t="str">
        <f t="shared" si="22"/>
        <v/>
      </c>
      <c r="BE45" s="128"/>
      <c r="BF45" s="132" t="str">
        <f t="shared" si="23"/>
        <v/>
      </c>
      <c r="BG45" s="86"/>
      <c r="BH45" s="43" t="str">
        <f t="shared" si="24"/>
        <v/>
      </c>
      <c r="BI45" s="128"/>
      <c r="BJ45" s="132" t="str">
        <f t="shared" si="25"/>
        <v/>
      </c>
      <c r="BK45" s="40"/>
      <c r="BL45" s="43" t="str">
        <f t="shared" si="26"/>
        <v/>
      </c>
      <c r="BM45" s="128"/>
      <c r="BN45" s="132" t="str">
        <f t="shared" si="27"/>
        <v/>
      </c>
      <c r="BO45" s="40"/>
      <c r="BP45" s="43" t="str">
        <f t="shared" si="28"/>
        <v/>
      </c>
      <c r="BQ45" s="128"/>
      <c r="BR45" s="132" t="str">
        <f t="shared" si="29"/>
        <v/>
      </c>
      <c r="BS45" s="40"/>
      <c r="BT45" s="43" t="str">
        <f t="shared" si="30"/>
        <v/>
      </c>
      <c r="BU45" s="128"/>
      <c r="BV45" s="132" t="str">
        <f t="shared" si="31"/>
        <v/>
      </c>
      <c r="BW45" s="40"/>
      <c r="BX45" s="43" t="str">
        <f t="shared" si="32"/>
        <v/>
      </c>
      <c r="BY45" s="128"/>
      <c r="BZ45" s="132" t="str">
        <f t="shared" si="33"/>
        <v/>
      </c>
      <c r="CA45" s="40"/>
      <c r="CB45" s="43" t="str">
        <f t="shared" si="34"/>
        <v/>
      </c>
      <c r="CC45" s="128"/>
      <c r="CD45" s="132" t="str">
        <f t="shared" si="35"/>
        <v/>
      </c>
      <c r="CE45" s="40"/>
      <c r="CF45" s="43" t="str">
        <f t="shared" si="36"/>
        <v/>
      </c>
      <c r="CG45" s="128"/>
      <c r="CH45" s="132" t="str">
        <f t="shared" si="37"/>
        <v/>
      </c>
      <c r="CI45" s="40"/>
      <c r="CJ45" s="43" t="str">
        <f t="shared" si="38"/>
        <v/>
      </c>
      <c r="CK45" s="128"/>
      <c r="CL45" s="132" t="str">
        <f t="shared" si="39"/>
        <v/>
      </c>
      <c r="CM45" s="40"/>
      <c r="CN45" s="43" t="str">
        <f t="shared" si="40"/>
        <v/>
      </c>
      <c r="CO45" s="128"/>
      <c r="CP45" s="132" t="str">
        <f t="shared" si="41"/>
        <v/>
      </c>
      <c r="CQ45" s="24" t="s">
        <v>466</v>
      </c>
    </row>
    <row r="46" spans="1:95" ht="20" customHeight="1" x14ac:dyDescent="0.2">
      <c r="A46" s="68"/>
      <c r="B46" s="25"/>
      <c r="C46" s="25" t="s">
        <v>86</v>
      </c>
      <c r="D46" s="24" t="s">
        <v>106</v>
      </c>
      <c r="E46" s="24" t="s">
        <v>107</v>
      </c>
      <c r="F46" s="25">
        <v>1989</v>
      </c>
      <c r="G46" s="25">
        <v>27</v>
      </c>
      <c r="H46" s="29"/>
      <c r="I46" s="28" t="s">
        <v>232</v>
      </c>
      <c r="J46" s="39" t="s">
        <v>191</v>
      </c>
      <c r="K46" s="40"/>
      <c r="L46" s="43" t="str">
        <f t="shared" si="0"/>
        <v/>
      </c>
      <c r="M46" s="128"/>
      <c r="N46" s="128" t="str">
        <f t="shared" si="1"/>
        <v/>
      </c>
      <c r="O46" s="45"/>
      <c r="P46" s="46" t="str">
        <f t="shared" si="2"/>
        <v/>
      </c>
      <c r="Q46" s="128"/>
      <c r="R46" s="132" t="str">
        <f t="shared" si="3"/>
        <v/>
      </c>
      <c r="S46" s="40"/>
      <c r="T46" s="43" t="str">
        <f t="shared" si="4"/>
        <v/>
      </c>
      <c r="U46" s="128"/>
      <c r="V46" s="132" t="str">
        <f t="shared" si="5"/>
        <v/>
      </c>
      <c r="W46" s="40"/>
      <c r="X46" s="43" t="str">
        <f t="shared" si="6"/>
        <v/>
      </c>
      <c r="Y46" s="128"/>
      <c r="Z46" s="132" t="str">
        <f t="shared" si="7"/>
        <v/>
      </c>
      <c r="AA46" s="40"/>
      <c r="AB46" s="43" t="str">
        <f t="shared" si="8"/>
        <v/>
      </c>
      <c r="AC46" s="128"/>
      <c r="AD46" s="132" t="str">
        <f t="shared" si="9"/>
        <v/>
      </c>
      <c r="AE46" s="86"/>
      <c r="AF46" s="43" t="str">
        <f t="shared" si="43"/>
        <v/>
      </c>
      <c r="AG46" s="128"/>
      <c r="AH46" s="132" t="str">
        <f t="shared" si="11"/>
        <v/>
      </c>
      <c r="AI46" s="40"/>
      <c r="AJ46" s="43" t="str">
        <f t="shared" si="12"/>
        <v/>
      </c>
      <c r="AK46" s="128"/>
      <c r="AL46" s="132" t="str">
        <f t="shared" si="13"/>
        <v/>
      </c>
      <c r="AM46" s="40"/>
      <c r="AN46" s="43" t="str">
        <f t="shared" si="14"/>
        <v/>
      </c>
      <c r="AO46" s="128"/>
      <c r="AP46" s="132" t="str">
        <f t="shared" si="15"/>
        <v/>
      </c>
      <c r="AQ46" s="40"/>
      <c r="AR46" s="43" t="str">
        <f t="shared" si="16"/>
        <v/>
      </c>
      <c r="AS46" s="128"/>
      <c r="AT46" s="132" t="str">
        <f t="shared" si="17"/>
        <v/>
      </c>
      <c r="AU46" s="40"/>
      <c r="AV46" s="43" t="str">
        <f t="shared" si="18"/>
        <v/>
      </c>
      <c r="AW46" s="128"/>
      <c r="AX46" s="132" t="str">
        <f t="shared" si="19"/>
        <v/>
      </c>
      <c r="AY46" s="40"/>
      <c r="AZ46" s="43" t="str">
        <f t="shared" si="20"/>
        <v/>
      </c>
      <c r="BA46" s="128"/>
      <c r="BB46" s="132" t="str">
        <f t="shared" si="42"/>
        <v/>
      </c>
      <c r="BC46" s="40"/>
      <c r="BD46" s="43" t="str">
        <f t="shared" si="22"/>
        <v/>
      </c>
      <c r="BE46" s="128"/>
      <c r="BF46" s="132" t="str">
        <f t="shared" si="23"/>
        <v/>
      </c>
      <c r="BG46" s="86"/>
      <c r="BH46" s="43" t="str">
        <f t="shared" si="24"/>
        <v/>
      </c>
      <c r="BI46" s="128"/>
      <c r="BJ46" s="132" t="str">
        <f t="shared" si="25"/>
        <v/>
      </c>
      <c r="BK46" s="40"/>
      <c r="BL46" s="43" t="str">
        <f t="shared" si="26"/>
        <v/>
      </c>
      <c r="BM46" s="128"/>
      <c r="BN46" s="132" t="str">
        <f t="shared" si="27"/>
        <v/>
      </c>
      <c r="BO46" s="40"/>
      <c r="BP46" s="43" t="str">
        <f t="shared" si="28"/>
        <v/>
      </c>
      <c r="BQ46" s="128"/>
      <c r="BR46" s="132" t="str">
        <f t="shared" si="29"/>
        <v/>
      </c>
      <c r="BS46" s="40"/>
      <c r="BT46" s="43" t="str">
        <f t="shared" si="30"/>
        <v/>
      </c>
      <c r="BU46" s="128"/>
      <c r="BV46" s="132" t="str">
        <f t="shared" si="31"/>
        <v/>
      </c>
      <c r="BW46" s="40"/>
      <c r="BX46" s="43" t="str">
        <f t="shared" si="32"/>
        <v/>
      </c>
      <c r="BY46" s="128"/>
      <c r="BZ46" s="132" t="str">
        <f t="shared" si="33"/>
        <v/>
      </c>
      <c r="CA46" s="40"/>
      <c r="CB46" s="43" t="str">
        <f t="shared" si="34"/>
        <v/>
      </c>
      <c r="CC46" s="128"/>
      <c r="CD46" s="132" t="str">
        <f t="shared" si="35"/>
        <v/>
      </c>
      <c r="CE46" s="40"/>
      <c r="CF46" s="43" t="str">
        <f t="shared" si="36"/>
        <v/>
      </c>
      <c r="CG46" s="128"/>
      <c r="CH46" s="132" t="str">
        <f t="shared" si="37"/>
        <v/>
      </c>
      <c r="CI46" s="40"/>
      <c r="CJ46" s="43" t="str">
        <f t="shared" si="38"/>
        <v/>
      </c>
      <c r="CK46" s="128"/>
      <c r="CL46" s="132" t="str">
        <f t="shared" si="39"/>
        <v/>
      </c>
      <c r="CM46" s="40"/>
      <c r="CN46" s="43" t="str">
        <f t="shared" si="40"/>
        <v/>
      </c>
      <c r="CO46" s="128"/>
      <c r="CP46" s="132" t="str">
        <f t="shared" si="41"/>
        <v/>
      </c>
    </row>
    <row r="47" spans="1:95" ht="20" customHeight="1" x14ac:dyDescent="0.2">
      <c r="A47" s="68"/>
      <c r="B47" s="96"/>
      <c r="C47" s="25" t="s">
        <v>86</v>
      </c>
      <c r="D47" s="24" t="s">
        <v>343</v>
      </c>
      <c r="E47" s="24" t="s">
        <v>344</v>
      </c>
      <c r="F47" s="25">
        <v>2011</v>
      </c>
      <c r="H47" s="29"/>
      <c r="I47" s="28"/>
      <c r="J47" s="39"/>
      <c r="K47" s="40"/>
      <c r="L47" s="43" t="str">
        <f t="shared" si="0"/>
        <v/>
      </c>
      <c r="M47" s="128"/>
      <c r="N47" s="128" t="str">
        <f t="shared" si="1"/>
        <v/>
      </c>
      <c r="O47" s="40"/>
      <c r="P47" s="43" t="str">
        <f t="shared" si="2"/>
        <v/>
      </c>
      <c r="Q47" s="128"/>
      <c r="R47" s="132" t="str">
        <f t="shared" si="3"/>
        <v/>
      </c>
      <c r="S47" s="40"/>
      <c r="T47" s="43" t="str">
        <f t="shared" si="4"/>
        <v/>
      </c>
      <c r="U47" s="128"/>
      <c r="V47" s="132" t="str">
        <f t="shared" si="5"/>
        <v/>
      </c>
      <c r="W47" s="40"/>
      <c r="X47" s="43" t="str">
        <f t="shared" si="6"/>
        <v/>
      </c>
      <c r="Y47" s="128"/>
      <c r="Z47" s="132" t="str">
        <f t="shared" si="7"/>
        <v/>
      </c>
      <c r="AA47" s="40"/>
      <c r="AB47" s="43" t="str">
        <f t="shared" si="8"/>
        <v/>
      </c>
      <c r="AC47" s="128"/>
      <c r="AD47" s="132" t="str">
        <f t="shared" si="9"/>
        <v/>
      </c>
      <c r="AE47" s="86"/>
      <c r="AF47" s="43" t="str">
        <f t="shared" si="43"/>
        <v/>
      </c>
      <c r="AG47" s="128"/>
      <c r="AH47" s="132" t="str">
        <f t="shared" si="11"/>
        <v/>
      </c>
      <c r="AI47" s="40"/>
      <c r="AJ47" s="43" t="str">
        <f t="shared" si="12"/>
        <v/>
      </c>
      <c r="AK47" s="128"/>
      <c r="AL47" s="132" t="str">
        <f t="shared" si="13"/>
        <v/>
      </c>
      <c r="AM47" s="40"/>
      <c r="AN47" s="43" t="str">
        <f t="shared" si="14"/>
        <v/>
      </c>
      <c r="AO47" s="128"/>
      <c r="AP47" s="132" t="str">
        <f t="shared" si="15"/>
        <v/>
      </c>
      <c r="AQ47" s="40"/>
      <c r="AR47" s="43" t="str">
        <f t="shared" si="16"/>
        <v/>
      </c>
      <c r="AS47" s="128"/>
      <c r="AT47" s="132" t="str">
        <f t="shared" si="17"/>
        <v/>
      </c>
      <c r="AU47" s="40"/>
      <c r="AV47" s="43" t="str">
        <f t="shared" si="18"/>
        <v/>
      </c>
      <c r="AW47" s="128"/>
      <c r="AX47" s="132" t="str">
        <f t="shared" si="19"/>
        <v/>
      </c>
      <c r="AY47" s="40"/>
      <c r="AZ47" s="43" t="str">
        <f t="shared" si="20"/>
        <v/>
      </c>
      <c r="BA47" s="128"/>
      <c r="BB47" s="132" t="str">
        <f t="shared" si="42"/>
        <v/>
      </c>
      <c r="BC47" s="40"/>
      <c r="BD47" s="43" t="str">
        <f t="shared" si="22"/>
        <v/>
      </c>
      <c r="BE47" s="128"/>
      <c r="BF47" s="132" t="str">
        <f t="shared" si="23"/>
        <v/>
      </c>
      <c r="BG47" s="86"/>
      <c r="BH47" s="43" t="str">
        <f t="shared" si="24"/>
        <v/>
      </c>
      <c r="BI47" s="128"/>
      <c r="BJ47" s="132" t="str">
        <f t="shared" si="25"/>
        <v/>
      </c>
      <c r="BK47" s="40"/>
      <c r="BL47" s="43" t="str">
        <f t="shared" si="26"/>
        <v/>
      </c>
      <c r="BM47" s="128"/>
      <c r="BN47" s="132" t="str">
        <f t="shared" si="27"/>
        <v/>
      </c>
      <c r="BO47" s="40"/>
      <c r="BP47" s="43" t="str">
        <f t="shared" si="28"/>
        <v/>
      </c>
      <c r="BQ47" s="128"/>
      <c r="BR47" s="132" t="str">
        <f t="shared" si="29"/>
        <v/>
      </c>
      <c r="BS47" s="40"/>
      <c r="BT47" s="43" t="str">
        <f t="shared" si="30"/>
        <v/>
      </c>
      <c r="BU47" s="128"/>
      <c r="BV47" s="132" t="str">
        <f t="shared" si="31"/>
        <v/>
      </c>
      <c r="BW47" s="40"/>
      <c r="BX47" s="43" t="str">
        <f t="shared" si="32"/>
        <v/>
      </c>
      <c r="BY47" s="128"/>
      <c r="BZ47" s="132" t="str">
        <f t="shared" si="33"/>
        <v/>
      </c>
      <c r="CA47" s="40"/>
      <c r="CB47" s="43" t="str">
        <f t="shared" si="34"/>
        <v/>
      </c>
      <c r="CC47" s="128"/>
      <c r="CD47" s="132" t="str">
        <f t="shared" si="35"/>
        <v/>
      </c>
      <c r="CE47" s="40"/>
      <c r="CF47" s="43" t="str">
        <f t="shared" si="36"/>
        <v/>
      </c>
      <c r="CG47" s="128"/>
      <c r="CH47" s="132" t="str">
        <f t="shared" si="37"/>
        <v/>
      </c>
      <c r="CI47" s="40"/>
      <c r="CJ47" s="43" t="str">
        <f t="shared" si="38"/>
        <v/>
      </c>
      <c r="CK47" s="128"/>
      <c r="CL47" s="132" t="str">
        <f t="shared" si="39"/>
        <v/>
      </c>
      <c r="CM47" s="40"/>
      <c r="CN47" s="43" t="str">
        <f t="shared" si="40"/>
        <v/>
      </c>
      <c r="CO47" s="128"/>
      <c r="CP47" s="132" t="str">
        <f t="shared" si="41"/>
        <v/>
      </c>
      <c r="CQ47" s="24" t="s">
        <v>409</v>
      </c>
    </row>
    <row r="48" spans="1:95" ht="20" customHeight="1" x14ac:dyDescent="0.2">
      <c r="A48" s="67"/>
      <c r="B48" s="95"/>
      <c r="C48" s="25" t="s">
        <v>86</v>
      </c>
      <c r="D48" s="24" t="s">
        <v>108</v>
      </c>
      <c r="E48" s="24" t="s">
        <v>109</v>
      </c>
      <c r="F48" s="25">
        <v>2008</v>
      </c>
      <c r="G48" s="25">
        <v>54</v>
      </c>
      <c r="H48" s="29">
        <v>12</v>
      </c>
      <c r="I48" s="28" t="s">
        <v>174</v>
      </c>
      <c r="J48" s="39" t="s">
        <v>233</v>
      </c>
      <c r="K48" s="40"/>
      <c r="L48" s="43" t="str">
        <f t="shared" si="0"/>
        <v/>
      </c>
      <c r="M48" s="128"/>
      <c r="N48" s="128" t="str">
        <f t="shared" si="1"/>
        <v/>
      </c>
      <c r="O48" s="40"/>
      <c r="P48" s="43" t="str">
        <f t="shared" si="2"/>
        <v/>
      </c>
      <c r="Q48" s="128"/>
      <c r="R48" s="132" t="str">
        <f t="shared" si="3"/>
        <v/>
      </c>
      <c r="S48" s="40"/>
      <c r="T48" s="43" t="str">
        <f t="shared" si="4"/>
        <v/>
      </c>
      <c r="U48" s="128"/>
      <c r="V48" s="132" t="str">
        <f t="shared" si="5"/>
        <v/>
      </c>
      <c r="W48" s="40"/>
      <c r="X48" s="43" t="str">
        <f t="shared" si="6"/>
        <v/>
      </c>
      <c r="Y48" s="128"/>
      <c r="Z48" s="132" t="str">
        <f t="shared" si="7"/>
        <v/>
      </c>
      <c r="AA48" s="40"/>
      <c r="AB48" s="43" t="str">
        <f t="shared" si="8"/>
        <v/>
      </c>
      <c r="AC48" s="128"/>
      <c r="AD48" s="132" t="str">
        <f t="shared" si="9"/>
        <v/>
      </c>
      <c r="AE48" s="86">
        <v>0</v>
      </c>
      <c r="AF48" s="43" t="str">
        <f t="shared" si="43"/>
        <v/>
      </c>
      <c r="AG48" s="128">
        <v>1</v>
      </c>
      <c r="AH48" s="132">
        <f t="shared" si="11"/>
        <v>-1</v>
      </c>
      <c r="AI48" s="40"/>
      <c r="AJ48" s="43" t="str">
        <f t="shared" si="12"/>
        <v/>
      </c>
      <c r="AK48" s="128"/>
      <c r="AL48" s="132" t="str">
        <f t="shared" si="13"/>
        <v/>
      </c>
      <c r="AM48" s="40"/>
      <c r="AN48" s="43" t="str">
        <f t="shared" si="14"/>
        <v/>
      </c>
      <c r="AO48" s="128"/>
      <c r="AP48" s="132" t="str">
        <f t="shared" si="15"/>
        <v/>
      </c>
      <c r="AQ48" s="40"/>
      <c r="AR48" s="43" t="str">
        <f t="shared" si="16"/>
        <v/>
      </c>
      <c r="AS48" s="128"/>
      <c r="AT48" s="132" t="str">
        <f t="shared" si="17"/>
        <v/>
      </c>
      <c r="AU48" s="40">
        <v>0</v>
      </c>
      <c r="AV48" s="43" t="str">
        <f t="shared" si="18"/>
        <v/>
      </c>
      <c r="AW48" s="128">
        <v>1</v>
      </c>
      <c r="AX48" s="132">
        <f t="shared" si="19"/>
        <v>-1</v>
      </c>
      <c r="AY48" s="40">
        <v>1</v>
      </c>
      <c r="AZ48" s="43">
        <f t="shared" si="20"/>
        <v>8.3333333333333321</v>
      </c>
      <c r="BA48" s="128"/>
      <c r="BB48" s="132" t="str">
        <f t="shared" si="42"/>
        <v/>
      </c>
      <c r="BC48" s="40"/>
      <c r="BD48" s="43" t="str">
        <f t="shared" si="22"/>
        <v/>
      </c>
      <c r="BE48" s="128"/>
      <c r="BF48" s="132" t="str">
        <f t="shared" si="23"/>
        <v/>
      </c>
      <c r="BG48" s="86"/>
      <c r="BH48" s="43" t="str">
        <f t="shared" si="24"/>
        <v/>
      </c>
      <c r="BI48" s="128"/>
      <c r="BJ48" s="132" t="str">
        <f t="shared" si="25"/>
        <v/>
      </c>
      <c r="BK48" s="40"/>
      <c r="BL48" s="43" t="str">
        <f t="shared" si="26"/>
        <v/>
      </c>
      <c r="BM48" s="128"/>
      <c r="BN48" s="132" t="str">
        <f t="shared" si="27"/>
        <v/>
      </c>
      <c r="BO48" s="40">
        <v>1</v>
      </c>
      <c r="BP48" s="43">
        <f t="shared" si="28"/>
        <v>8.3333333333333321</v>
      </c>
      <c r="BQ48" s="128">
        <v>1</v>
      </c>
      <c r="BR48" s="132">
        <f t="shared" si="29"/>
        <v>0</v>
      </c>
      <c r="BS48" s="40"/>
      <c r="BT48" s="43" t="str">
        <f t="shared" si="30"/>
        <v/>
      </c>
      <c r="BU48" s="128"/>
      <c r="BV48" s="132" t="str">
        <f t="shared" si="31"/>
        <v/>
      </c>
      <c r="BW48" s="40"/>
      <c r="BX48" s="43" t="str">
        <f t="shared" si="32"/>
        <v/>
      </c>
      <c r="BY48" s="128"/>
      <c r="BZ48" s="132" t="str">
        <f t="shared" si="33"/>
        <v/>
      </c>
      <c r="CA48" s="40"/>
      <c r="CB48" s="43" t="str">
        <f t="shared" si="34"/>
        <v/>
      </c>
      <c r="CC48" s="128"/>
      <c r="CD48" s="132" t="str">
        <f t="shared" si="35"/>
        <v/>
      </c>
      <c r="CE48" s="40"/>
      <c r="CF48" s="43" t="str">
        <f t="shared" si="36"/>
        <v/>
      </c>
      <c r="CG48" s="128"/>
      <c r="CH48" s="132" t="str">
        <f t="shared" si="37"/>
        <v/>
      </c>
      <c r="CI48" s="40"/>
      <c r="CJ48" s="43" t="str">
        <f t="shared" si="38"/>
        <v/>
      </c>
      <c r="CK48" s="128"/>
      <c r="CL48" s="132" t="str">
        <f t="shared" si="39"/>
        <v/>
      </c>
      <c r="CM48" s="40"/>
      <c r="CN48" s="43" t="str">
        <f t="shared" si="40"/>
        <v/>
      </c>
      <c r="CO48" s="128"/>
      <c r="CP48" s="132" t="str">
        <f t="shared" si="41"/>
        <v/>
      </c>
      <c r="CQ48" s="24" t="s">
        <v>467</v>
      </c>
    </row>
    <row r="49" spans="1:95" ht="20" customHeight="1" x14ac:dyDescent="0.2">
      <c r="A49" s="67"/>
      <c r="B49" s="96"/>
      <c r="C49" s="25" t="s">
        <v>86</v>
      </c>
      <c r="D49" s="24" t="s">
        <v>110</v>
      </c>
      <c r="E49" s="24" t="s">
        <v>111</v>
      </c>
      <c r="F49" s="25">
        <v>1999</v>
      </c>
      <c r="G49" s="25">
        <v>76</v>
      </c>
      <c r="H49" s="29">
        <v>7</v>
      </c>
      <c r="I49" s="28" t="s">
        <v>189</v>
      </c>
      <c r="J49" s="39" t="s">
        <v>212</v>
      </c>
      <c r="K49" s="40"/>
      <c r="L49" s="43" t="str">
        <f t="shared" si="0"/>
        <v/>
      </c>
      <c r="M49" s="128"/>
      <c r="N49" s="128" t="str">
        <f t="shared" si="1"/>
        <v/>
      </c>
      <c r="O49" s="40"/>
      <c r="P49" s="43" t="str">
        <f t="shared" si="2"/>
        <v/>
      </c>
      <c r="Q49" s="128"/>
      <c r="R49" s="132" t="str">
        <f t="shared" si="3"/>
        <v/>
      </c>
      <c r="S49" s="40"/>
      <c r="T49" s="43" t="str">
        <f t="shared" si="4"/>
        <v/>
      </c>
      <c r="U49" s="128"/>
      <c r="V49" s="132" t="str">
        <f t="shared" si="5"/>
        <v/>
      </c>
      <c r="W49" s="40"/>
      <c r="X49" s="43" t="str">
        <f t="shared" si="6"/>
        <v/>
      </c>
      <c r="Y49" s="128"/>
      <c r="Z49" s="132" t="str">
        <f t="shared" si="7"/>
        <v/>
      </c>
      <c r="AA49" s="40"/>
      <c r="AB49" s="43" t="str">
        <f t="shared" si="8"/>
        <v/>
      </c>
      <c r="AC49" s="128"/>
      <c r="AD49" s="132" t="str">
        <f t="shared" si="9"/>
        <v/>
      </c>
      <c r="AE49" s="86"/>
      <c r="AF49" s="43" t="str">
        <f t="shared" si="43"/>
        <v/>
      </c>
      <c r="AG49" s="128"/>
      <c r="AH49" s="132" t="str">
        <f t="shared" si="11"/>
        <v/>
      </c>
      <c r="AI49" s="40"/>
      <c r="AJ49" s="43" t="str">
        <f t="shared" si="12"/>
        <v/>
      </c>
      <c r="AK49" s="128"/>
      <c r="AL49" s="132" t="str">
        <f t="shared" si="13"/>
        <v/>
      </c>
      <c r="AM49" s="40"/>
      <c r="AN49" s="43" t="str">
        <f t="shared" si="14"/>
        <v/>
      </c>
      <c r="AO49" s="128"/>
      <c r="AP49" s="132" t="str">
        <f t="shared" si="15"/>
        <v/>
      </c>
      <c r="AQ49" s="40"/>
      <c r="AR49" s="43" t="str">
        <f t="shared" si="16"/>
        <v/>
      </c>
      <c r="AS49" s="128"/>
      <c r="AT49" s="132" t="str">
        <f t="shared" si="17"/>
        <v/>
      </c>
      <c r="AU49" s="40"/>
      <c r="AV49" s="43" t="str">
        <f t="shared" si="18"/>
        <v/>
      </c>
      <c r="AW49" s="128"/>
      <c r="AX49" s="132" t="str">
        <f t="shared" si="19"/>
        <v/>
      </c>
      <c r="AY49" s="40"/>
      <c r="AZ49" s="43" t="str">
        <f t="shared" si="20"/>
        <v/>
      </c>
      <c r="BA49" s="128"/>
      <c r="BB49" s="132" t="str">
        <f t="shared" si="42"/>
        <v/>
      </c>
      <c r="BC49" s="40"/>
      <c r="BD49" s="43" t="str">
        <f t="shared" si="22"/>
        <v/>
      </c>
      <c r="BE49" s="128"/>
      <c r="BF49" s="132" t="str">
        <f t="shared" si="23"/>
        <v/>
      </c>
      <c r="BG49" s="86"/>
      <c r="BH49" s="43" t="str">
        <f t="shared" si="24"/>
        <v/>
      </c>
      <c r="BI49" s="128"/>
      <c r="BJ49" s="132" t="str">
        <f t="shared" si="25"/>
        <v/>
      </c>
      <c r="BK49" s="40"/>
      <c r="BL49" s="43" t="str">
        <f t="shared" si="26"/>
        <v/>
      </c>
      <c r="BM49" s="128"/>
      <c r="BN49" s="132" t="str">
        <f t="shared" si="27"/>
        <v/>
      </c>
      <c r="BO49" s="40"/>
      <c r="BP49" s="43" t="str">
        <f t="shared" si="28"/>
        <v/>
      </c>
      <c r="BQ49" s="128"/>
      <c r="BR49" s="132" t="str">
        <f t="shared" si="29"/>
        <v/>
      </c>
      <c r="BS49" s="40"/>
      <c r="BT49" s="43" t="str">
        <f t="shared" si="30"/>
        <v/>
      </c>
      <c r="BU49" s="128"/>
      <c r="BV49" s="132" t="str">
        <f t="shared" si="31"/>
        <v/>
      </c>
      <c r="BW49" s="40"/>
      <c r="BX49" s="43" t="str">
        <f t="shared" si="32"/>
        <v/>
      </c>
      <c r="BY49" s="128"/>
      <c r="BZ49" s="132" t="str">
        <f t="shared" si="33"/>
        <v/>
      </c>
      <c r="CA49" s="40"/>
      <c r="CB49" s="43" t="str">
        <f t="shared" si="34"/>
        <v/>
      </c>
      <c r="CC49" s="128"/>
      <c r="CD49" s="132" t="str">
        <f t="shared" si="35"/>
        <v/>
      </c>
      <c r="CE49" s="40"/>
      <c r="CF49" s="43" t="str">
        <f t="shared" si="36"/>
        <v/>
      </c>
      <c r="CG49" s="128"/>
      <c r="CH49" s="132" t="str">
        <f t="shared" si="37"/>
        <v/>
      </c>
      <c r="CI49" s="40"/>
      <c r="CJ49" s="43" t="str">
        <f t="shared" si="38"/>
        <v/>
      </c>
      <c r="CK49" s="128"/>
      <c r="CL49" s="132" t="str">
        <f t="shared" si="39"/>
        <v/>
      </c>
      <c r="CM49" s="40"/>
      <c r="CN49" s="43" t="str">
        <f t="shared" si="40"/>
        <v/>
      </c>
      <c r="CO49" s="128"/>
      <c r="CP49" s="132" t="str">
        <f t="shared" si="41"/>
        <v/>
      </c>
      <c r="CQ49" s="24" t="s">
        <v>196</v>
      </c>
    </row>
    <row r="50" spans="1:95" ht="20" customHeight="1" x14ac:dyDescent="0.2">
      <c r="A50" s="68"/>
      <c r="B50" s="96"/>
      <c r="C50" s="25" t="s">
        <v>86</v>
      </c>
      <c r="D50" s="24" t="s">
        <v>112</v>
      </c>
      <c r="E50" s="24" t="s">
        <v>113</v>
      </c>
      <c r="F50" s="25">
        <v>2008</v>
      </c>
      <c r="G50" s="25">
        <v>101</v>
      </c>
      <c r="H50" s="29">
        <v>16</v>
      </c>
      <c r="I50" s="28" t="s">
        <v>235</v>
      </c>
      <c r="J50" s="39"/>
      <c r="K50" s="40"/>
      <c r="L50" s="43" t="str">
        <f t="shared" si="0"/>
        <v/>
      </c>
      <c r="M50" s="128"/>
      <c r="N50" s="128" t="str">
        <f t="shared" si="1"/>
        <v/>
      </c>
      <c r="O50" s="40"/>
      <c r="P50" s="43" t="str">
        <f t="shared" si="2"/>
        <v/>
      </c>
      <c r="Q50" s="128"/>
      <c r="R50" s="132" t="str">
        <f t="shared" si="3"/>
        <v/>
      </c>
      <c r="S50" s="40"/>
      <c r="T50" s="43" t="str">
        <f t="shared" si="4"/>
        <v/>
      </c>
      <c r="U50" s="128"/>
      <c r="V50" s="132" t="str">
        <f t="shared" si="5"/>
        <v/>
      </c>
      <c r="W50" s="40"/>
      <c r="X50" s="43" t="str">
        <f t="shared" si="6"/>
        <v/>
      </c>
      <c r="Y50" s="128"/>
      <c r="Z50" s="132" t="str">
        <f t="shared" si="7"/>
        <v/>
      </c>
      <c r="AA50" s="40"/>
      <c r="AB50" s="43" t="str">
        <f t="shared" si="8"/>
        <v/>
      </c>
      <c r="AC50" s="128"/>
      <c r="AD50" s="132" t="str">
        <f t="shared" si="9"/>
        <v/>
      </c>
      <c r="AE50" s="86"/>
      <c r="AF50" s="43" t="str">
        <f t="shared" si="43"/>
        <v/>
      </c>
      <c r="AG50" s="128"/>
      <c r="AH50" s="132" t="str">
        <f t="shared" si="11"/>
        <v/>
      </c>
      <c r="AI50" s="40"/>
      <c r="AJ50" s="43" t="str">
        <f t="shared" si="12"/>
        <v/>
      </c>
      <c r="AK50" s="128"/>
      <c r="AL50" s="132" t="str">
        <f t="shared" si="13"/>
        <v/>
      </c>
      <c r="AM50" s="40"/>
      <c r="AN50" s="43" t="str">
        <f t="shared" si="14"/>
        <v/>
      </c>
      <c r="AO50" s="128"/>
      <c r="AP50" s="132" t="str">
        <f t="shared" si="15"/>
        <v/>
      </c>
      <c r="AQ50" s="40"/>
      <c r="AR50" s="43" t="str">
        <f t="shared" si="16"/>
        <v/>
      </c>
      <c r="AS50" s="128"/>
      <c r="AT50" s="132" t="str">
        <f t="shared" si="17"/>
        <v/>
      </c>
      <c r="AU50" s="40"/>
      <c r="AV50" s="43" t="str">
        <f t="shared" si="18"/>
        <v/>
      </c>
      <c r="AW50" s="128"/>
      <c r="AX50" s="132" t="str">
        <f t="shared" si="19"/>
        <v/>
      </c>
      <c r="AY50" s="40"/>
      <c r="AZ50" s="43" t="str">
        <f t="shared" si="20"/>
        <v/>
      </c>
      <c r="BA50" s="128"/>
      <c r="BB50" s="132" t="str">
        <f t="shared" si="42"/>
        <v/>
      </c>
      <c r="BC50" s="40"/>
      <c r="BD50" s="43" t="str">
        <f t="shared" si="22"/>
        <v/>
      </c>
      <c r="BE50" s="128"/>
      <c r="BF50" s="132" t="str">
        <f t="shared" si="23"/>
        <v/>
      </c>
      <c r="BG50" s="86"/>
      <c r="BH50" s="43" t="str">
        <f t="shared" si="24"/>
        <v/>
      </c>
      <c r="BI50" s="128"/>
      <c r="BJ50" s="132" t="str">
        <f t="shared" si="25"/>
        <v/>
      </c>
      <c r="BK50" s="40"/>
      <c r="BL50" s="43" t="str">
        <f t="shared" si="26"/>
        <v/>
      </c>
      <c r="BM50" s="128"/>
      <c r="BN50" s="132" t="str">
        <f t="shared" si="27"/>
        <v/>
      </c>
      <c r="BO50" s="40"/>
      <c r="BP50" s="43" t="str">
        <f t="shared" si="28"/>
        <v/>
      </c>
      <c r="BQ50" s="128"/>
      <c r="BR50" s="132" t="str">
        <f t="shared" si="29"/>
        <v/>
      </c>
      <c r="BS50" s="40"/>
      <c r="BT50" s="43" t="str">
        <f t="shared" si="30"/>
        <v/>
      </c>
      <c r="BU50" s="128"/>
      <c r="BV50" s="132" t="str">
        <f t="shared" si="31"/>
        <v/>
      </c>
      <c r="BW50" s="40"/>
      <c r="BX50" s="43" t="str">
        <f t="shared" si="32"/>
        <v/>
      </c>
      <c r="BY50" s="128"/>
      <c r="BZ50" s="132" t="str">
        <f t="shared" si="33"/>
        <v/>
      </c>
      <c r="CA50" s="40"/>
      <c r="CB50" s="43" t="str">
        <f t="shared" si="34"/>
        <v/>
      </c>
      <c r="CC50" s="128"/>
      <c r="CD50" s="132" t="str">
        <f t="shared" si="35"/>
        <v/>
      </c>
      <c r="CE50" s="40"/>
      <c r="CF50" s="43" t="str">
        <f t="shared" si="36"/>
        <v/>
      </c>
      <c r="CG50" s="128"/>
      <c r="CH50" s="132" t="str">
        <f t="shared" si="37"/>
        <v/>
      </c>
      <c r="CI50" s="40"/>
      <c r="CJ50" s="43" t="str">
        <f t="shared" si="38"/>
        <v/>
      </c>
      <c r="CK50" s="128"/>
      <c r="CL50" s="132" t="str">
        <f t="shared" si="39"/>
        <v/>
      </c>
      <c r="CM50" s="40"/>
      <c r="CN50" s="43" t="str">
        <f t="shared" si="40"/>
        <v/>
      </c>
      <c r="CO50" s="128"/>
      <c r="CP50" s="132" t="str">
        <f t="shared" si="41"/>
        <v/>
      </c>
      <c r="CQ50" s="24" t="s">
        <v>432</v>
      </c>
    </row>
    <row r="51" spans="1:95" ht="20" customHeight="1" x14ac:dyDescent="0.2">
      <c r="A51" s="67"/>
      <c r="B51" s="95"/>
      <c r="C51" s="25" t="s">
        <v>86</v>
      </c>
      <c r="D51" s="24" t="s">
        <v>120</v>
      </c>
      <c r="E51" s="24" t="s">
        <v>121</v>
      </c>
      <c r="F51" s="25">
        <v>2003</v>
      </c>
      <c r="G51" s="25">
        <v>45</v>
      </c>
      <c r="H51" s="29">
        <v>16</v>
      </c>
      <c r="I51" s="28" t="s">
        <v>189</v>
      </c>
      <c r="J51" s="39" t="s">
        <v>468</v>
      </c>
      <c r="K51" s="40"/>
      <c r="L51" s="43" t="str">
        <f t="shared" si="0"/>
        <v/>
      </c>
      <c r="M51" s="128"/>
      <c r="N51" s="128" t="str">
        <f t="shared" si="1"/>
        <v/>
      </c>
      <c r="O51" s="40"/>
      <c r="P51" s="43" t="str">
        <f t="shared" si="2"/>
        <v/>
      </c>
      <c r="Q51" s="128"/>
      <c r="R51" s="132" t="str">
        <f t="shared" si="3"/>
        <v/>
      </c>
      <c r="S51" s="40"/>
      <c r="T51" s="43" t="str">
        <f t="shared" si="4"/>
        <v/>
      </c>
      <c r="U51" s="128"/>
      <c r="V51" s="132" t="str">
        <f t="shared" si="5"/>
        <v/>
      </c>
      <c r="W51" s="45"/>
      <c r="X51" s="46" t="str">
        <f t="shared" si="6"/>
        <v/>
      </c>
      <c r="Y51" s="128"/>
      <c r="Z51" s="132" t="str">
        <f t="shared" si="7"/>
        <v/>
      </c>
      <c r="AA51" s="40"/>
      <c r="AB51" s="43" t="str">
        <f t="shared" si="8"/>
        <v/>
      </c>
      <c r="AC51" s="128"/>
      <c r="AD51" s="132" t="str">
        <f t="shared" si="9"/>
        <v/>
      </c>
      <c r="AE51" s="45"/>
      <c r="AF51" s="46" t="str">
        <f t="shared" si="43"/>
        <v/>
      </c>
      <c r="AG51" s="128"/>
      <c r="AH51" s="132" t="str">
        <f t="shared" si="11"/>
        <v/>
      </c>
      <c r="AI51" s="40"/>
      <c r="AJ51" s="43" t="str">
        <f t="shared" si="12"/>
        <v/>
      </c>
      <c r="AK51" s="128"/>
      <c r="AL51" s="132" t="str">
        <f t="shared" si="13"/>
        <v/>
      </c>
      <c r="AM51" s="40"/>
      <c r="AN51" s="43" t="str">
        <f t="shared" si="14"/>
        <v/>
      </c>
      <c r="AO51" s="128"/>
      <c r="AP51" s="132" t="str">
        <f t="shared" si="15"/>
        <v/>
      </c>
      <c r="AQ51" s="40"/>
      <c r="AR51" s="43" t="str">
        <f t="shared" si="16"/>
        <v/>
      </c>
      <c r="AS51" s="128"/>
      <c r="AT51" s="132" t="str">
        <f t="shared" si="17"/>
        <v/>
      </c>
      <c r="AU51" s="40"/>
      <c r="AV51" s="43" t="str">
        <f t="shared" si="18"/>
        <v/>
      </c>
      <c r="AW51" s="128"/>
      <c r="AX51" s="132" t="str">
        <f t="shared" si="19"/>
        <v/>
      </c>
      <c r="AY51" s="40"/>
      <c r="AZ51" s="43" t="str">
        <f t="shared" si="20"/>
        <v/>
      </c>
      <c r="BA51" s="128"/>
      <c r="BB51" s="132" t="str">
        <f t="shared" si="42"/>
        <v/>
      </c>
      <c r="BC51" s="40"/>
      <c r="BD51" s="43" t="str">
        <f t="shared" si="22"/>
        <v/>
      </c>
      <c r="BE51" s="128"/>
      <c r="BF51" s="132" t="str">
        <f t="shared" si="23"/>
        <v/>
      </c>
      <c r="BG51" s="86"/>
      <c r="BH51" s="43" t="str">
        <f t="shared" si="24"/>
        <v/>
      </c>
      <c r="BI51" s="128"/>
      <c r="BJ51" s="132" t="str">
        <f t="shared" si="25"/>
        <v/>
      </c>
      <c r="BK51" s="40"/>
      <c r="BL51" s="43" t="str">
        <f t="shared" si="26"/>
        <v/>
      </c>
      <c r="BM51" s="128"/>
      <c r="BN51" s="132" t="str">
        <f t="shared" si="27"/>
        <v/>
      </c>
      <c r="BO51" s="40"/>
      <c r="BP51" s="43" t="str">
        <f t="shared" si="28"/>
        <v/>
      </c>
      <c r="BQ51" s="128"/>
      <c r="BR51" s="132" t="str">
        <f t="shared" si="29"/>
        <v/>
      </c>
      <c r="BS51" s="40"/>
      <c r="BT51" s="43" t="str">
        <f t="shared" si="30"/>
        <v/>
      </c>
      <c r="BU51" s="128"/>
      <c r="BV51" s="132" t="str">
        <f t="shared" si="31"/>
        <v/>
      </c>
      <c r="BW51" s="40"/>
      <c r="BX51" s="43" t="str">
        <f t="shared" si="32"/>
        <v/>
      </c>
      <c r="BY51" s="128"/>
      <c r="BZ51" s="132" t="str">
        <f t="shared" si="33"/>
        <v/>
      </c>
      <c r="CA51" s="40"/>
      <c r="CB51" s="43" t="str">
        <f t="shared" si="34"/>
        <v/>
      </c>
      <c r="CC51" s="128"/>
      <c r="CD51" s="132" t="str">
        <f t="shared" si="35"/>
        <v/>
      </c>
      <c r="CE51" s="40"/>
      <c r="CF51" s="43" t="str">
        <f t="shared" si="36"/>
        <v/>
      </c>
      <c r="CG51" s="128"/>
      <c r="CH51" s="132" t="str">
        <f t="shared" si="37"/>
        <v/>
      </c>
      <c r="CI51" s="40"/>
      <c r="CJ51" s="43" t="str">
        <f t="shared" si="38"/>
        <v/>
      </c>
      <c r="CK51" s="128"/>
      <c r="CL51" s="132" t="str">
        <f t="shared" si="39"/>
        <v/>
      </c>
      <c r="CM51" s="40"/>
      <c r="CN51" s="43" t="str">
        <f t="shared" si="40"/>
        <v/>
      </c>
      <c r="CO51" s="128"/>
      <c r="CP51" s="132" t="str">
        <f t="shared" si="41"/>
        <v/>
      </c>
      <c r="CQ51" s="24" t="s">
        <v>456</v>
      </c>
    </row>
    <row r="52" spans="1:95" ht="20" customHeight="1" x14ac:dyDescent="0.2">
      <c r="A52" s="67"/>
      <c r="B52" s="95"/>
      <c r="C52" s="25" t="s">
        <v>86</v>
      </c>
      <c r="D52" s="24" t="s">
        <v>347</v>
      </c>
      <c r="E52" s="24" t="s">
        <v>348</v>
      </c>
      <c r="F52" s="25">
        <v>2015</v>
      </c>
      <c r="H52" s="29">
        <v>5</v>
      </c>
      <c r="I52" s="28" t="s">
        <v>235</v>
      </c>
      <c r="J52" s="39" t="s">
        <v>208</v>
      </c>
      <c r="K52" s="40"/>
      <c r="L52" s="43" t="str">
        <f t="shared" si="0"/>
        <v/>
      </c>
      <c r="M52" s="128"/>
      <c r="N52" s="128" t="str">
        <f t="shared" si="1"/>
        <v/>
      </c>
      <c r="O52" s="40"/>
      <c r="P52" s="43" t="str">
        <f t="shared" si="2"/>
        <v/>
      </c>
      <c r="Q52" s="128"/>
      <c r="R52" s="132" t="str">
        <f t="shared" si="3"/>
        <v/>
      </c>
      <c r="S52" s="40"/>
      <c r="T52" s="43" t="str">
        <f t="shared" si="4"/>
        <v/>
      </c>
      <c r="U52" s="128"/>
      <c r="V52" s="132" t="str">
        <f t="shared" si="5"/>
        <v/>
      </c>
      <c r="W52" s="40"/>
      <c r="X52" s="43" t="str">
        <f t="shared" si="6"/>
        <v/>
      </c>
      <c r="Y52" s="128"/>
      <c r="Z52" s="132" t="str">
        <f t="shared" si="7"/>
        <v/>
      </c>
      <c r="AA52" s="40"/>
      <c r="AB52" s="43" t="str">
        <f t="shared" si="8"/>
        <v/>
      </c>
      <c r="AC52" s="128"/>
      <c r="AD52" s="132" t="str">
        <f t="shared" si="9"/>
        <v/>
      </c>
      <c r="AE52" s="86"/>
      <c r="AF52" s="43" t="str">
        <f t="shared" si="43"/>
        <v/>
      </c>
      <c r="AG52" s="128"/>
      <c r="AH52" s="132" t="str">
        <f t="shared" si="11"/>
        <v/>
      </c>
      <c r="AI52" s="40"/>
      <c r="AJ52" s="43" t="str">
        <f t="shared" si="12"/>
        <v/>
      </c>
      <c r="AK52" s="128"/>
      <c r="AL52" s="132" t="str">
        <f t="shared" si="13"/>
        <v/>
      </c>
      <c r="AM52" s="40"/>
      <c r="AN52" s="43" t="str">
        <f t="shared" si="14"/>
        <v/>
      </c>
      <c r="AO52" s="128"/>
      <c r="AP52" s="132" t="str">
        <f t="shared" si="15"/>
        <v/>
      </c>
      <c r="AQ52" s="40"/>
      <c r="AR52" s="43" t="str">
        <f t="shared" si="16"/>
        <v/>
      </c>
      <c r="AS52" s="128"/>
      <c r="AT52" s="132" t="str">
        <f t="shared" si="17"/>
        <v/>
      </c>
      <c r="AU52" s="40"/>
      <c r="AV52" s="43" t="str">
        <f t="shared" si="18"/>
        <v/>
      </c>
      <c r="AW52" s="128"/>
      <c r="AX52" s="132" t="str">
        <f t="shared" si="19"/>
        <v/>
      </c>
      <c r="AY52" s="40"/>
      <c r="AZ52" s="43" t="str">
        <f t="shared" si="20"/>
        <v/>
      </c>
      <c r="BA52" s="128"/>
      <c r="BB52" s="132" t="str">
        <f t="shared" si="42"/>
        <v/>
      </c>
      <c r="BC52" s="40"/>
      <c r="BD52" s="43" t="str">
        <f t="shared" si="22"/>
        <v/>
      </c>
      <c r="BE52" s="128"/>
      <c r="BF52" s="132" t="str">
        <f t="shared" si="23"/>
        <v/>
      </c>
      <c r="BG52" s="86">
        <v>1</v>
      </c>
      <c r="BH52" s="43">
        <f t="shared" si="24"/>
        <v>20</v>
      </c>
      <c r="BI52" s="128">
        <v>2</v>
      </c>
      <c r="BJ52" s="132">
        <f t="shared" si="25"/>
        <v>-1</v>
      </c>
      <c r="BK52" s="40"/>
      <c r="BL52" s="43" t="str">
        <f t="shared" si="26"/>
        <v/>
      </c>
      <c r="BM52" s="128"/>
      <c r="BN52" s="132" t="str">
        <f t="shared" si="27"/>
        <v/>
      </c>
      <c r="BO52" s="40"/>
      <c r="BP52" s="43" t="str">
        <f t="shared" si="28"/>
        <v/>
      </c>
      <c r="BQ52" s="128"/>
      <c r="BR52" s="132" t="str">
        <f t="shared" si="29"/>
        <v/>
      </c>
      <c r="BS52" s="40"/>
      <c r="BT52" s="43" t="str">
        <f t="shared" si="30"/>
        <v/>
      </c>
      <c r="BU52" s="128"/>
      <c r="BV52" s="132" t="str">
        <f t="shared" si="31"/>
        <v/>
      </c>
      <c r="BW52" s="40"/>
      <c r="BX52" s="43" t="str">
        <f t="shared" si="32"/>
        <v/>
      </c>
      <c r="BY52" s="128"/>
      <c r="BZ52" s="132" t="str">
        <f t="shared" si="33"/>
        <v/>
      </c>
      <c r="CA52" s="40"/>
      <c r="CB52" s="43" t="str">
        <f t="shared" si="34"/>
        <v/>
      </c>
      <c r="CC52" s="128"/>
      <c r="CD52" s="132" t="str">
        <f t="shared" si="35"/>
        <v/>
      </c>
      <c r="CE52" s="40"/>
      <c r="CF52" s="43" t="str">
        <f t="shared" si="36"/>
        <v/>
      </c>
      <c r="CG52" s="128"/>
      <c r="CH52" s="132" t="str">
        <f t="shared" si="37"/>
        <v/>
      </c>
      <c r="CI52" s="40"/>
      <c r="CJ52" s="43" t="str">
        <f t="shared" si="38"/>
        <v/>
      </c>
      <c r="CK52" s="128"/>
      <c r="CL52" s="132" t="str">
        <f t="shared" si="39"/>
        <v/>
      </c>
      <c r="CM52" s="40"/>
      <c r="CN52" s="43" t="str">
        <f t="shared" si="40"/>
        <v/>
      </c>
      <c r="CO52" s="128"/>
      <c r="CP52" s="132" t="str">
        <f t="shared" si="41"/>
        <v/>
      </c>
      <c r="CQ52" s="24" t="s">
        <v>469</v>
      </c>
    </row>
    <row r="53" spans="1:95" ht="20" customHeight="1" x14ac:dyDescent="0.2">
      <c r="A53" s="67"/>
      <c r="B53" s="96"/>
      <c r="C53" s="25" t="s">
        <v>86</v>
      </c>
      <c r="D53" s="24" t="s">
        <v>349</v>
      </c>
      <c r="E53" s="24" t="s">
        <v>350</v>
      </c>
      <c r="F53" s="25">
        <v>2008</v>
      </c>
      <c r="H53" s="29">
        <v>86</v>
      </c>
      <c r="I53" s="28" t="s">
        <v>189</v>
      </c>
      <c r="J53" s="39"/>
      <c r="K53" s="40"/>
      <c r="L53" s="43" t="str">
        <f t="shared" si="0"/>
        <v/>
      </c>
      <c r="M53" s="128"/>
      <c r="N53" s="128" t="str">
        <f t="shared" si="1"/>
        <v/>
      </c>
      <c r="O53" s="40"/>
      <c r="P53" s="43" t="str">
        <f t="shared" si="2"/>
        <v/>
      </c>
      <c r="Q53" s="128"/>
      <c r="R53" s="132" t="str">
        <f t="shared" si="3"/>
        <v/>
      </c>
      <c r="S53" s="40"/>
      <c r="T53" s="43" t="str">
        <f t="shared" si="4"/>
        <v/>
      </c>
      <c r="U53" s="128"/>
      <c r="V53" s="132" t="str">
        <f t="shared" si="5"/>
        <v/>
      </c>
      <c r="W53" s="40"/>
      <c r="X53" s="43" t="str">
        <f t="shared" si="6"/>
        <v/>
      </c>
      <c r="Y53" s="128"/>
      <c r="Z53" s="132" t="str">
        <f t="shared" si="7"/>
        <v/>
      </c>
      <c r="AA53" s="40"/>
      <c r="AB53" s="43" t="str">
        <f t="shared" si="8"/>
        <v/>
      </c>
      <c r="AC53" s="128"/>
      <c r="AD53" s="132" t="str">
        <f t="shared" si="9"/>
        <v/>
      </c>
      <c r="AE53" s="86"/>
      <c r="AF53" s="43" t="str">
        <f t="shared" si="43"/>
        <v/>
      </c>
      <c r="AG53" s="128"/>
      <c r="AH53" s="132" t="str">
        <f t="shared" si="11"/>
        <v/>
      </c>
      <c r="AI53" s="40"/>
      <c r="AJ53" s="43" t="str">
        <f t="shared" si="12"/>
        <v/>
      </c>
      <c r="AK53" s="128"/>
      <c r="AL53" s="132" t="str">
        <f t="shared" si="13"/>
        <v/>
      </c>
      <c r="AM53" s="40"/>
      <c r="AN53" s="43" t="str">
        <f t="shared" si="14"/>
        <v/>
      </c>
      <c r="AO53" s="128"/>
      <c r="AP53" s="132" t="str">
        <f t="shared" si="15"/>
        <v/>
      </c>
      <c r="AQ53" s="40"/>
      <c r="AR53" s="43" t="str">
        <f t="shared" si="16"/>
        <v/>
      </c>
      <c r="AS53" s="128"/>
      <c r="AT53" s="132" t="str">
        <f t="shared" si="17"/>
        <v/>
      </c>
      <c r="AU53" s="40"/>
      <c r="AV53" s="43" t="str">
        <f t="shared" si="18"/>
        <v/>
      </c>
      <c r="AW53" s="128"/>
      <c r="AX53" s="132" t="str">
        <f t="shared" si="19"/>
        <v/>
      </c>
      <c r="AY53" s="40"/>
      <c r="AZ53" s="43" t="str">
        <f t="shared" si="20"/>
        <v/>
      </c>
      <c r="BA53" s="128"/>
      <c r="BB53" s="132" t="str">
        <f t="shared" si="42"/>
        <v/>
      </c>
      <c r="BC53" s="40"/>
      <c r="BD53" s="43" t="str">
        <f t="shared" si="22"/>
        <v/>
      </c>
      <c r="BE53" s="128"/>
      <c r="BF53" s="132" t="str">
        <f t="shared" si="23"/>
        <v/>
      </c>
      <c r="BG53" s="86"/>
      <c r="BH53" s="43" t="str">
        <f t="shared" si="24"/>
        <v/>
      </c>
      <c r="BI53" s="128"/>
      <c r="BJ53" s="132" t="str">
        <f t="shared" si="25"/>
        <v/>
      </c>
      <c r="BK53" s="40"/>
      <c r="BL53" s="43" t="str">
        <f t="shared" si="26"/>
        <v/>
      </c>
      <c r="BM53" s="128"/>
      <c r="BN53" s="132" t="str">
        <f t="shared" si="27"/>
        <v/>
      </c>
      <c r="BO53" s="40"/>
      <c r="BP53" s="43" t="str">
        <f t="shared" si="28"/>
        <v/>
      </c>
      <c r="BQ53" s="128"/>
      <c r="BR53" s="132" t="str">
        <f t="shared" si="29"/>
        <v/>
      </c>
      <c r="BS53" s="40"/>
      <c r="BT53" s="43" t="str">
        <f t="shared" si="30"/>
        <v/>
      </c>
      <c r="BU53" s="128"/>
      <c r="BV53" s="132" t="str">
        <f t="shared" si="31"/>
        <v/>
      </c>
      <c r="BW53" s="40"/>
      <c r="BX53" s="43" t="str">
        <f t="shared" si="32"/>
        <v/>
      </c>
      <c r="BY53" s="128"/>
      <c r="BZ53" s="132" t="str">
        <f t="shared" si="33"/>
        <v/>
      </c>
      <c r="CA53" s="40"/>
      <c r="CB53" s="43" t="str">
        <f t="shared" si="34"/>
        <v/>
      </c>
      <c r="CC53" s="128"/>
      <c r="CD53" s="132" t="str">
        <f t="shared" si="35"/>
        <v/>
      </c>
      <c r="CE53" s="40"/>
      <c r="CF53" s="43" t="str">
        <f t="shared" si="36"/>
        <v/>
      </c>
      <c r="CG53" s="128"/>
      <c r="CH53" s="132" t="str">
        <f t="shared" si="37"/>
        <v/>
      </c>
      <c r="CI53" s="40"/>
      <c r="CJ53" s="43" t="str">
        <f t="shared" si="38"/>
        <v/>
      </c>
      <c r="CK53" s="128"/>
      <c r="CL53" s="132" t="str">
        <f t="shared" si="39"/>
        <v/>
      </c>
      <c r="CM53" s="40"/>
      <c r="CN53" s="43" t="str">
        <f t="shared" si="40"/>
        <v/>
      </c>
      <c r="CO53" s="128"/>
      <c r="CP53" s="132" t="str">
        <f t="shared" si="41"/>
        <v/>
      </c>
      <c r="CQ53" s="24" t="s">
        <v>412</v>
      </c>
    </row>
    <row r="54" spans="1:95" ht="20" customHeight="1" x14ac:dyDescent="0.2">
      <c r="A54" s="67"/>
      <c r="B54" s="96"/>
      <c r="C54" s="25" t="s">
        <v>86</v>
      </c>
      <c r="D54" s="24" t="s">
        <v>351</v>
      </c>
      <c r="E54" s="24" t="s">
        <v>352</v>
      </c>
      <c r="F54" s="25">
        <v>2012</v>
      </c>
      <c r="H54" s="29"/>
      <c r="I54" s="28" t="s">
        <v>413</v>
      </c>
      <c r="J54" s="39" t="s">
        <v>233</v>
      </c>
      <c r="K54" s="40"/>
      <c r="L54" s="43" t="str">
        <f t="shared" si="0"/>
        <v/>
      </c>
      <c r="M54" s="128"/>
      <c r="N54" s="128" t="str">
        <f t="shared" si="1"/>
        <v/>
      </c>
      <c r="O54" s="40"/>
      <c r="P54" s="43" t="str">
        <f t="shared" si="2"/>
        <v/>
      </c>
      <c r="Q54" s="128"/>
      <c r="R54" s="132" t="str">
        <f t="shared" si="3"/>
        <v/>
      </c>
      <c r="S54" s="40"/>
      <c r="T54" s="43" t="str">
        <f t="shared" si="4"/>
        <v/>
      </c>
      <c r="U54" s="128"/>
      <c r="V54" s="132" t="str">
        <f t="shared" si="5"/>
        <v/>
      </c>
      <c r="W54" s="40"/>
      <c r="X54" s="43" t="str">
        <f t="shared" si="6"/>
        <v/>
      </c>
      <c r="Y54" s="128"/>
      <c r="Z54" s="132" t="str">
        <f t="shared" si="7"/>
        <v/>
      </c>
      <c r="AA54" s="40"/>
      <c r="AB54" s="43" t="str">
        <f t="shared" si="8"/>
        <v/>
      </c>
      <c r="AC54" s="128"/>
      <c r="AD54" s="132" t="str">
        <f t="shared" si="9"/>
        <v/>
      </c>
      <c r="AE54" s="86"/>
      <c r="AF54" s="43" t="str">
        <f t="shared" si="43"/>
        <v/>
      </c>
      <c r="AG54" s="128"/>
      <c r="AH54" s="132" t="str">
        <f t="shared" si="11"/>
        <v/>
      </c>
      <c r="AI54" s="40"/>
      <c r="AJ54" s="43" t="str">
        <f t="shared" si="12"/>
        <v/>
      </c>
      <c r="AK54" s="128"/>
      <c r="AL54" s="132" t="str">
        <f t="shared" si="13"/>
        <v/>
      </c>
      <c r="AM54" s="40"/>
      <c r="AN54" s="43" t="str">
        <f t="shared" si="14"/>
        <v/>
      </c>
      <c r="AO54" s="128"/>
      <c r="AP54" s="132" t="str">
        <f t="shared" si="15"/>
        <v/>
      </c>
      <c r="AQ54" s="40"/>
      <c r="AR54" s="43" t="str">
        <f t="shared" si="16"/>
        <v/>
      </c>
      <c r="AS54" s="128"/>
      <c r="AT54" s="132" t="str">
        <f t="shared" si="17"/>
        <v/>
      </c>
      <c r="AU54" s="40"/>
      <c r="AV54" s="43" t="str">
        <f t="shared" si="18"/>
        <v/>
      </c>
      <c r="AW54" s="128"/>
      <c r="AX54" s="132" t="str">
        <f t="shared" si="19"/>
        <v/>
      </c>
      <c r="AY54" s="40"/>
      <c r="AZ54" s="43" t="str">
        <f t="shared" si="20"/>
        <v/>
      </c>
      <c r="BA54" s="128"/>
      <c r="BB54" s="132" t="str">
        <f t="shared" si="42"/>
        <v/>
      </c>
      <c r="BC54" s="40"/>
      <c r="BD54" s="43" t="str">
        <f t="shared" si="22"/>
        <v/>
      </c>
      <c r="BE54" s="128"/>
      <c r="BF54" s="132" t="str">
        <f t="shared" si="23"/>
        <v/>
      </c>
      <c r="BG54" s="86"/>
      <c r="BH54" s="43" t="str">
        <f t="shared" si="24"/>
        <v/>
      </c>
      <c r="BI54" s="128"/>
      <c r="BJ54" s="132" t="str">
        <f t="shared" si="25"/>
        <v/>
      </c>
      <c r="BK54" s="40"/>
      <c r="BL54" s="43" t="str">
        <f t="shared" si="26"/>
        <v/>
      </c>
      <c r="BM54" s="128"/>
      <c r="BN54" s="132" t="str">
        <f t="shared" si="27"/>
        <v/>
      </c>
      <c r="BO54" s="40"/>
      <c r="BP54" s="43" t="str">
        <f t="shared" si="28"/>
        <v/>
      </c>
      <c r="BQ54" s="128"/>
      <c r="BR54" s="132" t="str">
        <f t="shared" si="29"/>
        <v/>
      </c>
      <c r="BS54" s="40"/>
      <c r="BT54" s="43" t="str">
        <f t="shared" si="30"/>
        <v/>
      </c>
      <c r="BU54" s="128"/>
      <c r="BV54" s="132" t="str">
        <f t="shared" si="31"/>
        <v/>
      </c>
      <c r="BW54" s="40"/>
      <c r="BX54" s="43" t="str">
        <f t="shared" si="32"/>
        <v/>
      </c>
      <c r="BY54" s="128"/>
      <c r="BZ54" s="132" t="str">
        <f t="shared" si="33"/>
        <v/>
      </c>
      <c r="CA54" s="40"/>
      <c r="CB54" s="43" t="str">
        <f t="shared" si="34"/>
        <v/>
      </c>
      <c r="CC54" s="128"/>
      <c r="CD54" s="132" t="str">
        <f t="shared" si="35"/>
        <v/>
      </c>
      <c r="CE54" s="40"/>
      <c r="CF54" s="43" t="str">
        <f t="shared" si="36"/>
        <v/>
      </c>
      <c r="CG54" s="128"/>
      <c r="CH54" s="132" t="str">
        <f t="shared" si="37"/>
        <v/>
      </c>
      <c r="CI54" s="40"/>
      <c r="CJ54" s="43" t="str">
        <f t="shared" si="38"/>
        <v/>
      </c>
      <c r="CK54" s="128"/>
      <c r="CL54" s="132" t="str">
        <f t="shared" si="39"/>
        <v/>
      </c>
      <c r="CM54" s="40"/>
      <c r="CN54" s="43" t="str">
        <f t="shared" si="40"/>
        <v/>
      </c>
      <c r="CO54" s="128"/>
      <c r="CP54" s="132" t="str">
        <f t="shared" si="41"/>
        <v/>
      </c>
    </row>
    <row r="55" spans="1:95" ht="20" customHeight="1" x14ac:dyDescent="0.2">
      <c r="A55" s="68"/>
      <c r="B55" s="25"/>
      <c r="C55" s="25" t="s">
        <v>86</v>
      </c>
      <c r="D55" s="24" t="s">
        <v>128</v>
      </c>
      <c r="E55" s="24" t="s">
        <v>129</v>
      </c>
      <c r="F55" s="25">
        <v>2000</v>
      </c>
      <c r="G55" s="25">
        <v>252</v>
      </c>
      <c r="H55" s="29">
        <v>30</v>
      </c>
      <c r="I55" s="28" t="s">
        <v>246</v>
      </c>
      <c r="J55" s="39" t="s">
        <v>176</v>
      </c>
      <c r="K55" s="40"/>
      <c r="L55" s="43" t="str">
        <f t="shared" si="0"/>
        <v/>
      </c>
      <c r="M55" s="128"/>
      <c r="N55" s="128" t="str">
        <f t="shared" si="1"/>
        <v/>
      </c>
      <c r="O55" s="40"/>
      <c r="P55" s="43" t="str">
        <f t="shared" si="2"/>
        <v/>
      </c>
      <c r="Q55" s="128"/>
      <c r="R55" s="132" t="str">
        <f t="shared" si="3"/>
        <v/>
      </c>
      <c r="S55" s="40"/>
      <c r="T55" s="43" t="str">
        <f t="shared" si="4"/>
        <v/>
      </c>
      <c r="U55" s="128"/>
      <c r="V55" s="132" t="str">
        <f t="shared" si="5"/>
        <v/>
      </c>
      <c r="W55" s="40"/>
      <c r="X55" s="43" t="str">
        <f t="shared" si="6"/>
        <v/>
      </c>
      <c r="Y55" s="128"/>
      <c r="Z55" s="132" t="str">
        <f t="shared" si="7"/>
        <v/>
      </c>
      <c r="AA55" s="40"/>
      <c r="AB55" s="43" t="str">
        <f t="shared" si="8"/>
        <v/>
      </c>
      <c r="AC55" s="128"/>
      <c r="AD55" s="132" t="str">
        <f t="shared" si="9"/>
        <v/>
      </c>
      <c r="AE55" s="86"/>
      <c r="AF55" s="43" t="str">
        <f t="shared" si="43"/>
        <v/>
      </c>
      <c r="AG55" s="128"/>
      <c r="AH55" s="132" t="str">
        <f t="shared" si="11"/>
        <v/>
      </c>
      <c r="AI55" s="40"/>
      <c r="AJ55" s="43" t="str">
        <f t="shared" si="12"/>
        <v/>
      </c>
      <c r="AK55" s="128"/>
      <c r="AL55" s="132" t="str">
        <f t="shared" si="13"/>
        <v/>
      </c>
      <c r="AM55" s="40"/>
      <c r="AN55" s="43" t="str">
        <f t="shared" si="14"/>
        <v/>
      </c>
      <c r="AO55" s="128"/>
      <c r="AP55" s="132" t="str">
        <f t="shared" si="15"/>
        <v/>
      </c>
      <c r="AQ55" s="40"/>
      <c r="AR55" s="43" t="str">
        <f t="shared" si="16"/>
        <v/>
      </c>
      <c r="AS55" s="128"/>
      <c r="AT55" s="132" t="str">
        <f t="shared" si="17"/>
        <v/>
      </c>
      <c r="AU55" s="40"/>
      <c r="AV55" s="43" t="str">
        <f t="shared" si="18"/>
        <v/>
      </c>
      <c r="AW55" s="128"/>
      <c r="AX55" s="132" t="str">
        <f t="shared" si="19"/>
        <v/>
      </c>
      <c r="AY55" s="40"/>
      <c r="AZ55" s="43" t="str">
        <f t="shared" si="20"/>
        <v/>
      </c>
      <c r="BA55" s="128"/>
      <c r="BB55" s="132" t="str">
        <f t="shared" si="42"/>
        <v/>
      </c>
      <c r="BC55" s="40"/>
      <c r="BD55" s="43" t="str">
        <f t="shared" si="22"/>
        <v/>
      </c>
      <c r="BE55" s="128"/>
      <c r="BF55" s="132" t="str">
        <f t="shared" si="23"/>
        <v/>
      </c>
      <c r="BG55" s="86"/>
      <c r="BH55" s="43" t="str">
        <f t="shared" si="24"/>
        <v/>
      </c>
      <c r="BI55" s="128"/>
      <c r="BJ55" s="132" t="str">
        <f t="shared" si="25"/>
        <v/>
      </c>
      <c r="BK55" s="40"/>
      <c r="BL55" s="43" t="str">
        <f t="shared" si="26"/>
        <v/>
      </c>
      <c r="BM55" s="128"/>
      <c r="BN55" s="132" t="str">
        <f t="shared" si="27"/>
        <v/>
      </c>
      <c r="BO55" s="40"/>
      <c r="BP55" s="43" t="str">
        <f t="shared" si="28"/>
        <v/>
      </c>
      <c r="BQ55" s="128"/>
      <c r="BR55" s="132" t="str">
        <f t="shared" si="29"/>
        <v/>
      </c>
      <c r="BS55" s="40"/>
      <c r="BT55" s="43" t="str">
        <f t="shared" si="30"/>
        <v/>
      </c>
      <c r="BU55" s="128"/>
      <c r="BV55" s="132" t="str">
        <f t="shared" si="31"/>
        <v/>
      </c>
      <c r="BW55" s="40"/>
      <c r="BX55" s="43" t="str">
        <f t="shared" si="32"/>
        <v/>
      </c>
      <c r="BY55" s="128"/>
      <c r="BZ55" s="132" t="str">
        <f t="shared" si="33"/>
        <v/>
      </c>
      <c r="CA55" s="40"/>
      <c r="CB55" s="43" t="str">
        <f t="shared" si="34"/>
        <v/>
      </c>
      <c r="CC55" s="128"/>
      <c r="CD55" s="132" t="str">
        <f t="shared" si="35"/>
        <v/>
      </c>
      <c r="CE55" s="40"/>
      <c r="CF55" s="43" t="str">
        <f t="shared" si="36"/>
        <v/>
      </c>
      <c r="CG55" s="128"/>
      <c r="CH55" s="132" t="str">
        <f t="shared" si="37"/>
        <v/>
      </c>
      <c r="CI55" s="40"/>
      <c r="CJ55" s="43" t="str">
        <f t="shared" si="38"/>
        <v/>
      </c>
      <c r="CK55" s="128"/>
      <c r="CL55" s="132" t="str">
        <f t="shared" si="39"/>
        <v/>
      </c>
      <c r="CM55" s="40"/>
      <c r="CN55" s="43" t="str">
        <f t="shared" si="40"/>
        <v/>
      </c>
      <c r="CO55" s="128"/>
      <c r="CP55" s="132" t="str">
        <f t="shared" si="41"/>
        <v/>
      </c>
      <c r="CQ55" s="24" t="s">
        <v>470</v>
      </c>
    </row>
    <row r="56" spans="1:95" ht="20" customHeight="1" x14ac:dyDescent="0.2">
      <c r="A56" s="68"/>
      <c r="B56" s="95"/>
      <c r="C56" s="25" t="s">
        <v>86</v>
      </c>
      <c r="D56" s="24" t="s">
        <v>134</v>
      </c>
      <c r="E56" s="24" t="s">
        <v>135</v>
      </c>
      <c r="F56" s="25">
        <v>2001</v>
      </c>
      <c r="G56" s="25">
        <v>192</v>
      </c>
      <c r="H56" s="29"/>
      <c r="I56" s="28" t="s">
        <v>189</v>
      </c>
      <c r="J56" s="39" t="s">
        <v>176</v>
      </c>
      <c r="K56" s="40"/>
      <c r="L56" s="43" t="str">
        <f t="shared" si="0"/>
        <v/>
      </c>
      <c r="M56" s="128"/>
      <c r="N56" s="128" t="str">
        <f t="shared" si="1"/>
        <v/>
      </c>
      <c r="O56" s="40"/>
      <c r="P56" s="43" t="str">
        <f t="shared" si="2"/>
        <v/>
      </c>
      <c r="Q56" s="128"/>
      <c r="R56" s="132" t="str">
        <f t="shared" si="3"/>
        <v/>
      </c>
      <c r="S56" s="40"/>
      <c r="T56" s="43" t="str">
        <f t="shared" si="4"/>
        <v/>
      </c>
      <c r="U56" s="128"/>
      <c r="V56" s="132" t="str">
        <f t="shared" si="5"/>
        <v/>
      </c>
      <c r="W56" s="40"/>
      <c r="X56" s="43" t="str">
        <f t="shared" si="6"/>
        <v/>
      </c>
      <c r="Y56" s="128"/>
      <c r="Z56" s="132" t="str">
        <f t="shared" si="7"/>
        <v/>
      </c>
      <c r="AA56" s="40"/>
      <c r="AB56" s="43" t="str">
        <f t="shared" si="8"/>
        <v/>
      </c>
      <c r="AC56" s="128"/>
      <c r="AD56" s="132" t="str">
        <f t="shared" si="9"/>
        <v/>
      </c>
      <c r="AE56" s="86"/>
      <c r="AF56" s="43" t="str">
        <f t="shared" si="43"/>
        <v/>
      </c>
      <c r="AG56" s="128"/>
      <c r="AH56" s="132" t="str">
        <f t="shared" si="11"/>
        <v/>
      </c>
      <c r="AI56" s="40"/>
      <c r="AJ56" s="43" t="str">
        <f t="shared" si="12"/>
        <v/>
      </c>
      <c r="AK56" s="128"/>
      <c r="AL56" s="132" t="str">
        <f t="shared" si="13"/>
        <v/>
      </c>
      <c r="AM56" s="40"/>
      <c r="AN56" s="43" t="str">
        <f t="shared" si="14"/>
        <v/>
      </c>
      <c r="AO56" s="128"/>
      <c r="AP56" s="132" t="str">
        <f t="shared" si="15"/>
        <v/>
      </c>
      <c r="AQ56" s="40"/>
      <c r="AR56" s="43" t="str">
        <f t="shared" si="16"/>
        <v/>
      </c>
      <c r="AS56" s="128"/>
      <c r="AT56" s="132" t="str">
        <f t="shared" si="17"/>
        <v/>
      </c>
      <c r="AU56" s="40"/>
      <c r="AV56" s="43" t="str">
        <f t="shared" si="18"/>
        <v/>
      </c>
      <c r="AW56" s="128"/>
      <c r="AX56" s="132" t="str">
        <f t="shared" si="19"/>
        <v/>
      </c>
      <c r="AY56" s="40">
        <v>2</v>
      </c>
      <c r="AZ56" s="43" t="str">
        <f t="shared" si="20"/>
        <v/>
      </c>
      <c r="BA56" s="128"/>
      <c r="BB56" s="132" t="str">
        <f t="shared" si="42"/>
        <v/>
      </c>
      <c r="BC56" s="40"/>
      <c r="BD56" s="43" t="str">
        <f t="shared" si="22"/>
        <v/>
      </c>
      <c r="BE56" s="128"/>
      <c r="BF56" s="132" t="str">
        <f t="shared" si="23"/>
        <v/>
      </c>
      <c r="BG56" s="86"/>
      <c r="BH56" s="43" t="str">
        <f t="shared" si="24"/>
        <v/>
      </c>
      <c r="BI56" s="128"/>
      <c r="BJ56" s="132" t="str">
        <f t="shared" si="25"/>
        <v/>
      </c>
      <c r="BK56" s="40"/>
      <c r="BL56" s="43" t="str">
        <f t="shared" si="26"/>
        <v/>
      </c>
      <c r="BM56" s="128"/>
      <c r="BN56" s="132" t="str">
        <f t="shared" si="27"/>
        <v/>
      </c>
      <c r="BO56" s="40"/>
      <c r="BP56" s="43" t="str">
        <f t="shared" si="28"/>
        <v/>
      </c>
      <c r="BQ56" s="128"/>
      <c r="BR56" s="132" t="str">
        <f t="shared" si="29"/>
        <v/>
      </c>
      <c r="BS56" s="45">
        <v>1</v>
      </c>
      <c r="BT56" s="46" t="str">
        <f t="shared" si="30"/>
        <v/>
      </c>
      <c r="BU56" s="128"/>
      <c r="BV56" s="132" t="str">
        <f t="shared" si="31"/>
        <v/>
      </c>
      <c r="BW56" s="40"/>
      <c r="BX56" s="43" t="str">
        <f t="shared" si="32"/>
        <v/>
      </c>
      <c r="BY56" s="128"/>
      <c r="BZ56" s="132" t="str">
        <f t="shared" si="33"/>
        <v/>
      </c>
      <c r="CA56" s="40"/>
      <c r="CB56" s="43" t="str">
        <f t="shared" si="34"/>
        <v/>
      </c>
      <c r="CC56" s="128"/>
      <c r="CD56" s="132" t="str">
        <f t="shared" si="35"/>
        <v/>
      </c>
      <c r="CE56" s="40"/>
      <c r="CF56" s="43" t="str">
        <f t="shared" si="36"/>
        <v/>
      </c>
      <c r="CG56" s="128"/>
      <c r="CH56" s="132" t="str">
        <f t="shared" si="37"/>
        <v/>
      </c>
      <c r="CI56" s="40"/>
      <c r="CJ56" s="43" t="str">
        <f t="shared" si="38"/>
        <v/>
      </c>
      <c r="CK56" s="128"/>
      <c r="CL56" s="132" t="str">
        <f t="shared" si="39"/>
        <v/>
      </c>
      <c r="CM56" s="40"/>
      <c r="CN56" s="43" t="str">
        <f t="shared" si="40"/>
        <v/>
      </c>
      <c r="CO56" s="128"/>
      <c r="CP56" s="132" t="str">
        <f t="shared" si="41"/>
        <v/>
      </c>
      <c r="CQ56" s="24" t="s">
        <v>436</v>
      </c>
    </row>
    <row r="57" spans="1:95" ht="20" customHeight="1" x14ac:dyDescent="0.2">
      <c r="A57" s="68"/>
      <c r="B57" s="95"/>
      <c r="D57" s="24" t="s">
        <v>154</v>
      </c>
      <c r="E57" s="24" t="s">
        <v>471</v>
      </c>
      <c r="F57" s="25">
        <v>1999</v>
      </c>
      <c r="H57" s="29">
        <v>30</v>
      </c>
      <c r="I57" s="28" t="s">
        <v>472</v>
      </c>
      <c r="J57" s="39" t="s">
        <v>251</v>
      </c>
      <c r="K57" s="40"/>
      <c r="L57" s="43"/>
      <c r="M57" s="128"/>
      <c r="N57" s="128"/>
      <c r="O57" s="40"/>
      <c r="P57" s="43"/>
      <c r="Q57" s="128"/>
      <c r="R57" s="132"/>
      <c r="S57" s="40"/>
      <c r="T57" s="43"/>
      <c r="U57" s="128"/>
      <c r="V57" s="132"/>
      <c r="W57" s="40"/>
      <c r="X57" s="43"/>
      <c r="Y57" s="128"/>
      <c r="Z57" s="132"/>
      <c r="AA57" s="40"/>
      <c r="AB57" s="43"/>
      <c r="AC57" s="128"/>
      <c r="AD57" s="132"/>
      <c r="AE57" s="86"/>
      <c r="AF57" s="43"/>
      <c r="AG57" s="128"/>
      <c r="AH57" s="132"/>
      <c r="AI57" s="40"/>
      <c r="AJ57" s="43"/>
      <c r="AK57" s="128"/>
      <c r="AL57" s="132"/>
      <c r="AM57" s="40"/>
      <c r="AN57" s="43"/>
      <c r="AO57" s="128"/>
      <c r="AP57" s="132"/>
      <c r="AQ57" s="40"/>
      <c r="AR57" s="43"/>
      <c r="AS57" s="128"/>
      <c r="AT57" s="132"/>
      <c r="AU57" s="40"/>
      <c r="AV57" s="43"/>
      <c r="AW57" s="128"/>
      <c r="AX57" s="132"/>
      <c r="AY57" s="40"/>
      <c r="AZ57" s="43"/>
      <c r="BA57" s="128"/>
      <c r="BB57" s="132"/>
      <c r="BC57" s="40"/>
      <c r="BD57" s="43"/>
      <c r="BE57" s="128"/>
      <c r="BF57" s="132"/>
      <c r="BG57" s="86"/>
      <c r="BH57" s="43"/>
      <c r="BI57" s="128"/>
      <c r="BJ57" s="132"/>
      <c r="BK57" s="40"/>
      <c r="BL57" s="43"/>
      <c r="BM57" s="128"/>
      <c r="BN57" s="132"/>
      <c r="BO57" s="40"/>
      <c r="BP57" s="43"/>
      <c r="BQ57" s="128"/>
      <c r="BR57" s="132"/>
      <c r="BS57" s="40"/>
      <c r="BT57" s="43"/>
      <c r="BU57" s="128"/>
      <c r="BV57" s="132"/>
      <c r="BW57" s="40"/>
      <c r="BX57" s="43"/>
      <c r="BY57" s="128"/>
      <c r="BZ57" s="132"/>
      <c r="CA57" s="40"/>
      <c r="CB57" s="43"/>
      <c r="CC57" s="128"/>
      <c r="CD57" s="132"/>
      <c r="CE57" s="40"/>
      <c r="CF57" s="43"/>
      <c r="CG57" s="128"/>
      <c r="CH57" s="132"/>
      <c r="CI57" s="40"/>
      <c r="CJ57" s="43"/>
      <c r="CK57" s="128"/>
      <c r="CL57" s="132"/>
      <c r="CM57" s="40"/>
      <c r="CN57" s="43"/>
      <c r="CO57" s="128"/>
      <c r="CP57" s="132"/>
      <c r="CQ57" s="24" t="s">
        <v>437</v>
      </c>
    </row>
    <row r="58" spans="1:95" ht="20" customHeight="1" x14ac:dyDescent="0.2">
      <c r="A58" s="68"/>
      <c r="B58" s="25"/>
      <c r="C58" s="25" t="s">
        <v>86</v>
      </c>
      <c r="D58" s="24" t="s">
        <v>136</v>
      </c>
      <c r="E58" s="24" t="s">
        <v>137</v>
      </c>
      <c r="F58" s="25">
        <v>2007</v>
      </c>
      <c r="G58" s="25">
        <v>240</v>
      </c>
      <c r="H58" s="29"/>
      <c r="I58" s="28" t="s">
        <v>253</v>
      </c>
      <c r="J58" s="39" t="s">
        <v>176</v>
      </c>
      <c r="K58" s="40"/>
      <c r="L58" s="43" t="str">
        <f t="shared" si="0"/>
        <v/>
      </c>
      <c r="M58" s="128"/>
      <c r="N58" s="128" t="str">
        <f t="shared" si="1"/>
        <v/>
      </c>
      <c r="O58" s="40"/>
      <c r="P58" s="43" t="str">
        <f t="shared" si="2"/>
        <v/>
      </c>
      <c r="Q58" s="128"/>
      <c r="R58" s="132" t="str">
        <f t="shared" si="3"/>
        <v/>
      </c>
      <c r="S58" s="40"/>
      <c r="T58" s="43" t="str">
        <f t="shared" si="4"/>
        <v/>
      </c>
      <c r="U58" s="128"/>
      <c r="V58" s="132" t="str">
        <f t="shared" si="5"/>
        <v/>
      </c>
      <c r="W58" s="40"/>
      <c r="X58" s="43" t="str">
        <f t="shared" si="6"/>
        <v/>
      </c>
      <c r="Y58" s="128"/>
      <c r="Z58" s="132" t="str">
        <f t="shared" si="7"/>
        <v/>
      </c>
      <c r="AA58" s="40"/>
      <c r="AB58" s="43" t="str">
        <f t="shared" si="8"/>
        <v/>
      </c>
      <c r="AC58" s="128"/>
      <c r="AD58" s="132" t="str">
        <f t="shared" si="9"/>
        <v/>
      </c>
      <c r="AE58" s="86"/>
      <c r="AF58" s="43" t="str">
        <f t="shared" si="43"/>
        <v/>
      </c>
      <c r="AG58" s="128"/>
      <c r="AH58" s="132" t="str">
        <f t="shared" si="11"/>
        <v/>
      </c>
      <c r="AI58" s="40"/>
      <c r="AJ58" s="43" t="str">
        <f t="shared" si="12"/>
        <v/>
      </c>
      <c r="AK58" s="128"/>
      <c r="AL58" s="132" t="str">
        <f t="shared" si="13"/>
        <v/>
      </c>
      <c r="AM58" s="40"/>
      <c r="AN58" s="43" t="str">
        <f t="shared" si="14"/>
        <v/>
      </c>
      <c r="AO58" s="128"/>
      <c r="AP58" s="132" t="str">
        <f t="shared" si="15"/>
        <v/>
      </c>
      <c r="AQ58" s="40"/>
      <c r="AR58" s="43" t="str">
        <f t="shared" si="16"/>
        <v/>
      </c>
      <c r="AS58" s="128"/>
      <c r="AT58" s="132" t="str">
        <f t="shared" si="17"/>
        <v/>
      </c>
      <c r="AU58" s="40"/>
      <c r="AV58" s="43" t="str">
        <f t="shared" si="18"/>
        <v/>
      </c>
      <c r="AW58" s="128"/>
      <c r="AX58" s="132" t="str">
        <f t="shared" si="19"/>
        <v/>
      </c>
      <c r="AY58" s="40"/>
      <c r="AZ58" s="43" t="str">
        <f t="shared" si="20"/>
        <v/>
      </c>
      <c r="BA58" s="128"/>
      <c r="BB58" s="132" t="str">
        <f t="shared" si="42"/>
        <v/>
      </c>
      <c r="BC58" s="40"/>
      <c r="BD58" s="43" t="str">
        <f t="shared" si="22"/>
        <v/>
      </c>
      <c r="BE58" s="128"/>
      <c r="BF58" s="132" t="str">
        <f t="shared" si="23"/>
        <v/>
      </c>
      <c r="BG58" s="86"/>
      <c r="BH58" s="43" t="str">
        <f t="shared" si="24"/>
        <v/>
      </c>
      <c r="BI58" s="128"/>
      <c r="BJ58" s="132" t="str">
        <f t="shared" si="25"/>
        <v/>
      </c>
      <c r="BK58" s="40"/>
      <c r="BL58" s="43" t="str">
        <f t="shared" si="26"/>
        <v/>
      </c>
      <c r="BM58" s="128"/>
      <c r="BN58" s="132" t="str">
        <f t="shared" si="27"/>
        <v/>
      </c>
      <c r="BO58" s="40"/>
      <c r="BP58" s="43" t="str">
        <f t="shared" si="28"/>
        <v/>
      </c>
      <c r="BQ58" s="128"/>
      <c r="BR58" s="132" t="str">
        <f t="shared" si="29"/>
        <v/>
      </c>
      <c r="BS58" s="40"/>
      <c r="BT58" s="43" t="str">
        <f t="shared" si="30"/>
        <v/>
      </c>
      <c r="BU58" s="128"/>
      <c r="BV58" s="132" t="str">
        <f t="shared" si="31"/>
        <v/>
      </c>
      <c r="BW58" s="40"/>
      <c r="BX58" s="43" t="str">
        <f t="shared" si="32"/>
        <v/>
      </c>
      <c r="BY58" s="128"/>
      <c r="BZ58" s="132" t="str">
        <f t="shared" si="33"/>
        <v/>
      </c>
      <c r="CA58" s="40"/>
      <c r="CB58" s="43" t="str">
        <f t="shared" si="34"/>
        <v/>
      </c>
      <c r="CC58" s="128"/>
      <c r="CD58" s="132" t="str">
        <f t="shared" si="35"/>
        <v/>
      </c>
      <c r="CE58" s="40"/>
      <c r="CF58" s="43" t="str">
        <f t="shared" si="36"/>
        <v/>
      </c>
      <c r="CG58" s="128"/>
      <c r="CH58" s="132" t="str">
        <f t="shared" si="37"/>
        <v/>
      </c>
      <c r="CI58" s="40"/>
      <c r="CJ58" s="43" t="str">
        <f t="shared" si="38"/>
        <v/>
      </c>
      <c r="CK58" s="128"/>
      <c r="CL58" s="132" t="str">
        <f t="shared" si="39"/>
        <v/>
      </c>
      <c r="CM58" s="40"/>
      <c r="CN58" s="43" t="str">
        <f t="shared" si="40"/>
        <v/>
      </c>
      <c r="CO58" s="128"/>
      <c r="CP58" s="132" t="str">
        <f t="shared" si="41"/>
        <v/>
      </c>
      <c r="CQ58" s="24" t="s">
        <v>254</v>
      </c>
    </row>
    <row r="59" spans="1:95" ht="20" customHeight="1" x14ac:dyDescent="0.2">
      <c r="A59" s="67"/>
      <c r="B59" s="95"/>
      <c r="C59" s="25" t="s">
        <v>86</v>
      </c>
      <c r="D59" s="24" t="s">
        <v>353</v>
      </c>
      <c r="E59" s="24" t="s">
        <v>354</v>
      </c>
      <c r="F59" s="25">
        <v>2010</v>
      </c>
      <c r="H59" s="29">
        <v>53</v>
      </c>
      <c r="I59" s="91" t="s">
        <v>415</v>
      </c>
      <c r="J59" s="39" t="s">
        <v>457</v>
      </c>
      <c r="K59" s="40"/>
      <c r="L59" s="43" t="str">
        <f t="shared" si="0"/>
        <v/>
      </c>
      <c r="M59" s="128"/>
      <c r="N59" s="128" t="str">
        <f t="shared" si="1"/>
        <v/>
      </c>
      <c r="O59" s="40"/>
      <c r="P59" s="43" t="str">
        <f t="shared" si="2"/>
        <v/>
      </c>
      <c r="Q59" s="128"/>
      <c r="R59" s="132" t="str">
        <f t="shared" si="3"/>
        <v/>
      </c>
      <c r="S59" s="40"/>
      <c r="T59" s="43" t="str">
        <f t="shared" si="4"/>
        <v/>
      </c>
      <c r="U59" s="128"/>
      <c r="V59" s="132" t="str">
        <f t="shared" si="5"/>
        <v/>
      </c>
      <c r="W59" s="40">
        <v>15</v>
      </c>
      <c r="X59" s="43">
        <f t="shared" si="6"/>
        <v>28.30188679245283</v>
      </c>
      <c r="Y59" s="128"/>
      <c r="Z59" s="132" t="str">
        <f t="shared" si="7"/>
        <v/>
      </c>
      <c r="AA59" s="40"/>
      <c r="AB59" s="43" t="str">
        <f t="shared" si="8"/>
        <v/>
      </c>
      <c r="AC59" s="128"/>
      <c r="AD59" s="132" t="str">
        <f t="shared" si="9"/>
        <v/>
      </c>
      <c r="AE59" s="86">
        <v>15</v>
      </c>
      <c r="AF59" s="43">
        <f t="shared" si="43"/>
        <v>28.30188679245283</v>
      </c>
      <c r="AG59" s="128">
        <v>1</v>
      </c>
      <c r="AH59" s="132">
        <f t="shared" si="11"/>
        <v>14</v>
      </c>
      <c r="AI59" s="40">
        <v>9</v>
      </c>
      <c r="AJ59" s="43">
        <f t="shared" si="12"/>
        <v>16.981132075471699</v>
      </c>
      <c r="AK59" s="128">
        <v>0</v>
      </c>
      <c r="AL59" s="132">
        <f t="shared" si="13"/>
        <v>9</v>
      </c>
      <c r="AM59" s="40"/>
      <c r="AN59" s="43" t="str">
        <f t="shared" si="14"/>
        <v/>
      </c>
      <c r="AO59" s="128"/>
      <c r="AP59" s="132" t="str">
        <f t="shared" si="15"/>
        <v/>
      </c>
      <c r="AQ59" s="40"/>
      <c r="AR59" s="43" t="str">
        <f t="shared" si="16"/>
        <v/>
      </c>
      <c r="AS59" s="128"/>
      <c r="AT59" s="132" t="str">
        <f t="shared" si="17"/>
        <v/>
      </c>
      <c r="AU59" s="40"/>
      <c r="AV59" s="43" t="str">
        <f t="shared" si="18"/>
        <v/>
      </c>
      <c r="AW59" s="128"/>
      <c r="AX59" s="132" t="str">
        <f t="shared" si="19"/>
        <v/>
      </c>
      <c r="AY59" s="40">
        <v>2</v>
      </c>
      <c r="AZ59" s="43">
        <f t="shared" si="20"/>
        <v>3.7735849056603774</v>
      </c>
      <c r="BA59" s="128">
        <v>1</v>
      </c>
      <c r="BB59" s="132">
        <f t="shared" si="42"/>
        <v>1</v>
      </c>
      <c r="BC59" s="40">
        <v>3</v>
      </c>
      <c r="BD59" s="43">
        <f t="shared" si="22"/>
        <v>5.6603773584905666</v>
      </c>
      <c r="BE59" s="128"/>
      <c r="BF59" s="132" t="str">
        <f t="shared" si="23"/>
        <v/>
      </c>
      <c r="BG59" s="86"/>
      <c r="BH59" s="43" t="str">
        <f t="shared" si="24"/>
        <v/>
      </c>
      <c r="BI59" s="128"/>
      <c r="BJ59" s="132" t="str">
        <f t="shared" si="25"/>
        <v/>
      </c>
      <c r="BK59" s="40">
        <v>2</v>
      </c>
      <c r="BL59" s="43">
        <f t="shared" si="26"/>
        <v>3.7735849056603774</v>
      </c>
      <c r="BM59" s="128"/>
      <c r="BN59" s="132" t="str">
        <f t="shared" si="27"/>
        <v/>
      </c>
      <c r="BO59" s="40"/>
      <c r="BP59" s="43" t="str">
        <f t="shared" si="28"/>
        <v/>
      </c>
      <c r="BQ59" s="128"/>
      <c r="BR59" s="132" t="str">
        <f t="shared" si="29"/>
        <v/>
      </c>
      <c r="BS59" s="40"/>
      <c r="BT59" s="43" t="str">
        <f t="shared" si="30"/>
        <v/>
      </c>
      <c r="BU59" s="128"/>
      <c r="BV59" s="132" t="str">
        <f t="shared" si="31"/>
        <v/>
      </c>
      <c r="BW59" s="40"/>
      <c r="BX59" s="43" t="str">
        <f t="shared" si="32"/>
        <v/>
      </c>
      <c r="BY59" s="128"/>
      <c r="BZ59" s="132" t="str">
        <f t="shared" si="33"/>
        <v/>
      </c>
      <c r="CA59" s="40"/>
      <c r="CB59" s="43" t="str">
        <f t="shared" si="34"/>
        <v/>
      </c>
      <c r="CC59" s="128"/>
      <c r="CD59" s="132" t="str">
        <f t="shared" si="35"/>
        <v/>
      </c>
      <c r="CE59" s="40"/>
      <c r="CF59" s="43" t="str">
        <f t="shared" si="36"/>
        <v/>
      </c>
      <c r="CG59" s="128"/>
      <c r="CH59" s="132" t="str">
        <f t="shared" si="37"/>
        <v/>
      </c>
      <c r="CI59" s="40"/>
      <c r="CJ59" s="43" t="str">
        <f t="shared" si="38"/>
        <v/>
      </c>
      <c r="CK59" s="128"/>
      <c r="CL59" s="132" t="str">
        <f t="shared" si="39"/>
        <v/>
      </c>
      <c r="CM59" s="40"/>
      <c r="CN59" s="43" t="str">
        <f t="shared" si="40"/>
        <v/>
      </c>
      <c r="CO59" s="128"/>
      <c r="CP59" s="132" t="str">
        <f t="shared" si="41"/>
        <v/>
      </c>
      <c r="CQ59" s="24" t="s">
        <v>416</v>
      </c>
    </row>
    <row r="60" spans="1:95" ht="20" customHeight="1" x14ac:dyDescent="0.2">
      <c r="A60" s="67"/>
      <c r="B60" s="95"/>
      <c r="C60" s="25" t="s">
        <v>86</v>
      </c>
      <c r="D60" s="24" t="s">
        <v>355</v>
      </c>
      <c r="E60" s="24" t="s">
        <v>356</v>
      </c>
      <c r="F60" s="25">
        <v>2014</v>
      </c>
      <c r="H60" s="29">
        <v>39</v>
      </c>
      <c r="I60" s="28" t="s">
        <v>235</v>
      </c>
      <c r="J60" s="39" t="s">
        <v>417</v>
      </c>
      <c r="K60" s="40"/>
      <c r="L60" s="43" t="str">
        <f t="shared" si="0"/>
        <v/>
      </c>
      <c r="M60" s="128"/>
      <c r="N60" s="128" t="str">
        <f t="shared" si="1"/>
        <v/>
      </c>
      <c r="O60" s="40">
        <v>2</v>
      </c>
      <c r="P60" s="43">
        <f t="shared" si="2"/>
        <v>5.1282051282051277</v>
      </c>
      <c r="Q60" s="128">
        <v>1</v>
      </c>
      <c r="R60" s="132">
        <f t="shared" si="3"/>
        <v>1</v>
      </c>
      <c r="S60" s="40"/>
      <c r="T60" s="43" t="str">
        <f t="shared" si="4"/>
        <v/>
      </c>
      <c r="U60" s="128"/>
      <c r="V60" s="132" t="str">
        <f t="shared" si="5"/>
        <v/>
      </c>
      <c r="W60" s="40">
        <v>1</v>
      </c>
      <c r="X60" s="43">
        <f t="shared" si="6"/>
        <v>2.5641025641025639</v>
      </c>
      <c r="Y60" s="128"/>
      <c r="Z60" s="132" t="str">
        <f t="shared" si="7"/>
        <v/>
      </c>
      <c r="AA60" s="40"/>
      <c r="AB60" s="43" t="str">
        <f t="shared" si="8"/>
        <v/>
      </c>
      <c r="AC60" s="128"/>
      <c r="AD60" s="132" t="str">
        <f t="shared" si="9"/>
        <v/>
      </c>
      <c r="AE60" s="86">
        <v>6</v>
      </c>
      <c r="AF60" s="43">
        <f t="shared" si="43"/>
        <v>15.384615384615385</v>
      </c>
      <c r="AG60" s="128">
        <v>0</v>
      </c>
      <c r="AH60" s="132">
        <f t="shared" si="11"/>
        <v>6</v>
      </c>
      <c r="AI60" s="40"/>
      <c r="AJ60" s="43" t="str">
        <f t="shared" si="12"/>
        <v/>
      </c>
      <c r="AK60" s="128"/>
      <c r="AL60" s="132" t="str">
        <f t="shared" si="13"/>
        <v/>
      </c>
      <c r="AM60" s="40">
        <v>1</v>
      </c>
      <c r="AN60" s="43">
        <f t="shared" si="14"/>
        <v>2.5641025641025639</v>
      </c>
      <c r="AO60" s="128">
        <v>0</v>
      </c>
      <c r="AP60" s="132">
        <f t="shared" si="15"/>
        <v>1</v>
      </c>
      <c r="AQ60" s="40"/>
      <c r="AR60" s="43" t="str">
        <f t="shared" si="16"/>
        <v/>
      </c>
      <c r="AS60" s="128"/>
      <c r="AT60" s="132" t="str">
        <f t="shared" si="17"/>
        <v/>
      </c>
      <c r="AU60" s="40"/>
      <c r="AV60" s="43"/>
      <c r="AW60" s="128"/>
      <c r="AX60" s="132" t="str">
        <f t="shared" si="19"/>
        <v/>
      </c>
      <c r="AY60" s="40">
        <v>0</v>
      </c>
      <c r="AZ60" s="43" t="str">
        <f t="shared" si="20"/>
        <v/>
      </c>
      <c r="BA60" s="128">
        <v>1</v>
      </c>
      <c r="BB60" s="132">
        <f t="shared" si="42"/>
        <v>-1</v>
      </c>
      <c r="BC60" s="40"/>
      <c r="BD60" s="43" t="str">
        <f t="shared" si="22"/>
        <v/>
      </c>
      <c r="BE60" s="128"/>
      <c r="BF60" s="132" t="str">
        <f t="shared" si="23"/>
        <v/>
      </c>
      <c r="BG60" s="86"/>
      <c r="BH60" s="43" t="str">
        <f t="shared" si="24"/>
        <v/>
      </c>
      <c r="BI60" s="128"/>
      <c r="BJ60" s="132" t="str">
        <f t="shared" si="25"/>
        <v/>
      </c>
      <c r="BK60" s="40"/>
      <c r="BL60" s="43" t="str">
        <f t="shared" si="26"/>
        <v/>
      </c>
      <c r="BM60" s="128"/>
      <c r="BN60" s="132" t="str">
        <f t="shared" si="27"/>
        <v/>
      </c>
      <c r="BO60" s="40"/>
      <c r="BP60" s="43" t="str">
        <f t="shared" si="28"/>
        <v/>
      </c>
      <c r="BQ60" s="128"/>
      <c r="BR60" s="132" t="str">
        <f t="shared" si="29"/>
        <v/>
      </c>
      <c r="BS60" s="40"/>
      <c r="BT60" s="43" t="str">
        <f t="shared" si="30"/>
        <v/>
      </c>
      <c r="BU60" s="128"/>
      <c r="BV60" s="132" t="str">
        <f t="shared" si="31"/>
        <v/>
      </c>
      <c r="BW60" s="40"/>
      <c r="BX60" s="43" t="str">
        <f t="shared" si="32"/>
        <v/>
      </c>
      <c r="BY60" s="128"/>
      <c r="BZ60" s="132" t="str">
        <f t="shared" si="33"/>
        <v/>
      </c>
      <c r="CA60" s="40"/>
      <c r="CB60" s="43" t="str">
        <f t="shared" si="34"/>
        <v/>
      </c>
      <c r="CC60" s="128"/>
      <c r="CD60" s="132" t="str">
        <f t="shared" si="35"/>
        <v/>
      </c>
      <c r="CE60" s="40"/>
      <c r="CF60" s="43" t="str">
        <f t="shared" si="36"/>
        <v/>
      </c>
      <c r="CG60" s="128"/>
      <c r="CH60" s="132" t="str">
        <f t="shared" si="37"/>
        <v/>
      </c>
      <c r="CI60" s="40"/>
      <c r="CJ60" s="43" t="str">
        <f t="shared" si="38"/>
        <v/>
      </c>
      <c r="CK60" s="128"/>
      <c r="CL60" s="132" t="str">
        <f t="shared" si="39"/>
        <v/>
      </c>
      <c r="CM60" s="40"/>
      <c r="CN60" s="43" t="str">
        <f t="shared" si="40"/>
        <v/>
      </c>
      <c r="CO60" s="128"/>
      <c r="CP60" s="132" t="str">
        <f t="shared" si="41"/>
        <v/>
      </c>
      <c r="CQ60" s="24" t="s">
        <v>458</v>
      </c>
    </row>
    <row r="61" spans="1:95" ht="20" customHeight="1" x14ac:dyDescent="0.2">
      <c r="A61" s="67"/>
      <c r="B61" s="95"/>
      <c r="C61" s="25" t="s">
        <v>86</v>
      </c>
      <c r="D61" s="24" t="s">
        <v>357</v>
      </c>
      <c r="E61" s="24" t="s">
        <v>358</v>
      </c>
      <c r="F61" s="25">
        <v>2010</v>
      </c>
      <c r="H61" s="29">
        <v>789</v>
      </c>
      <c r="I61" s="28" t="s">
        <v>235</v>
      </c>
      <c r="J61" s="39" t="s">
        <v>419</v>
      </c>
      <c r="K61" s="40"/>
      <c r="L61" s="43" t="str">
        <f t="shared" si="0"/>
        <v/>
      </c>
      <c r="M61" s="128"/>
      <c r="N61" s="128" t="str">
        <f t="shared" si="1"/>
        <v/>
      </c>
      <c r="O61" s="40"/>
      <c r="P61" s="43" t="str">
        <f>IF((ISERROR((O61/$H61)*100)), "", IF(AND(NOT(ISERROR((O61/$H61)*100)),((O61/$H61)*100) &lt;&gt; 0), (O61/$H61)*100, ""))</f>
        <v/>
      </c>
      <c r="Q61" s="128"/>
      <c r="R61" s="132" t="str">
        <f t="shared" si="3"/>
        <v/>
      </c>
      <c r="S61" s="40"/>
      <c r="T61" s="43" t="str">
        <f t="shared" si="4"/>
        <v/>
      </c>
      <c r="U61" s="128"/>
      <c r="V61" s="132" t="str">
        <f t="shared" si="5"/>
        <v/>
      </c>
      <c r="W61" s="40"/>
      <c r="X61" s="43" t="str">
        <f t="shared" si="6"/>
        <v/>
      </c>
      <c r="Y61" s="128"/>
      <c r="Z61" s="132" t="str">
        <f t="shared" si="7"/>
        <v/>
      </c>
      <c r="AA61" s="40"/>
      <c r="AB61" s="43" t="str">
        <f t="shared" si="8"/>
        <v/>
      </c>
      <c r="AC61" s="128"/>
      <c r="AD61" s="132" t="str">
        <f t="shared" si="9"/>
        <v/>
      </c>
      <c r="AE61" s="86"/>
      <c r="AF61" s="43" t="str">
        <f t="shared" si="43"/>
        <v/>
      </c>
      <c r="AG61" s="128"/>
      <c r="AH61" s="132" t="str">
        <f t="shared" si="11"/>
        <v/>
      </c>
      <c r="AI61" s="40"/>
      <c r="AJ61" s="43" t="str">
        <f t="shared" si="12"/>
        <v/>
      </c>
      <c r="AK61" s="128"/>
      <c r="AL61" s="132" t="str">
        <f t="shared" si="13"/>
        <v/>
      </c>
      <c r="AM61" s="40"/>
      <c r="AN61" s="43" t="str">
        <f t="shared" si="14"/>
        <v/>
      </c>
      <c r="AO61" s="128"/>
      <c r="AP61" s="132" t="str">
        <f t="shared" si="15"/>
        <v/>
      </c>
      <c r="AQ61" s="40"/>
      <c r="AR61" s="43" t="str">
        <f t="shared" si="16"/>
        <v/>
      </c>
      <c r="AS61" s="128"/>
      <c r="AT61" s="132" t="str">
        <f t="shared" si="17"/>
        <v/>
      </c>
      <c r="AU61" s="40"/>
      <c r="AV61" s="43" t="str">
        <f>IF((ISERROR((AU61/$H61)*100)), "", IF(AND(NOT(ISERROR((AU61/$H61)*100)),((AU61/$H61)*100) &lt;&gt; 0), (AU61/$H61)*100, ""))</f>
        <v/>
      </c>
      <c r="AW61" s="128"/>
      <c r="AX61" s="132" t="str">
        <f t="shared" si="19"/>
        <v/>
      </c>
      <c r="AY61" s="40"/>
      <c r="AZ61" s="43" t="str">
        <f t="shared" si="20"/>
        <v/>
      </c>
      <c r="BA61" s="128"/>
      <c r="BB61" s="132" t="str">
        <f t="shared" si="42"/>
        <v/>
      </c>
      <c r="BC61" s="40"/>
      <c r="BD61" s="43" t="str">
        <f t="shared" si="22"/>
        <v/>
      </c>
      <c r="BE61" s="128"/>
      <c r="BF61" s="132" t="str">
        <f t="shared" si="23"/>
        <v/>
      </c>
      <c r="BG61" s="86">
        <v>43</v>
      </c>
      <c r="BH61" s="43">
        <f t="shared" si="24"/>
        <v>5.4499366286438535</v>
      </c>
      <c r="BI61" s="128">
        <v>74</v>
      </c>
      <c r="BJ61" s="132">
        <f t="shared" si="25"/>
        <v>-31</v>
      </c>
      <c r="BK61" s="40"/>
      <c r="BL61" s="43" t="str">
        <f t="shared" si="26"/>
        <v/>
      </c>
      <c r="BM61" s="128"/>
      <c r="BN61" s="132" t="str">
        <f t="shared" si="27"/>
        <v/>
      </c>
      <c r="BO61" s="40"/>
      <c r="BP61" s="43" t="str">
        <f t="shared" si="28"/>
        <v/>
      </c>
      <c r="BQ61" s="128"/>
      <c r="BR61" s="132" t="str">
        <f t="shared" si="29"/>
        <v/>
      </c>
      <c r="BS61" s="40"/>
      <c r="BT61" s="43" t="str">
        <f t="shared" si="30"/>
        <v/>
      </c>
      <c r="BU61" s="128"/>
      <c r="BV61" s="132" t="str">
        <f t="shared" si="31"/>
        <v/>
      </c>
      <c r="BW61" s="40"/>
      <c r="BX61" s="43" t="str">
        <f t="shared" si="32"/>
        <v/>
      </c>
      <c r="BY61" s="128"/>
      <c r="BZ61" s="132" t="str">
        <f t="shared" si="33"/>
        <v/>
      </c>
      <c r="CA61" s="40"/>
      <c r="CB61" s="43" t="str">
        <f t="shared" si="34"/>
        <v/>
      </c>
      <c r="CC61" s="128"/>
      <c r="CD61" s="132" t="str">
        <f t="shared" si="35"/>
        <v/>
      </c>
      <c r="CE61" s="40"/>
      <c r="CF61" s="43" t="str">
        <f t="shared" si="36"/>
        <v/>
      </c>
      <c r="CG61" s="128"/>
      <c r="CH61" s="132" t="str">
        <f t="shared" si="37"/>
        <v/>
      </c>
      <c r="CI61" s="40"/>
      <c r="CJ61" s="43" t="str">
        <f t="shared" si="38"/>
        <v/>
      </c>
      <c r="CK61" s="128"/>
      <c r="CL61" s="132" t="str">
        <f t="shared" si="39"/>
        <v/>
      </c>
      <c r="CM61" s="40"/>
      <c r="CN61" s="43" t="str">
        <f t="shared" si="40"/>
        <v/>
      </c>
      <c r="CO61" s="128"/>
      <c r="CP61" s="132" t="str">
        <f t="shared" si="41"/>
        <v/>
      </c>
      <c r="CQ61" s="24" t="s">
        <v>418</v>
      </c>
    </row>
    <row r="62" spans="1:95" ht="20" customHeight="1" x14ac:dyDescent="0.2">
      <c r="A62" s="68"/>
      <c r="B62" s="25"/>
      <c r="C62" s="25" t="s">
        <v>86</v>
      </c>
      <c r="D62" s="24" t="s">
        <v>144</v>
      </c>
      <c r="E62" s="24" t="s">
        <v>145</v>
      </c>
      <c r="F62" s="25">
        <v>2008</v>
      </c>
      <c r="G62" s="25">
        <v>156</v>
      </c>
      <c r="H62" s="29">
        <v>50</v>
      </c>
      <c r="I62" s="28" t="s">
        <v>189</v>
      </c>
      <c r="J62" s="39"/>
      <c r="K62" s="40"/>
      <c r="L62" s="43" t="str">
        <f t="shared" si="0"/>
        <v/>
      </c>
      <c r="M62" s="128"/>
      <c r="N62" s="128" t="str">
        <f t="shared" si="1"/>
        <v/>
      </c>
      <c r="O62" s="40"/>
      <c r="P62" s="43" t="str">
        <f>IF((ISERROR((O62/$H62)*100)), "", IF(AND(NOT(ISERROR((O62/$H62)*100)),((O62/$H62)*100) &lt;&gt; 0), (O62/$H62)*100, ""))</f>
        <v/>
      </c>
      <c r="Q62" s="128"/>
      <c r="R62" s="132" t="str">
        <f t="shared" si="3"/>
        <v/>
      </c>
      <c r="S62" s="40"/>
      <c r="T62" s="43" t="str">
        <f t="shared" si="4"/>
        <v/>
      </c>
      <c r="U62" s="128"/>
      <c r="V62" s="132" t="str">
        <f t="shared" si="5"/>
        <v/>
      </c>
      <c r="W62" s="40"/>
      <c r="X62" s="43" t="str">
        <f t="shared" si="6"/>
        <v/>
      </c>
      <c r="Y62" s="128"/>
      <c r="Z62" s="132" t="str">
        <f t="shared" si="7"/>
        <v/>
      </c>
      <c r="AA62" s="40"/>
      <c r="AB62" s="43" t="str">
        <f t="shared" si="8"/>
        <v/>
      </c>
      <c r="AC62" s="128"/>
      <c r="AD62" s="132" t="str">
        <f t="shared" si="9"/>
        <v/>
      </c>
      <c r="AE62" s="86"/>
      <c r="AF62" s="43" t="str">
        <f t="shared" si="43"/>
        <v/>
      </c>
      <c r="AG62" s="128"/>
      <c r="AH62" s="132" t="str">
        <f t="shared" si="11"/>
        <v/>
      </c>
      <c r="AI62" s="40"/>
      <c r="AJ62" s="43" t="str">
        <f t="shared" si="12"/>
        <v/>
      </c>
      <c r="AK62" s="128"/>
      <c r="AL62" s="132" t="str">
        <f t="shared" si="13"/>
        <v/>
      </c>
      <c r="AM62" s="40"/>
      <c r="AN62" s="43" t="str">
        <f t="shared" si="14"/>
        <v/>
      </c>
      <c r="AO62" s="128"/>
      <c r="AP62" s="132" t="str">
        <f t="shared" si="15"/>
        <v/>
      </c>
      <c r="AQ62" s="40"/>
      <c r="AR62" s="43" t="str">
        <f t="shared" si="16"/>
        <v/>
      </c>
      <c r="AS62" s="128"/>
      <c r="AT62" s="132" t="str">
        <f t="shared" si="17"/>
        <v/>
      </c>
      <c r="AU62" s="40"/>
      <c r="AV62" s="43" t="str">
        <f>IF((ISERROR((AU62/$H62)*100)), "", IF(AND(NOT(ISERROR((AU62/$H62)*100)),((AU62/$H62)*100) &lt;&gt; 0), (AU62/$H62)*100, ""))</f>
        <v/>
      </c>
      <c r="AW62" s="128"/>
      <c r="AX62" s="132" t="str">
        <f t="shared" si="19"/>
        <v/>
      </c>
      <c r="AY62" s="40"/>
      <c r="AZ62" s="43" t="str">
        <f t="shared" si="20"/>
        <v/>
      </c>
      <c r="BA62" s="128"/>
      <c r="BB62" s="132" t="str">
        <f t="shared" si="42"/>
        <v/>
      </c>
      <c r="BC62" s="40"/>
      <c r="BD62" s="43" t="str">
        <f t="shared" si="22"/>
        <v/>
      </c>
      <c r="BE62" s="128"/>
      <c r="BF62" s="132" t="str">
        <f t="shared" si="23"/>
        <v/>
      </c>
      <c r="BG62" s="86"/>
      <c r="BH62" s="43" t="str">
        <f t="shared" si="24"/>
        <v/>
      </c>
      <c r="BI62" s="128"/>
      <c r="BJ62" s="132" t="str">
        <f t="shared" si="25"/>
        <v/>
      </c>
      <c r="BK62" s="40"/>
      <c r="BL62" s="43" t="str">
        <f t="shared" si="26"/>
        <v/>
      </c>
      <c r="BM62" s="128"/>
      <c r="BN62" s="132" t="str">
        <f t="shared" si="27"/>
        <v/>
      </c>
      <c r="BO62" s="40"/>
      <c r="BP62" s="43" t="str">
        <f t="shared" si="28"/>
        <v/>
      </c>
      <c r="BQ62" s="128"/>
      <c r="BR62" s="132" t="str">
        <f t="shared" si="29"/>
        <v/>
      </c>
      <c r="BS62" s="40"/>
      <c r="BT62" s="43" t="str">
        <f t="shared" si="30"/>
        <v/>
      </c>
      <c r="BU62" s="128"/>
      <c r="BV62" s="132" t="str">
        <f t="shared" si="31"/>
        <v/>
      </c>
      <c r="BW62" s="40"/>
      <c r="BX62" s="43" t="str">
        <f t="shared" si="32"/>
        <v/>
      </c>
      <c r="BY62" s="128"/>
      <c r="BZ62" s="132" t="str">
        <f t="shared" si="33"/>
        <v/>
      </c>
      <c r="CA62" s="40"/>
      <c r="CB62" s="43" t="str">
        <f t="shared" si="34"/>
        <v/>
      </c>
      <c r="CC62" s="128"/>
      <c r="CD62" s="132" t="str">
        <f t="shared" si="35"/>
        <v/>
      </c>
      <c r="CE62" s="40"/>
      <c r="CF62" s="43" t="str">
        <f t="shared" si="36"/>
        <v/>
      </c>
      <c r="CG62" s="128"/>
      <c r="CH62" s="132" t="str">
        <f t="shared" si="37"/>
        <v/>
      </c>
      <c r="CI62" s="40"/>
      <c r="CJ62" s="43" t="str">
        <f t="shared" si="38"/>
        <v/>
      </c>
      <c r="CK62" s="128"/>
      <c r="CL62" s="132" t="str">
        <f t="shared" si="39"/>
        <v/>
      </c>
      <c r="CM62" s="40"/>
      <c r="CN62" s="43" t="str">
        <f t="shared" si="40"/>
        <v/>
      </c>
      <c r="CO62" s="128"/>
      <c r="CP62" s="132" t="str">
        <f t="shared" si="41"/>
        <v/>
      </c>
      <c r="CQ62" s="24" t="s">
        <v>262</v>
      </c>
    </row>
    <row r="63" spans="1:95" ht="20" customHeight="1" x14ac:dyDescent="0.2">
      <c r="A63" s="67"/>
      <c r="B63" s="96"/>
      <c r="C63" s="25" t="s">
        <v>86</v>
      </c>
      <c r="D63" s="24" t="s">
        <v>361</v>
      </c>
      <c r="E63" s="24" t="s">
        <v>362</v>
      </c>
      <c r="F63" s="25">
        <v>2009</v>
      </c>
      <c r="H63" s="29">
        <v>12</v>
      </c>
      <c r="I63" s="28" t="s">
        <v>238</v>
      </c>
      <c r="J63" s="39" t="s">
        <v>212</v>
      </c>
      <c r="K63" s="82"/>
      <c r="L63" s="83" t="str">
        <f t="shared" si="0"/>
        <v/>
      </c>
      <c r="M63" s="129"/>
      <c r="N63" s="128" t="str">
        <f t="shared" si="1"/>
        <v/>
      </c>
      <c r="O63" s="82"/>
      <c r="P63" s="83" t="str">
        <f>IF((ISERROR((O63/$H63)*100)), "", IF(AND(NOT(ISERROR((O63/$H63)*100)),((O63/$H63)*100) &lt;&gt; 0), (O63/$H63)*100, ""))</f>
        <v/>
      </c>
      <c r="Q63" s="129"/>
      <c r="R63" s="133" t="str">
        <f t="shared" si="3"/>
        <v/>
      </c>
      <c r="S63" s="82"/>
      <c r="T63" s="83" t="str">
        <f t="shared" si="4"/>
        <v/>
      </c>
      <c r="U63" s="129"/>
      <c r="V63" s="133" t="str">
        <f t="shared" si="5"/>
        <v/>
      </c>
      <c r="W63" s="82"/>
      <c r="X63" s="83" t="str">
        <f t="shared" si="6"/>
        <v/>
      </c>
      <c r="Y63" s="129"/>
      <c r="Z63" s="133" t="str">
        <f t="shared" si="7"/>
        <v/>
      </c>
      <c r="AA63" s="82"/>
      <c r="AB63" s="83" t="str">
        <f t="shared" si="8"/>
        <v/>
      </c>
      <c r="AC63" s="129"/>
      <c r="AD63" s="133" t="str">
        <f t="shared" si="9"/>
        <v/>
      </c>
      <c r="AE63" s="84"/>
      <c r="AF63" s="83" t="str">
        <f t="shared" si="43"/>
        <v/>
      </c>
      <c r="AG63" s="129"/>
      <c r="AH63" s="133" t="str">
        <f t="shared" si="11"/>
        <v/>
      </c>
      <c r="AI63" s="82"/>
      <c r="AJ63" s="83" t="str">
        <f t="shared" si="12"/>
        <v/>
      </c>
      <c r="AK63" s="129"/>
      <c r="AL63" s="133" t="str">
        <f t="shared" si="13"/>
        <v/>
      </c>
      <c r="AM63" s="82"/>
      <c r="AN63" s="83" t="str">
        <f t="shared" si="14"/>
        <v/>
      </c>
      <c r="AO63" s="129"/>
      <c r="AP63" s="133" t="str">
        <f t="shared" si="15"/>
        <v/>
      </c>
      <c r="AQ63" s="82"/>
      <c r="AR63" s="83" t="str">
        <f t="shared" si="16"/>
        <v/>
      </c>
      <c r="AS63" s="129"/>
      <c r="AT63" s="133" t="str">
        <f t="shared" si="17"/>
        <v/>
      </c>
      <c r="AU63" s="82"/>
      <c r="AV63" s="83" t="str">
        <f>IF((ISERROR((AU63/$H63)*100)), "", IF(AND(NOT(ISERROR((AU63/$H63)*100)),((AU63/$H63)*100) &lt;&gt; 0), (AU63/$H63)*100, ""))</f>
        <v/>
      </c>
      <c r="AW63" s="129"/>
      <c r="AX63" s="133" t="str">
        <f t="shared" si="19"/>
        <v/>
      </c>
      <c r="AY63" s="82"/>
      <c r="AZ63" s="83" t="str">
        <f t="shared" si="20"/>
        <v/>
      </c>
      <c r="BA63" s="129"/>
      <c r="BB63" s="133" t="str">
        <f t="shared" si="42"/>
        <v/>
      </c>
      <c r="BC63" s="82"/>
      <c r="BD63" s="83" t="str">
        <f t="shared" si="22"/>
        <v/>
      </c>
      <c r="BE63" s="129"/>
      <c r="BF63" s="133" t="str">
        <f t="shared" si="23"/>
        <v/>
      </c>
      <c r="BG63" s="84"/>
      <c r="BH63" s="83" t="str">
        <f t="shared" si="24"/>
        <v/>
      </c>
      <c r="BI63" s="129"/>
      <c r="BJ63" s="133" t="str">
        <f t="shared" si="25"/>
        <v/>
      </c>
      <c r="BK63" s="82"/>
      <c r="BL63" s="83" t="str">
        <f t="shared" si="26"/>
        <v/>
      </c>
      <c r="BM63" s="129"/>
      <c r="BN63" s="133" t="str">
        <f t="shared" si="27"/>
        <v/>
      </c>
      <c r="BO63" s="82"/>
      <c r="BP63" s="83" t="str">
        <f t="shared" si="28"/>
        <v/>
      </c>
      <c r="BQ63" s="129"/>
      <c r="BR63" s="133" t="str">
        <f t="shared" si="29"/>
        <v/>
      </c>
      <c r="BS63" s="82"/>
      <c r="BT63" s="83" t="str">
        <f t="shared" si="30"/>
        <v/>
      </c>
      <c r="BU63" s="129"/>
      <c r="BV63" s="133" t="str">
        <f t="shared" si="31"/>
        <v/>
      </c>
      <c r="BW63" s="82"/>
      <c r="BX63" s="83" t="str">
        <f t="shared" si="32"/>
        <v/>
      </c>
      <c r="BY63" s="129"/>
      <c r="BZ63" s="133" t="str">
        <f t="shared" si="33"/>
        <v/>
      </c>
      <c r="CA63" s="82"/>
      <c r="CB63" s="83" t="str">
        <f t="shared" si="34"/>
        <v/>
      </c>
      <c r="CC63" s="129"/>
      <c r="CD63" s="133" t="str">
        <f t="shared" si="35"/>
        <v/>
      </c>
      <c r="CE63" s="82"/>
      <c r="CF63" s="83" t="str">
        <f t="shared" si="36"/>
        <v/>
      </c>
      <c r="CG63" s="129"/>
      <c r="CH63" s="133" t="str">
        <f t="shared" si="37"/>
        <v/>
      </c>
      <c r="CI63" s="82"/>
      <c r="CJ63" s="83" t="str">
        <f t="shared" si="38"/>
        <v/>
      </c>
      <c r="CK63" s="129"/>
      <c r="CL63" s="133" t="str">
        <f t="shared" si="39"/>
        <v/>
      </c>
      <c r="CM63" s="82"/>
      <c r="CN63" s="83" t="str">
        <f t="shared" si="40"/>
        <v/>
      </c>
      <c r="CO63" s="129"/>
      <c r="CP63" s="133" t="str">
        <f t="shared" si="41"/>
        <v/>
      </c>
      <c r="CQ63" s="24" t="s">
        <v>195</v>
      </c>
    </row>
    <row r="64" spans="1:95" ht="20" customHeight="1" thickBot="1" x14ac:dyDescent="0.25">
      <c r="A64" s="68"/>
      <c r="B64" s="25"/>
      <c r="C64" s="25" t="s">
        <v>86</v>
      </c>
      <c r="D64" s="24" t="s">
        <v>150</v>
      </c>
      <c r="E64" s="24" t="s">
        <v>151</v>
      </c>
      <c r="F64" s="25">
        <v>2011</v>
      </c>
      <c r="G64" s="25">
        <v>112</v>
      </c>
      <c r="H64" s="29">
        <v>22</v>
      </c>
      <c r="I64" s="28" t="s">
        <v>246</v>
      </c>
      <c r="J64" s="39" t="s">
        <v>213</v>
      </c>
      <c r="K64" s="41"/>
      <c r="L64" s="44" t="str">
        <f t="shared" si="0"/>
        <v/>
      </c>
      <c r="M64" s="130"/>
      <c r="N64" s="130" t="str">
        <f t="shared" si="1"/>
        <v/>
      </c>
      <c r="O64" s="41"/>
      <c r="P64" s="44" t="str">
        <f>IF((ISERROR((O64/$H64)*100)), "", IF(AND(NOT(ISERROR((O64/$H64)*100)),((O64/$H64)*100) &lt;&gt; 0), (O64/$H64)*100, ""))</f>
        <v/>
      </c>
      <c r="Q64" s="130"/>
      <c r="R64" s="134" t="str">
        <f t="shared" si="3"/>
        <v/>
      </c>
      <c r="S64" s="41"/>
      <c r="T64" s="44" t="str">
        <f t="shared" si="4"/>
        <v/>
      </c>
      <c r="U64" s="130"/>
      <c r="V64" s="134" t="str">
        <f t="shared" si="5"/>
        <v/>
      </c>
      <c r="W64" s="41"/>
      <c r="X64" s="44" t="str">
        <f t="shared" si="6"/>
        <v/>
      </c>
      <c r="Y64" s="130"/>
      <c r="Z64" s="134" t="str">
        <f t="shared" si="7"/>
        <v/>
      </c>
      <c r="AA64" s="41"/>
      <c r="AB64" s="44" t="str">
        <f t="shared" si="8"/>
        <v/>
      </c>
      <c r="AC64" s="130"/>
      <c r="AD64" s="134" t="str">
        <f t="shared" si="9"/>
        <v/>
      </c>
      <c r="AE64" s="42"/>
      <c r="AF64" s="44" t="str">
        <f t="shared" si="43"/>
        <v/>
      </c>
      <c r="AG64" s="130"/>
      <c r="AH64" s="134" t="str">
        <f t="shared" si="11"/>
        <v/>
      </c>
      <c r="AI64" s="41"/>
      <c r="AJ64" s="44" t="str">
        <f t="shared" si="12"/>
        <v/>
      </c>
      <c r="AK64" s="130"/>
      <c r="AL64" s="134" t="str">
        <f t="shared" si="13"/>
        <v/>
      </c>
      <c r="AM64" s="41"/>
      <c r="AN64" s="44" t="str">
        <f t="shared" si="14"/>
        <v/>
      </c>
      <c r="AO64" s="130"/>
      <c r="AP64" s="134" t="str">
        <f t="shared" si="15"/>
        <v/>
      </c>
      <c r="AQ64" s="41"/>
      <c r="AR64" s="44" t="str">
        <f t="shared" si="16"/>
        <v/>
      </c>
      <c r="AS64" s="130"/>
      <c r="AT64" s="134" t="str">
        <f t="shared" si="17"/>
        <v/>
      </c>
      <c r="AU64" s="41"/>
      <c r="AV64" s="44" t="str">
        <f>IF((ISERROR((AU64/$H64)*100)), "", IF(AND(NOT(ISERROR((AU64/$H64)*100)),((AU64/$H64)*100) &lt;&gt; 0), (AU64/$H64)*100, ""))</f>
        <v/>
      </c>
      <c r="AW64" s="130"/>
      <c r="AX64" s="134" t="str">
        <f t="shared" si="19"/>
        <v/>
      </c>
      <c r="AY64" s="41"/>
      <c r="AZ64" s="44" t="str">
        <f t="shared" si="20"/>
        <v/>
      </c>
      <c r="BA64" s="130"/>
      <c r="BB64" s="134" t="str">
        <f t="shared" si="42"/>
        <v/>
      </c>
      <c r="BC64" s="41"/>
      <c r="BD64" s="44" t="str">
        <f t="shared" si="22"/>
        <v/>
      </c>
      <c r="BE64" s="130"/>
      <c r="BF64" s="134" t="str">
        <f t="shared" si="23"/>
        <v/>
      </c>
      <c r="BG64" s="42"/>
      <c r="BH64" s="44" t="str">
        <f t="shared" si="24"/>
        <v/>
      </c>
      <c r="BI64" s="130"/>
      <c r="BJ64" s="134" t="str">
        <f t="shared" si="25"/>
        <v/>
      </c>
      <c r="BK64" s="41"/>
      <c r="BL64" s="44" t="str">
        <f t="shared" si="26"/>
        <v/>
      </c>
      <c r="BM64" s="130"/>
      <c r="BN64" s="134" t="str">
        <f t="shared" si="27"/>
        <v/>
      </c>
      <c r="BO64" s="41"/>
      <c r="BP64" s="44" t="str">
        <f t="shared" si="28"/>
        <v/>
      </c>
      <c r="BQ64" s="130"/>
      <c r="BR64" s="134" t="str">
        <f t="shared" si="29"/>
        <v/>
      </c>
      <c r="BS64" s="41"/>
      <c r="BT64" s="44" t="str">
        <f t="shared" si="30"/>
        <v/>
      </c>
      <c r="BU64" s="130"/>
      <c r="BV64" s="134" t="str">
        <f t="shared" si="31"/>
        <v/>
      </c>
      <c r="BW64" s="41"/>
      <c r="BX64" s="44" t="str">
        <f t="shared" si="32"/>
        <v/>
      </c>
      <c r="BY64" s="130"/>
      <c r="BZ64" s="134" t="str">
        <f t="shared" si="33"/>
        <v/>
      </c>
      <c r="CA64" s="41"/>
      <c r="CB64" s="44" t="str">
        <f t="shared" si="34"/>
        <v/>
      </c>
      <c r="CC64" s="130"/>
      <c r="CD64" s="134" t="str">
        <f t="shared" si="35"/>
        <v/>
      </c>
      <c r="CE64" s="41"/>
      <c r="CF64" s="44" t="str">
        <f t="shared" si="36"/>
        <v/>
      </c>
      <c r="CG64" s="130"/>
      <c r="CH64" s="134" t="str">
        <f t="shared" si="37"/>
        <v/>
      </c>
      <c r="CI64" s="41"/>
      <c r="CJ64" s="44" t="str">
        <f t="shared" si="38"/>
        <v/>
      </c>
      <c r="CK64" s="130"/>
      <c r="CL64" s="134" t="str">
        <f t="shared" si="39"/>
        <v/>
      </c>
      <c r="CM64" s="41"/>
      <c r="CN64" s="44" t="str">
        <f t="shared" si="40"/>
        <v/>
      </c>
      <c r="CO64" s="130"/>
      <c r="CP64" s="134" t="str">
        <f t="shared" si="41"/>
        <v/>
      </c>
      <c r="CQ64" s="24" t="s">
        <v>264</v>
      </c>
    </row>
    <row r="66" spans="3:94" ht="17" thickBot="1" x14ac:dyDescent="0.25"/>
    <row r="67" spans="3:94" s="23" customFormat="1" x14ac:dyDescent="0.2">
      <c r="C67" s="48"/>
      <c r="F67" s="25"/>
      <c r="G67" s="50" t="s">
        <v>280</v>
      </c>
      <c r="H67" s="51">
        <f>SUM(H11:H64)</f>
        <v>1980</v>
      </c>
      <c r="I67" s="52" t="s">
        <v>278</v>
      </c>
      <c r="J67" s="53" t="s">
        <v>277</v>
      </c>
      <c r="K67" s="58">
        <f>IF((SUM(K11:K64)&lt;&gt;0), SUMIF($H11:$H64, "&gt;0", K11:K64), "")</f>
        <v>5</v>
      </c>
      <c r="L67" s="59">
        <f>IF(ISERROR((K67/$H67)*100), "", IF(((K67/$H67)*100) &lt;&gt; 0, (K67/$H67)*100, ""))</f>
        <v>0.25252525252525254</v>
      </c>
      <c r="M67" s="58"/>
      <c r="N67" s="59"/>
      <c r="O67" s="58">
        <f>IF((SUM(O11:O64)&lt;&gt;0), SUMIF($H11:$H64, "&gt;0", O11:O64), "")</f>
        <v>34</v>
      </c>
      <c r="P67" s="59">
        <f>IF(ISERROR((O67/$H67)*100), "", IF(((O67/$H67)*100) &lt;&gt; 0, (O67/$H67)*100, ""))</f>
        <v>1.7171717171717171</v>
      </c>
      <c r="Q67" s="58"/>
      <c r="R67" s="59"/>
      <c r="S67" s="58">
        <f>IF((SUM(S11:S64)&lt;&gt;0), SUMIF($H11:$H64, "&gt;0", S11:S64), "")</f>
        <v>25</v>
      </c>
      <c r="T67" s="59">
        <f>IF(ISERROR((S67/$H67)*100), "", IF(((S67/$H67)*100) &lt;&gt; 0, (S67/$H67)*100, ""))</f>
        <v>1.2626262626262625</v>
      </c>
      <c r="U67" s="58"/>
      <c r="V67" s="59"/>
      <c r="W67" s="58">
        <f>IF((SUM(W11:W64)&lt;&gt;0), SUMIF($H11:$H64, "&gt;0", W11:W64), "")</f>
        <v>50</v>
      </c>
      <c r="X67" s="59">
        <f>IF(ISERROR((W67/$H67)*100), "", IF(((W67/$H67)*100) &lt;&gt; 0, (W67/$H67)*100, ""))</f>
        <v>2.5252525252525251</v>
      </c>
      <c r="Y67" s="58"/>
      <c r="Z67" s="59"/>
      <c r="AA67" s="58">
        <f>IF((SUM(AA11:AA64)&lt;&gt;0), SUMIF($H11:$H64, "&gt;0", AA11:AA64), "")</f>
        <v>2</v>
      </c>
      <c r="AB67" s="59">
        <f>IF(ISERROR((AA67/$H67)*100), "", IF(((AA67/$H67)*100) &lt;&gt; 0, (AA67/$H67)*100, ""))</f>
        <v>0.10101010101010101</v>
      </c>
      <c r="AC67" s="58"/>
      <c r="AD67" s="59"/>
      <c r="AE67" s="58">
        <f>IF((SUM(AE11:AE64)&lt;&gt;0), SUMIF($H11:$H64, "&gt;0", AE11:AE64), "")</f>
        <v>72</v>
      </c>
      <c r="AF67" s="59">
        <f>IF(ISERROR((AE67/$H67)*100), "", IF(((AE67/$H67)*100) &lt;&gt; 0, (AE67/$H67)*100, ""))</f>
        <v>3.6363636363636362</v>
      </c>
      <c r="AG67" s="58"/>
      <c r="AH67" s="59"/>
      <c r="AI67" s="58">
        <f>IF((SUM(AI11:AI64)&lt;&gt;0), SUMIF($H11:$H64, "&gt;0", AI11:AI64), "")</f>
        <v>22</v>
      </c>
      <c r="AJ67" s="59">
        <f>IF(ISERROR((AI67/$H67)*100), "", IF(((AI67/$H67)*100) &lt;&gt; 0, (AI67/$H67)*100, ""))</f>
        <v>1.1111111111111112</v>
      </c>
      <c r="AK67" s="58"/>
      <c r="AL67" s="59"/>
      <c r="AM67" s="58">
        <f>IF((SUM(AM11:AM64)&lt;&gt;0), SUMIF($H11:$H64, "&gt;0", AM11:AM64), "")</f>
        <v>2</v>
      </c>
      <c r="AN67" s="59">
        <f>IF(ISERROR((AM67/$H67)*100), "", IF(((AM67/$H67)*100) &lt;&gt; 0, (AM67/$H67)*100, ""))</f>
        <v>0.10101010101010101</v>
      </c>
      <c r="AO67" s="58"/>
      <c r="AP67" s="59"/>
      <c r="AQ67" s="58">
        <f>IF((SUM(AQ11:AQ64)&lt;&gt;0), SUMIF($H11:$H64, "&gt;0", AQ11:AQ64), "")</f>
        <v>1</v>
      </c>
      <c r="AR67" s="59">
        <f>IF(ISERROR((AQ67/$H67)*100), "", IF(((AQ67/$H67)*100) &lt;&gt; 0, (AQ67/$H67)*100, ""))</f>
        <v>5.0505050505050504E-2</v>
      </c>
      <c r="AS67" s="58"/>
      <c r="AT67" s="59"/>
      <c r="AU67" s="58">
        <f>IF((SUM(AU11:AU64)&lt;&gt;0), SUMIF($H11:$H64, "&gt;0", AU11:AU64), "")</f>
        <v>1</v>
      </c>
      <c r="AV67" s="59">
        <f>IF(ISERROR((AU67/$H67)*100), "", IF(((AU67/$H67)*100) &lt;&gt; 0, (AU67/$H67)*100, ""))</f>
        <v>5.0505050505050504E-2</v>
      </c>
      <c r="AW67" s="58"/>
      <c r="AX67" s="59"/>
      <c r="AY67" s="58">
        <f>IF((SUM(AY11:AY64)&lt;&gt;0), SUMIF($H11:$H64, "&gt;0", AY11:AY64), "")</f>
        <v>26</v>
      </c>
      <c r="AZ67" s="59">
        <f>IF(ISERROR((AY67/$H67)*100), "", IF(((AY67/$H67)*100) &lt;&gt; 0, (AY67/$H67)*100, ""))</f>
        <v>1.3131313131313131</v>
      </c>
      <c r="BA67" s="58"/>
      <c r="BB67" s="59"/>
      <c r="BC67" s="58">
        <f>IF((SUM(BC11:BC64)&lt;&gt;0), SUMIF($H11:$H64, "&gt;0", BC11:BC64), "")</f>
        <v>4</v>
      </c>
      <c r="BD67" s="59">
        <f>IF(ISERROR((BC67/$H67)*100), "", IF(((BC67/$H67)*100) &lt;&gt; 0, (BC67/$H67)*100, ""))</f>
        <v>0.20202020202020202</v>
      </c>
      <c r="BE67" s="58"/>
      <c r="BF67" s="59"/>
      <c r="BG67" s="58">
        <f>IF((SUM(BG11:BG64)&lt;&gt;0), SUMIF($H11:$H64, "&gt;0", BG11:BG64), "")</f>
        <v>90</v>
      </c>
      <c r="BH67" s="59">
        <f>IF(ISERROR((BG67/$H67)*100), "", IF(((BG67/$H67)*100) &lt;&gt; 0, (BG67/$H67)*100, ""))</f>
        <v>4.5454545454545459</v>
      </c>
      <c r="BI67" s="58"/>
      <c r="BJ67" s="59"/>
      <c r="BK67" s="58">
        <f>IF((SUM(BK11:BK64)&lt;&gt;0), SUMIF($H11:$H64, "&gt;0", BK11:BK64), "")</f>
        <v>8</v>
      </c>
      <c r="BL67" s="59">
        <f>IF(ISERROR((BK67/$H67)*100), "", IF(((BK67/$H67)*100) &lt;&gt; 0, (BK67/$H67)*100, ""))</f>
        <v>0.40404040404040403</v>
      </c>
      <c r="BM67" s="58"/>
      <c r="BN67" s="59"/>
      <c r="BO67" s="58">
        <f>IF((SUM(BO11:BO64)&lt;&gt;0), SUMIF($H11:$H64, "&gt;0", BO11:BO64), "")</f>
        <v>2</v>
      </c>
      <c r="BP67" s="59">
        <f>IF(ISERROR((BO67/$H67)*100), "", IF(((BO67/$H67)*100) &lt;&gt; 0, (BO67/$H67)*100, ""))</f>
        <v>0.10101010101010101</v>
      </c>
      <c r="BQ67" s="58"/>
      <c r="BR67" s="59"/>
      <c r="BS67" s="58">
        <f>IF((SUM(BS11:BS64)&lt;&gt;0), SUMIF($H11:$H64, "&gt;0", BS11:BS64), "")</f>
        <v>0</v>
      </c>
      <c r="BT67" s="59" t="str">
        <f>IF(ISERROR((BS67/$H67)*100), "", IF(((BS67/$H67)*100) &lt;&gt; 0, (BS67/$H67)*100, ""))</f>
        <v/>
      </c>
      <c r="BU67" s="58"/>
      <c r="BV67" s="59"/>
      <c r="BW67" s="58" t="str">
        <f>IF((SUM(BW11:BW64)&lt;&gt;0), SUMIF($H11:$H64, "&gt;0", BW11:BW64), "")</f>
        <v/>
      </c>
      <c r="BX67" s="59" t="str">
        <f>IF(ISERROR((BW67/$H67)*100), "", IF(((BW67/$H67)*100) &lt;&gt; 0, (BW67/$H67)*100, ""))</f>
        <v/>
      </c>
      <c r="BY67" s="58"/>
      <c r="BZ67" s="59"/>
      <c r="CA67" s="58" t="str">
        <f>IF((SUM(CA11:CA64)&lt;&gt;0), SUMIF($H11:$H64, "&gt;0", CA11:CA64), "")</f>
        <v/>
      </c>
      <c r="CB67" s="59" t="str">
        <f>IF(ISERROR((CA67/$H67)*100), "", IF(((CA67/$H67)*100) &lt;&gt; 0, (CA67/$H67)*100, ""))</f>
        <v/>
      </c>
      <c r="CC67" s="58"/>
      <c r="CD67" s="59"/>
      <c r="CE67" s="58" t="str">
        <f>IF((SUM(CE11:CE64)&lt;&gt;0), SUMIF($H11:$H64, "&gt;0", CE11:CE64), "")</f>
        <v/>
      </c>
      <c r="CF67" s="59" t="str">
        <f>IF(ISERROR((CE67/$H67)*100), "", IF(((CE67/$H67)*100) &lt;&gt; 0, (CE67/$H67)*100, ""))</f>
        <v/>
      </c>
      <c r="CG67" s="58"/>
      <c r="CH67" s="59"/>
      <c r="CI67" s="58" t="str">
        <f>IF((SUM(CI11:CI64)&lt;&gt;0), SUMIF($H11:$H64, "&gt;0", CI11:CI64), "")</f>
        <v/>
      </c>
      <c r="CJ67" s="59" t="str">
        <f>IF(ISERROR((CI67/$H67)*100), "", IF(((CI67/$H67)*100) &lt;&gt; 0, (CI67/$H67)*100, ""))</f>
        <v/>
      </c>
      <c r="CK67" s="58"/>
      <c r="CL67" s="59"/>
      <c r="CM67" s="58" t="str">
        <f>IF((SUM(CM11:CM64)&lt;&gt;0), SUMIF($H11:$H64, "&gt;0", CM11:CM64), "")</f>
        <v/>
      </c>
      <c r="CN67" s="59" t="str">
        <f>IF(ISERROR((CM67/$H67)*100), "", IF(((CM67/$H67)*100) &lt;&gt; 0, (CM67/$H67)*100, ""))</f>
        <v/>
      </c>
      <c r="CO67" s="58"/>
      <c r="CP67" s="59"/>
    </row>
    <row r="68" spans="3:94" s="23" customFormat="1" x14ac:dyDescent="0.2">
      <c r="C68" s="48"/>
      <c r="F68" s="25"/>
      <c r="G68" s="50" t="s">
        <v>281</v>
      </c>
      <c r="H68" s="49" t="s">
        <v>279</v>
      </c>
      <c r="I68" s="54" t="s">
        <v>278</v>
      </c>
      <c r="J68" s="55" t="s">
        <v>277</v>
      </c>
      <c r="K68" s="60">
        <f>IF(SUMIF(K11:K64, "&gt; 0", $H11:$H64) &gt; 0, SUMIF(K11:K64, "&gt; 0", $H11:$H64), "")</f>
        <v>8</v>
      </c>
      <c r="L68" s="61">
        <f>(K67/K68)*100</f>
        <v>62.5</v>
      </c>
      <c r="M68" s="60"/>
      <c r="N68" s="61"/>
      <c r="O68" s="60">
        <f>IF(SUMIF(O11:O64, "&gt; 0", $H11:$H64) &gt; 0, SUMIF(O11:O64, "&gt; 0", $H11:$H64), "")</f>
        <v>156</v>
      </c>
      <c r="P68" s="61">
        <f>(O67/O68)*100</f>
        <v>21.794871794871796</v>
      </c>
      <c r="Q68" s="60"/>
      <c r="R68" s="61"/>
      <c r="S68" s="60">
        <f>IF(SUMIF(S11:S64, "&gt; 0", $H11:$H64) &gt; 0, SUMIF(S11:S64, "&gt; 0", $H11:$H64), "")</f>
        <v>62</v>
      </c>
      <c r="T68" s="61">
        <f>(S67/S68)*100</f>
        <v>40.322580645161288</v>
      </c>
      <c r="U68" s="60"/>
      <c r="V68" s="61"/>
      <c r="W68" s="60">
        <f>IF(SUMIF(W11:W64, "&gt; 0", $H11:$H64) &gt; 0, SUMIF(W11:W64, "&gt; 0", $H11:$H64), "")</f>
        <v>217</v>
      </c>
      <c r="X68" s="61">
        <f>(W67/W68)*100</f>
        <v>23.041474654377879</v>
      </c>
      <c r="Y68" s="60"/>
      <c r="Z68" s="61"/>
      <c r="AA68" s="60">
        <f>IF(SUMIF(AA11:AA64, "&gt; 0", $H11:$H64) &gt; 0, SUMIF(AA11:AA64, "&gt; 0", $H11:$H64), "")</f>
        <v>8</v>
      </c>
      <c r="AB68" s="61">
        <f>(AA67/AA68)*100</f>
        <v>25</v>
      </c>
      <c r="AC68" s="60"/>
      <c r="AD68" s="61"/>
      <c r="AE68" s="60">
        <f>IF(SUMIF(AE11:AE64, "&gt; 0", $H11:$H64) &gt; 0, SUMIF(AE11:AE64, "&gt; 0", $H11:$H64), "")</f>
        <v>236</v>
      </c>
      <c r="AF68" s="61">
        <f>(AE67/AE68)*100</f>
        <v>30.508474576271187</v>
      </c>
      <c r="AG68" s="60"/>
      <c r="AH68" s="61"/>
      <c r="AI68" s="60">
        <f>IF(SUMIF(AI11:AI64, "&gt; 0", $H11:$H64) &gt; 0, SUMIF(AI11:AI64, "&gt; 0", $H11:$H64), "")</f>
        <v>190</v>
      </c>
      <c r="AJ68" s="61">
        <f>(AI67/AI68)*100</f>
        <v>11.578947368421053</v>
      </c>
      <c r="AK68" s="60"/>
      <c r="AL68" s="61"/>
      <c r="AM68" s="60">
        <f>IF(SUMIF(AM11:AM64, "&gt; 0", $H11:$H64) &gt; 0, SUMIF(AM11:AM64, "&gt; 0", $H11:$H64), "")</f>
        <v>47</v>
      </c>
      <c r="AN68" s="61">
        <f>(AM67/AM68)*100</f>
        <v>4.2553191489361701</v>
      </c>
      <c r="AO68" s="60"/>
      <c r="AP68" s="61"/>
      <c r="AQ68" s="60">
        <f>IF(SUMIF(AQ11:AQ64, "&gt; 0", $H11:$H64) &gt; 0, SUMIF(AQ11:AQ64, "&gt; 0", $H11:$H64), "")</f>
        <v>8</v>
      </c>
      <c r="AR68" s="61">
        <f>(AQ67/AQ68)*100</f>
        <v>12.5</v>
      </c>
      <c r="AS68" s="60"/>
      <c r="AT68" s="61"/>
      <c r="AU68" s="60">
        <f>IF(SUMIF(AU11:AU64, "&gt; 0", $H11:$H64) &gt; 0, SUMIF(AU11:AU64, "&gt; 0", $H11:$H64), "")</f>
        <v>8</v>
      </c>
      <c r="AV68" s="61">
        <f>(AU67/AU68)*100</f>
        <v>12.5</v>
      </c>
      <c r="AW68" s="60"/>
      <c r="AX68" s="61"/>
      <c r="AY68" s="60">
        <f>IF(SUMIF(AY11:AY64, "&gt; 0", $H11:$H64) &gt; 0, SUMIF(AY11:AY64, "&gt; 0", $H11:$H64), "")</f>
        <v>214</v>
      </c>
      <c r="AZ68" s="61">
        <f>(AY67/AY68)*100</f>
        <v>12.149532710280374</v>
      </c>
      <c r="BA68" s="60"/>
      <c r="BB68" s="61"/>
      <c r="BC68" s="60">
        <f>IF(SUMIF(BC11:BC64, "&gt; 0", $H11:$H64) &gt; 0, SUMIF(BC11:BC64, "&gt; 0", $H11:$H64), "")</f>
        <v>61</v>
      </c>
      <c r="BD68" s="61">
        <f>(BC67/BC68)*100</f>
        <v>6.557377049180328</v>
      </c>
      <c r="BE68" s="60"/>
      <c r="BF68" s="61"/>
      <c r="BG68" s="60">
        <f>IF(SUMIF(BG11:BG64, "&gt; 0", $H11:$H64) &gt; 0, SUMIF(BG11:BG64, "&gt; 0", $H11:$H64), "")</f>
        <v>941</v>
      </c>
      <c r="BH68" s="61">
        <f>(BG67/BG68)*100</f>
        <v>9.5642933049946866</v>
      </c>
      <c r="BI68" s="60"/>
      <c r="BJ68" s="61"/>
      <c r="BK68" s="60">
        <f>IF(SUMIF(BK11:BK64, "&gt; 0", $H11:$H64) &gt; 0, SUMIF(BK11:BK64, "&gt; 0", $H11:$H64), "")</f>
        <v>162</v>
      </c>
      <c r="BL68" s="61">
        <f>(BK67/BK68)*100</f>
        <v>4.9382716049382713</v>
      </c>
      <c r="BM68" s="60"/>
      <c r="BN68" s="61"/>
      <c r="BO68" s="60">
        <f>IF(SUMIF(BO11:BO64, "&gt; 0", $H11:$H64) &gt; 0, SUMIF(BO11:BO64, "&gt; 0", $H11:$H64), "")</f>
        <v>27</v>
      </c>
      <c r="BP68" s="61">
        <f>(BO67/BO68)*100</f>
        <v>7.4074074074074066</v>
      </c>
      <c r="BQ68" s="60"/>
      <c r="BR68" s="61"/>
      <c r="BS68" s="60" t="str">
        <f>IF(SUMIF(BS11:BS64, "&gt; 0", $H11:$H64) &gt; 0, SUMIF(BS11:BS64, "&gt; 0", $H11:$H64), "")</f>
        <v/>
      </c>
      <c r="BT68" s="61" t="str">
        <f>IF(NOT(ISERROR((BS67/BS68)*100)), (BS67/BS68)*100, "")</f>
        <v/>
      </c>
      <c r="BU68" s="60"/>
      <c r="BV68" s="61"/>
      <c r="BW68" s="60" t="str">
        <f>IF(SUMIF(BW11:BW64, "&gt; 0", $H11:$H64) &gt; 0, SUMIF(BW11:BW64, "&gt; 0", $H11:$H64), "")</f>
        <v/>
      </c>
      <c r="BX68" s="61" t="str">
        <f>IF((ISERROR((BW67/BW68)*100)), "", (BW67/BW68)*100)</f>
        <v/>
      </c>
      <c r="BY68" s="60"/>
      <c r="BZ68" s="61"/>
      <c r="CA68" s="60" t="str">
        <f>IF(SUMIF(CA11:CA64, "&gt; 0", $H11:$H64) &gt; 0, SUMIF(CA11:CA64, "&gt; 0", $H11:$H64), "")</f>
        <v/>
      </c>
      <c r="CB68" s="61" t="str">
        <f>IF((ISERROR((CA67/CA68)*100)), "", (CA67/CA68)*100)</f>
        <v/>
      </c>
      <c r="CC68" s="60"/>
      <c r="CD68" s="61"/>
      <c r="CE68" s="60" t="str">
        <f>IF(SUMIF(CE11:CE64, "&gt; 0", $H11:$H64) &gt; 0, SUMIF(CE11:CE64, "&gt; 0", $H11:$H64), "")</f>
        <v/>
      </c>
      <c r="CF68" s="61" t="str">
        <f>IF((ISERROR((CE67/CE68)*100)), "", (CE67/CE68)*100)</f>
        <v/>
      </c>
      <c r="CG68" s="60"/>
      <c r="CH68" s="61"/>
      <c r="CI68" s="60" t="str">
        <f>IF(SUMIF(CI11:CI64, "&gt; 0", $H11:$H64) &gt; 0, SUMIF(CI11:CI64, "&gt; 0", $H11:$H64), "")</f>
        <v/>
      </c>
      <c r="CJ68" s="61" t="str">
        <f>IF((ISERROR((CI67/CI68)*100)), "", (CI67/CI68)*100)</f>
        <v/>
      </c>
      <c r="CK68" s="60"/>
      <c r="CL68" s="61"/>
      <c r="CM68" s="60" t="str">
        <f>IF(SUMIF(CM11:CM64, "&gt; 0", $H11:$H64) &gt; 0, SUMIF(CM11:CM64, "&gt; 0", $H11:$H64), "")</f>
        <v/>
      </c>
      <c r="CN68" s="61" t="str">
        <f>IF((ISERROR((CM67/CM68)*100)), "", (CM67/CM68)*100)</f>
        <v/>
      </c>
      <c r="CO68" s="60"/>
      <c r="CP68" s="61"/>
    </row>
    <row r="69" spans="3:94" ht="17" customHeight="1" thickBot="1" x14ac:dyDescent="0.25">
      <c r="H69" s="180" t="s">
        <v>278</v>
      </c>
      <c r="I69" s="183"/>
      <c r="J69" s="184"/>
      <c r="K69" s="159" t="s">
        <v>276</v>
      </c>
      <c r="L69" s="161" t="s">
        <v>277</v>
      </c>
      <c r="M69" s="234" t="s">
        <v>445</v>
      </c>
      <c r="N69" s="240" t="s">
        <v>446</v>
      </c>
      <c r="O69" s="159" t="s">
        <v>276</v>
      </c>
      <c r="P69" s="161" t="s">
        <v>277</v>
      </c>
      <c r="Q69" s="234" t="s">
        <v>445</v>
      </c>
      <c r="R69" s="240" t="s">
        <v>446</v>
      </c>
      <c r="S69" s="159" t="s">
        <v>276</v>
      </c>
      <c r="T69" s="161" t="s">
        <v>277</v>
      </c>
      <c r="U69" s="234" t="s">
        <v>445</v>
      </c>
      <c r="V69" s="240" t="s">
        <v>446</v>
      </c>
      <c r="W69" s="159" t="s">
        <v>276</v>
      </c>
      <c r="X69" s="161" t="s">
        <v>277</v>
      </c>
      <c r="Y69" s="234" t="s">
        <v>445</v>
      </c>
      <c r="Z69" s="240" t="s">
        <v>446</v>
      </c>
      <c r="AA69" s="159" t="s">
        <v>276</v>
      </c>
      <c r="AB69" s="161" t="s">
        <v>277</v>
      </c>
      <c r="AC69" s="234" t="s">
        <v>445</v>
      </c>
      <c r="AD69" s="240" t="s">
        <v>446</v>
      </c>
      <c r="AE69" s="159" t="s">
        <v>276</v>
      </c>
      <c r="AF69" s="161" t="s">
        <v>277</v>
      </c>
      <c r="AG69" s="234" t="s">
        <v>445</v>
      </c>
      <c r="AH69" s="240" t="s">
        <v>446</v>
      </c>
      <c r="AI69" s="159" t="s">
        <v>276</v>
      </c>
      <c r="AJ69" s="161" t="s">
        <v>277</v>
      </c>
      <c r="AK69" s="234" t="s">
        <v>445</v>
      </c>
      <c r="AL69" s="240" t="s">
        <v>446</v>
      </c>
      <c r="AM69" s="159" t="s">
        <v>276</v>
      </c>
      <c r="AN69" s="161" t="s">
        <v>277</v>
      </c>
      <c r="AO69" s="234" t="s">
        <v>445</v>
      </c>
      <c r="AP69" s="240" t="s">
        <v>446</v>
      </c>
      <c r="AQ69" s="159" t="s">
        <v>276</v>
      </c>
      <c r="AR69" s="161" t="s">
        <v>277</v>
      </c>
      <c r="AS69" s="234" t="s">
        <v>445</v>
      </c>
      <c r="AT69" s="240" t="s">
        <v>446</v>
      </c>
      <c r="AU69" s="159" t="s">
        <v>276</v>
      </c>
      <c r="AV69" s="161" t="s">
        <v>277</v>
      </c>
      <c r="AW69" s="234" t="s">
        <v>445</v>
      </c>
      <c r="AX69" s="240" t="s">
        <v>446</v>
      </c>
      <c r="AY69" s="163" t="s">
        <v>276</v>
      </c>
      <c r="AZ69" s="162" t="s">
        <v>277</v>
      </c>
      <c r="BA69" s="234" t="s">
        <v>445</v>
      </c>
      <c r="BB69" s="240" t="s">
        <v>446</v>
      </c>
      <c r="BC69" s="159" t="s">
        <v>276</v>
      </c>
      <c r="BD69" s="161" t="s">
        <v>277</v>
      </c>
      <c r="BE69" s="234" t="s">
        <v>445</v>
      </c>
      <c r="BF69" s="240" t="s">
        <v>446</v>
      </c>
      <c r="BG69" s="159" t="s">
        <v>276</v>
      </c>
      <c r="BH69" s="161" t="s">
        <v>277</v>
      </c>
      <c r="BI69" s="234" t="s">
        <v>445</v>
      </c>
      <c r="BJ69" s="240" t="s">
        <v>446</v>
      </c>
      <c r="BK69" s="159" t="s">
        <v>276</v>
      </c>
      <c r="BL69" s="161" t="s">
        <v>277</v>
      </c>
      <c r="BM69" s="234" t="s">
        <v>445</v>
      </c>
      <c r="BN69" s="240" t="s">
        <v>446</v>
      </c>
      <c r="BO69" s="159" t="s">
        <v>276</v>
      </c>
      <c r="BP69" s="161" t="s">
        <v>277</v>
      </c>
      <c r="BQ69" s="234" t="s">
        <v>445</v>
      </c>
      <c r="BR69" s="240" t="s">
        <v>446</v>
      </c>
      <c r="BS69" s="159" t="s">
        <v>276</v>
      </c>
      <c r="BT69" s="161" t="s">
        <v>277</v>
      </c>
      <c r="BU69" s="234" t="s">
        <v>445</v>
      </c>
      <c r="BV69" s="240" t="s">
        <v>446</v>
      </c>
      <c r="BW69" s="159" t="s">
        <v>276</v>
      </c>
      <c r="BX69" s="161" t="s">
        <v>277</v>
      </c>
      <c r="BY69" s="234" t="s">
        <v>445</v>
      </c>
      <c r="BZ69" s="240" t="s">
        <v>446</v>
      </c>
      <c r="CA69" s="159" t="s">
        <v>276</v>
      </c>
      <c r="CB69" s="161" t="s">
        <v>277</v>
      </c>
      <c r="CC69" s="234" t="s">
        <v>445</v>
      </c>
      <c r="CD69" s="240" t="s">
        <v>446</v>
      </c>
      <c r="CE69" s="159" t="s">
        <v>276</v>
      </c>
      <c r="CF69" s="161" t="s">
        <v>277</v>
      </c>
      <c r="CG69" s="234" t="s">
        <v>445</v>
      </c>
      <c r="CH69" s="240" t="s">
        <v>446</v>
      </c>
      <c r="CI69" s="159" t="s">
        <v>276</v>
      </c>
      <c r="CJ69" s="161" t="s">
        <v>277</v>
      </c>
      <c r="CK69" s="234" t="s">
        <v>445</v>
      </c>
      <c r="CL69" s="240" t="s">
        <v>446</v>
      </c>
      <c r="CM69" s="159" t="s">
        <v>276</v>
      </c>
      <c r="CN69" s="161" t="s">
        <v>277</v>
      </c>
      <c r="CO69" s="234" t="s">
        <v>445</v>
      </c>
      <c r="CP69" s="237" t="s">
        <v>446</v>
      </c>
    </row>
    <row r="70" spans="3:94" x14ac:dyDescent="0.2">
      <c r="E70" s="62" t="s">
        <v>283</v>
      </c>
      <c r="F70" s="65">
        <v>1</v>
      </c>
      <c r="H70" s="181"/>
      <c r="I70" s="185"/>
      <c r="J70" s="186"/>
      <c r="K70" s="159"/>
      <c r="L70" s="162"/>
      <c r="M70" s="235"/>
      <c r="N70" s="241"/>
      <c r="O70" s="159"/>
      <c r="P70" s="162"/>
      <c r="Q70" s="235"/>
      <c r="R70" s="241"/>
      <c r="S70" s="159"/>
      <c r="T70" s="162"/>
      <c r="U70" s="235"/>
      <c r="V70" s="241"/>
      <c r="W70" s="159"/>
      <c r="X70" s="162"/>
      <c r="Y70" s="235"/>
      <c r="Z70" s="241"/>
      <c r="AA70" s="159"/>
      <c r="AB70" s="162"/>
      <c r="AC70" s="235"/>
      <c r="AD70" s="241"/>
      <c r="AE70" s="159"/>
      <c r="AF70" s="162"/>
      <c r="AG70" s="235"/>
      <c r="AH70" s="241"/>
      <c r="AI70" s="159"/>
      <c r="AJ70" s="162"/>
      <c r="AK70" s="235"/>
      <c r="AL70" s="241"/>
      <c r="AM70" s="159"/>
      <c r="AN70" s="162"/>
      <c r="AO70" s="235"/>
      <c r="AP70" s="241"/>
      <c r="AQ70" s="159"/>
      <c r="AR70" s="162"/>
      <c r="AS70" s="235"/>
      <c r="AT70" s="241"/>
      <c r="AU70" s="159"/>
      <c r="AV70" s="162"/>
      <c r="AW70" s="235"/>
      <c r="AX70" s="241"/>
      <c r="AY70" s="159"/>
      <c r="AZ70" s="162"/>
      <c r="BA70" s="235"/>
      <c r="BB70" s="241"/>
      <c r="BC70" s="159"/>
      <c r="BD70" s="162"/>
      <c r="BE70" s="235"/>
      <c r="BF70" s="241"/>
      <c r="BG70" s="159"/>
      <c r="BH70" s="162"/>
      <c r="BI70" s="235"/>
      <c r="BJ70" s="241"/>
      <c r="BK70" s="159"/>
      <c r="BL70" s="162"/>
      <c r="BM70" s="235"/>
      <c r="BN70" s="241"/>
      <c r="BO70" s="159"/>
      <c r="BP70" s="162"/>
      <c r="BQ70" s="235"/>
      <c r="BR70" s="241"/>
      <c r="BS70" s="159"/>
      <c r="BT70" s="162"/>
      <c r="BU70" s="235"/>
      <c r="BV70" s="241"/>
      <c r="BW70" s="159"/>
      <c r="BX70" s="162"/>
      <c r="BY70" s="235"/>
      <c r="BZ70" s="241"/>
      <c r="CA70" s="159"/>
      <c r="CB70" s="162"/>
      <c r="CC70" s="235"/>
      <c r="CD70" s="241"/>
      <c r="CE70" s="159"/>
      <c r="CF70" s="162"/>
      <c r="CG70" s="235"/>
      <c r="CH70" s="241"/>
      <c r="CI70" s="159"/>
      <c r="CJ70" s="162"/>
      <c r="CK70" s="235"/>
      <c r="CL70" s="241"/>
      <c r="CM70" s="159"/>
      <c r="CN70" s="162"/>
      <c r="CO70" s="235"/>
      <c r="CP70" s="238"/>
    </row>
    <row r="71" spans="3:94" x14ac:dyDescent="0.2">
      <c r="E71" s="63"/>
      <c r="F71" s="64"/>
      <c r="H71" s="181"/>
      <c r="I71" s="185"/>
      <c r="J71" s="186"/>
      <c r="K71" s="159"/>
      <c r="L71" s="162"/>
      <c r="M71" s="235"/>
      <c r="N71" s="241"/>
      <c r="O71" s="159"/>
      <c r="P71" s="162"/>
      <c r="Q71" s="235"/>
      <c r="R71" s="241"/>
      <c r="S71" s="159"/>
      <c r="T71" s="162"/>
      <c r="U71" s="235"/>
      <c r="V71" s="241"/>
      <c r="W71" s="159"/>
      <c r="X71" s="162"/>
      <c r="Y71" s="235"/>
      <c r="Z71" s="241"/>
      <c r="AA71" s="159"/>
      <c r="AB71" s="162"/>
      <c r="AC71" s="235"/>
      <c r="AD71" s="241"/>
      <c r="AE71" s="159"/>
      <c r="AF71" s="162"/>
      <c r="AG71" s="235"/>
      <c r="AH71" s="241"/>
      <c r="AI71" s="159"/>
      <c r="AJ71" s="162"/>
      <c r="AK71" s="235"/>
      <c r="AL71" s="241"/>
      <c r="AM71" s="159"/>
      <c r="AN71" s="162"/>
      <c r="AO71" s="235"/>
      <c r="AP71" s="241"/>
      <c r="AQ71" s="159"/>
      <c r="AR71" s="162"/>
      <c r="AS71" s="235"/>
      <c r="AT71" s="241"/>
      <c r="AU71" s="159"/>
      <c r="AV71" s="162"/>
      <c r="AW71" s="235"/>
      <c r="AX71" s="241"/>
      <c r="AY71" s="159"/>
      <c r="AZ71" s="162"/>
      <c r="BA71" s="235"/>
      <c r="BB71" s="241"/>
      <c r="BC71" s="159"/>
      <c r="BD71" s="162"/>
      <c r="BE71" s="235"/>
      <c r="BF71" s="241"/>
      <c r="BG71" s="159"/>
      <c r="BH71" s="162"/>
      <c r="BI71" s="235"/>
      <c r="BJ71" s="241"/>
      <c r="BK71" s="159"/>
      <c r="BL71" s="162"/>
      <c r="BM71" s="235"/>
      <c r="BN71" s="241"/>
      <c r="BO71" s="159"/>
      <c r="BP71" s="162"/>
      <c r="BQ71" s="235"/>
      <c r="BR71" s="241"/>
      <c r="BS71" s="159"/>
      <c r="BT71" s="162"/>
      <c r="BU71" s="235"/>
      <c r="BV71" s="241"/>
      <c r="BW71" s="159"/>
      <c r="BX71" s="162"/>
      <c r="BY71" s="235"/>
      <c r="BZ71" s="241"/>
      <c r="CA71" s="159"/>
      <c r="CB71" s="162"/>
      <c r="CC71" s="235"/>
      <c r="CD71" s="241"/>
      <c r="CE71" s="159"/>
      <c r="CF71" s="162"/>
      <c r="CG71" s="235"/>
      <c r="CH71" s="241"/>
      <c r="CI71" s="159"/>
      <c r="CJ71" s="162"/>
      <c r="CK71" s="235"/>
      <c r="CL71" s="241"/>
      <c r="CM71" s="159"/>
      <c r="CN71" s="162"/>
      <c r="CO71" s="235"/>
      <c r="CP71" s="238"/>
    </row>
    <row r="72" spans="3:94" x14ac:dyDescent="0.2">
      <c r="E72" s="194" t="s">
        <v>284</v>
      </c>
      <c r="F72" s="195"/>
      <c r="H72" s="181"/>
      <c r="I72" s="185"/>
      <c r="J72" s="186"/>
      <c r="K72" s="159"/>
      <c r="L72" s="162"/>
      <c r="M72" s="235"/>
      <c r="N72" s="241"/>
      <c r="O72" s="159"/>
      <c r="P72" s="162"/>
      <c r="Q72" s="235"/>
      <c r="R72" s="241"/>
      <c r="S72" s="159"/>
      <c r="T72" s="162"/>
      <c r="U72" s="235"/>
      <c r="V72" s="241"/>
      <c r="W72" s="159"/>
      <c r="X72" s="162"/>
      <c r="Y72" s="235"/>
      <c r="Z72" s="241"/>
      <c r="AA72" s="159"/>
      <c r="AB72" s="162"/>
      <c r="AC72" s="235"/>
      <c r="AD72" s="241"/>
      <c r="AE72" s="159"/>
      <c r="AF72" s="162"/>
      <c r="AG72" s="235"/>
      <c r="AH72" s="241"/>
      <c r="AI72" s="159"/>
      <c r="AJ72" s="162"/>
      <c r="AK72" s="235"/>
      <c r="AL72" s="241"/>
      <c r="AM72" s="159"/>
      <c r="AN72" s="162"/>
      <c r="AO72" s="235"/>
      <c r="AP72" s="241"/>
      <c r="AQ72" s="159"/>
      <c r="AR72" s="162"/>
      <c r="AS72" s="235"/>
      <c r="AT72" s="241"/>
      <c r="AU72" s="159"/>
      <c r="AV72" s="162"/>
      <c r="AW72" s="235"/>
      <c r="AX72" s="241"/>
      <c r="AY72" s="159"/>
      <c r="AZ72" s="162"/>
      <c r="BA72" s="235"/>
      <c r="BB72" s="241"/>
      <c r="BC72" s="159"/>
      <c r="BD72" s="162"/>
      <c r="BE72" s="235"/>
      <c r="BF72" s="241"/>
      <c r="BG72" s="159"/>
      <c r="BH72" s="162"/>
      <c r="BI72" s="235"/>
      <c r="BJ72" s="241"/>
      <c r="BK72" s="159"/>
      <c r="BL72" s="162"/>
      <c r="BM72" s="235"/>
      <c r="BN72" s="241"/>
      <c r="BO72" s="159"/>
      <c r="BP72" s="162"/>
      <c r="BQ72" s="235"/>
      <c r="BR72" s="241"/>
      <c r="BS72" s="159"/>
      <c r="BT72" s="162"/>
      <c r="BU72" s="235"/>
      <c r="BV72" s="241"/>
      <c r="BW72" s="159"/>
      <c r="BX72" s="162"/>
      <c r="BY72" s="235"/>
      <c r="BZ72" s="241"/>
      <c r="CA72" s="159"/>
      <c r="CB72" s="162"/>
      <c r="CC72" s="235"/>
      <c r="CD72" s="241"/>
      <c r="CE72" s="159"/>
      <c r="CF72" s="162"/>
      <c r="CG72" s="235"/>
      <c r="CH72" s="241"/>
      <c r="CI72" s="159"/>
      <c r="CJ72" s="162"/>
      <c r="CK72" s="235"/>
      <c r="CL72" s="241"/>
      <c r="CM72" s="159"/>
      <c r="CN72" s="162"/>
      <c r="CO72" s="235"/>
      <c r="CP72" s="238"/>
    </row>
    <row r="73" spans="3:94" x14ac:dyDescent="0.2">
      <c r="E73" s="194"/>
      <c r="F73" s="195"/>
      <c r="H73" s="181"/>
      <c r="I73" s="185"/>
      <c r="J73" s="186"/>
      <c r="K73" s="160"/>
      <c r="L73" s="162"/>
      <c r="M73" s="236"/>
      <c r="N73" s="242"/>
      <c r="O73" s="160"/>
      <c r="P73" s="162"/>
      <c r="Q73" s="236"/>
      <c r="R73" s="242"/>
      <c r="S73" s="160"/>
      <c r="T73" s="162"/>
      <c r="U73" s="236"/>
      <c r="V73" s="242"/>
      <c r="W73" s="160"/>
      <c r="X73" s="162"/>
      <c r="Y73" s="236"/>
      <c r="Z73" s="242"/>
      <c r="AA73" s="160"/>
      <c r="AB73" s="162"/>
      <c r="AC73" s="236"/>
      <c r="AD73" s="242"/>
      <c r="AE73" s="160"/>
      <c r="AF73" s="162"/>
      <c r="AG73" s="236"/>
      <c r="AH73" s="242"/>
      <c r="AI73" s="160"/>
      <c r="AJ73" s="162"/>
      <c r="AK73" s="236"/>
      <c r="AL73" s="242"/>
      <c r="AM73" s="160"/>
      <c r="AN73" s="162"/>
      <c r="AO73" s="236"/>
      <c r="AP73" s="242"/>
      <c r="AQ73" s="160"/>
      <c r="AR73" s="162"/>
      <c r="AS73" s="236"/>
      <c r="AT73" s="242"/>
      <c r="AU73" s="160"/>
      <c r="AV73" s="162"/>
      <c r="AW73" s="236"/>
      <c r="AX73" s="242"/>
      <c r="AY73" s="160"/>
      <c r="AZ73" s="162"/>
      <c r="BA73" s="236"/>
      <c r="BB73" s="242"/>
      <c r="BC73" s="160"/>
      <c r="BD73" s="162"/>
      <c r="BE73" s="236"/>
      <c r="BF73" s="242"/>
      <c r="BG73" s="160"/>
      <c r="BH73" s="162"/>
      <c r="BI73" s="236"/>
      <c r="BJ73" s="242"/>
      <c r="BK73" s="160"/>
      <c r="BL73" s="162"/>
      <c r="BM73" s="236"/>
      <c r="BN73" s="242"/>
      <c r="BO73" s="160"/>
      <c r="BP73" s="162"/>
      <c r="BQ73" s="236"/>
      <c r="BR73" s="242"/>
      <c r="BS73" s="160"/>
      <c r="BT73" s="162"/>
      <c r="BU73" s="236"/>
      <c r="BV73" s="242"/>
      <c r="BW73" s="160"/>
      <c r="BX73" s="162"/>
      <c r="BY73" s="236"/>
      <c r="BZ73" s="242"/>
      <c r="CA73" s="160"/>
      <c r="CB73" s="162"/>
      <c r="CC73" s="236"/>
      <c r="CD73" s="242"/>
      <c r="CE73" s="160"/>
      <c r="CF73" s="162"/>
      <c r="CG73" s="236"/>
      <c r="CH73" s="242"/>
      <c r="CI73" s="160"/>
      <c r="CJ73" s="162"/>
      <c r="CK73" s="236"/>
      <c r="CL73" s="242"/>
      <c r="CM73" s="160"/>
      <c r="CN73" s="162"/>
      <c r="CO73" s="236"/>
      <c r="CP73" s="239"/>
    </row>
    <row r="74" spans="3:94" ht="16" customHeight="1" x14ac:dyDescent="0.2">
      <c r="E74" s="194"/>
      <c r="F74" s="195"/>
      <c r="H74" s="181"/>
      <c r="I74" s="185"/>
      <c r="J74" s="186"/>
      <c r="K74" s="193" t="s">
        <v>275</v>
      </c>
      <c r="L74" s="220"/>
      <c r="M74" s="221"/>
      <c r="N74" s="206"/>
      <c r="O74" s="189" t="s">
        <v>186</v>
      </c>
      <c r="P74" s="209"/>
      <c r="Q74" s="210"/>
      <c r="R74" s="167"/>
      <c r="S74" s="193" t="s">
        <v>273</v>
      </c>
      <c r="T74" s="220"/>
      <c r="U74" s="221"/>
      <c r="V74" s="206"/>
      <c r="W74" s="189" t="s">
        <v>169</v>
      </c>
      <c r="X74" s="209"/>
      <c r="Y74" s="210"/>
      <c r="Z74" s="167"/>
      <c r="AA74" s="189" t="s">
        <v>184</v>
      </c>
      <c r="AB74" s="209"/>
      <c r="AC74" s="210"/>
      <c r="AD74" s="167"/>
      <c r="AE74" s="189" t="s">
        <v>230</v>
      </c>
      <c r="AF74" s="209"/>
      <c r="AG74" s="210"/>
      <c r="AH74" s="167"/>
      <c r="AI74" s="189" t="s">
        <v>162</v>
      </c>
      <c r="AJ74" s="209"/>
      <c r="AK74" s="210"/>
      <c r="AL74" s="167"/>
      <c r="AM74" s="193" t="s">
        <v>274</v>
      </c>
      <c r="AN74" s="220"/>
      <c r="AO74" s="221"/>
      <c r="AP74" s="206"/>
      <c r="AQ74" s="189" t="s">
        <v>183</v>
      </c>
      <c r="AR74" s="209"/>
      <c r="AS74" s="210"/>
      <c r="AT74" s="167"/>
      <c r="AU74" s="189" t="s">
        <v>187</v>
      </c>
      <c r="AV74" s="209"/>
      <c r="AW74" s="210"/>
      <c r="AX74" s="167"/>
      <c r="AY74" s="189" t="s">
        <v>161</v>
      </c>
      <c r="AZ74" s="209"/>
      <c r="BA74" s="210"/>
      <c r="BB74" s="167"/>
      <c r="BC74" s="189" t="s">
        <v>168</v>
      </c>
      <c r="BD74" s="209"/>
      <c r="BE74" s="210"/>
      <c r="BF74" s="167"/>
      <c r="BG74" s="189" t="s">
        <v>420</v>
      </c>
      <c r="BH74" s="209"/>
      <c r="BI74" s="210"/>
      <c r="BJ74" s="167"/>
      <c r="BK74" s="189" t="s">
        <v>163</v>
      </c>
      <c r="BL74" s="209"/>
      <c r="BM74" s="210"/>
      <c r="BN74" s="167"/>
      <c r="BO74" s="193" t="s">
        <v>272</v>
      </c>
      <c r="BP74" s="220"/>
      <c r="BQ74" s="221"/>
      <c r="BR74" s="206"/>
      <c r="BS74" s="189" t="s">
        <v>164</v>
      </c>
      <c r="BT74" s="209"/>
      <c r="BU74" s="210"/>
      <c r="BV74" s="167"/>
      <c r="BW74" s="189" t="s">
        <v>228</v>
      </c>
      <c r="BX74" s="209"/>
      <c r="BY74" s="210"/>
      <c r="BZ74" s="167"/>
      <c r="CA74" s="189" t="s">
        <v>227</v>
      </c>
      <c r="CB74" s="209"/>
      <c r="CC74" s="210"/>
      <c r="CD74" s="167"/>
      <c r="CE74" s="189" t="s">
        <v>229</v>
      </c>
      <c r="CF74" s="209"/>
      <c r="CG74" s="210"/>
      <c r="CH74" s="167"/>
      <c r="CI74" s="189" t="s">
        <v>223</v>
      </c>
      <c r="CJ74" s="209"/>
      <c r="CK74" s="210"/>
      <c r="CL74" s="167"/>
      <c r="CM74" s="189" t="s">
        <v>165</v>
      </c>
      <c r="CN74" s="209"/>
      <c r="CO74" s="210"/>
      <c r="CP74" s="167"/>
    </row>
    <row r="75" spans="3:94" x14ac:dyDescent="0.2">
      <c r="E75" s="194"/>
      <c r="F75" s="195"/>
      <c r="H75" s="181"/>
      <c r="I75" s="185"/>
      <c r="J75" s="186"/>
      <c r="K75" s="205"/>
      <c r="L75" s="221"/>
      <c r="M75" s="221"/>
      <c r="N75" s="206"/>
      <c r="O75" s="166"/>
      <c r="P75" s="210"/>
      <c r="Q75" s="210"/>
      <c r="R75" s="167"/>
      <c r="S75" s="205"/>
      <c r="T75" s="221"/>
      <c r="U75" s="221"/>
      <c r="V75" s="206"/>
      <c r="W75" s="166"/>
      <c r="X75" s="210"/>
      <c r="Y75" s="210"/>
      <c r="Z75" s="167"/>
      <c r="AA75" s="166"/>
      <c r="AB75" s="210"/>
      <c r="AC75" s="210"/>
      <c r="AD75" s="167"/>
      <c r="AE75" s="166"/>
      <c r="AF75" s="210"/>
      <c r="AG75" s="210"/>
      <c r="AH75" s="167"/>
      <c r="AI75" s="166"/>
      <c r="AJ75" s="210"/>
      <c r="AK75" s="210"/>
      <c r="AL75" s="167"/>
      <c r="AM75" s="205"/>
      <c r="AN75" s="221"/>
      <c r="AO75" s="221"/>
      <c r="AP75" s="206"/>
      <c r="AQ75" s="166"/>
      <c r="AR75" s="210"/>
      <c r="AS75" s="210"/>
      <c r="AT75" s="167"/>
      <c r="AU75" s="166"/>
      <c r="AV75" s="210"/>
      <c r="AW75" s="210"/>
      <c r="AX75" s="167"/>
      <c r="AY75" s="166"/>
      <c r="AZ75" s="210"/>
      <c r="BA75" s="210"/>
      <c r="BB75" s="167"/>
      <c r="BC75" s="166"/>
      <c r="BD75" s="210"/>
      <c r="BE75" s="210"/>
      <c r="BF75" s="167"/>
      <c r="BG75" s="166"/>
      <c r="BH75" s="210"/>
      <c r="BI75" s="210"/>
      <c r="BJ75" s="167"/>
      <c r="BK75" s="166"/>
      <c r="BL75" s="210"/>
      <c r="BM75" s="210"/>
      <c r="BN75" s="167"/>
      <c r="BO75" s="205"/>
      <c r="BP75" s="221"/>
      <c r="BQ75" s="221"/>
      <c r="BR75" s="206"/>
      <c r="BS75" s="166"/>
      <c r="BT75" s="210"/>
      <c r="BU75" s="210"/>
      <c r="BV75" s="167"/>
      <c r="BW75" s="166"/>
      <c r="BX75" s="210"/>
      <c r="BY75" s="210"/>
      <c r="BZ75" s="167"/>
      <c r="CA75" s="166"/>
      <c r="CB75" s="210"/>
      <c r="CC75" s="210"/>
      <c r="CD75" s="167"/>
      <c r="CE75" s="166"/>
      <c r="CF75" s="210"/>
      <c r="CG75" s="210"/>
      <c r="CH75" s="167"/>
      <c r="CI75" s="166"/>
      <c r="CJ75" s="210"/>
      <c r="CK75" s="210"/>
      <c r="CL75" s="167"/>
      <c r="CM75" s="166"/>
      <c r="CN75" s="210"/>
      <c r="CO75" s="210"/>
      <c r="CP75" s="167"/>
    </row>
    <row r="76" spans="3:94" ht="17" thickBot="1" x14ac:dyDescent="0.25">
      <c r="E76" s="194"/>
      <c r="F76" s="195"/>
      <c r="H76" s="181"/>
      <c r="I76" s="185"/>
      <c r="J76" s="186"/>
      <c r="K76" s="222"/>
      <c r="L76" s="223"/>
      <c r="M76" s="223"/>
      <c r="N76" s="224"/>
      <c r="O76" s="217"/>
      <c r="P76" s="218"/>
      <c r="Q76" s="218"/>
      <c r="R76" s="219"/>
      <c r="S76" s="222"/>
      <c r="T76" s="223"/>
      <c r="U76" s="223"/>
      <c r="V76" s="224"/>
      <c r="W76" s="217"/>
      <c r="X76" s="218"/>
      <c r="Y76" s="218"/>
      <c r="Z76" s="219"/>
      <c r="AA76" s="217"/>
      <c r="AB76" s="218"/>
      <c r="AC76" s="218"/>
      <c r="AD76" s="219"/>
      <c r="AE76" s="217"/>
      <c r="AF76" s="218"/>
      <c r="AG76" s="218"/>
      <c r="AH76" s="219"/>
      <c r="AI76" s="217"/>
      <c r="AJ76" s="218"/>
      <c r="AK76" s="218"/>
      <c r="AL76" s="219"/>
      <c r="AM76" s="222"/>
      <c r="AN76" s="223"/>
      <c r="AO76" s="223"/>
      <c r="AP76" s="224"/>
      <c r="AQ76" s="217"/>
      <c r="AR76" s="218"/>
      <c r="AS76" s="218"/>
      <c r="AT76" s="219"/>
      <c r="AU76" s="217"/>
      <c r="AV76" s="218"/>
      <c r="AW76" s="218"/>
      <c r="AX76" s="219"/>
      <c r="AY76" s="217"/>
      <c r="AZ76" s="218"/>
      <c r="BA76" s="218"/>
      <c r="BB76" s="219"/>
      <c r="BC76" s="217"/>
      <c r="BD76" s="218"/>
      <c r="BE76" s="218"/>
      <c r="BF76" s="219"/>
      <c r="BG76" s="217"/>
      <c r="BH76" s="218"/>
      <c r="BI76" s="218"/>
      <c r="BJ76" s="219"/>
      <c r="BK76" s="217"/>
      <c r="BL76" s="218"/>
      <c r="BM76" s="218"/>
      <c r="BN76" s="219"/>
      <c r="BO76" s="222"/>
      <c r="BP76" s="223"/>
      <c r="BQ76" s="223"/>
      <c r="BR76" s="224"/>
      <c r="BS76" s="217"/>
      <c r="BT76" s="218"/>
      <c r="BU76" s="218"/>
      <c r="BV76" s="219"/>
      <c r="BW76" s="217"/>
      <c r="BX76" s="218"/>
      <c r="BY76" s="218"/>
      <c r="BZ76" s="219"/>
      <c r="CA76" s="217"/>
      <c r="CB76" s="218"/>
      <c r="CC76" s="218"/>
      <c r="CD76" s="219"/>
      <c r="CE76" s="217"/>
      <c r="CF76" s="218"/>
      <c r="CG76" s="218"/>
      <c r="CH76" s="219"/>
      <c r="CI76" s="217"/>
      <c r="CJ76" s="218"/>
      <c r="CK76" s="218"/>
      <c r="CL76" s="219"/>
      <c r="CM76" s="217"/>
      <c r="CN76" s="218"/>
      <c r="CO76" s="218"/>
      <c r="CP76" s="219"/>
    </row>
    <row r="77" spans="3:94" ht="20" thickBot="1" x14ac:dyDescent="0.3">
      <c r="E77" s="196"/>
      <c r="F77" s="197"/>
      <c r="H77" s="182"/>
      <c r="I77" s="187"/>
      <c r="J77" s="188"/>
      <c r="K77" s="227" t="s">
        <v>167</v>
      </c>
      <c r="L77" s="228"/>
      <c r="M77" s="228"/>
      <c r="N77" s="228"/>
      <c r="O77" s="228"/>
      <c r="P77" s="228"/>
      <c r="Q77" s="228"/>
      <c r="R77" s="228"/>
      <c r="S77" s="228"/>
      <c r="T77" s="228"/>
      <c r="U77" s="228"/>
      <c r="V77" s="228"/>
      <c r="W77" s="228"/>
      <c r="X77" s="228"/>
      <c r="Y77" s="228"/>
      <c r="Z77" s="228"/>
      <c r="AA77" s="228"/>
      <c r="AB77" s="228"/>
      <c r="AC77" s="228"/>
      <c r="AD77" s="228"/>
      <c r="AE77" s="228"/>
      <c r="AF77" s="228"/>
      <c r="AG77" s="228"/>
      <c r="AH77" s="228"/>
      <c r="AI77" s="228"/>
      <c r="AJ77" s="228"/>
      <c r="AK77" s="228"/>
      <c r="AL77" s="228"/>
      <c r="AM77" s="228"/>
      <c r="AN77" s="228"/>
      <c r="AO77" s="228"/>
      <c r="AP77" s="228"/>
      <c r="AQ77" s="228"/>
      <c r="AR77" s="228"/>
      <c r="AS77" s="228"/>
      <c r="AT77" s="228"/>
      <c r="AU77" s="228"/>
      <c r="AV77" s="228"/>
      <c r="AW77" s="228"/>
      <c r="AX77" s="228"/>
      <c r="AY77" s="228"/>
      <c r="AZ77" s="228"/>
      <c r="BA77" s="228"/>
      <c r="BB77" s="228"/>
      <c r="BC77" s="228"/>
      <c r="BD77" s="228"/>
      <c r="BE77" s="228"/>
      <c r="BF77" s="228"/>
      <c r="BG77" s="228"/>
      <c r="BH77" s="228"/>
      <c r="BI77" s="228"/>
      <c r="BJ77" s="228"/>
      <c r="BK77" s="228"/>
      <c r="BL77" s="228"/>
      <c r="BM77" s="228"/>
      <c r="BN77" s="228"/>
      <c r="BO77" s="228"/>
      <c r="BP77" s="228"/>
      <c r="BQ77" s="228"/>
      <c r="BR77" s="228"/>
      <c r="BS77" s="228"/>
      <c r="BT77" s="228"/>
      <c r="BU77" s="228"/>
      <c r="BV77" s="228"/>
      <c r="BW77" s="228"/>
      <c r="BX77" s="228"/>
      <c r="BY77" s="228"/>
      <c r="BZ77" s="228"/>
      <c r="CA77" s="228"/>
      <c r="CB77" s="228"/>
      <c r="CC77" s="228"/>
      <c r="CD77" s="228"/>
      <c r="CE77" s="228"/>
      <c r="CF77" s="228"/>
      <c r="CG77" s="228"/>
      <c r="CH77" s="228"/>
      <c r="CI77" s="228"/>
      <c r="CJ77" s="228"/>
      <c r="CK77" s="228"/>
      <c r="CL77" s="228"/>
      <c r="CM77" s="228"/>
      <c r="CN77" s="228"/>
      <c r="CO77" s="228"/>
      <c r="CP77" s="229"/>
    </row>
  </sheetData>
  <mergeCells count="223">
    <mergeCell ref="D3:D4"/>
    <mergeCell ref="D5:D7"/>
    <mergeCell ref="G6:G10"/>
    <mergeCell ref="H6:H10"/>
    <mergeCell ref="I6:I10"/>
    <mergeCell ref="J6:J10"/>
    <mergeCell ref="K6:K10"/>
    <mergeCell ref="L6:L10"/>
    <mergeCell ref="O6:O10"/>
    <mergeCell ref="P6:P10"/>
    <mergeCell ref="AE6:AE10"/>
    <mergeCell ref="AF6:AF10"/>
    <mergeCell ref="AI6:AI10"/>
    <mergeCell ref="AJ6:AJ10"/>
    <mergeCell ref="AM6:AM10"/>
    <mergeCell ref="AN6:AN10"/>
    <mergeCell ref="S6:S10"/>
    <mergeCell ref="T6:T10"/>
    <mergeCell ref="W6:W10"/>
    <mergeCell ref="X6:X10"/>
    <mergeCell ref="AA6:AA10"/>
    <mergeCell ref="AB6:AB10"/>
    <mergeCell ref="AQ6:AQ10"/>
    <mergeCell ref="AR6:AR10"/>
    <mergeCell ref="AU6:AU10"/>
    <mergeCell ref="AV6:AV10"/>
    <mergeCell ref="AY6:AY10"/>
    <mergeCell ref="AZ6:AZ10"/>
    <mergeCell ref="AS6:AS10"/>
    <mergeCell ref="AT6:AT10"/>
    <mergeCell ref="AW6:AW10"/>
    <mergeCell ref="AX6:AX10"/>
    <mergeCell ref="BU6:BU10"/>
    <mergeCell ref="BV6:BV10"/>
    <mergeCell ref="BC6:BC10"/>
    <mergeCell ref="BD6:BD10"/>
    <mergeCell ref="BG6:BG10"/>
    <mergeCell ref="BH6:BH10"/>
    <mergeCell ref="BK6:BK10"/>
    <mergeCell ref="BL6:BL10"/>
    <mergeCell ref="BI6:BI10"/>
    <mergeCell ref="BJ6:BJ10"/>
    <mergeCell ref="CM6:CM10"/>
    <mergeCell ref="CN6:CN10"/>
    <mergeCell ref="A7:A10"/>
    <mergeCell ref="B7:B10"/>
    <mergeCell ref="H69:H77"/>
    <mergeCell ref="I69:J77"/>
    <mergeCell ref="K69:K73"/>
    <mergeCell ref="L69:L73"/>
    <mergeCell ref="O69:O73"/>
    <mergeCell ref="P69:P73"/>
    <mergeCell ref="CA6:CA10"/>
    <mergeCell ref="CB6:CB10"/>
    <mergeCell ref="CE6:CE10"/>
    <mergeCell ref="CF6:CF10"/>
    <mergeCell ref="CI6:CI10"/>
    <mergeCell ref="CJ6:CJ10"/>
    <mergeCell ref="BO6:BO10"/>
    <mergeCell ref="BP6:BP10"/>
    <mergeCell ref="BS6:BS10"/>
    <mergeCell ref="BT6:BT10"/>
    <mergeCell ref="BW6:BW10"/>
    <mergeCell ref="BX6:BX10"/>
    <mergeCell ref="BQ6:BQ10"/>
    <mergeCell ref="BR6:BR10"/>
    <mergeCell ref="AE69:AE73"/>
    <mergeCell ref="AF69:AF73"/>
    <mergeCell ref="AI69:AI73"/>
    <mergeCell ref="AJ69:AJ73"/>
    <mergeCell ref="AM69:AM73"/>
    <mergeCell ref="AN69:AN73"/>
    <mergeCell ref="S69:S73"/>
    <mergeCell ref="T69:T73"/>
    <mergeCell ref="W69:W73"/>
    <mergeCell ref="X69:X73"/>
    <mergeCell ref="AA69:AA73"/>
    <mergeCell ref="AB69:AB73"/>
    <mergeCell ref="CM69:CM73"/>
    <mergeCell ref="CN69:CN73"/>
    <mergeCell ref="E72:F77"/>
    <mergeCell ref="CA69:CA73"/>
    <mergeCell ref="CB69:CB73"/>
    <mergeCell ref="CE69:CE73"/>
    <mergeCell ref="CF69:CF73"/>
    <mergeCell ref="CI69:CI73"/>
    <mergeCell ref="CJ69:CJ73"/>
    <mergeCell ref="CD69:CD73"/>
    <mergeCell ref="BO69:BO73"/>
    <mergeCell ref="BP69:BP73"/>
    <mergeCell ref="BS69:BS73"/>
    <mergeCell ref="BT69:BT73"/>
    <mergeCell ref="BW69:BW73"/>
    <mergeCell ref="BX69:BX73"/>
    <mergeCell ref="BQ69:BQ73"/>
    <mergeCell ref="BR69:BR73"/>
    <mergeCell ref="BU69:BU73"/>
    <mergeCell ref="BV69:BV73"/>
    <mergeCell ref="BC69:BC73"/>
    <mergeCell ref="BD69:BD73"/>
    <mergeCell ref="BG69:BG73"/>
    <mergeCell ref="BH69:BH73"/>
    <mergeCell ref="M6:M10"/>
    <mergeCell ref="N6:N10"/>
    <mergeCell ref="Q6:Q10"/>
    <mergeCell ref="R6:R10"/>
    <mergeCell ref="M69:M73"/>
    <mergeCell ref="N69:N73"/>
    <mergeCell ref="Q69:Q73"/>
    <mergeCell ref="R69:R73"/>
    <mergeCell ref="BS74:BV76"/>
    <mergeCell ref="AQ74:AT76"/>
    <mergeCell ref="BK69:BK73"/>
    <mergeCell ref="BL69:BL73"/>
    <mergeCell ref="BI69:BI73"/>
    <mergeCell ref="BJ69:BJ73"/>
    <mergeCell ref="AQ69:AQ73"/>
    <mergeCell ref="AR69:AR73"/>
    <mergeCell ref="AU69:AU73"/>
    <mergeCell ref="AV69:AV73"/>
    <mergeCell ref="AY69:AY73"/>
    <mergeCell ref="AZ69:AZ73"/>
    <mergeCell ref="AS69:AS73"/>
    <mergeCell ref="AT69:AT73"/>
    <mergeCell ref="AW69:AW73"/>
    <mergeCell ref="AX69:AX73"/>
    <mergeCell ref="AC6:AC10"/>
    <mergeCell ref="AD6:AD10"/>
    <mergeCell ref="AC69:AC73"/>
    <mergeCell ref="AD69:AD73"/>
    <mergeCell ref="Y6:Y10"/>
    <mergeCell ref="Z6:Z10"/>
    <mergeCell ref="Y69:Y73"/>
    <mergeCell ref="Z69:Z73"/>
    <mergeCell ref="U6:U10"/>
    <mergeCell ref="V6:V10"/>
    <mergeCell ref="U69:U73"/>
    <mergeCell ref="V69:V73"/>
    <mergeCell ref="AM74:AP76"/>
    <mergeCell ref="AK6:AK10"/>
    <mergeCell ref="AL6:AL10"/>
    <mergeCell ref="AK69:AK73"/>
    <mergeCell ref="AL69:AL73"/>
    <mergeCell ref="AI74:AL76"/>
    <mergeCell ref="AG6:AG10"/>
    <mergeCell ref="AH6:AH10"/>
    <mergeCell ref="AG69:AG73"/>
    <mergeCell ref="AH69:AH73"/>
    <mergeCell ref="K77:CP77"/>
    <mergeCell ref="CO6:CO10"/>
    <mergeCell ref="CP6:CP10"/>
    <mergeCell ref="CO69:CO73"/>
    <mergeCell ref="CP69:CP73"/>
    <mergeCell ref="AU3:AX5"/>
    <mergeCell ref="AY3:BB5"/>
    <mergeCell ref="BC3:BF5"/>
    <mergeCell ref="CK6:CK10"/>
    <mergeCell ref="CL6:CL10"/>
    <mergeCell ref="CK69:CK73"/>
    <mergeCell ref="CL69:CL73"/>
    <mergeCell ref="CG6:CG10"/>
    <mergeCell ref="CH6:CH10"/>
    <mergeCell ref="CG69:CG73"/>
    <mergeCell ref="CH69:CH73"/>
    <mergeCell ref="BY6:BY10"/>
    <mergeCell ref="BZ6:BZ10"/>
    <mergeCell ref="BY69:BY73"/>
    <mergeCell ref="BZ69:BZ73"/>
    <mergeCell ref="CC6:CC10"/>
    <mergeCell ref="CD6:CD10"/>
    <mergeCell ref="CC69:CC73"/>
    <mergeCell ref="BM6:BM10"/>
    <mergeCell ref="CE3:CH5"/>
    <mergeCell ref="CI3:CL5"/>
    <mergeCell ref="CM3:CP5"/>
    <mergeCell ref="K2:CP2"/>
    <mergeCell ref="K3:N5"/>
    <mergeCell ref="O3:R5"/>
    <mergeCell ref="S3:V5"/>
    <mergeCell ref="W3:Z5"/>
    <mergeCell ref="AA3:AD5"/>
    <mergeCell ref="AE3:AH5"/>
    <mergeCell ref="AI3:AL5"/>
    <mergeCell ref="AM3:AP5"/>
    <mergeCell ref="AQ3:AT5"/>
    <mergeCell ref="BG3:BJ5"/>
    <mergeCell ref="BK3:BN5"/>
    <mergeCell ref="BO3:BR5"/>
    <mergeCell ref="K74:N76"/>
    <mergeCell ref="O74:R76"/>
    <mergeCell ref="S74:V76"/>
    <mergeCell ref="W74:Z76"/>
    <mergeCell ref="AA74:AD76"/>
    <mergeCell ref="AE74:AH76"/>
    <mergeCell ref="BS3:BV5"/>
    <mergeCell ref="BW3:BZ5"/>
    <mergeCell ref="CA3:CD5"/>
    <mergeCell ref="BN6:BN10"/>
    <mergeCell ref="BM69:BM73"/>
    <mergeCell ref="BN69:BN73"/>
    <mergeCell ref="BA6:BA10"/>
    <mergeCell ref="BB6:BB10"/>
    <mergeCell ref="BA69:BA73"/>
    <mergeCell ref="BB69:BB73"/>
    <mergeCell ref="BE6:BE10"/>
    <mergeCell ref="BF6:BF10"/>
    <mergeCell ref="BE69:BE73"/>
    <mergeCell ref="BF69:BF73"/>
    <mergeCell ref="AO6:AO10"/>
    <mergeCell ref="AP6:AP10"/>
    <mergeCell ref="AO69:AO73"/>
    <mergeCell ref="AP69:AP73"/>
    <mergeCell ref="BW74:BZ76"/>
    <mergeCell ref="CA74:CD76"/>
    <mergeCell ref="CE74:CH76"/>
    <mergeCell ref="CI74:CL76"/>
    <mergeCell ref="CM74:CP76"/>
    <mergeCell ref="AU74:AX76"/>
    <mergeCell ref="AY74:BB76"/>
    <mergeCell ref="BC74:BF76"/>
    <mergeCell ref="BG74:BJ76"/>
    <mergeCell ref="BK74:BN76"/>
    <mergeCell ref="BO74:BR76"/>
  </mergeCell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6"/>
  <sheetViews>
    <sheetView showRuler="0" workbookViewId="0">
      <selection activeCell="D24" sqref="D24"/>
    </sheetView>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98" t="s">
        <v>167</v>
      </c>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199"/>
      <c r="AS2" s="199"/>
      <c r="AT2" s="199"/>
      <c r="AU2" s="199"/>
      <c r="AV2" s="199"/>
      <c r="AW2" s="199"/>
      <c r="AX2" s="199"/>
      <c r="AY2" s="199"/>
      <c r="AZ2" s="200"/>
    </row>
    <row r="3" spans="1:53" ht="16" customHeight="1" x14ac:dyDescent="0.2">
      <c r="D3" s="142" t="s">
        <v>265</v>
      </c>
      <c r="K3" s="164" t="s">
        <v>186</v>
      </c>
      <c r="L3" s="165"/>
      <c r="M3" s="170" t="s">
        <v>273</v>
      </c>
      <c r="N3" s="165"/>
      <c r="O3" s="164" t="s">
        <v>169</v>
      </c>
      <c r="P3" s="165"/>
      <c r="Q3" s="170" t="s">
        <v>275</v>
      </c>
      <c r="R3" s="165"/>
      <c r="S3" s="164" t="s">
        <v>184</v>
      </c>
      <c r="T3" s="165"/>
      <c r="U3" s="212" t="s">
        <v>230</v>
      </c>
      <c r="V3" s="165"/>
      <c r="W3" s="164" t="s">
        <v>164</v>
      </c>
      <c r="X3" s="165"/>
      <c r="Y3" s="164" t="s">
        <v>183</v>
      </c>
      <c r="Z3" s="165"/>
      <c r="AA3" s="164" t="s">
        <v>187</v>
      </c>
      <c r="AB3" s="165"/>
      <c r="AC3" s="164" t="s">
        <v>165</v>
      </c>
      <c r="AD3" s="165"/>
      <c r="AE3" s="170" t="s">
        <v>274</v>
      </c>
      <c r="AF3" s="165"/>
      <c r="AG3" s="164" t="s">
        <v>161</v>
      </c>
      <c r="AH3" s="165"/>
      <c r="AI3" s="164" t="s">
        <v>168</v>
      </c>
      <c r="AJ3" s="165"/>
      <c r="AK3" s="164" t="s">
        <v>162</v>
      </c>
      <c r="AL3" s="165"/>
      <c r="AM3" s="164" t="s">
        <v>229</v>
      </c>
      <c r="AN3" s="165"/>
      <c r="AO3" s="170" t="s">
        <v>420</v>
      </c>
      <c r="AP3" s="204"/>
      <c r="AQ3" s="170" t="s">
        <v>272</v>
      </c>
      <c r="AR3" s="165"/>
      <c r="AS3" s="164" t="s">
        <v>163</v>
      </c>
      <c r="AT3" s="165"/>
      <c r="AU3" s="164" t="s">
        <v>228</v>
      </c>
      <c r="AV3" s="165"/>
      <c r="AW3" s="164" t="s">
        <v>227</v>
      </c>
      <c r="AX3" s="165"/>
      <c r="AY3" s="164" t="s">
        <v>223</v>
      </c>
      <c r="AZ3" s="165"/>
    </row>
    <row r="4" spans="1:53" ht="20" customHeight="1" x14ac:dyDescent="0.2">
      <c r="B4" s="97"/>
      <c r="D4" s="143"/>
      <c r="K4" s="166"/>
      <c r="L4" s="167"/>
      <c r="M4" s="166"/>
      <c r="N4" s="167"/>
      <c r="O4" s="166"/>
      <c r="P4" s="167"/>
      <c r="Q4" s="166"/>
      <c r="R4" s="167"/>
      <c r="S4" s="166"/>
      <c r="T4" s="167"/>
      <c r="U4" s="210"/>
      <c r="V4" s="167"/>
      <c r="W4" s="166"/>
      <c r="X4" s="167"/>
      <c r="Y4" s="166"/>
      <c r="Z4" s="167"/>
      <c r="AA4" s="166"/>
      <c r="AB4" s="167"/>
      <c r="AC4" s="166"/>
      <c r="AD4" s="167"/>
      <c r="AE4" s="166"/>
      <c r="AF4" s="167"/>
      <c r="AG4" s="166"/>
      <c r="AH4" s="167"/>
      <c r="AI4" s="166"/>
      <c r="AJ4" s="167"/>
      <c r="AK4" s="166"/>
      <c r="AL4" s="167"/>
      <c r="AM4" s="166"/>
      <c r="AN4" s="167"/>
      <c r="AO4" s="205"/>
      <c r="AP4" s="206"/>
      <c r="AQ4" s="166"/>
      <c r="AR4" s="167"/>
      <c r="AS4" s="166"/>
      <c r="AT4" s="167"/>
      <c r="AU4" s="166"/>
      <c r="AV4" s="167"/>
      <c r="AW4" s="166"/>
      <c r="AX4" s="167"/>
      <c r="AY4" s="166"/>
      <c r="AZ4" s="167"/>
    </row>
    <row r="5" spans="1:53" ht="20" customHeight="1" x14ac:dyDescent="0.2">
      <c r="A5" s="68"/>
      <c r="B5" s="96"/>
      <c r="D5" s="140" t="s">
        <v>282</v>
      </c>
      <c r="I5" s="25"/>
      <c r="J5" s="25"/>
      <c r="K5" s="168"/>
      <c r="L5" s="169"/>
      <c r="M5" s="168"/>
      <c r="N5" s="169"/>
      <c r="O5" s="168"/>
      <c r="P5" s="169"/>
      <c r="Q5" s="168"/>
      <c r="R5" s="169"/>
      <c r="S5" s="168"/>
      <c r="T5" s="169"/>
      <c r="U5" s="213"/>
      <c r="V5" s="169"/>
      <c r="W5" s="168"/>
      <c r="X5" s="169"/>
      <c r="Y5" s="168"/>
      <c r="Z5" s="169"/>
      <c r="AA5" s="168"/>
      <c r="AB5" s="169"/>
      <c r="AC5" s="168"/>
      <c r="AD5" s="169"/>
      <c r="AE5" s="168"/>
      <c r="AF5" s="169"/>
      <c r="AG5" s="168"/>
      <c r="AH5" s="169"/>
      <c r="AI5" s="168"/>
      <c r="AJ5" s="169"/>
      <c r="AK5" s="168"/>
      <c r="AL5" s="169"/>
      <c r="AM5" s="168"/>
      <c r="AN5" s="169"/>
      <c r="AO5" s="207"/>
      <c r="AP5" s="208"/>
      <c r="AQ5" s="168"/>
      <c r="AR5" s="169"/>
      <c r="AS5" s="168"/>
      <c r="AT5" s="169"/>
      <c r="AU5" s="168"/>
      <c r="AV5" s="169"/>
      <c r="AW5" s="168"/>
      <c r="AX5" s="169"/>
      <c r="AY5" s="168"/>
      <c r="AZ5" s="169"/>
    </row>
    <row r="6" spans="1:53" ht="20" customHeight="1" x14ac:dyDescent="0.2">
      <c r="A6" s="67"/>
      <c r="B6" s="95"/>
      <c r="D6" s="140"/>
      <c r="G6" s="136" t="s">
        <v>24</v>
      </c>
      <c r="H6" s="147" t="s">
        <v>365</v>
      </c>
      <c r="I6" s="150" t="s">
        <v>363</v>
      </c>
      <c r="J6" s="153" t="s">
        <v>364</v>
      </c>
      <c r="K6" s="177" t="s">
        <v>276</v>
      </c>
      <c r="L6" s="172" t="s">
        <v>277</v>
      </c>
      <c r="M6" s="171" t="s">
        <v>276</v>
      </c>
      <c r="N6" s="172" t="s">
        <v>277</v>
      </c>
      <c r="O6" s="144" t="s">
        <v>276</v>
      </c>
      <c r="P6" s="172" t="s">
        <v>277</v>
      </c>
      <c r="Q6" s="144" t="s">
        <v>276</v>
      </c>
      <c r="R6" s="172" t="s">
        <v>277</v>
      </c>
      <c r="S6" s="144" t="s">
        <v>276</v>
      </c>
      <c r="T6" s="172" t="s">
        <v>277</v>
      </c>
      <c r="U6" s="174" t="s">
        <v>276</v>
      </c>
      <c r="V6" s="172" t="s">
        <v>277</v>
      </c>
      <c r="W6" s="144" t="s">
        <v>276</v>
      </c>
      <c r="X6" s="172" t="s">
        <v>277</v>
      </c>
      <c r="Y6" s="144" t="s">
        <v>276</v>
      </c>
      <c r="Z6" s="172" t="s">
        <v>277</v>
      </c>
      <c r="AA6" s="144" t="s">
        <v>276</v>
      </c>
      <c r="AB6" s="172" t="s">
        <v>277</v>
      </c>
      <c r="AC6" s="156" t="s">
        <v>276</v>
      </c>
      <c r="AD6" s="172" t="s">
        <v>277</v>
      </c>
      <c r="AE6" s="171" t="s">
        <v>276</v>
      </c>
      <c r="AF6" s="172" t="s">
        <v>277</v>
      </c>
      <c r="AG6" s="156" t="s">
        <v>276</v>
      </c>
      <c r="AH6" s="214" t="s">
        <v>277</v>
      </c>
      <c r="AI6" s="144" t="s">
        <v>276</v>
      </c>
      <c r="AJ6" s="172" t="s">
        <v>277</v>
      </c>
      <c r="AK6" s="144" t="s">
        <v>276</v>
      </c>
      <c r="AL6" s="172" t="s">
        <v>277</v>
      </c>
      <c r="AM6" s="144" t="s">
        <v>276</v>
      </c>
      <c r="AN6" s="172" t="s">
        <v>277</v>
      </c>
      <c r="AO6" s="174" t="s">
        <v>276</v>
      </c>
      <c r="AP6" s="172" t="s">
        <v>277</v>
      </c>
      <c r="AQ6" s="171" t="s">
        <v>276</v>
      </c>
      <c r="AR6" s="172" t="s">
        <v>277</v>
      </c>
      <c r="AS6" s="144" t="s">
        <v>276</v>
      </c>
      <c r="AT6" s="172" t="s">
        <v>277</v>
      </c>
      <c r="AU6" s="144" t="s">
        <v>276</v>
      </c>
      <c r="AV6" s="172" t="s">
        <v>277</v>
      </c>
      <c r="AW6" s="144" t="s">
        <v>276</v>
      </c>
      <c r="AX6" s="172" t="s">
        <v>277</v>
      </c>
      <c r="AY6" s="144" t="s">
        <v>276</v>
      </c>
      <c r="AZ6" s="172" t="s">
        <v>277</v>
      </c>
    </row>
    <row r="7" spans="1:53" ht="20" customHeight="1" thickBot="1" x14ac:dyDescent="0.25">
      <c r="A7" s="136" t="s">
        <v>285</v>
      </c>
      <c r="B7" s="138" t="s">
        <v>369</v>
      </c>
      <c r="D7" s="141"/>
      <c r="G7" s="136"/>
      <c r="H7" s="148"/>
      <c r="I7" s="151"/>
      <c r="J7" s="154"/>
      <c r="K7" s="178"/>
      <c r="L7" s="172"/>
      <c r="M7" s="171"/>
      <c r="N7" s="172"/>
      <c r="O7" s="144"/>
      <c r="P7" s="172"/>
      <c r="Q7" s="144"/>
      <c r="R7" s="172"/>
      <c r="S7" s="144"/>
      <c r="T7" s="172"/>
      <c r="U7" s="174"/>
      <c r="V7" s="172"/>
      <c r="W7" s="144"/>
      <c r="X7" s="172"/>
      <c r="Y7" s="144"/>
      <c r="Z7" s="172"/>
      <c r="AA7" s="144"/>
      <c r="AB7" s="172"/>
      <c r="AC7" s="157"/>
      <c r="AD7" s="172"/>
      <c r="AE7" s="171"/>
      <c r="AF7" s="172"/>
      <c r="AG7" s="157"/>
      <c r="AH7" s="215"/>
      <c r="AI7" s="144"/>
      <c r="AJ7" s="172"/>
      <c r="AK7" s="144"/>
      <c r="AL7" s="172"/>
      <c r="AM7" s="144"/>
      <c r="AN7" s="172"/>
      <c r="AO7" s="174"/>
      <c r="AP7" s="172"/>
      <c r="AQ7" s="144"/>
      <c r="AR7" s="172"/>
      <c r="AS7" s="144"/>
      <c r="AT7" s="172"/>
      <c r="AU7" s="144"/>
      <c r="AV7" s="172"/>
      <c r="AW7" s="144"/>
      <c r="AX7" s="172"/>
      <c r="AY7" s="144"/>
      <c r="AZ7" s="172"/>
    </row>
    <row r="8" spans="1:53" ht="20" customHeight="1" x14ac:dyDescent="0.2">
      <c r="A8" s="136"/>
      <c r="B8" s="138"/>
      <c r="G8" s="136"/>
      <c r="H8" s="148"/>
      <c r="I8" s="151"/>
      <c r="J8" s="154"/>
      <c r="K8" s="178"/>
      <c r="L8" s="172"/>
      <c r="M8" s="171"/>
      <c r="N8" s="172"/>
      <c r="O8" s="144"/>
      <c r="P8" s="172"/>
      <c r="Q8" s="144"/>
      <c r="R8" s="172"/>
      <c r="S8" s="144"/>
      <c r="T8" s="172"/>
      <c r="U8" s="174"/>
      <c r="V8" s="172"/>
      <c r="W8" s="144"/>
      <c r="X8" s="172"/>
      <c r="Y8" s="144"/>
      <c r="Z8" s="172"/>
      <c r="AA8" s="144"/>
      <c r="AB8" s="172"/>
      <c r="AC8" s="157"/>
      <c r="AD8" s="172"/>
      <c r="AE8" s="171"/>
      <c r="AF8" s="172"/>
      <c r="AG8" s="157"/>
      <c r="AH8" s="215"/>
      <c r="AI8" s="144"/>
      <c r="AJ8" s="172"/>
      <c r="AK8" s="144"/>
      <c r="AL8" s="172"/>
      <c r="AM8" s="144"/>
      <c r="AN8" s="172"/>
      <c r="AO8" s="174"/>
      <c r="AP8" s="172"/>
      <c r="AQ8" s="144"/>
      <c r="AR8" s="172"/>
      <c r="AS8" s="144"/>
      <c r="AT8" s="172"/>
      <c r="AU8" s="144"/>
      <c r="AV8" s="172"/>
      <c r="AW8" s="144"/>
      <c r="AX8" s="172"/>
      <c r="AY8" s="144"/>
      <c r="AZ8" s="172"/>
    </row>
    <row r="9" spans="1:53" ht="20" customHeight="1" x14ac:dyDescent="0.2">
      <c r="A9" s="136"/>
      <c r="B9" s="138"/>
      <c r="G9" s="136"/>
      <c r="H9" s="148"/>
      <c r="I9" s="151"/>
      <c r="J9" s="154"/>
      <c r="K9" s="178"/>
      <c r="L9" s="172"/>
      <c r="M9" s="171"/>
      <c r="N9" s="172"/>
      <c r="O9" s="144"/>
      <c r="P9" s="172"/>
      <c r="Q9" s="144"/>
      <c r="R9" s="172"/>
      <c r="S9" s="144"/>
      <c r="T9" s="172"/>
      <c r="U9" s="174"/>
      <c r="V9" s="172"/>
      <c r="W9" s="144"/>
      <c r="X9" s="172"/>
      <c r="Y9" s="144"/>
      <c r="Z9" s="172"/>
      <c r="AA9" s="144"/>
      <c r="AB9" s="172"/>
      <c r="AC9" s="157"/>
      <c r="AD9" s="172"/>
      <c r="AE9" s="171"/>
      <c r="AF9" s="172"/>
      <c r="AG9" s="157"/>
      <c r="AH9" s="215"/>
      <c r="AI9" s="144"/>
      <c r="AJ9" s="172"/>
      <c r="AK9" s="144"/>
      <c r="AL9" s="172"/>
      <c r="AM9" s="144"/>
      <c r="AN9" s="172"/>
      <c r="AO9" s="174"/>
      <c r="AP9" s="172"/>
      <c r="AQ9" s="144"/>
      <c r="AR9" s="172"/>
      <c r="AS9" s="144"/>
      <c r="AT9" s="172"/>
      <c r="AU9" s="144"/>
      <c r="AV9" s="172"/>
      <c r="AW9" s="144"/>
      <c r="AX9" s="172"/>
      <c r="AY9" s="144"/>
      <c r="AZ9" s="172"/>
    </row>
    <row r="10" spans="1:53" s="23" customFormat="1" ht="20" customHeight="1" thickBot="1" x14ac:dyDescent="0.25">
      <c r="A10" s="137"/>
      <c r="B10" s="139"/>
      <c r="C10" s="22" t="s">
        <v>20</v>
      </c>
      <c r="D10" s="21" t="s">
        <v>21</v>
      </c>
      <c r="E10" s="21" t="s">
        <v>22</v>
      </c>
      <c r="F10" s="22" t="s">
        <v>23</v>
      </c>
      <c r="G10" s="146"/>
      <c r="H10" s="149"/>
      <c r="I10" s="152"/>
      <c r="J10" s="155"/>
      <c r="K10" s="179"/>
      <c r="L10" s="173"/>
      <c r="M10" s="176"/>
      <c r="N10" s="173"/>
      <c r="O10" s="145"/>
      <c r="P10" s="173"/>
      <c r="Q10" s="145"/>
      <c r="R10" s="173"/>
      <c r="S10" s="145"/>
      <c r="T10" s="173"/>
      <c r="U10" s="175"/>
      <c r="V10" s="173"/>
      <c r="W10" s="145"/>
      <c r="X10" s="173"/>
      <c r="Y10" s="145"/>
      <c r="Z10" s="173"/>
      <c r="AA10" s="145"/>
      <c r="AB10" s="173"/>
      <c r="AC10" s="158"/>
      <c r="AD10" s="173"/>
      <c r="AE10" s="176"/>
      <c r="AF10" s="173"/>
      <c r="AG10" s="158"/>
      <c r="AH10" s="216"/>
      <c r="AI10" s="145"/>
      <c r="AJ10" s="173"/>
      <c r="AK10" s="145"/>
      <c r="AL10" s="173"/>
      <c r="AM10" s="145"/>
      <c r="AN10" s="173"/>
      <c r="AO10" s="175"/>
      <c r="AP10" s="173"/>
      <c r="AQ10" s="145"/>
      <c r="AR10" s="173"/>
      <c r="AS10" s="145"/>
      <c r="AT10" s="173"/>
      <c r="AU10" s="145"/>
      <c r="AV10" s="173"/>
      <c r="AW10" s="145"/>
      <c r="AX10" s="173"/>
      <c r="AY10" s="145"/>
      <c r="AZ10" s="173"/>
      <c r="BA10" s="21" t="s">
        <v>25</v>
      </c>
    </row>
    <row r="11" spans="1:53" s="23" customFormat="1" ht="20" customHeight="1" x14ac:dyDescent="0.2">
      <c r="A11" s="67"/>
      <c r="B11" s="97"/>
      <c r="C11" s="70" t="s">
        <v>86</v>
      </c>
      <c r="D11" s="69" t="s">
        <v>287</v>
      </c>
      <c r="E11" s="69" t="s">
        <v>288</v>
      </c>
      <c r="F11" s="70">
        <v>2015</v>
      </c>
      <c r="G11" s="70"/>
      <c r="H11" s="71">
        <v>81</v>
      </c>
      <c r="I11" s="72" t="s">
        <v>366</v>
      </c>
      <c r="J11" s="73" t="s">
        <v>367</v>
      </c>
      <c r="K11" s="80"/>
      <c r="L11" s="89" t="str">
        <f t="shared" ref="L11:L42" si="0">IF((ISERROR((K11/$H11)*100)), "", IF(AND(NOT(ISERROR((K11/$H11)*100)),((K11/$H11)*100) &lt;&gt; 0), (K11/$H11)*100, ""))</f>
        <v/>
      </c>
      <c r="M11" s="80"/>
      <c r="N11" s="89" t="str">
        <f t="shared" ref="N11:N42" si="1">IF((ISERROR((M11/$H11)*100)), "", IF(AND(NOT(ISERROR((M11/$H11)*100)),((M11/$H11)*100) &lt;&gt; 0), (M11/$H11)*100, ""))</f>
        <v/>
      </c>
      <c r="O11" s="79"/>
      <c r="P11" s="89" t="str">
        <f t="shared" ref="P11:P42" si="2">IF((ISERROR((O11/$H11)*100)), "", IF(AND(NOT(ISERROR((O11/$H11)*100)),((O11/$H11)*100) &lt;&gt; 0), (O11/$H11)*100, ""))</f>
        <v/>
      </c>
      <c r="Q11" s="79"/>
      <c r="R11" s="89" t="str">
        <f t="shared" ref="R11:R42" si="3">IF((ISERROR((Q11/$H11)*100)), "", IF(AND(NOT(ISERROR((Q11/$H11)*100)),((Q11/$H11)*100) &lt;&gt; 0), (Q11/$H11)*100, ""))</f>
        <v/>
      </c>
      <c r="S11" s="79"/>
      <c r="T11" s="89" t="str">
        <f t="shared" ref="T11:T42" si="4">IF((ISERROR((S11/$H11)*100)), "", IF(AND(NOT(ISERROR((S11/$H11)*100)),((S11/$H11)*100) &lt;&gt; 0), (S11/$H11)*100, ""))</f>
        <v/>
      </c>
      <c r="U11" s="81"/>
      <c r="V11" s="90" t="str">
        <f t="shared" ref="V11:V46" si="5">IF((ISERROR((U11/$H11)*100)), "", IF(AND(NOT(ISERROR((U11/$H11)*100)),((U11/$H11)*100) &lt;&gt; 0), (U11/$H11)*100, ""))</f>
        <v/>
      </c>
      <c r="W11" s="79"/>
      <c r="X11" s="89" t="str">
        <f t="shared" ref="X11:X42" si="6">IF((ISERROR((W11/$H11)*100)), "", IF(AND(NOT(ISERROR((W11/$H11)*100)),((W11/$H11)*100) &lt;&gt; 0), (W11/$H11)*100, ""))</f>
        <v/>
      </c>
      <c r="Y11" s="79"/>
      <c r="Z11" s="89" t="str">
        <f t="shared" ref="Z11:Z42" si="7">IF((ISERROR((Y11/$H11)*100)), "", IF(AND(NOT(ISERROR((Y11/$H11)*100)),((Y11/$H11)*100) &lt;&gt; 0), (Y11/$H11)*100, ""))</f>
        <v/>
      </c>
      <c r="AA11" s="79"/>
      <c r="AB11" s="89" t="str">
        <f t="shared" ref="AB11:AB42" si="8">IF((ISERROR((AA11/$H11)*100)), "", IF(AND(NOT(ISERROR((AA11/$H11)*100)),((AA11/$H11)*100) &lt;&gt; 0), (AA11/$H11)*100, ""))</f>
        <v/>
      </c>
      <c r="AC11" s="79"/>
      <c r="AD11" s="89" t="str">
        <f t="shared" ref="AD11:AD42" si="9">IF((ISERROR((AC11/$H11)*100)), "", IF(AND(NOT(ISERROR((AC11/$H11)*100)),((AC11/$H11)*100) &lt;&gt; 0), (AC11/$H11)*100, ""))</f>
        <v/>
      </c>
      <c r="AE11" s="80"/>
      <c r="AF11" s="89" t="str">
        <f t="shared" ref="AF11:AF42" si="10">IF((ISERROR((AE11/$H11)*100)), "", IF(AND(NOT(ISERROR((AE11/$H11)*100)),((AE11/$H11)*100) &lt;&gt; 0), (AE11/$H11)*100, ""))</f>
        <v/>
      </c>
      <c r="AG11" s="79"/>
      <c r="AH11" s="89" t="str">
        <f t="shared" ref="AH11" si="11">IF((ISERROR((AG11/$H11)*100)), "", IF(AND(NOT(ISERROR((AG11/$H11)*100)),((AG11/$H11)*100) &lt;&gt; 0), (AG11/$H11)*100, ""))</f>
        <v/>
      </c>
      <c r="AI11" s="79"/>
      <c r="AJ11" s="89" t="str">
        <f t="shared" ref="AJ11:AJ42" si="12">IF((ISERROR((AI11/$H11)*100)), "", IF(AND(NOT(ISERROR((AI11/$H11)*100)),((AI11/$H11)*100) &lt;&gt; 0), (AI11/$H11)*100, ""))</f>
        <v/>
      </c>
      <c r="AK11" s="79"/>
      <c r="AL11" s="89" t="str">
        <f t="shared" ref="AL11:AL42" si="13">IF((ISERROR((AK11/$H11)*100)), "", IF(AND(NOT(ISERROR((AK11/$H11)*100)),((AK11/$H11)*100) &lt;&gt; 0), (AK11/$H11)*100, ""))</f>
        <v/>
      </c>
      <c r="AM11" s="79"/>
      <c r="AN11" s="89" t="str">
        <f t="shared" ref="AN11:AT113" si="14">IF((ISERROR((AM11/$H11)*100)), "", IF(AND(NOT(ISERROR((AM11/$H11)*100)),((AM11/$H11)*100) &lt;&gt; 0), (AM11/$H11)*100, ""))</f>
        <v/>
      </c>
      <c r="AO11" s="81"/>
      <c r="AP11" s="90" t="str">
        <f t="shared" ref="AP11:AP42" si="15">IF((ISERROR((AO11/$H11)*100)), "", IF(AND(NOT(ISERROR((AO11/$H11)*100)),((AO11/$H11)*100) &lt;&gt; 0), (AO11/$H11)*100, ""))</f>
        <v/>
      </c>
      <c r="AQ11" s="79"/>
      <c r="AR11" s="89" t="str">
        <f t="shared" ref="AR11:AR42" si="16">IF((ISERROR((AQ11/$H11)*100)), "", IF(AND(NOT(ISERROR((AQ11/$H11)*100)),((AQ11/$H11)*100) &lt;&gt; 0), (AQ11/$H11)*100, ""))</f>
        <v/>
      </c>
      <c r="AS11" s="79"/>
      <c r="AT11" s="89" t="str">
        <f t="shared" si="14"/>
        <v/>
      </c>
      <c r="AU11" s="79"/>
      <c r="AV11" s="89" t="str">
        <f t="shared" ref="AV11:AV74" si="17">IF((ISERROR((AU11/$H11)*100)), "", IF(AND(NOT(ISERROR((AU11/$H11)*100)),((AU11/$H11)*100) &lt;&gt; 0), (AU11/$H11)*100, ""))</f>
        <v/>
      </c>
      <c r="AW11" s="79"/>
      <c r="AX11" s="89" t="str">
        <f t="shared" ref="AX11:AX42" si="18">IF((ISERROR((AW11/$H11)*100)), "", IF(AND(NOT(ISERROR((AW11/$H11)*100)),((AW11/$H11)*100) &lt;&gt; 0), (AW11/$H11)*100, ""))</f>
        <v/>
      </c>
      <c r="AY11" s="79"/>
      <c r="AZ11" s="89" t="str">
        <f t="shared" ref="AZ11:AZ42" si="19">IF((ISERROR((AY11/$H11)*100)), "", IF(AND(NOT(ISERROR((AY11/$H11)*100)),((AY11/$H11)*100) &lt;&gt; 0), (AY11/$H11)*100, ""))</f>
        <v/>
      </c>
      <c r="BA11" s="69" t="s">
        <v>368</v>
      </c>
    </row>
    <row r="12" spans="1:53" ht="20" customHeight="1" x14ac:dyDescent="0.2">
      <c r="A12" s="68"/>
      <c r="B12" s="95"/>
      <c r="C12" s="25" t="s">
        <v>86</v>
      </c>
      <c r="D12" s="24" t="s">
        <v>26</v>
      </c>
      <c r="E12" s="24" t="s">
        <v>27</v>
      </c>
      <c r="F12" s="25">
        <v>2008</v>
      </c>
      <c r="G12" s="25">
        <v>165</v>
      </c>
      <c r="H12" s="71">
        <v>107</v>
      </c>
      <c r="I12" s="72" t="s">
        <v>171</v>
      </c>
      <c r="J12" s="73"/>
      <c r="K12" s="74"/>
      <c r="L12" s="75" t="str">
        <f t="shared" si="0"/>
        <v/>
      </c>
      <c r="M12" s="74"/>
      <c r="N12" s="75" t="str">
        <f t="shared" si="1"/>
        <v/>
      </c>
      <c r="O12" s="74"/>
      <c r="P12" s="75" t="str">
        <f t="shared" si="2"/>
        <v/>
      </c>
      <c r="Q12" s="76"/>
      <c r="R12" s="77" t="str">
        <f t="shared" si="3"/>
        <v/>
      </c>
      <c r="S12" s="76"/>
      <c r="T12" s="77" t="str">
        <f t="shared" si="4"/>
        <v/>
      </c>
      <c r="U12" s="78"/>
      <c r="V12" s="43" t="str">
        <f t="shared" si="5"/>
        <v/>
      </c>
      <c r="W12" s="76"/>
      <c r="X12" s="77" t="str">
        <f t="shared" si="6"/>
        <v/>
      </c>
      <c r="Y12" s="76"/>
      <c r="Z12" s="77" t="str">
        <f t="shared" si="7"/>
        <v/>
      </c>
      <c r="AA12" s="76"/>
      <c r="AB12" s="77" t="str">
        <f t="shared" si="8"/>
        <v/>
      </c>
      <c r="AC12" s="76"/>
      <c r="AD12" s="77" t="str">
        <f t="shared" si="9"/>
        <v/>
      </c>
      <c r="AE12" s="76"/>
      <c r="AF12" s="77" t="str">
        <f t="shared" si="10"/>
        <v/>
      </c>
      <c r="AG12" s="74"/>
      <c r="AH12" s="75" t="str">
        <f>IF((ISERROR((AG12/$H12)*100)), "", IF(AND(NOT(ISERROR((AG12/$H12)*100)),((AG12/$H12)*100) &lt;&gt; 0), (AG12/$H12)*100, ""))</f>
        <v/>
      </c>
      <c r="AI12" s="76"/>
      <c r="AJ12" s="77" t="str">
        <f t="shared" si="12"/>
        <v/>
      </c>
      <c r="AK12" s="76"/>
      <c r="AL12" s="77" t="str">
        <f t="shared" si="13"/>
        <v/>
      </c>
      <c r="AM12" s="74"/>
      <c r="AN12" s="75" t="str">
        <f t="shared" si="14"/>
        <v/>
      </c>
      <c r="AO12" s="78"/>
      <c r="AP12" s="43" t="str">
        <f t="shared" si="15"/>
        <v/>
      </c>
      <c r="AQ12" s="76"/>
      <c r="AR12" s="77" t="str">
        <f t="shared" si="16"/>
        <v/>
      </c>
      <c r="AS12" s="76"/>
      <c r="AT12" s="77" t="str">
        <f t="shared" si="14"/>
        <v/>
      </c>
      <c r="AU12" s="76"/>
      <c r="AV12" s="77" t="str">
        <f t="shared" si="17"/>
        <v/>
      </c>
      <c r="AW12" s="76"/>
      <c r="AX12" s="77" t="str">
        <f t="shared" si="18"/>
        <v/>
      </c>
      <c r="AY12" s="76"/>
      <c r="AZ12" s="77" t="str">
        <f t="shared" si="19"/>
        <v/>
      </c>
      <c r="BA12" s="24" t="s">
        <v>170</v>
      </c>
    </row>
    <row r="13" spans="1:53" ht="20" customHeight="1" x14ac:dyDescent="0.2">
      <c r="A13" s="67"/>
      <c r="B13" s="25"/>
      <c r="C13" s="57" t="s">
        <v>30</v>
      </c>
      <c r="D13" s="56" t="s">
        <v>28</v>
      </c>
      <c r="E13" s="56" t="s">
        <v>29</v>
      </c>
      <c r="F13" s="57">
        <v>2016</v>
      </c>
      <c r="G13" s="57">
        <v>22</v>
      </c>
      <c r="H13" s="29"/>
      <c r="I13" s="28"/>
      <c r="J13" s="39"/>
      <c r="K13" s="40"/>
      <c r="L13" s="43" t="str">
        <f t="shared" si="0"/>
        <v/>
      </c>
      <c r="M13" s="40"/>
      <c r="N13" s="43" t="str">
        <f t="shared" si="1"/>
        <v/>
      </c>
      <c r="O13" s="40"/>
      <c r="P13" s="43" t="str">
        <f t="shared" si="2"/>
        <v/>
      </c>
      <c r="Q13" s="40"/>
      <c r="R13" s="43" t="str">
        <f t="shared" si="3"/>
        <v/>
      </c>
      <c r="S13" s="40"/>
      <c r="T13" s="43" t="str">
        <f t="shared" si="4"/>
        <v/>
      </c>
      <c r="U13" s="86"/>
      <c r="V13" s="43" t="str">
        <f t="shared" si="5"/>
        <v/>
      </c>
      <c r="W13" s="40"/>
      <c r="X13" s="43" t="str">
        <f t="shared" si="6"/>
        <v/>
      </c>
      <c r="Y13" s="40"/>
      <c r="Z13" s="43" t="str">
        <f t="shared" si="7"/>
        <v/>
      </c>
      <c r="AA13" s="40"/>
      <c r="AB13" s="43" t="str">
        <f t="shared" si="8"/>
        <v/>
      </c>
      <c r="AC13" s="40"/>
      <c r="AD13" s="43" t="str">
        <f t="shared" si="9"/>
        <v/>
      </c>
      <c r="AE13" s="40"/>
      <c r="AF13" s="43" t="str">
        <f t="shared" si="10"/>
        <v/>
      </c>
      <c r="AG13" s="40"/>
      <c r="AH13" s="43" t="str">
        <f t="shared" ref="AH13:AH76" si="20">IF((ISERROR((AG13/$H13)*100)), "", IF(AND(NOT(ISERROR((AG13/$H13)*100)),((AG13/$H13)*100) &lt;&gt; 0), (AG13/$H13)*100, ""))</f>
        <v/>
      </c>
      <c r="AI13" s="40"/>
      <c r="AJ13" s="43" t="str">
        <f t="shared" si="12"/>
        <v/>
      </c>
      <c r="AK13" s="40"/>
      <c r="AL13" s="43" t="str">
        <f t="shared" si="13"/>
        <v/>
      </c>
      <c r="AM13" s="40"/>
      <c r="AN13" s="43" t="str">
        <f t="shared" si="14"/>
        <v/>
      </c>
      <c r="AO13" s="86"/>
      <c r="AP13" s="43" t="str">
        <f t="shared" si="15"/>
        <v/>
      </c>
      <c r="AQ13" s="40"/>
      <c r="AR13" s="43" t="str">
        <f t="shared" si="16"/>
        <v/>
      </c>
      <c r="AS13" s="40"/>
      <c r="AT13" s="43" t="str">
        <f t="shared" si="14"/>
        <v/>
      </c>
      <c r="AU13" s="40"/>
      <c r="AV13" s="43" t="str">
        <f t="shared" si="17"/>
        <v/>
      </c>
      <c r="AW13" s="40"/>
      <c r="AX13" s="43" t="str">
        <f t="shared" si="18"/>
        <v/>
      </c>
      <c r="AY13" s="40"/>
      <c r="AZ13" s="43" t="str">
        <f t="shared" si="19"/>
        <v/>
      </c>
    </row>
    <row r="14" spans="1:53" customFormat="1" ht="20" customHeight="1" x14ac:dyDescent="0.2">
      <c r="A14" s="68"/>
      <c r="B14" s="96"/>
      <c r="C14" s="25" t="s">
        <v>86</v>
      </c>
      <c r="D14" s="24" t="s">
        <v>289</v>
      </c>
      <c r="E14" s="24" t="s">
        <v>290</v>
      </c>
      <c r="F14" s="25">
        <v>2016</v>
      </c>
      <c r="H14" s="29">
        <v>12</v>
      </c>
      <c r="I14" s="28" t="s">
        <v>370</v>
      </c>
      <c r="J14" s="39"/>
      <c r="K14" s="40"/>
      <c r="L14" s="43" t="str">
        <f t="shared" si="0"/>
        <v/>
      </c>
      <c r="M14" s="40"/>
      <c r="N14" s="43" t="str">
        <f t="shared" si="1"/>
        <v/>
      </c>
      <c r="O14" s="40"/>
      <c r="P14" s="43" t="str">
        <f t="shared" si="2"/>
        <v/>
      </c>
      <c r="Q14" s="40"/>
      <c r="R14" s="43" t="str">
        <f t="shared" si="3"/>
        <v/>
      </c>
      <c r="S14" s="40"/>
      <c r="T14" s="43" t="str">
        <f t="shared" si="4"/>
        <v/>
      </c>
      <c r="U14" s="86"/>
      <c r="V14" s="43" t="str">
        <f t="shared" si="5"/>
        <v/>
      </c>
      <c r="W14" s="40"/>
      <c r="X14" s="43" t="str">
        <f t="shared" si="6"/>
        <v/>
      </c>
      <c r="Y14" s="40"/>
      <c r="Z14" s="43" t="str">
        <f t="shared" si="7"/>
        <v/>
      </c>
      <c r="AA14" s="40"/>
      <c r="AB14" s="43" t="str">
        <f t="shared" si="8"/>
        <v/>
      </c>
      <c r="AC14" s="40"/>
      <c r="AD14" s="43" t="str">
        <f t="shared" si="9"/>
        <v/>
      </c>
      <c r="AE14" s="40"/>
      <c r="AF14" s="43" t="str">
        <f t="shared" si="10"/>
        <v/>
      </c>
      <c r="AG14" s="40"/>
      <c r="AH14" s="43" t="str">
        <f t="shared" si="20"/>
        <v/>
      </c>
      <c r="AI14" s="40"/>
      <c r="AJ14" s="43" t="str">
        <f t="shared" si="12"/>
        <v/>
      </c>
      <c r="AK14" s="40"/>
      <c r="AL14" s="43" t="str">
        <f t="shared" si="13"/>
        <v/>
      </c>
      <c r="AM14" s="40"/>
      <c r="AN14" s="43" t="str">
        <f t="shared" si="14"/>
        <v/>
      </c>
      <c r="AO14" s="86"/>
      <c r="AP14" s="43" t="str">
        <f t="shared" si="15"/>
        <v/>
      </c>
      <c r="AQ14" s="40"/>
      <c r="AR14" s="43" t="str">
        <f t="shared" si="16"/>
        <v/>
      </c>
      <c r="AS14" s="40"/>
      <c r="AT14" s="43" t="str">
        <f t="shared" si="14"/>
        <v/>
      </c>
      <c r="AU14" s="40"/>
      <c r="AV14" s="43" t="str">
        <f t="shared" si="17"/>
        <v/>
      </c>
      <c r="AW14" s="40"/>
      <c r="AX14" s="43" t="str">
        <f t="shared" si="18"/>
        <v/>
      </c>
      <c r="AY14" s="40"/>
      <c r="AZ14" s="43" t="str">
        <f t="shared" si="19"/>
        <v/>
      </c>
      <c r="BA14" s="24" t="s">
        <v>371</v>
      </c>
    </row>
    <row r="15" spans="1:53" ht="20" customHeight="1" x14ac:dyDescent="0.2">
      <c r="A15" s="68"/>
      <c r="B15" s="25"/>
      <c r="C15" s="57"/>
      <c r="D15" s="56" t="s">
        <v>159</v>
      </c>
      <c r="E15" s="56" t="s">
        <v>160</v>
      </c>
      <c r="F15" s="57">
        <v>1997</v>
      </c>
      <c r="G15" s="57"/>
      <c r="H15" s="29"/>
      <c r="I15" s="28"/>
      <c r="J15" s="39"/>
      <c r="K15" s="40"/>
      <c r="L15" s="43" t="str">
        <f t="shared" si="0"/>
        <v/>
      </c>
      <c r="M15" s="40"/>
      <c r="N15" s="43" t="str">
        <f t="shared" si="1"/>
        <v/>
      </c>
      <c r="O15" s="40"/>
      <c r="P15" s="43" t="str">
        <f t="shared" si="2"/>
        <v/>
      </c>
      <c r="Q15" s="40"/>
      <c r="R15" s="43" t="str">
        <f t="shared" si="3"/>
        <v/>
      </c>
      <c r="S15" s="40"/>
      <c r="T15" s="43" t="str">
        <f t="shared" si="4"/>
        <v/>
      </c>
      <c r="U15" s="86"/>
      <c r="V15" s="43" t="str">
        <f t="shared" si="5"/>
        <v/>
      </c>
      <c r="W15" s="40"/>
      <c r="X15" s="43" t="str">
        <f t="shared" si="6"/>
        <v/>
      </c>
      <c r="Y15" s="40"/>
      <c r="Z15" s="43" t="str">
        <f t="shared" si="7"/>
        <v/>
      </c>
      <c r="AA15" s="40"/>
      <c r="AB15" s="43" t="str">
        <f t="shared" si="8"/>
        <v/>
      </c>
      <c r="AC15" s="40"/>
      <c r="AD15" s="43" t="str">
        <f t="shared" si="9"/>
        <v/>
      </c>
      <c r="AE15" s="40"/>
      <c r="AF15" s="43" t="str">
        <f t="shared" si="10"/>
        <v/>
      </c>
      <c r="AG15" s="40"/>
      <c r="AH15" s="43" t="str">
        <f t="shared" si="20"/>
        <v/>
      </c>
      <c r="AI15" s="40"/>
      <c r="AJ15" s="43" t="str">
        <f t="shared" si="12"/>
        <v/>
      </c>
      <c r="AK15" s="40"/>
      <c r="AL15" s="43" t="str">
        <f t="shared" si="13"/>
        <v/>
      </c>
      <c r="AM15" s="40"/>
      <c r="AN15" s="43" t="str">
        <f t="shared" si="14"/>
        <v/>
      </c>
      <c r="AO15" s="86"/>
      <c r="AP15" s="43" t="str">
        <f t="shared" si="15"/>
        <v/>
      </c>
      <c r="AQ15" s="40"/>
      <c r="AR15" s="43" t="str">
        <f t="shared" si="16"/>
        <v/>
      </c>
      <c r="AS15" s="40"/>
      <c r="AT15" s="43" t="str">
        <f t="shared" si="14"/>
        <v/>
      </c>
      <c r="AU15" s="40"/>
      <c r="AV15" s="43" t="str">
        <f t="shared" si="17"/>
        <v/>
      </c>
      <c r="AW15" s="40"/>
      <c r="AX15" s="43" t="str">
        <f t="shared" si="18"/>
        <v/>
      </c>
      <c r="AY15" s="40"/>
      <c r="AZ15" s="43" t="str">
        <f t="shared" si="19"/>
        <v/>
      </c>
    </row>
    <row r="16" spans="1:53" ht="20" customHeight="1" x14ac:dyDescent="0.2">
      <c r="A16" s="67"/>
      <c r="B16" s="25"/>
      <c r="C16" s="57" t="s">
        <v>30</v>
      </c>
      <c r="D16" s="56" t="s">
        <v>31</v>
      </c>
      <c r="E16" s="56" t="s">
        <v>32</v>
      </c>
      <c r="F16" s="57">
        <v>2004</v>
      </c>
      <c r="G16" s="57">
        <v>21</v>
      </c>
      <c r="H16" s="29"/>
      <c r="I16" s="28"/>
      <c r="J16" s="39"/>
      <c r="K16" s="40"/>
      <c r="L16" s="43" t="str">
        <f t="shared" si="0"/>
        <v/>
      </c>
      <c r="M16" s="40"/>
      <c r="N16" s="43" t="str">
        <f t="shared" si="1"/>
        <v/>
      </c>
      <c r="O16" s="40"/>
      <c r="P16" s="43" t="str">
        <f t="shared" si="2"/>
        <v/>
      </c>
      <c r="Q16" s="40"/>
      <c r="R16" s="43" t="str">
        <f t="shared" si="3"/>
        <v/>
      </c>
      <c r="S16" s="40"/>
      <c r="T16" s="43" t="str">
        <f t="shared" si="4"/>
        <v/>
      </c>
      <c r="U16" s="86"/>
      <c r="V16" s="43" t="str">
        <f t="shared" si="5"/>
        <v/>
      </c>
      <c r="W16" s="40"/>
      <c r="X16" s="43" t="str">
        <f t="shared" si="6"/>
        <v/>
      </c>
      <c r="Y16" s="40"/>
      <c r="Z16" s="43" t="str">
        <f t="shared" si="7"/>
        <v/>
      </c>
      <c r="AA16" s="40"/>
      <c r="AB16" s="43" t="str">
        <f t="shared" si="8"/>
        <v/>
      </c>
      <c r="AC16" s="40"/>
      <c r="AD16" s="43" t="str">
        <f t="shared" si="9"/>
        <v/>
      </c>
      <c r="AE16" s="40"/>
      <c r="AF16" s="43" t="str">
        <f t="shared" si="10"/>
        <v/>
      </c>
      <c r="AG16" s="40"/>
      <c r="AH16" s="43" t="str">
        <f t="shared" si="20"/>
        <v/>
      </c>
      <c r="AI16" s="40"/>
      <c r="AJ16" s="43" t="str">
        <f t="shared" si="12"/>
        <v/>
      </c>
      <c r="AK16" s="40"/>
      <c r="AL16" s="43" t="str">
        <f t="shared" si="13"/>
        <v/>
      </c>
      <c r="AM16" s="40"/>
      <c r="AN16" s="43" t="str">
        <f t="shared" si="14"/>
        <v/>
      </c>
      <c r="AO16" s="86"/>
      <c r="AP16" s="43" t="str">
        <f t="shared" si="15"/>
        <v/>
      </c>
      <c r="AQ16" s="40"/>
      <c r="AR16" s="43" t="str">
        <f t="shared" si="16"/>
        <v/>
      </c>
      <c r="AS16" s="40"/>
      <c r="AT16" s="43" t="str">
        <f t="shared" si="14"/>
        <v/>
      </c>
      <c r="AU16" s="40"/>
      <c r="AV16" s="43" t="str">
        <f t="shared" si="17"/>
        <v/>
      </c>
      <c r="AW16" s="40"/>
      <c r="AX16" s="43" t="str">
        <f t="shared" si="18"/>
        <v/>
      </c>
      <c r="AY16" s="40"/>
      <c r="AZ16" s="43" t="str">
        <f t="shared" si="19"/>
        <v/>
      </c>
    </row>
    <row r="17" spans="1:53" ht="20" customHeight="1" x14ac:dyDescent="0.2">
      <c r="A17" s="68"/>
      <c r="B17" s="95"/>
      <c r="C17" s="25" t="s">
        <v>86</v>
      </c>
      <c r="D17" s="24" t="s">
        <v>33</v>
      </c>
      <c r="E17" s="24" t="s">
        <v>34</v>
      </c>
      <c r="F17" s="25">
        <v>2003</v>
      </c>
      <c r="G17" s="25">
        <v>291</v>
      </c>
      <c r="H17" s="29">
        <v>14</v>
      </c>
      <c r="I17" s="28" t="s">
        <v>172</v>
      </c>
      <c r="J17" s="39"/>
      <c r="K17" s="40"/>
      <c r="L17" s="43" t="str">
        <f t="shared" si="0"/>
        <v/>
      </c>
      <c r="M17" s="40"/>
      <c r="N17" s="43" t="str">
        <f t="shared" si="1"/>
        <v/>
      </c>
      <c r="O17" s="40">
        <v>2</v>
      </c>
      <c r="P17" s="43">
        <f t="shared" si="2"/>
        <v>14.285714285714285</v>
      </c>
      <c r="Q17" s="40"/>
      <c r="R17" s="43" t="str">
        <f t="shared" si="3"/>
        <v/>
      </c>
      <c r="S17" s="40"/>
      <c r="T17" s="43" t="str">
        <f t="shared" si="4"/>
        <v/>
      </c>
      <c r="U17" s="86"/>
      <c r="V17" s="43" t="str">
        <f t="shared" si="5"/>
        <v/>
      </c>
      <c r="W17" s="40"/>
      <c r="X17" s="43" t="str">
        <f t="shared" si="6"/>
        <v/>
      </c>
      <c r="Y17" s="40"/>
      <c r="Z17" s="43" t="str">
        <f t="shared" si="7"/>
        <v/>
      </c>
      <c r="AA17" s="40"/>
      <c r="AB17" s="43" t="str">
        <f t="shared" si="8"/>
        <v/>
      </c>
      <c r="AC17" s="40"/>
      <c r="AD17" s="43" t="str">
        <f t="shared" si="9"/>
        <v/>
      </c>
      <c r="AE17" s="40">
        <v>1</v>
      </c>
      <c r="AF17" s="43">
        <f t="shared" si="10"/>
        <v>7.1428571428571423</v>
      </c>
      <c r="AG17" s="40">
        <v>2</v>
      </c>
      <c r="AH17" s="43">
        <f t="shared" si="20"/>
        <v>14.285714285714285</v>
      </c>
      <c r="AI17" s="40"/>
      <c r="AJ17" s="43" t="str">
        <f t="shared" si="12"/>
        <v/>
      </c>
      <c r="AK17" s="40"/>
      <c r="AL17" s="43" t="str">
        <f t="shared" si="13"/>
        <v/>
      </c>
      <c r="AM17" s="40"/>
      <c r="AN17" s="43" t="str">
        <f t="shared" si="14"/>
        <v/>
      </c>
      <c r="AO17" s="86"/>
      <c r="AP17" s="43" t="str">
        <f t="shared" si="15"/>
        <v/>
      </c>
      <c r="AQ17" s="40"/>
      <c r="AR17" s="43" t="str">
        <f t="shared" si="16"/>
        <v/>
      </c>
      <c r="AS17" s="40"/>
      <c r="AT17" s="43" t="str">
        <f t="shared" si="14"/>
        <v/>
      </c>
      <c r="AU17" s="40"/>
      <c r="AV17" s="43" t="str">
        <f t="shared" si="17"/>
        <v/>
      </c>
      <c r="AW17" s="40"/>
      <c r="AX17" s="43" t="str">
        <f t="shared" si="18"/>
        <v/>
      </c>
      <c r="AY17" s="40"/>
      <c r="AZ17" s="43" t="str">
        <f t="shared" si="19"/>
        <v/>
      </c>
      <c r="BA17" s="24" t="s">
        <v>372</v>
      </c>
    </row>
    <row r="18" spans="1:53" ht="20" customHeight="1" x14ac:dyDescent="0.2">
      <c r="A18" s="67"/>
      <c r="B18" s="95"/>
      <c r="C18" s="25" t="s">
        <v>86</v>
      </c>
      <c r="D18" s="24" t="s">
        <v>291</v>
      </c>
      <c r="E18" s="24" t="s">
        <v>292</v>
      </c>
      <c r="F18" s="25">
        <v>2008</v>
      </c>
      <c r="H18" s="29">
        <v>24</v>
      </c>
      <c r="I18" s="28" t="s">
        <v>246</v>
      </c>
      <c r="J18" s="39" t="s">
        <v>373</v>
      </c>
      <c r="K18" s="40"/>
      <c r="L18" s="43" t="str">
        <f t="shared" si="0"/>
        <v/>
      </c>
      <c r="M18" s="40"/>
      <c r="N18" s="43" t="str">
        <f t="shared" si="1"/>
        <v/>
      </c>
      <c r="O18" s="40"/>
      <c r="P18" s="43" t="str">
        <f t="shared" si="2"/>
        <v/>
      </c>
      <c r="Q18" s="40"/>
      <c r="R18" s="43" t="str">
        <f t="shared" si="3"/>
        <v/>
      </c>
      <c r="S18" s="40"/>
      <c r="T18" s="43" t="str">
        <f t="shared" si="4"/>
        <v/>
      </c>
      <c r="U18" s="86"/>
      <c r="V18" s="43" t="str">
        <f t="shared" si="5"/>
        <v/>
      </c>
      <c r="W18" s="40"/>
      <c r="X18" s="43" t="str">
        <f t="shared" si="6"/>
        <v/>
      </c>
      <c r="Y18" s="40"/>
      <c r="Z18" s="43" t="str">
        <f t="shared" si="7"/>
        <v/>
      </c>
      <c r="AA18" s="40"/>
      <c r="AB18" s="43" t="str">
        <f t="shared" si="8"/>
        <v/>
      </c>
      <c r="AC18" s="40"/>
      <c r="AD18" s="43" t="str">
        <f t="shared" si="9"/>
        <v/>
      </c>
      <c r="AE18" s="40"/>
      <c r="AF18" s="43" t="str">
        <f t="shared" si="10"/>
        <v/>
      </c>
      <c r="AG18" s="40">
        <v>1</v>
      </c>
      <c r="AH18" s="43">
        <f t="shared" si="20"/>
        <v>4.1666666666666661</v>
      </c>
      <c r="AI18" s="40"/>
      <c r="AJ18" s="43" t="str">
        <f t="shared" si="12"/>
        <v/>
      </c>
      <c r="AK18" s="40"/>
      <c r="AL18" s="43" t="str">
        <f t="shared" si="13"/>
        <v/>
      </c>
      <c r="AM18" s="40"/>
      <c r="AN18" s="43" t="str">
        <f t="shared" si="14"/>
        <v/>
      </c>
      <c r="AO18" s="86"/>
      <c r="AP18" s="43" t="str">
        <f t="shared" si="15"/>
        <v/>
      </c>
      <c r="AQ18" s="40"/>
      <c r="AR18" s="43" t="str">
        <f t="shared" si="16"/>
        <v/>
      </c>
      <c r="AS18" s="40"/>
      <c r="AT18" s="43" t="str">
        <f t="shared" si="14"/>
        <v/>
      </c>
      <c r="AU18" s="40"/>
      <c r="AV18" s="43" t="str">
        <f t="shared" si="17"/>
        <v/>
      </c>
      <c r="AW18" s="40"/>
      <c r="AX18" s="43" t="str">
        <f t="shared" si="18"/>
        <v/>
      </c>
      <c r="AY18" s="40"/>
      <c r="AZ18" s="43" t="str">
        <f t="shared" si="19"/>
        <v/>
      </c>
    </row>
    <row r="19" spans="1:53" ht="20" customHeight="1" x14ac:dyDescent="0.2">
      <c r="A19" s="68"/>
      <c r="B19" s="95"/>
      <c r="C19" s="25" t="s">
        <v>86</v>
      </c>
      <c r="D19" s="24" t="s">
        <v>36</v>
      </c>
      <c r="E19" s="24" t="s">
        <v>37</v>
      </c>
      <c r="F19" s="25">
        <v>2008</v>
      </c>
      <c r="G19" s="25">
        <v>40</v>
      </c>
      <c r="H19" s="29">
        <v>51</v>
      </c>
      <c r="I19" s="28"/>
      <c r="J19" s="39" t="s">
        <v>176</v>
      </c>
      <c r="K19" s="40"/>
      <c r="L19" s="43" t="str">
        <f t="shared" si="0"/>
        <v/>
      </c>
      <c r="M19" s="40"/>
      <c r="N19" s="43" t="str">
        <f t="shared" si="1"/>
        <v/>
      </c>
      <c r="O19" s="40"/>
      <c r="P19" s="43" t="str">
        <f t="shared" si="2"/>
        <v/>
      </c>
      <c r="Q19" s="40"/>
      <c r="R19" s="43" t="str">
        <f t="shared" si="3"/>
        <v/>
      </c>
      <c r="S19" s="40"/>
      <c r="T19" s="43" t="str">
        <f t="shared" si="4"/>
        <v/>
      </c>
      <c r="U19" s="86"/>
      <c r="V19" s="43" t="str">
        <f t="shared" si="5"/>
        <v/>
      </c>
      <c r="W19" s="40"/>
      <c r="X19" s="43" t="str">
        <f t="shared" si="6"/>
        <v/>
      </c>
      <c r="Y19" s="40"/>
      <c r="Z19" s="43" t="str">
        <f t="shared" si="7"/>
        <v/>
      </c>
      <c r="AA19" s="40"/>
      <c r="AB19" s="43" t="str">
        <f t="shared" si="8"/>
        <v/>
      </c>
      <c r="AC19" s="40"/>
      <c r="AD19" s="43" t="str">
        <f t="shared" si="9"/>
        <v/>
      </c>
      <c r="AE19" s="40"/>
      <c r="AF19" s="43" t="str">
        <f t="shared" si="10"/>
        <v/>
      </c>
      <c r="AG19" s="40"/>
      <c r="AH19" s="43" t="str">
        <f t="shared" si="20"/>
        <v/>
      </c>
      <c r="AI19" s="40"/>
      <c r="AJ19" s="43" t="str">
        <f t="shared" si="12"/>
        <v/>
      </c>
      <c r="AK19" s="40"/>
      <c r="AL19" s="43" t="str">
        <f t="shared" si="13"/>
        <v/>
      </c>
      <c r="AM19" s="40"/>
      <c r="AN19" s="43" t="str">
        <f t="shared" si="14"/>
        <v/>
      </c>
      <c r="AO19" s="47"/>
      <c r="AP19" s="46" t="str">
        <f t="shared" si="15"/>
        <v/>
      </c>
      <c r="AQ19" s="40"/>
      <c r="AR19" s="43" t="str">
        <f t="shared" si="16"/>
        <v/>
      </c>
      <c r="AS19" s="40"/>
      <c r="AT19" s="43" t="str">
        <f t="shared" si="14"/>
        <v/>
      </c>
      <c r="AU19" s="40"/>
      <c r="AV19" s="43" t="str">
        <f t="shared" si="17"/>
        <v/>
      </c>
      <c r="AW19" s="40"/>
      <c r="AX19" s="43" t="str">
        <f t="shared" si="18"/>
        <v/>
      </c>
      <c r="AY19" s="40"/>
      <c r="AZ19" s="43" t="str">
        <f t="shared" si="19"/>
        <v/>
      </c>
      <c r="BA19" s="24" t="s">
        <v>179</v>
      </c>
    </row>
    <row r="20" spans="1:53" ht="20" customHeight="1" x14ac:dyDescent="0.2">
      <c r="A20" s="67"/>
      <c r="B20" s="25"/>
      <c r="C20" s="57" t="s">
        <v>30</v>
      </c>
      <c r="D20" s="56" t="s">
        <v>38</v>
      </c>
      <c r="E20" s="56" t="s">
        <v>39</v>
      </c>
      <c r="F20" s="57">
        <v>2005</v>
      </c>
      <c r="G20" s="57">
        <v>282</v>
      </c>
      <c r="H20" s="29"/>
      <c r="I20" s="28"/>
      <c r="J20" s="39"/>
      <c r="K20" s="40"/>
      <c r="L20" s="43" t="str">
        <f t="shared" si="0"/>
        <v/>
      </c>
      <c r="M20" s="40"/>
      <c r="N20" s="43" t="str">
        <f t="shared" si="1"/>
        <v/>
      </c>
      <c r="O20" s="40"/>
      <c r="P20" s="43" t="str">
        <f t="shared" si="2"/>
        <v/>
      </c>
      <c r="Q20" s="40"/>
      <c r="R20" s="43" t="str">
        <f t="shared" si="3"/>
        <v/>
      </c>
      <c r="S20" s="40"/>
      <c r="T20" s="43" t="str">
        <f t="shared" si="4"/>
        <v/>
      </c>
      <c r="U20" s="86"/>
      <c r="V20" s="43" t="str">
        <f t="shared" si="5"/>
        <v/>
      </c>
      <c r="W20" s="40"/>
      <c r="X20" s="43" t="str">
        <f t="shared" si="6"/>
        <v/>
      </c>
      <c r="Y20" s="40"/>
      <c r="Z20" s="43" t="str">
        <f t="shared" si="7"/>
        <v/>
      </c>
      <c r="AA20" s="40"/>
      <c r="AB20" s="43" t="str">
        <f t="shared" si="8"/>
        <v/>
      </c>
      <c r="AC20" s="40"/>
      <c r="AD20" s="43" t="str">
        <f t="shared" si="9"/>
        <v/>
      </c>
      <c r="AE20" s="40"/>
      <c r="AF20" s="43" t="str">
        <f t="shared" si="10"/>
        <v/>
      </c>
      <c r="AG20" s="40"/>
      <c r="AH20" s="43" t="str">
        <f t="shared" si="20"/>
        <v/>
      </c>
      <c r="AI20" s="40"/>
      <c r="AJ20" s="43" t="str">
        <f t="shared" si="12"/>
        <v/>
      </c>
      <c r="AK20" s="40"/>
      <c r="AL20" s="43" t="str">
        <f t="shared" si="13"/>
        <v/>
      </c>
      <c r="AM20" s="40"/>
      <c r="AN20" s="43" t="str">
        <f t="shared" si="14"/>
        <v/>
      </c>
      <c r="AO20" s="86"/>
      <c r="AP20" s="43" t="str">
        <f t="shared" si="15"/>
        <v/>
      </c>
      <c r="AQ20" s="40"/>
      <c r="AR20" s="43" t="str">
        <f t="shared" si="16"/>
        <v/>
      </c>
      <c r="AS20" s="40"/>
      <c r="AT20" s="43" t="str">
        <f t="shared" si="14"/>
        <v/>
      </c>
      <c r="AU20" s="40"/>
      <c r="AV20" s="43" t="str">
        <f t="shared" si="17"/>
        <v/>
      </c>
      <c r="AW20" s="40"/>
      <c r="AX20" s="43" t="str">
        <f t="shared" si="18"/>
        <v/>
      </c>
      <c r="AY20" s="40"/>
      <c r="AZ20" s="43" t="str">
        <f t="shared" si="19"/>
        <v/>
      </c>
      <c r="BA20" s="24" t="s">
        <v>426</v>
      </c>
    </row>
    <row r="21" spans="1:53" ht="20" customHeight="1" x14ac:dyDescent="0.2">
      <c r="A21" s="67"/>
      <c r="B21" s="25"/>
      <c r="C21" s="57" t="s">
        <v>30</v>
      </c>
      <c r="D21" s="56" t="s">
        <v>40</v>
      </c>
      <c r="E21" s="56" t="s">
        <v>39</v>
      </c>
      <c r="F21" s="57">
        <v>2006</v>
      </c>
      <c r="G21" s="57">
        <v>380</v>
      </c>
      <c r="H21" s="29"/>
      <c r="I21" s="28"/>
      <c r="J21" s="39"/>
      <c r="K21" s="45"/>
      <c r="L21" s="46" t="str">
        <f t="shared" si="0"/>
        <v/>
      </c>
      <c r="M21" s="45"/>
      <c r="N21" s="46" t="str">
        <f t="shared" si="1"/>
        <v/>
      </c>
      <c r="O21" s="45"/>
      <c r="P21" s="46" t="str">
        <f t="shared" si="2"/>
        <v/>
      </c>
      <c r="Q21" s="40"/>
      <c r="R21" s="43" t="str">
        <f t="shared" si="3"/>
        <v/>
      </c>
      <c r="S21" s="40"/>
      <c r="T21" s="43" t="str">
        <f t="shared" si="4"/>
        <v/>
      </c>
      <c r="U21" s="86"/>
      <c r="V21" s="43" t="str">
        <f t="shared" si="5"/>
        <v/>
      </c>
      <c r="W21" s="40"/>
      <c r="X21" s="43" t="str">
        <f t="shared" si="6"/>
        <v/>
      </c>
      <c r="Y21" s="40"/>
      <c r="Z21" s="43" t="str">
        <f t="shared" si="7"/>
        <v/>
      </c>
      <c r="AA21" s="40"/>
      <c r="AB21" s="43" t="str">
        <f t="shared" si="8"/>
        <v/>
      </c>
      <c r="AC21" s="40"/>
      <c r="AD21" s="43" t="str">
        <f t="shared" si="9"/>
        <v/>
      </c>
      <c r="AE21" s="40"/>
      <c r="AF21" s="43" t="str">
        <f t="shared" si="10"/>
        <v/>
      </c>
      <c r="AG21" s="45"/>
      <c r="AH21" s="46" t="str">
        <f t="shared" si="20"/>
        <v/>
      </c>
      <c r="AI21" s="40"/>
      <c r="AJ21" s="43" t="str">
        <f t="shared" si="12"/>
        <v/>
      </c>
      <c r="AK21" s="45"/>
      <c r="AL21" s="46" t="str">
        <f t="shared" si="13"/>
        <v/>
      </c>
      <c r="AM21" s="45"/>
      <c r="AN21" s="46" t="str">
        <f t="shared" si="14"/>
        <v/>
      </c>
      <c r="AO21" s="86"/>
      <c r="AP21" s="43" t="str">
        <f t="shared" si="15"/>
        <v/>
      </c>
      <c r="AQ21" s="40"/>
      <c r="AR21" s="43" t="str">
        <f t="shared" si="16"/>
        <v/>
      </c>
      <c r="AS21" s="45"/>
      <c r="AT21" s="46" t="str">
        <f t="shared" si="14"/>
        <v/>
      </c>
      <c r="AU21" s="40"/>
      <c r="AV21" s="43" t="str">
        <f t="shared" si="17"/>
        <v/>
      </c>
      <c r="AW21" s="40"/>
      <c r="AX21" s="43" t="str">
        <f t="shared" si="18"/>
        <v/>
      </c>
      <c r="AY21" s="45"/>
      <c r="AZ21" s="46" t="str">
        <f t="shared" si="19"/>
        <v/>
      </c>
      <c r="BA21" s="24" t="s">
        <v>427</v>
      </c>
    </row>
    <row r="22" spans="1:53" ht="20" customHeight="1" x14ac:dyDescent="0.2">
      <c r="A22" s="67"/>
      <c r="B22" s="95"/>
      <c r="C22" s="25" t="s">
        <v>86</v>
      </c>
      <c r="D22" s="24" t="s">
        <v>41</v>
      </c>
      <c r="E22" s="24" t="s">
        <v>42</v>
      </c>
      <c r="F22" s="25">
        <v>2004</v>
      </c>
      <c r="G22" s="25">
        <v>79</v>
      </c>
      <c r="H22" s="29">
        <v>22</v>
      </c>
      <c r="I22" s="28" t="s">
        <v>174</v>
      </c>
      <c r="J22" s="39" t="s">
        <v>176</v>
      </c>
      <c r="K22" s="40"/>
      <c r="L22" s="43" t="str">
        <f t="shared" si="0"/>
        <v/>
      </c>
      <c r="M22" s="40"/>
      <c r="N22" s="43" t="str">
        <f t="shared" si="1"/>
        <v/>
      </c>
      <c r="O22" s="40"/>
      <c r="P22" s="43" t="str">
        <f t="shared" si="2"/>
        <v/>
      </c>
      <c r="Q22" s="40"/>
      <c r="R22" s="43" t="str">
        <f t="shared" si="3"/>
        <v/>
      </c>
      <c r="S22" s="40"/>
      <c r="T22" s="43" t="str">
        <f t="shared" si="4"/>
        <v/>
      </c>
      <c r="U22" s="86"/>
      <c r="V22" s="43" t="str">
        <f t="shared" si="5"/>
        <v/>
      </c>
      <c r="W22" s="40"/>
      <c r="X22" s="43" t="str">
        <f t="shared" si="6"/>
        <v/>
      </c>
      <c r="Y22" s="40"/>
      <c r="Z22" s="43" t="str">
        <f t="shared" si="7"/>
        <v/>
      </c>
      <c r="AA22" s="40"/>
      <c r="AB22" s="43" t="str">
        <f t="shared" si="8"/>
        <v/>
      </c>
      <c r="AC22" s="40"/>
      <c r="AD22" s="43" t="str">
        <f t="shared" si="9"/>
        <v/>
      </c>
      <c r="AE22" s="40"/>
      <c r="AF22" s="43" t="str">
        <f t="shared" si="10"/>
        <v/>
      </c>
      <c r="AG22" s="40">
        <v>5</v>
      </c>
      <c r="AH22" s="43">
        <f t="shared" si="20"/>
        <v>22.727272727272727</v>
      </c>
      <c r="AI22" s="40"/>
      <c r="AJ22" s="43" t="str">
        <f t="shared" si="12"/>
        <v/>
      </c>
      <c r="AK22" s="40"/>
      <c r="AL22" s="43" t="str">
        <f t="shared" si="13"/>
        <v/>
      </c>
      <c r="AM22" s="40"/>
      <c r="AN22" s="43" t="str">
        <f t="shared" si="14"/>
        <v/>
      </c>
      <c r="AO22" s="86"/>
      <c r="AP22" s="43" t="str">
        <f t="shared" si="15"/>
        <v/>
      </c>
      <c r="AQ22" s="40"/>
      <c r="AR22" s="43" t="str">
        <f t="shared" si="16"/>
        <v/>
      </c>
      <c r="AS22" s="40"/>
      <c r="AT22" s="43" t="str">
        <f t="shared" si="14"/>
        <v/>
      </c>
      <c r="AU22" s="40"/>
      <c r="AV22" s="43" t="str">
        <f t="shared" si="17"/>
        <v/>
      </c>
      <c r="AW22" s="40"/>
      <c r="AX22" s="43" t="str">
        <f t="shared" si="18"/>
        <v/>
      </c>
      <c r="AY22" s="40"/>
      <c r="AZ22" s="43" t="str">
        <f t="shared" si="19"/>
        <v/>
      </c>
      <c r="BA22" s="24" t="s">
        <v>177</v>
      </c>
    </row>
    <row r="23" spans="1:53" ht="20" customHeight="1" x14ac:dyDescent="0.2">
      <c r="A23" s="67"/>
      <c r="B23" s="95"/>
      <c r="C23" s="25" t="s">
        <v>86</v>
      </c>
      <c r="D23" s="24" t="s">
        <v>43</v>
      </c>
      <c r="E23" s="24" t="s">
        <v>44</v>
      </c>
      <c r="F23" s="25">
        <v>1976</v>
      </c>
      <c r="G23" s="25">
        <v>179</v>
      </c>
      <c r="H23" s="29">
        <v>8</v>
      </c>
      <c r="I23" s="91" t="s">
        <v>374</v>
      </c>
      <c r="J23" s="39"/>
      <c r="K23" s="45">
        <v>1</v>
      </c>
      <c r="L23" s="46">
        <f t="shared" si="0"/>
        <v>12.5</v>
      </c>
      <c r="M23" s="45">
        <v>2</v>
      </c>
      <c r="N23" s="46">
        <f t="shared" si="1"/>
        <v>25</v>
      </c>
      <c r="O23" s="45">
        <v>1</v>
      </c>
      <c r="P23" s="46">
        <f t="shared" si="2"/>
        <v>12.5</v>
      </c>
      <c r="Q23" s="45">
        <v>5</v>
      </c>
      <c r="R23" s="46">
        <f t="shared" si="3"/>
        <v>62.5</v>
      </c>
      <c r="S23" s="45">
        <v>2</v>
      </c>
      <c r="T23" s="46">
        <f t="shared" si="4"/>
        <v>25</v>
      </c>
      <c r="U23" s="86">
        <v>1</v>
      </c>
      <c r="V23" s="43">
        <f t="shared" si="5"/>
        <v>12.5</v>
      </c>
      <c r="W23" s="40"/>
      <c r="X23" s="43" t="str">
        <f t="shared" si="6"/>
        <v/>
      </c>
      <c r="Y23" s="45">
        <v>1</v>
      </c>
      <c r="Z23" s="46">
        <f t="shared" si="7"/>
        <v>12.5</v>
      </c>
      <c r="AA23" s="45">
        <v>1</v>
      </c>
      <c r="AB23" s="46">
        <f t="shared" si="8"/>
        <v>12.5</v>
      </c>
      <c r="AC23" s="40"/>
      <c r="AD23" s="43" t="str">
        <f t="shared" si="9"/>
        <v/>
      </c>
      <c r="AE23" s="45">
        <v>1</v>
      </c>
      <c r="AF23" s="46">
        <f t="shared" si="10"/>
        <v>12.5</v>
      </c>
      <c r="AG23" s="40"/>
      <c r="AH23" s="43" t="str">
        <f t="shared" si="20"/>
        <v/>
      </c>
      <c r="AI23" s="45">
        <v>1</v>
      </c>
      <c r="AJ23" s="46">
        <f t="shared" si="12"/>
        <v>12.5</v>
      </c>
      <c r="AK23" s="40"/>
      <c r="AL23" s="43" t="str">
        <f t="shared" si="13"/>
        <v/>
      </c>
      <c r="AM23" s="40"/>
      <c r="AN23" s="43" t="str">
        <f t="shared" si="14"/>
        <v/>
      </c>
      <c r="AO23" s="86"/>
      <c r="AP23" s="43" t="str">
        <f t="shared" si="15"/>
        <v/>
      </c>
      <c r="AQ23" s="40"/>
      <c r="AR23" s="43" t="str">
        <f t="shared" si="16"/>
        <v/>
      </c>
      <c r="AS23" s="40"/>
      <c r="AT23" s="43" t="str">
        <f t="shared" si="14"/>
        <v/>
      </c>
      <c r="AU23" s="45"/>
      <c r="AV23" s="46" t="str">
        <f t="shared" si="17"/>
        <v/>
      </c>
      <c r="AW23" s="45"/>
      <c r="AX23" s="46" t="str">
        <f t="shared" si="18"/>
        <v/>
      </c>
      <c r="AY23" s="40"/>
      <c r="AZ23" s="43" t="str">
        <f t="shared" si="19"/>
        <v/>
      </c>
      <c r="BA23" s="24" t="s">
        <v>198</v>
      </c>
    </row>
    <row r="24" spans="1:53" ht="20" customHeight="1" x14ac:dyDescent="0.2">
      <c r="A24" s="68"/>
      <c r="B24" s="96"/>
      <c r="C24" s="25" t="s">
        <v>86</v>
      </c>
      <c r="D24" s="24" t="s">
        <v>155</v>
      </c>
      <c r="E24" s="24" t="s">
        <v>156</v>
      </c>
      <c r="F24" s="25">
        <v>2007</v>
      </c>
      <c r="H24" s="29">
        <v>44</v>
      </c>
      <c r="I24" s="28"/>
      <c r="J24" s="39"/>
      <c r="K24" s="40"/>
      <c r="L24" s="43" t="str">
        <f t="shared" si="0"/>
        <v/>
      </c>
      <c r="M24" s="40"/>
      <c r="N24" s="43" t="str">
        <f t="shared" si="1"/>
        <v/>
      </c>
      <c r="O24" s="40"/>
      <c r="P24" s="43" t="str">
        <f t="shared" si="2"/>
        <v/>
      </c>
      <c r="Q24" s="40"/>
      <c r="R24" s="43" t="str">
        <f t="shared" si="3"/>
        <v/>
      </c>
      <c r="S24" s="40"/>
      <c r="T24" s="43" t="str">
        <f t="shared" si="4"/>
        <v/>
      </c>
      <c r="U24" s="86"/>
      <c r="V24" s="43" t="str">
        <f t="shared" si="5"/>
        <v/>
      </c>
      <c r="W24" s="40"/>
      <c r="X24" s="43" t="str">
        <f t="shared" si="6"/>
        <v/>
      </c>
      <c r="Y24" s="40"/>
      <c r="Z24" s="43" t="str">
        <f t="shared" si="7"/>
        <v/>
      </c>
      <c r="AA24" s="40"/>
      <c r="AB24" s="43" t="str">
        <f t="shared" si="8"/>
        <v/>
      </c>
      <c r="AC24" s="40"/>
      <c r="AD24" s="43" t="str">
        <f t="shared" si="9"/>
        <v/>
      </c>
      <c r="AE24" s="40"/>
      <c r="AF24" s="43" t="str">
        <f t="shared" si="10"/>
        <v/>
      </c>
      <c r="AG24" s="40"/>
      <c r="AH24" s="43" t="str">
        <f t="shared" si="20"/>
        <v/>
      </c>
      <c r="AI24" s="40"/>
      <c r="AJ24" s="43" t="str">
        <f t="shared" si="12"/>
        <v/>
      </c>
      <c r="AK24" s="40"/>
      <c r="AL24" s="43" t="str">
        <f t="shared" si="13"/>
        <v/>
      </c>
      <c r="AM24" s="40"/>
      <c r="AN24" s="43" t="str">
        <f t="shared" si="14"/>
        <v/>
      </c>
      <c r="AO24" s="86"/>
      <c r="AP24" s="43" t="str">
        <f t="shared" si="15"/>
        <v/>
      </c>
      <c r="AQ24" s="40"/>
      <c r="AR24" s="43" t="str">
        <f t="shared" si="16"/>
        <v/>
      </c>
      <c r="AS24" s="40"/>
      <c r="AT24" s="43" t="str">
        <f t="shared" si="14"/>
        <v/>
      </c>
      <c r="AU24" s="40"/>
      <c r="AV24" s="43" t="str">
        <f t="shared" si="17"/>
        <v/>
      </c>
      <c r="AW24" s="40"/>
      <c r="AX24" s="43" t="str">
        <f t="shared" si="18"/>
        <v/>
      </c>
      <c r="AY24" s="40"/>
      <c r="AZ24" s="43" t="str">
        <f t="shared" si="19"/>
        <v/>
      </c>
      <c r="BA24" s="24" t="s">
        <v>188</v>
      </c>
    </row>
    <row r="25" spans="1:53" ht="20" customHeight="1" x14ac:dyDescent="0.2">
      <c r="A25" s="67"/>
      <c r="B25" s="96"/>
      <c r="C25" s="25" t="s">
        <v>86</v>
      </c>
      <c r="D25" s="24" t="s">
        <v>293</v>
      </c>
      <c r="E25" s="24" t="s">
        <v>294</v>
      </c>
      <c r="F25" s="25">
        <v>2014</v>
      </c>
      <c r="H25" s="29">
        <v>86</v>
      </c>
      <c r="I25" s="28" t="s">
        <v>238</v>
      </c>
      <c r="J25" s="39" t="s">
        <v>375</v>
      </c>
      <c r="K25" s="40"/>
      <c r="L25" s="43" t="str">
        <f t="shared" si="0"/>
        <v/>
      </c>
      <c r="M25" s="40"/>
      <c r="N25" s="43" t="str">
        <f t="shared" si="1"/>
        <v/>
      </c>
      <c r="O25" s="40"/>
      <c r="P25" s="43" t="str">
        <f t="shared" si="2"/>
        <v/>
      </c>
      <c r="Q25" s="40"/>
      <c r="R25" s="43" t="str">
        <f t="shared" si="3"/>
        <v/>
      </c>
      <c r="S25" s="40"/>
      <c r="T25" s="43" t="str">
        <f t="shared" si="4"/>
        <v/>
      </c>
      <c r="U25" s="86"/>
      <c r="V25" s="43" t="str">
        <f t="shared" si="5"/>
        <v/>
      </c>
      <c r="W25" s="40"/>
      <c r="X25" s="43" t="str">
        <f t="shared" si="6"/>
        <v/>
      </c>
      <c r="Y25" s="40"/>
      <c r="Z25" s="43" t="str">
        <f t="shared" si="7"/>
        <v/>
      </c>
      <c r="AA25" s="40"/>
      <c r="AB25" s="43" t="str">
        <f t="shared" si="8"/>
        <v/>
      </c>
      <c r="AC25" s="40"/>
      <c r="AD25" s="43" t="str">
        <f t="shared" si="9"/>
        <v/>
      </c>
      <c r="AE25" s="40"/>
      <c r="AF25" s="43" t="str">
        <f t="shared" si="10"/>
        <v/>
      </c>
      <c r="AG25" s="40"/>
      <c r="AH25" s="43" t="str">
        <f t="shared" si="20"/>
        <v/>
      </c>
      <c r="AI25" s="40"/>
      <c r="AJ25" s="43" t="str">
        <f t="shared" si="12"/>
        <v/>
      </c>
      <c r="AK25" s="40"/>
      <c r="AL25" s="43" t="str">
        <f t="shared" si="13"/>
        <v/>
      </c>
      <c r="AM25" s="40"/>
      <c r="AN25" s="43" t="str">
        <f t="shared" si="14"/>
        <v/>
      </c>
      <c r="AO25" s="86"/>
      <c r="AP25" s="43" t="str">
        <f t="shared" si="15"/>
        <v/>
      </c>
      <c r="AQ25" s="40"/>
      <c r="AR25" s="43" t="str">
        <f t="shared" si="16"/>
        <v/>
      </c>
      <c r="AS25" s="40"/>
      <c r="AT25" s="43" t="str">
        <f t="shared" si="14"/>
        <v/>
      </c>
      <c r="AU25" s="40"/>
      <c r="AV25" s="43" t="str">
        <f t="shared" si="17"/>
        <v/>
      </c>
      <c r="AW25" s="40"/>
      <c r="AX25" s="43" t="str">
        <f t="shared" si="18"/>
        <v/>
      </c>
      <c r="AY25" s="40"/>
      <c r="AZ25" s="43" t="str">
        <f t="shared" si="19"/>
        <v/>
      </c>
      <c r="BA25" s="24" t="s">
        <v>376</v>
      </c>
    </row>
    <row r="26" spans="1:53" ht="20" customHeight="1" x14ac:dyDescent="0.2">
      <c r="A26" s="67"/>
      <c r="B26" s="25"/>
      <c r="D26" s="24" t="s">
        <v>295</v>
      </c>
      <c r="E26" s="24" t="s">
        <v>296</v>
      </c>
      <c r="F26" s="25">
        <v>2015</v>
      </c>
      <c r="H26" s="29"/>
      <c r="I26" s="28"/>
      <c r="J26" s="39"/>
      <c r="K26" s="40"/>
      <c r="L26" s="43" t="str">
        <f t="shared" si="0"/>
        <v/>
      </c>
      <c r="M26" s="40"/>
      <c r="N26" s="43" t="str">
        <f t="shared" si="1"/>
        <v/>
      </c>
      <c r="O26" s="40"/>
      <c r="P26" s="43" t="str">
        <f t="shared" si="2"/>
        <v/>
      </c>
      <c r="Q26" s="40"/>
      <c r="R26" s="43" t="str">
        <f t="shared" si="3"/>
        <v/>
      </c>
      <c r="S26" s="40"/>
      <c r="T26" s="43" t="str">
        <f t="shared" si="4"/>
        <v/>
      </c>
      <c r="U26" s="86"/>
      <c r="V26" s="43" t="str">
        <f t="shared" si="5"/>
        <v/>
      </c>
      <c r="W26" s="40"/>
      <c r="X26" s="43" t="str">
        <f t="shared" si="6"/>
        <v/>
      </c>
      <c r="Y26" s="40"/>
      <c r="Z26" s="43" t="str">
        <f t="shared" si="7"/>
        <v/>
      </c>
      <c r="AA26" s="40"/>
      <c r="AB26" s="43" t="str">
        <f t="shared" si="8"/>
        <v/>
      </c>
      <c r="AC26" s="40"/>
      <c r="AD26" s="43" t="str">
        <f t="shared" si="9"/>
        <v/>
      </c>
      <c r="AE26" s="40"/>
      <c r="AF26" s="43" t="str">
        <f t="shared" si="10"/>
        <v/>
      </c>
      <c r="AG26" s="40"/>
      <c r="AH26" s="43" t="str">
        <f t="shared" si="20"/>
        <v/>
      </c>
      <c r="AI26" s="40"/>
      <c r="AJ26" s="43" t="str">
        <f t="shared" si="12"/>
        <v/>
      </c>
      <c r="AK26" s="40"/>
      <c r="AL26" s="43" t="str">
        <f t="shared" si="13"/>
        <v/>
      </c>
      <c r="AM26" s="40"/>
      <c r="AN26" s="43" t="str">
        <f t="shared" si="14"/>
        <v/>
      </c>
      <c r="AO26" s="86"/>
      <c r="AP26" s="43" t="str">
        <f t="shared" si="15"/>
        <v/>
      </c>
      <c r="AQ26" s="40"/>
      <c r="AR26" s="43" t="str">
        <f t="shared" si="16"/>
        <v/>
      </c>
      <c r="AS26" s="40"/>
      <c r="AT26" s="43" t="str">
        <f t="shared" si="14"/>
        <v/>
      </c>
      <c r="AU26" s="40"/>
      <c r="AV26" s="43" t="str">
        <f t="shared" si="17"/>
        <v/>
      </c>
      <c r="AW26" s="40"/>
      <c r="AX26" s="43" t="str">
        <f t="shared" si="18"/>
        <v/>
      </c>
      <c r="AY26" s="40"/>
      <c r="AZ26" s="43" t="str">
        <f t="shared" si="19"/>
        <v/>
      </c>
    </row>
    <row r="27" spans="1:53" ht="20" customHeight="1" x14ac:dyDescent="0.2">
      <c r="A27" s="67"/>
      <c r="B27" s="96"/>
      <c r="C27" s="25" t="s">
        <v>86</v>
      </c>
      <c r="D27" s="24" t="s">
        <v>297</v>
      </c>
      <c r="E27" s="24" t="s">
        <v>298</v>
      </c>
      <c r="F27" s="25">
        <v>2012</v>
      </c>
      <c r="H27" s="29">
        <v>160</v>
      </c>
      <c r="I27" s="28" t="s">
        <v>238</v>
      </c>
      <c r="J27" s="39" t="s">
        <v>211</v>
      </c>
      <c r="K27" s="40"/>
      <c r="L27" s="43" t="str">
        <f t="shared" si="0"/>
        <v/>
      </c>
      <c r="M27" s="40"/>
      <c r="N27" s="43" t="str">
        <f t="shared" si="1"/>
        <v/>
      </c>
      <c r="O27" s="40"/>
      <c r="P27" s="43" t="str">
        <f t="shared" si="2"/>
        <v/>
      </c>
      <c r="Q27" s="40"/>
      <c r="R27" s="43" t="str">
        <f t="shared" si="3"/>
        <v/>
      </c>
      <c r="S27" s="40"/>
      <c r="T27" s="43" t="str">
        <f t="shared" si="4"/>
        <v/>
      </c>
      <c r="U27" s="86"/>
      <c r="V27" s="43" t="str">
        <f t="shared" si="5"/>
        <v/>
      </c>
      <c r="W27" s="40"/>
      <c r="X27" s="43" t="str">
        <f t="shared" si="6"/>
        <v/>
      </c>
      <c r="Y27" s="40"/>
      <c r="Z27" s="43" t="str">
        <f t="shared" si="7"/>
        <v/>
      </c>
      <c r="AA27" s="40"/>
      <c r="AB27" s="43" t="str">
        <f t="shared" si="8"/>
        <v/>
      </c>
      <c r="AC27" s="40"/>
      <c r="AD27" s="43" t="str">
        <f t="shared" si="9"/>
        <v/>
      </c>
      <c r="AE27" s="40"/>
      <c r="AF27" s="43" t="str">
        <f t="shared" si="10"/>
        <v/>
      </c>
      <c r="AG27" s="40"/>
      <c r="AH27" s="43" t="str">
        <f t="shared" si="20"/>
        <v/>
      </c>
      <c r="AI27" s="40"/>
      <c r="AJ27" s="43" t="str">
        <f t="shared" si="12"/>
        <v/>
      </c>
      <c r="AK27" s="40"/>
      <c r="AL27" s="43" t="str">
        <f t="shared" si="13"/>
        <v/>
      </c>
      <c r="AM27" s="40"/>
      <c r="AN27" s="43" t="str">
        <f t="shared" si="14"/>
        <v/>
      </c>
      <c r="AO27" s="86"/>
      <c r="AP27" s="43" t="str">
        <f t="shared" si="15"/>
        <v/>
      </c>
      <c r="AQ27" s="40"/>
      <c r="AR27" s="43" t="str">
        <f t="shared" si="16"/>
        <v/>
      </c>
      <c r="AS27" s="40"/>
      <c r="AT27" s="43" t="str">
        <f t="shared" si="14"/>
        <v/>
      </c>
      <c r="AU27" s="40"/>
      <c r="AV27" s="43" t="str">
        <f t="shared" si="17"/>
        <v/>
      </c>
      <c r="AW27" s="40"/>
      <c r="AX27" s="43" t="str">
        <f t="shared" si="18"/>
        <v/>
      </c>
      <c r="AY27" s="40"/>
      <c r="AZ27" s="43" t="str">
        <f t="shared" si="19"/>
        <v/>
      </c>
    </row>
    <row r="28" spans="1:53" ht="20" customHeight="1" x14ac:dyDescent="0.2">
      <c r="A28" s="67"/>
      <c r="B28" s="95"/>
      <c r="C28" s="25" t="s">
        <v>86</v>
      </c>
      <c r="D28" s="24" t="s">
        <v>299</v>
      </c>
      <c r="E28" s="24" t="s">
        <v>300</v>
      </c>
      <c r="F28" s="25">
        <v>2013</v>
      </c>
      <c r="H28" s="29">
        <v>12</v>
      </c>
      <c r="I28" s="28" t="s">
        <v>238</v>
      </c>
      <c r="J28" s="39" t="s">
        <v>377</v>
      </c>
      <c r="K28" s="40"/>
      <c r="L28" s="43" t="str">
        <f t="shared" si="0"/>
        <v/>
      </c>
      <c r="M28" s="40"/>
      <c r="N28" s="43" t="str">
        <f t="shared" si="1"/>
        <v/>
      </c>
      <c r="O28" s="45"/>
      <c r="P28" s="46" t="str">
        <f t="shared" si="2"/>
        <v/>
      </c>
      <c r="Q28" s="40"/>
      <c r="R28" s="43" t="str">
        <f t="shared" si="3"/>
        <v/>
      </c>
      <c r="S28" s="40"/>
      <c r="T28" s="43" t="str">
        <f t="shared" si="4"/>
        <v/>
      </c>
      <c r="U28" s="47"/>
      <c r="V28" s="46" t="str">
        <f t="shared" si="5"/>
        <v/>
      </c>
      <c r="W28" s="40"/>
      <c r="X28" s="43" t="str">
        <f t="shared" si="6"/>
        <v/>
      </c>
      <c r="Y28" s="40"/>
      <c r="Z28" s="43" t="str">
        <f t="shared" si="7"/>
        <v/>
      </c>
      <c r="AA28" s="40"/>
      <c r="AB28" s="43" t="str">
        <f t="shared" si="8"/>
        <v/>
      </c>
      <c r="AC28" s="40"/>
      <c r="AD28" s="43" t="str">
        <f t="shared" si="9"/>
        <v/>
      </c>
      <c r="AE28" s="40"/>
      <c r="AF28" s="43" t="str">
        <f t="shared" si="10"/>
        <v/>
      </c>
      <c r="AG28" s="40"/>
      <c r="AH28" s="43" t="str">
        <f t="shared" si="20"/>
        <v/>
      </c>
      <c r="AI28" s="40"/>
      <c r="AJ28" s="43" t="str">
        <f t="shared" si="12"/>
        <v/>
      </c>
      <c r="AK28" s="40"/>
      <c r="AL28" s="43" t="str">
        <f t="shared" si="13"/>
        <v/>
      </c>
      <c r="AM28" s="40"/>
      <c r="AN28" s="43" t="str">
        <f t="shared" si="14"/>
        <v/>
      </c>
      <c r="AO28" s="86"/>
      <c r="AP28" s="43" t="str">
        <f t="shared" si="15"/>
        <v/>
      </c>
      <c r="AQ28" s="40"/>
      <c r="AR28" s="43" t="str">
        <f t="shared" si="16"/>
        <v/>
      </c>
      <c r="AS28" s="40"/>
      <c r="AT28" s="43" t="str">
        <f t="shared" si="14"/>
        <v/>
      </c>
      <c r="AU28" s="40"/>
      <c r="AV28" s="43" t="str">
        <f t="shared" si="17"/>
        <v/>
      </c>
      <c r="AW28" s="40"/>
      <c r="AX28" s="43" t="str">
        <f t="shared" si="18"/>
        <v/>
      </c>
      <c r="AY28" s="40"/>
      <c r="AZ28" s="43" t="str">
        <f t="shared" si="19"/>
        <v/>
      </c>
      <c r="BA28" s="24" t="s">
        <v>378</v>
      </c>
    </row>
    <row r="29" spans="1:53" ht="20" customHeight="1" x14ac:dyDescent="0.2">
      <c r="A29" s="68"/>
      <c r="B29" s="97"/>
      <c r="C29" s="25" t="s">
        <v>86</v>
      </c>
      <c r="D29" s="24" t="s">
        <v>45</v>
      </c>
      <c r="E29" s="24" t="s">
        <v>46</v>
      </c>
      <c r="F29" s="25">
        <v>1998</v>
      </c>
      <c r="G29" s="25">
        <v>96</v>
      </c>
      <c r="H29" s="29">
        <v>61</v>
      </c>
      <c r="I29" s="28" t="s">
        <v>189</v>
      </c>
      <c r="J29" s="39" t="s">
        <v>208</v>
      </c>
      <c r="K29" s="40"/>
      <c r="L29" s="43" t="str">
        <f t="shared" si="0"/>
        <v/>
      </c>
      <c r="M29" s="40"/>
      <c r="N29" s="43" t="str">
        <f t="shared" si="1"/>
        <v/>
      </c>
      <c r="O29" s="40"/>
      <c r="P29" s="43" t="str">
        <f t="shared" si="2"/>
        <v/>
      </c>
      <c r="Q29" s="40"/>
      <c r="R29" s="43" t="str">
        <f t="shared" si="3"/>
        <v/>
      </c>
      <c r="S29" s="40"/>
      <c r="T29" s="43" t="str">
        <f t="shared" si="4"/>
        <v/>
      </c>
      <c r="U29" s="86"/>
      <c r="V29" s="43" t="str">
        <f t="shared" si="5"/>
        <v/>
      </c>
      <c r="W29" s="40"/>
      <c r="X29" s="43" t="str">
        <f t="shared" si="6"/>
        <v/>
      </c>
      <c r="Y29" s="40"/>
      <c r="Z29" s="43" t="str">
        <f t="shared" si="7"/>
        <v/>
      </c>
      <c r="AA29" s="40"/>
      <c r="AB29" s="43" t="str">
        <f t="shared" si="8"/>
        <v/>
      </c>
      <c r="AC29" s="40"/>
      <c r="AD29" s="43" t="str">
        <f t="shared" si="9"/>
        <v/>
      </c>
      <c r="AE29" s="40"/>
      <c r="AF29" s="43" t="str">
        <f t="shared" si="10"/>
        <v/>
      </c>
      <c r="AG29" s="40"/>
      <c r="AH29" s="43" t="str">
        <f t="shared" si="20"/>
        <v/>
      </c>
      <c r="AI29" s="40"/>
      <c r="AJ29" s="43" t="str">
        <f t="shared" si="12"/>
        <v/>
      </c>
      <c r="AK29" s="40"/>
      <c r="AL29" s="43" t="str">
        <f t="shared" si="13"/>
        <v/>
      </c>
      <c r="AM29" s="40"/>
      <c r="AN29" s="43" t="str">
        <f t="shared" si="14"/>
        <v/>
      </c>
      <c r="AO29" s="86"/>
      <c r="AP29" s="43" t="str">
        <f t="shared" si="15"/>
        <v/>
      </c>
      <c r="AQ29" s="40"/>
      <c r="AR29" s="43" t="str">
        <f t="shared" si="16"/>
        <v/>
      </c>
      <c r="AS29" s="40"/>
      <c r="AT29" s="43" t="str">
        <f t="shared" si="14"/>
        <v/>
      </c>
      <c r="AU29" s="40"/>
      <c r="AV29" s="43" t="str">
        <f t="shared" si="17"/>
        <v/>
      </c>
      <c r="AW29" s="40"/>
      <c r="AX29" s="43" t="str">
        <f t="shared" si="18"/>
        <v/>
      </c>
      <c r="AY29" s="40"/>
      <c r="AZ29" s="43" t="str">
        <f t="shared" si="19"/>
        <v/>
      </c>
      <c r="BA29" s="24" t="s">
        <v>190</v>
      </c>
    </row>
    <row r="30" spans="1:53" ht="20" customHeight="1" x14ac:dyDescent="0.2">
      <c r="A30" s="67"/>
      <c r="B30" s="95"/>
      <c r="C30" s="25" t="s">
        <v>86</v>
      </c>
      <c r="D30" s="24" t="s">
        <v>301</v>
      </c>
      <c r="E30" s="24" t="s">
        <v>302</v>
      </c>
      <c r="F30" s="25">
        <v>2000</v>
      </c>
      <c r="H30" s="29">
        <v>9</v>
      </c>
      <c r="I30" s="28" t="s">
        <v>246</v>
      </c>
      <c r="J30" s="39" t="s">
        <v>176</v>
      </c>
      <c r="K30" s="40"/>
      <c r="L30" s="43" t="str">
        <f t="shared" si="0"/>
        <v/>
      </c>
      <c r="M30" s="40"/>
      <c r="N30" s="43" t="str">
        <f t="shared" si="1"/>
        <v/>
      </c>
      <c r="O30" s="40">
        <v>1</v>
      </c>
      <c r="P30" s="43">
        <f t="shared" si="2"/>
        <v>11.111111111111111</v>
      </c>
      <c r="Q30" s="40">
        <v>1</v>
      </c>
      <c r="R30" s="43">
        <f t="shared" si="3"/>
        <v>11.111111111111111</v>
      </c>
      <c r="S30" s="40"/>
      <c r="T30" s="43" t="str">
        <f t="shared" si="4"/>
        <v/>
      </c>
      <c r="U30" s="86">
        <v>1</v>
      </c>
      <c r="V30" s="43">
        <f t="shared" si="5"/>
        <v>11.111111111111111</v>
      </c>
      <c r="W30" s="40"/>
      <c r="X30" s="43" t="str">
        <f t="shared" si="6"/>
        <v/>
      </c>
      <c r="Y30" s="40"/>
      <c r="Z30" s="43" t="str">
        <f t="shared" si="7"/>
        <v/>
      </c>
      <c r="AA30" s="40"/>
      <c r="AB30" s="43" t="str">
        <f t="shared" si="8"/>
        <v/>
      </c>
      <c r="AC30" s="40"/>
      <c r="AD30" s="43" t="str">
        <f t="shared" si="9"/>
        <v/>
      </c>
      <c r="AE30" s="40"/>
      <c r="AF30" s="43" t="str">
        <f t="shared" si="10"/>
        <v/>
      </c>
      <c r="AG30" s="40"/>
      <c r="AH30" s="43" t="str">
        <f t="shared" si="20"/>
        <v/>
      </c>
      <c r="AI30" s="40"/>
      <c r="AJ30" s="43" t="str">
        <f t="shared" si="12"/>
        <v/>
      </c>
      <c r="AK30" s="40"/>
      <c r="AL30" s="43" t="str">
        <f t="shared" si="13"/>
        <v/>
      </c>
      <c r="AM30" s="40"/>
      <c r="AN30" s="43" t="str">
        <f t="shared" si="14"/>
        <v/>
      </c>
      <c r="AO30" s="86"/>
      <c r="AP30" s="43" t="str">
        <f t="shared" si="15"/>
        <v/>
      </c>
      <c r="AQ30" s="40"/>
      <c r="AR30" s="43" t="str">
        <f t="shared" si="16"/>
        <v/>
      </c>
      <c r="AS30" s="40"/>
      <c r="AT30" s="43" t="str">
        <f t="shared" si="14"/>
        <v/>
      </c>
      <c r="AU30" s="40"/>
      <c r="AV30" s="43" t="str">
        <f t="shared" si="17"/>
        <v/>
      </c>
      <c r="AW30" s="40"/>
      <c r="AX30" s="43" t="str">
        <f t="shared" si="18"/>
        <v/>
      </c>
      <c r="AY30" s="40"/>
      <c r="AZ30" s="43" t="str">
        <f t="shared" si="19"/>
        <v/>
      </c>
      <c r="BA30" s="24" t="s">
        <v>379</v>
      </c>
    </row>
    <row r="31" spans="1:53" ht="20" customHeight="1" x14ac:dyDescent="0.2">
      <c r="A31" s="67"/>
      <c r="B31" s="96"/>
      <c r="C31" s="25" t="s">
        <v>86</v>
      </c>
      <c r="D31" s="24" t="s">
        <v>303</v>
      </c>
      <c r="E31" s="24" t="s">
        <v>304</v>
      </c>
      <c r="F31" s="25">
        <v>2003</v>
      </c>
      <c r="H31" s="29">
        <v>10</v>
      </c>
      <c r="I31" s="28" t="s">
        <v>203</v>
      </c>
      <c r="J31" s="39" t="s">
        <v>210</v>
      </c>
      <c r="K31" s="40"/>
      <c r="L31" s="43" t="str">
        <f t="shared" si="0"/>
        <v/>
      </c>
      <c r="M31" s="40"/>
      <c r="N31" s="43" t="str">
        <f t="shared" si="1"/>
        <v/>
      </c>
      <c r="O31" s="40"/>
      <c r="P31" s="43" t="str">
        <f t="shared" si="2"/>
        <v/>
      </c>
      <c r="Q31" s="40"/>
      <c r="R31" s="43" t="str">
        <f t="shared" si="3"/>
        <v/>
      </c>
      <c r="S31" s="40"/>
      <c r="T31" s="43" t="str">
        <f t="shared" si="4"/>
        <v/>
      </c>
      <c r="U31" s="86"/>
      <c r="V31" s="43" t="str">
        <f t="shared" si="5"/>
        <v/>
      </c>
      <c r="W31" s="40"/>
      <c r="X31" s="43" t="str">
        <f t="shared" si="6"/>
        <v/>
      </c>
      <c r="Y31" s="40"/>
      <c r="Z31" s="43" t="str">
        <f t="shared" si="7"/>
        <v/>
      </c>
      <c r="AA31" s="40"/>
      <c r="AB31" s="43" t="str">
        <f t="shared" si="8"/>
        <v/>
      </c>
      <c r="AC31" s="40"/>
      <c r="AD31" s="43" t="str">
        <f t="shared" si="9"/>
        <v/>
      </c>
      <c r="AE31" s="40"/>
      <c r="AF31" s="43" t="str">
        <f t="shared" si="10"/>
        <v/>
      </c>
      <c r="AG31" s="40"/>
      <c r="AH31" s="43" t="str">
        <f t="shared" si="20"/>
        <v/>
      </c>
      <c r="AI31" s="40"/>
      <c r="AJ31" s="43" t="str">
        <f t="shared" si="12"/>
        <v/>
      </c>
      <c r="AK31" s="40"/>
      <c r="AL31" s="43" t="str">
        <f t="shared" si="13"/>
        <v/>
      </c>
      <c r="AM31" s="40"/>
      <c r="AN31" s="43" t="str">
        <f t="shared" si="14"/>
        <v/>
      </c>
      <c r="AO31" s="86"/>
      <c r="AP31" s="43" t="str">
        <f t="shared" si="15"/>
        <v/>
      </c>
      <c r="AQ31" s="40"/>
      <c r="AR31" s="43" t="str">
        <f t="shared" si="16"/>
        <v/>
      </c>
      <c r="AS31" s="40"/>
      <c r="AT31" s="43" t="str">
        <f t="shared" si="14"/>
        <v/>
      </c>
      <c r="AU31" s="40"/>
      <c r="AV31" s="43" t="str">
        <f t="shared" si="17"/>
        <v/>
      </c>
      <c r="AW31" s="40"/>
      <c r="AX31" s="43" t="str">
        <f t="shared" si="18"/>
        <v/>
      </c>
      <c r="AY31" s="40"/>
      <c r="AZ31" s="43" t="str">
        <f t="shared" si="19"/>
        <v/>
      </c>
      <c r="BA31" s="24" t="s">
        <v>220</v>
      </c>
    </row>
    <row r="32" spans="1:53" ht="20" customHeight="1" x14ac:dyDescent="0.2">
      <c r="A32" s="68"/>
      <c r="B32" s="25"/>
      <c r="C32" s="57" t="s">
        <v>49</v>
      </c>
      <c r="D32" s="56" t="s">
        <v>47</v>
      </c>
      <c r="E32" s="56" t="s">
        <v>48</v>
      </c>
      <c r="F32" s="57">
        <v>1997</v>
      </c>
      <c r="G32" s="57">
        <v>91</v>
      </c>
      <c r="H32" s="29"/>
      <c r="I32" s="28"/>
      <c r="J32" s="39"/>
      <c r="K32" s="40"/>
      <c r="L32" s="43" t="str">
        <f t="shared" si="0"/>
        <v/>
      </c>
      <c r="M32" s="40"/>
      <c r="N32" s="43" t="str">
        <f t="shared" si="1"/>
        <v/>
      </c>
      <c r="O32" s="40"/>
      <c r="P32" s="43" t="str">
        <f t="shared" si="2"/>
        <v/>
      </c>
      <c r="Q32" s="40"/>
      <c r="R32" s="43" t="str">
        <f t="shared" si="3"/>
        <v/>
      </c>
      <c r="S32" s="40"/>
      <c r="T32" s="43" t="str">
        <f t="shared" si="4"/>
        <v/>
      </c>
      <c r="U32" s="86"/>
      <c r="V32" s="43" t="str">
        <f t="shared" si="5"/>
        <v/>
      </c>
      <c r="W32" s="40"/>
      <c r="X32" s="43" t="str">
        <f t="shared" si="6"/>
        <v/>
      </c>
      <c r="Y32" s="40"/>
      <c r="Z32" s="43" t="str">
        <f t="shared" si="7"/>
        <v/>
      </c>
      <c r="AA32" s="40"/>
      <c r="AB32" s="43" t="str">
        <f t="shared" si="8"/>
        <v/>
      </c>
      <c r="AC32" s="40"/>
      <c r="AD32" s="43" t="str">
        <f t="shared" si="9"/>
        <v/>
      </c>
      <c r="AE32" s="40"/>
      <c r="AF32" s="43" t="str">
        <f t="shared" si="10"/>
        <v/>
      </c>
      <c r="AG32" s="40"/>
      <c r="AH32" s="43" t="str">
        <f t="shared" si="20"/>
        <v/>
      </c>
      <c r="AI32" s="40"/>
      <c r="AJ32" s="43" t="str">
        <f t="shared" si="12"/>
        <v/>
      </c>
      <c r="AK32" s="40"/>
      <c r="AL32" s="43" t="str">
        <f t="shared" si="13"/>
        <v/>
      </c>
      <c r="AM32" s="40"/>
      <c r="AN32" s="43" t="str">
        <f t="shared" si="14"/>
        <v/>
      </c>
      <c r="AO32" s="86"/>
      <c r="AP32" s="43" t="str">
        <f t="shared" si="15"/>
        <v/>
      </c>
      <c r="AQ32" s="40"/>
      <c r="AR32" s="43" t="str">
        <f t="shared" si="16"/>
        <v/>
      </c>
      <c r="AS32" s="40"/>
      <c r="AT32" s="43" t="str">
        <f t="shared" si="14"/>
        <v/>
      </c>
      <c r="AU32" s="40"/>
      <c r="AV32" s="43" t="str">
        <f t="shared" si="17"/>
        <v/>
      </c>
      <c r="AW32" s="40"/>
      <c r="AX32" s="43" t="str">
        <f t="shared" si="18"/>
        <v/>
      </c>
      <c r="AY32" s="40"/>
      <c r="AZ32" s="43" t="str">
        <f t="shared" si="19"/>
        <v/>
      </c>
    </row>
    <row r="33" spans="1:53" ht="20" customHeight="1" x14ac:dyDescent="0.2">
      <c r="A33" s="67"/>
      <c r="B33" s="25"/>
      <c r="C33" s="57" t="s">
        <v>30</v>
      </c>
      <c r="D33" s="56" t="s">
        <v>50</v>
      </c>
      <c r="E33" s="56" t="s">
        <v>51</v>
      </c>
      <c r="F33" s="57">
        <v>1993</v>
      </c>
      <c r="G33" s="57">
        <v>306</v>
      </c>
      <c r="H33" s="29"/>
      <c r="I33" s="28"/>
      <c r="J33" s="39"/>
      <c r="K33" s="40"/>
      <c r="L33" s="43" t="str">
        <f t="shared" si="0"/>
        <v/>
      </c>
      <c r="M33" s="40"/>
      <c r="N33" s="43" t="str">
        <f t="shared" si="1"/>
        <v/>
      </c>
      <c r="O33" s="40"/>
      <c r="P33" s="43" t="str">
        <f t="shared" si="2"/>
        <v/>
      </c>
      <c r="Q33" s="40"/>
      <c r="R33" s="43" t="str">
        <f t="shared" si="3"/>
        <v/>
      </c>
      <c r="S33" s="40"/>
      <c r="T33" s="43" t="str">
        <f t="shared" si="4"/>
        <v/>
      </c>
      <c r="U33" s="86"/>
      <c r="V33" s="43" t="str">
        <f t="shared" si="5"/>
        <v/>
      </c>
      <c r="W33" s="40"/>
      <c r="X33" s="43" t="str">
        <f t="shared" si="6"/>
        <v/>
      </c>
      <c r="Y33" s="40"/>
      <c r="Z33" s="43" t="str">
        <f t="shared" si="7"/>
        <v/>
      </c>
      <c r="AA33" s="40"/>
      <c r="AB33" s="43" t="str">
        <f t="shared" si="8"/>
        <v/>
      </c>
      <c r="AC33" s="40"/>
      <c r="AD33" s="43" t="str">
        <f t="shared" si="9"/>
        <v/>
      </c>
      <c r="AE33" s="40"/>
      <c r="AF33" s="43" t="str">
        <f t="shared" si="10"/>
        <v/>
      </c>
      <c r="AG33" s="40"/>
      <c r="AH33" s="43" t="str">
        <f t="shared" si="20"/>
        <v/>
      </c>
      <c r="AI33" s="40"/>
      <c r="AJ33" s="43" t="str">
        <f t="shared" si="12"/>
        <v/>
      </c>
      <c r="AK33" s="40"/>
      <c r="AL33" s="43" t="str">
        <f t="shared" si="13"/>
        <v/>
      </c>
      <c r="AM33" s="40"/>
      <c r="AN33" s="43" t="str">
        <f t="shared" si="14"/>
        <v/>
      </c>
      <c r="AO33" s="86"/>
      <c r="AP33" s="43" t="str">
        <f t="shared" si="15"/>
        <v/>
      </c>
      <c r="AQ33" s="40"/>
      <c r="AR33" s="43" t="str">
        <f t="shared" si="16"/>
        <v/>
      </c>
      <c r="AS33" s="40"/>
      <c r="AT33" s="43" t="str">
        <f t="shared" si="14"/>
        <v/>
      </c>
      <c r="AU33" s="40"/>
      <c r="AV33" s="43" t="str">
        <f t="shared" si="17"/>
        <v/>
      </c>
      <c r="AW33" s="40"/>
      <c r="AX33" s="43" t="str">
        <f t="shared" si="18"/>
        <v/>
      </c>
      <c r="AY33" s="40"/>
      <c r="AZ33" s="43" t="str">
        <f t="shared" si="19"/>
        <v/>
      </c>
    </row>
    <row r="34" spans="1:53" ht="20" customHeight="1" x14ac:dyDescent="0.2">
      <c r="A34" s="68"/>
      <c r="B34" s="96"/>
      <c r="C34" s="25" t="s">
        <v>86</v>
      </c>
      <c r="D34" s="24" t="s">
        <v>52</v>
      </c>
      <c r="E34" s="24" t="s">
        <v>53</v>
      </c>
      <c r="F34" s="25">
        <v>2001</v>
      </c>
      <c r="G34" s="25">
        <v>118</v>
      </c>
      <c r="H34" s="29">
        <v>20</v>
      </c>
      <c r="I34" s="28"/>
      <c r="J34" s="39" t="s">
        <v>208</v>
      </c>
      <c r="K34" s="40"/>
      <c r="L34" s="43" t="str">
        <f t="shared" si="0"/>
        <v/>
      </c>
      <c r="M34" s="40"/>
      <c r="N34" s="43" t="str">
        <f t="shared" si="1"/>
        <v/>
      </c>
      <c r="O34" s="40"/>
      <c r="P34" s="43" t="str">
        <f t="shared" si="2"/>
        <v/>
      </c>
      <c r="Q34" s="40"/>
      <c r="R34" s="43" t="str">
        <f t="shared" si="3"/>
        <v/>
      </c>
      <c r="S34" s="40"/>
      <c r="T34" s="43" t="str">
        <f t="shared" si="4"/>
        <v/>
      </c>
      <c r="U34" s="86"/>
      <c r="V34" s="43" t="str">
        <f t="shared" si="5"/>
        <v/>
      </c>
      <c r="W34" s="40"/>
      <c r="X34" s="43" t="str">
        <f t="shared" si="6"/>
        <v/>
      </c>
      <c r="Y34" s="40"/>
      <c r="Z34" s="43" t="str">
        <f t="shared" si="7"/>
        <v/>
      </c>
      <c r="AA34" s="40"/>
      <c r="AB34" s="43" t="str">
        <f t="shared" si="8"/>
        <v/>
      </c>
      <c r="AC34" s="40"/>
      <c r="AD34" s="43" t="str">
        <f t="shared" si="9"/>
        <v/>
      </c>
      <c r="AE34" s="40"/>
      <c r="AF34" s="43" t="str">
        <f t="shared" si="10"/>
        <v/>
      </c>
      <c r="AG34" s="40"/>
      <c r="AH34" s="43" t="str">
        <f t="shared" si="20"/>
        <v/>
      </c>
      <c r="AI34" s="40"/>
      <c r="AJ34" s="43" t="str">
        <f t="shared" si="12"/>
        <v/>
      </c>
      <c r="AK34" s="40"/>
      <c r="AL34" s="43" t="str">
        <f t="shared" si="13"/>
        <v/>
      </c>
      <c r="AM34" s="40"/>
      <c r="AN34" s="43" t="str">
        <f t="shared" si="14"/>
        <v/>
      </c>
      <c r="AO34" s="86"/>
      <c r="AP34" s="43" t="str">
        <f t="shared" si="15"/>
        <v/>
      </c>
      <c r="AQ34" s="40"/>
      <c r="AR34" s="43" t="str">
        <f t="shared" si="16"/>
        <v/>
      </c>
      <c r="AS34" s="40"/>
      <c r="AT34" s="43" t="str">
        <f t="shared" si="14"/>
        <v/>
      </c>
      <c r="AU34" s="40"/>
      <c r="AV34" s="43" t="str">
        <f t="shared" si="17"/>
        <v/>
      </c>
      <c r="AW34" s="40"/>
      <c r="AX34" s="43" t="str">
        <f t="shared" si="18"/>
        <v/>
      </c>
      <c r="AY34" s="40"/>
      <c r="AZ34" s="43" t="str">
        <f t="shared" si="19"/>
        <v/>
      </c>
      <c r="BA34" s="24" t="s">
        <v>195</v>
      </c>
    </row>
    <row r="35" spans="1:53" ht="20" customHeight="1" x14ac:dyDescent="0.2">
      <c r="A35" s="67"/>
      <c r="B35" s="95"/>
      <c r="C35" s="25" t="s">
        <v>86</v>
      </c>
      <c r="D35" s="24" t="s">
        <v>305</v>
      </c>
      <c r="E35" s="24" t="s">
        <v>306</v>
      </c>
      <c r="F35" s="25">
        <v>1994</v>
      </c>
      <c r="H35" s="29">
        <v>20</v>
      </c>
      <c r="I35" s="28" t="s">
        <v>380</v>
      </c>
      <c r="J35" s="39"/>
      <c r="K35" s="45"/>
      <c r="L35" s="46" t="str">
        <f t="shared" si="0"/>
        <v/>
      </c>
      <c r="M35" s="40"/>
      <c r="N35" s="43" t="str">
        <f t="shared" si="1"/>
        <v/>
      </c>
      <c r="O35" s="45"/>
      <c r="P35" s="46" t="str">
        <f t="shared" si="2"/>
        <v/>
      </c>
      <c r="Q35" s="40"/>
      <c r="R35" s="43" t="str">
        <f t="shared" si="3"/>
        <v/>
      </c>
      <c r="S35" s="40"/>
      <c r="T35" s="43" t="str">
        <f t="shared" si="4"/>
        <v/>
      </c>
      <c r="U35" s="47"/>
      <c r="V35" s="46" t="str">
        <f t="shared" si="5"/>
        <v/>
      </c>
      <c r="W35" s="40"/>
      <c r="X35" s="43" t="str">
        <f t="shared" si="6"/>
        <v/>
      </c>
      <c r="Y35" s="40"/>
      <c r="Z35" s="43" t="str">
        <f t="shared" si="7"/>
        <v/>
      </c>
      <c r="AA35" s="40"/>
      <c r="AB35" s="43" t="str">
        <f t="shared" si="8"/>
        <v/>
      </c>
      <c r="AC35" s="40"/>
      <c r="AD35" s="43" t="str">
        <f t="shared" si="9"/>
        <v/>
      </c>
      <c r="AE35" s="40"/>
      <c r="AF35" s="43" t="str">
        <f t="shared" si="10"/>
        <v/>
      </c>
      <c r="AG35" s="40"/>
      <c r="AH35" s="43" t="str">
        <f t="shared" si="20"/>
        <v/>
      </c>
      <c r="AI35" s="40"/>
      <c r="AJ35" s="43" t="str">
        <f t="shared" si="12"/>
        <v/>
      </c>
      <c r="AK35" s="40"/>
      <c r="AL35" s="43" t="str">
        <f t="shared" si="13"/>
        <v/>
      </c>
      <c r="AM35" s="40"/>
      <c r="AN35" s="43" t="str">
        <f t="shared" si="14"/>
        <v/>
      </c>
      <c r="AO35" s="86"/>
      <c r="AP35" s="43" t="str">
        <f t="shared" si="15"/>
        <v/>
      </c>
      <c r="AQ35" s="40"/>
      <c r="AR35" s="43" t="str">
        <f t="shared" si="16"/>
        <v/>
      </c>
      <c r="AS35" s="40"/>
      <c r="AT35" s="43" t="str">
        <f t="shared" si="14"/>
        <v/>
      </c>
      <c r="AU35" s="40"/>
      <c r="AV35" s="43" t="str">
        <f t="shared" si="17"/>
        <v/>
      </c>
      <c r="AW35" s="40"/>
      <c r="AX35" s="43" t="str">
        <f t="shared" si="18"/>
        <v/>
      </c>
      <c r="AY35" s="40"/>
      <c r="AZ35" s="43" t="str">
        <f t="shared" si="19"/>
        <v/>
      </c>
      <c r="BA35" s="24" t="s">
        <v>381</v>
      </c>
    </row>
    <row r="36" spans="1:53" ht="20" customHeight="1" x14ac:dyDescent="0.2">
      <c r="A36" s="67"/>
      <c r="B36" s="96"/>
      <c r="C36" s="25" t="s">
        <v>86</v>
      </c>
      <c r="D36" s="24" t="s">
        <v>382</v>
      </c>
      <c r="E36" s="24" t="s">
        <v>383</v>
      </c>
      <c r="F36" s="25">
        <v>2008</v>
      </c>
      <c r="H36" s="29">
        <v>50</v>
      </c>
      <c r="I36" s="28" t="s">
        <v>189</v>
      </c>
      <c r="J36" s="39" t="s">
        <v>384</v>
      </c>
      <c r="K36" s="40"/>
      <c r="L36" s="43" t="str">
        <f t="shared" si="0"/>
        <v/>
      </c>
      <c r="M36" s="40"/>
      <c r="N36" s="43" t="str">
        <f t="shared" si="1"/>
        <v/>
      </c>
      <c r="O36" s="40"/>
      <c r="P36" s="43" t="str">
        <f t="shared" si="2"/>
        <v/>
      </c>
      <c r="Q36" s="40"/>
      <c r="R36" s="43" t="str">
        <f t="shared" si="3"/>
        <v/>
      </c>
      <c r="S36" s="40"/>
      <c r="T36" s="43" t="str">
        <f t="shared" si="4"/>
        <v/>
      </c>
      <c r="U36" s="86"/>
      <c r="V36" s="43" t="str">
        <f t="shared" si="5"/>
        <v/>
      </c>
      <c r="W36" s="40"/>
      <c r="X36" s="43" t="str">
        <f t="shared" si="6"/>
        <v/>
      </c>
      <c r="Y36" s="40"/>
      <c r="Z36" s="43" t="str">
        <f t="shared" si="7"/>
        <v/>
      </c>
      <c r="AA36" s="40"/>
      <c r="AB36" s="43" t="str">
        <f t="shared" si="8"/>
        <v/>
      </c>
      <c r="AC36" s="40"/>
      <c r="AD36" s="43" t="str">
        <f t="shared" si="9"/>
        <v/>
      </c>
      <c r="AE36" s="40"/>
      <c r="AF36" s="43" t="str">
        <f t="shared" si="10"/>
        <v/>
      </c>
      <c r="AG36" s="40"/>
      <c r="AH36" s="43" t="str">
        <f t="shared" si="20"/>
        <v/>
      </c>
      <c r="AI36" s="40"/>
      <c r="AJ36" s="43" t="str">
        <f t="shared" si="12"/>
        <v/>
      </c>
      <c r="AK36" s="40"/>
      <c r="AL36" s="43" t="str">
        <f t="shared" si="13"/>
        <v/>
      </c>
      <c r="AM36" s="40"/>
      <c r="AN36" s="43" t="str">
        <f t="shared" si="14"/>
        <v/>
      </c>
      <c r="AO36" s="86"/>
      <c r="AP36" s="43" t="str">
        <f t="shared" si="15"/>
        <v/>
      </c>
      <c r="AQ36" s="40"/>
      <c r="AR36" s="43" t="str">
        <f t="shared" si="16"/>
        <v/>
      </c>
      <c r="AS36" s="40"/>
      <c r="AT36" s="43" t="str">
        <f t="shared" si="14"/>
        <v/>
      </c>
      <c r="AU36" s="40"/>
      <c r="AV36" s="43" t="str">
        <f t="shared" si="17"/>
        <v/>
      </c>
      <c r="AW36" s="40"/>
      <c r="AX36" s="43" t="str">
        <f t="shared" si="18"/>
        <v/>
      </c>
      <c r="AY36" s="40"/>
      <c r="AZ36" s="43" t="str">
        <f t="shared" si="19"/>
        <v/>
      </c>
      <c r="BA36" s="24" t="s">
        <v>196</v>
      </c>
    </row>
    <row r="37" spans="1:53" ht="20" customHeight="1" x14ac:dyDescent="0.2">
      <c r="A37" s="67"/>
      <c r="B37" s="95"/>
      <c r="C37" s="25" t="s">
        <v>86</v>
      </c>
      <c r="D37" s="24" t="s">
        <v>54</v>
      </c>
      <c r="E37" s="24" t="s">
        <v>55</v>
      </c>
      <c r="F37" s="25">
        <v>1996</v>
      </c>
      <c r="G37" s="25">
        <v>82</v>
      </c>
      <c r="H37" s="29">
        <v>15</v>
      </c>
      <c r="I37" s="28" t="s">
        <v>189</v>
      </c>
      <c r="J37" s="39" t="s">
        <v>191</v>
      </c>
      <c r="K37" s="40"/>
      <c r="L37" s="43" t="str">
        <f t="shared" si="0"/>
        <v/>
      </c>
      <c r="M37" s="40">
        <v>1</v>
      </c>
      <c r="N37" s="43">
        <f t="shared" si="1"/>
        <v>6.666666666666667</v>
      </c>
      <c r="O37" s="40"/>
      <c r="P37" s="43" t="str">
        <f t="shared" si="2"/>
        <v/>
      </c>
      <c r="Q37" s="40"/>
      <c r="R37" s="43" t="str">
        <f t="shared" si="3"/>
        <v/>
      </c>
      <c r="S37" s="40"/>
      <c r="T37" s="43" t="str">
        <f t="shared" si="4"/>
        <v/>
      </c>
      <c r="U37" s="86">
        <v>1</v>
      </c>
      <c r="V37" s="43">
        <f t="shared" si="5"/>
        <v>6.666666666666667</v>
      </c>
      <c r="W37" s="40"/>
      <c r="X37" s="43" t="str">
        <f t="shared" si="6"/>
        <v/>
      </c>
      <c r="Y37" s="40"/>
      <c r="Z37" s="43" t="str">
        <f t="shared" si="7"/>
        <v/>
      </c>
      <c r="AA37" s="40"/>
      <c r="AB37" s="43" t="str">
        <f t="shared" si="8"/>
        <v/>
      </c>
      <c r="AC37" s="40"/>
      <c r="AD37" s="43" t="str">
        <f t="shared" si="9"/>
        <v/>
      </c>
      <c r="AE37" s="40"/>
      <c r="AF37" s="43" t="str">
        <f t="shared" si="10"/>
        <v/>
      </c>
      <c r="AG37" s="40">
        <v>3</v>
      </c>
      <c r="AH37" s="43">
        <f t="shared" si="20"/>
        <v>20</v>
      </c>
      <c r="AI37" s="40"/>
      <c r="AJ37" s="43" t="str">
        <f t="shared" si="12"/>
        <v/>
      </c>
      <c r="AK37" s="40"/>
      <c r="AL37" s="43" t="str">
        <f t="shared" si="13"/>
        <v/>
      </c>
      <c r="AM37" s="40"/>
      <c r="AN37" s="43" t="str">
        <f t="shared" si="14"/>
        <v/>
      </c>
      <c r="AO37" s="86"/>
      <c r="AP37" s="43" t="str">
        <f t="shared" si="15"/>
        <v/>
      </c>
      <c r="AQ37" s="40">
        <v>1</v>
      </c>
      <c r="AR37" s="43">
        <f t="shared" si="16"/>
        <v>6.666666666666667</v>
      </c>
      <c r="AS37" s="40"/>
      <c r="AT37" s="43" t="str">
        <f t="shared" si="14"/>
        <v/>
      </c>
      <c r="AU37" s="40"/>
      <c r="AV37" s="43" t="str">
        <f t="shared" si="17"/>
        <v/>
      </c>
      <c r="AW37" s="40"/>
      <c r="AX37" s="43" t="str">
        <f t="shared" si="18"/>
        <v/>
      </c>
      <c r="AY37" s="40"/>
      <c r="AZ37" s="43" t="str">
        <f t="shared" si="19"/>
        <v/>
      </c>
      <c r="BA37" s="24" t="s">
        <v>385</v>
      </c>
    </row>
    <row r="38" spans="1:53" ht="20" customHeight="1" x14ac:dyDescent="0.2">
      <c r="A38" s="67"/>
      <c r="B38" s="96"/>
      <c r="C38" s="25" t="s">
        <v>86</v>
      </c>
      <c r="D38" s="24" t="s">
        <v>307</v>
      </c>
      <c r="E38" s="24" t="s">
        <v>308</v>
      </c>
      <c r="F38" s="25">
        <v>2016</v>
      </c>
      <c r="H38" s="29">
        <v>49</v>
      </c>
      <c r="I38" s="28" t="s">
        <v>386</v>
      </c>
      <c r="J38" s="39" t="s">
        <v>213</v>
      </c>
      <c r="K38" s="40"/>
      <c r="L38" s="43" t="str">
        <f t="shared" si="0"/>
        <v/>
      </c>
      <c r="M38" s="40"/>
      <c r="N38" s="43" t="str">
        <f t="shared" si="1"/>
        <v/>
      </c>
      <c r="O38" s="40"/>
      <c r="P38" s="43" t="str">
        <f t="shared" si="2"/>
        <v/>
      </c>
      <c r="Q38" s="40"/>
      <c r="R38" s="43" t="str">
        <f t="shared" si="3"/>
        <v/>
      </c>
      <c r="S38" s="40"/>
      <c r="T38" s="43" t="str">
        <f t="shared" si="4"/>
        <v/>
      </c>
      <c r="U38" s="86"/>
      <c r="V38" s="43" t="str">
        <f t="shared" si="5"/>
        <v/>
      </c>
      <c r="W38" s="40"/>
      <c r="X38" s="43" t="str">
        <f t="shared" si="6"/>
        <v/>
      </c>
      <c r="Y38" s="40"/>
      <c r="Z38" s="43" t="str">
        <f t="shared" si="7"/>
        <v/>
      </c>
      <c r="AA38" s="40"/>
      <c r="AB38" s="43" t="str">
        <f t="shared" si="8"/>
        <v/>
      </c>
      <c r="AC38" s="40"/>
      <c r="AD38" s="43" t="str">
        <f t="shared" si="9"/>
        <v/>
      </c>
      <c r="AE38" s="40"/>
      <c r="AF38" s="43" t="str">
        <f t="shared" si="10"/>
        <v/>
      </c>
      <c r="AG38" s="40"/>
      <c r="AH38" s="43" t="str">
        <f t="shared" si="20"/>
        <v/>
      </c>
      <c r="AI38" s="40"/>
      <c r="AJ38" s="43" t="str">
        <f t="shared" si="12"/>
        <v/>
      </c>
      <c r="AK38" s="40"/>
      <c r="AL38" s="43" t="str">
        <f t="shared" si="13"/>
        <v/>
      </c>
      <c r="AM38" s="40"/>
      <c r="AN38" s="43" t="str">
        <f t="shared" si="14"/>
        <v/>
      </c>
      <c r="AO38" s="86"/>
      <c r="AP38" s="43" t="str">
        <f t="shared" si="15"/>
        <v/>
      </c>
      <c r="AQ38" s="40"/>
      <c r="AR38" s="43" t="str">
        <f t="shared" si="16"/>
        <v/>
      </c>
      <c r="AS38" s="40"/>
      <c r="AT38" s="43" t="str">
        <f t="shared" si="14"/>
        <v/>
      </c>
      <c r="AU38" s="40"/>
      <c r="AV38" s="43" t="str">
        <f t="shared" si="17"/>
        <v/>
      </c>
      <c r="AW38" s="40"/>
      <c r="AX38" s="43" t="str">
        <f t="shared" si="18"/>
        <v/>
      </c>
      <c r="AY38" s="40"/>
      <c r="AZ38" s="43" t="str">
        <f t="shared" si="19"/>
        <v/>
      </c>
      <c r="BA38" s="24" t="s">
        <v>387</v>
      </c>
    </row>
    <row r="39" spans="1:53" ht="20" customHeight="1" x14ac:dyDescent="0.2">
      <c r="A39" s="68"/>
      <c r="B39" s="96"/>
      <c r="C39" s="25" t="s">
        <v>86</v>
      </c>
      <c r="D39" s="24" t="s">
        <v>87</v>
      </c>
      <c r="E39" s="24" t="s">
        <v>56</v>
      </c>
      <c r="F39" s="25">
        <v>2014</v>
      </c>
      <c r="G39" s="25">
        <v>41</v>
      </c>
      <c r="H39" s="29">
        <v>20</v>
      </c>
      <c r="I39" s="28" t="s">
        <v>192</v>
      </c>
      <c r="J39" s="39"/>
      <c r="K39" s="40"/>
      <c r="L39" s="43" t="str">
        <f t="shared" si="0"/>
        <v/>
      </c>
      <c r="M39" s="40"/>
      <c r="N39" s="43" t="str">
        <f t="shared" si="1"/>
        <v/>
      </c>
      <c r="O39" s="45"/>
      <c r="P39" s="46" t="str">
        <f t="shared" si="2"/>
        <v/>
      </c>
      <c r="Q39" s="40"/>
      <c r="R39" s="43" t="str">
        <f t="shared" si="3"/>
        <v/>
      </c>
      <c r="S39" s="40"/>
      <c r="T39" s="43" t="str">
        <f t="shared" si="4"/>
        <v/>
      </c>
      <c r="U39" s="86"/>
      <c r="V39" s="43" t="str">
        <f t="shared" si="5"/>
        <v/>
      </c>
      <c r="W39" s="40"/>
      <c r="X39" s="43" t="str">
        <f t="shared" si="6"/>
        <v/>
      </c>
      <c r="Y39" s="40"/>
      <c r="Z39" s="43" t="str">
        <f t="shared" si="7"/>
        <v/>
      </c>
      <c r="AA39" s="40"/>
      <c r="AB39" s="43" t="str">
        <f t="shared" si="8"/>
        <v/>
      </c>
      <c r="AC39" s="40"/>
      <c r="AD39" s="43" t="str">
        <f t="shared" si="9"/>
        <v/>
      </c>
      <c r="AE39" s="40"/>
      <c r="AF39" s="43" t="str">
        <f t="shared" si="10"/>
        <v/>
      </c>
      <c r="AG39" s="40"/>
      <c r="AH39" s="43" t="str">
        <f t="shared" si="20"/>
        <v/>
      </c>
      <c r="AI39" s="40"/>
      <c r="AJ39" s="43" t="str">
        <f t="shared" si="12"/>
        <v/>
      </c>
      <c r="AK39" s="40"/>
      <c r="AL39" s="43" t="str">
        <f t="shared" si="13"/>
        <v/>
      </c>
      <c r="AM39" s="40"/>
      <c r="AN39" s="43" t="str">
        <f t="shared" si="14"/>
        <v/>
      </c>
      <c r="AO39" s="86"/>
      <c r="AP39" s="43" t="str">
        <f t="shared" si="15"/>
        <v/>
      </c>
      <c r="AQ39" s="40"/>
      <c r="AR39" s="43" t="str">
        <f t="shared" si="16"/>
        <v/>
      </c>
      <c r="AS39" s="40"/>
      <c r="AT39" s="43" t="str">
        <f t="shared" si="14"/>
        <v/>
      </c>
      <c r="AU39" s="40"/>
      <c r="AV39" s="43" t="str">
        <f t="shared" si="17"/>
        <v/>
      </c>
      <c r="AW39" s="40"/>
      <c r="AX39" s="43" t="str">
        <f t="shared" si="18"/>
        <v/>
      </c>
      <c r="AY39" s="40"/>
      <c r="AZ39" s="43" t="str">
        <f t="shared" si="19"/>
        <v/>
      </c>
      <c r="BA39" s="24" t="s">
        <v>388</v>
      </c>
    </row>
    <row r="40" spans="1:53" ht="20" customHeight="1" x14ac:dyDescent="0.2">
      <c r="A40" s="68"/>
      <c r="B40" s="25"/>
      <c r="C40" s="25" t="s">
        <v>86</v>
      </c>
      <c r="D40" s="24" t="s">
        <v>57</v>
      </c>
      <c r="E40" s="24" t="s">
        <v>58</v>
      </c>
      <c r="F40" s="25">
        <v>2006</v>
      </c>
      <c r="G40" s="25">
        <v>132</v>
      </c>
      <c r="H40" s="29">
        <v>7</v>
      </c>
      <c r="I40" s="28"/>
      <c r="J40" s="39"/>
      <c r="K40" s="40"/>
      <c r="L40" s="43" t="str">
        <f t="shared" si="0"/>
        <v/>
      </c>
      <c r="M40" s="40"/>
      <c r="N40" s="43" t="str">
        <f t="shared" si="1"/>
        <v/>
      </c>
      <c r="O40" s="40"/>
      <c r="P40" s="43" t="str">
        <f t="shared" si="2"/>
        <v/>
      </c>
      <c r="Q40" s="40"/>
      <c r="R40" s="43" t="str">
        <f t="shared" si="3"/>
        <v/>
      </c>
      <c r="S40" s="40"/>
      <c r="T40" s="43" t="str">
        <f t="shared" si="4"/>
        <v/>
      </c>
      <c r="U40" s="86"/>
      <c r="V40" s="43" t="str">
        <f t="shared" si="5"/>
        <v/>
      </c>
      <c r="W40" s="40"/>
      <c r="X40" s="43" t="str">
        <f t="shared" si="6"/>
        <v/>
      </c>
      <c r="Y40" s="40"/>
      <c r="Z40" s="43" t="str">
        <f t="shared" si="7"/>
        <v/>
      </c>
      <c r="AA40" s="40"/>
      <c r="AB40" s="43" t="str">
        <f t="shared" si="8"/>
        <v/>
      </c>
      <c r="AC40" s="40"/>
      <c r="AD40" s="43" t="str">
        <f t="shared" si="9"/>
        <v/>
      </c>
      <c r="AE40" s="40"/>
      <c r="AF40" s="43" t="str">
        <f t="shared" si="10"/>
        <v/>
      </c>
      <c r="AG40" s="40"/>
      <c r="AH40" s="43" t="str">
        <f t="shared" si="20"/>
        <v/>
      </c>
      <c r="AI40" s="40"/>
      <c r="AJ40" s="43" t="str">
        <f t="shared" si="12"/>
        <v/>
      </c>
      <c r="AK40" s="40"/>
      <c r="AL40" s="43" t="str">
        <f t="shared" si="13"/>
        <v/>
      </c>
      <c r="AM40" s="40"/>
      <c r="AN40" s="43" t="str">
        <f t="shared" si="14"/>
        <v/>
      </c>
      <c r="AO40" s="86"/>
      <c r="AP40" s="43" t="str">
        <f t="shared" si="15"/>
        <v/>
      </c>
      <c r="AQ40" s="40"/>
      <c r="AR40" s="43" t="str">
        <f t="shared" si="16"/>
        <v/>
      </c>
      <c r="AS40" s="40"/>
      <c r="AT40" s="43" t="str">
        <f t="shared" si="14"/>
        <v/>
      </c>
      <c r="AU40" s="40"/>
      <c r="AV40" s="43" t="str">
        <f t="shared" si="17"/>
        <v/>
      </c>
      <c r="AW40" s="40"/>
      <c r="AX40" s="43" t="str">
        <f t="shared" si="18"/>
        <v/>
      </c>
      <c r="AY40" s="40"/>
      <c r="AZ40" s="43" t="str">
        <f t="shared" si="19"/>
        <v/>
      </c>
      <c r="BA40" s="24" t="s">
        <v>389</v>
      </c>
    </row>
    <row r="41" spans="1:53" ht="20" customHeight="1" x14ac:dyDescent="0.2">
      <c r="A41" s="67"/>
      <c r="B41" s="96"/>
      <c r="C41" s="25" t="s">
        <v>86</v>
      </c>
      <c r="D41" s="24" t="s">
        <v>59</v>
      </c>
      <c r="E41" s="24" t="s">
        <v>60</v>
      </c>
      <c r="F41" s="25">
        <v>2009</v>
      </c>
      <c r="G41" s="25">
        <v>49</v>
      </c>
      <c r="H41" s="29">
        <v>22</v>
      </c>
      <c r="I41" s="28" t="s">
        <v>189</v>
      </c>
      <c r="J41" s="39" t="s">
        <v>209</v>
      </c>
      <c r="K41" s="40"/>
      <c r="L41" s="43" t="str">
        <f t="shared" si="0"/>
        <v/>
      </c>
      <c r="M41" s="40"/>
      <c r="N41" s="43" t="str">
        <f t="shared" si="1"/>
        <v/>
      </c>
      <c r="O41" s="40"/>
      <c r="P41" s="43" t="str">
        <f t="shared" si="2"/>
        <v/>
      </c>
      <c r="Q41" s="40"/>
      <c r="R41" s="43" t="str">
        <f t="shared" si="3"/>
        <v/>
      </c>
      <c r="S41" s="40"/>
      <c r="T41" s="43" t="str">
        <f t="shared" si="4"/>
        <v/>
      </c>
      <c r="U41" s="86"/>
      <c r="V41" s="43" t="str">
        <f t="shared" si="5"/>
        <v/>
      </c>
      <c r="W41" s="40"/>
      <c r="X41" s="43" t="str">
        <f t="shared" si="6"/>
        <v/>
      </c>
      <c r="Y41" s="40"/>
      <c r="Z41" s="43" t="str">
        <f t="shared" si="7"/>
        <v/>
      </c>
      <c r="AA41" s="40"/>
      <c r="AB41" s="43" t="str">
        <f t="shared" si="8"/>
        <v/>
      </c>
      <c r="AC41" s="40"/>
      <c r="AD41" s="43" t="str">
        <f t="shared" si="9"/>
        <v/>
      </c>
      <c r="AE41" s="40"/>
      <c r="AF41" s="43" t="str">
        <f t="shared" si="10"/>
        <v/>
      </c>
      <c r="AG41" s="40"/>
      <c r="AH41" s="43" t="str">
        <f t="shared" si="20"/>
        <v/>
      </c>
      <c r="AI41" s="40"/>
      <c r="AJ41" s="43" t="str">
        <f t="shared" si="12"/>
        <v/>
      </c>
      <c r="AK41" s="40"/>
      <c r="AL41" s="43" t="str">
        <f t="shared" si="13"/>
        <v/>
      </c>
      <c r="AM41" s="40"/>
      <c r="AN41" s="43" t="str">
        <f t="shared" si="14"/>
        <v/>
      </c>
      <c r="AO41" s="86"/>
      <c r="AP41" s="43" t="str">
        <f t="shared" si="15"/>
        <v/>
      </c>
      <c r="AQ41" s="40"/>
      <c r="AR41" s="43" t="str">
        <f t="shared" si="16"/>
        <v/>
      </c>
      <c r="AS41" s="40"/>
      <c r="AT41" s="43" t="str">
        <f t="shared" si="14"/>
        <v/>
      </c>
      <c r="AU41" s="40"/>
      <c r="AV41" s="43" t="str">
        <f t="shared" si="17"/>
        <v/>
      </c>
      <c r="AW41" s="40"/>
      <c r="AX41" s="43" t="str">
        <f t="shared" si="18"/>
        <v/>
      </c>
      <c r="AY41" s="40"/>
      <c r="AZ41" s="43" t="str">
        <f t="shared" si="19"/>
        <v/>
      </c>
      <c r="BA41" s="24" t="s">
        <v>194</v>
      </c>
    </row>
    <row r="42" spans="1:53" ht="20" customHeight="1" x14ac:dyDescent="0.2">
      <c r="A42" s="68"/>
      <c r="B42" s="96"/>
      <c r="C42" s="25" t="s">
        <v>86</v>
      </c>
      <c r="D42" s="24" t="s">
        <v>61</v>
      </c>
      <c r="E42" s="24" t="s">
        <v>62</v>
      </c>
      <c r="F42" s="25">
        <v>2006</v>
      </c>
      <c r="G42" s="25">
        <v>144</v>
      </c>
      <c r="H42" s="29">
        <v>25</v>
      </c>
      <c r="I42" s="28"/>
      <c r="J42" s="39" t="s">
        <v>210</v>
      </c>
      <c r="K42" s="40"/>
      <c r="L42" s="43" t="str">
        <f t="shared" si="0"/>
        <v/>
      </c>
      <c r="M42" s="40"/>
      <c r="N42" s="43" t="str">
        <f t="shared" si="1"/>
        <v/>
      </c>
      <c r="O42" s="40"/>
      <c r="P42" s="43" t="str">
        <f t="shared" si="2"/>
        <v/>
      </c>
      <c r="Q42" s="40"/>
      <c r="R42" s="43" t="str">
        <f t="shared" si="3"/>
        <v/>
      </c>
      <c r="S42" s="40"/>
      <c r="T42" s="43" t="str">
        <f t="shared" si="4"/>
        <v/>
      </c>
      <c r="U42" s="86"/>
      <c r="V42" s="43" t="str">
        <f t="shared" si="5"/>
        <v/>
      </c>
      <c r="W42" s="40"/>
      <c r="X42" s="43" t="str">
        <f t="shared" si="6"/>
        <v/>
      </c>
      <c r="Y42" s="40"/>
      <c r="Z42" s="43" t="str">
        <f t="shared" si="7"/>
        <v/>
      </c>
      <c r="AA42" s="40"/>
      <c r="AB42" s="43" t="str">
        <f t="shared" si="8"/>
        <v/>
      </c>
      <c r="AC42" s="40"/>
      <c r="AD42" s="43" t="str">
        <f t="shared" si="9"/>
        <v/>
      </c>
      <c r="AE42" s="40"/>
      <c r="AF42" s="43" t="str">
        <f t="shared" si="10"/>
        <v/>
      </c>
      <c r="AG42" s="40"/>
      <c r="AH42" s="43" t="str">
        <f t="shared" si="20"/>
        <v/>
      </c>
      <c r="AI42" s="40"/>
      <c r="AJ42" s="43" t="str">
        <f t="shared" si="12"/>
        <v/>
      </c>
      <c r="AK42" s="40"/>
      <c r="AL42" s="43" t="str">
        <f t="shared" si="13"/>
        <v/>
      </c>
      <c r="AM42" s="40"/>
      <c r="AN42" s="43" t="str">
        <f t="shared" si="14"/>
        <v/>
      </c>
      <c r="AO42" s="86"/>
      <c r="AP42" s="43" t="str">
        <f t="shared" si="15"/>
        <v/>
      </c>
      <c r="AQ42" s="40"/>
      <c r="AR42" s="43" t="str">
        <f t="shared" si="16"/>
        <v/>
      </c>
      <c r="AS42" s="40"/>
      <c r="AT42" s="43" t="str">
        <f t="shared" si="14"/>
        <v/>
      </c>
      <c r="AU42" s="40"/>
      <c r="AV42" s="43" t="str">
        <f t="shared" si="17"/>
        <v/>
      </c>
      <c r="AW42" s="40"/>
      <c r="AX42" s="43" t="str">
        <f t="shared" si="18"/>
        <v/>
      </c>
      <c r="AY42" s="40"/>
      <c r="AZ42" s="43" t="str">
        <f t="shared" si="19"/>
        <v/>
      </c>
      <c r="BA42" s="24" t="s">
        <v>196</v>
      </c>
    </row>
    <row r="43" spans="1:53" ht="20" customHeight="1" x14ac:dyDescent="0.2">
      <c r="A43" s="68"/>
      <c r="B43" s="25"/>
      <c r="D43" s="24" t="s">
        <v>309</v>
      </c>
      <c r="E43" s="24" t="s">
        <v>310</v>
      </c>
      <c r="F43" s="25">
        <v>2004</v>
      </c>
      <c r="H43" s="29"/>
      <c r="I43" s="28"/>
      <c r="J43" s="39"/>
      <c r="K43" s="40"/>
      <c r="L43" s="43" t="str">
        <f t="shared" ref="L43:L74" si="21">IF((ISERROR((K43/$H43)*100)), "", IF(AND(NOT(ISERROR((K43/$H43)*100)),((K43/$H43)*100) &lt;&gt; 0), (K43/$H43)*100, ""))</f>
        <v/>
      </c>
      <c r="M43" s="40"/>
      <c r="N43" s="43" t="str">
        <f t="shared" ref="N43:N74" si="22">IF((ISERROR((M43/$H43)*100)), "", IF(AND(NOT(ISERROR((M43/$H43)*100)),((M43/$H43)*100) &lt;&gt; 0), (M43/$H43)*100, ""))</f>
        <v/>
      </c>
      <c r="O43" s="40"/>
      <c r="P43" s="43" t="str">
        <f t="shared" ref="P43:P74" si="23">IF((ISERROR((O43/$H43)*100)), "", IF(AND(NOT(ISERROR((O43/$H43)*100)),((O43/$H43)*100) &lt;&gt; 0), (O43/$H43)*100, ""))</f>
        <v/>
      </c>
      <c r="Q43" s="40"/>
      <c r="R43" s="43" t="str">
        <f t="shared" ref="R43:R74" si="24">IF((ISERROR((Q43/$H43)*100)), "", IF(AND(NOT(ISERROR((Q43/$H43)*100)),((Q43/$H43)*100) &lt;&gt; 0), (Q43/$H43)*100, ""))</f>
        <v/>
      </c>
      <c r="S43" s="40"/>
      <c r="T43" s="43" t="str">
        <f t="shared" ref="T43:T74" si="25">IF((ISERROR((S43/$H43)*100)), "", IF(AND(NOT(ISERROR((S43/$H43)*100)),((S43/$H43)*100) &lt;&gt; 0), (S43/$H43)*100, ""))</f>
        <v/>
      </c>
      <c r="U43" s="86"/>
      <c r="V43" s="43" t="str">
        <f t="shared" si="5"/>
        <v/>
      </c>
      <c r="W43" s="40"/>
      <c r="X43" s="43" t="str">
        <f t="shared" ref="X43:X74" si="26">IF((ISERROR((W43/$H43)*100)), "", IF(AND(NOT(ISERROR((W43/$H43)*100)),((W43/$H43)*100) &lt;&gt; 0), (W43/$H43)*100, ""))</f>
        <v/>
      </c>
      <c r="Y43" s="40"/>
      <c r="Z43" s="43" t="str">
        <f t="shared" ref="Z43:Z74" si="27">IF((ISERROR((Y43/$H43)*100)), "", IF(AND(NOT(ISERROR((Y43/$H43)*100)),((Y43/$H43)*100) &lt;&gt; 0), (Y43/$H43)*100, ""))</f>
        <v/>
      </c>
      <c r="AA43" s="40"/>
      <c r="AB43" s="43" t="str">
        <f t="shared" ref="AB43:AB74" si="28">IF((ISERROR((AA43/$H43)*100)), "", IF(AND(NOT(ISERROR((AA43/$H43)*100)),((AA43/$H43)*100) &lt;&gt; 0), (AA43/$H43)*100, ""))</f>
        <v/>
      </c>
      <c r="AC43" s="40"/>
      <c r="AD43" s="43" t="str">
        <f t="shared" ref="AD43:AD74" si="29">IF((ISERROR((AC43/$H43)*100)), "", IF(AND(NOT(ISERROR((AC43/$H43)*100)),((AC43/$H43)*100) &lt;&gt; 0), (AC43/$H43)*100, ""))</f>
        <v/>
      </c>
      <c r="AE43" s="40"/>
      <c r="AF43" s="43" t="str">
        <f t="shared" ref="AF43:AF74" si="30">IF((ISERROR((AE43/$H43)*100)), "", IF(AND(NOT(ISERROR((AE43/$H43)*100)),((AE43/$H43)*100) &lt;&gt; 0), (AE43/$H43)*100, ""))</f>
        <v/>
      </c>
      <c r="AG43" s="40"/>
      <c r="AH43" s="43" t="str">
        <f t="shared" si="20"/>
        <v/>
      </c>
      <c r="AI43" s="40"/>
      <c r="AJ43" s="43" t="str">
        <f t="shared" ref="AJ43:AJ74" si="31">IF((ISERROR((AI43/$H43)*100)), "", IF(AND(NOT(ISERROR((AI43/$H43)*100)),((AI43/$H43)*100) &lt;&gt; 0), (AI43/$H43)*100, ""))</f>
        <v/>
      </c>
      <c r="AK43" s="40"/>
      <c r="AL43" s="43" t="str">
        <f t="shared" ref="AL43:AL74" si="32">IF((ISERROR((AK43/$H43)*100)), "", IF(AND(NOT(ISERROR((AK43/$H43)*100)),((AK43/$H43)*100) &lt;&gt; 0), (AK43/$H43)*100, ""))</f>
        <v/>
      </c>
      <c r="AM43" s="40"/>
      <c r="AN43" s="43" t="str">
        <f t="shared" si="14"/>
        <v/>
      </c>
      <c r="AO43" s="86"/>
      <c r="AP43" s="43" t="str">
        <f t="shared" ref="AP43:AP74" si="33">IF((ISERROR((AO43/$H43)*100)), "", IF(AND(NOT(ISERROR((AO43/$H43)*100)),((AO43/$H43)*100) &lt;&gt; 0), (AO43/$H43)*100, ""))</f>
        <v/>
      </c>
      <c r="AQ43" s="40"/>
      <c r="AR43" s="43" t="str">
        <f t="shared" ref="AR43:AR74" si="34">IF((ISERROR((AQ43/$H43)*100)), "", IF(AND(NOT(ISERROR((AQ43/$H43)*100)),((AQ43/$H43)*100) &lt;&gt; 0), (AQ43/$H43)*100, ""))</f>
        <v/>
      </c>
      <c r="AS43" s="40"/>
      <c r="AT43" s="43" t="str">
        <f t="shared" si="14"/>
        <v/>
      </c>
      <c r="AU43" s="40"/>
      <c r="AV43" s="43" t="str">
        <f t="shared" si="17"/>
        <v/>
      </c>
      <c r="AW43" s="40"/>
      <c r="AX43" s="43" t="str">
        <f t="shared" ref="AX43:AX74" si="35">IF((ISERROR((AW43/$H43)*100)), "", IF(AND(NOT(ISERROR((AW43/$H43)*100)),((AW43/$H43)*100) &lt;&gt; 0), (AW43/$H43)*100, ""))</f>
        <v/>
      </c>
      <c r="AY43" s="40"/>
      <c r="AZ43" s="43" t="str">
        <f t="shared" ref="AZ43:AZ74" si="36">IF((ISERROR((AY43/$H43)*100)), "", IF(AND(NOT(ISERROR((AY43/$H43)*100)),((AY43/$H43)*100) &lt;&gt; 0), (AY43/$H43)*100, ""))</f>
        <v/>
      </c>
    </row>
    <row r="44" spans="1:53" ht="20" customHeight="1" x14ac:dyDescent="0.2">
      <c r="A44" s="67"/>
      <c r="B44" s="95"/>
      <c r="C44" s="25" t="s">
        <v>86</v>
      </c>
      <c r="D44" s="24" t="s">
        <v>311</v>
      </c>
      <c r="E44" s="24" t="s">
        <v>312</v>
      </c>
      <c r="F44" s="25">
        <v>2014</v>
      </c>
      <c r="H44" s="29">
        <v>39</v>
      </c>
      <c r="I44" s="28"/>
      <c r="J44" s="39" t="s">
        <v>384</v>
      </c>
      <c r="K44" s="40">
        <v>23</v>
      </c>
      <c r="L44" s="43">
        <f t="shared" si="21"/>
        <v>58.974358974358978</v>
      </c>
      <c r="M44" s="40">
        <v>22</v>
      </c>
      <c r="N44" s="43">
        <f t="shared" si="22"/>
        <v>56.410256410256409</v>
      </c>
      <c r="O44" s="40">
        <v>22</v>
      </c>
      <c r="P44" s="43">
        <f t="shared" si="23"/>
        <v>56.410256410256409</v>
      </c>
      <c r="Q44" s="40"/>
      <c r="R44" s="43" t="str">
        <f t="shared" si="24"/>
        <v/>
      </c>
      <c r="S44" s="40"/>
      <c r="T44" s="43" t="str">
        <f t="shared" si="25"/>
        <v/>
      </c>
      <c r="U44" s="86"/>
      <c r="V44" s="43" t="str">
        <f t="shared" si="5"/>
        <v/>
      </c>
      <c r="W44" s="40"/>
      <c r="X44" s="43" t="str">
        <f t="shared" si="26"/>
        <v/>
      </c>
      <c r="Y44" s="40"/>
      <c r="Z44" s="43" t="str">
        <f t="shared" si="27"/>
        <v/>
      </c>
      <c r="AA44" s="40"/>
      <c r="AB44" s="43" t="str">
        <f t="shared" si="28"/>
        <v/>
      </c>
      <c r="AC44" s="40"/>
      <c r="AD44" s="43" t="str">
        <f t="shared" si="29"/>
        <v/>
      </c>
      <c r="AE44" s="40"/>
      <c r="AF44" s="43" t="str">
        <f t="shared" si="30"/>
        <v/>
      </c>
      <c r="AG44" s="40"/>
      <c r="AH44" s="43" t="str">
        <f t="shared" si="20"/>
        <v/>
      </c>
      <c r="AI44" s="40"/>
      <c r="AJ44" s="43" t="str">
        <f t="shared" si="31"/>
        <v/>
      </c>
      <c r="AK44" s="40">
        <v>8</v>
      </c>
      <c r="AL44" s="43">
        <f t="shared" si="32"/>
        <v>20.512820512820511</v>
      </c>
      <c r="AM44" s="40"/>
      <c r="AN44" s="43" t="str">
        <f t="shared" si="14"/>
        <v/>
      </c>
      <c r="AO44" s="86"/>
      <c r="AP44" s="43" t="str">
        <f t="shared" si="33"/>
        <v/>
      </c>
      <c r="AQ44" s="40"/>
      <c r="AR44" s="43" t="str">
        <f t="shared" si="34"/>
        <v/>
      </c>
      <c r="AS44" s="40">
        <v>3</v>
      </c>
      <c r="AT44" s="43">
        <f t="shared" si="14"/>
        <v>7.6923076923076925</v>
      </c>
      <c r="AU44" s="40"/>
      <c r="AV44" s="43" t="str">
        <f t="shared" si="17"/>
        <v/>
      </c>
      <c r="AW44" s="40"/>
      <c r="AX44" s="43" t="str">
        <f t="shared" si="35"/>
        <v/>
      </c>
      <c r="AY44" s="40"/>
      <c r="AZ44" s="43" t="str">
        <f t="shared" si="36"/>
        <v/>
      </c>
      <c r="BA44" s="24" t="s">
        <v>390</v>
      </c>
    </row>
    <row r="45" spans="1:53" ht="20" customHeight="1" x14ac:dyDescent="0.2">
      <c r="A45" s="67"/>
      <c r="B45" s="25"/>
      <c r="C45" s="25" t="s">
        <v>86</v>
      </c>
      <c r="D45" s="24" t="s">
        <v>313</v>
      </c>
      <c r="E45" s="24" t="s">
        <v>314</v>
      </c>
      <c r="F45" s="25">
        <v>2015</v>
      </c>
      <c r="H45" s="29">
        <v>8</v>
      </c>
      <c r="I45" s="28" t="s">
        <v>238</v>
      </c>
      <c r="J45" s="39" t="s">
        <v>391</v>
      </c>
      <c r="K45" s="40"/>
      <c r="L45" s="43" t="str">
        <f t="shared" si="21"/>
        <v/>
      </c>
      <c r="M45" s="40"/>
      <c r="N45" s="43" t="str">
        <f t="shared" si="22"/>
        <v/>
      </c>
      <c r="O45" s="40">
        <v>2</v>
      </c>
      <c r="P45" s="43">
        <f t="shared" si="23"/>
        <v>25</v>
      </c>
      <c r="Q45" s="40"/>
      <c r="R45" s="43" t="str">
        <f t="shared" si="24"/>
        <v/>
      </c>
      <c r="S45" s="40"/>
      <c r="T45" s="43" t="str">
        <f t="shared" si="25"/>
        <v/>
      </c>
      <c r="U45" s="86"/>
      <c r="V45" s="43" t="str">
        <f t="shared" si="5"/>
        <v/>
      </c>
      <c r="W45" s="40"/>
      <c r="X45" s="43" t="str">
        <f t="shared" si="26"/>
        <v/>
      </c>
      <c r="Y45" s="40"/>
      <c r="Z45" s="43" t="str">
        <f t="shared" si="27"/>
        <v/>
      </c>
      <c r="AA45" s="40"/>
      <c r="AB45" s="43" t="str">
        <f t="shared" si="28"/>
        <v/>
      </c>
      <c r="AC45" s="40"/>
      <c r="AD45" s="43" t="str">
        <f t="shared" si="29"/>
        <v/>
      </c>
      <c r="AE45" s="40"/>
      <c r="AF45" s="43" t="str">
        <f t="shared" si="30"/>
        <v/>
      </c>
      <c r="AG45" s="40"/>
      <c r="AH45" s="43" t="str">
        <f t="shared" si="20"/>
        <v/>
      </c>
      <c r="AI45" s="40"/>
      <c r="AJ45" s="43" t="str">
        <f t="shared" si="31"/>
        <v/>
      </c>
      <c r="AK45" s="40"/>
      <c r="AL45" s="43" t="str">
        <f t="shared" si="32"/>
        <v/>
      </c>
      <c r="AM45" s="40"/>
      <c r="AN45" s="43" t="str">
        <f t="shared" si="14"/>
        <v/>
      </c>
      <c r="AO45" s="86"/>
      <c r="AP45" s="43" t="str">
        <f t="shared" si="33"/>
        <v/>
      </c>
      <c r="AQ45" s="40"/>
      <c r="AR45" s="43" t="str">
        <f t="shared" si="34"/>
        <v/>
      </c>
      <c r="AS45" s="40"/>
      <c r="AT45" s="43" t="str">
        <f t="shared" si="14"/>
        <v/>
      </c>
      <c r="AU45" s="40"/>
      <c r="AV45" s="43" t="str">
        <f t="shared" si="17"/>
        <v/>
      </c>
      <c r="AW45" s="40"/>
      <c r="AX45" s="43" t="str">
        <f t="shared" si="35"/>
        <v/>
      </c>
      <c r="AY45" s="40"/>
      <c r="AZ45" s="43" t="str">
        <f t="shared" si="36"/>
        <v/>
      </c>
      <c r="BA45" s="24" t="s">
        <v>392</v>
      </c>
    </row>
    <row r="46" spans="1:53" ht="20" customHeight="1" x14ac:dyDescent="0.2">
      <c r="A46" s="68"/>
      <c r="B46" s="95"/>
      <c r="C46" s="25" t="s">
        <v>86</v>
      </c>
      <c r="D46" s="24" t="s">
        <v>315</v>
      </c>
      <c r="E46" s="24" t="s">
        <v>316</v>
      </c>
      <c r="F46" s="25">
        <v>2001</v>
      </c>
      <c r="H46" s="29">
        <v>9</v>
      </c>
      <c r="I46" s="28"/>
      <c r="J46" s="39" t="s">
        <v>393</v>
      </c>
      <c r="K46" s="40"/>
      <c r="L46" s="43" t="str">
        <f t="shared" si="21"/>
        <v/>
      </c>
      <c r="M46" s="40"/>
      <c r="N46" s="43" t="str">
        <f t="shared" si="22"/>
        <v/>
      </c>
      <c r="O46" s="40"/>
      <c r="P46" s="43" t="str">
        <f t="shared" si="23"/>
        <v/>
      </c>
      <c r="Q46" s="40"/>
      <c r="R46" s="43" t="str">
        <f t="shared" si="24"/>
        <v/>
      </c>
      <c r="S46" s="40"/>
      <c r="T46" s="43" t="str">
        <f t="shared" si="25"/>
        <v/>
      </c>
      <c r="U46" s="47"/>
      <c r="V46" s="46" t="str">
        <f t="shared" si="5"/>
        <v/>
      </c>
      <c r="W46" s="40"/>
      <c r="X46" s="43" t="str">
        <f t="shared" si="26"/>
        <v/>
      </c>
      <c r="Y46" s="40"/>
      <c r="Z46" s="43" t="str">
        <f t="shared" si="27"/>
        <v/>
      </c>
      <c r="AA46" s="40"/>
      <c r="AB46" s="43" t="str">
        <f t="shared" si="28"/>
        <v/>
      </c>
      <c r="AC46" s="40"/>
      <c r="AD46" s="43" t="str">
        <f t="shared" si="29"/>
        <v/>
      </c>
      <c r="AE46" s="40"/>
      <c r="AF46" s="43" t="str">
        <f t="shared" si="30"/>
        <v/>
      </c>
      <c r="AG46" s="40"/>
      <c r="AH46" s="43" t="str">
        <f t="shared" si="20"/>
        <v/>
      </c>
      <c r="AI46" s="40"/>
      <c r="AJ46" s="43" t="str">
        <f t="shared" si="31"/>
        <v/>
      </c>
      <c r="AK46" s="40"/>
      <c r="AL46" s="43" t="str">
        <f t="shared" si="32"/>
        <v/>
      </c>
      <c r="AM46" s="40"/>
      <c r="AN46" s="43" t="str">
        <f t="shared" si="14"/>
        <v/>
      </c>
      <c r="AO46" s="86"/>
      <c r="AP46" s="43" t="str">
        <f t="shared" si="33"/>
        <v/>
      </c>
      <c r="AQ46" s="40"/>
      <c r="AR46" s="43" t="str">
        <f t="shared" si="34"/>
        <v/>
      </c>
      <c r="AS46" s="40"/>
      <c r="AT46" s="43" t="str">
        <f t="shared" si="14"/>
        <v/>
      </c>
      <c r="AU46" s="40"/>
      <c r="AV46" s="43" t="str">
        <f t="shared" si="17"/>
        <v/>
      </c>
      <c r="AW46" s="40"/>
      <c r="AX46" s="43" t="str">
        <f t="shared" si="35"/>
        <v/>
      </c>
      <c r="AY46" s="40"/>
      <c r="AZ46" s="43" t="str">
        <f t="shared" si="36"/>
        <v/>
      </c>
      <c r="BA46" s="24" t="s">
        <v>394</v>
      </c>
    </row>
    <row r="47" spans="1:53" ht="20" customHeight="1" x14ac:dyDescent="0.2">
      <c r="A47" s="67"/>
      <c r="B47" s="95"/>
      <c r="C47" s="25" t="s">
        <v>86</v>
      </c>
      <c r="D47" s="24" t="s">
        <v>63</v>
      </c>
      <c r="E47" s="24" t="s">
        <v>64</v>
      </c>
      <c r="F47" s="25">
        <v>2012</v>
      </c>
      <c r="G47" s="25">
        <v>83</v>
      </c>
      <c r="H47" s="29">
        <v>146</v>
      </c>
      <c r="I47" s="28" t="s">
        <v>197</v>
      </c>
      <c r="J47" s="39" t="s">
        <v>211</v>
      </c>
      <c r="K47" s="40"/>
      <c r="L47" s="43" t="str">
        <f t="shared" si="21"/>
        <v/>
      </c>
      <c r="M47" s="40"/>
      <c r="N47" s="43" t="str">
        <f t="shared" si="22"/>
        <v/>
      </c>
      <c r="O47" s="40"/>
      <c r="P47" s="43" t="str">
        <f t="shared" si="23"/>
        <v/>
      </c>
      <c r="Q47" s="40"/>
      <c r="R47" s="43" t="str">
        <f t="shared" si="24"/>
        <v/>
      </c>
      <c r="S47" s="40"/>
      <c r="T47" s="43" t="str">
        <f t="shared" si="25"/>
        <v/>
      </c>
      <c r="U47" s="86"/>
      <c r="V47" s="43"/>
      <c r="W47" s="40"/>
      <c r="X47" s="43" t="str">
        <f t="shared" si="26"/>
        <v/>
      </c>
      <c r="Y47" s="40"/>
      <c r="Z47" s="43" t="str">
        <f t="shared" si="27"/>
        <v/>
      </c>
      <c r="AA47" s="40"/>
      <c r="AB47" s="43" t="str">
        <f t="shared" si="28"/>
        <v/>
      </c>
      <c r="AC47" s="40"/>
      <c r="AD47" s="43" t="str">
        <f t="shared" si="29"/>
        <v/>
      </c>
      <c r="AE47" s="40"/>
      <c r="AF47" s="43" t="str">
        <f t="shared" si="30"/>
        <v/>
      </c>
      <c r="AG47" s="40"/>
      <c r="AH47" s="43" t="str">
        <f t="shared" si="20"/>
        <v/>
      </c>
      <c r="AI47" s="40"/>
      <c r="AJ47" s="43" t="str">
        <f t="shared" si="31"/>
        <v/>
      </c>
      <c r="AK47" s="40"/>
      <c r="AL47" s="43" t="str">
        <f t="shared" si="32"/>
        <v/>
      </c>
      <c r="AM47" s="40"/>
      <c r="AN47" s="43" t="str">
        <f t="shared" si="14"/>
        <v/>
      </c>
      <c r="AO47" s="86">
        <v>1</v>
      </c>
      <c r="AP47" s="43">
        <f t="shared" si="33"/>
        <v>0.68493150684931503</v>
      </c>
      <c r="AQ47" s="40"/>
      <c r="AR47" s="43" t="str">
        <f t="shared" si="34"/>
        <v/>
      </c>
      <c r="AS47" s="40"/>
      <c r="AT47" s="43" t="str">
        <f t="shared" si="14"/>
        <v/>
      </c>
      <c r="AU47" s="40"/>
      <c r="AV47" s="43" t="str">
        <f t="shared" si="17"/>
        <v/>
      </c>
      <c r="AW47" s="40"/>
      <c r="AX47" s="43" t="str">
        <f t="shared" si="35"/>
        <v/>
      </c>
      <c r="AY47" s="40"/>
      <c r="AZ47" s="43" t="str">
        <f t="shared" si="36"/>
        <v/>
      </c>
      <c r="BA47" s="24" t="s">
        <v>199</v>
      </c>
    </row>
    <row r="48" spans="1:53" ht="20" customHeight="1" x14ac:dyDescent="0.2">
      <c r="A48" s="68"/>
      <c r="B48" s="25"/>
      <c r="C48" s="57" t="s">
        <v>49</v>
      </c>
      <c r="D48" s="56" t="s">
        <v>65</v>
      </c>
      <c r="E48" s="56" t="s">
        <v>66</v>
      </c>
      <c r="F48" s="57">
        <v>1997</v>
      </c>
      <c r="G48" s="57"/>
      <c r="H48" s="29"/>
      <c r="I48" s="28"/>
      <c r="J48" s="39"/>
      <c r="K48" s="40"/>
      <c r="L48" s="43" t="str">
        <f t="shared" si="21"/>
        <v/>
      </c>
      <c r="M48" s="40"/>
      <c r="N48" s="43" t="str">
        <f t="shared" si="22"/>
        <v/>
      </c>
      <c r="O48" s="40"/>
      <c r="P48" s="43" t="str">
        <f t="shared" si="23"/>
        <v/>
      </c>
      <c r="Q48" s="40"/>
      <c r="R48" s="43" t="str">
        <f t="shared" si="24"/>
        <v/>
      </c>
      <c r="S48" s="40"/>
      <c r="T48" s="43" t="str">
        <f t="shared" si="25"/>
        <v/>
      </c>
      <c r="U48" s="86"/>
      <c r="V48" s="43" t="str">
        <f t="shared" ref="V48:V79" si="37">IF((ISERROR((U48/$H48)*100)), "", IF(AND(NOT(ISERROR((U48/$H48)*100)),((U48/$H48)*100) &lt;&gt; 0), (U48/$H48)*100, ""))</f>
        <v/>
      </c>
      <c r="W48" s="40"/>
      <c r="X48" s="43" t="str">
        <f t="shared" si="26"/>
        <v/>
      </c>
      <c r="Y48" s="40"/>
      <c r="Z48" s="43" t="str">
        <f t="shared" si="27"/>
        <v/>
      </c>
      <c r="AA48" s="40"/>
      <c r="AB48" s="43" t="str">
        <f t="shared" si="28"/>
        <v/>
      </c>
      <c r="AC48" s="40"/>
      <c r="AD48" s="43" t="str">
        <f t="shared" si="29"/>
        <v/>
      </c>
      <c r="AE48" s="40"/>
      <c r="AF48" s="43" t="str">
        <f t="shared" si="30"/>
        <v/>
      </c>
      <c r="AG48" s="40"/>
      <c r="AH48" s="43" t="str">
        <f t="shared" si="20"/>
        <v/>
      </c>
      <c r="AI48" s="40"/>
      <c r="AJ48" s="43" t="str">
        <f t="shared" si="31"/>
        <v/>
      </c>
      <c r="AK48" s="40"/>
      <c r="AL48" s="43" t="str">
        <f t="shared" si="32"/>
        <v/>
      </c>
      <c r="AM48" s="40"/>
      <c r="AN48" s="43" t="str">
        <f t="shared" si="14"/>
        <v/>
      </c>
      <c r="AO48" s="86"/>
      <c r="AP48" s="43" t="str">
        <f t="shared" si="33"/>
        <v/>
      </c>
      <c r="AQ48" s="40"/>
      <c r="AR48" s="43" t="str">
        <f t="shared" si="34"/>
        <v/>
      </c>
      <c r="AS48" s="40"/>
      <c r="AT48" s="43" t="str">
        <f t="shared" si="14"/>
        <v/>
      </c>
      <c r="AU48" s="40"/>
      <c r="AV48" s="43" t="str">
        <f t="shared" si="17"/>
        <v/>
      </c>
      <c r="AW48" s="40"/>
      <c r="AX48" s="43" t="str">
        <f t="shared" si="35"/>
        <v/>
      </c>
      <c r="AY48" s="40"/>
      <c r="AZ48" s="43" t="str">
        <f t="shared" si="36"/>
        <v/>
      </c>
    </row>
    <row r="49" spans="1:53" ht="20" customHeight="1" x14ac:dyDescent="0.2">
      <c r="A49" s="68"/>
      <c r="B49" s="25"/>
      <c r="C49" s="57" t="s">
        <v>30</v>
      </c>
      <c r="D49" s="56" t="s">
        <v>67</v>
      </c>
      <c r="E49" s="56" t="s">
        <v>68</v>
      </c>
      <c r="F49" s="57">
        <v>2011</v>
      </c>
      <c r="G49" s="57">
        <v>54</v>
      </c>
      <c r="H49" s="29"/>
      <c r="I49" s="28"/>
      <c r="J49" s="39"/>
      <c r="K49" s="40"/>
      <c r="L49" s="43" t="str">
        <f t="shared" si="21"/>
        <v/>
      </c>
      <c r="M49" s="40"/>
      <c r="N49" s="43" t="str">
        <f t="shared" si="22"/>
        <v/>
      </c>
      <c r="O49" s="40"/>
      <c r="P49" s="43" t="str">
        <f t="shared" si="23"/>
        <v/>
      </c>
      <c r="Q49" s="40"/>
      <c r="R49" s="43" t="str">
        <f t="shared" si="24"/>
        <v/>
      </c>
      <c r="S49" s="40"/>
      <c r="T49" s="43" t="str">
        <f t="shared" si="25"/>
        <v/>
      </c>
      <c r="U49" s="86"/>
      <c r="V49" s="43" t="str">
        <f t="shared" si="37"/>
        <v/>
      </c>
      <c r="W49" s="40"/>
      <c r="X49" s="43" t="str">
        <f t="shared" si="26"/>
        <v/>
      </c>
      <c r="Y49" s="40"/>
      <c r="Z49" s="43" t="str">
        <f t="shared" si="27"/>
        <v/>
      </c>
      <c r="AA49" s="40"/>
      <c r="AB49" s="43" t="str">
        <f t="shared" si="28"/>
        <v/>
      </c>
      <c r="AC49" s="40"/>
      <c r="AD49" s="43" t="str">
        <f t="shared" si="29"/>
        <v/>
      </c>
      <c r="AE49" s="40"/>
      <c r="AF49" s="43" t="str">
        <f t="shared" si="30"/>
        <v/>
      </c>
      <c r="AG49" s="40"/>
      <c r="AH49" s="43" t="str">
        <f t="shared" si="20"/>
        <v/>
      </c>
      <c r="AI49" s="40"/>
      <c r="AJ49" s="43" t="str">
        <f t="shared" si="31"/>
        <v/>
      </c>
      <c r="AK49" s="40"/>
      <c r="AL49" s="43" t="str">
        <f t="shared" si="32"/>
        <v/>
      </c>
      <c r="AM49" s="40"/>
      <c r="AN49" s="43" t="str">
        <f t="shared" si="14"/>
        <v/>
      </c>
      <c r="AO49" s="86"/>
      <c r="AP49" s="43" t="str">
        <f t="shared" si="33"/>
        <v/>
      </c>
      <c r="AQ49" s="40"/>
      <c r="AR49" s="43" t="str">
        <f t="shared" si="34"/>
        <v/>
      </c>
      <c r="AS49" s="40"/>
      <c r="AT49" s="43" t="str">
        <f t="shared" si="14"/>
        <v/>
      </c>
      <c r="AU49" s="40"/>
      <c r="AV49" s="43" t="str">
        <f t="shared" si="17"/>
        <v/>
      </c>
      <c r="AW49" s="40"/>
      <c r="AX49" s="43" t="str">
        <f t="shared" si="35"/>
        <v/>
      </c>
      <c r="AY49" s="40"/>
      <c r="AZ49" s="43" t="str">
        <f t="shared" si="36"/>
        <v/>
      </c>
      <c r="BA49" s="24" t="s">
        <v>428</v>
      </c>
    </row>
    <row r="50" spans="1:53" ht="20" customHeight="1" x14ac:dyDescent="0.2">
      <c r="A50" s="67"/>
      <c r="B50" s="97"/>
      <c r="C50" s="25" t="s">
        <v>86</v>
      </c>
      <c r="D50" s="24" t="s">
        <v>69</v>
      </c>
      <c r="E50" s="24" t="s">
        <v>70</v>
      </c>
      <c r="F50" s="25">
        <v>2004</v>
      </c>
      <c r="G50" s="25">
        <v>61</v>
      </c>
      <c r="H50" s="29">
        <v>16</v>
      </c>
      <c r="I50" s="28" t="s">
        <v>201</v>
      </c>
      <c r="J50" s="39" t="s">
        <v>212</v>
      </c>
      <c r="K50" s="40"/>
      <c r="L50" s="43" t="str">
        <f t="shared" si="21"/>
        <v/>
      </c>
      <c r="M50" s="40"/>
      <c r="N50" s="43" t="str">
        <f t="shared" si="22"/>
        <v/>
      </c>
      <c r="O50" s="40"/>
      <c r="P50" s="43" t="str">
        <f t="shared" si="23"/>
        <v/>
      </c>
      <c r="Q50" s="40"/>
      <c r="R50" s="43" t="str">
        <f t="shared" si="24"/>
        <v/>
      </c>
      <c r="S50" s="40"/>
      <c r="T50" s="43" t="str">
        <f t="shared" si="25"/>
        <v/>
      </c>
      <c r="U50" s="86"/>
      <c r="V50" s="43" t="str">
        <f t="shared" si="37"/>
        <v/>
      </c>
      <c r="W50" s="40"/>
      <c r="X50" s="43" t="str">
        <f t="shared" si="26"/>
        <v/>
      </c>
      <c r="Y50" s="40"/>
      <c r="Z50" s="43" t="str">
        <f t="shared" si="27"/>
        <v/>
      </c>
      <c r="AA50" s="40"/>
      <c r="AB50" s="43" t="str">
        <f t="shared" si="28"/>
        <v/>
      </c>
      <c r="AC50" s="40"/>
      <c r="AD50" s="43" t="str">
        <f t="shared" si="29"/>
        <v/>
      </c>
      <c r="AE50" s="40"/>
      <c r="AF50" s="43" t="str">
        <f t="shared" si="30"/>
        <v/>
      </c>
      <c r="AG50" s="40"/>
      <c r="AH50" s="43" t="str">
        <f t="shared" si="20"/>
        <v/>
      </c>
      <c r="AI50" s="40"/>
      <c r="AJ50" s="43" t="str">
        <f t="shared" si="31"/>
        <v/>
      </c>
      <c r="AK50" s="40"/>
      <c r="AL50" s="43" t="str">
        <f t="shared" si="32"/>
        <v/>
      </c>
      <c r="AM50" s="40"/>
      <c r="AN50" s="43" t="str">
        <f t="shared" si="14"/>
        <v/>
      </c>
      <c r="AO50" s="86"/>
      <c r="AP50" s="43" t="str">
        <f t="shared" si="33"/>
        <v/>
      </c>
      <c r="AQ50" s="40"/>
      <c r="AR50" s="43" t="str">
        <f t="shared" si="34"/>
        <v/>
      </c>
      <c r="AS50" s="40"/>
      <c r="AT50" s="43" t="str">
        <f t="shared" si="14"/>
        <v/>
      </c>
      <c r="AU50" s="40"/>
      <c r="AV50" s="43" t="str">
        <f t="shared" si="17"/>
        <v/>
      </c>
      <c r="AW50" s="40"/>
      <c r="AX50" s="43" t="str">
        <f t="shared" si="35"/>
        <v/>
      </c>
      <c r="AY50" s="40"/>
      <c r="AZ50" s="43" t="str">
        <f t="shared" si="36"/>
        <v/>
      </c>
      <c r="BA50" s="24" t="s">
        <v>202</v>
      </c>
    </row>
    <row r="51" spans="1:53" ht="20" customHeight="1" x14ac:dyDescent="0.2">
      <c r="A51" s="67"/>
      <c r="B51" s="96"/>
      <c r="C51" s="25" t="s">
        <v>86</v>
      </c>
      <c r="D51" s="24" t="s">
        <v>71</v>
      </c>
      <c r="E51" s="24" t="s">
        <v>70</v>
      </c>
      <c r="F51" s="25">
        <v>2004</v>
      </c>
      <c r="G51" s="25">
        <v>45</v>
      </c>
      <c r="H51" s="29">
        <v>16</v>
      </c>
      <c r="I51" s="28" t="s">
        <v>201</v>
      </c>
      <c r="J51" s="39" t="s">
        <v>212</v>
      </c>
      <c r="K51" s="40"/>
      <c r="L51" s="43" t="str">
        <f t="shared" si="21"/>
        <v/>
      </c>
      <c r="M51" s="40"/>
      <c r="N51" s="43" t="str">
        <f t="shared" si="22"/>
        <v/>
      </c>
      <c r="O51" s="40"/>
      <c r="P51" s="43" t="str">
        <f t="shared" si="23"/>
        <v/>
      </c>
      <c r="Q51" s="40"/>
      <c r="R51" s="43" t="str">
        <f t="shared" si="24"/>
        <v/>
      </c>
      <c r="S51" s="40"/>
      <c r="T51" s="43" t="str">
        <f t="shared" si="25"/>
        <v/>
      </c>
      <c r="U51" s="86"/>
      <c r="V51" s="43" t="str">
        <f t="shared" si="37"/>
        <v/>
      </c>
      <c r="W51" s="40"/>
      <c r="X51" s="43" t="str">
        <f t="shared" si="26"/>
        <v/>
      </c>
      <c r="Y51" s="40"/>
      <c r="Z51" s="43" t="str">
        <f t="shared" si="27"/>
        <v/>
      </c>
      <c r="AA51" s="40"/>
      <c r="AB51" s="43" t="str">
        <f t="shared" si="28"/>
        <v/>
      </c>
      <c r="AC51" s="40"/>
      <c r="AD51" s="43" t="str">
        <f t="shared" si="29"/>
        <v/>
      </c>
      <c r="AE51" s="40"/>
      <c r="AF51" s="43" t="str">
        <f t="shared" si="30"/>
        <v/>
      </c>
      <c r="AG51" s="40"/>
      <c r="AH51" s="43" t="str">
        <f t="shared" si="20"/>
        <v/>
      </c>
      <c r="AI51" s="40"/>
      <c r="AJ51" s="43" t="str">
        <f t="shared" si="31"/>
        <v/>
      </c>
      <c r="AK51" s="40"/>
      <c r="AL51" s="43" t="str">
        <f t="shared" si="32"/>
        <v/>
      </c>
      <c r="AM51" s="40"/>
      <c r="AN51" s="43" t="str">
        <f t="shared" si="14"/>
        <v/>
      </c>
      <c r="AO51" s="86"/>
      <c r="AP51" s="43" t="str">
        <f t="shared" si="33"/>
        <v/>
      </c>
      <c r="AQ51" s="40"/>
      <c r="AR51" s="43" t="str">
        <f t="shared" si="34"/>
        <v/>
      </c>
      <c r="AS51" s="40"/>
      <c r="AT51" s="43" t="str">
        <f t="shared" si="14"/>
        <v/>
      </c>
      <c r="AU51" s="40"/>
      <c r="AV51" s="43" t="str">
        <f t="shared" si="17"/>
        <v/>
      </c>
      <c r="AW51" s="40"/>
      <c r="AX51" s="43" t="str">
        <f t="shared" si="35"/>
        <v/>
      </c>
      <c r="AY51" s="40"/>
      <c r="AZ51" s="43" t="str">
        <f t="shared" si="36"/>
        <v/>
      </c>
      <c r="BA51" s="24" t="s">
        <v>196</v>
      </c>
    </row>
    <row r="52" spans="1:53" ht="20" customHeight="1" x14ac:dyDescent="0.2">
      <c r="A52" s="67"/>
      <c r="B52" s="95"/>
      <c r="D52" s="24" t="s">
        <v>317</v>
      </c>
      <c r="E52" s="24" t="s">
        <v>320</v>
      </c>
      <c r="F52" s="25">
        <v>2008</v>
      </c>
      <c r="H52" s="29"/>
      <c r="I52" s="28"/>
      <c r="J52" s="39" t="s">
        <v>395</v>
      </c>
      <c r="K52" s="40"/>
      <c r="L52" s="43" t="str">
        <f t="shared" si="21"/>
        <v/>
      </c>
      <c r="M52" s="40"/>
      <c r="N52" s="43" t="str">
        <f t="shared" si="22"/>
        <v/>
      </c>
      <c r="O52" s="40">
        <v>2</v>
      </c>
      <c r="P52" s="43" t="str">
        <f t="shared" si="23"/>
        <v/>
      </c>
      <c r="Q52" s="40"/>
      <c r="R52" s="43" t="str">
        <f t="shared" si="24"/>
        <v/>
      </c>
      <c r="S52" s="40"/>
      <c r="T52" s="43" t="str">
        <f t="shared" si="25"/>
        <v/>
      </c>
      <c r="U52" s="86"/>
      <c r="V52" s="43" t="str">
        <f t="shared" si="37"/>
        <v/>
      </c>
      <c r="W52" s="40"/>
      <c r="X52" s="43" t="str">
        <f t="shared" si="26"/>
        <v/>
      </c>
      <c r="Y52" s="40"/>
      <c r="Z52" s="43" t="str">
        <f t="shared" si="27"/>
        <v/>
      </c>
      <c r="AA52" s="40"/>
      <c r="AB52" s="43" t="str">
        <f t="shared" si="28"/>
        <v/>
      </c>
      <c r="AC52" s="40"/>
      <c r="AD52" s="43" t="str">
        <f t="shared" si="29"/>
        <v/>
      </c>
      <c r="AE52" s="40"/>
      <c r="AF52" s="43" t="str">
        <f t="shared" si="30"/>
        <v/>
      </c>
      <c r="AG52" s="40"/>
      <c r="AH52" s="43" t="str">
        <f t="shared" si="20"/>
        <v/>
      </c>
      <c r="AI52" s="40"/>
      <c r="AJ52" s="43" t="str">
        <f t="shared" si="31"/>
        <v/>
      </c>
      <c r="AK52" s="40"/>
      <c r="AL52" s="43" t="str">
        <f t="shared" si="32"/>
        <v/>
      </c>
      <c r="AM52" s="40"/>
      <c r="AN52" s="43" t="str">
        <f t="shared" si="14"/>
        <v/>
      </c>
      <c r="AO52" s="86"/>
      <c r="AP52" s="43" t="str">
        <f t="shared" si="33"/>
        <v/>
      </c>
      <c r="AQ52" s="40"/>
      <c r="AR52" s="43" t="str">
        <f t="shared" si="34"/>
        <v/>
      </c>
      <c r="AS52" s="40"/>
      <c r="AT52" s="43" t="str">
        <f t="shared" si="14"/>
        <v/>
      </c>
      <c r="AU52" s="40"/>
      <c r="AV52" s="43" t="str">
        <f t="shared" si="17"/>
        <v/>
      </c>
      <c r="AW52" s="40"/>
      <c r="AX52" s="43" t="str">
        <f t="shared" si="35"/>
        <v/>
      </c>
      <c r="AY52" s="40"/>
      <c r="AZ52" s="43" t="str">
        <f t="shared" si="36"/>
        <v/>
      </c>
    </row>
    <row r="53" spans="1:53" ht="20" customHeight="1" x14ac:dyDescent="0.2">
      <c r="A53" s="67"/>
      <c r="B53" s="96"/>
      <c r="C53" s="25" t="s">
        <v>86</v>
      </c>
      <c r="D53" s="24" t="s">
        <v>318</v>
      </c>
      <c r="E53" s="24" t="s">
        <v>319</v>
      </c>
      <c r="F53" s="25">
        <v>2013</v>
      </c>
      <c r="H53" s="29">
        <v>54</v>
      </c>
      <c r="I53" s="28"/>
      <c r="J53" s="39"/>
      <c r="K53" s="40"/>
      <c r="L53" s="43" t="str">
        <f t="shared" si="21"/>
        <v/>
      </c>
      <c r="M53" s="40"/>
      <c r="N53" s="43" t="str">
        <f t="shared" si="22"/>
        <v/>
      </c>
      <c r="O53" s="40"/>
      <c r="P53" s="43" t="str">
        <f t="shared" si="23"/>
        <v/>
      </c>
      <c r="Q53" s="40"/>
      <c r="R53" s="43" t="str">
        <f t="shared" si="24"/>
        <v/>
      </c>
      <c r="S53" s="40"/>
      <c r="T53" s="43" t="str">
        <f t="shared" si="25"/>
        <v/>
      </c>
      <c r="U53" s="86"/>
      <c r="V53" s="43" t="str">
        <f t="shared" si="37"/>
        <v/>
      </c>
      <c r="W53" s="40"/>
      <c r="X53" s="43" t="str">
        <f t="shared" si="26"/>
        <v/>
      </c>
      <c r="Y53" s="40"/>
      <c r="Z53" s="43" t="str">
        <f t="shared" si="27"/>
        <v/>
      </c>
      <c r="AA53" s="40"/>
      <c r="AB53" s="43" t="str">
        <f t="shared" si="28"/>
        <v/>
      </c>
      <c r="AC53" s="40"/>
      <c r="AD53" s="43" t="str">
        <f t="shared" si="29"/>
        <v/>
      </c>
      <c r="AE53" s="40"/>
      <c r="AF53" s="43" t="str">
        <f t="shared" si="30"/>
        <v/>
      </c>
      <c r="AG53" s="40"/>
      <c r="AH53" s="43" t="str">
        <f t="shared" si="20"/>
        <v/>
      </c>
      <c r="AI53" s="40"/>
      <c r="AJ53" s="43" t="str">
        <f t="shared" si="31"/>
        <v/>
      </c>
      <c r="AK53" s="40"/>
      <c r="AL53" s="43" t="str">
        <f t="shared" si="32"/>
        <v/>
      </c>
      <c r="AM53" s="40"/>
      <c r="AN53" s="43" t="str">
        <f t="shared" si="14"/>
        <v/>
      </c>
      <c r="AO53" s="86"/>
      <c r="AP53" s="43" t="str">
        <f t="shared" si="33"/>
        <v/>
      </c>
      <c r="AQ53" s="40"/>
      <c r="AR53" s="43" t="str">
        <f t="shared" si="34"/>
        <v/>
      </c>
      <c r="AS53" s="40"/>
      <c r="AT53" s="43" t="str">
        <f t="shared" si="14"/>
        <v/>
      </c>
      <c r="AU53" s="40"/>
      <c r="AV53" s="43" t="str">
        <f t="shared" si="17"/>
        <v/>
      </c>
      <c r="AW53" s="40"/>
      <c r="AX53" s="43" t="str">
        <f t="shared" si="35"/>
        <v/>
      </c>
      <c r="AY53" s="40"/>
      <c r="AZ53" s="43" t="str">
        <f t="shared" si="36"/>
        <v/>
      </c>
      <c r="BA53" s="24" t="s">
        <v>396</v>
      </c>
    </row>
    <row r="54" spans="1:53" ht="20" customHeight="1" x14ac:dyDescent="0.2">
      <c r="A54" s="68"/>
      <c r="B54" s="25"/>
      <c r="C54" s="25" t="s">
        <v>86</v>
      </c>
      <c r="D54" s="24" t="s">
        <v>397</v>
      </c>
      <c r="E54" s="24" t="s">
        <v>73</v>
      </c>
      <c r="F54" s="25">
        <v>2014</v>
      </c>
      <c r="G54" s="25">
        <v>23</v>
      </c>
      <c r="H54" s="29">
        <v>28</v>
      </c>
      <c r="I54" s="28" t="s">
        <v>203</v>
      </c>
      <c r="J54" s="39" t="s">
        <v>213</v>
      </c>
      <c r="K54" s="40"/>
      <c r="L54" s="43" t="str">
        <f t="shared" si="21"/>
        <v/>
      </c>
      <c r="M54" s="40"/>
      <c r="N54" s="43" t="str">
        <f t="shared" si="22"/>
        <v/>
      </c>
      <c r="O54" s="40"/>
      <c r="P54" s="43" t="str">
        <f t="shared" si="23"/>
        <v/>
      </c>
      <c r="Q54" s="40"/>
      <c r="R54" s="43" t="str">
        <f t="shared" si="24"/>
        <v/>
      </c>
      <c r="S54" s="40"/>
      <c r="T54" s="43" t="str">
        <f t="shared" si="25"/>
        <v/>
      </c>
      <c r="U54" s="86"/>
      <c r="V54" s="43" t="str">
        <f t="shared" si="37"/>
        <v/>
      </c>
      <c r="W54" s="40"/>
      <c r="X54" s="43" t="str">
        <f t="shared" si="26"/>
        <v/>
      </c>
      <c r="Y54" s="40"/>
      <c r="Z54" s="43" t="str">
        <f t="shared" si="27"/>
        <v/>
      </c>
      <c r="AA54" s="40"/>
      <c r="AB54" s="43" t="str">
        <f t="shared" si="28"/>
        <v/>
      </c>
      <c r="AC54" s="40"/>
      <c r="AD54" s="43" t="str">
        <f t="shared" si="29"/>
        <v/>
      </c>
      <c r="AE54" s="40"/>
      <c r="AF54" s="43" t="str">
        <f t="shared" si="30"/>
        <v/>
      </c>
      <c r="AG54" s="40"/>
      <c r="AH54" s="43" t="str">
        <f t="shared" si="20"/>
        <v/>
      </c>
      <c r="AI54" s="40"/>
      <c r="AJ54" s="43" t="str">
        <f t="shared" si="31"/>
        <v/>
      </c>
      <c r="AK54" s="40"/>
      <c r="AL54" s="43" t="str">
        <f t="shared" si="32"/>
        <v/>
      </c>
      <c r="AM54" s="40"/>
      <c r="AN54" s="43" t="str">
        <f t="shared" si="14"/>
        <v/>
      </c>
      <c r="AO54" s="86"/>
      <c r="AP54" s="43" t="str">
        <f t="shared" si="33"/>
        <v/>
      </c>
      <c r="AQ54" s="40"/>
      <c r="AR54" s="43" t="str">
        <f t="shared" si="34"/>
        <v/>
      </c>
      <c r="AS54" s="40"/>
      <c r="AT54" s="43" t="str">
        <f t="shared" si="14"/>
        <v/>
      </c>
      <c r="AU54" s="40"/>
      <c r="AV54" s="43" t="str">
        <f t="shared" si="17"/>
        <v/>
      </c>
      <c r="AW54" s="40"/>
      <c r="AX54" s="43" t="str">
        <f t="shared" si="35"/>
        <v/>
      </c>
      <c r="AY54" s="40"/>
      <c r="AZ54" s="43" t="str">
        <f t="shared" si="36"/>
        <v/>
      </c>
      <c r="BA54" s="24" t="s">
        <v>204</v>
      </c>
    </row>
    <row r="55" spans="1:53" ht="20" customHeight="1" x14ac:dyDescent="0.2">
      <c r="A55" s="67"/>
      <c r="B55" s="95"/>
      <c r="C55" s="25" t="s">
        <v>86</v>
      </c>
      <c r="D55" s="24" t="s">
        <v>321</v>
      </c>
      <c r="E55" s="24" t="s">
        <v>322</v>
      </c>
      <c r="F55" s="25">
        <v>2014</v>
      </c>
      <c r="H55" s="29">
        <v>28</v>
      </c>
      <c r="I55" s="28" t="s">
        <v>203</v>
      </c>
      <c r="J55" s="39" t="s">
        <v>213</v>
      </c>
      <c r="K55" s="40"/>
      <c r="L55" s="43" t="str">
        <f t="shared" si="21"/>
        <v/>
      </c>
      <c r="M55" s="40"/>
      <c r="N55" s="43" t="str">
        <f t="shared" si="22"/>
        <v/>
      </c>
      <c r="O55" s="40"/>
      <c r="P55" s="43" t="str">
        <f t="shared" si="23"/>
        <v/>
      </c>
      <c r="Q55" s="40"/>
      <c r="R55" s="43" t="str">
        <f t="shared" si="24"/>
        <v/>
      </c>
      <c r="S55" s="40"/>
      <c r="T55" s="43" t="str">
        <f t="shared" si="25"/>
        <v/>
      </c>
      <c r="U55" s="86">
        <v>3</v>
      </c>
      <c r="V55" s="43">
        <f t="shared" si="37"/>
        <v>10.714285714285714</v>
      </c>
      <c r="W55" s="40"/>
      <c r="X55" s="43" t="str">
        <f t="shared" si="26"/>
        <v/>
      </c>
      <c r="Y55" s="40"/>
      <c r="Z55" s="43" t="str">
        <f t="shared" si="27"/>
        <v/>
      </c>
      <c r="AA55" s="40"/>
      <c r="AB55" s="43" t="str">
        <f t="shared" si="28"/>
        <v/>
      </c>
      <c r="AC55" s="40"/>
      <c r="AD55" s="43" t="str">
        <f t="shared" si="29"/>
        <v/>
      </c>
      <c r="AE55" s="40"/>
      <c r="AF55" s="43" t="str">
        <f t="shared" si="30"/>
        <v/>
      </c>
      <c r="AG55" s="40">
        <v>3</v>
      </c>
      <c r="AH55" s="43">
        <f t="shared" si="20"/>
        <v>10.714285714285714</v>
      </c>
      <c r="AI55" s="40"/>
      <c r="AJ55" s="43" t="str">
        <f t="shared" si="31"/>
        <v/>
      </c>
      <c r="AK55" s="40">
        <v>4</v>
      </c>
      <c r="AL55" s="43">
        <f t="shared" si="32"/>
        <v>14.285714285714285</v>
      </c>
      <c r="AM55" s="40"/>
      <c r="AN55" s="43" t="str">
        <f t="shared" si="14"/>
        <v/>
      </c>
      <c r="AO55" s="86">
        <v>5</v>
      </c>
      <c r="AP55" s="43">
        <f t="shared" si="33"/>
        <v>17.857142857142858</v>
      </c>
      <c r="AQ55" s="40"/>
      <c r="AR55" s="43" t="str">
        <f t="shared" si="34"/>
        <v/>
      </c>
      <c r="AS55" s="40"/>
      <c r="AT55" s="43" t="str">
        <f t="shared" si="14"/>
        <v/>
      </c>
      <c r="AU55" s="40"/>
      <c r="AV55" s="43" t="str">
        <f t="shared" si="17"/>
        <v/>
      </c>
      <c r="AW55" s="40"/>
      <c r="AX55" s="43" t="str">
        <f t="shared" si="35"/>
        <v/>
      </c>
      <c r="AY55" s="40"/>
      <c r="AZ55" s="43" t="str">
        <f t="shared" si="36"/>
        <v/>
      </c>
      <c r="BA55" s="24" t="s">
        <v>398</v>
      </c>
    </row>
    <row r="56" spans="1:53" ht="20" customHeight="1" x14ac:dyDescent="0.2">
      <c r="A56" s="67"/>
      <c r="B56" s="25"/>
      <c r="C56" s="57" t="s">
        <v>35</v>
      </c>
      <c r="D56" s="56" t="s">
        <v>74</v>
      </c>
      <c r="E56" s="56" t="s">
        <v>75</v>
      </c>
      <c r="F56" s="57">
        <v>2015</v>
      </c>
      <c r="G56" s="57">
        <v>6</v>
      </c>
      <c r="H56" s="29"/>
      <c r="I56" s="28"/>
      <c r="J56" s="39"/>
      <c r="K56" s="40"/>
      <c r="L56" s="43" t="str">
        <f t="shared" si="21"/>
        <v/>
      </c>
      <c r="M56" s="40"/>
      <c r="N56" s="43" t="str">
        <f t="shared" si="22"/>
        <v/>
      </c>
      <c r="O56" s="40"/>
      <c r="P56" s="43" t="str">
        <f t="shared" si="23"/>
        <v/>
      </c>
      <c r="Q56" s="40"/>
      <c r="R56" s="43" t="str">
        <f t="shared" si="24"/>
        <v/>
      </c>
      <c r="S56" s="40"/>
      <c r="T56" s="43" t="str">
        <f t="shared" si="25"/>
        <v/>
      </c>
      <c r="U56" s="86"/>
      <c r="V56" s="43" t="str">
        <f t="shared" si="37"/>
        <v/>
      </c>
      <c r="W56" s="40"/>
      <c r="X56" s="43" t="str">
        <f t="shared" si="26"/>
        <v/>
      </c>
      <c r="Y56" s="40"/>
      <c r="Z56" s="43" t="str">
        <f t="shared" si="27"/>
        <v/>
      </c>
      <c r="AA56" s="40"/>
      <c r="AB56" s="43" t="str">
        <f t="shared" si="28"/>
        <v/>
      </c>
      <c r="AC56" s="40"/>
      <c r="AD56" s="43" t="str">
        <f t="shared" si="29"/>
        <v/>
      </c>
      <c r="AE56" s="40"/>
      <c r="AF56" s="43" t="str">
        <f t="shared" si="30"/>
        <v/>
      </c>
      <c r="AG56" s="40"/>
      <c r="AH56" s="43" t="str">
        <f t="shared" si="20"/>
        <v/>
      </c>
      <c r="AI56" s="40"/>
      <c r="AJ56" s="43" t="str">
        <f t="shared" si="31"/>
        <v/>
      </c>
      <c r="AK56" s="40"/>
      <c r="AL56" s="43" t="str">
        <f t="shared" si="32"/>
        <v/>
      </c>
      <c r="AM56" s="40"/>
      <c r="AN56" s="43" t="str">
        <f t="shared" si="14"/>
        <v/>
      </c>
      <c r="AO56" s="86"/>
      <c r="AP56" s="43" t="str">
        <f t="shared" si="33"/>
        <v/>
      </c>
      <c r="AQ56" s="40"/>
      <c r="AR56" s="43" t="str">
        <f t="shared" si="34"/>
        <v/>
      </c>
      <c r="AS56" s="40"/>
      <c r="AT56" s="43" t="str">
        <f t="shared" si="14"/>
        <v/>
      </c>
      <c r="AU56" s="40"/>
      <c r="AV56" s="43" t="str">
        <f t="shared" si="17"/>
        <v/>
      </c>
      <c r="AW56" s="40"/>
      <c r="AX56" s="43" t="str">
        <f t="shared" si="35"/>
        <v/>
      </c>
      <c r="AY56" s="40"/>
      <c r="AZ56" s="43" t="str">
        <f t="shared" si="36"/>
        <v/>
      </c>
    </row>
    <row r="57" spans="1:53" ht="20" customHeight="1" x14ac:dyDescent="0.2">
      <c r="A57" s="67"/>
      <c r="B57" s="25"/>
      <c r="C57" s="57" t="s">
        <v>30</v>
      </c>
      <c r="D57" s="56" t="s">
        <v>76</v>
      </c>
      <c r="E57" s="56" t="s">
        <v>77</v>
      </c>
      <c r="F57" s="57">
        <v>2002</v>
      </c>
      <c r="G57" s="57">
        <v>434</v>
      </c>
      <c r="H57" s="29"/>
      <c r="I57" s="28" t="s">
        <v>205</v>
      </c>
      <c r="J57" s="39"/>
      <c r="K57" s="40"/>
      <c r="L57" s="43" t="str">
        <f t="shared" si="21"/>
        <v/>
      </c>
      <c r="M57" s="40"/>
      <c r="N57" s="43" t="str">
        <f t="shared" si="22"/>
        <v/>
      </c>
      <c r="O57" s="45"/>
      <c r="P57" s="46" t="str">
        <f t="shared" si="23"/>
        <v/>
      </c>
      <c r="Q57" s="40"/>
      <c r="R57" s="43" t="str">
        <f t="shared" si="24"/>
        <v/>
      </c>
      <c r="S57" s="40"/>
      <c r="T57" s="43" t="str">
        <f t="shared" si="25"/>
        <v/>
      </c>
      <c r="U57" s="86"/>
      <c r="V57" s="43" t="str">
        <f t="shared" si="37"/>
        <v/>
      </c>
      <c r="W57" s="40"/>
      <c r="X57" s="43" t="str">
        <f t="shared" si="26"/>
        <v/>
      </c>
      <c r="Y57" s="40"/>
      <c r="Z57" s="43" t="str">
        <f t="shared" si="27"/>
        <v/>
      </c>
      <c r="AA57" s="40"/>
      <c r="AB57" s="43" t="str">
        <f t="shared" si="28"/>
        <v/>
      </c>
      <c r="AC57" s="40"/>
      <c r="AD57" s="43" t="str">
        <f t="shared" si="29"/>
        <v/>
      </c>
      <c r="AE57" s="40"/>
      <c r="AF57" s="43" t="str">
        <f t="shared" si="30"/>
        <v/>
      </c>
      <c r="AG57" s="40"/>
      <c r="AH57" s="43" t="str">
        <f t="shared" si="20"/>
        <v/>
      </c>
      <c r="AI57" s="40"/>
      <c r="AJ57" s="43" t="str">
        <f t="shared" si="31"/>
        <v/>
      </c>
      <c r="AK57" s="40"/>
      <c r="AL57" s="43" t="str">
        <f t="shared" si="32"/>
        <v/>
      </c>
      <c r="AM57" s="40"/>
      <c r="AN57" s="43" t="str">
        <f t="shared" si="14"/>
        <v/>
      </c>
      <c r="AO57" s="86"/>
      <c r="AP57" s="43" t="str">
        <f t="shared" si="33"/>
        <v/>
      </c>
      <c r="AQ57" s="40"/>
      <c r="AR57" s="43" t="str">
        <f t="shared" si="34"/>
        <v/>
      </c>
      <c r="AS57" s="40"/>
      <c r="AT57" s="43" t="str">
        <f t="shared" si="14"/>
        <v/>
      </c>
      <c r="AU57" s="40"/>
      <c r="AV57" s="43" t="str">
        <f t="shared" si="17"/>
        <v/>
      </c>
      <c r="AW57" s="40"/>
      <c r="AX57" s="43" t="str">
        <f t="shared" si="35"/>
        <v/>
      </c>
      <c r="AY57" s="40"/>
      <c r="AZ57" s="43" t="str">
        <f t="shared" si="36"/>
        <v/>
      </c>
      <c r="BA57" s="24" t="s">
        <v>206</v>
      </c>
    </row>
    <row r="58" spans="1:53" ht="20" customHeight="1" x14ac:dyDescent="0.2">
      <c r="A58" s="68"/>
      <c r="B58" s="25"/>
      <c r="C58" s="25" t="s">
        <v>86</v>
      </c>
      <c r="D58" s="24" t="s">
        <v>78</v>
      </c>
      <c r="E58" s="24" t="s">
        <v>79</v>
      </c>
      <c r="F58" s="25">
        <v>2009</v>
      </c>
      <c r="G58" s="25">
        <v>134</v>
      </c>
      <c r="H58" s="29">
        <v>94</v>
      </c>
      <c r="I58" s="28"/>
      <c r="J58" s="39"/>
      <c r="K58" s="40"/>
      <c r="L58" s="43" t="str">
        <f t="shared" si="21"/>
        <v/>
      </c>
      <c r="M58" s="40"/>
      <c r="N58" s="43" t="str">
        <f t="shared" si="22"/>
        <v/>
      </c>
      <c r="O58" s="40"/>
      <c r="P58" s="43" t="str">
        <f t="shared" si="23"/>
        <v/>
      </c>
      <c r="Q58" s="40"/>
      <c r="R58" s="43" t="str">
        <f t="shared" si="24"/>
        <v/>
      </c>
      <c r="S58" s="40"/>
      <c r="T58" s="43" t="str">
        <f t="shared" si="25"/>
        <v/>
      </c>
      <c r="U58" s="86"/>
      <c r="V58" s="43" t="str">
        <f t="shared" si="37"/>
        <v/>
      </c>
      <c r="W58" s="40"/>
      <c r="X58" s="43" t="str">
        <f t="shared" si="26"/>
        <v/>
      </c>
      <c r="Y58" s="40"/>
      <c r="Z58" s="43" t="str">
        <f t="shared" si="27"/>
        <v/>
      </c>
      <c r="AA58" s="40"/>
      <c r="AB58" s="43" t="str">
        <f t="shared" si="28"/>
        <v/>
      </c>
      <c r="AC58" s="40"/>
      <c r="AD58" s="43" t="str">
        <f t="shared" si="29"/>
        <v/>
      </c>
      <c r="AE58" s="40"/>
      <c r="AF58" s="43" t="str">
        <f t="shared" si="30"/>
        <v/>
      </c>
      <c r="AG58" s="40"/>
      <c r="AH58" s="43" t="str">
        <f t="shared" si="20"/>
        <v/>
      </c>
      <c r="AI58" s="40"/>
      <c r="AJ58" s="43" t="str">
        <f t="shared" si="31"/>
        <v/>
      </c>
      <c r="AK58" s="40"/>
      <c r="AL58" s="43" t="str">
        <f t="shared" si="32"/>
        <v/>
      </c>
      <c r="AM58" s="40"/>
      <c r="AN58" s="43" t="str">
        <f t="shared" si="14"/>
        <v/>
      </c>
      <c r="AO58" s="86"/>
      <c r="AP58" s="43" t="str">
        <f t="shared" si="33"/>
        <v/>
      </c>
      <c r="AQ58" s="40"/>
      <c r="AR58" s="43" t="str">
        <f t="shared" si="34"/>
        <v/>
      </c>
      <c r="AS58" s="40"/>
      <c r="AT58" s="43" t="str">
        <f t="shared" si="14"/>
        <v/>
      </c>
      <c r="AU58" s="40"/>
      <c r="AV58" s="43" t="str">
        <f t="shared" si="17"/>
        <v/>
      </c>
      <c r="AW58" s="40"/>
      <c r="AX58" s="43" t="str">
        <f t="shared" si="35"/>
        <v/>
      </c>
      <c r="AY58" s="40"/>
      <c r="AZ58" s="43" t="str">
        <f t="shared" si="36"/>
        <v/>
      </c>
      <c r="BA58" s="24" t="s">
        <v>207</v>
      </c>
    </row>
    <row r="59" spans="1:53" ht="20" customHeight="1" x14ac:dyDescent="0.2">
      <c r="A59" s="67"/>
      <c r="B59" s="96"/>
      <c r="C59" s="25" t="s">
        <v>86</v>
      </c>
      <c r="D59" s="24" t="s">
        <v>323</v>
      </c>
      <c r="E59" s="24" t="s">
        <v>324</v>
      </c>
      <c r="F59" s="25">
        <v>2011</v>
      </c>
      <c r="H59" s="29">
        <v>4</v>
      </c>
      <c r="I59" s="28"/>
      <c r="J59" s="39"/>
      <c r="K59" s="40"/>
      <c r="L59" s="43" t="str">
        <f t="shared" si="21"/>
        <v/>
      </c>
      <c r="M59" s="40"/>
      <c r="N59" s="43" t="str">
        <f t="shared" si="22"/>
        <v/>
      </c>
      <c r="O59" s="40"/>
      <c r="P59" s="43" t="str">
        <f t="shared" si="23"/>
        <v/>
      </c>
      <c r="Q59" s="40"/>
      <c r="R59" s="43" t="str">
        <f t="shared" si="24"/>
        <v/>
      </c>
      <c r="S59" s="40"/>
      <c r="T59" s="43" t="str">
        <f t="shared" si="25"/>
        <v/>
      </c>
      <c r="U59" s="86"/>
      <c r="V59" s="43" t="str">
        <f t="shared" si="37"/>
        <v/>
      </c>
      <c r="W59" s="40"/>
      <c r="X59" s="43" t="str">
        <f t="shared" si="26"/>
        <v/>
      </c>
      <c r="Y59" s="40"/>
      <c r="Z59" s="43" t="str">
        <f t="shared" si="27"/>
        <v/>
      </c>
      <c r="AA59" s="40"/>
      <c r="AB59" s="43" t="str">
        <f t="shared" si="28"/>
        <v/>
      </c>
      <c r="AC59" s="40"/>
      <c r="AD59" s="43" t="str">
        <f t="shared" si="29"/>
        <v/>
      </c>
      <c r="AE59" s="40"/>
      <c r="AF59" s="43" t="str">
        <f t="shared" si="30"/>
        <v/>
      </c>
      <c r="AG59" s="40"/>
      <c r="AH59" s="43" t="str">
        <f t="shared" si="20"/>
        <v/>
      </c>
      <c r="AI59" s="40"/>
      <c r="AJ59" s="43" t="str">
        <f t="shared" si="31"/>
        <v/>
      </c>
      <c r="AK59" s="40"/>
      <c r="AL59" s="43" t="str">
        <f t="shared" si="32"/>
        <v/>
      </c>
      <c r="AM59" s="40"/>
      <c r="AN59" s="43" t="str">
        <f t="shared" si="14"/>
        <v/>
      </c>
      <c r="AO59" s="86"/>
      <c r="AP59" s="43" t="str">
        <f t="shared" si="33"/>
        <v/>
      </c>
      <c r="AQ59" s="40"/>
      <c r="AR59" s="43" t="str">
        <f t="shared" si="34"/>
        <v/>
      </c>
      <c r="AS59" s="40"/>
      <c r="AT59" s="43" t="str">
        <f t="shared" si="14"/>
        <v/>
      </c>
      <c r="AU59" s="40"/>
      <c r="AV59" s="43" t="str">
        <f t="shared" si="17"/>
        <v/>
      </c>
      <c r="AW59" s="40"/>
      <c r="AX59" s="43" t="str">
        <f t="shared" si="35"/>
        <v/>
      </c>
      <c r="AY59" s="40"/>
      <c r="AZ59" s="43" t="str">
        <f t="shared" si="36"/>
        <v/>
      </c>
    </row>
    <row r="60" spans="1:53" ht="20" customHeight="1" x14ac:dyDescent="0.2">
      <c r="A60" s="67"/>
      <c r="B60" s="96"/>
      <c r="C60" s="25" t="s">
        <v>86</v>
      </c>
      <c r="D60" s="24" t="s">
        <v>325</v>
      </c>
      <c r="E60" s="24" t="s">
        <v>326</v>
      </c>
      <c r="F60" s="25">
        <v>2015</v>
      </c>
      <c r="H60" s="29">
        <v>10</v>
      </c>
      <c r="I60" s="28" t="s">
        <v>386</v>
      </c>
      <c r="J60" s="39" t="s">
        <v>399</v>
      </c>
      <c r="K60" s="40"/>
      <c r="L60" s="43" t="str">
        <f t="shared" si="21"/>
        <v/>
      </c>
      <c r="M60" s="40"/>
      <c r="N60" s="43" t="str">
        <f t="shared" si="22"/>
        <v/>
      </c>
      <c r="O60" s="40"/>
      <c r="P60" s="43" t="str">
        <f t="shared" si="23"/>
        <v/>
      </c>
      <c r="Q60" s="40"/>
      <c r="R60" s="43" t="str">
        <f t="shared" si="24"/>
        <v/>
      </c>
      <c r="S60" s="40"/>
      <c r="T60" s="43" t="str">
        <f t="shared" si="25"/>
        <v/>
      </c>
      <c r="U60" s="86"/>
      <c r="V60" s="43" t="str">
        <f t="shared" si="37"/>
        <v/>
      </c>
      <c r="W60" s="40"/>
      <c r="X60" s="43" t="str">
        <f t="shared" si="26"/>
        <v/>
      </c>
      <c r="Y60" s="40"/>
      <c r="Z60" s="43" t="str">
        <f t="shared" si="27"/>
        <v/>
      </c>
      <c r="AA60" s="40"/>
      <c r="AB60" s="43" t="str">
        <f t="shared" si="28"/>
        <v/>
      </c>
      <c r="AC60" s="40"/>
      <c r="AD60" s="43" t="str">
        <f t="shared" si="29"/>
        <v/>
      </c>
      <c r="AE60" s="40"/>
      <c r="AF60" s="43" t="str">
        <f t="shared" si="30"/>
        <v/>
      </c>
      <c r="AG60" s="40"/>
      <c r="AH60" s="43" t="str">
        <f t="shared" si="20"/>
        <v/>
      </c>
      <c r="AI60" s="40"/>
      <c r="AJ60" s="43" t="str">
        <f t="shared" si="31"/>
        <v/>
      </c>
      <c r="AK60" s="40"/>
      <c r="AL60" s="43" t="str">
        <f t="shared" si="32"/>
        <v/>
      </c>
      <c r="AM60" s="40"/>
      <c r="AN60" s="43" t="str">
        <f t="shared" si="14"/>
        <v/>
      </c>
      <c r="AO60" s="86"/>
      <c r="AP60" s="43" t="str">
        <f t="shared" si="33"/>
        <v/>
      </c>
      <c r="AQ60" s="40"/>
      <c r="AR60" s="43" t="str">
        <f t="shared" si="34"/>
        <v/>
      </c>
      <c r="AS60" s="40"/>
      <c r="AT60" s="43" t="str">
        <f t="shared" si="14"/>
        <v/>
      </c>
      <c r="AU60" s="40"/>
      <c r="AV60" s="43" t="str">
        <f t="shared" si="17"/>
        <v/>
      </c>
      <c r="AW60" s="40"/>
      <c r="AX60" s="43" t="str">
        <f t="shared" si="35"/>
        <v/>
      </c>
      <c r="AY60" s="40"/>
      <c r="AZ60" s="43" t="str">
        <f t="shared" si="36"/>
        <v/>
      </c>
    </row>
    <row r="61" spans="1:53" ht="20" customHeight="1" x14ac:dyDescent="0.2">
      <c r="A61" s="67"/>
      <c r="B61" s="95"/>
      <c r="C61" s="25" t="s">
        <v>86</v>
      </c>
      <c r="D61" s="24" t="s">
        <v>80</v>
      </c>
      <c r="E61" s="24" t="s">
        <v>81</v>
      </c>
      <c r="F61" s="25">
        <v>2015</v>
      </c>
      <c r="G61" s="25">
        <v>10</v>
      </c>
      <c r="H61" s="29">
        <v>11</v>
      </c>
      <c r="I61" s="28" t="s">
        <v>215</v>
      </c>
      <c r="J61" s="39" t="s">
        <v>176</v>
      </c>
      <c r="K61" s="40"/>
      <c r="L61" s="43" t="str">
        <f t="shared" si="21"/>
        <v/>
      </c>
      <c r="M61" s="40"/>
      <c r="N61" s="43" t="str">
        <f t="shared" si="22"/>
        <v/>
      </c>
      <c r="O61" s="40"/>
      <c r="P61" s="43" t="str">
        <f t="shared" si="23"/>
        <v/>
      </c>
      <c r="Q61" s="40"/>
      <c r="R61" s="43" t="str">
        <f t="shared" si="24"/>
        <v/>
      </c>
      <c r="S61" s="40"/>
      <c r="T61" s="43" t="str">
        <f t="shared" si="25"/>
        <v/>
      </c>
      <c r="U61" s="86"/>
      <c r="V61" s="43" t="str">
        <f t="shared" si="37"/>
        <v/>
      </c>
      <c r="W61" s="40"/>
      <c r="X61" s="43" t="str">
        <f t="shared" si="26"/>
        <v/>
      </c>
      <c r="Y61" s="40"/>
      <c r="Z61" s="43" t="str">
        <f t="shared" si="27"/>
        <v/>
      </c>
      <c r="AA61" s="40"/>
      <c r="AB61" s="43" t="str">
        <f t="shared" si="28"/>
        <v/>
      </c>
      <c r="AC61" s="40"/>
      <c r="AD61" s="43" t="str">
        <f t="shared" si="29"/>
        <v/>
      </c>
      <c r="AE61" s="40"/>
      <c r="AF61" s="43" t="str">
        <f t="shared" si="30"/>
        <v/>
      </c>
      <c r="AG61" s="45">
        <v>1</v>
      </c>
      <c r="AH61" s="46">
        <f t="shared" si="20"/>
        <v>9.0909090909090917</v>
      </c>
      <c r="AI61" s="40"/>
      <c r="AJ61" s="43" t="str">
        <f t="shared" si="31"/>
        <v/>
      </c>
      <c r="AK61" s="40"/>
      <c r="AL61" s="43" t="str">
        <f t="shared" si="32"/>
        <v/>
      </c>
      <c r="AM61" s="40"/>
      <c r="AN61" s="43" t="str">
        <f t="shared" si="14"/>
        <v/>
      </c>
      <c r="AO61" s="86"/>
      <c r="AP61" s="43" t="str">
        <f t="shared" si="33"/>
        <v/>
      </c>
      <c r="AQ61" s="40"/>
      <c r="AR61" s="43" t="str">
        <f t="shared" si="34"/>
        <v/>
      </c>
      <c r="AS61" s="40"/>
      <c r="AT61" s="43" t="str">
        <f t="shared" si="14"/>
        <v/>
      </c>
      <c r="AU61" s="40"/>
      <c r="AV61" s="43" t="str">
        <f t="shared" si="17"/>
        <v/>
      </c>
      <c r="AW61" s="40"/>
      <c r="AX61" s="43" t="str">
        <f t="shared" si="35"/>
        <v/>
      </c>
      <c r="AY61" s="40"/>
      <c r="AZ61" s="43" t="str">
        <f t="shared" si="36"/>
        <v/>
      </c>
      <c r="BA61" s="24" t="s">
        <v>214</v>
      </c>
    </row>
    <row r="62" spans="1:53" ht="20" customHeight="1" x14ac:dyDescent="0.2">
      <c r="A62" s="68"/>
      <c r="B62" s="96"/>
      <c r="C62" s="25" t="s">
        <v>86</v>
      </c>
      <c r="D62" s="24" t="s">
        <v>82</v>
      </c>
      <c r="E62" s="24" t="s">
        <v>83</v>
      </c>
      <c r="F62" s="25">
        <v>1994</v>
      </c>
      <c r="G62" s="25">
        <v>292</v>
      </c>
      <c r="H62" s="29">
        <v>15</v>
      </c>
      <c r="I62" s="28" t="s">
        <v>216</v>
      </c>
      <c r="J62" s="39"/>
      <c r="K62" s="40"/>
      <c r="L62" s="43" t="str">
        <f t="shared" si="21"/>
        <v/>
      </c>
      <c r="M62" s="40"/>
      <c r="N62" s="43" t="str">
        <f t="shared" si="22"/>
        <v/>
      </c>
      <c r="O62" s="40"/>
      <c r="P62" s="43" t="str">
        <f t="shared" si="23"/>
        <v/>
      </c>
      <c r="Q62" s="40"/>
      <c r="R62" s="43" t="str">
        <f t="shared" si="24"/>
        <v/>
      </c>
      <c r="S62" s="40"/>
      <c r="T62" s="43" t="str">
        <f t="shared" si="25"/>
        <v/>
      </c>
      <c r="U62" s="86"/>
      <c r="V62" s="43" t="str">
        <f t="shared" si="37"/>
        <v/>
      </c>
      <c r="W62" s="40"/>
      <c r="X62" s="43" t="str">
        <f t="shared" si="26"/>
        <v/>
      </c>
      <c r="Y62" s="40"/>
      <c r="Z62" s="43" t="str">
        <f t="shared" si="27"/>
        <v/>
      </c>
      <c r="AA62" s="40"/>
      <c r="AB62" s="43" t="str">
        <f t="shared" si="28"/>
        <v/>
      </c>
      <c r="AC62" s="40"/>
      <c r="AD62" s="43" t="str">
        <f t="shared" si="29"/>
        <v/>
      </c>
      <c r="AE62" s="40"/>
      <c r="AF62" s="43" t="str">
        <f t="shared" si="30"/>
        <v/>
      </c>
      <c r="AG62" s="40"/>
      <c r="AH62" s="43" t="str">
        <f t="shared" si="20"/>
        <v/>
      </c>
      <c r="AI62" s="40"/>
      <c r="AJ62" s="43" t="str">
        <f t="shared" si="31"/>
        <v/>
      </c>
      <c r="AK62" s="40"/>
      <c r="AL62" s="43" t="str">
        <f t="shared" si="32"/>
        <v/>
      </c>
      <c r="AM62" s="40"/>
      <c r="AN62" s="43" t="str">
        <f t="shared" si="14"/>
        <v/>
      </c>
      <c r="AO62" s="86"/>
      <c r="AP62" s="43" t="str">
        <f t="shared" si="33"/>
        <v/>
      </c>
      <c r="AQ62" s="40"/>
      <c r="AR62" s="43" t="str">
        <f t="shared" si="34"/>
        <v/>
      </c>
      <c r="AS62" s="40"/>
      <c r="AT62" s="43" t="str">
        <f t="shared" si="14"/>
        <v/>
      </c>
      <c r="AU62" s="40"/>
      <c r="AV62" s="43" t="str">
        <f t="shared" si="17"/>
        <v/>
      </c>
      <c r="AW62" s="40"/>
      <c r="AX62" s="43" t="str">
        <f t="shared" si="35"/>
        <v/>
      </c>
      <c r="AY62" s="40"/>
      <c r="AZ62" s="43" t="str">
        <f t="shared" si="36"/>
        <v/>
      </c>
      <c r="BA62" s="24" t="s">
        <v>217</v>
      </c>
    </row>
    <row r="63" spans="1:53" ht="20" customHeight="1" x14ac:dyDescent="0.2">
      <c r="A63" s="68"/>
      <c r="B63" s="25"/>
      <c r="C63" s="25" t="s">
        <v>86</v>
      </c>
      <c r="D63" s="24" t="s">
        <v>84</v>
      </c>
      <c r="E63" s="24" t="s">
        <v>85</v>
      </c>
      <c r="F63" s="25">
        <v>2000</v>
      </c>
      <c r="G63" s="25">
        <v>146</v>
      </c>
      <c r="H63" s="29">
        <v>42</v>
      </c>
      <c r="I63" s="28" t="s">
        <v>400</v>
      </c>
      <c r="J63" s="39"/>
      <c r="K63" s="40"/>
      <c r="L63" s="43" t="str">
        <f t="shared" si="21"/>
        <v/>
      </c>
      <c r="M63" s="40"/>
      <c r="N63" s="43" t="str">
        <f t="shared" si="22"/>
        <v/>
      </c>
      <c r="O63" s="40"/>
      <c r="P63" s="43" t="str">
        <f t="shared" si="23"/>
        <v/>
      </c>
      <c r="Q63" s="40"/>
      <c r="R63" s="43" t="str">
        <f t="shared" si="24"/>
        <v/>
      </c>
      <c r="S63" s="40"/>
      <c r="T63" s="43" t="str">
        <f t="shared" si="25"/>
        <v/>
      </c>
      <c r="U63" s="86"/>
      <c r="V63" s="43" t="str">
        <f t="shared" si="37"/>
        <v/>
      </c>
      <c r="W63" s="40"/>
      <c r="X63" s="43" t="str">
        <f t="shared" si="26"/>
        <v/>
      </c>
      <c r="Y63" s="40"/>
      <c r="Z63" s="43" t="str">
        <f t="shared" si="27"/>
        <v/>
      </c>
      <c r="AA63" s="40"/>
      <c r="AB63" s="43" t="str">
        <f t="shared" si="28"/>
        <v/>
      </c>
      <c r="AC63" s="40"/>
      <c r="AD63" s="43" t="str">
        <f t="shared" si="29"/>
        <v/>
      </c>
      <c r="AE63" s="40"/>
      <c r="AF63" s="43" t="str">
        <f t="shared" si="30"/>
        <v/>
      </c>
      <c r="AG63" s="40"/>
      <c r="AH63" s="43" t="str">
        <f t="shared" si="20"/>
        <v/>
      </c>
      <c r="AI63" s="40"/>
      <c r="AJ63" s="43" t="str">
        <f t="shared" si="31"/>
        <v/>
      </c>
      <c r="AK63" s="40"/>
      <c r="AL63" s="43" t="str">
        <f t="shared" si="32"/>
        <v/>
      </c>
      <c r="AM63" s="40"/>
      <c r="AN63" s="43" t="str">
        <f t="shared" si="14"/>
        <v/>
      </c>
      <c r="AO63" s="86"/>
      <c r="AP63" s="43" t="str">
        <f t="shared" si="33"/>
        <v/>
      </c>
      <c r="AQ63" s="40"/>
      <c r="AR63" s="43" t="str">
        <f t="shared" si="34"/>
        <v/>
      </c>
      <c r="AS63" s="40"/>
      <c r="AT63" s="43" t="str">
        <f t="shared" si="14"/>
        <v/>
      </c>
      <c r="AU63" s="40"/>
      <c r="AV63" s="43" t="str">
        <f t="shared" si="17"/>
        <v/>
      </c>
      <c r="AW63" s="40"/>
      <c r="AX63" s="43" t="str">
        <f t="shared" si="35"/>
        <v/>
      </c>
      <c r="AY63" s="40"/>
      <c r="AZ63" s="43" t="str">
        <f t="shared" si="36"/>
        <v/>
      </c>
    </row>
    <row r="64" spans="1:53" ht="20" customHeight="1" x14ac:dyDescent="0.2">
      <c r="A64" s="68"/>
      <c r="B64" s="96"/>
      <c r="C64" s="57" t="s">
        <v>35</v>
      </c>
      <c r="D64" s="56" t="s">
        <v>88</v>
      </c>
      <c r="E64" s="56" t="s">
        <v>89</v>
      </c>
      <c r="F64" s="57">
        <v>1996</v>
      </c>
      <c r="G64" s="57">
        <v>187</v>
      </c>
      <c r="H64" s="29">
        <v>100</v>
      </c>
      <c r="I64" s="28" t="s">
        <v>218</v>
      </c>
      <c r="J64" s="39"/>
      <c r="K64" s="40"/>
      <c r="L64" s="43" t="str">
        <f t="shared" si="21"/>
        <v/>
      </c>
      <c r="M64" s="40"/>
      <c r="N64" s="43" t="str">
        <f t="shared" si="22"/>
        <v/>
      </c>
      <c r="O64" s="40"/>
      <c r="P64" s="43" t="str">
        <f t="shared" si="23"/>
        <v/>
      </c>
      <c r="Q64" s="40"/>
      <c r="R64" s="43" t="str">
        <f t="shared" si="24"/>
        <v/>
      </c>
      <c r="S64" s="40"/>
      <c r="T64" s="43" t="str">
        <f t="shared" si="25"/>
        <v/>
      </c>
      <c r="U64" s="86"/>
      <c r="V64" s="43" t="str">
        <f t="shared" si="37"/>
        <v/>
      </c>
      <c r="W64" s="40"/>
      <c r="X64" s="43" t="str">
        <f t="shared" si="26"/>
        <v/>
      </c>
      <c r="Y64" s="40"/>
      <c r="Z64" s="43" t="str">
        <f t="shared" si="27"/>
        <v/>
      </c>
      <c r="AA64" s="40"/>
      <c r="AB64" s="43" t="str">
        <f t="shared" si="28"/>
        <v/>
      </c>
      <c r="AC64" s="40"/>
      <c r="AD64" s="43" t="str">
        <f t="shared" si="29"/>
        <v/>
      </c>
      <c r="AE64" s="40"/>
      <c r="AF64" s="43" t="str">
        <f t="shared" si="30"/>
        <v/>
      </c>
      <c r="AG64" s="40"/>
      <c r="AH64" s="43" t="str">
        <f t="shared" si="20"/>
        <v/>
      </c>
      <c r="AI64" s="40"/>
      <c r="AJ64" s="43" t="str">
        <f t="shared" si="31"/>
        <v/>
      </c>
      <c r="AK64" s="40"/>
      <c r="AL64" s="43" t="str">
        <f t="shared" si="32"/>
        <v/>
      </c>
      <c r="AM64" s="40"/>
      <c r="AN64" s="43" t="str">
        <f t="shared" si="14"/>
        <v/>
      </c>
      <c r="AO64" s="86"/>
      <c r="AP64" s="43" t="str">
        <f t="shared" si="33"/>
        <v/>
      </c>
      <c r="AQ64" s="40"/>
      <c r="AR64" s="43" t="str">
        <f t="shared" si="34"/>
        <v/>
      </c>
      <c r="AS64" s="40"/>
      <c r="AT64" s="43" t="str">
        <f t="shared" si="14"/>
        <v/>
      </c>
      <c r="AU64" s="40"/>
      <c r="AV64" s="43" t="str">
        <f t="shared" si="17"/>
        <v/>
      </c>
      <c r="AW64" s="40"/>
      <c r="AX64" s="43" t="str">
        <f t="shared" si="35"/>
        <v/>
      </c>
      <c r="AY64" s="40"/>
      <c r="AZ64" s="43" t="str">
        <f t="shared" si="36"/>
        <v/>
      </c>
      <c r="BA64" s="24" t="s">
        <v>219</v>
      </c>
    </row>
    <row r="65" spans="1:53" ht="20" customHeight="1" x14ac:dyDescent="0.2">
      <c r="A65" s="68"/>
      <c r="B65" s="96"/>
      <c r="C65" s="25" t="s">
        <v>86</v>
      </c>
      <c r="D65" s="24" t="s">
        <v>90</v>
      </c>
      <c r="E65" s="24" t="s">
        <v>91</v>
      </c>
      <c r="F65" s="25">
        <v>2000</v>
      </c>
      <c r="G65" s="25">
        <v>79</v>
      </c>
      <c r="H65" s="29">
        <v>10</v>
      </c>
      <c r="I65" s="28" t="s">
        <v>174</v>
      </c>
      <c r="J65" s="39"/>
      <c r="K65" s="40"/>
      <c r="L65" s="43" t="str">
        <f t="shared" si="21"/>
        <v/>
      </c>
      <c r="M65" s="40"/>
      <c r="N65" s="43" t="str">
        <f t="shared" si="22"/>
        <v/>
      </c>
      <c r="O65" s="40"/>
      <c r="P65" s="43" t="str">
        <f t="shared" si="23"/>
        <v/>
      </c>
      <c r="Q65" s="40"/>
      <c r="R65" s="43" t="str">
        <f t="shared" si="24"/>
        <v/>
      </c>
      <c r="S65" s="40"/>
      <c r="T65" s="43" t="str">
        <f t="shared" si="25"/>
        <v/>
      </c>
      <c r="U65" s="86"/>
      <c r="V65" s="43" t="str">
        <f t="shared" si="37"/>
        <v/>
      </c>
      <c r="W65" s="40"/>
      <c r="X65" s="43" t="str">
        <f t="shared" si="26"/>
        <v/>
      </c>
      <c r="Y65" s="40"/>
      <c r="Z65" s="43" t="str">
        <f t="shared" si="27"/>
        <v/>
      </c>
      <c r="AA65" s="40"/>
      <c r="AB65" s="43" t="str">
        <f t="shared" si="28"/>
        <v/>
      </c>
      <c r="AC65" s="40"/>
      <c r="AD65" s="43" t="str">
        <f t="shared" si="29"/>
        <v/>
      </c>
      <c r="AE65" s="40"/>
      <c r="AF65" s="43" t="str">
        <f t="shared" si="30"/>
        <v/>
      </c>
      <c r="AG65" s="40"/>
      <c r="AH65" s="43" t="str">
        <f t="shared" si="20"/>
        <v/>
      </c>
      <c r="AI65" s="40"/>
      <c r="AJ65" s="43" t="str">
        <f t="shared" si="31"/>
        <v/>
      </c>
      <c r="AK65" s="40"/>
      <c r="AL65" s="43" t="str">
        <f t="shared" si="32"/>
        <v/>
      </c>
      <c r="AM65" s="40"/>
      <c r="AN65" s="43" t="str">
        <f t="shared" si="14"/>
        <v/>
      </c>
      <c r="AO65" s="86"/>
      <c r="AP65" s="43" t="str">
        <f t="shared" si="33"/>
        <v/>
      </c>
      <c r="AQ65" s="40"/>
      <c r="AR65" s="43" t="str">
        <f t="shared" si="34"/>
        <v/>
      </c>
      <c r="AS65" s="40"/>
      <c r="AT65" s="43" t="str">
        <f t="shared" si="14"/>
        <v/>
      </c>
      <c r="AU65" s="40"/>
      <c r="AV65" s="43" t="str">
        <f t="shared" si="17"/>
        <v/>
      </c>
      <c r="AW65" s="40"/>
      <c r="AX65" s="43" t="str">
        <f t="shared" si="35"/>
        <v/>
      </c>
      <c r="AY65" s="40"/>
      <c r="AZ65" s="43" t="str">
        <f t="shared" si="36"/>
        <v/>
      </c>
      <c r="BA65" s="24" t="s">
        <v>220</v>
      </c>
    </row>
    <row r="66" spans="1:53" ht="20" customHeight="1" x14ac:dyDescent="0.2">
      <c r="A66" s="67"/>
      <c r="B66" s="95"/>
      <c r="D66" s="24" t="s">
        <v>327</v>
      </c>
      <c r="E66" s="24" t="s">
        <v>328</v>
      </c>
      <c r="F66" s="25">
        <v>2005</v>
      </c>
      <c r="H66" s="29">
        <v>13</v>
      </c>
      <c r="I66" s="28" t="s">
        <v>401</v>
      </c>
      <c r="J66" s="39"/>
      <c r="K66" s="40"/>
      <c r="L66" s="43" t="str">
        <f t="shared" si="21"/>
        <v/>
      </c>
      <c r="M66" s="40"/>
      <c r="N66" s="43" t="str">
        <f t="shared" si="22"/>
        <v/>
      </c>
      <c r="O66" s="40"/>
      <c r="P66" s="43" t="str">
        <f t="shared" si="23"/>
        <v/>
      </c>
      <c r="Q66" s="40"/>
      <c r="R66" s="43" t="str">
        <f t="shared" si="24"/>
        <v/>
      </c>
      <c r="S66" s="40"/>
      <c r="T66" s="43" t="str">
        <f t="shared" si="25"/>
        <v/>
      </c>
      <c r="U66" s="86">
        <v>1</v>
      </c>
      <c r="V66" s="43">
        <f t="shared" si="37"/>
        <v>7.6923076923076925</v>
      </c>
      <c r="W66" s="40">
        <v>3</v>
      </c>
      <c r="X66" s="43">
        <f t="shared" si="26"/>
        <v>23.076923076923077</v>
      </c>
      <c r="Y66" s="40"/>
      <c r="Z66" s="43" t="str">
        <f t="shared" si="27"/>
        <v/>
      </c>
      <c r="AA66" s="40"/>
      <c r="AB66" s="43" t="str">
        <f t="shared" si="28"/>
        <v/>
      </c>
      <c r="AC66" s="40"/>
      <c r="AD66" s="43" t="str">
        <f t="shared" si="29"/>
        <v/>
      </c>
      <c r="AE66" s="40"/>
      <c r="AF66" s="43" t="str">
        <f t="shared" si="30"/>
        <v/>
      </c>
      <c r="AG66" s="40"/>
      <c r="AH66" s="43" t="str">
        <f t="shared" si="20"/>
        <v/>
      </c>
      <c r="AI66" s="40"/>
      <c r="AJ66" s="43" t="str">
        <f t="shared" si="31"/>
        <v/>
      </c>
      <c r="AK66" s="40"/>
      <c r="AL66" s="43" t="str">
        <f t="shared" si="32"/>
        <v/>
      </c>
      <c r="AM66" s="40"/>
      <c r="AN66" s="43" t="str">
        <f t="shared" si="14"/>
        <v/>
      </c>
      <c r="AO66" s="86"/>
      <c r="AP66" s="43" t="str">
        <f t="shared" si="33"/>
        <v/>
      </c>
      <c r="AQ66" s="40"/>
      <c r="AR66" s="43" t="str">
        <f t="shared" si="34"/>
        <v/>
      </c>
      <c r="AS66" s="40"/>
      <c r="AT66" s="43" t="str">
        <f t="shared" si="14"/>
        <v/>
      </c>
      <c r="AU66" s="40"/>
      <c r="AV66" s="43" t="str">
        <f t="shared" si="17"/>
        <v/>
      </c>
      <c r="AW66" s="40"/>
      <c r="AX66" s="43" t="str">
        <f t="shared" si="35"/>
        <v/>
      </c>
      <c r="AY66" s="40"/>
      <c r="AZ66" s="43" t="str">
        <f t="shared" si="36"/>
        <v/>
      </c>
      <c r="BA66" s="24" t="s">
        <v>402</v>
      </c>
    </row>
    <row r="67" spans="1:53" ht="20" customHeight="1" x14ac:dyDescent="0.2">
      <c r="A67" s="68"/>
      <c r="B67" s="96"/>
      <c r="C67" s="25" t="s">
        <v>86</v>
      </c>
      <c r="D67" s="24" t="s">
        <v>92</v>
      </c>
      <c r="E67" s="24" t="s">
        <v>93</v>
      </c>
      <c r="F67" s="25">
        <v>2001</v>
      </c>
      <c r="G67" s="25">
        <v>170</v>
      </c>
      <c r="H67" s="29">
        <v>22</v>
      </c>
      <c r="I67" s="28" t="s">
        <v>189</v>
      </c>
      <c r="J67" s="39" t="s">
        <v>176</v>
      </c>
      <c r="K67" s="40"/>
      <c r="L67" s="43" t="str">
        <f t="shared" si="21"/>
        <v/>
      </c>
      <c r="M67" s="40"/>
      <c r="N67" s="43" t="str">
        <f t="shared" si="22"/>
        <v/>
      </c>
      <c r="O67" s="40"/>
      <c r="P67" s="43" t="str">
        <f t="shared" si="23"/>
        <v/>
      </c>
      <c r="Q67" s="40"/>
      <c r="R67" s="43" t="str">
        <f t="shared" si="24"/>
        <v/>
      </c>
      <c r="S67" s="40"/>
      <c r="T67" s="43" t="str">
        <f t="shared" si="25"/>
        <v/>
      </c>
      <c r="U67" s="86"/>
      <c r="V67" s="43" t="str">
        <f t="shared" si="37"/>
        <v/>
      </c>
      <c r="W67" s="40"/>
      <c r="X67" s="43" t="str">
        <f t="shared" si="26"/>
        <v/>
      </c>
      <c r="Y67" s="40"/>
      <c r="Z67" s="43" t="str">
        <f t="shared" si="27"/>
        <v/>
      </c>
      <c r="AA67" s="40"/>
      <c r="AB67" s="43" t="str">
        <f t="shared" si="28"/>
        <v/>
      </c>
      <c r="AC67" s="40"/>
      <c r="AD67" s="43" t="str">
        <f t="shared" si="29"/>
        <v/>
      </c>
      <c r="AE67" s="40"/>
      <c r="AF67" s="43" t="str">
        <f t="shared" si="30"/>
        <v/>
      </c>
      <c r="AG67" s="40"/>
      <c r="AH67" s="43" t="str">
        <f t="shared" si="20"/>
        <v/>
      </c>
      <c r="AI67" s="40"/>
      <c r="AJ67" s="43" t="str">
        <f t="shared" si="31"/>
        <v/>
      </c>
      <c r="AK67" s="40"/>
      <c r="AL67" s="43" t="str">
        <f t="shared" si="32"/>
        <v/>
      </c>
      <c r="AM67" s="40"/>
      <c r="AN67" s="43" t="str">
        <f t="shared" si="14"/>
        <v/>
      </c>
      <c r="AO67" s="86"/>
      <c r="AP67" s="43" t="str">
        <f t="shared" si="33"/>
        <v/>
      </c>
      <c r="AQ67" s="40"/>
      <c r="AR67" s="43" t="str">
        <f t="shared" si="34"/>
        <v/>
      </c>
      <c r="AS67" s="40"/>
      <c r="AT67" s="43" t="str">
        <f t="shared" si="14"/>
        <v/>
      </c>
      <c r="AU67" s="40"/>
      <c r="AV67" s="43" t="str">
        <f t="shared" si="17"/>
        <v/>
      </c>
      <c r="AW67" s="40"/>
      <c r="AX67" s="43" t="str">
        <f t="shared" si="35"/>
        <v/>
      </c>
      <c r="AY67" s="40"/>
      <c r="AZ67" s="43" t="str">
        <f t="shared" si="36"/>
        <v/>
      </c>
      <c r="BA67" s="24" t="s">
        <v>196</v>
      </c>
    </row>
    <row r="68" spans="1:53" ht="20" customHeight="1" x14ac:dyDescent="0.2">
      <c r="A68" s="67"/>
      <c r="B68" s="96"/>
      <c r="C68" s="25" t="s">
        <v>86</v>
      </c>
      <c r="D68" s="24" t="s">
        <v>329</v>
      </c>
      <c r="E68" s="24" t="s">
        <v>330</v>
      </c>
      <c r="F68" s="25">
        <v>2009</v>
      </c>
      <c r="H68" s="29">
        <v>20</v>
      </c>
      <c r="I68" s="28" t="s">
        <v>238</v>
      </c>
      <c r="J68" s="39" t="s">
        <v>208</v>
      </c>
      <c r="K68" s="40"/>
      <c r="L68" s="43" t="str">
        <f t="shared" si="21"/>
        <v/>
      </c>
      <c r="M68" s="40"/>
      <c r="N68" s="43" t="str">
        <f t="shared" si="22"/>
        <v/>
      </c>
      <c r="O68" s="40"/>
      <c r="P68" s="43" t="str">
        <f t="shared" si="23"/>
        <v/>
      </c>
      <c r="Q68" s="40"/>
      <c r="R68" s="43" t="str">
        <f t="shared" si="24"/>
        <v/>
      </c>
      <c r="S68" s="40"/>
      <c r="T68" s="43" t="str">
        <f t="shared" si="25"/>
        <v/>
      </c>
      <c r="U68" s="86"/>
      <c r="V68" s="43" t="str">
        <f t="shared" si="37"/>
        <v/>
      </c>
      <c r="W68" s="40"/>
      <c r="X68" s="43" t="str">
        <f t="shared" si="26"/>
        <v/>
      </c>
      <c r="Y68" s="40"/>
      <c r="Z68" s="43" t="str">
        <f t="shared" si="27"/>
        <v/>
      </c>
      <c r="AA68" s="40"/>
      <c r="AB68" s="43" t="str">
        <f t="shared" si="28"/>
        <v/>
      </c>
      <c r="AC68" s="40"/>
      <c r="AD68" s="43" t="str">
        <f t="shared" si="29"/>
        <v/>
      </c>
      <c r="AE68" s="40"/>
      <c r="AF68" s="43" t="str">
        <f t="shared" si="30"/>
        <v/>
      </c>
      <c r="AG68" s="40"/>
      <c r="AH68" s="43" t="str">
        <f t="shared" si="20"/>
        <v/>
      </c>
      <c r="AI68" s="40"/>
      <c r="AJ68" s="43" t="str">
        <f t="shared" si="31"/>
        <v/>
      </c>
      <c r="AK68" s="40"/>
      <c r="AL68" s="43" t="str">
        <f t="shared" si="32"/>
        <v/>
      </c>
      <c r="AM68" s="40"/>
      <c r="AN68" s="43" t="str">
        <f t="shared" si="14"/>
        <v/>
      </c>
      <c r="AO68" s="86"/>
      <c r="AP68" s="43" t="str">
        <f t="shared" si="33"/>
        <v/>
      </c>
      <c r="AQ68" s="40"/>
      <c r="AR68" s="43" t="str">
        <f t="shared" si="34"/>
        <v/>
      </c>
      <c r="AS68" s="40"/>
      <c r="AT68" s="43" t="str">
        <f t="shared" si="14"/>
        <v/>
      </c>
      <c r="AU68" s="40"/>
      <c r="AV68" s="43" t="str">
        <f t="shared" si="17"/>
        <v/>
      </c>
      <c r="AW68" s="40"/>
      <c r="AX68" s="43" t="str">
        <f t="shared" si="35"/>
        <v/>
      </c>
      <c r="AY68" s="40"/>
      <c r="AZ68" s="43" t="str">
        <f t="shared" si="36"/>
        <v/>
      </c>
      <c r="BA68" s="24" t="s">
        <v>403</v>
      </c>
    </row>
    <row r="69" spans="1:53" ht="20" customHeight="1" x14ac:dyDescent="0.2">
      <c r="A69" s="67"/>
      <c r="B69" s="25"/>
      <c r="C69" s="25" t="s">
        <v>86</v>
      </c>
      <c r="D69" s="24" t="s">
        <v>331</v>
      </c>
      <c r="E69" s="24" t="s">
        <v>332</v>
      </c>
      <c r="F69" s="25">
        <v>2006</v>
      </c>
      <c r="H69" s="29">
        <v>20</v>
      </c>
      <c r="I69" s="28" t="s">
        <v>404</v>
      </c>
      <c r="J69" s="39" t="s">
        <v>176</v>
      </c>
      <c r="K69" s="40"/>
      <c r="L69" s="43" t="str">
        <f t="shared" si="21"/>
        <v/>
      </c>
      <c r="M69" s="40"/>
      <c r="N69" s="43" t="str">
        <f t="shared" si="22"/>
        <v/>
      </c>
      <c r="O69" s="45"/>
      <c r="P69" s="46" t="str">
        <f t="shared" si="23"/>
        <v/>
      </c>
      <c r="Q69" s="40"/>
      <c r="R69" s="43" t="str">
        <f t="shared" si="24"/>
        <v/>
      </c>
      <c r="S69" s="40"/>
      <c r="T69" s="43" t="str">
        <f t="shared" si="25"/>
        <v/>
      </c>
      <c r="U69" s="86"/>
      <c r="V69" s="43" t="str">
        <f t="shared" si="37"/>
        <v/>
      </c>
      <c r="W69" s="40"/>
      <c r="X69" s="43" t="str">
        <f t="shared" si="26"/>
        <v/>
      </c>
      <c r="Y69" s="40"/>
      <c r="Z69" s="43" t="str">
        <f t="shared" si="27"/>
        <v/>
      </c>
      <c r="AA69" s="40"/>
      <c r="AB69" s="43" t="str">
        <f t="shared" si="28"/>
        <v/>
      </c>
      <c r="AC69" s="40"/>
      <c r="AD69" s="43" t="str">
        <f t="shared" si="29"/>
        <v/>
      </c>
      <c r="AE69" s="40"/>
      <c r="AF69" s="43" t="str">
        <f t="shared" si="30"/>
        <v/>
      </c>
      <c r="AG69" s="40"/>
      <c r="AH69" s="43" t="str">
        <f t="shared" si="20"/>
        <v/>
      </c>
      <c r="AI69" s="40"/>
      <c r="AJ69" s="43" t="str">
        <f t="shared" si="31"/>
        <v/>
      </c>
      <c r="AK69" s="40"/>
      <c r="AL69" s="43" t="str">
        <f t="shared" si="32"/>
        <v/>
      </c>
      <c r="AM69" s="40"/>
      <c r="AN69" s="43" t="str">
        <f t="shared" si="14"/>
        <v/>
      </c>
      <c r="AO69" s="86"/>
      <c r="AP69" s="43" t="str">
        <f t="shared" si="33"/>
        <v/>
      </c>
      <c r="AQ69" s="40"/>
      <c r="AR69" s="43" t="str">
        <f t="shared" si="34"/>
        <v/>
      </c>
      <c r="AS69" s="40"/>
      <c r="AT69" s="43" t="str">
        <f t="shared" si="14"/>
        <v/>
      </c>
      <c r="AU69" s="40"/>
      <c r="AV69" s="43" t="str">
        <f t="shared" si="17"/>
        <v/>
      </c>
      <c r="AW69" s="40"/>
      <c r="AX69" s="43" t="str">
        <f t="shared" si="35"/>
        <v/>
      </c>
      <c r="AY69" s="40"/>
      <c r="AZ69" s="43" t="str">
        <f t="shared" si="36"/>
        <v/>
      </c>
      <c r="BA69" s="24" t="s">
        <v>405</v>
      </c>
    </row>
    <row r="70" spans="1:53" ht="20" customHeight="1" x14ac:dyDescent="0.2">
      <c r="A70" s="68"/>
      <c r="B70" s="25"/>
      <c r="C70" s="25" t="s">
        <v>86</v>
      </c>
      <c r="D70" s="24" t="s">
        <v>335</v>
      </c>
      <c r="E70" s="24" t="s">
        <v>336</v>
      </c>
      <c r="F70" s="25">
        <v>2016</v>
      </c>
      <c r="H70" s="29">
        <v>50</v>
      </c>
      <c r="I70" s="28" t="s">
        <v>238</v>
      </c>
      <c r="J70" s="39" t="s">
        <v>212</v>
      </c>
      <c r="K70" s="40"/>
      <c r="L70" s="43" t="str">
        <f t="shared" si="21"/>
        <v/>
      </c>
      <c r="M70" s="40"/>
      <c r="N70" s="43" t="str">
        <f t="shared" si="22"/>
        <v/>
      </c>
      <c r="O70" s="40"/>
      <c r="P70" s="43" t="str">
        <f t="shared" si="23"/>
        <v/>
      </c>
      <c r="Q70" s="40"/>
      <c r="R70" s="43" t="str">
        <f t="shared" si="24"/>
        <v/>
      </c>
      <c r="S70" s="40"/>
      <c r="T70" s="43" t="str">
        <f t="shared" si="25"/>
        <v/>
      </c>
      <c r="U70" s="86"/>
      <c r="V70" s="43" t="str">
        <f t="shared" si="37"/>
        <v/>
      </c>
      <c r="W70" s="40"/>
      <c r="X70" s="43" t="str">
        <f t="shared" si="26"/>
        <v/>
      </c>
      <c r="Y70" s="40"/>
      <c r="Z70" s="43" t="str">
        <f t="shared" si="27"/>
        <v/>
      </c>
      <c r="AA70" s="40"/>
      <c r="AB70" s="43" t="str">
        <f t="shared" si="28"/>
        <v/>
      </c>
      <c r="AC70" s="40"/>
      <c r="AD70" s="43" t="str">
        <f t="shared" si="29"/>
        <v/>
      </c>
      <c r="AE70" s="40"/>
      <c r="AF70" s="43" t="str">
        <f t="shared" si="30"/>
        <v/>
      </c>
      <c r="AG70" s="40"/>
      <c r="AH70" s="43" t="str">
        <f t="shared" si="20"/>
        <v/>
      </c>
      <c r="AI70" s="40"/>
      <c r="AJ70" s="43" t="str">
        <f t="shared" si="31"/>
        <v/>
      </c>
      <c r="AK70" s="40"/>
      <c r="AL70" s="43" t="str">
        <f t="shared" si="32"/>
        <v/>
      </c>
      <c r="AM70" s="40"/>
      <c r="AN70" s="43" t="str">
        <f t="shared" si="14"/>
        <v/>
      </c>
      <c r="AO70" s="86"/>
      <c r="AP70" s="43" t="str">
        <f t="shared" si="33"/>
        <v/>
      </c>
      <c r="AQ70" s="40"/>
      <c r="AR70" s="43" t="str">
        <f t="shared" si="34"/>
        <v/>
      </c>
      <c r="AS70" s="40"/>
      <c r="AT70" s="43" t="str">
        <f t="shared" si="14"/>
        <v/>
      </c>
      <c r="AU70" s="40"/>
      <c r="AV70" s="43" t="str">
        <f t="shared" si="17"/>
        <v/>
      </c>
      <c r="AW70" s="40"/>
      <c r="AX70" s="43" t="str">
        <f t="shared" si="35"/>
        <v/>
      </c>
      <c r="AY70" s="40"/>
      <c r="AZ70" s="43" t="str">
        <f t="shared" si="36"/>
        <v/>
      </c>
    </row>
    <row r="71" spans="1:53" ht="20" customHeight="1" x14ac:dyDescent="0.2">
      <c r="A71" s="67"/>
      <c r="B71" s="95"/>
      <c r="C71" s="25" t="s">
        <v>86</v>
      </c>
      <c r="D71" s="24" t="s">
        <v>333</v>
      </c>
      <c r="E71" s="24" t="s">
        <v>334</v>
      </c>
      <c r="F71" s="25">
        <v>2011</v>
      </c>
      <c r="H71" s="29">
        <v>244</v>
      </c>
      <c r="I71" s="28" t="s">
        <v>235</v>
      </c>
      <c r="J71" s="39" t="s">
        <v>210</v>
      </c>
      <c r="K71" s="40"/>
      <c r="L71" s="43" t="str">
        <f t="shared" si="21"/>
        <v/>
      </c>
      <c r="M71" s="40"/>
      <c r="N71" s="43" t="str">
        <f t="shared" si="22"/>
        <v/>
      </c>
      <c r="O71" s="40"/>
      <c r="P71" s="43" t="str">
        <f t="shared" si="23"/>
        <v/>
      </c>
      <c r="Q71" s="40"/>
      <c r="R71" s="43" t="str">
        <f t="shared" si="24"/>
        <v/>
      </c>
      <c r="S71" s="40"/>
      <c r="T71" s="43" t="str">
        <f t="shared" si="25"/>
        <v/>
      </c>
      <c r="U71" s="86"/>
      <c r="V71" s="43" t="str">
        <f t="shared" si="37"/>
        <v/>
      </c>
      <c r="W71" s="40"/>
      <c r="X71" s="43" t="str">
        <f t="shared" si="26"/>
        <v/>
      </c>
      <c r="Y71" s="40"/>
      <c r="Z71" s="43" t="str">
        <f t="shared" si="27"/>
        <v/>
      </c>
      <c r="AA71" s="40"/>
      <c r="AB71" s="43" t="str">
        <f t="shared" si="28"/>
        <v/>
      </c>
      <c r="AC71" s="40"/>
      <c r="AD71" s="43" t="str">
        <f t="shared" si="29"/>
        <v/>
      </c>
      <c r="AE71" s="40"/>
      <c r="AF71" s="43" t="str">
        <f t="shared" si="30"/>
        <v/>
      </c>
      <c r="AG71" s="40">
        <v>3</v>
      </c>
      <c r="AH71" s="43">
        <f t="shared" si="20"/>
        <v>1.2295081967213115</v>
      </c>
      <c r="AI71" s="40"/>
      <c r="AJ71" s="43" t="str">
        <f t="shared" si="31"/>
        <v/>
      </c>
      <c r="AK71" s="40">
        <v>4</v>
      </c>
      <c r="AL71" s="43">
        <f t="shared" si="32"/>
        <v>1.639344262295082</v>
      </c>
      <c r="AM71" s="40"/>
      <c r="AN71" s="43" t="str">
        <f t="shared" si="14"/>
        <v/>
      </c>
      <c r="AO71" s="86"/>
      <c r="AP71" s="43" t="str">
        <f t="shared" si="33"/>
        <v/>
      </c>
      <c r="AQ71" s="40"/>
      <c r="AR71" s="43" t="str">
        <f t="shared" si="34"/>
        <v/>
      </c>
      <c r="AS71" s="40"/>
      <c r="AT71" s="43" t="str">
        <f t="shared" si="14"/>
        <v/>
      </c>
      <c r="AU71" s="40"/>
      <c r="AV71" s="43" t="str">
        <f t="shared" si="17"/>
        <v/>
      </c>
      <c r="AW71" s="40"/>
      <c r="AX71" s="43" t="str">
        <f t="shared" si="35"/>
        <v/>
      </c>
      <c r="AY71" s="40"/>
      <c r="AZ71" s="43" t="str">
        <f t="shared" si="36"/>
        <v/>
      </c>
    </row>
    <row r="72" spans="1:53" ht="20" customHeight="1" x14ac:dyDescent="0.2">
      <c r="A72" s="68"/>
      <c r="B72" s="25"/>
      <c r="C72" s="57" t="s">
        <v>49</v>
      </c>
      <c r="D72" s="56" t="s">
        <v>94</v>
      </c>
      <c r="E72" s="56" t="s">
        <v>95</v>
      </c>
      <c r="F72" s="57">
        <v>2015</v>
      </c>
      <c r="G72" s="57">
        <v>22</v>
      </c>
      <c r="H72" s="29"/>
      <c r="I72" s="28"/>
      <c r="J72" s="39"/>
      <c r="K72" s="40"/>
      <c r="L72" s="43" t="str">
        <f t="shared" si="21"/>
        <v/>
      </c>
      <c r="M72" s="40"/>
      <c r="N72" s="43" t="str">
        <f t="shared" si="22"/>
        <v/>
      </c>
      <c r="O72" s="40"/>
      <c r="P72" s="43" t="str">
        <f t="shared" si="23"/>
        <v/>
      </c>
      <c r="Q72" s="40"/>
      <c r="R72" s="43" t="str">
        <f t="shared" si="24"/>
        <v/>
      </c>
      <c r="S72" s="40"/>
      <c r="T72" s="43" t="str">
        <f t="shared" si="25"/>
        <v/>
      </c>
      <c r="U72" s="86"/>
      <c r="V72" s="43" t="str">
        <f t="shared" si="37"/>
        <v/>
      </c>
      <c r="W72" s="40"/>
      <c r="X72" s="43" t="str">
        <f t="shared" si="26"/>
        <v/>
      </c>
      <c r="Y72" s="40"/>
      <c r="Z72" s="43" t="str">
        <f t="shared" si="27"/>
        <v/>
      </c>
      <c r="AA72" s="40"/>
      <c r="AB72" s="43" t="str">
        <f t="shared" si="28"/>
        <v/>
      </c>
      <c r="AC72" s="40"/>
      <c r="AD72" s="43" t="str">
        <f t="shared" si="29"/>
        <v/>
      </c>
      <c r="AE72" s="40"/>
      <c r="AF72" s="43" t="str">
        <f t="shared" si="30"/>
        <v/>
      </c>
      <c r="AG72" s="40"/>
      <c r="AH72" s="43" t="str">
        <f t="shared" si="20"/>
        <v/>
      </c>
      <c r="AI72" s="40"/>
      <c r="AJ72" s="43" t="str">
        <f t="shared" si="31"/>
        <v/>
      </c>
      <c r="AK72" s="40"/>
      <c r="AL72" s="43" t="str">
        <f t="shared" si="32"/>
        <v/>
      </c>
      <c r="AM72" s="40"/>
      <c r="AN72" s="43" t="str">
        <f t="shared" si="14"/>
        <v/>
      </c>
      <c r="AO72" s="86"/>
      <c r="AP72" s="43" t="str">
        <f t="shared" si="33"/>
        <v/>
      </c>
      <c r="AQ72" s="40"/>
      <c r="AR72" s="43" t="str">
        <f t="shared" si="34"/>
        <v/>
      </c>
      <c r="AS72" s="40"/>
      <c r="AT72" s="43" t="str">
        <f t="shared" si="14"/>
        <v/>
      </c>
      <c r="AU72" s="40"/>
      <c r="AV72" s="43" t="str">
        <f t="shared" si="17"/>
        <v/>
      </c>
      <c r="AW72" s="40"/>
      <c r="AX72" s="43" t="str">
        <f t="shared" si="35"/>
        <v/>
      </c>
      <c r="AY72" s="40"/>
      <c r="AZ72" s="43" t="str">
        <f t="shared" si="36"/>
        <v/>
      </c>
    </row>
    <row r="73" spans="1:53" ht="20" customHeight="1" x14ac:dyDescent="0.2">
      <c r="A73" s="68"/>
      <c r="B73" s="25"/>
      <c r="C73" s="57" t="s">
        <v>49</v>
      </c>
      <c r="D73" s="56" t="s">
        <v>96</v>
      </c>
      <c r="E73" s="56" t="s">
        <v>97</v>
      </c>
      <c r="F73" s="57">
        <v>1996</v>
      </c>
      <c r="G73" s="57">
        <v>71</v>
      </c>
      <c r="H73" s="29"/>
      <c r="I73" s="28"/>
      <c r="J73" s="39"/>
      <c r="K73" s="40"/>
      <c r="L73" s="43" t="str">
        <f t="shared" si="21"/>
        <v/>
      </c>
      <c r="M73" s="40"/>
      <c r="N73" s="43" t="str">
        <f t="shared" si="22"/>
        <v/>
      </c>
      <c r="O73" s="40"/>
      <c r="P73" s="43" t="str">
        <f t="shared" si="23"/>
        <v/>
      </c>
      <c r="Q73" s="40"/>
      <c r="R73" s="43" t="str">
        <f t="shared" si="24"/>
        <v/>
      </c>
      <c r="S73" s="40"/>
      <c r="T73" s="43" t="str">
        <f t="shared" si="25"/>
        <v/>
      </c>
      <c r="U73" s="86"/>
      <c r="V73" s="43" t="str">
        <f t="shared" si="37"/>
        <v/>
      </c>
      <c r="W73" s="40"/>
      <c r="X73" s="43" t="str">
        <f t="shared" si="26"/>
        <v/>
      </c>
      <c r="Y73" s="40"/>
      <c r="Z73" s="43" t="str">
        <f t="shared" si="27"/>
        <v/>
      </c>
      <c r="AA73" s="40"/>
      <c r="AB73" s="43" t="str">
        <f t="shared" si="28"/>
        <v/>
      </c>
      <c r="AC73" s="40"/>
      <c r="AD73" s="43" t="str">
        <f t="shared" si="29"/>
        <v/>
      </c>
      <c r="AE73" s="40"/>
      <c r="AF73" s="43" t="str">
        <f t="shared" si="30"/>
        <v/>
      </c>
      <c r="AG73" s="40"/>
      <c r="AH73" s="43" t="str">
        <f t="shared" si="20"/>
        <v/>
      </c>
      <c r="AI73" s="40"/>
      <c r="AJ73" s="43" t="str">
        <f t="shared" si="31"/>
        <v/>
      </c>
      <c r="AK73" s="40"/>
      <c r="AL73" s="43" t="str">
        <f t="shared" si="32"/>
        <v/>
      </c>
      <c r="AM73" s="40"/>
      <c r="AN73" s="43" t="str">
        <f t="shared" si="14"/>
        <v/>
      </c>
      <c r="AO73" s="86"/>
      <c r="AP73" s="43" t="str">
        <f t="shared" si="33"/>
        <v/>
      </c>
      <c r="AQ73" s="40"/>
      <c r="AR73" s="43" t="str">
        <f t="shared" si="34"/>
        <v/>
      </c>
      <c r="AS73" s="40"/>
      <c r="AT73" s="43" t="str">
        <f t="shared" si="14"/>
        <v/>
      </c>
      <c r="AU73" s="40"/>
      <c r="AV73" s="43" t="str">
        <f t="shared" si="17"/>
        <v/>
      </c>
      <c r="AW73" s="40"/>
      <c r="AX73" s="43" t="str">
        <f t="shared" si="35"/>
        <v/>
      </c>
      <c r="AY73" s="40"/>
      <c r="AZ73" s="43" t="str">
        <f t="shared" si="36"/>
        <v/>
      </c>
    </row>
    <row r="74" spans="1:53" ht="20" customHeight="1" x14ac:dyDescent="0.2">
      <c r="A74" s="67"/>
      <c r="B74" s="96"/>
      <c r="C74" s="57" t="s">
        <v>30</v>
      </c>
      <c r="D74" s="56" t="s">
        <v>98</v>
      </c>
      <c r="E74" s="56" t="s">
        <v>99</v>
      </c>
      <c r="F74" s="57">
        <v>2011</v>
      </c>
      <c r="G74" s="57">
        <v>74</v>
      </c>
      <c r="H74" s="29">
        <v>221</v>
      </c>
      <c r="I74" s="28"/>
      <c r="J74" s="39"/>
      <c r="K74" s="40"/>
      <c r="L74" s="43" t="str">
        <f t="shared" si="21"/>
        <v/>
      </c>
      <c r="M74" s="40"/>
      <c r="N74" s="43" t="str">
        <f t="shared" si="22"/>
        <v/>
      </c>
      <c r="O74" s="40"/>
      <c r="P74" s="43" t="str">
        <f t="shared" si="23"/>
        <v/>
      </c>
      <c r="Q74" s="40"/>
      <c r="R74" s="43" t="str">
        <f t="shared" si="24"/>
        <v/>
      </c>
      <c r="S74" s="40"/>
      <c r="T74" s="43" t="str">
        <f t="shared" si="25"/>
        <v/>
      </c>
      <c r="U74" s="86"/>
      <c r="V74" s="43" t="str">
        <f t="shared" si="37"/>
        <v/>
      </c>
      <c r="W74" s="40"/>
      <c r="X74" s="43" t="str">
        <f t="shared" si="26"/>
        <v/>
      </c>
      <c r="Y74" s="40"/>
      <c r="Z74" s="43" t="str">
        <f t="shared" si="27"/>
        <v/>
      </c>
      <c r="AA74" s="40"/>
      <c r="AB74" s="43" t="str">
        <f t="shared" si="28"/>
        <v/>
      </c>
      <c r="AC74" s="40"/>
      <c r="AD74" s="43" t="str">
        <f t="shared" si="29"/>
        <v/>
      </c>
      <c r="AE74" s="40"/>
      <c r="AF74" s="43" t="str">
        <f t="shared" si="30"/>
        <v/>
      </c>
      <c r="AG74" s="40"/>
      <c r="AH74" s="43" t="str">
        <f t="shared" si="20"/>
        <v/>
      </c>
      <c r="AI74" s="40"/>
      <c r="AJ74" s="43" t="str">
        <f t="shared" si="31"/>
        <v/>
      </c>
      <c r="AK74" s="40"/>
      <c r="AL74" s="43" t="str">
        <f t="shared" si="32"/>
        <v/>
      </c>
      <c r="AM74" s="40"/>
      <c r="AN74" s="43" t="str">
        <f t="shared" si="14"/>
        <v/>
      </c>
      <c r="AO74" s="86"/>
      <c r="AP74" s="43" t="str">
        <f t="shared" si="33"/>
        <v/>
      </c>
      <c r="AQ74" s="40"/>
      <c r="AR74" s="43" t="str">
        <f t="shared" si="34"/>
        <v/>
      </c>
      <c r="AS74" s="40"/>
      <c r="AT74" s="43" t="str">
        <f t="shared" si="14"/>
        <v/>
      </c>
      <c r="AU74" s="40"/>
      <c r="AV74" s="43" t="str">
        <f t="shared" si="17"/>
        <v/>
      </c>
      <c r="AW74" s="40"/>
      <c r="AX74" s="43" t="str">
        <f t="shared" si="35"/>
        <v/>
      </c>
      <c r="AY74" s="40"/>
      <c r="AZ74" s="43" t="str">
        <f t="shared" si="36"/>
        <v/>
      </c>
      <c r="BA74" s="24" t="s">
        <v>429</v>
      </c>
    </row>
    <row r="75" spans="1:53" ht="20" customHeight="1" x14ac:dyDescent="0.2">
      <c r="A75" s="67"/>
      <c r="B75" s="95"/>
      <c r="C75" s="25" t="s">
        <v>86</v>
      </c>
      <c r="D75" s="24" t="s">
        <v>100</v>
      </c>
      <c r="E75" s="24" t="s">
        <v>101</v>
      </c>
      <c r="F75" s="25">
        <v>2002</v>
      </c>
      <c r="G75" s="25">
        <v>103</v>
      </c>
      <c r="H75" s="29">
        <v>8</v>
      </c>
      <c r="I75" s="28"/>
      <c r="J75" s="39"/>
      <c r="K75" s="40"/>
      <c r="L75" s="43" t="str">
        <f t="shared" ref="L75:L104" si="38">IF((ISERROR((K75/$H75)*100)), "", IF(AND(NOT(ISERROR((K75/$H75)*100)),((K75/$H75)*100) &lt;&gt; 0), (K75/$H75)*100, ""))</f>
        <v/>
      </c>
      <c r="M75" s="40"/>
      <c r="N75" s="43" t="str">
        <f t="shared" ref="N75:N106" si="39">IF((ISERROR((M75/$H75)*100)), "", IF(AND(NOT(ISERROR((M75/$H75)*100)),((M75/$H75)*100) &lt;&gt; 0), (M75/$H75)*100, ""))</f>
        <v/>
      </c>
      <c r="O75" s="40"/>
      <c r="P75" s="43" t="str">
        <f t="shared" ref="P75:P106" si="40">IF((ISERROR((O75/$H75)*100)), "", IF(AND(NOT(ISERROR((O75/$H75)*100)),((O75/$H75)*100) &lt;&gt; 0), (O75/$H75)*100, ""))</f>
        <v/>
      </c>
      <c r="Q75" s="40"/>
      <c r="R75" s="43" t="str">
        <f t="shared" ref="R75:R106" si="41">IF((ISERROR((Q75/$H75)*100)), "", IF(AND(NOT(ISERROR((Q75/$H75)*100)),((Q75/$H75)*100) &lt;&gt; 0), (Q75/$H75)*100, ""))</f>
        <v/>
      </c>
      <c r="S75" s="40"/>
      <c r="T75" s="43" t="str">
        <f t="shared" ref="T75:T106" si="42">IF((ISERROR((S75/$H75)*100)), "", IF(AND(NOT(ISERROR((S75/$H75)*100)),((S75/$H75)*100) &lt;&gt; 0), (S75/$H75)*100, ""))</f>
        <v/>
      </c>
      <c r="U75" s="86">
        <v>2</v>
      </c>
      <c r="V75" s="43">
        <f t="shared" si="37"/>
        <v>25</v>
      </c>
      <c r="W75" s="40"/>
      <c r="X75" s="43" t="str">
        <f t="shared" ref="X75:X106" si="43">IF((ISERROR((W75/$H75)*100)), "", IF(AND(NOT(ISERROR((W75/$H75)*100)),((W75/$H75)*100) &lt;&gt; 0), (W75/$H75)*100, ""))</f>
        <v/>
      </c>
      <c r="Y75" s="40"/>
      <c r="Z75" s="43" t="str">
        <f t="shared" ref="Z75:Z106" si="44">IF((ISERROR((Y75/$H75)*100)), "", IF(AND(NOT(ISERROR((Y75/$H75)*100)),((Y75/$H75)*100) &lt;&gt; 0), (Y75/$H75)*100, ""))</f>
        <v/>
      </c>
      <c r="AA75" s="40"/>
      <c r="AB75" s="43" t="str">
        <f t="shared" ref="AB75:AB104" si="45">IF((ISERROR((AA75/$H75)*100)), "", IF(AND(NOT(ISERROR((AA75/$H75)*100)),((AA75/$H75)*100) &lt;&gt; 0), (AA75/$H75)*100, ""))</f>
        <v/>
      </c>
      <c r="AC75" s="40"/>
      <c r="AD75" s="43" t="str">
        <f t="shared" ref="AD75:AD106" si="46">IF((ISERROR((AC75/$H75)*100)), "", IF(AND(NOT(ISERROR((AC75/$H75)*100)),((AC75/$H75)*100) &lt;&gt; 0), (AC75/$H75)*100, ""))</f>
        <v/>
      </c>
      <c r="AE75" s="40"/>
      <c r="AF75" s="43" t="str">
        <f t="shared" ref="AF75:AF106" si="47">IF((ISERROR((AE75/$H75)*100)), "", IF(AND(NOT(ISERROR((AE75/$H75)*100)),((AE75/$H75)*100) &lt;&gt; 0), (AE75/$H75)*100, ""))</f>
        <v/>
      </c>
      <c r="AG75" s="40"/>
      <c r="AH75" s="43" t="str">
        <f t="shared" si="20"/>
        <v/>
      </c>
      <c r="AI75" s="40"/>
      <c r="AJ75" s="43" t="str">
        <f t="shared" ref="AJ75:AJ106" si="48">IF((ISERROR((AI75/$H75)*100)), "", IF(AND(NOT(ISERROR((AI75/$H75)*100)),((AI75/$H75)*100) &lt;&gt; 0), (AI75/$H75)*100, ""))</f>
        <v/>
      </c>
      <c r="AK75" s="40"/>
      <c r="AL75" s="43" t="str">
        <f t="shared" ref="AL75:AL106" si="49">IF((ISERROR((AK75/$H75)*100)), "", IF(AND(NOT(ISERROR((AK75/$H75)*100)),((AK75/$H75)*100) &lt;&gt; 0), (AK75/$H75)*100, ""))</f>
        <v/>
      </c>
      <c r="AM75" s="40"/>
      <c r="AN75" s="43" t="str">
        <f t="shared" si="14"/>
        <v/>
      </c>
      <c r="AO75" s="86"/>
      <c r="AP75" s="43" t="str">
        <f t="shared" ref="AP75:AP106" si="50">IF((ISERROR((AO75/$H75)*100)), "", IF(AND(NOT(ISERROR((AO75/$H75)*100)),((AO75/$H75)*100) &lt;&gt; 0), (AO75/$H75)*100, ""))</f>
        <v/>
      </c>
      <c r="AQ75" s="40"/>
      <c r="AR75" s="43" t="str">
        <f t="shared" ref="AR75:AR106" si="51">IF((ISERROR((AQ75/$H75)*100)), "", IF(AND(NOT(ISERROR((AQ75/$H75)*100)),((AQ75/$H75)*100) &lt;&gt; 0), (AQ75/$H75)*100, ""))</f>
        <v/>
      </c>
      <c r="AS75" s="40"/>
      <c r="AT75" s="43" t="str">
        <f t="shared" si="14"/>
        <v/>
      </c>
      <c r="AU75" s="40"/>
      <c r="AV75" s="43" t="str">
        <f t="shared" ref="AV75:AV113" si="52">IF((ISERROR((AU75/$H75)*100)), "", IF(AND(NOT(ISERROR((AU75/$H75)*100)),((AU75/$H75)*100) &lt;&gt; 0), (AU75/$H75)*100, ""))</f>
        <v/>
      </c>
      <c r="AW75" s="40"/>
      <c r="AX75" s="43" t="str">
        <f t="shared" ref="AX75:AX106" si="53">IF((ISERROR((AW75/$H75)*100)), "", IF(AND(NOT(ISERROR((AW75/$H75)*100)),((AW75/$H75)*100) &lt;&gt; 0), (AW75/$H75)*100, ""))</f>
        <v/>
      </c>
      <c r="AY75" s="40"/>
      <c r="AZ75" s="43" t="str">
        <f t="shared" ref="AZ75:AZ106" si="54">IF((ISERROR((AY75/$H75)*100)), "", IF(AND(NOT(ISERROR((AY75/$H75)*100)),((AY75/$H75)*100) &lt;&gt; 0), (AY75/$H75)*100, ""))</f>
        <v/>
      </c>
      <c r="BA75" s="24" t="s">
        <v>222</v>
      </c>
    </row>
    <row r="76" spans="1:53" ht="20" customHeight="1" x14ac:dyDescent="0.2">
      <c r="A76" s="67"/>
      <c r="B76" s="96"/>
      <c r="C76" s="57" t="s">
        <v>30</v>
      </c>
      <c r="D76" s="56" t="s">
        <v>102</v>
      </c>
      <c r="E76" s="56" t="s">
        <v>103</v>
      </c>
      <c r="F76" s="57">
        <v>2014</v>
      </c>
      <c r="G76" s="57">
        <v>30</v>
      </c>
      <c r="H76" s="29"/>
      <c r="I76" s="28"/>
      <c r="J76" s="39"/>
      <c r="K76" s="40"/>
      <c r="L76" s="43" t="str">
        <f t="shared" si="38"/>
        <v/>
      </c>
      <c r="M76" s="40"/>
      <c r="N76" s="43" t="str">
        <f t="shared" si="39"/>
        <v/>
      </c>
      <c r="O76" s="40">
        <v>2</v>
      </c>
      <c r="P76" s="43" t="str">
        <f t="shared" si="40"/>
        <v/>
      </c>
      <c r="Q76" s="40"/>
      <c r="R76" s="43" t="str">
        <f t="shared" si="41"/>
        <v/>
      </c>
      <c r="S76" s="40"/>
      <c r="T76" s="43" t="str">
        <f t="shared" si="42"/>
        <v/>
      </c>
      <c r="U76" s="86"/>
      <c r="V76" s="43" t="str">
        <f t="shared" si="37"/>
        <v/>
      </c>
      <c r="W76" s="40"/>
      <c r="X76" s="43" t="str">
        <f t="shared" si="43"/>
        <v/>
      </c>
      <c r="Y76" s="40"/>
      <c r="Z76" s="43" t="str">
        <f t="shared" si="44"/>
        <v/>
      </c>
      <c r="AA76" s="40"/>
      <c r="AB76" s="43" t="str">
        <f t="shared" si="45"/>
        <v/>
      </c>
      <c r="AC76" s="40"/>
      <c r="AD76" s="43" t="str">
        <f t="shared" si="46"/>
        <v/>
      </c>
      <c r="AE76" s="40">
        <v>1</v>
      </c>
      <c r="AF76" s="43" t="str">
        <f t="shared" si="47"/>
        <v/>
      </c>
      <c r="AG76" s="40">
        <v>2</v>
      </c>
      <c r="AH76" s="43" t="str">
        <f t="shared" si="20"/>
        <v/>
      </c>
      <c r="AI76" s="40"/>
      <c r="AJ76" s="43" t="str">
        <f t="shared" si="48"/>
        <v/>
      </c>
      <c r="AK76" s="45"/>
      <c r="AL76" s="46" t="str">
        <f t="shared" si="49"/>
        <v/>
      </c>
      <c r="AM76" s="40"/>
      <c r="AN76" s="43" t="str">
        <f t="shared" si="14"/>
        <v/>
      </c>
      <c r="AO76" s="86"/>
      <c r="AP76" s="43" t="str">
        <f t="shared" si="50"/>
        <v/>
      </c>
      <c r="AQ76" s="40"/>
      <c r="AR76" s="43" t="str">
        <f t="shared" si="51"/>
        <v/>
      </c>
      <c r="AS76" s="40"/>
      <c r="AT76" s="43" t="str">
        <f t="shared" si="14"/>
        <v/>
      </c>
      <c r="AU76" s="40"/>
      <c r="AV76" s="43" t="str">
        <f t="shared" si="52"/>
        <v/>
      </c>
      <c r="AW76" s="40"/>
      <c r="AX76" s="43" t="str">
        <f t="shared" si="53"/>
        <v/>
      </c>
      <c r="AY76" s="45"/>
      <c r="AZ76" s="46" t="str">
        <f t="shared" si="54"/>
        <v/>
      </c>
      <c r="BA76" s="24" t="s">
        <v>430</v>
      </c>
    </row>
    <row r="77" spans="1:53" ht="20" customHeight="1" x14ac:dyDescent="0.2">
      <c r="A77" s="67"/>
      <c r="B77" s="96"/>
      <c r="D77" s="24" t="s">
        <v>337</v>
      </c>
      <c r="E77" s="24" t="s">
        <v>338</v>
      </c>
      <c r="F77" s="25">
        <v>2013</v>
      </c>
      <c r="H77" s="29">
        <v>18</v>
      </c>
      <c r="I77" s="28"/>
      <c r="J77" s="39"/>
      <c r="K77" s="40"/>
      <c r="L77" s="43" t="str">
        <f t="shared" si="38"/>
        <v/>
      </c>
      <c r="M77" s="40"/>
      <c r="N77" s="43" t="str">
        <f t="shared" si="39"/>
        <v/>
      </c>
      <c r="O77" s="40"/>
      <c r="P77" s="43" t="str">
        <f t="shared" si="40"/>
        <v/>
      </c>
      <c r="Q77" s="40"/>
      <c r="R77" s="43" t="str">
        <f t="shared" si="41"/>
        <v/>
      </c>
      <c r="S77" s="40"/>
      <c r="T77" s="43" t="str">
        <f t="shared" si="42"/>
        <v/>
      </c>
      <c r="U77" s="86"/>
      <c r="V77" s="43" t="str">
        <f t="shared" si="37"/>
        <v/>
      </c>
      <c r="W77" s="40"/>
      <c r="X77" s="43" t="str">
        <f t="shared" si="43"/>
        <v/>
      </c>
      <c r="Y77" s="40"/>
      <c r="Z77" s="43" t="str">
        <f t="shared" si="44"/>
        <v/>
      </c>
      <c r="AA77" s="40"/>
      <c r="AB77" s="43" t="str">
        <f t="shared" si="45"/>
        <v/>
      </c>
      <c r="AC77" s="40"/>
      <c r="AD77" s="43" t="str">
        <f t="shared" si="46"/>
        <v/>
      </c>
      <c r="AE77" s="40"/>
      <c r="AF77" s="43" t="str">
        <f t="shared" si="47"/>
        <v/>
      </c>
      <c r="AG77" s="40"/>
      <c r="AH77" s="43" t="str">
        <f t="shared" ref="AH77:AH113" si="55">IF((ISERROR((AG77/$H77)*100)), "", IF(AND(NOT(ISERROR((AG77/$H77)*100)),((AG77/$H77)*100) &lt;&gt; 0), (AG77/$H77)*100, ""))</f>
        <v/>
      </c>
      <c r="AI77" s="40"/>
      <c r="AJ77" s="43" t="str">
        <f t="shared" si="48"/>
        <v/>
      </c>
      <c r="AK77" s="40"/>
      <c r="AL77" s="43" t="str">
        <f t="shared" si="49"/>
        <v/>
      </c>
      <c r="AM77" s="40"/>
      <c r="AN77" s="43" t="str">
        <f t="shared" si="14"/>
        <v/>
      </c>
      <c r="AO77" s="86"/>
      <c r="AP77" s="43" t="str">
        <f t="shared" si="50"/>
        <v/>
      </c>
      <c r="AQ77" s="40"/>
      <c r="AR77" s="43" t="str">
        <f t="shared" si="51"/>
        <v/>
      </c>
      <c r="AS77" s="40"/>
      <c r="AT77" s="43" t="str">
        <f t="shared" si="14"/>
        <v/>
      </c>
      <c r="AU77" s="40"/>
      <c r="AV77" s="43" t="str">
        <f t="shared" si="52"/>
        <v/>
      </c>
      <c r="AW77" s="40"/>
      <c r="AX77" s="43" t="str">
        <f t="shared" si="53"/>
        <v/>
      </c>
      <c r="AY77" s="40"/>
      <c r="AZ77" s="43" t="str">
        <f t="shared" si="54"/>
        <v/>
      </c>
      <c r="BA77" s="24" t="s">
        <v>406</v>
      </c>
    </row>
    <row r="78" spans="1:53" ht="20" customHeight="1" x14ac:dyDescent="0.2">
      <c r="A78" s="67"/>
      <c r="B78" s="96"/>
      <c r="C78" s="25" t="s">
        <v>86</v>
      </c>
      <c r="D78" s="24" t="s">
        <v>339</v>
      </c>
      <c r="E78" s="24" t="s">
        <v>340</v>
      </c>
      <c r="F78" s="25">
        <v>2015</v>
      </c>
      <c r="H78" s="29"/>
      <c r="I78" s="28"/>
      <c r="J78" s="39"/>
      <c r="K78" s="40"/>
      <c r="L78" s="43" t="str">
        <f t="shared" si="38"/>
        <v/>
      </c>
      <c r="M78" s="40"/>
      <c r="N78" s="43" t="str">
        <f t="shared" si="39"/>
        <v/>
      </c>
      <c r="O78" s="40"/>
      <c r="P78" s="43" t="str">
        <f t="shared" si="40"/>
        <v/>
      </c>
      <c r="Q78" s="40"/>
      <c r="R78" s="43" t="str">
        <f t="shared" si="41"/>
        <v/>
      </c>
      <c r="S78" s="40"/>
      <c r="T78" s="43" t="str">
        <f t="shared" si="42"/>
        <v/>
      </c>
      <c r="U78" s="86"/>
      <c r="V78" s="43" t="str">
        <f t="shared" si="37"/>
        <v/>
      </c>
      <c r="W78" s="40"/>
      <c r="X78" s="43" t="str">
        <f t="shared" si="43"/>
        <v/>
      </c>
      <c r="Y78" s="40"/>
      <c r="Z78" s="43" t="str">
        <f t="shared" si="44"/>
        <v/>
      </c>
      <c r="AA78" s="40"/>
      <c r="AB78" s="43" t="str">
        <f t="shared" si="45"/>
        <v/>
      </c>
      <c r="AC78" s="40"/>
      <c r="AD78" s="43" t="str">
        <f t="shared" si="46"/>
        <v/>
      </c>
      <c r="AE78" s="40"/>
      <c r="AF78" s="43" t="str">
        <f t="shared" si="47"/>
        <v/>
      </c>
      <c r="AG78" s="40"/>
      <c r="AH78" s="43" t="str">
        <f t="shared" si="55"/>
        <v/>
      </c>
      <c r="AI78" s="40"/>
      <c r="AJ78" s="43" t="str">
        <f t="shared" si="48"/>
        <v/>
      </c>
      <c r="AK78" s="40"/>
      <c r="AL78" s="43" t="str">
        <f t="shared" si="49"/>
        <v/>
      </c>
      <c r="AM78" s="40"/>
      <c r="AN78" s="43" t="str">
        <f t="shared" si="14"/>
        <v/>
      </c>
      <c r="AO78" s="86"/>
      <c r="AP78" s="43" t="str">
        <f t="shared" si="50"/>
        <v/>
      </c>
      <c r="AQ78" s="40"/>
      <c r="AR78" s="43" t="str">
        <f t="shared" si="51"/>
        <v/>
      </c>
      <c r="AS78" s="40"/>
      <c r="AT78" s="43" t="str">
        <f t="shared" si="14"/>
        <v/>
      </c>
      <c r="AU78" s="40"/>
      <c r="AV78" s="43" t="str">
        <f t="shared" si="52"/>
        <v/>
      </c>
      <c r="AW78" s="40"/>
      <c r="AX78" s="43" t="str">
        <f t="shared" si="53"/>
        <v/>
      </c>
      <c r="AY78" s="40"/>
      <c r="AZ78" s="43" t="str">
        <f t="shared" si="54"/>
        <v/>
      </c>
      <c r="BA78" s="24" t="s">
        <v>407</v>
      </c>
    </row>
    <row r="79" spans="1:53" ht="20" customHeight="1" x14ac:dyDescent="0.2">
      <c r="A79" s="67"/>
      <c r="B79" s="95"/>
      <c r="C79" s="25" t="s">
        <v>86</v>
      </c>
      <c r="D79" s="24" t="s">
        <v>104</v>
      </c>
      <c r="E79" s="24" t="s">
        <v>105</v>
      </c>
      <c r="F79" s="25">
        <v>1996</v>
      </c>
      <c r="G79" s="25">
        <v>12</v>
      </c>
      <c r="H79" s="29">
        <v>97</v>
      </c>
      <c r="I79" s="28" t="s">
        <v>225</v>
      </c>
      <c r="J79" s="39" t="s">
        <v>226</v>
      </c>
      <c r="K79" s="40"/>
      <c r="L79" s="43" t="str">
        <f t="shared" si="38"/>
        <v/>
      </c>
      <c r="M79" s="40"/>
      <c r="N79" s="43" t="str">
        <f t="shared" si="39"/>
        <v/>
      </c>
      <c r="O79" s="40"/>
      <c r="P79" s="43" t="str">
        <f t="shared" si="40"/>
        <v/>
      </c>
      <c r="Q79" s="40"/>
      <c r="R79" s="43" t="str">
        <f t="shared" si="41"/>
        <v/>
      </c>
      <c r="S79" s="40"/>
      <c r="T79" s="43" t="str">
        <f t="shared" si="42"/>
        <v/>
      </c>
      <c r="U79" s="86">
        <v>16</v>
      </c>
      <c r="V79" s="43">
        <f t="shared" si="37"/>
        <v>16.494845360824741</v>
      </c>
      <c r="W79" s="40"/>
      <c r="X79" s="43" t="str">
        <f t="shared" si="43"/>
        <v/>
      </c>
      <c r="Y79" s="40"/>
      <c r="Z79" s="43" t="str">
        <f t="shared" si="44"/>
        <v/>
      </c>
      <c r="AA79" s="40"/>
      <c r="AB79" s="43" t="str">
        <f t="shared" si="45"/>
        <v/>
      </c>
      <c r="AC79" s="40"/>
      <c r="AD79" s="43" t="str">
        <f t="shared" si="46"/>
        <v/>
      </c>
      <c r="AE79" s="40"/>
      <c r="AF79" s="43" t="str">
        <f t="shared" si="47"/>
        <v/>
      </c>
      <c r="AG79" s="40">
        <v>3</v>
      </c>
      <c r="AH79" s="43">
        <f t="shared" si="55"/>
        <v>3.0927835051546393</v>
      </c>
      <c r="AI79" s="40"/>
      <c r="AJ79" s="43" t="str">
        <f t="shared" si="48"/>
        <v/>
      </c>
      <c r="AK79" s="40">
        <v>4</v>
      </c>
      <c r="AL79" s="43">
        <f t="shared" si="49"/>
        <v>4.1237113402061851</v>
      </c>
      <c r="AM79" s="40">
        <v>6</v>
      </c>
      <c r="AN79" s="43">
        <f t="shared" si="14"/>
        <v>6.1855670103092786</v>
      </c>
      <c r="AO79" s="86"/>
      <c r="AP79" s="43" t="str">
        <f t="shared" si="50"/>
        <v/>
      </c>
      <c r="AQ79" s="40"/>
      <c r="AR79" s="43" t="str">
        <f t="shared" si="51"/>
        <v/>
      </c>
      <c r="AS79" s="40"/>
      <c r="AT79" s="43" t="str">
        <f t="shared" si="14"/>
        <v/>
      </c>
      <c r="AU79" s="40">
        <v>1</v>
      </c>
      <c r="AV79" s="43">
        <f t="shared" si="52"/>
        <v>1.0309278350515463</v>
      </c>
      <c r="AW79" s="40">
        <v>1</v>
      </c>
      <c r="AX79" s="43">
        <f t="shared" si="53"/>
        <v>1.0309278350515463</v>
      </c>
      <c r="AY79" s="40"/>
      <c r="AZ79" s="43" t="str">
        <f t="shared" si="54"/>
        <v/>
      </c>
      <c r="BA79" s="24" t="s">
        <v>431</v>
      </c>
    </row>
    <row r="80" spans="1:53" ht="20" customHeight="1" x14ac:dyDescent="0.2">
      <c r="A80" s="67"/>
      <c r="B80" s="96"/>
      <c r="C80" s="25" t="s">
        <v>86</v>
      </c>
      <c r="D80" s="24" t="s">
        <v>341</v>
      </c>
      <c r="E80" s="24" t="s">
        <v>342</v>
      </c>
      <c r="F80" s="25">
        <v>2009</v>
      </c>
      <c r="H80" s="29">
        <v>102</v>
      </c>
      <c r="I80" s="28" t="s">
        <v>238</v>
      </c>
      <c r="J80" s="39" t="s">
        <v>408</v>
      </c>
      <c r="K80" s="40"/>
      <c r="L80" s="43" t="str">
        <f t="shared" si="38"/>
        <v/>
      </c>
      <c r="M80" s="40"/>
      <c r="N80" s="43" t="str">
        <f t="shared" si="39"/>
        <v/>
      </c>
      <c r="O80" s="40"/>
      <c r="P80" s="43" t="str">
        <f t="shared" si="40"/>
        <v/>
      </c>
      <c r="Q80" s="40"/>
      <c r="R80" s="43" t="str">
        <f t="shared" si="41"/>
        <v/>
      </c>
      <c r="S80" s="40"/>
      <c r="T80" s="43" t="str">
        <f t="shared" si="42"/>
        <v/>
      </c>
      <c r="U80" s="86"/>
      <c r="V80" s="43" t="str">
        <f t="shared" ref="V80:V100" si="56">IF((ISERROR((U80/$H80)*100)), "", IF(AND(NOT(ISERROR((U80/$H80)*100)),((U80/$H80)*100) &lt;&gt; 0), (U80/$H80)*100, ""))</f>
        <v/>
      </c>
      <c r="W80" s="40"/>
      <c r="X80" s="43" t="str">
        <f t="shared" si="43"/>
        <v/>
      </c>
      <c r="Y80" s="40"/>
      <c r="Z80" s="43" t="str">
        <f t="shared" si="44"/>
        <v/>
      </c>
      <c r="AA80" s="40"/>
      <c r="AB80" s="43" t="str">
        <f t="shared" si="45"/>
        <v/>
      </c>
      <c r="AC80" s="40"/>
      <c r="AD80" s="43" t="str">
        <f t="shared" si="46"/>
        <v/>
      </c>
      <c r="AE80" s="40"/>
      <c r="AF80" s="43" t="str">
        <f t="shared" si="47"/>
        <v/>
      </c>
      <c r="AG80" s="40"/>
      <c r="AH80" s="43" t="str">
        <f t="shared" si="55"/>
        <v/>
      </c>
      <c r="AI80" s="40"/>
      <c r="AJ80" s="43" t="str">
        <f t="shared" si="48"/>
        <v/>
      </c>
      <c r="AK80" s="40"/>
      <c r="AL80" s="43" t="str">
        <f t="shared" si="49"/>
        <v/>
      </c>
      <c r="AM80" s="40"/>
      <c r="AN80" s="43" t="str">
        <f t="shared" si="14"/>
        <v/>
      </c>
      <c r="AO80" s="86"/>
      <c r="AP80" s="43" t="str">
        <f t="shared" si="50"/>
        <v/>
      </c>
      <c r="AQ80" s="40"/>
      <c r="AR80" s="43" t="str">
        <f t="shared" si="51"/>
        <v/>
      </c>
      <c r="AS80" s="40"/>
      <c r="AT80" s="43" t="str">
        <f t="shared" si="14"/>
        <v/>
      </c>
      <c r="AU80" s="40"/>
      <c r="AV80" s="43" t="str">
        <f t="shared" si="52"/>
        <v/>
      </c>
      <c r="AW80" s="40"/>
      <c r="AX80" s="43" t="str">
        <f t="shared" si="53"/>
        <v/>
      </c>
      <c r="AY80" s="40"/>
      <c r="AZ80" s="43" t="str">
        <f t="shared" si="54"/>
        <v/>
      </c>
    </row>
    <row r="81" spans="1:53" ht="20" customHeight="1" x14ac:dyDescent="0.2">
      <c r="A81" s="68"/>
      <c r="B81" s="25"/>
      <c r="C81" s="25" t="s">
        <v>86</v>
      </c>
      <c r="D81" s="24" t="s">
        <v>106</v>
      </c>
      <c r="E81" s="24" t="s">
        <v>107</v>
      </c>
      <c r="F81" s="25">
        <v>1989</v>
      </c>
      <c r="G81" s="25">
        <v>27</v>
      </c>
      <c r="H81" s="29">
        <v>25</v>
      </c>
      <c r="I81" s="28" t="s">
        <v>232</v>
      </c>
      <c r="J81" s="39" t="s">
        <v>191</v>
      </c>
      <c r="K81" s="45"/>
      <c r="L81" s="46" t="str">
        <f t="shared" si="38"/>
        <v/>
      </c>
      <c r="M81" s="40"/>
      <c r="N81" s="43" t="str">
        <f t="shared" si="39"/>
        <v/>
      </c>
      <c r="O81" s="40"/>
      <c r="P81" s="43" t="str">
        <f t="shared" si="40"/>
        <v/>
      </c>
      <c r="Q81" s="40"/>
      <c r="R81" s="43" t="str">
        <f t="shared" si="41"/>
        <v/>
      </c>
      <c r="S81" s="40"/>
      <c r="T81" s="43" t="str">
        <f t="shared" si="42"/>
        <v/>
      </c>
      <c r="U81" s="86"/>
      <c r="V81" s="43" t="str">
        <f t="shared" si="56"/>
        <v/>
      </c>
      <c r="W81" s="40"/>
      <c r="X81" s="43" t="str">
        <f t="shared" si="43"/>
        <v/>
      </c>
      <c r="Y81" s="40"/>
      <c r="Z81" s="43" t="str">
        <f t="shared" si="44"/>
        <v/>
      </c>
      <c r="AA81" s="40"/>
      <c r="AB81" s="43" t="str">
        <f t="shared" si="45"/>
        <v/>
      </c>
      <c r="AC81" s="40"/>
      <c r="AD81" s="43" t="str">
        <f t="shared" si="46"/>
        <v/>
      </c>
      <c r="AE81" s="40"/>
      <c r="AF81" s="43" t="str">
        <f t="shared" si="47"/>
        <v/>
      </c>
      <c r="AG81" s="40"/>
      <c r="AH81" s="43" t="str">
        <f t="shared" si="55"/>
        <v/>
      </c>
      <c r="AI81" s="40"/>
      <c r="AJ81" s="43" t="str">
        <f t="shared" si="48"/>
        <v/>
      </c>
      <c r="AK81" s="40"/>
      <c r="AL81" s="43" t="str">
        <f t="shared" si="49"/>
        <v/>
      </c>
      <c r="AM81" s="40"/>
      <c r="AN81" s="43" t="str">
        <f t="shared" si="14"/>
        <v/>
      </c>
      <c r="AO81" s="86"/>
      <c r="AP81" s="43" t="str">
        <f t="shared" si="50"/>
        <v/>
      </c>
      <c r="AQ81" s="40"/>
      <c r="AR81" s="43" t="str">
        <f t="shared" si="51"/>
        <v/>
      </c>
      <c r="AS81" s="40"/>
      <c r="AT81" s="43" t="str">
        <f t="shared" si="14"/>
        <v/>
      </c>
      <c r="AU81" s="40"/>
      <c r="AV81" s="43" t="str">
        <f t="shared" si="52"/>
        <v/>
      </c>
      <c r="AW81" s="40"/>
      <c r="AX81" s="43" t="str">
        <f t="shared" si="53"/>
        <v/>
      </c>
      <c r="AY81" s="40"/>
      <c r="AZ81" s="43" t="str">
        <f t="shared" si="54"/>
        <v/>
      </c>
    </row>
    <row r="82" spans="1:53" ht="20" customHeight="1" x14ac:dyDescent="0.2">
      <c r="A82" s="68"/>
      <c r="B82" s="96"/>
      <c r="C82" s="25" t="s">
        <v>86</v>
      </c>
      <c r="D82" s="24" t="s">
        <v>343</v>
      </c>
      <c r="E82" s="24" t="s">
        <v>344</v>
      </c>
      <c r="F82" s="25">
        <v>2011</v>
      </c>
      <c r="H82" s="29"/>
      <c r="I82" s="28"/>
      <c r="J82" s="39"/>
      <c r="K82" s="40"/>
      <c r="L82" s="43" t="str">
        <f t="shared" si="38"/>
        <v/>
      </c>
      <c r="M82" s="40"/>
      <c r="N82" s="43" t="str">
        <f t="shared" si="39"/>
        <v/>
      </c>
      <c r="O82" s="40"/>
      <c r="P82" s="43" t="str">
        <f t="shared" si="40"/>
        <v/>
      </c>
      <c r="Q82" s="40"/>
      <c r="R82" s="43" t="str">
        <f t="shared" si="41"/>
        <v/>
      </c>
      <c r="S82" s="40"/>
      <c r="T82" s="43" t="str">
        <f t="shared" si="42"/>
        <v/>
      </c>
      <c r="U82" s="86"/>
      <c r="V82" s="43" t="str">
        <f t="shared" si="56"/>
        <v/>
      </c>
      <c r="W82" s="40"/>
      <c r="X82" s="43" t="str">
        <f t="shared" si="43"/>
        <v/>
      </c>
      <c r="Y82" s="40"/>
      <c r="Z82" s="43" t="str">
        <f t="shared" si="44"/>
        <v/>
      </c>
      <c r="AA82" s="40"/>
      <c r="AB82" s="43" t="str">
        <f t="shared" si="45"/>
        <v/>
      </c>
      <c r="AC82" s="40"/>
      <c r="AD82" s="43" t="str">
        <f t="shared" si="46"/>
        <v/>
      </c>
      <c r="AE82" s="40"/>
      <c r="AF82" s="43" t="str">
        <f t="shared" si="47"/>
        <v/>
      </c>
      <c r="AG82" s="40"/>
      <c r="AH82" s="43" t="str">
        <f t="shared" si="55"/>
        <v/>
      </c>
      <c r="AI82" s="40"/>
      <c r="AJ82" s="43" t="str">
        <f t="shared" si="48"/>
        <v/>
      </c>
      <c r="AK82" s="40"/>
      <c r="AL82" s="43" t="str">
        <f t="shared" si="49"/>
        <v/>
      </c>
      <c r="AM82" s="40"/>
      <c r="AN82" s="43" t="str">
        <f t="shared" si="14"/>
        <v/>
      </c>
      <c r="AO82" s="86"/>
      <c r="AP82" s="43" t="str">
        <f t="shared" si="50"/>
        <v/>
      </c>
      <c r="AQ82" s="40"/>
      <c r="AR82" s="43" t="str">
        <f t="shared" si="51"/>
        <v/>
      </c>
      <c r="AS82" s="40"/>
      <c r="AT82" s="43" t="str">
        <f t="shared" si="14"/>
        <v/>
      </c>
      <c r="AU82" s="40"/>
      <c r="AV82" s="43" t="str">
        <f t="shared" si="52"/>
        <v/>
      </c>
      <c r="AW82" s="40"/>
      <c r="AX82" s="43" t="str">
        <f t="shared" si="53"/>
        <v/>
      </c>
      <c r="AY82" s="40"/>
      <c r="AZ82" s="43" t="str">
        <f t="shared" si="54"/>
        <v/>
      </c>
      <c r="BA82" s="24" t="s">
        <v>409</v>
      </c>
    </row>
    <row r="83" spans="1:53" ht="20" customHeight="1" x14ac:dyDescent="0.2">
      <c r="A83" s="68"/>
      <c r="B83" s="95"/>
      <c r="C83" s="25" t="s">
        <v>86</v>
      </c>
      <c r="D83" s="24" t="s">
        <v>345</v>
      </c>
      <c r="E83" s="24" t="s">
        <v>346</v>
      </c>
      <c r="F83" s="25">
        <v>1977</v>
      </c>
      <c r="H83" s="29">
        <v>5</v>
      </c>
      <c r="I83" s="28" t="s">
        <v>410</v>
      </c>
      <c r="J83" s="39"/>
      <c r="K83" s="40"/>
      <c r="L83" s="43" t="str">
        <f t="shared" si="38"/>
        <v/>
      </c>
      <c r="M83" s="40"/>
      <c r="N83" s="43" t="str">
        <f t="shared" si="39"/>
        <v/>
      </c>
      <c r="O83" s="40">
        <v>5</v>
      </c>
      <c r="P83" s="43">
        <f t="shared" si="40"/>
        <v>100</v>
      </c>
      <c r="Q83" s="40"/>
      <c r="R83" s="43" t="str">
        <f t="shared" si="41"/>
        <v/>
      </c>
      <c r="S83" s="40"/>
      <c r="T83" s="43" t="str">
        <f t="shared" si="42"/>
        <v/>
      </c>
      <c r="U83" s="86"/>
      <c r="V83" s="43" t="str">
        <f t="shared" si="56"/>
        <v/>
      </c>
      <c r="W83" s="40"/>
      <c r="X83" s="43" t="str">
        <f t="shared" si="43"/>
        <v/>
      </c>
      <c r="Y83" s="40"/>
      <c r="Z83" s="43" t="str">
        <f t="shared" si="44"/>
        <v/>
      </c>
      <c r="AA83" s="40"/>
      <c r="AB83" s="43" t="str">
        <f t="shared" si="45"/>
        <v/>
      </c>
      <c r="AC83" s="40"/>
      <c r="AD83" s="43" t="str">
        <f t="shared" si="46"/>
        <v/>
      </c>
      <c r="AE83" s="40"/>
      <c r="AF83" s="43" t="str">
        <f t="shared" si="47"/>
        <v/>
      </c>
      <c r="AG83" s="40"/>
      <c r="AH83" s="43" t="str">
        <f t="shared" si="55"/>
        <v/>
      </c>
      <c r="AI83" s="40"/>
      <c r="AJ83" s="43" t="str">
        <f t="shared" si="48"/>
        <v/>
      </c>
      <c r="AK83" s="40"/>
      <c r="AL83" s="43" t="str">
        <f t="shared" si="49"/>
        <v/>
      </c>
      <c r="AM83" s="40"/>
      <c r="AN83" s="43" t="str">
        <f t="shared" si="14"/>
        <v/>
      </c>
      <c r="AO83" s="86"/>
      <c r="AP83" s="43" t="str">
        <f t="shared" si="50"/>
        <v/>
      </c>
      <c r="AQ83" s="40"/>
      <c r="AR83" s="43" t="str">
        <f t="shared" si="51"/>
        <v/>
      </c>
      <c r="AS83" s="40"/>
      <c r="AT83" s="43" t="str">
        <f t="shared" si="14"/>
        <v/>
      </c>
      <c r="AU83" s="40"/>
      <c r="AV83" s="43" t="str">
        <f t="shared" si="52"/>
        <v/>
      </c>
      <c r="AW83" s="40"/>
      <c r="AX83" s="43" t="str">
        <f t="shared" si="53"/>
        <v/>
      </c>
      <c r="AY83" s="40"/>
      <c r="AZ83" s="43" t="str">
        <f t="shared" si="54"/>
        <v/>
      </c>
      <c r="BA83" s="24" t="s">
        <v>411</v>
      </c>
    </row>
    <row r="84" spans="1:53" ht="20" customHeight="1" x14ac:dyDescent="0.2">
      <c r="A84" s="67"/>
      <c r="B84" s="95"/>
      <c r="C84" s="25" t="s">
        <v>86</v>
      </c>
      <c r="D84" s="24" t="s">
        <v>108</v>
      </c>
      <c r="E84" s="24" t="s">
        <v>109</v>
      </c>
      <c r="F84" s="25">
        <v>2008</v>
      </c>
      <c r="G84" s="25">
        <v>54</v>
      </c>
      <c r="H84" s="29">
        <v>30</v>
      </c>
      <c r="I84" s="28" t="s">
        <v>174</v>
      </c>
      <c r="J84" s="39" t="s">
        <v>233</v>
      </c>
      <c r="K84" s="40"/>
      <c r="L84" s="43" t="str">
        <f t="shared" si="38"/>
        <v/>
      </c>
      <c r="M84" s="40"/>
      <c r="N84" s="43" t="str">
        <f t="shared" si="39"/>
        <v/>
      </c>
      <c r="O84" s="40"/>
      <c r="P84" s="43" t="str">
        <f t="shared" si="40"/>
        <v/>
      </c>
      <c r="Q84" s="40"/>
      <c r="R84" s="43" t="str">
        <f t="shared" si="41"/>
        <v/>
      </c>
      <c r="S84" s="40"/>
      <c r="T84" s="43" t="str">
        <f t="shared" si="42"/>
        <v/>
      </c>
      <c r="U84" s="86"/>
      <c r="V84" s="43" t="str">
        <f t="shared" si="56"/>
        <v/>
      </c>
      <c r="W84" s="40"/>
      <c r="X84" s="43" t="str">
        <f t="shared" si="43"/>
        <v/>
      </c>
      <c r="Y84" s="40"/>
      <c r="Z84" s="43" t="str">
        <f t="shared" si="44"/>
        <v/>
      </c>
      <c r="AA84" s="40"/>
      <c r="AB84" s="43" t="str">
        <f t="shared" si="45"/>
        <v/>
      </c>
      <c r="AC84" s="40"/>
      <c r="AD84" s="43" t="str">
        <f t="shared" si="46"/>
        <v/>
      </c>
      <c r="AE84" s="40"/>
      <c r="AF84" s="43" t="str">
        <f t="shared" si="47"/>
        <v/>
      </c>
      <c r="AG84" s="40">
        <v>1</v>
      </c>
      <c r="AH84" s="43">
        <f t="shared" si="55"/>
        <v>3.3333333333333335</v>
      </c>
      <c r="AI84" s="40"/>
      <c r="AJ84" s="43" t="str">
        <f t="shared" si="48"/>
        <v/>
      </c>
      <c r="AK84" s="40"/>
      <c r="AL84" s="43" t="str">
        <f t="shared" si="49"/>
        <v/>
      </c>
      <c r="AM84" s="40"/>
      <c r="AN84" s="43" t="str">
        <f t="shared" si="14"/>
        <v/>
      </c>
      <c r="AO84" s="86"/>
      <c r="AP84" s="43" t="str">
        <f t="shared" si="50"/>
        <v/>
      </c>
      <c r="AQ84" s="40">
        <v>1</v>
      </c>
      <c r="AR84" s="43">
        <f t="shared" si="51"/>
        <v>3.3333333333333335</v>
      </c>
      <c r="AS84" s="40"/>
      <c r="AT84" s="43" t="str">
        <f t="shared" si="14"/>
        <v/>
      </c>
      <c r="AU84" s="40"/>
      <c r="AV84" s="43" t="str">
        <f t="shared" si="52"/>
        <v/>
      </c>
      <c r="AW84" s="40"/>
      <c r="AX84" s="43" t="str">
        <f t="shared" si="53"/>
        <v/>
      </c>
      <c r="AY84" s="40"/>
      <c r="AZ84" s="43" t="str">
        <f t="shared" si="54"/>
        <v/>
      </c>
    </row>
    <row r="85" spans="1:53" ht="20" customHeight="1" x14ac:dyDescent="0.2">
      <c r="A85" s="67"/>
      <c r="B85" s="96"/>
      <c r="C85" s="25" t="s">
        <v>86</v>
      </c>
      <c r="D85" s="24" t="s">
        <v>110</v>
      </c>
      <c r="E85" s="24" t="s">
        <v>111</v>
      </c>
      <c r="F85" s="25">
        <v>1999</v>
      </c>
      <c r="G85" s="25">
        <v>76</v>
      </c>
      <c r="H85" s="29">
        <v>7</v>
      </c>
      <c r="I85" s="28" t="s">
        <v>189</v>
      </c>
      <c r="J85" s="39" t="s">
        <v>212</v>
      </c>
      <c r="K85" s="40"/>
      <c r="L85" s="43" t="str">
        <f t="shared" si="38"/>
        <v/>
      </c>
      <c r="M85" s="40"/>
      <c r="N85" s="43" t="str">
        <f t="shared" si="39"/>
        <v/>
      </c>
      <c r="O85" s="40"/>
      <c r="P85" s="43" t="str">
        <f t="shared" si="40"/>
        <v/>
      </c>
      <c r="Q85" s="40"/>
      <c r="R85" s="43" t="str">
        <f t="shared" si="41"/>
        <v/>
      </c>
      <c r="S85" s="40"/>
      <c r="T85" s="43" t="str">
        <f t="shared" si="42"/>
        <v/>
      </c>
      <c r="U85" s="86"/>
      <c r="V85" s="43" t="str">
        <f t="shared" si="56"/>
        <v/>
      </c>
      <c r="W85" s="40"/>
      <c r="X85" s="43" t="str">
        <f t="shared" si="43"/>
        <v/>
      </c>
      <c r="Y85" s="40"/>
      <c r="Z85" s="43" t="str">
        <f t="shared" si="44"/>
        <v/>
      </c>
      <c r="AA85" s="40"/>
      <c r="AB85" s="43" t="str">
        <f t="shared" si="45"/>
        <v/>
      </c>
      <c r="AC85" s="40"/>
      <c r="AD85" s="43" t="str">
        <f t="shared" si="46"/>
        <v/>
      </c>
      <c r="AE85" s="40"/>
      <c r="AF85" s="43" t="str">
        <f t="shared" si="47"/>
        <v/>
      </c>
      <c r="AG85" s="40"/>
      <c r="AH85" s="43" t="str">
        <f t="shared" si="55"/>
        <v/>
      </c>
      <c r="AI85" s="40"/>
      <c r="AJ85" s="43" t="str">
        <f t="shared" si="48"/>
        <v/>
      </c>
      <c r="AK85" s="40"/>
      <c r="AL85" s="43" t="str">
        <f t="shared" si="49"/>
        <v/>
      </c>
      <c r="AM85" s="40"/>
      <c r="AN85" s="43" t="str">
        <f t="shared" si="14"/>
        <v/>
      </c>
      <c r="AO85" s="86"/>
      <c r="AP85" s="43" t="str">
        <f t="shared" si="50"/>
        <v/>
      </c>
      <c r="AQ85" s="40"/>
      <c r="AR85" s="43" t="str">
        <f t="shared" si="51"/>
        <v/>
      </c>
      <c r="AS85" s="40"/>
      <c r="AT85" s="43" t="str">
        <f t="shared" si="14"/>
        <v/>
      </c>
      <c r="AU85" s="40"/>
      <c r="AV85" s="43" t="str">
        <f t="shared" si="52"/>
        <v/>
      </c>
      <c r="AW85" s="40"/>
      <c r="AX85" s="43" t="str">
        <f t="shared" si="53"/>
        <v/>
      </c>
      <c r="AY85" s="40"/>
      <c r="AZ85" s="43" t="str">
        <f t="shared" si="54"/>
        <v/>
      </c>
      <c r="BA85" s="24" t="s">
        <v>196</v>
      </c>
    </row>
    <row r="86" spans="1:53" ht="20" customHeight="1" x14ac:dyDescent="0.2">
      <c r="A86" s="68"/>
      <c r="B86" s="96"/>
      <c r="C86" s="25" t="s">
        <v>86</v>
      </c>
      <c r="D86" s="24" t="s">
        <v>112</v>
      </c>
      <c r="E86" s="24" t="s">
        <v>113</v>
      </c>
      <c r="F86" s="25">
        <v>2008</v>
      </c>
      <c r="G86" s="25">
        <v>101</v>
      </c>
      <c r="H86" s="29">
        <v>16</v>
      </c>
      <c r="I86" s="28" t="s">
        <v>235</v>
      </c>
      <c r="J86" s="39"/>
      <c r="K86" s="40"/>
      <c r="L86" s="43" t="str">
        <f t="shared" si="38"/>
        <v/>
      </c>
      <c r="M86" s="40"/>
      <c r="N86" s="43" t="str">
        <f t="shared" si="39"/>
        <v/>
      </c>
      <c r="O86" s="40"/>
      <c r="P86" s="43" t="str">
        <f t="shared" si="40"/>
        <v/>
      </c>
      <c r="Q86" s="40"/>
      <c r="R86" s="43" t="str">
        <f t="shared" si="41"/>
        <v/>
      </c>
      <c r="S86" s="40"/>
      <c r="T86" s="43" t="str">
        <f t="shared" si="42"/>
        <v/>
      </c>
      <c r="U86" s="86"/>
      <c r="V86" s="43" t="str">
        <f t="shared" si="56"/>
        <v/>
      </c>
      <c r="W86" s="40"/>
      <c r="X86" s="43" t="str">
        <f t="shared" si="43"/>
        <v/>
      </c>
      <c r="Y86" s="40"/>
      <c r="Z86" s="43" t="str">
        <f t="shared" si="44"/>
        <v/>
      </c>
      <c r="AA86" s="40"/>
      <c r="AB86" s="43" t="str">
        <f t="shared" si="45"/>
        <v/>
      </c>
      <c r="AC86" s="40"/>
      <c r="AD86" s="43" t="str">
        <f t="shared" si="46"/>
        <v/>
      </c>
      <c r="AE86" s="40"/>
      <c r="AF86" s="43" t="str">
        <f t="shared" si="47"/>
        <v/>
      </c>
      <c r="AG86" s="40"/>
      <c r="AH86" s="43" t="str">
        <f t="shared" si="55"/>
        <v/>
      </c>
      <c r="AI86" s="40"/>
      <c r="AJ86" s="43" t="str">
        <f t="shared" si="48"/>
        <v/>
      </c>
      <c r="AK86" s="40"/>
      <c r="AL86" s="43" t="str">
        <f t="shared" si="49"/>
        <v/>
      </c>
      <c r="AM86" s="40"/>
      <c r="AN86" s="43" t="str">
        <f t="shared" si="14"/>
        <v/>
      </c>
      <c r="AO86" s="86"/>
      <c r="AP86" s="43" t="str">
        <f t="shared" si="50"/>
        <v/>
      </c>
      <c r="AQ86" s="40"/>
      <c r="AR86" s="43" t="str">
        <f t="shared" si="51"/>
        <v/>
      </c>
      <c r="AS86" s="40"/>
      <c r="AT86" s="43" t="str">
        <f t="shared" si="14"/>
        <v/>
      </c>
      <c r="AU86" s="40"/>
      <c r="AV86" s="43" t="str">
        <f t="shared" si="52"/>
        <v/>
      </c>
      <c r="AW86" s="40"/>
      <c r="AX86" s="43" t="str">
        <f t="shared" si="53"/>
        <v/>
      </c>
      <c r="AY86" s="40"/>
      <c r="AZ86" s="43" t="str">
        <f t="shared" si="54"/>
        <v/>
      </c>
      <c r="BA86" s="24" t="s">
        <v>432</v>
      </c>
    </row>
    <row r="87" spans="1:53" ht="20" customHeight="1" x14ac:dyDescent="0.2">
      <c r="A87" s="67"/>
      <c r="B87" s="95"/>
      <c r="C87" s="25" t="s">
        <v>86</v>
      </c>
      <c r="D87" s="24" t="s">
        <v>114</v>
      </c>
      <c r="E87" s="24" t="s">
        <v>115</v>
      </c>
      <c r="F87" s="25">
        <v>1997</v>
      </c>
      <c r="G87" s="25">
        <v>127</v>
      </c>
      <c r="H87" s="29">
        <v>8</v>
      </c>
      <c r="I87" s="28" t="s">
        <v>236</v>
      </c>
      <c r="J87" s="39" t="s">
        <v>237</v>
      </c>
      <c r="K87" s="40"/>
      <c r="L87" s="43" t="str">
        <f t="shared" si="38"/>
        <v/>
      </c>
      <c r="M87" s="40"/>
      <c r="N87" s="43" t="str">
        <f t="shared" si="39"/>
        <v/>
      </c>
      <c r="O87" s="40"/>
      <c r="P87" s="43" t="str">
        <f t="shared" si="40"/>
        <v/>
      </c>
      <c r="Q87" s="40"/>
      <c r="R87" s="43" t="str">
        <f t="shared" si="41"/>
        <v/>
      </c>
      <c r="S87" s="40"/>
      <c r="T87" s="43" t="str">
        <f t="shared" si="42"/>
        <v/>
      </c>
      <c r="U87" s="86">
        <v>1</v>
      </c>
      <c r="V87" s="43">
        <f t="shared" si="56"/>
        <v>12.5</v>
      </c>
      <c r="W87" s="40"/>
      <c r="X87" s="43" t="str">
        <f t="shared" si="43"/>
        <v/>
      </c>
      <c r="Y87" s="40"/>
      <c r="Z87" s="43" t="str">
        <f t="shared" si="44"/>
        <v/>
      </c>
      <c r="AA87" s="40"/>
      <c r="AB87" s="43" t="str">
        <f t="shared" si="45"/>
        <v/>
      </c>
      <c r="AC87" s="40">
        <v>1</v>
      </c>
      <c r="AD87" s="43">
        <f t="shared" si="46"/>
        <v>12.5</v>
      </c>
      <c r="AE87" s="40"/>
      <c r="AF87" s="43" t="str">
        <f t="shared" si="47"/>
        <v/>
      </c>
      <c r="AG87" s="40"/>
      <c r="AH87" s="43" t="str">
        <f t="shared" si="55"/>
        <v/>
      </c>
      <c r="AI87" s="40"/>
      <c r="AJ87" s="43" t="str">
        <f t="shared" si="48"/>
        <v/>
      </c>
      <c r="AK87" s="40"/>
      <c r="AL87" s="43" t="str">
        <f t="shared" si="49"/>
        <v/>
      </c>
      <c r="AM87" s="40"/>
      <c r="AN87" s="43" t="str">
        <f t="shared" si="14"/>
        <v/>
      </c>
      <c r="AO87" s="86"/>
      <c r="AP87" s="43" t="str">
        <f t="shared" si="50"/>
        <v/>
      </c>
      <c r="AQ87" s="40"/>
      <c r="AR87" s="43" t="str">
        <f t="shared" si="51"/>
        <v/>
      </c>
      <c r="AS87" s="40"/>
      <c r="AT87" s="43" t="str">
        <f t="shared" si="14"/>
        <v/>
      </c>
      <c r="AU87" s="40"/>
      <c r="AV87" s="43" t="str">
        <f t="shared" si="52"/>
        <v/>
      </c>
      <c r="AW87" s="40"/>
      <c r="AX87" s="43" t="str">
        <f t="shared" si="53"/>
        <v/>
      </c>
      <c r="AY87" s="40"/>
      <c r="AZ87" s="43" t="str">
        <f t="shared" si="54"/>
        <v/>
      </c>
      <c r="BA87" s="24" t="s">
        <v>433</v>
      </c>
    </row>
    <row r="88" spans="1:53" ht="20" customHeight="1" x14ac:dyDescent="0.2">
      <c r="A88" s="67"/>
      <c r="B88" s="25"/>
      <c r="C88" s="25" t="s">
        <v>86</v>
      </c>
      <c r="D88" s="24" t="s">
        <v>116</v>
      </c>
      <c r="E88" s="24" t="s">
        <v>117</v>
      </c>
      <c r="F88" s="25">
        <v>2001</v>
      </c>
      <c r="G88" s="25">
        <v>143</v>
      </c>
      <c r="H88" s="29">
        <v>6</v>
      </c>
      <c r="I88" s="28" t="s">
        <v>238</v>
      </c>
      <c r="J88" s="39" t="s">
        <v>213</v>
      </c>
      <c r="K88" s="40"/>
      <c r="L88" s="43" t="str">
        <f t="shared" si="38"/>
        <v/>
      </c>
      <c r="M88" s="40"/>
      <c r="N88" s="43" t="str">
        <f t="shared" si="39"/>
        <v/>
      </c>
      <c r="O88" s="40"/>
      <c r="P88" s="43" t="str">
        <f t="shared" si="40"/>
        <v/>
      </c>
      <c r="Q88" s="40"/>
      <c r="R88" s="43" t="str">
        <f t="shared" si="41"/>
        <v/>
      </c>
      <c r="S88" s="40"/>
      <c r="T88" s="43" t="str">
        <f t="shared" si="42"/>
        <v/>
      </c>
      <c r="U88" s="86"/>
      <c r="V88" s="43" t="str">
        <f t="shared" si="56"/>
        <v/>
      </c>
      <c r="W88" s="40"/>
      <c r="X88" s="43" t="str">
        <f t="shared" si="43"/>
        <v/>
      </c>
      <c r="Y88" s="40"/>
      <c r="Z88" s="43" t="str">
        <f t="shared" si="44"/>
        <v/>
      </c>
      <c r="AA88" s="40"/>
      <c r="AB88" s="43" t="str">
        <f t="shared" si="45"/>
        <v/>
      </c>
      <c r="AC88" s="40"/>
      <c r="AD88" s="43" t="str">
        <f t="shared" si="46"/>
        <v/>
      </c>
      <c r="AE88" s="40"/>
      <c r="AF88" s="43" t="str">
        <f t="shared" si="47"/>
        <v/>
      </c>
      <c r="AG88" s="40"/>
      <c r="AH88" s="43" t="str">
        <f t="shared" si="55"/>
        <v/>
      </c>
      <c r="AI88" s="40"/>
      <c r="AJ88" s="43" t="str">
        <f t="shared" si="48"/>
        <v/>
      </c>
      <c r="AK88" s="40"/>
      <c r="AL88" s="43" t="str">
        <f t="shared" si="49"/>
        <v/>
      </c>
      <c r="AM88" s="40"/>
      <c r="AN88" s="43" t="str">
        <f t="shared" si="14"/>
        <v/>
      </c>
      <c r="AO88" s="86"/>
      <c r="AP88" s="43" t="str">
        <f t="shared" si="50"/>
        <v/>
      </c>
      <c r="AQ88" s="40"/>
      <c r="AR88" s="43" t="str">
        <f t="shared" si="51"/>
        <v/>
      </c>
      <c r="AS88" s="40"/>
      <c r="AT88" s="43" t="str">
        <f t="shared" si="14"/>
        <v/>
      </c>
      <c r="AU88" s="40"/>
      <c r="AV88" s="43" t="str">
        <f t="shared" si="52"/>
        <v/>
      </c>
      <c r="AW88" s="40"/>
      <c r="AX88" s="43" t="str">
        <f t="shared" si="53"/>
        <v/>
      </c>
      <c r="AY88" s="40"/>
      <c r="AZ88" s="43" t="str">
        <f t="shared" si="54"/>
        <v/>
      </c>
      <c r="BA88" s="24" t="s">
        <v>239</v>
      </c>
    </row>
    <row r="89" spans="1:53" ht="20" customHeight="1" x14ac:dyDescent="0.2">
      <c r="A89" s="67"/>
      <c r="B89" s="25"/>
      <c r="C89" s="57" t="s">
        <v>30</v>
      </c>
      <c r="D89" s="56" t="s">
        <v>118</v>
      </c>
      <c r="E89" s="56" t="s">
        <v>119</v>
      </c>
      <c r="F89" s="57">
        <v>2004</v>
      </c>
      <c r="G89" s="57">
        <v>100</v>
      </c>
      <c r="H89" s="29" t="s">
        <v>240</v>
      </c>
      <c r="I89" s="28" t="s">
        <v>241</v>
      </c>
      <c r="J89" s="39"/>
      <c r="K89" s="40"/>
      <c r="L89" s="43" t="str">
        <f t="shared" si="38"/>
        <v/>
      </c>
      <c r="M89" s="40"/>
      <c r="N89" s="43" t="str">
        <f t="shared" si="39"/>
        <v/>
      </c>
      <c r="O89" s="40"/>
      <c r="P89" s="43" t="str">
        <f t="shared" si="40"/>
        <v/>
      </c>
      <c r="Q89" s="40"/>
      <c r="R89" s="43" t="str">
        <f t="shared" si="41"/>
        <v/>
      </c>
      <c r="S89" s="40"/>
      <c r="T89" s="43" t="str">
        <f t="shared" si="42"/>
        <v/>
      </c>
      <c r="U89" s="86">
        <v>1</v>
      </c>
      <c r="V89" s="43" t="str">
        <f t="shared" si="56"/>
        <v/>
      </c>
      <c r="W89" s="40"/>
      <c r="X89" s="43" t="str">
        <f t="shared" si="43"/>
        <v/>
      </c>
      <c r="Y89" s="40"/>
      <c r="Z89" s="43" t="str">
        <f t="shared" si="44"/>
        <v/>
      </c>
      <c r="AA89" s="40"/>
      <c r="AB89" s="43" t="str">
        <f t="shared" si="45"/>
        <v/>
      </c>
      <c r="AC89" s="40"/>
      <c r="AD89" s="43" t="str">
        <f t="shared" si="46"/>
        <v/>
      </c>
      <c r="AE89" s="40"/>
      <c r="AF89" s="43" t="str">
        <f t="shared" si="47"/>
        <v/>
      </c>
      <c r="AG89" s="40"/>
      <c r="AH89" s="43" t="str">
        <f t="shared" si="55"/>
        <v/>
      </c>
      <c r="AI89" s="40"/>
      <c r="AJ89" s="43" t="str">
        <f t="shared" si="48"/>
        <v/>
      </c>
      <c r="AK89" s="40"/>
      <c r="AL89" s="43" t="str">
        <f t="shared" si="49"/>
        <v/>
      </c>
      <c r="AM89" s="40"/>
      <c r="AN89" s="43" t="str">
        <f t="shared" si="14"/>
        <v/>
      </c>
      <c r="AO89" s="86"/>
      <c r="AP89" s="43" t="str">
        <f t="shared" si="50"/>
        <v/>
      </c>
      <c r="AQ89" s="40"/>
      <c r="AR89" s="43" t="str">
        <f t="shared" si="51"/>
        <v/>
      </c>
      <c r="AS89" s="40"/>
      <c r="AT89" s="43" t="str">
        <f t="shared" si="14"/>
        <v/>
      </c>
      <c r="AU89" s="40"/>
      <c r="AV89" s="43" t="str">
        <f t="shared" si="52"/>
        <v/>
      </c>
      <c r="AW89" s="40"/>
      <c r="AX89" s="43" t="str">
        <f t="shared" si="53"/>
        <v/>
      </c>
      <c r="AY89" s="40"/>
      <c r="AZ89" s="43" t="str">
        <f t="shared" si="54"/>
        <v/>
      </c>
      <c r="BA89" s="24" t="s">
        <v>434</v>
      </c>
    </row>
    <row r="90" spans="1:53" ht="20" customHeight="1" x14ac:dyDescent="0.2">
      <c r="A90" s="67"/>
      <c r="B90" s="95"/>
      <c r="C90" s="25" t="s">
        <v>86</v>
      </c>
      <c r="D90" s="24" t="s">
        <v>120</v>
      </c>
      <c r="E90" s="24" t="s">
        <v>121</v>
      </c>
      <c r="F90" s="25">
        <v>2003</v>
      </c>
      <c r="G90" s="25">
        <v>45</v>
      </c>
      <c r="H90" s="29">
        <v>16</v>
      </c>
      <c r="I90" s="28" t="s">
        <v>189</v>
      </c>
      <c r="J90" s="39" t="s">
        <v>377</v>
      </c>
      <c r="K90" s="40"/>
      <c r="L90" s="43" t="str">
        <f t="shared" si="38"/>
        <v/>
      </c>
      <c r="M90" s="40"/>
      <c r="N90" s="43" t="str">
        <f t="shared" si="39"/>
        <v/>
      </c>
      <c r="O90" s="45"/>
      <c r="P90" s="46" t="str">
        <f t="shared" si="40"/>
        <v/>
      </c>
      <c r="Q90" s="40"/>
      <c r="R90" s="43" t="str">
        <f t="shared" si="41"/>
        <v/>
      </c>
      <c r="S90" s="40"/>
      <c r="T90" s="43" t="str">
        <f t="shared" si="42"/>
        <v/>
      </c>
      <c r="U90" s="86"/>
      <c r="V90" s="43" t="str">
        <f t="shared" si="56"/>
        <v/>
      </c>
      <c r="W90" s="40"/>
      <c r="X90" s="43" t="str">
        <f t="shared" si="43"/>
        <v/>
      </c>
      <c r="Y90" s="40"/>
      <c r="Z90" s="43" t="str">
        <f t="shared" si="44"/>
        <v/>
      </c>
      <c r="AA90" s="40"/>
      <c r="AB90" s="43" t="str">
        <f t="shared" si="45"/>
        <v/>
      </c>
      <c r="AC90" s="40"/>
      <c r="AD90" s="43" t="str">
        <f t="shared" si="46"/>
        <v/>
      </c>
      <c r="AE90" s="40"/>
      <c r="AF90" s="43" t="str">
        <f t="shared" si="47"/>
        <v/>
      </c>
      <c r="AG90" s="40"/>
      <c r="AH90" s="43" t="str">
        <f t="shared" si="55"/>
        <v/>
      </c>
      <c r="AI90" s="40"/>
      <c r="AJ90" s="43" t="str">
        <f t="shared" si="48"/>
        <v/>
      </c>
      <c r="AK90" s="40"/>
      <c r="AL90" s="43" t="str">
        <f t="shared" si="49"/>
        <v/>
      </c>
      <c r="AM90" s="40"/>
      <c r="AN90" s="43" t="str">
        <f t="shared" si="14"/>
        <v/>
      </c>
      <c r="AO90" s="86"/>
      <c r="AP90" s="43" t="str">
        <f t="shared" si="50"/>
        <v/>
      </c>
      <c r="AQ90" s="40"/>
      <c r="AR90" s="43" t="str">
        <f t="shared" si="51"/>
        <v/>
      </c>
      <c r="AS90" s="40"/>
      <c r="AT90" s="43" t="str">
        <f t="shared" si="14"/>
        <v/>
      </c>
      <c r="AU90" s="40"/>
      <c r="AV90" s="43" t="str">
        <f t="shared" si="52"/>
        <v/>
      </c>
      <c r="AW90" s="40"/>
      <c r="AX90" s="43" t="str">
        <f t="shared" si="53"/>
        <v/>
      </c>
      <c r="AY90" s="40"/>
      <c r="AZ90" s="43" t="str">
        <f t="shared" si="54"/>
        <v/>
      </c>
      <c r="BA90" s="24" t="s">
        <v>244</v>
      </c>
    </row>
    <row r="91" spans="1:53" ht="20" customHeight="1" x14ac:dyDescent="0.2">
      <c r="A91" s="67"/>
      <c r="B91" s="96"/>
      <c r="C91" s="25" t="s">
        <v>86</v>
      </c>
      <c r="D91" s="24" t="s">
        <v>122</v>
      </c>
      <c r="E91" s="24" t="s">
        <v>123</v>
      </c>
      <c r="F91" s="25">
        <v>2002</v>
      </c>
      <c r="G91" s="25">
        <v>73</v>
      </c>
      <c r="H91" s="29">
        <v>49</v>
      </c>
      <c r="I91" s="28" t="s">
        <v>218</v>
      </c>
      <c r="J91" s="39"/>
      <c r="K91" s="40"/>
      <c r="L91" s="43" t="str">
        <f t="shared" si="38"/>
        <v/>
      </c>
      <c r="M91" s="40"/>
      <c r="N91" s="43" t="str">
        <f t="shared" si="39"/>
        <v/>
      </c>
      <c r="O91" s="40"/>
      <c r="P91" s="43" t="str">
        <f t="shared" si="40"/>
        <v/>
      </c>
      <c r="Q91" s="40"/>
      <c r="R91" s="43" t="str">
        <f t="shared" si="41"/>
        <v/>
      </c>
      <c r="S91" s="40"/>
      <c r="T91" s="43" t="str">
        <f t="shared" si="42"/>
        <v/>
      </c>
      <c r="U91" s="86"/>
      <c r="V91" s="43" t="str">
        <f t="shared" si="56"/>
        <v/>
      </c>
      <c r="W91" s="40"/>
      <c r="X91" s="43" t="str">
        <f t="shared" si="43"/>
        <v/>
      </c>
      <c r="Y91" s="40"/>
      <c r="Z91" s="43" t="str">
        <f t="shared" si="44"/>
        <v/>
      </c>
      <c r="AA91" s="40"/>
      <c r="AB91" s="43" t="str">
        <f t="shared" si="45"/>
        <v/>
      </c>
      <c r="AC91" s="40"/>
      <c r="AD91" s="43" t="str">
        <f t="shared" si="46"/>
        <v/>
      </c>
      <c r="AE91" s="40"/>
      <c r="AF91" s="43" t="str">
        <f t="shared" si="47"/>
        <v/>
      </c>
      <c r="AG91" s="40"/>
      <c r="AH91" s="43" t="str">
        <f t="shared" si="55"/>
        <v/>
      </c>
      <c r="AI91" s="40"/>
      <c r="AJ91" s="43" t="str">
        <f t="shared" si="48"/>
        <v/>
      </c>
      <c r="AK91" s="40"/>
      <c r="AL91" s="43" t="str">
        <f t="shared" si="49"/>
        <v/>
      </c>
      <c r="AM91" s="40"/>
      <c r="AN91" s="43" t="str">
        <f t="shared" si="14"/>
        <v/>
      </c>
      <c r="AO91" s="86"/>
      <c r="AP91" s="43" t="str">
        <f t="shared" si="50"/>
        <v/>
      </c>
      <c r="AQ91" s="40"/>
      <c r="AR91" s="43" t="str">
        <f t="shared" si="51"/>
        <v/>
      </c>
      <c r="AS91" s="40"/>
      <c r="AT91" s="43" t="str">
        <f t="shared" si="14"/>
        <v/>
      </c>
      <c r="AU91" s="40"/>
      <c r="AV91" s="43" t="str">
        <f t="shared" si="52"/>
        <v/>
      </c>
      <c r="AW91" s="40"/>
      <c r="AX91" s="43" t="str">
        <f t="shared" si="53"/>
        <v/>
      </c>
      <c r="AY91" s="40"/>
      <c r="AZ91" s="43" t="str">
        <f t="shared" si="54"/>
        <v/>
      </c>
      <c r="BA91" s="24" t="s">
        <v>196</v>
      </c>
    </row>
    <row r="92" spans="1:53" ht="20" customHeight="1" x14ac:dyDescent="0.2">
      <c r="A92" s="67"/>
      <c r="B92" s="95"/>
      <c r="C92" s="25" t="s">
        <v>86</v>
      </c>
      <c r="D92" s="24" t="s">
        <v>347</v>
      </c>
      <c r="E92" s="24" t="s">
        <v>348</v>
      </c>
      <c r="F92" s="25">
        <v>2015</v>
      </c>
      <c r="H92" s="29">
        <v>5</v>
      </c>
      <c r="I92" s="28" t="s">
        <v>235</v>
      </c>
      <c r="J92" s="39" t="s">
        <v>208</v>
      </c>
      <c r="K92" s="40"/>
      <c r="L92" s="43" t="str">
        <f t="shared" si="38"/>
        <v/>
      </c>
      <c r="M92" s="40"/>
      <c r="N92" s="43" t="str">
        <f t="shared" si="39"/>
        <v/>
      </c>
      <c r="O92" s="40"/>
      <c r="P92" s="43" t="str">
        <f t="shared" si="40"/>
        <v/>
      </c>
      <c r="Q92" s="40"/>
      <c r="R92" s="43" t="str">
        <f t="shared" si="41"/>
        <v/>
      </c>
      <c r="S92" s="40"/>
      <c r="T92" s="43" t="str">
        <f t="shared" si="42"/>
        <v/>
      </c>
      <c r="U92" s="86"/>
      <c r="V92" s="43" t="str">
        <f t="shared" si="56"/>
        <v/>
      </c>
      <c r="W92" s="40"/>
      <c r="X92" s="43" t="str">
        <f t="shared" si="43"/>
        <v/>
      </c>
      <c r="Y92" s="40"/>
      <c r="Z92" s="43" t="str">
        <f t="shared" si="44"/>
        <v/>
      </c>
      <c r="AA92" s="40"/>
      <c r="AB92" s="43" t="str">
        <f t="shared" si="45"/>
        <v/>
      </c>
      <c r="AC92" s="40"/>
      <c r="AD92" s="43" t="str">
        <f t="shared" si="46"/>
        <v/>
      </c>
      <c r="AE92" s="40"/>
      <c r="AF92" s="43" t="str">
        <f t="shared" si="47"/>
        <v/>
      </c>
      <c r="AG92" s="40"/>
      <c r="AH92" s="43" t="str">
        <f t="shared" si="55"/>
        <v/>
      </c>
      <c r="AI92" s="40"/>
      <c r="AJ92" s="43" t="str">
        <f t="shared" si="48"/>
        <v/>
      </c>
      <c r="AK92" s="40"/>
      <c r="AL92" s="43" t="str">
        <f t="shared" si="49"/>
        <v/>
      </c>
      <c r="AM92" s="40"/>
      <c r="AN92" s="43" t="str">
        <f t="shared" si="14"/>
        <v/>
      </c>
      <c r="AO92" s="86">
        <v>1</v>
      </c>
      <c r="AP92" s="43">
        <f t="shared" si="50"/>
        <v>20</v>
      </c>
      <c r="AQ92" s="40"/>
      <c r="AR92" s="43" t="str">
        <f t="shared" si="51"/>
        <v/>
      </c>
      <c r="AS92" s="40"/>
      <c r="AT92" s="43" t="str">
        <f t="shared" si="14"/>
        <v/>
      </c>
      <c r="AU92" s="40"/>
      <c r="AV92" s="43" t="str">
        <f t="shared" si="52"/>
        <v/>
      </c>
      <c r="AW92" s="40"/>
      <c r="AX92" s="43" t="str">
        <f t="shared" si="53"/>
        <v/>
      </c>
      <c r="AY92" s="40"/>
      <c r="AZ92" s="43" t="str">
        <f t="shared" si="54"/>
        <v/>
      </c>
    </row>
    <row r="93" spans="1:53" ht="20" customHeight="1" x14ac:dyDescent="0.2">
      <c r="A93" s="67"/>
      <c r="B93" s="96"/>
      <c r="C93" s="25" t="s">
        <v>86</v>
      </c>
      <c r="D93" s="24" t="s">
        <v>349</v>
      </c>
      <c r="E93" s="24" t="s">
        <v>350</v>
      </c>
      <c r="F93" s="25">
        <v>2008</v>
      </c>
      <c r="H93" s="29">
        <v>86</v>
      </c>
      <c r="I93" s="28" t="s">
        <v>189</v>
      </c>
      <c r="J93" s="39"/>
      <c r="K93" s="40"/>
      <c r="L93" s="43" t="str">
        <f t="shared" si="38"/>
        <v/>
      </c>
      <c r="M93" s="40"/>
      <c r="N93" s="43" t="str">
        <f t="shared" si="39"/>
        <v/>
      </c>
      <c r="O93" s="40"/>
      <c r="P93" s="43" t="str">
        <f t="shared" si="40"/>
        <v/>
      </c>
      <c r="Q93" s="40"/>
      <c r="R93" s="43" t="str">
        <f t="shared" si="41"/>
        <v/>
      </c>
      <c r="S93" s="40"/>
      <c r="T93" s="43" t="str">
        <f t="shared" si="42"/>
        <v/>
      </c>
      <c r="U93" s="86"/>
      <c r="V93" s="43" t="str">
        <f t="shared" si="56"/>
        <v/>
      </c>
      <c r="W93" s="40"/>
      <c r="X93" s="43" t="str">
        <f t="shared" si="43"/>
        <v/>
      </c>
      <c r="Y93" s="40"/>
      <c r="Z93" s="43" t="str">
        <f t="shared" si="44"/>
        <v/>
      </c>
      <c r="AA93" s="40"/>
      <c r="AB93" s="43" t="str">
        <f t="shared" si="45"/>
        <v/>
      </c>
      <c r="AC93" s="40"/>
      <c r="AD93" s="43" t="str">
        <f t="shared" si="46"/>
        <v/>
      </c>
      <c r="AE93" s="40"/>
      <c r="AF93" s="43" t="str">
        <f t="shared" si="47"/>
        <v/>
      </c>
      <c r="AG93" s="40"/>
      <c r="AH93" s="43" t="str">
        <f t="shared" si="55"/>
        <v/>
      </c>
      <c r="AI93" s="40"/>
      <c r="AJ93" s="43" t="str">
        <f t="shared" si="48"/>
        <v/>
      </c>
      <c r="AK93" s="40"/>
      <c r="AL93" s="43" t="str">
        <f t="shared" si="49"/>
        <v/>
      </c>
      <c r="AM93" s="40"/>
      <c r="AN93" s="43" t="str">
        <f t="shared" si="14"/>
        <v/>
      </c>
      <c r="AO93" s="86"/>
      <c r="AP93" s="43" t="str">
        <f t="shared" si="50"/>
        <v/>
      </c>
      <c r="AQ93" s="40"/>
      <c r="AR93" s="43" t="str">
        <f t="shared" si="51"/>
        <v/>
      </c>
      <c r="AS93" s="40"/>
      <c r="AT93" s="43" t="str">
        <f t="shared" si="14"/>
        <v/>
      </c>
      <c r="AU93" s="40"/>
      <c r="AV93" s="43" t="str">
        <f t="shared" si="52"/>
        <v/>
      </c>
      <c r="AW93" s="40"/>
      <c r="AX93" s="43" t="str">
        <f t="shared" si="53"/>
        <v/>
      </c>
      <c r="AY93" s="40"/>
      <c r="AZ93" s="43" t="str">
        <f t="shared" si="54"/>
        <v/>
      </c>
      <c r="BA93" s="24" t="s">
        <v>412</v>
      </c>
    </row>
    <row r="94" spans="1:53" ht="20" customHeight="1" x14ac:dyDescent="0.2">
      <c r="A94" s="67"/>
      <c r="B94" s="96"/>
      <c r="C94" s="25" t="s">
        <v>86</v>
      </c>
      <c r="D94" s="24" t="s">
        <v>351</v>
      </c>
      <c r="E94" s="24" t="s">
        <v>352</v>
      </c>
      <c r="F94" s="25">
        <v>2012</v>
      </c>
      <c r="H94" s="29">
        <v>16</v>
      </c>
      <c r="I94" s="28" t="s">
        <v>413</v>
      </c>
      <c r="J94" s="39" t="s">
        <v>233</v>
      </c>
      <c r="K94" s="40"/>
      <c r="L94" s="43" t="str">
        <f t="shared" si="38"/>
        <v/>
      </c>
      <c r="M94" s="40"/>
      <c r="N94" s="43" t="str">
        <f t="shared" si="39"/>
        <v/>
      </c>
      <c r="O94" s="40"/>
      <c r="P94" s="43" t="str">
        <f t="shared" si="40"/>
        <v/>
      </c>
      <c r="Q94" s="40"/>
      <c r="R94" s="43" t="str">
        <f t="shared" si="41"/>
        <v/>
      </c>
      <c r="S94" s="40"/>
      <c r="T94" s="43" t="str">
        <f t="shared" si="42"/>
        <v/>
      </c>
      <c r="U94" s="86"/>
      <c r="V94" s="43" t="str">
        <f t="shared" si="56"/>
        <v/>
      </c>
      <c r="W94" s="40"/>
      <c r="X94" s="43" t="str">
        <f t="shared" si="43"/>
        <v/>
      </c>
      <c r="Y94" s="40"/>
      <c r="Z94" s="43" t="str">
        <f t="shared" si="44"/>
        <v/>
      </c>
      <c r="AA94" s="40"/>
      <c r="AB94" s="43" t="str">
        <f t="shared" si="45"/>
        <v/>
      </c>
      <c r="AC94" s="40"/>
      <c r="AD94" s="43" t="str">
        <f t="shared" si="46"/>
        <v/>
      </c>
      <c r="AE94" s="40"/>
      <c r="AF94" s="43" t="str">
        <f t="shared" si="47"/>
        <v/>
      </c>
      <c r="AG94" s="40"/>
      <c r="AH94" s="43" t="str">
        <f t="shared" si="55"/>
        <v/>
      </c>
      <c r="AI94" s="40"/>
      <c r="AJ94" s="43" t="str">
        <f t="shared" si="48"/>
        <v/>
      </c>
      <c r="AK94" s="40"/>
      <c r="AL94" s="43" t="str">
        <f t="shared" si="49"/>
        <v/>
      </c>
      <c r="AM94" s="40"/>
      <c r="AN94" s="43" t="str">
        <f t="shared" si="14"/>
        <v/>
      </c>
      <c r="AO94" s="86"/>
      <c r="AP94" s="43" t="str">
        <f t="shared" si="50"/>
        <v/>
      </c>
      <c r="AQ94" s="40"/>
      <c r="AR94" s="43" t="str">
        <f t="shared" si="51"/>
        <v/>
      </c>
      <c r="AS94" s="40"/>
      <c r="AT94" s="43" t="str">
        <f t="shared" si="14"/>
        <v/>
      </c>
      <c r="AU94" s="40"/>
      <c r="AV94" s="43" t="str">
        <f t="shared" si="52"/>
        <v/>
      </c>
      <c r="AW94" s="40"/>
      <c r="AX94" s="43" t="str">
        <f t="shared" si="53"/>
        <v/>
      </c>
      <c r="AY94" s="40"/>
      <c r="AZ94" s="43" t="str">
        <f t="shared" si="54"/>
        <v/>
      </c>
    </row>
    <row r="95" spans="1:53" ht="20" customHeight="1" x14ac:dyDescent="0.2">
      <c r="A95" s="68"/>
      <c r="B95" s="25"/>
      <c r="C95" s="57" t="s">
        <v>35</v>
      </c>
      <c r="D95" s="56" t="s">
        <v>124</v>
      </c>
      <c r="E95" s="56" t="s">
        <v>125</v>
      </c>
      <c r="F95" s="57">
        <v>2007</v>
      </c>
      <c r="G95" s="57">
        <v>60</v>
      </c>
      <c r="H95" s="29"/>
      <c r="I95" s="28"/>
      <c r="J95" s="39"/>
      <c r="K95" s="40"/>
      <c r="L95" s="43" t="str">
        <f t="shared" si="38"/>
        <v/>
      </c>
      <c r="M95" s="40"/>
      <c r="N95" s="43" t="str">
        <f t="shared" si="39"/>
        <v/>
      </c>
      <c r="O95" s="40"/>
      <c r="P95" s="43" t="str">
        <f t="shared" si="40"/>
        <v/>
      </c>
      <c r="Q95" s="40"/>
      <c r="R95" s="43" t="str">
        <f t="shared" si="41"/>
        <v/>
      </c>
      <c r="S95" s="40"/>
      <c r="T95" s="43" t="str">
        <f t="shared" si="42"/>
        <v/>
      </c>
      <c r="U95" s="86"/>
      <c r="V95" s="43" t="str">
        <f t="shared" si="56"/>
        <v/>
      </c>
      <c r="W95" s="40"/>
      <c r="X95" s="43" t="str">
        <f t="shared" si="43"/>
        <v/>
      </c>
      <c r="Y95" s="40"/>
      <c r="Z95" s="43" t="str">
        <f t="shared" si="44"/>
        <v/>
      </c>
      <c r="AA95" s="40"/>
      <c r="AB95" s="43" t="str">
        <f t="shared" si="45"/>
        <v/>
      </c>
      <c r="AC95" s="40"/>
      <c r="AD95" s="43" t="str">
        <f t="shared" si="46"/>
        <v/>
      </c>
      <c r="AE95" s="40"/>
      <c r="AF95" s="43" t="str">
        <f t="shared" si="47"/>
        <v/>
      </c>
      <c r="AG95" s="40"/>
      <c r="AH95" s="43" t="str">
        <f t="shared" si="55"/>
        <v/>
      </c>
      <c r="AI95" s="40"/>
      <c r="AJ95" s="43" t="str">
        <f t="shared" si="48"/>
        <v/>
      </c>
      <c r="AK95" s="40"/>
      <c r="AL95" s="43" t="str">
        <f t="shared" si="49"/>
        <v/>
      </c>
      <c r="AM95" s="40"/>
      <c r="AN95" s="43" t="str">
        <f t="shared" si="14"/>
        <v/>
      </c>
      <c r="AO95" s="86"/>
      <c r="AP95" s="43" t="str">
        <f t="shared" si="50"/>
        <v/>
      </c>
      <c r="AQ95" s="40"/>
      <c r="AR95" s="43" t="str">
        <f t="shared" si="51"/>
        <v/>
      </c>
      <c r="AS95" s="40"/>
      <c r="AT95" s="43" t="str">
        <f t="shared" si="14"/>
        <v/>
      </c>
      <c r="AU95" s="40"/>
      <c r="AV95" s="43" t="str">
        <f t="shared" si="52"/>
        <v/>
      </c>
      <c r="AW95" s="40"/>
      <c r="AX95" s="43" t="str">
        <f t="shared" si="53"/>
        <v/>
      </c>
      <c r="AY95" s="40"/>
      <c r="AZ95" s="43" t="str">
        <f t="shared" si="54"/>
        <v/>
      </c>
      <c r="BA95" s="24" t="s">
        <v>435</v>
      </c>
    </row>
    <row r="96" spans="1:53" ht="20" customHeight="1" x14ac:dyDescent="0.2">
      <c r="A96" s="68"/>
      <c r="B96" s="25"/>
      <c r="C96" s="57" t="s">
        <v>30</v>
      </c>
      <c r="D96" s="56" t="s">
        <v>126</v>
      </c>
      <c r="E96" s="56" t="s">
        <v>127</v>
      </c>
      <c r="F96" s="57">
        <v>2014</v>
      </c>
      <c r="G96" s="57"/>
      <c r="H96" s="29"/>
      <c r="I96" s="28"/>
      <c r="J96" s="39"/>
      <c r="K96" s="40"/>
      <c r="L96" s="43" t="str">
        <f t="shared" si="38"/>
        <v/>
      </c>
      <c r="M96" s="40"/>
      <c r="N96" s="43" t="str">
        <f t="shared" si="39"/>
        <v/>
      </c>
      <c r="O96" s="40"/>
      <c r="P96" s="43" t="str">
        <f t="shared" si="40"/>
        <v/>
      </c>
      <c r="Q96" s="40"/>
      <c r="R96" s="43" t="str">
        <f t="shared" si="41"/>
        <v/>
      </c>
      <c r="S96" s="40"/>
      <c r="T96" s="43" t="str">
        <f t="shared" si="42"/>
        <v/>
      </c>
      <c r="U96" s="86"/>
      <c r="V96" s="43" t="str">
        <f t="shared" si="56"/>
        <v/>
      </c>
      <c r="W96" s="40"/>
      <c r="X96" s="43" t="str">
        <f t="shared" si="43"/>
        <v/>
      </c>
      <c r="Y96" s="40"/>
      <c r="Z96" s="43" t="str">
        <f t="shared" si="44"/>
        <v/>
      </c>
      <c r="AA96" s="40"/>
      <c r="AB96" s="43" t="str">
        <f t="shared" si="45"/>
        <v/>
      </c>
      <c r="AC96" s="40"/>
      <c r="AD96" s="43" t="str">
        <f t="shared" si="46"/>
        <v/>
      </c>
      <c r="AE96" s="40"/>
      <c r="AF96" s="43" t="str">
        <f t="shared" si="47"/>
        <v/>
      </c>
      <c r="AG96" s="40"/>
      <c r="AH96" s="43" t="str">
        <f t="shared" si="55"/>
        <v/>
      </c>
      <c r="AI96" s="40"/>
      <c r="AJ96" s="43" t="str">
        <f t="shared" si="48"/>
        <v/>
      </c>
      <c r="AK96" s="40"/>
      <c r="AL96" s="43" t="str">
        <f t="shared" si="49"/>
        <v/>
      </c>
      <c r="AM96" s="40"/>
      <c r="AN96" s="43" t="str">
        <f t="shared" si="14"/>
        <v/>
      </c>
      <c r="AO96" s="86"/>
      <c r="AP96" s="43" t="str">
        <f t="shared" si="50"/>
        <v/>
      </c>
      <c r="AQ96" s="40"/>
      <c r="AR96" s="43" t="str">
        <f t="shared" si="51"/>
        <v/>
      </c>
      <c r="AS96" s="40"/>
      <c r="AT96" s="43" t="str">
        <f t="shared" si="14"/>
        <v/>
      </c>
      <c r="AU96" s="40"/>
      <c r="AV96" s="43" t="str">
        <f t="shared" si="52"/>
        <v/>
      </c>
      <c r="AW96" s="40"/>
      <c r="AX96" s="43" t="str">
        <f t="shared" si="53"/>
        <v/>
      </c>
      <c r="AY96" s="40"/>
      <c r="AZ96" s="43" t="str">
        <f t="shared" si="54"/>
        <v/>
      </c>
    </row>
    <row r="97" spans="1:53" ht="20" customHeight="1" x14ac:dyDescent="0.2">
      <c r="A97" s="68"/>
      <c r="B97" s="25"/>
      <c r="C97" s="25" t="s">
        <v>86</v>
      </c>
      <c r="D97" s="24" t="s">
        <v>128</v>
      </c>
      <c r="E97" s="24" t="s">
        <v>129</v>
      </c>
      <c r="F97" s="25">
        <v>2000</v>
      </c>
      <c r="G97" s="25">
        <v>252</v>
      </c>
      <c r="H97" s="29">
        <v>40</v>
      </c>
      <c r="I97" s="28" t="s">
        <v>246</v>
      </c>
      <c r="J97" s="39" t="s">
        <v>176</v>
      </c>
      <c r="K97" s="40"/>
      <c r="L97" s="43" t="str">
        <f t="shared" si="38"/>
        <v/>
      </c>
      <c r="M97" s="40"/>
      <c r="N97" s="43" t="str">
        <f t="shared" si="39"/>
        <v/>
      </c>
      <c r="O97" s="40"/>
      <c r="P97" s="43" t="str">
        <f t="shared" si="40"/>
        <v/>
      </c>
      <c r="Q97" s="40"/>
      <c r="R97" s="43" t="str">
        <f t="shared" si="41"/>
        <v/>
      </c>
      <c r="S97" s="40"/>
      <c r="T97" s="43" t="str">
        <f t="shared" si="42"/>
        <v/>
      </c>
      <c r="U97" s="86"/>
      <c r="V97" s="43" t="str">
        <f t="shared" si="56"/>
        <v/>
      </c>
      <c r="W97" s="40"/>
      <c r="X97" s="43" t="str">
        <f t="shared" si="43"/>
        <v/>
      </c>
      <c r="Y97" s="40"/>
      <c r="Z97" s="43" t="str">
        <f t="shared" si="44"/>
        <v/>
      </c>
      <c r="AA97" s="40"/>
      <c r="AB97" s="43" t="str">
        <f t="shared" si="45"/>
        <v/>
      </c>
      <c r="AC97" s="40"/>
      <c r="AD97" s="43" t="str">
        <f t="shared" si="46"/>
        <v/>
      </c>
      <c r="AE97" s="40"/>
      <c r="AF97" s="43" t="str">
        <f t="shared" si="47"/>
        <v/>
      </c>
      <c r="AG97" s="40"/>
      <c r="AH97" s="43" t="str">
        <f t="shared" si="55"/>
        <v/>
      </c>
      <c r="AI97" s="40"/>
      <c r="AJ97" s="43" t="str">
        <f t="shared" si="48"/>
        <v/>
      </c>
      <c r="AK97" s="40"/>
      <c r="AL97" s="43" t="str">
        <f t="shared" si="49"/>
        <v/>
      </c>
      <c r="AM97" s="40"/>
      <c r="AN97" s="43" t="str">
        <f t="shared" si="14"/>
        <v/>
      </c>
      <c r="AO97" s="86"/>
      <c r="AP97" s="43" t="str">
        <f t="shared" si="50"/>
        <v/>
      </c>
      <c r="AQ97" s="40"/>
      <c r="AR97" s="43" t="str">
        <f t="shared" si="51"/>
        <v/>
      </c>
      <c r="AS97" s="40"/>
      <c r="AT97" s="43" t="str">
        <f t="shared" si="14"/>
        <v/>
      </c>
      <c r="AU97" s="40"/>
      <c r="AV97" s="43" t="str">
        <f t="shared" si="52"/>
        <v/>
      </c>
      <c r="AW97" s="40"/>
      <c r="AX97" s="43" t="str">
        <f t="shared" si="53"/>
        <v/>
      </c>
      <c r="AY97" s="40"/>
      <c r="AZ97" s="43" t="str">
        <f t="shared" si="54"/>
        <v/>
      </c>
      <c r="BA97" s="24" t="s">
        <v>247</v>
      </c>
    </row>
    <row r="98" spans="1:53" ht="20" customHeight="1" x14ac:dyDescent="0.2">
      <c r="A98" s="67"/>
      <c r="B98" s="25"/>
      <c r="C98" s="57" t="s">
        <v>30</v>
      </c>
      <c r="D98" s="56" t="s">
        <v>130</v>
      </c>
      <c r="E98" s="56" t="s">
        <v>131</v>
      </c>
      <c r="F98" s="57">
        <v>2009</v>
      </c>
      <c r="G98" s="57">
        <v>13</v>
      </c>
      <c r="H98" s="29"/>
      <c r="I98" s="28"/>
      <c r="J98" s="39"/>
      <c r="K98" s="40"/>
      <c r="L98" s="43" t="str">
        <f t="shared" si="38"/>
        <v/>
      </c>
      <c r="M98" s="40"/>
      <c r="N98" s="43" t="str">
        <f t="shared" si="39"/>
        <v/>
      </c>
      <c r="O98" s="40"/>
      <c r="P98" s="43" t="str">
        <f t="shared" si="40"/>
        <v/>
      </c>
      <c r="Q98" s="40"/>
      <c r="R98" s="43" t="str">
        <f t="shared" si="41"/>
        <v/>
      </c>
      <c r="S98" s="40"/>
      <c r="T98" s="43" t="str">
        <f t="shared" si="42"/>
        <v/>
      </c>
      <c r="U98" s="86"/>
      <c r="V98" s="43" t="str">
        <f t="shared" si="56"/>
        <v/>
      </c>
      <c r="W98" s="40"/>
      <c r="X98" s="43" t="str">
        <f t="shared" si="43"/>
        <v/>
      </c>
      <c r="Y98" s="40"/>
      <c r="Z98" s="43" t="str">
        <f t="shared" si="44"/>
        <v/>
      </c>
      <c r="AA98" s="40"/>
      <c r="AB98" s="43" t="str">
        <f t="shared" si="45"/>
        <v/>
      </c>
      <c r="AC98" s="40"/>
      <c r="AD98" s="43" t="str">
        <f t="shared" si="46"/>
        <v/>
      </c>
      <c r="AE98" s="40"/>
      <c r="AF98" s="43" t="str">
        <f t="shared" si="47"/>
        <v/>
      </c>
      <c r="AG98" s="40"/>
      <c r="AH98" s="43" t="str">
        <f t="shared" si="55"/>
        <v/>
      </c>
      <c r="AI98" s="40"/>
      <c r="AJ98" s="43" t="str">
        <f t="shared" si="48"/>
        <v/>
      </c>
      <c r="AK98" s="40"/>
      <c r="AL98" s="43" t="str">
        <f t="shared" si="49"/>
        <v/>
      </c>
      <c r="AM98" s="40"/>
      <c r="AN98" s="43" t="str">
        <f t="shared" si="14"/>
        <v/>
      </c>
      <c r="AO98" s="86"/>
      <c r="AP98" s="43" t="str">
        <f t="shared" si="50"/>
        <v/>
      </c>
      <c r="AQ98" s="40"/>
      <c r="AR98" s="43" t="str">
        <f t="shared" si="51"/>
        <v/>
      </c>
      <c r="AS98" s="40"/>
      <c r="AT98" s="43" t="str">
        <f t="shared" si="14"/>
        <v/>
      </c>
      <c r="AU98" s="40"/>
      <c r="AV98" s="43" t="str">
        <f t="shared" si="52"/>
        <v/>
      </c>
      <c r="AW98" s="40"/>
      <c r="AX98" s="43" t="str">
        <f t="shared" si="53"/>
        <v/>
      </c>
      <c r="AY98" s="40"/>
      <c r="AZ98" s="43" t="str">
        <f t="shared" si="54"/>
        <v/>
      </c>
    </row>
    <row r="99" spans="1:53" ht="20" customHeight="1" x14ac:dyDescent="0.2">
      <c r="A99" s="67"/>
      <c r="B99" s="95"/>
      <c r="C99" s="25" t="s">
        <v>86</v>
      </c>
      <c r="D99" s="24" t="s">
        <v>132</v>
      </c>
      <c r="E99" s="24" t="s">
        <v>133</v>
      </c>
      <c r="F99" s="25">
        <v>1998</v>
      </c>
      <c r="G99" s="25">
        <v>213</v>
      </c>
      <c r="H99" s="29">
        <v>6</v>
      </c>
      <c r="I99" s="28" t="s">
        <v>189</v>
      </c>
      <c r="J99" s="39"/>
      <c r="K99" s="40"/>
      <c r="L99" s="43" t="str">
        <f t="shared" si="38"/>
        <v/>
      </c>
      <c r="M99" s="40"/>
      <c r="N99" s="43" t="str">
        <f t="shared" si="39"/>
        <v/>
      </c>
      <c r="O99" s="40"/>
      <c r="P99" s="43" t="str">
        <f t="shared" si="40"/>
        <v/>
      </c>
      <c r="Q99" s="40"/>
      <c r="R99" s="43" t="str">
        <f t="shared" si="41"/>
        <v/>
      </c>
      <c r="S99" s="40"/>
      <c r="T99" s="43" t="str">
        <f t="shared" si="42"/>
        <v/>
      </c>
      <c r="U99" s="86"/>
      <c r="V99" s="43" t="str">
        <f t="shared" si="56"/>
        <v/>
      </c>
      <c r="W99" s="45">
        <v>4</v>
      </c>
      <c r="X99" s="46">
        <f t="shared" si="43"/>
        <v>66.666666666666657</v>
      </c>
      <c r="Y99" s="40"/>
      <c r="Z99" s="43" t="str">
        <f t="shared" si="44"/>
        <v/>
      </c>
      <c r="AA99" s="40"/>
      <c r="AB99" s="43" t="str">
        <f t="shared" si="45"/>
        <v/>
      </c>
      <c r="AC99" s="40"/>
      <c r="AD99" s="43" t="str">
        <f t="shared" si="46"/>
        <v/>
      </c>
      <c r="AE99" s="40"/>
      <c r="AF99" s="43" t="str">
        <f t="shared" si="47"/>
        <v/>
      </c>
      <c r="AG99" s="40"/>
      <c r="AH99" s="43" t="str">
        <f t="shared" si="55"/>
        <v/>
      </c>
      <c r="AI99" s="40"/>
      <c r="AJ99" s="43" t="str">
        <f t="shared" si="48"/>
        <v/>
      </c>
      <c r="AK99" s="40"/>
      <c r="AL99" s="43" t="str">
        <f t="shared" si="49"/>
        <v/>
      </c>
      <c r="AM99" s="40"/>
      <c r="AN99" s="43" t="str">
        <f t="shared" si="14"/>
        <v/>
      </c>
      <c r="AO99" s="86"/>
      <c r="AP99" s="43" t="str">
        <f t="shared" si="50"/>
        <v/>
      </c>
      <c r="AQ99" s="40"/>
      <c r="AR99" s="43" t="str">
        <f t="shared" si="51"/>
        <v/>
      </c>
      <c r="AS99" s="40"/>
      <c r="AT99" s="43" t="str">
        <f t="shared" si="14"/>
        <v/>
      </c>
      <c r="AU99" s="40"/>
      <c r="AV99" s="43" t="str">
        <f t="shared" si="52"/>
        <v/>
      </c>
      <c r="AW99" s="40"/>
      <c r="AX99" s="43" t="str">
        <f t="shared" si="53"/>
        <v/>
      </c>
      <c r="AY99" s="40"/>
      <c r="AZ99" s="43" t="str">
        <f t="shared" si="54"/>
        <v/>
      </c>
      <c r="BA99" s="24" t="s">
        <v>248</v>
      </c>
    </row>
    <row r="100" spans="1:53" ht="20" customHeight="1" x14ac:dyDescent="0.2">
      <c r="A100" s="68"/>
      <c r="B100" s="95"/>
      <c r="C100" s="25" t="s">
        <v>86</v>
      </c>
      <c r="D100" s="24" t="s">
        <v>134</v>
      </c>
      <c r="E100" s="24" t="s">
        <v>135</v>
      </c>
      <c r="F100" s="25">
        <v>2001</v>
      </c>
      <c r="G100" s="25">
        <v>192</v>
      </c>
      <c r="H100" s="29">
        <v>40</v>
      </c>
      <c r="I100" s="28" t="s">
        <v>189</v>
      </c>
      <c r="J100" s="39" t="s">
        <v>176</v>
      </c>
      <c r="K100" s="40"/>
      <c r="L100" s="43" t="str">
        <f t="shared" si="38"/>
        <v/>
      </c>
      <c r="M100" s="40"/>
      <c r="N100" s="43" t="str">
        <f t="shared" si="39"/>
        <v/>
      </c>
      <c r="O100" s="40"/>
      <c r="P100" s="43" t="str">
        <f t="shared" si="40"/>
        <v/>
      </c>
      <c r="Q100" s="40"/>
      <c r="R100" s="43" t="str">
        <f t="shared" si="41"/>
        <v/>
      </c>
      <c r="S100" s="40"/>
      <c r="T100" s="43" t="str">
        <f t="shared" si="42"/>
        <v/>
      </c>
      <c r="U100" s="86"/>
      <c r="V100" s="43" t="str">
        <f t="shared" si="56"/>
        <v/>
      </c>
      <c r="W100" s="45">
        <v>1</v>
      </c>
      <c r="X100" s="46">
        <f t="shared" si="43"/>
        <v>2.5</v>
      </c>
      <c r="Y100" s="40"/>
      <c r="Z100" s="43" t="str">
        <f t="shared" si="44"/>
        <v/>
      </c>
      <c r="AA100" s="40"/>
      <c r="AB100" s="43" t="str">
        <f t="shared" si="45"/>
        <v/>
      </c>
      <c r="AC100" s="40"/>
      <c r="AD100" s="43" t="str">
        <f t="shared" si="46"/>
        <v/>
      </c>
      <c r="AE100" s="40"/>
      <c r="AF100" s="43" t="str">
        <f t="shared" si="47"/>
        <v/>
      </c>
      <c r="AG100" s="40">
        <v>2</v>
      </c>
      <c r="AH100" s="43">
        <f t="shared" si="55"/>
        <v>5</v>
      </c>
      <c r="AI100" s="40"/>
      <c r="AJ100" s="43" t="str">
        <f t="shared" si="48"/>
        <v/>
      </c>
      <c r="AK100" s="40"/>
      <c r="AL100" s="43" t="str">
        <f t="shared" si="49"/>
        <v/>
      </c>
      <c r="AM100" s="40"/>
      <c r="AN100" s="43" t="str">
        <f t="shared" si="14"/>
        <v/>
      </c>
      <c r="AO100" s="86"/>
      <c r="AP100" s="43" t="str">
        <f t="shared" si="50"/>
        <v/>
      </c>
      <c r="AQ100" s="40"/>
      <c r="AR100" s="43" t="str">
        <f t="shared" si="51"/>
        <v/>
      </c>
      <c r="AS100" s="40"/>
      <c r="AT100" s="43" t="str">
        <f t="shared" si="14"/>
        <v/>
      </c>
      <c r="AU100" s="40"/>
      <c r="AV100" s="43" t="str">
        <f t="shared" si="52"/>
        <v/>
      </c>
      <c r="AW100" s="40"/>
      <c r="AX100" s="43" t="str">
        <f t="shared" si="53"/>
        <v/>
      </c>
      <c r="AY100" s="40"/>
      <c r="AZ100" s="43" t="str">
        <f t="shared" si="54"/>
        <v/>
      </c>
      <c r="BA100" s="24" t="s">
        <v>436</v>
      </c>
    </row>
    <row r="101" spans="1:53" ht="20" customHeight="1" x14ac:dyDescent="0.2">
      <c r="A101" s="67"/>
      <c r="B101" s="96"/>
      <c r="C101" s="25" t="s">
        <v>86</v>
      </c>
      <c r="D101" s="24" t="s">
        <v>154</v>
      </c>
      <c r="E101" s="24" t="s">
        <v>153</v>
      </c>
      <c r="F101" s="25">
        <v>1999</v>
      </c>
      <c r="G101" s="25">
        <v>9</v>
      </c>
      <c r="H101" s="29">
        <v>30</v>
      </c>
      <c r="I101" s="28" t="s">
        <v>250</v>
      </c>
      <c r="J101" s="39" t="s">
        <v>251</v>
      </c>
      <c r="K101" s="40"/>
      <c r="L101" s="43" t="str">
        <f t="shared" si="38"/>
        <v/>
      </c>
      <c r="M101" s="40"/>
      <c r="N101" s="43" t="str">
        <f t="shared" si="39"/>
        <v/>
      </c>
      <c r="O101" s="40"/>
      <c r="P101" s="43" t="str">
        <f t="shared" si="40"/>
        <v/>
      </c>
      <c r="Q101" s="40"/>
      <c r="R101" s="43" t="str">
        <f t="shared" si="41"/>
        <v/>
      </c>
      <c r="S101" s="40"/>
      <c r="T101" s="43" t="str">
        <f t="shared" si="42"/>
        <v/>
      </c>
      <c r="U101" s="86"/>
      <c r="V101" s="43"/>
      <c r="W101" s="40"/>
      <c r="X101" s="43" t="str">
        <f t="shared" si="43"/>
        <v/>
      </c>
      <c r="Y101" s="40"/>
      <c r="Z101" s="43" t="str">
        <f t="shared" si="44"/>
        <v/>
      </c>
      <c r="AA101" s="40"/>
      <c r="AB101" s="43" t="str">
        <f t="shared" si="45"/>
        <v/>
      </c>
      <c r="AC101" s="40"/>
      <c r="AD101" s="43" t="str">
        <f t="shared" si="46"/>
        <v/>
      </c>
      <c r="AE101" s="40"/>
      <c r="AF101" s="43" t="str">
        <f t="shared" si="47"/>
        <v/>
      </c>
      <c r="AG101" s="40"/>
      <c r="AH101" s="43" t="str">
        <f t="shared" si="55"/>
        <v/>
      </c>
      <c r="AI101" s="40"/>
      <c r="AJ101" s="43" t="str">
        <f t="shared" si="48"/>
        <v/>
      </c>
      <c r="AK101" s="40"/>
      <c r="AL101" s="43" t="str">
        <f t="shared" si="49"/>
        <v/>
      </c>
      <c r="AM101" s="40"/>
      <c r="AN101" s="43" t="str">
        <f t="shared" si="14"/>
        <v/>
      </c>
      <c r="AO101" s="86"/>
      <c r="AP101" s="43" t="str">
        <f t="shared" si="50"/>
        <v/>
      </c>
      <c r="AQ101" s="40"/>
      <c r="AR101" s="43" t="str">
        <f t="shared" si="51"/>
        <v/>
      </c>
      <c r="AS101" s="40"/>
      <c r="AT101" s="43" t="str">
        <f t="shared" si="14"/>
        <v/>
      </c>
      <c r="AU101" s="40"/>
      <c r="AV101" s="43" t="str">
        <f t="shared" si="52"/>
        <v/>
      </c>
      <c r="AW101" s="40"/>
      <c r="AX101" s="43" t="str">
        <f t="shared" si="53"/>
        <v/>
      </c>
      <c r="AY101" s="40"/>
      <c r="AZ101" s="43" t="str">
        <f t="shared" si="54"/>
        <v/>
      </c>
      <c r="BA101" s="24" t="s">
        <v>437</v>
      </c>
    </row>
    <row r="102" spans="1:53" ht="20" customHeight="1" x14ac:dyDescent="0.2">
      <c r="A102" s="68"/>
      <c r="B102" s="25"/>
      <c r="C102" s="25" t="s">
        <v>86</v>
      </c>
      <c r="D102" s="24" t="s">
        <v>136</v>
      </c>
      <c r="E102" s="24" t="s">
        <v>137</v>
      </c>
      <c r="F102" s="25">
        <v>2007</v>
      </c>
      <c r="G102" s="25">
        <v>240</v>
      </c>
      <c r="H102" s="29">
        <v>105</v>
      </c>
      <c r="I102" s="28" t="s">
        <v>253</v>
      </c>
      <c r="J102" s="39" t="s">
        <v>176</v>
      </c>
      <c r="K102" s="40"/>
      <c r="L102" s="43" t="str">
        <f t="shared" si="38"/>
        <v/>
      </c>
      <c r="M102" s="40"/>
      <c r="N102" s="43" t="str">
        <f t="shared" si="39"/>
        <v/>
      </c>
      <c r="O102" s="40"/>
      <c r="P102" s="43" t="str">
        <f t="shared" si="40"/>
        <v/>
      </c>
      <c r="Q102" s="40"/>
      <c r="R102" s="43" t="str">
        <f t="shared" si="41"/>
        <v/>
      </c>
      <c r="S102" s="40"/>
      <c r="T102" s="43" t="str">
        <f t="shared" si="42"/>
        <v/>
      </c>
      <c r="U102" s="86"/>
      <c r="V102" s="43" t="str">
        <f t="shared" ref="V102:V113" si="57">IF((ISERROR((U102/$H102)*100)), "", IF(AND(NOT(ISERROR((U102/$H102)*100)),((U102/$H102)*100) &lt;&gt; 0), (U102/$H102)*100, ""))</f>
        <v/>
      </c>
      <c r="W102" s="40"/>
      <c r="X102" s="43" t="str">
        <f t="shared" si="43"/>
        <v/>
      </c>
      <c r="Y102" s="40"/>
      <c r="Z102" s="43" t="str">
        <f t="shared" si="44"/>
        <v/>
      </c>
      <c r="AA102" s="40"/>
      <c r="AB102" s="43" t="str">
        <f t="shared" si="45"/>
        <v/>
      </c>
      <c r="AC102" s="40"/>
      <c r="AD102" s="43" t="str">
        <f t="shared" si="46"/>
        <v/>
      </c>
      <c r="AE102" s="40"/>
      <c r="AF102" s="43" t="str">
        <f t="shared" si="47"/>
        <v/>
      </c>
      <c r="AG102" s="40"/>
      <c r="AH102" s="43" t="str">
        <f t="shared" si="55"/>
        <v/>
      </c>
      <c r="AI102" s="40"/>
      <c r="AJ102" s="43" t="str">
        <f t="shared" si="48"/>
        <v/>
      </c>
      <c r="AK102" s="40"/>
      <c r="AL102" s="43" t="str">
        <f t="shared" si="49"/>
        <v/>
      </c>
      <c r="AM102" s="40"/>
      <c r="AN102" s="43" t="str">
        <f t="shared" si="14"/>
        <v/>
      </c>
      <c r="AO102" s="86"/>
      <c r="AP102" s="43" t="str">
        <f t="shared" si="50"/>
        <v/>
      </c>
      <c r="AQ102" s="40"/>
      <c r="AR102" s="43" t="str">
        <f t="shared" si="51"/>
        <v/>
      </c>
      <c r="AS102" s="40"/>
      <c r="AT102" s="43" t="str">
        <f t="shared" si="14"/>
        <v/>
      </c>
      <c r="AU102" s="40"/>
      <c r="AV102" s="43" t="str">
        <f t="shared" si="52"/>
        <v/>
      </c>
      <c r="AW102" s="40"/>
      <c r="AX102" s="43" t="str">
        <f t="shared" si="53"/>
        <v/>
      </c>
      <c r="AY102" s="40"/>
      <c r="AZ102" s="43" t="str">
        <f t="shared" si="54"/>
        <v/>
      </c>
      <c r="BA102" s="24" t="s">
        <v>254</v>
      </c>
    </row>
    <row r="103" spans="1:53" ht="20" customHeight="1" x14ac:dyDescent="0.2">
      <c r="A103" s="67"/>
      <c r="B103" s="95"/>
      <c r="C103" s="25" t="s">
        <v>86</v>
      </c>
      <c r="D103" s="24" t="s">
        <v>138</v>
      </c>
      <c r="E103" s="24" t="s">
        <v>139</v>
      </c>
      <c r="F103" s="25">
        <v>2011</v>
      </c>
      <c r="G103" s="25">
        <v>42</v>
      </c>
      <c r="H103" s="29">
        <v>51</v>
      </c>
      <c r="I103" s="28" t="s">
        <v>255</v>
      </c>
      <c r="J103" s="39" t="s">
        <v>256</v>
      </c>
      <c r="K103" s="40"/>
      <c r="L103" s="43" t="str">
        <f t="shared" si="38"/>
        <v/>
      </c>
      <c r="M103" s="40"/>
      <c r="N103" s="43" t="str">
        <f t="shared" si="39"/>
        <v/>
      </c>
      <c r="O103" s="40"/>
      <c r="P103" s="43" t="str">
        <f t="shared" si="40"/>
        <v/>
      </c>
      <c r="Q103" s="40"/>
      <c r="R103" s="43" t="str">
        <f t="shared" si="41"/>
        <v/>
      </c>
      <c r="S103" s="40"/>
      <c r="T103" s="43" t="str">
        <f t="shared" si="42"/>
        <v/>
      </c>
      <c r="U103" s="47">
        <v>4</v>
      </c>
      <c r="V103" s="46">
        <f t="shared" si="57"/>
        <v>7.8431372549019605</v>
      </c>
      <c r="W103" s="40"/>
      <c r="X103" s="43" t="str">
        <f t="shared" si="43"/>
        <v/>
      </c>
      <c r="Y103" s="40"/>
      <c r="Z103" s="43" t="str">
        <f t="shared" si="44"/>
        <v/>
      </c>
      <c r="AA103" s="40"/>
      <c r="AB103" s="43" t="str">
        <f t="shared" si="45"/>
        <v/>
      </c>
      <c r="AC103" s="45" t="s">
        <v>257</v>
      </c>
      <c r="AD103" s="46" t="str">
        <f t="shared" si="46"/>
        <v/>
      </c>
      <c r="AE103" s="40"/>
      <c r="AF103" s="43" t="str">
        <f t="shared" si="47"/>
        <v/>
      </c>
      <c r="AG103" s="45">
        <v>21</v>
      </c>
      <c r="AH103" s="46">
        <f t="shared" si="55"/>
        <v>41.17647058823529</v>
      </c>
      <c r="AI103" s="40"/>
      <c r="AJ103" s="43" t="str">
        <f t="shared" si="48"/>
        <v/>
      </c>
      <c r="AK103" s="40"/>
      <c r="AL103" s="43" t="str">
        <f t="shared" si="49"/>
        <v/>
      </c>
      <c r="AM103" s="40"/>
      <c r="AN103" s="43" t="str">
        <f t="shared" si="14"/>
        <v/>
      </c>
      <c r="AO103" s="86"/>
      <c r="AP103" s="43" t="str">
        <f t="shared" si="50"/>
        <v/>
      </c>
      <c r="AQ103" s="40"/>
      <c r="AR103" s="43" t="str">
        <f t="shared" si="51"/>
        <v/>
      </c>
      <c r="AS103" s="45">
        <v>1</v>
      </c>
      <c r="AT103" s="46">
        <f t="shared" si="14"/>
        <v>1.9607843137254901</v>
      </c>
      <c r="AU103" s="40"/>
      <c r="AV103" s="43" t="str">
        <f t="shared" si="52"/>
        <v/>
      </c>
      <c r="AW103" s="40"/>
      <c r="AX103" s="43" t="str">
        <f t="shared" si="53"/>
        <v/>
      </c>
      <c r="AY103" s="40"/>
      <c r="AZ103" s="43" t="str">
        <f t="shared" si="54"/>
        <v/>
      </c>
      <c r="BA103" s="24" t="s">
        <v>438</v>
      </c>
    </row>
    <row r="104" spans="1:53" ht="20" customHeight="1" x14ac:dyDescent="0.2">
      <c r="A104" s="67"/>
      <c r="B104" s="95"/>
      <c r="C104" s="25" t="s">
        <v>86</v>
      </c>
      <c r="D104" s="24" t="s">
        <v>353</v>
      </c>
      <c r="E104" s="24" t="s">
        <v>354</v>
      </c>
      <c r="F104" s="25">
        <v>2010</v>
      </c>
      <c r="H104" s="29">
        <v>53</v>
      </c>
      <c r="I104" s="91" t="s">
        <v>415</v>
      </c>
      <c r="J104" s="39" t="s">
        <v>414</v>
      </c>
      <c r="K104" s="40"/>
      <c r="L104" s="43" t="str">
        <f t="shared" si="38"/>
        <v/>
      </c>
      <c r="M104" s="40"/>
      <c r="N104" s="43" t="str">
        <f t="shared" si="39"/>
        <v/>
      </c>
      <c r="O104" s="40">
        <v>15</v>
      </c>
      <c r="P104" s="43">
        <f t="shared" si="40"/>
        <v>28.30188679245283</v>
      </c>
      <c r="Q104" s="40"/>
      <c r="R104" s="43" t="str">
        <f t="shared" si="41"/>
        <v/>
      </c>
      <c r="S104" s="40"/>
      <c r="T104" s="43" t="str">
        <f t="shared" si="42"/>
        <v/>
      </c>
      <c r="U104" s="86">
        <v>15</v>
      </c>
      <c r="V104" s="43">
        <f t="shared" si="57"/>
        <v>28.30188679245283</v>
      </c>
      <c r="W104" s="40"/>
      <c r="X104" s="43" t="str">
        <f t="shared" si="43"/>
        <v/>
      </c>
      <c r="Y104" s="40"/>
      <c r="Z104" s="43" t="str">
        <f t="shared" si="44"/>
        <v/>
      </c>
      <c r="AA104" s="40"/>
      <c r="AB104" s="43" t="str">
        <f t="shared" si="45"/>
        <v/>
      </c>
      <c r="AC104" s="40"/>
      <c r="AD104" s="43" t="str">
        <f t="shared" si="46"/>
        <v/>
      </c>
      <c r="AE104" s="40"/>
      <c r="AF104" s="43" t="str">
        <f t="shared" si="47"/>
        <v/>
      </c>
      <c r="AG104" s="40"/>
      <c r="AH104" s="43"/>
      <c r="AI104" s="40">
        <v>3</v>
      </c>
      <c r="AJ104" s="43">
        <f t="shared" si="48"/>
        <v>5.6603773584905666</v>
      </c>
      <c r="AK104" s="40">
        <v>9</v>
      </c>
      <c r="AL104" s="43">
        <f t="shared" si="49"/>
        <v>16.981132075471699</v>
      </c>
      <c r="AM104" s="40"/>
      <c r="AN104" s="43" t="str">
        <f t="shared" si="14"/>
        <v/>
      </c>
      <c r="AO104" s="86"/>
      <c r="AP104" s="43" t="str">
        <f t="shared" si="50"/>
        <v/>
      </c>
      <c r="AQ104" s="40"/>
      <c r="AR104" s="43" t="str">
        <f t="shared" si="51"/>
        <v/>
      </c>
      <c r="AS104" s="40">
        <v>2</v>
      </c>
      <c r="AT104" s="43">
        <f t="shared" si="14"/>
        <v>3.7735849056603774</v>
      </c>
      <c r="AU104" s="40"/>
      <c r="AV104" s="43" t="str">
        <f t="shared" si="52"/>
        <v/>
      </c>
      <c r="AW104" s="40"/>
      <c r="AX104" s="43" t="str">
        <f t="shared" si="53"/>
        <v/>
      </c>
      <c r="AY104" s="40"/>
      <c r="AZ104" s="43" t="str">
        <f t="shared" si="54"/>
        <v/>
      </c>
      <c r="BA104" s="24" t="s">
        <v>416</v>
      </c>
    </row>
    <row r="105" spans="1:53" ht="20" customHeight="1" x14ac:dyDescent="0.2">
      <c r="A105" s="67"/>
      <c r="B105" s="95"/>
      <c r="C105" s="25" t="s">
        <v>86</v>
      </c>
      <c r="D105" s="24" t="s">
        <v>355</v>
      </c>
      <c r="E105" s="24" t="s">
        <v>356</v>
      </c>
      <c r="F105" s="25">
        <v>2014</v>
      </c>
      <c r="H105" s="29">
        <v>39</v>
      </c>
      <c r="I105" s="28" t="s">
        <v>235</v>
      </c>
      <c r="J105" s="39" t="s">
        <v>417</v>
      </c>
      <c r="K105" s="40"/>
      <c r="L105" s="43"/>
      <c r="M105" s="40"/>
      <c r="N105" s="43" t="str">
        <f t="shared" si="39"/>
        <v/>
      </c>
      <c r="O105" s="40"/>
      <c r="P105" s="43" t="str">
        <f t="shared" si="40"/>
        <v/>
      </c>
      <c r="Q105" s="40"/>
      <c r="R105" s="43" t="str">
        <f t="shared" si="41"/>
        <v/>
      </c>
      <c r="S105" s="40"/>
      <c r="T105" s="43" t="str">
        <f t="shared" si="42"/>
        <v/>
      </c>
      <c r="U105" s="86"/>
      <c r="V105" s="43" t="str">
        <f t="shared" si="57"/>
        <v/>
      </c>
      <c r="W105" s="40"/>
      <c r="X105" s="43" t="str">
        <f t="shared" si="43"/>
        <v/>
      </c>
      <c r="Y105" s="40"/>
      <c r="Z105" s="43" t="str">
        <f t="shared" si="44"/>
        <v/>
      </c>
      <c r="AA105" s="40"/>
      <c r="AB105" s="43"/>
      <c r="AC105" s="40"/>
      <c r="AD105" s="43" t="str">
        <f t="shared" si="46"/>
        <v/>
      </c>
      <c r="AE105" s="40"/>
      <c r="AF105" s="43" t="str">
        <f t="shared" si="47"/>
        <v/>
      </c>
      <c r="AG105" s="40"/>
      <c r="AH105" s="43" t="str">
        <f t="shared" si="55"/>
        <v/>
      </c>
      <c r="AI105" s="40"/>
      <c r="AJ105" s="43" t="str">
        <f t="shared" si="48"/>
        <v/>
      </c>
      <c r="AK105" s="40"/>
      <c r="AL105" s="43" t="str">
        <f t="shared" si="49"/>
        <v/>
      </c>
      <c r="AM105" s="40"/>
      <c r="AN105" s="43" t="str">
        <f t="shared" si="14"/>
        <v/>
      </c>
      <c r="AO105" s="86">
        <v>8</v>
      </c>
      <c r="AP105" s="43">
        <f t="shared" si="50"/>
        <v>20.512820512820511</v>
      </c>
      <c r="AQ105" s="40"/>
      <c r="AR105" s="43" t="str">
        <f t="shared" si="51"/>
        <v/>
      </c>
      <c r="AS105" s="40"/>
      <c r="AT105" s="43" t="str">
        <f t="shared" si="14"/>
        <v/>
      </c>
      <c r="AU105" s="40"/>
      <c r="AV105" s="43" t="str">
        <f t="shared" si="52"/>
        <v/>
      </c>
      <c r="AW105" s="40"/>
      <c r="AX105" s="43" t="str">
        <f t="shared" si="53"/>
        <v/>
      </c>
      <c r="AY105" s="40"/>
      <c r="AZ105" s="43" t="str">
        <f t="shared" si="54"/>
        <v/>
      </c>
      <c r="BA105" s="24" t="s">
        <v>439</v>
      </c>
    </row>
    <row r="106" spans="1:53" ht="20" customHeight="1" x14ac:dyDescent="0.2">
      <c r="A106" s="67"/>
      <c r="B106" s="95"/>
      <c r="C106" s="25" t="s">
        <v>86</v>
      </c>
      <c r="D106" s="24" t="s">
        <v>357</v>
      </c>
      <c r="E106" s="24" t="s">
        <v>358</v>
      </c>
      <c r="F106" s="25">
        <v>2010</v>
      </c>
      <c r="H106" s="29">
        <v>789</v>
      </c>
      <c r="I106" s="28" t="s">
        <v>235</v>
      </c>
      <c r="J106" s="39" t="s">
        <v>419</v>
      </c>
      <c r="K106" s="40"/>
      <c r="L106" s="43" t="str">
        <f t="shared" ref="L106:L113" si="58">IF((ISERROR((K106/$H106)*100)), "", IF(AND(NOT(ISERROR((K106/$H106)*100)),((K106/$H106)*100) &lt;&gt; 0), (K106/$H106)*100, ""))</f>
        <v/>
      </c>
      <c r="M106" s="40"/>
      <c r="N106" s="43" t="str">
        <f t="shared" si="39"/>
        <v/>
      </c>
      <c r="O106" s="40"/>
      <c r="P106" s="43" t="str">
        <f t="shared" si="40"/>
        <v/>
      </c>
      <c r="Q106" s="40"/>
      <c r="R106" s="43" t="str">
        <f t="shared" si="41"/>
        <v/>
      </c>
      <c r="S106" s="40"/>
      <c r="T106" s="43" t="str">
        <f t="shared" si="42"/>
        <v/>
      </c>
      <c r="U106" s="86"/>
      <c r="V106" s="43" t="str">
        <f t="shared" si="57"/>
        <v/>
      </c>
      <c r="W106" s="40"/>
      <c r="X106" s="43" t="str">
        <f t="shared" si="43"/>
        <v/>
      </c>
      <c r="Y106" s="40"/>
      <c r="Z106" s="43" t="str">
        <f t="shared" si="44"/>
        <v/>
      </c>
      <c r="AA106" s="40"/>
      <c r="AB106" s="43" t="str">
        <f t="shared" ref="AB106:AB113" si="59">IF((ISERROR((AA106/$H106)*100)), "", IF(AND(NOT(ISERROR((AA106/$H106)*100)),((AA106/$H106)*100) &lt;&gt; 0), (AA106/$H106)*100, ""))</f>
        <v/>
      </c>
      <c r="AC106" s="40"/>
      <c r="AD106" s="43" t="str">
        <f t="shared" si="46"/>
        <v/>
      </c>
      <c r="AE106" s="40"/>
      <c r="AF106" s="43" t="str">
        <f t="shared" si="47"/>
        <v/>
      </c>
      <c r="AG106" s="40"/>
      <c r="AH106" s="43" t="str">
        <f t="shared" si="55"/>
        <v/>
      </c>
      <c r="AI106" s="40"/>
      <c r="AJ106" s="43" t="str">
        <f t="shared" si="48"/>
        <v/>
      </c>
      <c r="AK106" s="40"/>
      <c r="AL106" s="43" t="str">
        <f t="shared" si="49"/>
        <v/>
      </c>
      <c r="AM106" s="40"/>
      <c r="AN106" s="43" t="str">
        <f t="shared" si="14"/>
        <v/>
      </c>
      <c r="AO106" s="86">
        <v>43</v>
      </c>
      <c r="AP106" s="43">
        <f t="shared" si="50"/>
        <v>5.4499366286438535</v>
      </c>
      <c r="AQ106" s="40"/>
      <c r="AR106" s="43" t="str">
        <f t="shared" si="51"/>
        <v/>
      </c>
      <c r="AS106" s="40"/>
      <c r="AT106" s="43" t="str">
        <f t="shared" si="14"/>
        <v/>
      </c>
      <c r="AU106" s="40"/>
      <c r="AV106" s="43" t="str">
        <f t="shared" si="52"/>
        <v/>
      </c>
      <c r="AW106" s="40"/>
      <c r="AX106" s="43" t="str">
        <f t="shared" si="53"/>
        <v/>
      </c>
      <c r="AY106" s="40"/>
      <c r="AZ106" s="43" t="str">
        <f t="shared" si="54"/>
        <v/>
      </c>
      <c r="BA106" s="24" t="s">
        <v>418</v>
      </c>
    </row>
    <row r="107" spans="1:53" ht="20" customHeight="1" x14ac:dyDescent="0.2">
      <c r="A107" s="67"/>
      <c r="B107" s="96"/>
      <c r="C107" s="93" t="s">
        <v>423</v>
      </c>
      <c r="D107" s="24" t="s">
        <v>359</v>
      </c>
      <c r="E107" s="24" t="s">
        <v>360</v>
      </c>
      <c r="F107" s="25">
        <v>2016</v>
      </c>
      <c r="H107" s="29">
        <v>16</v>
      </c>
      <c r="I107" s="28" t="s">
        <v>421</v>
      </c>
      <c r="J107" s="92" t="s">
        <v>422</v>
      </c>
      <c r="K107" s="40"/>
      <c r="L107" s="43" t="str">
        <f t="shared" si="58"/>
        <v/>
      </c>
      <c r="M107" s="40"/>
      <c r="N107" s="43" t="str">
        <f t="shared" ref="N107:N113" si="60">IF((ISERROR((M107/$H107)*100)), "", IF(AND(NOT(ISERROR((M107/$H107)*100)),((M107/$H107)*100) &lt;&gt; 0), (M107/$H107)*100, ""))</f>
        <v/>
      </c>
      <c r="O107" s="40"/>
      <c r="P107" s="43" t="str">
        <f t="shared" ref="P107:P113" si="61">IF((ISERROR((O107/$H107)*100)), "", IF(AND(NOT(ISERROR((O107/$H107)*100)),((O107/$H107)*100) &lt;&gt; 0), (O107/$H107)*100, ""))</f>
        <v/>
      </c>
      <c r="Q107" s="40"/>
      <c r="R107" s="43" t="str">
        <f t="shared" ref="R107:R113" si="62">IF((ISERROR((Q107/$H107)*100)), "", IF(AND(NOT(ISERROR((Q107/$H107)*100)),((Q107/$H107)*100) &lt;&gt; 0), (Q107/$H107)*100, ""))</f>
        <v/>
      </c>
      <c r="S107" s="40"/>
      <c r="T107" s="43" t="str">
        <f t="shared" ref="T107:T113" si="63">IF((ISERROR((S107/$H107)*100)), "", IF(AND(NOT(ISERROR((S107/$H107)*100)),((S107/$H107)*100) &lt;&gt; 0), (S107/$H107)*100, ""))</f>
        <v/>
      </c>
      <c r="U107" s="86"/>
      <c r="V107" s="43" t="str">
        <f t="shared" si="57"/>
        <v/>
      </c>
      <c r="W107" s="40"/>
      <c r="X107" s="43" t="str">
        <f t="shared" ref="X107:X113" si="64">IF((ISERROR((W107/$H107)*100)), "", IF(AND(NOT(ISERROR((W107/$H107)*100)),((W107/$H107)*100) &lt;&gt; 0), (W107/$H107)*100, ""))</f>
        <v/>
      </c>
      <c r="Y107" s="40"/>
      <c r="Z107" s="43" t="str">
        <f t="shared" ref="Z107:Z113" si="65">IF((ISERROR((Y107/$H107)*100)), "", IF(AND(NOT(ISERROR((Y107/$H107)*100)),((Y107/$H107)*100) &lt;&gt; 0), (Y107/$H107)*100, ""))</f>
        <v/>
      </c>
      <c r="AA107" s="40"/>
      <c r="AB107" s="43" t="str">
        <f t="shared" si="59"/>
        <v/>
      </c>
      <c r="AC107" s="40"/>
      <c r="AD107" s="43" t="str">
        <f t="shared" ref="AD107:AD113" si="66">IF((ISERROR((AC107/$H107)*100)), "", IF(AND(NOT(ISERROR((AC107/$H107)*100)),((AC107/$H107)*100) &lt;&gt; 0), (AC107/$H107)*100, ""))</f>
        <v/>
      </c>
      <c r="AE107" s="40"/>
      <c r="AF107" s="43" t="str">
        <f t="shared" ref="AF107:AF113" si="67">IF((ISERROR((AE107/$H107)*100)), "", IF(AND(NOT(ISERROR((AE107/$H107)*100)),((AE107/$H107)*100) &lt;&gt; 0), (AE107/$H107)*100, ""))</f>
        <v/>
      </c>
      <c r="AG107" s="40"/>
      <c r="AH107" s="43" t="str">
        <f t="shared" si="55"/>
        <v/>
      </c>
      <c r="AI107" s="40"/>
      <c r="AJ107" s="43" t="str">
        <f t="shared" ref="AJ107:AJ113" si="68">IF((ISERROR((AI107/$H107)*100)), "", IF(AND(NOT(ISERROR((AI107/$H107)*100)),((AI107/$H107)*100) &lt;&gt; 0), (AI107/$H107)*100, ""))</f>
        <v/>
      </c>
      <c r="AK107" s="40"/>
      <c r="AL107" s="43" t="str">
        <f t="shared" ref="AL107:AL113" si="69">IF((ISERROR((AK107/$H107)*100)), "", IF(AND(NOT(ISERROR((AK107/$H107)*100)),((AK107/$H107)*100) &lt;&gt; 0), (AK107/$H107)*100, ""))</f>
        <v/>
      </c>
      <c r="AM107" s="40"/>
      <c r="AN107" s="43" t="str">
        <f t="shared" si="14"/>
        <v/>
      </c>
      <c r="AO107" s="86"/>
      <c r="AP107" s="43" t="str">
        <f t="shared" ref="AP107:AP113" si="70">IF((ISERROR((AO107/$H107)*100)), "", IF(AND(NOT(ISERROR((AO107/$H107)*100)),((AO107/$H107)*100) &lt;&gt; 0), (AO107/$H107)*100, ""))</f>
        <v/>
      </c>
      <c r="AQ107" s="40"/>
      <c r="AR107" s="43" t="str">
        <f t="shared" ref="AR107:AR113" si="71">IF((ISERROR((AQ107/$H107)*100)), "", IF(AND(NOT(ISERROR((AQ107/$H107)*100)),((AQ107/$H107)*100) &lt;&gt; 0), (AQ107/$H107)*100, ""))</f>
        <v/>
      </c>
      <c r="AS107" s="40"/>
      <c r="AT107" s="43" t="str">
        <f t="shared" si="14"/>
        <v/>
      </c>
      <c r="AU107" s="40"/>
      <c r="AV107" s="43" t="str">
        <f t="shared" si="52"/>
        <v/>
      </c>
      <c r="AW107" s="40"/>
      <c r="AX107" s="43" t="str">
        <f t="shared" ref="AX107:AX113" si="72">IF((ISERROR((AW107/$H107)*100)), "", IF(AND(NOT(ISERROR((AW107/$H107)*100)),((AW107/$H107)*100) &lt;&gt; 0), (AW107/$H107)*100, ""))</f>
        <v/>
      </c>
      <c r="AY107" s="40"/>
      <c r="AZ107" s="43" t="str">
        <f t="shared" ref="AZ107:AZ113" si="73">IF((ISERROR((AY107/$H107)*100)), "", IF(AND(NOT(ISERROR((AY107/$H107)*100)),((AY107/$H107)*100) &lt;&gt; 0), (AY107/$H107)*100, ""))</f>
        <v/>
      </c>
      <c r="BA107" s="24" t="s">
        <v>424</v>
      </c>
    </row>
    <row r="108" spans="1:53" ht="20" customHeight="1" x14ac:dyDescent="0.2">
      <c r="A108" s="67"/>
      <c r="B108" s="95"/>
      <c r="C108" s="94" t="s">
        <v>425</v>
      </c>
      <c r="D108" s="56" t="s">
        <v>140</v>
      </c>
      <c r="E108" s="56" t="s">
        <v>141</v>
      </c>
      <c r="F108" s="57">
        <v>2005</v>
      </c>
      <c r="G108" s="57">
        <v>21</v>
      </c>
      <c r="H108" s="29"/>
      <c r="I108" s="28" t="s">
        <v>259</v>
      </c>
      <c r="J108" s="39"/>
      <c r="K108" s="40"/>
      <c r="L108" s="43" t="str">
        <f t="shared" si="58"/>
        <v/>
      </c>
      <c r="M108" s="40"/>
      <c r="N108" s="43" t="str">
        <f t="shared" si="60"/>
        <v/>
      </c>
      <c r="O108" s="40"/>
      <c r="P108" s="43" t="str">
        <f t="shared" si="61"/>
        <v/>
      </c>
      <c r="Q108" s="40"/>
      <c r="R108" s="43" t="str">
        <f t="shared" si="62"/>
        <v/>
      </c>
      <c r="S108" s="40"/>
      <c r="T108" s="43" t="str">
        <f t="shared" si="63"/>
        <v/>
      </c>
      <c r="U108" s="47">
        <v>16</v>
      </c>
      <c r="V108" s="46" t="str">
        <f t="shared" si="57"/>
        <v/>
      </c>
      <c r="W108" s="45">
        <v>5</v>
      </c>
      <c r="X108" s="46" t="str">
        <f t="shared" si="64"/>
        <v/>
      </c>
      <c r="Y108" s="40"/>
      <c r="Z108" s="43" t="str">
        <f t="shared" si="65"/>
        <v/>
      </c>
      <c r="AA108" s="40"/>
      <c r="AB108" s="43" t="str">
        <f t="shared" si="59"/>
        <v/>
      </c>
      <c r="AC108" s="40"/>
      <c r="AD108" s="43" t="str">
        <f t="shared" si="66"/>
        <v/>
      </c>
      <c r="AE108" s="40"/>
      <c r="AF108" s="43" t="str">
        <f t="shared" si="67"/>
        <v/>
      </c>
      <c r="AG108" s="40"/>
      <c r="AH108" s="43" t="str">
        <f t="shared" si="55"/>
        <v/>
      </c>
      <c r="AI108" s="40"/>
      <c r="AJ108" s="43" t="str">
        <f t="shared" si="68"/>
        <v/>
      </c>
      <c r="AK108" s="40"/>
      <c r="AL108" s="43" t="str">
        <f t="shared" si="69"/>
        <v/>
      </c>
      <c r="AM108" s="40"/>
      <c r="AN108" s="43" t="str">
        <f t="shared" si="14"/>
        <v/>
      </c>
      <c r="AO108" s="86"/>
      <c r="AP108" s="43" t="str">
        <f t="shared" si="70"/>
        <v/>
      </c>
      <c r="AQ108" s="40"/>
      <c r="AR108" s="43" t="str">
        <f t="shared" si="71"/>
        <v/>
      </c>
      <c r="AS108" s="40"/>
      <c r="AT108" s="43" t="str">
        <f t="shared" si="14"/>
        <v/>
      </c>
      <c r="AU108" s="40"/>
      <c r="AV108" s="43" t="str">
        <f t="shared" si="52"/>
        <v/>
      </c>
      <c r="AW108" s="45">
        <v>5</v>
      </c>
      <c r="AX108" s="46" t="str">
        <f t="shared" si="72"/>
        <v/>
      </c>
      <c r="AY108" s="40"/>
      <c r="AZ108" s="43" t="str">
        <f t="shared" si="73"/>
        <v/>
      </c>
      <c r="BA108" s="24" t="s">
        <v>260</v>
      </c>
    </row>
    <row r="109" spans="1:53" ht="20" customHeight="1" x14ac:dyDescent="0.2">
      <c r="A109" s="68"/>
      <c r="B109" s="25"/>
      <c r="C109" s="25" t="s">
        <v>35</v>
      </c>
      <c r="D109" s="24" t="s">
        <v>142</v>
      </c>
      <c r="E109" s="24" t="s">
        <v>143</v>
      </c>
      <c r="F109" s="25">
        <v>2015</v>
      </c>
      <c r="G109" s="25">
        <v>1</v>
      </c>
      <c r="H109" s="29">
        <v>119</v>
      </c>
      <c r="I109" s="28"/>
      <c r="J109" s="39"/>
      <c r="K109" s="40"/>
      <c r="L109" s="43" t="str">
        <f t="shared" si="58"/>
        <v/>
      </c>
      <c r="M109" s="40"/>
      <c r="N109" s="43" t="str">
        <f t="shared" si="60"/>
        <v/>
      </c>
      <c r="O109" s="40"/>
      <c r="P109" s="43" t="str">
        <f t="shared" si="61"/>
        <v/>
      </c>
      <c r="Q109" s="40"/>
      <c r="R109" s="43" t="str">
        <f t="shared" si="62"/>
        <v/>
      </c>
      <c r="S109" s="40"/>
      <c r="T109" s="43" t="str">
        <f t="shared" si="63"/>
        <v/>
      </c>
      <c r="U109" s="86"/>
      <c r="V109" s="43" t="str">
        <f t="shared" si="57"/>
        <v/>
      </c>
      <c r="W109" s="40"/>
      <c r="X109" s="43" t="str">
        <f t="shared" si="64"/>
        <v/>
      </c>
      <c r="Y109" s="40"/>
      <c r="Z109" s="43" t="str">
        <f t="shared" si="65"/>
        <v/>
      </c>
      <c r="AA109" s="40"/>
      <c r="AB109" s="43" t="str">
        <f t="shared" si="59"/>
        <v/>
      </c>
      <c r="AC109" s="40"/>
      <c r="AD109" s="43" t="str">
        <f t="shared" si="66"/>
        <v/>
      </c>
      <c r="AE109" s="40"/>
      <c r="AF109" s="43" t="str">
        <f t="shared" si="67"/>
        <v/>
      </c>
      <c r="AG109" s="40"/>
      <c r="AH109" s="43" t="str">
        <f t="shared" si="55"/>
        <v/>
      </c>
      <c r="AI109" s="40"/>
      <c r="AJ109" s="43" t="str">
        <f t="shared" si="68"/>
        <v/>
      </c>
      <c r="AK109" s="40"/>
      <c r="AL109" s="43" t="str">
        <f t="shared" si="69"/>
        <v/>
      </c>
      <c r="AM109" s="40"/>
      <c r="AN109" s="43" t="str">
        <f t="shared" si="14"/>
        <v/>
      </c>
      <c r="AO109" s="86"/>
      <c r="AP109" s="43" t="str">
        <f t="shared" si="70"/>
        <v/>
      </c>
      <c r="AQ109" s="40"/>
      <c r="AR109" s="43" t="str">
        <f t="shared" si="71"/>
        <v/>
      </c>
      <c r="AS109" s="40"/>
      <c r="AT109" s="43" t="str">
        <f t="shared" si="14"/>
        <v/>
      </c>
      <c r="AU109" s="40"/>
      <c r="AV109" s="43" t="str">
        <f t="shared" si="52"/>
        <v/>
      </c>
      <c r="AW109" s="40"/>
      <c r="AX109" s="43" t="str">
        <f t="shared" si="72"/>
        <v/>
      </c>
      <c r="AY109" s="40"/>
      <c r="AZ109" s="43" t="str">
        <f t="shared" si="73"/>
        <v/>
      </c>
      <c r="BA109" s="24" t="s">
        <v>261</v>
      </c>
    </row>
    <row r="110" spans="1:53" ht="20" customHeight="1" x14ac:dyDescent="0.2">
      <c r="A110" s="68"/>
      <c r="B110" s="25"/>
      <c r="C110" s="25" t="s">
        <v>86</v>
      </c>
      <c r="D110" s="24" t="s">
        <v>144</v>
      </c>
      <c r="E110" s="24" t="s">
        <v>145</v>
      </c>
      <c r="F110" s="25">
        <v>2008</v>
      </c>
      <c r="G110" s="25">
        <v>156</v>
      </c>
      <c r="H110" s="29">
        <v>51</v>
      </c>
      <c r="I110" s="28" t="s">
        <v>189</v>
      </c>
      <c r="J110" s="39"/>
      <c r="K110" s="40"/>
      <c r="L110" s="43" t="str">
        <f t="shared" si="58"/>
        <v/>
      </c>
      <c r="M110" s="40"/>
      <c r="N110" s="43" t="str">
        <f t="shared" si="60"/>
        <v/>
      </c>
      <c r="O110" s="40"/>
      <c r="P110" s="43" t="str">
        <f t="shared" si="61"/>
        <v/>
      </c>
      <c r="Q110" s="40"/>
      <c r="R110" s="43" t="str">
        <f t="shared" si="62"/>
        <v/>
      </c>
      <c r="S110" s="40"/>
      <c r="T110" s="43" t="str">
        <f t="shared" si="63"/>
        <v/>
      </c>
      <c r="U110" s="86"/>
      <c r="V110" s="43" t="str">
        <f t="shared" si="57"/>
        <v/>
      </c>
      <c r="W110" s="40"/>
      <c r="X110" s="43" t="str">
        <f t="shared" si="64"/>
        <v/>
      </c>
      <c r="Y110" s="40"/>
      <c r="Z110" s="43" t="str">
        <f t="shared" si="65"/>
        <v/>
      </c>
      <c r="AA110" s="40"/>
      <c r="AB110" s="43" t="str">
        <f t="shared" si="59"/>
        <v/>
      </c>
      <c r="AC110" s="40"/>
      <c r="AD110" s="43" t="str">
        <f t="shared" si="66"/>
        <v/>
      </c>
      <c r="AE110" s="40"/>
      <c r="AF110" s="43" t="str">
        <f t="shared" si="67"/>
        <v/>
      </c>
      <c r="AG110" s="40"/>
      <c r="AH110" s="43" t="str">
        <f t="shared" si="55"/>
        <v/>
      </c>
      <c r="AI110" s="40"/>
      <c r="AJ110" s="43" t="str">
        <f t="shared" si="68"/>
        <v/>
      </c>
      <c r="AK110" s="40"/>
      <c r="AL110" s="43" t="str">
        <f t="shared" si="69"/>
        <v/>
      </c>
      <c r="AM110" s="40"/>
      <c r="AN110" s="43" t="str">
        <f t="shared" si="14"/>
        <v/>
      </c>
      <c r="AO110" s="86"/>
      <c r="AP110" s="43" t="str">
        <f t="shared" si="70"/>
        <v/>
      </c>
      <c r="AQ110" s="40"/>
      <c r="AR110" s="43" t="str">
        <f t="shared" si="71"/>
        <v/>
      </c>
      <c r="AS110" s="40"/>
      <c r="AT110" s="43" t="str">
        <f t="shared" si="14"/>
        <v/>
      </c>
      <c r="AU110" s="40"/>
      <c r="AV110" s="43" t="str">
        <f t="shared" si="52"/>
        <v/>
      </c>
      <c r="AW110" s="40"/>
      <c r="AX110" s="43" t="str">
        <f t="shared" si="72"/>
        <v/>
      </c>
      <c r="AY110" s="40"/>
      <c r="AZ110" s="43" t="str">
        <f t="shared" si="73"/>
        <v/>
      </c>
      <c r="BA110" s="24" t="s">
        <v>262</v>
      </c>
    </row>
    <row r="111" spans="1:53" ht="20" customHeight="1" x14ac:dyDescent="0.2">
      <c r="A111" s="68"/>
      <c r="B111" s="25"/>
      <c r="C111" s="57" t="s">
        <v>49</v>
      </c>
      <c r="D111" s="56" t="s">
        <v>146</v>
      </c>
      <c r="E111" s="56" t="s">
        <v>147</v>
      </c>
      <c r="F111" s="57">
        <v>1997</v>
      </c>
      <c r="G111" s="57">
        <v>47</v>
      </c>
      <c r="H111" s="29"/>
      <c r="I111" s="28"/>
      <c r="J111" s="39"/>
      <c r="K111" s="40"/>
      <c r="L111" s="43" t="str">
        <f t="shared" si="58"/>
        <v/>
      </c>
      <c r="M111" s="40"/>
      <c r="N111" s="43" t="str">
        <f t="shared" si="60"/>
        <v/>
      </c>
      <c r="O111" s="40"/>
      <c r="P111" s="43" t="str">
        <f t="shared" si="61"/>
        <v/>
      </c>
      <c r="Q111" s="40"/>
      <c r="R111" s="43" t="str">
        <f t="shared" si="62"/>
        <v/>
      </c>
      <c r="S111" s="40"/>
      <c r="T111" s="43" t="str">
        <f t="shared" si="63"/>
        <v/>
      </c>
      <c r="U111" s="86"/>
      <c r="V111" s="43" t="str">
        <f t="shared" si="57"/>
        <v/>
      </c>
      <c r="W111" s="40"/>
      <c r="X111" s="43" t="str">
        <f t="shared" si="64"/>
        <v/>
      </c>
      <c r="Y111" s="40"/>
      <c r="Z111" s="43" t="str">
        <f t="shared" si="65"/>
        <v/>
      </c>
      <c r="AA111" s="40"/>
      <c r="AB111" s="43" t="str">
        <f t="shared" si="59"/>
        <v/>
      </c>
      <c r="AC111" s="40"/>
      <c r="AD111" s="43" t="str">
        <f t="shared" si="66"/>
        <v/>
      </c>
      <c r="AE111" s="40"/>
      <c r="AF111" s="43" t="str">
        <f t="shared" si="67"/>
        <v/>
      </c>
      <c r="AG111" s="40"/>
      <c r="AH111" s="43" t="str">
        <f t="shared" si="55"/>
        <v/>
      </c>
      <c r="AI111" s="40"/>
      <c r="AJ111" s="43" t="str">
        <f t="shared" si="68"/>
        <v/>
      </c>
      <c r="AK111" s="40"/>
      <c r="AL111" s="43" t="str">
        <f t="shared" si="69"/>
        <v/>
      </c>
      <c r="AM111" s="40"/>
      <c r="AN111" s="43" t="str">
        <f t="shared" si="14"/>
        <v/>
      </c>
      <c r="AO111" s="86"/>
      <c r="AP111" s="43" t="str">
        <f t="shared" si="70"/>
        <v/>
      </c>
      <c r="AQ111" s="40"/>
      <c r="AR111" s="43" t="str">
        <f t="shared" si="71"/>
        <v/>
      </c>
      <c r="AS111" s="40"/>
      <c r="AT111" s="43" t="str">
        <f t="shared" si="14"/>
        <v/>
      </c>
      <c r="AU111" s="40"/>
      <c r="AV111" s="43" t="str">
        <f t="shared" si="52"/>
        <v/>
      </c>
      <c r="AW111" s="40"/>
      <c r="AX111" s="43" t="str">
        <f t="shared" si="72"/>
        <v/>
      </c>
      <c r="AY111" s="40"/>
      <c r="AZ111" s="43" t="str">
        <f t="shared" si="73"/>
        <v/>
      </c>
      <c r="BA111" s="24" t="s">
        <v>263</v>
      </c>
    </row>
    <row r="112" spans="1:53" ht="20" customHeight="1" x14ac:dyDescent="0.2">
      <c r="A112" s="67"/>
      <c r="B112" s="96"/>
      <c r="C112" s="25" t="s">
        <v>86</v>
      </c>
      <c r="D112" s="24" t="s">
        <v>361</v>
      </c>
      <c r="E112" s="24" t="s">
        <v>362</v>
      </c>
      <c r="F112" s="25">
        <v>2009</v>
      </c>
      <c r="H112" s="29">
        <v>12</v>
      </c>
      <c r="I112" s="28" t="s">
        <v>238</v>
      </c>
      <c r="J112" s="39" t="s">
        <v>212</v>
      </c>
      <c r="K112" s="82"/>
      <c r="L112" s="83" t="str">
        <f t="shared" si="58"/>
        <v/>
      </c>
      <c r="M112" s="82"/>
      <c r="N112" s="83" t="str">
        <f t="shared" si="60"/>
        <v/>
      </c>
      <c r="O112" s="82"/>
      <c r="P112" s="83" t="str">
        <f t="shared" si="61"/>
        <v/>
      </c>
      <c r="Q112" s="82"/>
      <c r="R112" s="83" t="str">
        <f t="shared" si="62"/>
        <v/>
      </c>
      <c r="S112" s="82"/>
      <c r="T112" s="83" t="str">
        <f t="shared" si="63"/>
        <v/>
      </c>
      <c r="U112" s="84"/>
      <c r="V112" s="83" t="str">
        <f t="shared" si="57"/>
        <v/>
      </c>
      <c r="W112" s="82"/>
      <c r="X112" s="83" t="str">
        <f t="shared" si="64"/>
        <v/>
      </c>
      <c r="Y112" s="82"/>
      <c r="Z112" s="83" t="str">
        <f t="shared" si="65"/>
        <v/>
      </c>
      <c r="AA112" s="82"/>
      <c r="AB112" s="83" t="str">
        <f t="shared" si="59"/>
        <v/>
      </c>
      <c r="AC112" s="82"/>
      <c r="AD112" s="83" t="str">
        <f t="shared" si="66"/>
        <v/>
      </c>
      <c r="AE112" s="82"/>
      <c r="AF112" s="83" t="str">
        <f t="shared" si="67"/>
        <v/>
      </c>
      <c r="AG112" s="82"/>
      <c r="AH112" s="83" t="str">
        <f t="shared" si="55"/>
        <v/>
      </c>
      <c r="AI112" s="82"/>
      <c r="AJ112" s="83" t="str">
        <f t="shared" si="68"/>
        <v/>
      </c>
      <c r="AK112" s="82"/>
      <c r="AL112" s="83" t="str">
        <f t="shared" si="69"/>
        <v/>
      </c>
      <c r="AM112" s="82"/>
      <c r="AN112" s="83" t="str">
        <f t="shared" si="14"/>
        <v/>
      </c>
      <c r="AO112" s="84"/>
      <c r="AP112" s="83" t="str">
        <f t="shared" si="70"/>
        <v/>
      </c>
      <c r="AQ112" s="82"/>
      <c r="AR112" s="83" t="str">
        <f t="shared" si="71"/>
        <v/>
      </c>
      <c r="AS112" s="82"/>
      <c r="AT112" s="83" t="str">
        <f t="shared" si="14"/>
        <v/>
      </c>
      <c r="AU112" s="82"/>
      <c r="AV112" s="83" t="str">
        <f t="shared" si="52"/>
        <v/>
      </c>
      <c r="AW112" s="82"/>
      <c r="AX112" s="83" t="str">
        <f t="shared" si="72"/>
        <v/>
      </c>
      <c r="AY112" s="82"/>
      <c r="AZ112" s="83" t="str">
        <f t="shared" si="73"/>
        <v/>
      </c>
      <c r="BA112" s="24" t="s">
        <v>195</v>
      </c>
    </row>
    <row r="113" spans="1:53" ht="20" customHeight="1" thickBot="1" x14ac:dyDescent="0.25">
      <c r="A113" s="68"/>
      <c r="B113" s="25"/>
      <c r="C113" s="25" t="s">
        <v>86</v>
      </c>
      <c r="D113" s="24" t="s">
        <v>150</v>
      </c>
      <c r="E113" s="24" t="s">
        <v>151</v>
      </c>
      <c r="F113" s="25">
        <v>2011</v>
      </c>
      <c r="G113" s="25">
        <v>112</v>
      </c>
      <c r="H113" s="29">
        <v>22</v>
      </c>
      <c r="I113" s="28" t="s">
        <v>246</v>
      </c>
      <c r="J113" s="39" t="s">
        <v>213</v>
      </c>
      <c r="K113" s="41"/>
      <c r="L113" s="44" t="str">
        <f t="shared" si="58"/>
        <v/>
      </c>
      <c r="M113" s="41"/>
      <c r="N113" s="44" t="str">
        <f t="shared" si="60"/>
        <v/>
      </c>
      <c r="O113" s="41"/>
      <c r="P113" s="44" t="str">
        <f t="shared" si="61"/>
        <v/>
      </c>
      <c r="Q113" s="41"/>
      <c r="R113" s="44" t="str">
        <f t="shared" si="62"/>
        <v/>
      </c>
      <c r="S113" s="41"/>
      <c r="T113" s="44" t="str">
        <f t="shared" si="63"/>
        <v/>
      </c>
      <c r="U113" s="42"/>
      <c r="V113" s="44" t="str">
        <f t="shared" si="57"/>
        <v/>
      </c>
      <c r="W113" s="41"/>
      <c r="X113" s="44" t="str">
        <f t="shared" si="64"/>
        <v/>
      </c>
      <c r="Y113" s="41"/>
      <c r="Z113" s="44" t="str">
        <f t="shared" si="65"/>
        <v/>
      </c>
      <c r="AA113" s="41"/>
      <c r="AB113" s="44" t="str">
        <f t="shared" si="59"/>
        <v/>
      </c>
      <c r="AC113" s="41"/>
      <c r="AD113" s="44" t="str">
        <f t="shared" si="66"/>
        <v/>
      </c>
      <c r="AE113" s="41"/>
      <c r="AF113" s="44" t="str">
        <f t="shared" si="67"/>
        <v/>
      </c>
      <c r="AG113" s="41"/>
      <c r="AH113" s="44" t="str">
        <f t="shared" si="55"/>
        <v/>
      </c>
      <c r="AI113" s="41"/>
      <c r="AJ113" s="44" t="str">
        <f t="shared" si="68"/>
        <v/>
      </c>
      <c r="AK113" s="41"/>
      <c r="AL113" s="44" t="str">
        <f t="shared" si="69"/>
        <v/>
      </c>
      <c r="AM113" s="41"/>
      <c r="AN113" s="44" t="str">
        <f t="shared" si="14"/>
        <v/>
      </c>
      <c r="AO113" s="42"/>
      <c r="AP113" s="44" t="str">
        <f t="shared" si="70"/>
        <v/>
      </c>
      <c r="AQ113" s="41"/>
      <c r="AR113" s="44" t="str">
        <f t="shared" si="71"/>
        <v/>
      </c>
      <c r="AS113" s="41"/>
      <c r="AT113" s="44" t="str">
        <f t="shared" si="14"/>
        <v/>
      </c>
      <c r="AU113" s="41"/>
      <c r="AV113" s="44" t="str">
        <f t="shared" si="52"/>
        <v/>
      </c>
      <c r="AW113" s="41"/>
      <c r="AX113" s="44" t="str">
        <f t="shared" si="72"/>
        <v/>
      </c>
      <c r="AY113" s="41"/>
      <c r="AZ113" s="44" t="str">
        <f t="shared" si="73"/>
        <v/>
      </c>
      <c r="BA113" s="24" t="s">
        <v>264</v>
      </c>
    </row>
    <row r="115" spans="1:53" ht="17" thickBot="1" x14ac:dyDescent="0.25"/>
    <row r="116" spans="1:53" s="23" customFormat="1" x14ac:dyDescent="0.2">
      <c r="C116" s="48"/>
      <c r="F116" s="25"/>
      <c r="G116" s="50" t="s">
        <v>280</v>
      </c>
      <c r="H116" s="51">
        <f>SUM(H11:H113)</f>
        <v>4016</v>
      </c>
      <c r="I116" s="52" t="s">
        <v>278</v>
      </c>
      <c r="J116" s="53" t="s">
        <v>277</v>
      </c>
      <c r="K116" s="58">
        <f>IF((SUM(K11:K113)&lt;&gt;0), SUMIF($H11:$H113, "&gt;0", K11:K113), "")</f>
        <v>24</v>
      </c>
      <c r="L116" s="59">
        <f>IF(ISERROR((K116/$H116)*100), "", IF(((K116/$H116)*100) &lt;&gt; 0, (K116/$H116)*100, ""))</f>
        <v>0.59760956175298807</v>
      </c>
      <c r="M116" s="58">
        <f>IF((SUM(M11:M113)&lt;&gt;0), SUMIF($H11:$H113, "&gt;0", M11:M113), "")</f>
        <v>25</v>
      </c>
      <c r="N116" s="59">
        <f>IF(ISERROR((M116/$H116)*100), "", IF(((M116/$H116)*100) &lt;&gt; 0, (M116/$H116)*100, ""))</f>
        <v>0.62250996015936255</v>
      </c>
      <c r="O116" s="58">
        <f>IF((SUM(O11:O113)&lt;&gt;0), SUMIF($H11:$H113, "&gt;0", O11:O113), "")</f>
        <v>48</v>
      </c>
      <c r="P116" s="59">
        <f>IF(ISERROR((O116/$H116)*100), "", IF(((O116/$H116)*100) &lt;&gt; 0, (O116/$H116)*100, ""))</f>
        <v>1.1952191235059761</v>
      </c>
      <c r="Q116" s="58">
        <f>IF((SUM(Q11:Q113)&lt;&gt;0), SUMIF($H11:$H113, "&gt;0", Q11:Q113), "")</f>
        <v>6</v>
      </c>
      <c r="R116" s="59">
        <f>IF(ISERROR((Q116/$H116)*100), "", IF(((Q116/$H116)*100) &lt;&gt; 0, (Q116/$H116)*100, ""))</f>
        <v>0.14940239043824702</v>
      </c>
      <c r="S116" s="58">
        <f>IF((SUM(S11:S113)&lt;&gt;0), SUMIF($H11:$H113, "&gt;0", S11:S113), "")</f>
        <v>2</v>
      </c>
      <c r="T116" s="59">
        <f>IF(ISERROR((S116/$H116)*100), "", IF(((S116/$H116)*100) &lt;&gt; 0, (S116/$H116)*100, ""))</f>
        <v>4.9800796812749001E-2</v>
      </c>
      <c r="U116" s="58">
        <f>IF((SUM(U11:U113)&lt;&gt;0), SUMIF($H11:$H113, "&gt;0", U11:U113), "")</f>
        <v>45</v>
      </c>
      <c r="V116" s="59">
        <f>IF(ISERROR((U116/$H116)*100), "", IF(((U116/$H116)*100) &lt;&gt; 0, (U116/$H116)*100, ""))</f>
        <v>1.1205179282868527</v>
      </c>
      <c r="W116" s="58">
        <f>IF((SUM(W11:W113)&lt;&gt;0), SUMIF($H11:$H113, "&gt;0", W11:W113), "")</f>
        <v>8</v>
      </c>
      <c r="X116" s="59">
        <f>IF(ISERROR((W116/$H116)*100), "", IF(((W116/$H116)*100) &lt;&gt; 0, (W116/$H116)*100, ""))</f>
        <v>0.19920318725099601</v>
      </c>
      <c r="Y116" s="58">
        <f>IF((SUM(Y11:Y113)&lt;&gt;0), SUMIF($H11:$H113, "&gt;0", Y11:Y113), "")</f>
        <v>1</v>
      </c>
      <c r="Z116" s="59">
        <f>IF(ISERROR((Y116/$H116)*100), "", IF(((Y116/$H116)*100) &lt;&gt; 0, (Y116/$H116)*100, ""))</f>
        <v>2.4900398406374501E-2</v>
      </c>
      <c r="AA116" s="58">
        <f>IF((SUM(AA11:AA113)&lt;&gt;0), SUMIF($H11:$H113, "&gt;0", AA11:AA113), "")</f>
        <v>1</v>
      </c>
      <c r="AB116" s="59">
        <f>IF(ISERROR((AA116/$H116)*100), "", IF(((AA116/$H116)*100) &lt;&gt; 0, (AA116/$H116)*100, ""))</f>
        <v>2.4900398406374501E-2</v>
      </c>
      <c r="AC116" s="58">
        <f>IF((SUM(AC11:AC113)&lt;&gt;0), SUMIF($H11:$H113, "&gt;0", AC11:AC113), "")</f>
        <v>1</v>
      </c>
      <c r="AD116" s="59">
        <f>IF(ISERROR((AC116/$H116)*100), "", IF(((AC116/$H116)*100) &lt;&gt; 0, (AC116/$H116)*100, ""))</f>
        <v>2.4900398406374501E-2</v>
      </c>
      <c r="AE116" s="58">
        <f>IF((SUM(AE11:AE113)&lt;&gt;0), SUMIF($H11:$H113, "&gt;0", AE11:AE113), "")</f>
        <v>2</v>
      </c>
      <c r="AF116" s="59">
        <f>IF(ISERROR((AE116/$H116)*100), "", IF(((AE116/$H116)*100) &lt;&gt; 0, (AE116/$H116)*100, ""))</f>
        <v>4.9800796812749001E-2</v>
      </c>
      <c r="AG116" s="58">
        <f>IF((SUM(AG11:AG113)&lt;&gt;0), SUMIF($H11:$H113, "&gt;0", AG11:AG113), "")</f>
        <v>45</v>
      </c>
      <c r="AH116" s="59">
        <f>IF(ISERROR((AG116/$H116)*100), "", IF(((AG116/$H116)*100) &lt;&gt; 0, (AG116/$H116)*100, ""))</f>
        <v>1.1205179282868527</v>
      </c>
      <c r="AI116" s="58">
        <f>IF((SUM(AI11:AI113)&lt;&gt;0), SUMIF($H11:$H113, "&gt;0", AI11:AI113), "")</f>
        <v>4</v>
      </c>
      <c r="AJ116" s="59">
        <f>IF(ISERROR((AI116/$H116)*100), "", IF(((AI116/$H116)*100) &lt;&gt; 0, (AI116/$H116)*100, ""))</f>
        <v>9.9601593625498003E-2</v>
      </c>
      <c r="AK116" s="58">
        <f>IF((SUM(AK11:AK113)&lt;&gt;0), SUMIF($H11:$H113, "&gt;0", AK11:AK113), "")</f>
        <v>29</v>
      </c>
      <c r="AL116" s="59">
        <f>IF(ISERROR((AK116/$H116)*100), "", IF(((AK116/$H116)*100) &lt;&gt; 0, (AK116/$H116)*100, ""))</f>
        <v>0.72211155378486047</v>
      </c>
      <c r="AM116" s="58">
        <f>IF((SUM(AM11:AM113)&lt;&gt;0), SUMIF($H11:$H113, "&gt;0", AM11:AM113), "")</f>
        <v>6</v>
      </c>
      <c r="AN116" s="59">
        <f>IF(ISERROR((AM116/$H116)*100), "", IF(((AM116/$H116)*100) &lt;&gt; 0, (AM116/$H116)*100, ""))</f>
        <v>0.14940239043824702</v>
      </c>
      <c r="AO116" s="58">
        <f>IF((SUM(AO11:AO113)&lt;&gt;0), SUMIF($H11:$H113, "&gt;0", AO11:AO113), "")</f>
        <v>58</v>
      </c>
      <c r="AP116" s="59">
        <f>IF(ISERROR((AO116/$H116)*100), "", IF(((AO116/$H116)*100) &lt;&gt; 0, (AO116/$H116)*100, ""))</f>
        <v>1.4442231075697209</v>
      </c>
      <c r="AQ116" s="58">
        <f>IF((SUM(AQ11:AQ113)&lt;&gt;0), SUMIF($H11:$H113, "&gt;0", AQ11:AQ113), "")</f>
        <v>2</v>
      </c>
      <c r="AR116" s="59">
        <f>IF(ISERROR((AQ116/$H116)*100), "", IF(((AQ116/$H116)*100) &lt;&gt; 0, (AQ116/$H116)*100, ""))</f>
        <v>4.9800796812749001E-2</v>
      </c>
      <c r="AS116" s="58">
        <f>IF((SUM(AS11:AS113)&lt;&gt;0), SUMIF($H11:$H113, "&gt;0", AS11:AS113), "")</f>
        <v>6</v>
      </c>
      <c r="AT116" s="59">
        <f>IF(ISERROR((AS116/$H116)*100), "", IF(((AS116/$H116)*100) &lt;&gt; 0, (AS116/$H116)*100, ""))</f>
        <v>0.14940239043824702</v>
      </c>
      <c r="AU116" s="58">
        <f>IF((SUM(AU11:AU113)&lt;&gt;0), SUMIF($H11:$H113, "&gt;0", AU11:AU113), "")</f>
        <v>1</v>
      </c>
      <c r="AV116" s="59">
        <f>IF(ISERROR((AU116/$H116)*100), "", IF(((AU116/$H116)*100) &lt;&gt; 0, (AU116/$H116)*100, ""))</f>
        <v>2.4900398406374501E-2</v>
      </c>
      <c r="AW116" s="58">
        <f>IF((SUM(AW11:AW113)&lt;&gt;0), SUMIF($H11:$H113, "&gt;0", AW11:AW113), "")</f>
        <v>1</v>
      </c>
      <c r="AX116" s="59">
        <f>IF(ISERROR((AW116/$H116)*100), "", IF(((AW116/$H116)*100) &lt;&gt; 0, (AW116/$H116)*100, ""))</f>
        <v>2.4900398406374501E-2</v>
      </c>
      <c r="AY116" s="58" t="str">
        <f>IF((SUM(AY11:AY113)&lt;&gt;0), SUMIF($H11:$H113, "&gt;0", AY11:AY113), "")</f>
        <v/>
      </c>
      <c r="AZ116" s="59" t="str">
        <f>IF(ISERROR((AY116/$H116)*100), "", IF(((AY116/$H116)*100) &lt;&gt; 0, (AY116/$H116)*100, ""))</f>
        <v/>
      </c>
    </row>
    <row r="117" spans="1:53" s="23" customFormat="1" ht="18" customHeight="1" x14ac:dyDescent="0.2">
      <c r="C117" s="48"/>
      <c r="F117" s="25"/>
      <c r="G117" s="50" t="s">
        <v>281</v>
      </c>
      <c r="H117" s="49" t="s">
        <v>279</v>
      </c>
      <c r="I117" s="54" t="s">
        <v>278</v>
      </c>
      <c r="J117" s="55" t="s">
        <v>277</v>
      </c>
      <c r="K117" s="60">
        <f>IF(SUMIF(K11:K113, "&gt; 0", $H11:$H113) &gt; 0, SUMIF(K11:K113, "&gt; 0", $H11:$H113), "")</f>
        <v>47</v>
      </c>
      <c r="L117" s="61">
        <f>IF(AND(NOT(ISERROR((K116/K117)*100)), K116/K117 &lt;&gt; 0), (K116/K117)*100, "")</f>
        <v>51.063829787234042</v>
      </c>
      <c r="M117" s="60">
        <f>IF(SUMIF(M11:M113, "&gt; 0", $H11:$H113) &gt; 0, SUMIF(M11:M113, "&gt; 0", $H11:$H113), "")</f>
        <v>62</v>
      </c>
      <c r="N117" s="61">
        <f>IF(AND(NOT(ISERROR((M116/M117)*100)), M116/M117 &lt;&gt; 0), (M116/M117)*100, "")</f>
        <v>40.322580645161288</v>
      </c>
      <c r="O117" s="60">
        <f>IF(SUMIF(O11:O113, "&gt; 0", $H11:$H113) &gt; 0, SUMIF(O11:O113, "&gt; 0", $H11:$H113), "")</f>
        <v>136</v>
      </c>
      <c r="P117" s="61">
        <f>IF(AND(NOT(ISERROR((O116/O117)*100)), O116/O117 &lt;&gt; 0), (O116/O117)*100, "")</f>
        <v>35.294117647058826</v>
      </c>
      <c r="Q117" s="60">
        <f>IF(SUMIF(Q11:Q113, "&gt; 0", $H11:$H113) &gt; 0, SUMIF(Q11:Q113, "&gt; 0", $H11:$H113), "")</f>
        <v>17</v>
      </c>
      <c r="R117" s="61">
        <f>IF(AND(NOT(ISERROR((Q116/Q117)*100)), Q116/Q117 &lt;&gt; 0), (Q116/Q117)*100, "")</f>
        <v>35.294117647058826</v>
      </c>
      <c r="S117" s="60">
        <f>IF(SUMIF(S11:S113, "&gt; 0", $H11:$H113) &gt; 0, SUMIF(S11:S113, "&gt; 0", $H11:$H113), "")</f>
        <v>8</v>
      </c>
      <c r="T117" s="61">
        <f>IF(AND(NOT(ISERROR((S116/S117)*100)), S116/S117 &lt;&gt; 0), (S116/S117)*100, "")</f>
        <v>25</v>
      </c>
      <c r="U117" s="60">
        <f>IF(SUMIF(U11:U113, "&gt; 0", $H11:$H113) &gt; 0, SUMIF(U11:U113, "&gt; 0", $H11:$H113), "")</f>
        <v>290</v>
      </c>
      <c r="V117" s="61">
        <f>IF(AND(NOT(ISERROR((U116/U117)*100)), U116/U117 &lt;&gt; 0), (U116/U117)*100, "")</f>
        <v>15.517241379310345</v>
      </c>
      <c r="W117" s="60">
        <f>IF(SUMIF(W11:W113, "&gt; 0", $H11:$H113) &gt; 0, SUMIF(W11:W113, "&gt; 0", $H11:$H113), "")</f>
        <v>59</v>
      </c>
      <c r="X117" s="61">
        <f>IF(AND(NOT(ISERROR((W116/W117)*100)), W116/W117 &lt;&gt; 0), (W116/W117)*100, "")</f>
        <v>13.559322033898304</v>
      </c>
      <c r="Y117" s="60">
        <f>IF(SUMIF(Y11:Y113, "&gt; 0", $H11:$H113) &gt; 0, SUMIF(Y11:Y113, "&gt; 0", $H11:$H113), "")</f>
        <v>8</v>
      </c>
      <c r="Z117" s="61">
        <f>IF(AND(NOT(ISERROR((Y116/Y117)*100)), Y116/Y117 &lt;&gt; 0), (Y116/Y117)*100, "")</f>
        <v>12.5</v>
      </c>
      <c r="AA117" s="60">
        <f>IF(SUMIF(AA11:AA113, "&gt; 0", $H11:$H113) &gt; 0, SUMIF(AA11:AA113, "&gt; 0", $H11:$H113), "")</f>
        <v>8</v>
      </c>
      <c r="AB117" s="61">
        <f>IF(AND(NOT(ISERROR((AA116/AA117)*100)), AA116/AA117 &lt;&gt; 0), (AA116/AA117)*100, "")</f>
        <v>12.5</v>
      </c>
      <c r="AC117" s="60">
        <f>IF(SUMIF(AC11:AC113, "&gt; 0", $H11:$H113) &gt; 0, SUMIF(AC11:AC113, "&gt; 0", $H11:$H113), "")</f>
        <v>8</v>
      </c>
      <c r="AD117" s="61">
        <f>IF(AND(NOT(ISERROR((AC116/AC117)*100)), AC116/AC117 &lt;&gt; 0), (AC116/AC117)*100, "")</f>
        <v>12.5</v>
      </c>
      <c r="AE117" s="60">
        <f>IF(SUMIF(AE11:AE113, "&gt; 0", $H11:$H113) &gt; 0, SUMIF(AE11:AE113, "&gt; 0", $H11:$H113), "")</f>
        <v>22</v>
      </c>
      <c r="AF117" s="61">
        <f>IF(AND(NOT(ISERROR((AE116/AE117)*100)), AE116/AE117 &lt;&gt; 0), (AE116/AE117)*100, "")</f>
        <v>9.0909090909090917</v>
      </c>
      <c r="AG117" s="60">
        <f>IF(SUMIF(AG11:AG113, "&gt; 0", $H11:$H113) &gt; 0, SUMIF(AG11:AG113, "&gt; 0", $H11:$H113), "")</f>
        <v>576</v>
      </c>
      <c r="AH117" s="61">
        <f>IF(AND(NOT(ISERROR((AG116/AG117)*100)), AG116/AG117 &lt;&gt; 0), (AG116/AG117)*100, "")</f>
        <v>7.8125</v>
      </c>
      <c r="AI117" s="60">
        <f>IF(SUMIF(AI11:AI113, "&gt; 0", $H11:$H113) &gt; 0, SUMIF(AI11:AI113, "&gt; 0", $H11:$H113), "")</f>
        <v>61</v>
      </c>
      <c r="AJ117" s="61">
        <f>IF(AND(NOT(ISERROR((AI116/AI117)*100)), AI116/AI117 &lt;&gt; 0), (AI116/AI117)*100, "")</f>
        <v>6.557377049180328</v>
      </c>
      <c r="AK117" s="60">
        <f>IF(SUMIF(AK11:AK113, "&gt; 0", $H11:$H113) &gt; 0, SUMIF(AK11:AK113, "&gt; 0", $H11:$H113), "")</f>
        <v>461</v>
      </c>
      <c r="AL117" s="61">
        <f>IF(AND(NOT(ISERROR((AK116/AK117)*100)), AK116/AK117 &lt;&gt; 0), (AK116/AK117)*100, "")</f>
        <v>6.2906724511930596</v>
      </c>
      <c r="AM117" s="60">
        <f>IF(SUMIF(AM11:AM113, "&gt; 0", $H11:$H113) &gt; 0, SUMIF(AM11:AM113, "&gt; 0", $H11:$H113), "")</f>
        <v>97</v>
      </c>
      <c r="AN117" s="61">
        <f>IF(AND(NOT(ISERROR((AM116/AM117)*100)), AM116/AM117 &lt;&gt; 0), (AM116/AM117)*100, "")</f>
        <v>6.1855670103092786</v>
      </c>
      <c r="AO117" s="60">
        <f>IF(SUMIF(AO11:AO113, "&gt; 0", $H11:$H113) &gt; 0, SUMIF(AO11:AO113, "&gt; 0", $H11:$H113), "")</f>
        <v>1007</v>
      </c>
      <c r="AP117" s="61">
        <f>IF(AND(NOT(ISERROR((AO116/AO117)*100)), AO116/AO117 &lt;&gt; 0), (AO116/AO117)*100, "")</f>
        <v>5.7596822244289969</v>
      </c>
      <c r="AQ117" s="60">
        <f>IF(SUMIF(AQ11:AQ113, "&gt; 0", $H11:$H113) &gt; 0, SUMIF(AQ11:AQ113, "&gt; 0", $H11:$H113), "")</f>
        <v>45</v>
      </c>
      <c r="AR117" s="61">
        <f>IF(AND(NOT(ISERROR((AQ116/AQ117)*100)), AQ116/AQ117 &lt;&gt; 0), (AQ116/AQ117)*100, "")</f>
        <v>4.4444444444444446</v>
      </c>
      <c r="AS117" s="60">
        <f>IF(SUMIF(AS11:AS113, "&gt; 0", $H11:$H113) &gt; 0, SUMIF(AS11:AS113, "&gt; 0", $H11:$H113), "")</f>
        <v>143</v>
      </c>
      <c r="AT117" s="61">
        <f>IF(AND(NOT(ISERROR((AS116/AS117)*100)), AS116/AS117 &lt;&gt; 0), (AS116/AS117)*100, "")</f>
        <v>4.1958041958041958</v>
      </c>
      <c r="AU117" s="60">
        <f>IF(SUMIF(AU11:AU113, "&gt; 0", $H11:$H113) &gt; 0, SUMIF(AU11:AU113, "&gt; 0", $H11:$H113), "")</f>
        <v>97</v>
      </c>
      <c r="AV117" s="61">
        <f>IF(AND(NOT(ISERROR((AU116/AU117)*100)), AU116/AU117 &lt;&gt; 0), (AU116/AU117)*100, "")</f>
        <v>1.0309278350515463</v>
      </c>
      <c r="AW117" s="60">
        <f>IF(SUMIF(AW11:AW113, "&gt; 0", $H11:$H113) &gt; 0, SUMIF(AW11:AW113, "&gt; 0", $H11:$H113), "")</f>
        <v>97</v>
      </c>
      <c r="AX117" s="61">
        <f>IF(AND(NOT(ISERROR((AW116/AW117)*100)), AW116/AW117 &lt;&gt; 0), (AW116/AW117)*100, "")</f>
        <v>1.0309278350515463</v>
      </c>
      <c r="AY117" s="60" t="str">
        <f>IF(SUMIF(AY11:AY113, "&gt; 0", $H11:$H113) &gt; 0, SUMIF(AY11:AY113, "&gt; 0", $H11:$H113), "")</f>
        <v/>
      </c>
      <c r="AZ117" s="61"/>
    </row>
    <row r="118" spans="1:53" ht="18" customHeight="1" thickBot="1" x14ac:dyDescent="0.25">
      <c r="H118" s="180" t="s">
        <v>278</v>
      </c>
      <c r="I118" s="183"/>
      <c r="J118" s="184"/>
      <c r="K118" s="159" t="s">
        <v>276</v>
      </c>
      <c r="L118" s="161" t="s">
        <v>277</v>
      </c>
      <c r="M118" s="159" t="s">
        <v>276</v>
      </c>
      <c r="N118" s="161" t="s">
        <v>277</v>
      </c>
      <c r="O118" s="159" t="s">
        <v>276</v>
      </c>
      <c r="P118" s="161" t="s">
        <v>277</v>
      </c>
      <c r="Q118" s="159" t="s">
        <v>276</v>
      </c>
      <c r="R118" s="161" t="s">
        <v>277</v>
      </c>
      <c r="S118" s="159" t="s">
        <v>276</v>
      </c>
      <c r="T118" s="161" t="s">
        <v>277</v>
      </c>
      <c r="U118" s="159" t="s">
        <v>276</v>
      </c>
      <c r="V118" s="161" t="s">
        <v>277</v>
      </c>
      <c r="W118" s="159" t="s">
        <v>276</v>
      </c>
      <c r="X118" s="161" t="s">
        <v>277</v>
      </c>
      <c r="Y118" s="159" t="s">
        <v>276</v>
      </c>
      <c r="Z118" s="161" t="s">
        <v>277</v>
      </c>
      <c r="AA118" s="159" t="s">
        <v>276</v>
      </c>
      <c r="AB118" s="161" t="s">
        <v>277</v>
      </c>
      <c r="AC118" s="159" t="s">
        <v>276</v>
      </c>
      <c r="AD118" s="161" t="s">
        <v>277</v>
      </c>
      <c r="AE118" s="159" t="s">
        <v>276</v>
      </c>
      <c r="AF118" s="161" t="s">
        <v>277</v>
      </c>
      <c r="AG118" s="163" t="s">
        <v>276</v>
      </c>
      <c r="AH118" s="162" t="s">
        <v>277</v>
      </c>
      <c r="AI118" s="159" t="s">
        <v>276</v>
      </c>
      <c r="AJ118" s="161" t="s">
        <v>277</v>
      </c>
      <c r="AK118" s="159" t="s">
        <v>276</v>
      </c>
      <c r="AL118" s="161" t="s">
        <v>277</v>
      </c>
      <c r="AM118" s="159" t="s">
        <v>276</v>
      </c>
      <c r="AN118" s="161" t="s">
        <v>277</v>
      </c>
      <c r="AO118" s="159" t="s">
        <v>276</v>
      </c>
      <c r="AP118" s="161" t="s">
        <v>277</v>
      </c>
      <c r="AQ118" s="159" t="s">
        <v>276</v>
      </c>
      <c r="AR118" s="161" t="s">
        <v>277</v>
      </c>
      <c r="AS118" s="159" t="s">
        <v>276</v>
      </c>
      <c r="AT118" s="161" t="s">
        <v>277</v>
      </c>
      <c r="AU118" s="159" t="s">
        <v>276</v>
      </c>
      <c r="AV118" s="161" t="s">
        <v>277</v>
      </c>
      <c r="AW118" s="159" t="s">
        <v>276</v>
      </c>
      <c r="AX118" s="161" t="s">
        <v>277</v>
      </c>
      <c r="AY118" s="159" t="s">
        <v>276</v>
      </c>
      <c r="AZ118" s="161" t="s">
        <v>277</v>
      </c>
    </row>
    <row r="119" spans="1:53" ht="18" customHeight="1" x14ac:dyDescent="0.2">
      <c r="E119" s="62" t="s">
        <v>283</v>
      </c>
      <c r="F119" s="65">
        <v>1</v>
      </c>
      <c r="H119" s="181"/>
      <c r="I119" s="185"/>
      <c r="J119" s="186"/>
      <c r="K119" s="159"/>
      <c r="L119" s="162"/>
      <c r="M119" s="159"/>
      <c r="N119" s="162"/>
      <c r="O119" s="159"/>
      <c r="P119" s="162"/>
      <c r="Q119" s="159"/>
      <c r="R119" s="162"/>
      <c r="S119" s="159"/>
      <c r="T119" s="162"/>
      <c r="U119" s="159"/>
      <c r="V119" s="162"/>
      <c r="W119" s="159"/>
      <c r="X119" s="162"/>
      <c r="Y119" s="159"/>
      <c r="Z119" s="162"/>
      <c r="AA119" s="159"/>
      <c r="AB119" s="162"/>
      <c r="AC119" s="159"/>
      <c r="AD119" s="162"/>
      <c r="AE119" s="159"/>
      <c r="AF119" s="162"/>
      <c r="AG119" s="159"/>
      <c r="AH119" s="162"/>
      <c r="AI119" s="159"/>
      <c r="AJ119" s="162"/>
      <c r="AK119" s="159"/>
      <c r="AL119" s="162"/>
      <c r="AM119" s="159"/>
      <c r="AN119" s="162"/>
      <c r="AO119" s="159"/>
      <c r="AP119" s="162"/>
      <c r="AQ119" s="159"/>
      <c r="AR119" s="162"/>
      <c r="AS119" s="159"/>
      <c r="AT119" s="162"/>
      <c r="AU119" s="159"/>
      <c r="AV119" s="162"/>
      <c r="AW119" s="159"/>
      <c r="AX119" s="162"/>
      <c r="AY119" s="159"/>
      <c r="AZ119" s="162"/>
    </row>
    <row r="120" spans="1:53" ht="18" customHeight="1" x14ac:dyDescent="0.2">
      <c r="E120" s="63"/>
      <c r="F120" s="64"/>
      <c r="H120" s="181"/>
      <c r="I120" s="185"/>
      <c r="J120" s="186"/>
      <c r="K120" s="159"/>
      <c r="L120" s="162"/>
      <c r="M120" s="159"/>
      <c r="N120" s="162"/>
      <c r="O120" s="159"/>
      <c r="P120" s="162"/>
      <c r="Q120" s="159"/>
      <c r="R120" s="162"/>
      <c r="S120" s="159"/>
      <c r="T120" s="162"/>
      <c r="U120" s="159"/>
      <c r="V120" s="162"/>
      <c r="W120" s="159"/>
      <c r="X120" s="162"/>
      <c r="Y120" s="159"/>
      <c r="Z120" s="162"/>
      <c r="AA120" s="159"/>
      <c r="AB120" s="162"/>
      <c r="AC120" s="159"/>
      <c r="AD120" s="162"/>
      <c r="AE120" s="159"/>
      <c r="AF120" s="162"/>
      <c r="AG120" s="159"/>
      <c r="AH120" s="162"/>
      <c r="AI120" s="159"/>
      <c r="AJ120" s="162"/>
      <c r="AK120" s="159"/>
      <c r="AL120" s="162"/>
      <c r="AM120" s="159"/>
      <c r="AN120" s="162"/>
      <c r="AO120" s="159"/>
      <c r="AP120" s="162"/>
      <c r="AQ120" s="159"/>
      <c r="AR120" s="162"/>
      <c r="AS120" s="159"/>
      <c r="AT120" s="162"/>
      <c r="AU120" s="159"/>
      <c r="AV120" s="162"/>
      <c r="AW120" s="159"/>
      <c r="AX120" s="162"/>
      <c r="AY120" s="159"/>
      <c r="AZ120" s="162"/>
    </row>
    <row r="121" spans="1:53" ht="18" customHeight="1" x14ac:dyDescent="0.2">
      <c r="E121" s="194" t="s">
        <v>284</v>
      </c>
      <c r="F121" s="195"/>
      <c r="H121" s="181"/>
      <c r="I121" s="185"/>
      <c r="J121" s="186"/>
      <c r="K121" s="159"/>
      <c r="L121" s="162"/>
      <c r="M121" s="159"/>
      <c r="N121" s="162"/>
      <c r="O121" s="159"/>
      <c r="P121" s="162"/>
      <c r="Q121" s="159"/>
      <c r="R121" s="162"/>
      <c r="S121" s="159"/>
      <c r="T121" s="162"/>
      <c r="U121" s="159"/>
      <c r="V121" s="162"/>
      <c r="W121" s="159"/>
      <c r="X121" s="162"/>
      <c r="Y121" s="159"/>
      <c r="Z121" s="162"/>
      <c r="AA121" s="159"/>
      <c r="AB121" s="162"/>
      <c r="AC121" s="159"/>
      <c r="AD121" s="162"/>
      <c r="AE121" s="159"/>
      <c r="AF121" s="162"/>
      <c r="AG121" s="159"/>
      <c r="AH121" s="162"/>
      <c r="AI121" s="159"/>
      <c r="AJ121" s="162"/>
      <c r="AK121" s="159"/>
      <c r="AL121" s="162"/>
      <c r="AM121" s="159"/>
      <c r="AN121" s="162"/>
      <c r="AO121" s="159"/>
      <c r="AP121" s="162"/>
      <c r="AQ121" s="159"/>
      <c r="AR121" s="162"/>
      <c r="AS121" s="159"/>
      <c r="AT121" s="162"/>
      <c r="AU121" s="159"/>
      <c r="AV121" s="162"/>
      <c r="AW121" s="159"/>
      <c r="AX121" s="162"/>
      <c r="AY121" s="159"/>
      <c r="AZ121" s="162"/>
    </row>
    <row r="122" spans="1:53" ht="18" customHeight="1" x14ac:dyDescent="0.2">
      <c r="E122" s="194"/>
      <c r="F122" s="195"/>
      <c r="H122" s="181"/>
      <c r="I122" s="185"/>
      <c r="J122" s="186"/>
      <c r="K122" s="160"/>
      <c r="L122" s="162"/>
      <c r="M122" s="160"/>
      <c r="N122" s="162"/>
      <c r="O122" s="160"/>
      <c r="P122" s="162"/>
      <c r="Q122" s="160"/>
      <c r="R122" s="162"/>
      <c r="S122" s="160"/>
      <c r="T122" s="162"/>
      <c r="U122" s="160"/>
      <c r="V122" s="162"/>
      <c r="W122" s="160"/>
      <c r="X122" s="162"/>
      <c r="Y122" s="160"/>
      <c r="Z122" s="162"/>
      <c r="AA122" s="160"/>
      <c r="AB122" s="162"/>
      <c r="AC122" s="160"/>
      <c r="AD122" s="162"/>
      <c r="AE122" s="160"/>
      <c r="AF122" s="162"/>
      <c r="AG122" s="160"/>
      <c r="AH122" s="162"/>
      <c r="AI122" s="160"/>
      <c r="AJ122" s="162"/>
      <c r="AK122" s="160"/>
      <c r="AL122" s="162"/>
      <c r="AM122" s="160"/>
      <c r="AN122" s="162"/>
      <c r="AO122" s="160"/>
      <c r="AP122" s="162"/>
      <c r="AQ122" s="160"/>
      <c r="AR122" s="162"/>
      <c r="AS122" s="160"/>
      <c r="AT122" s="162"/>
      <c r="AU122" s="160"/>
      <c r="AV122" s="162"/>
      <c r="AW122" s="160"/>
      <c r="AX122" s="162"/>
      <c r="AY122" s="160"/>
      <c r="AZ122" s="162"/>
    </row>
    <row r="123" spans="1:53" ht="18" customHeight="1" x14ac:dyDescent="0.2">
      <c r="E123" s="194"/>
      <c r="F123" s="195"/>
      <c r="H123" s="181"/>
      <c r="I123" s="185"/>
      <c r="J123" s="186"/>
      <c r="K123" s="189" t="s">
        <v>186</v>
      </c>
      <c r="L123" s="190"/>
      <c r="M123" s="193" t="s">
        <v>273</v>
      </c>
      <c r="N123" s="190"/>
      <c r="O123" s="189" t="s">
        <v>169</v>
      </c>
      <c r="P123" s="190"/>
      <c r="Q123" s="193" t="s">
        <v>275</v>
      </c>
      <c r="R123" s="190"/>
      <c r="S123" s="189" t="s">
        <v>184</v>
      </c>
      <c r="T123" s="190"/>
      <c r="U123" s="209" t="s">
        <v>230</v>
      </c>
      <c r="V123" s="190"/>
      <c r="W123" s="189" t="s">
        <v>164</v>
      </c>
      <c r="X123" s="190"/>
      <c r="Y123" s="189" t="s">
        <v>183</v>
      </c>
      <c r="Z123" s="190"/>
      <c r="AA123" s="189" t="s">
        <v>187</v>
      </c>
      <c r="AB123" s="190"/>
      <c r="AC123" s="189" t="s">
        <v>165</v>
      </c>
      <c r="AD123" s="190"/>
      <c r="AE123" s="193" t="s">
        <v>274</v>
      </c>
      <c r="AF123" s="190"/>
      <c r="AG123" s="189" t="s">
        <v>161</v>
      </c>
      <c r="AH123" s="190"/>
      <c r="AI123" s="189" t="s">
        <v>168</v>
      </c>
      <c r="AJ123" s="190"/>
      <c r="AK123" s="189" t="s">
        <v>162</v>
      </c>
      <c r="AL123" s="190"/>
      <c r="AM123" s="189" t="s">
        <v>229</v>
      </c>
      <c r="AN123" s="190"/>
      <c r="AO123" s="209" t="s">
        <v>420</v>
      </c>
      <c r="AP123" s="190"/>
      <c r="AQ123" s="193" t="s">
        <v>272</v>
      </c>
      <c r="AR123" s="190"/>
      <c r="AS123" s="189" t="s">
        <v>163</v>
      </c>
      <c r="AT123" s="190"/>
      <c r="AU123" s="189" t="s">
        <v>228</v>
      </c>
      <c r="AV123" s="190"/>
      <c r="AW123" s="189" t="s">
        <v>227</v>
      </c>
      <c r="AX123" s="190"/>
      <c r="AY123" s="189" t="s">
        <v>223</v>
      </c>
      <c r="AZ123" s="190"/>
    </row>
    <row r="124" spans="1:53" ht="18" customHeight="1" x14ac:dyDescent="0.2">
      <c r="E124" s="194"/>
      <c r="F124" s="195"/>
      <c r="H124" s="181"/>
      <c r="I124" s="185"/>
      <c r="J124" s="186"/>
      <c r="K124" s="166"/>
      <c r="L124" s="167"/>
      <c r="M124" s="166"/>
      <c r="N124" s="167"/>
      <c r="O124" s="166"/>
      <c r="P124" s="167"/>
      <c r="Q124" s="166"/>
      <c r="R124" s="167"/>
      <c r="S124" s="166"/>
      <c r="T124" s="167"/>
      <c r="U124" s="210"/>
      <c r="V124" s="167"/>
      <c r="W124" s="166"/>
      <c r="X124" s="167"/>
      <c r="Y124" s="166"/>
      <c r="Z124" s="167"/>
      <c r="AA124" s="166"/>
      <c r="AB124" s="167"/>
      <c r="AC124" s="166"/>
      <c r="AD124" s="167"/>
      <c r="AE124" s="166"/>
      <c r="AF124" s="167"/>
      <c r="AG124" s="166"/>
      <c r="AH124" s="167"/>
      <c r="AI124" s="166"/>
      <c r="AJ124" s="167"/>
      <c r="AK124" s="166"/>
      <c r="AL124" s="167"/>
      <c r="AM124" s="166"/>
      <c r="AN124" s="167"/>
      <c r="AO124" s="210"/>
      <c r="AP124" s="167"/>
      <c r="AQ124" s="166"/>
      <c r="AR124" s="167"/>
      <c r="AS124" s="166"/>
      <c r="AT124" s="167"/>
      <c r="AU124" s="166"/>
      <c r="AV124" s="167"/>
      <c r="AW124" s="166"/>
      <c r="AX124" s="167"/>
      <c r="AY124" s="166"/>
      <c r="AZ124" s="167"/>
    </row>
    <row r="125" spans="1:53" ht="18" customHeight="1" thickBot="1" x14ac:dyDescent="0.25">
      <c r="E125" s="194"/>
      <c r="F125" s="195"/>
      <c r="H125" s="181"/>
      <c r="I125" s="185"/>
      <c r="J125" s="186"/>
      <c r="K125" s="191"/>
      <c r="L125" s="192"/>
      <c r="M125" s="191"/>
      <c r="N125" s="192"/>
      <c r="O125" s="191"/>
      <c r="P125" s="192"/>
      <c r="Q125" s="191"/>
      <c r="R125" s="192"/>
      <c r="S125" s="191"/>
      <c r="T125" s="192"/>
      <c r="U125" s="211"/>
      <c r="V125" s="192"/>
      <c r="W125" s="191"/>
      <c r="X125" s="192"/>
      <c r="Y125" s="191"/>
      <c r="Z125" s="192"/>
      <c r="AA125" s="191"/>
      <c r="AB125" s="192"/>
      <c r="AC125" s="191"/>
      <c r="AD125" s="192"/>
      <c r="AE125" s="191"/>
      <c r="AF125" s="192"/>
      <c r="AG125" s="191"/>
      <c r="AH125" s="192"/>
      <c r="AI125" s="191"/>
      <c r="AJ125" s="192"/>
      <c r="AK125" s="191"/>
      <c r="AL125" s="192"/>
      <c r="AM125" s="191"/>
      <c r="AN125" s="192"/>
      <c r="AO125" s="211"/>
      <c r="AP125" s="192"/>
      <c r="AQ125" s="191"/>
      <c r="AR125" s="192"/>
      <c r="AS125" s="191"/>
      <c r="AT125" s="192"/>
      <c r="AU125" s="191"/>
      <c r="AV125" s="192"/>
      <c r="AW125" s="191"/>
      <c r="AX125" s="192"/>
      <c r="AY125" s="191"/>
      <c r="AZ125" s="192"/>
    </row>
    <row r="126" spans="1:53" ht="20" customHeight="1" thickBot="1" x14ac:dyDescent="0.3">
      <c r="E126" s="196"/>
      <c r="F126" s="197"/>
      <c r="H126" s="182"/>
      <c r="I126" s="187"/>
      <c r="J126" s="188"/>
      <c r="K126" s="201" t="s">
        <v>167</v>
      </c>
      <c r="L126" s="202"/>
      <c r="M126" s="202"/>
      <c r="N126" s="202"/>
      <c r="O126" s="202"/>
      <c r="P126" s="202"/>
      <c r="Q126" s="202"/>
      <c r="R126" s="202"/>
      <c r="S126" s="202"/>
      <c r="T126" s="202"/>
      <c r="U126" s="202"/>
      <c r="V126" s="202"/>
      <c r="W126" s="202"/>
      <c r="X126" s="202"/>
      <c r="Y126" s="202"/>
      <c r="Z126" s="202"/>
      <c r="AA126" s="202"/>
      <c r="AB126" s="202"/>
      <c r="AC126" s="202"/>
      <c r="AD126" s="202"/>
      <c r="AE126" s="202"/>
      <c r="AF126" s="202"/>
      <c r="AG126" s="202"/>
      <c r="AH126" s="202"/>
      <c r="AI126" s="202"/>
      <c r="AJ126" s="202"/>
      <c r="AK126" s="202"/>
      <c r="AL126" s="202"/>
      <c r="AM126" s="202"/>
      <c r="AN126" s="202"/>
      <c r="AO126" s="202"/>
      <c r="AP126" s="202"/>
      <c r="AQ126" s="202"/>
      <c r="AR126" s="202"/>
      <c r="AS126" s="202"/>
      <c r="AT126" s="202"/>
      <c r="AU126" s="202"/>
      <c r="AV126" s="202"/>
      <c r="AW126" s="202"/>
      <c r="AX126" s="202"/>
      <c r="AY126" s="202"/>
      <c r="AZ126" s="203"/>
    </row>
  </sheetData>
  <mergeCells count="139">
    <mergeCell ref="K2:AZ2"/>
    <mergeCell ref="D3:D4"/>
    <mergeCell ref="AG3:AH5"/>
    <mergeCell ref="AM3:AN5"/>
    <mergeCell ref="AS3:AT5"/>
    <mergeCell ref="AK3:AL5"/>
    <mergeCell ref="AY3:AZ5"/>
    <mergeCell ref="O3:P5"/>
    <mergeCell ref="M3:N5"/>
    <mergeCell ref="K3:L5"/>
    <mergeCell ref="AY6:AY10"/>
    <mergeCell ref="AZ6:AZ10"/>
    <mergeCell ref="AO3:AP5"/>
    <mergeCell ref="D5:D7"/>
    <mergeCell ref="G6:G10"/>
    <mergeCell ref="H6:H10"/>
    <mergeCell ref="I6:I10"/>
    <mergeCell ref="J6:J10"/>
    <mergeCell ref="AG6:AG10"/>
    <mergeCell ref="AH6:AH10"/>
    <mergeCell ref="AM6:AM10"/>
    <mergeCell ref="AN6:AN10"/>
    <mergeCell ref="AQ3:AR5"/>
    <mergeCell ref="AA3:AB5"/>
    <mergeCell ref="S3:T5"/>
    <mergeCell ref="W3:X5"/>
    <mergeCell ref="AC3:AD5"/>
    <mergeCell ref="U3:V5"/>
    <mergeCell ref="AE3:AF5"/>
    <mergeCell ref="AU3:AV5"/>
    <mergeCell ref="Q3:R5"/>
    <mergeCell ref="Y3:Z5"/>
    <mergeCell ref="AW3:AX5"/>
    <mergeCell ref="AI3:AJ5"/>
    <mergeCell ref="Q6:Q10"/>
    <mergeCell ref="R6:R10"/>
    <mergeCell ref="O6:O10"/>
    <mergeCell ref="P6:P10"/>
    <mergeCell ref="M6:M10"/>
    <mergeCell ref="N6:N10"/>
    <mergeCell ref="K6:K10"/>
    <mergeCell ref="L6:L10"/>
    <mergeCell ref="AS6:AS10"/>
    <mergeCell ref="AK6:AK10"/>
    <mergeCell ref="AL6:AL10"/>
    <mergeCell ref="Y6:Y10"/>
    <mergeCell ref="Z6:Z10"/>
    <mergeCell ref="AW6:AW10"/>
    <mergeCell ref="AX6:AX10"/>
    <mergeCell ref="AI6:AI10"/>
    <mergeCell ref="AJ6:AJ10"/>
    <mergeCell ref="AE6:AE10"/>
    <mergeCell ref="AF6:AF10"/>
    <mergeCell ref="AU6:AU10"/>
    <mergeCell ref="AV6:AV10"/>
    <mergeCell ref="AT6:AT10"/>
    <mergeCell ref="AY118:AY122"/>
    <mergeCell ref="AZ118:AZ122"/>
    <mergeCell ref="AO6:AO10"/>
    <mergeCell ref="AP6:AP10"/>
    <mergeCell ref="A7:A10"/>
    <mergeCell ref="B7:B10"/>
    <mergeCell ref="H118:H126"/>
    <mergeCell ref="I118:J126"/>
    <mergeCell ref="AG118:AG122"/>
    <mergeCell ref="AH118:AH122"/>
    <mergeCell ref="AM118:AM122"/>
    <mergeCell ref="AN118:AN122"/>
    <mergeCell ref="W6:W10"/>
    <mergeCell ref="X6:X10"/>
    <mergeCell ref="AC6:AC10"/>
    <mergeCell ref="AD6:AD10"/>
    <mergeCell ref="U6:U10"/>
    <mergeCell ref="V6:V10"/>
    <mergeCell ref="AQ6:AQ10"/>
    <mergeCell ref="AR6:AR10"/>
    <mergeCell ref="AA6:AA10"/>
    <mergeCell ref="AB6:AB10"/>
    <mergeCell ref="S6:S10"/>
    <mergeCell ref="T6:T10"/>
    <mergeCell ref="O118:O122"/>
    <mergeCell ref="P118:P122"/>
    <mergeCell ref="M118:M122"/>
    <mergeCell ref="N118:N122"/>
    <mergeCell ref="K118:K122"/>
    <mergeCell ref="L118:L122"/>
    <mergeCell ref="AS118:AS122"/>
    <mergeCell ref="AT118:AT122"/>
    <mergeCell ref="AK118:AK122"/>
    <mergeCell ref="AL118:AL122"/>
    <mergeCell ref="AW118:AW122"/>
    <mergeCell ref="AX118:AX122"/>
    <mergeCell ref="AI118:AI122"/>
    <mergeCell ref="AJ118:AJ122"/>
    <mergeCell ref="AE118:AE122"/>
    <mergeCell ref="AF118:AF122"/>
    <mergeCell ref="AU118:AU122"/>
    <mergeCell ref="AV118:AV122"/>
    <mergeCell ref="Q118:Q122"/>
    <mergeCell ref="R118:R122"/>
    <mergeCell ref="AO118:AO122"/>
    <mergeCell ref="AP118:AP122"/>
    <mergeCell ref="E121:F126"/>
    <mergeCell ref="AG123:AH125"/>
    <mergeCell ref="AM123:AN125"/>
    <mergeCell ref="AS123:AT125"/>
    <mergeCell ref="AK123:AL125"/>
    <mergeCell ref="AY123:AZ125"/>
    <mergeCell ref="O123:P125"/>
    <mergeCell ref="M123:N125"/>
    <mergeCell ref="W118:W122"/>
    <mergeCell ref="X118:X122"/>
    <mergeCell ref="AC118:AC122"/>
    <mergeCell ref="AD118:AD122"/>
    <mergeCell ref="U118:U122"/>
    <mergeCell ref="V118:V122"/>
    <mergeCell ref="AQ118:AQ122"/>
    <mergeCell ref="AR118:AR122"/>
    <mergeCell ref="AA118:AA122"/>
    <mergeCell ref="AB118:AB122"/>
    <mergeCell ref="S118:S122"/>
    <mergeCell ref="T118:T122"/>
    <mergeCell ref="Y118:Y122"/>
    <mergeCell ref="Z118:Z122"/>
    <mergeCell ref="U123:V125"/>
    <mergeCell ref="AO123:AP125"/>
    <mergeCell ref="K126:AZ126"/>
    <mergeCell ref="AI123:AJ125"/>
    <mergeCell ref="AQ123:AR125"/>
    <mergeCell ref="AA123:AB125"/>
    <mergeCell ref="S123:T125"/>
    <mergeCell ref="W123:X125"/>
    <mergeCell ref="AC123:AD125"/>
    <mergeCell ref="K123:L125"/>
    <mergeCell ref="AE123:AF125"/>
    <mergeCell ref="AU123:AV125"/>
    <mergeCell ref="Q123:R125"/>
    <mergeCell ref="Y123:Z125"/>
    <mergeCell ref="AW123:AX1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18"/>
  <sheetViews>
    <sheetView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6.83203125" style="24" customWidth="1"/>
    <col min="54" max="16384" width="10.83203125" style="24"/>
  </cols>
  <sheetData>
    <row r="1" spans="1:53" ht="17" thickBot="1" x14ac:dyDescent="0.25"/>
    <row r="2" spans="1:53" ht="20" thickBot="1" x14ac:dyDescent="0.3">
      <c r="K2" s="198" t="s">
        <v>441</v>
      </c>
      <c r="L2" s="199"/>
      <c r="M2" s="199"/>
      <c r="N2" s="199"/>
      <c r="O2" s="199"/>
      <c r="P2" s="199"/>
      <c r="Q2" s="199"/>
      <c r="R2" s="199"/>
      <c r="S2" s="199"/>
      <c r="T2" s="199"/>
      <c r="U2" s="199"/>
      <c r="V2" s="199"/>
      <c r="W2" s="199"/>
      <c r="X2" s="199"/>
      <c r="Y2" s="199"/>
      <c r="Z2" s="199"/>
      <c r="AA2" s="199"/>
      <c r="AB2" s="199"/>
      <c r="AC2" s="199"/>
      <c r="AD2" s="200"/>
      <c r="AE2" s="24"/>
      <c r="AF2" s="24"/>
      <c r="AG2" s="24"/>
      <c r="AH2" s="24"/>
      <c r="AI2" s="24"/>
      <c r="AJ2" s="24"/>
      <c r="AK2" s="24"/>
      <c r="AL2" s="24"/>
      <c r="AM2" s="24"/>
      <c r="AN2" s="24"/>
      <c r="AO2" s="24"/>
      <c r="AP2" s="24"/>
      <c r="AQ2" s="24"/>
      <c r="AR2" s="24"/>
      <c r="AS2" s="24"/>
      <c r="AT2" s="24"/>
      <c r="AU2" s="24"/>
      <c r="AV2" s="24"/>
      <c r="AW2" s="24"/>
      <c r="AX2" s="24"/>
      <c r="AY2" s="24"/>
      <c r="AZ2" s="24"/>
    </row>
    <row r="3" spans="1:53" ht="16" customHeight="1" x14ac:dyDescent="0.2">
      <c r="D3" s="142" t="s">
        <v>442</v>
      </c>
      <c r="K3" s="164" t="s">
        <v>186</v>
      </c>
      <c r="L3" s="165"/>
      <c r="M3" s="170" t="s">
        <v>273</v>
      </c>
      <c r="N3" s="165"/>
      <c r="O3" s="164" t="s">
        <v>169</v>
      </c>
      <c r="P3" s="165"/>
      <c r="Q3" s="170" t="s">
        <v>275</v>
      </c>
      <c r="R3" s="165"/>
      <c r="S3" s="164" t="s">
        <v>184</v>
      </c>
      <c r="T3" s="165"/>
      <c r="U3" s="212" t="s">
        <v>230</v>
      </c>
      <c r="V3" s="165"/>
      <c r="W3" s="164" t="s">
        <v>164</v>
      </c>
      <c r="X3" s="165"/>
      <c r="Y3" s="164" t="s">
        <v>183</v>
      </c>
      <c r="Z3" s="165"/>
      <c r="AA3" s="164" t="s">
        <v>187</v>
      </c>
      <c r="AB3" s="165"/>
      <c r="AC3" s="164" t="s">
        <v>165</v>
      </c>
      <c r="AD3" s="165"/>
      <c r="AE3" s="24"/>
      <c r="AF3" s="24"/>
      <c r="AG3" s="24"/>
      <c r="AH3" s="24"/>
      <c r="AI3" s="24"/>
      <c r="AJ3" s="24"/>
      <c r="AK3" s="24"/>
      <c r="AL3" s="24"/>
      <c r="AM3" s="24"/>
      <c r="AN3" s="24"/>
      <c r="AO3" s="24"/>
      <c r="AP3" s="24"/>
      <c r="AQ3" s="24"/>
      <c r="AR3" s="24"/>
      <c r="AS3" s="24"/>
      <c r="AT3" s="24"/>
      <c r="AU3" s="24"/>
      <c r="AV3" s="24"/>
      <c r="AW3" s="24"/>
      <c r="AX3" s="24"/>
      <c r="AY3" s="24"/>
      <c r="AZ3" s="24"/>
    </row>
    <row r="4" spans="1:53" ht="20" customHeight="1" x14ac:dyDescent="0.2">
      <c r="B4" s="97"/>
      <c r="D4" s="143"/>
      <c r="K4" s="166"/>
      <c r="L4" s="167"/>
      <c r="M4" s="166"/>
      <c r="N4" s="167"/>
      <c r="O4" s="166"/>
      <c r="P4" s="167"/>
      <c r="Q4" s="166"/>
      <c r="R4" s="167"/>
      <c r="S4" s="166"/>
      <c r="T4" s="167"/>
      <c r="U4" s="210"/>
      <c r="V4" s="167"/>
      <c r="W4" s="166"/>
      <c r="X4" s="167"/>
      <c r="Y4" s="166"/>
      <c r="Z4" s="167"/>
      <c r="AA4" s="166"/>
      <c r="AB4" s="167"/>
      <c r="AC4" s="166"/>
      <c r="AD4" s="167"/>
      <c r="AE4" s="24"/>
      <c r="AF4" s="24"/>
      <c r="AG4" s="24"/>
      <c r="AH4" s="24"/>
      <c r="AI4" s="24"/>
      <c r="AJ4" s="24"/>
      <c r="AK4" s="24"/>
      <c r="AL4" s="24"/>
      <c r="AM4" s="24"/>
      <c r="AN4" s="24"/>
      <c r="AO4" s="24"/>
      <c r="AP4" s="24"/>
      <c r="AQ4" s="24"/>
      <c r="AR4" s="24"/>
      <c r="AS4" s="24"/>
      <c r="AT4" s="24"/>
      <c r="AU4" s="24"/>
      <c r="AV4" s="24"/>
      <c r="AW4" s="24"/>
      <c r="AX4" s="24"/>
      <c r="AY4" s="24"/>
      <c r="AZ4" s="24"/>
    </row>
    <row r="5" spans="1:53" ht="20" customHeight="1" x14ac:dyDescent="0.2">
      <c r="A5" s="68"/>
      <c r="B5" s="96"/>
      <c r="D5" s="140" t="s">
        <v>282</v>
      </c>
      <c r="I5" s="25"/>
      <c r="J5" s="25"/>
      <c r="K5" s="168"/>
      <c r="L5" s="169"/>
      <c r="M5" s="168"/>
      <c r="N5" s="169"/>
      <c r="O5" s="168"/>
      <c r="P5" s="169"/>
      <c r="Q5" s="168"/>
      <c r="R5" s="169"/>
      <c r="S5" s="168"/>
      <c r="T5" s="169"/>
      <c r="U5" s="213"/>
      <c r="V5" s="169"/>
      <c r="W5" s="168"/>
      <c r="X5" s="169"/>
      <c r="Y5" s="168"/>
      <c r="Z5" s="169"/>
      <c r="AA5" s="168"/>
      <c r="AB5" s="169"/>
      <c r="AC5" s="168"/>
      <c r="AD5" s="169"/>
      <c r="AE5" s="24"/>
      <c r="AF5" s="24"/>
      <c r="AG5" s="24"/>
      <c r="AH5" s="24"/>
      <c r="AI5" s="24"/>
      <c r="AJ5" s="24"/>
      <c r="AK5" s="24"/>
      <c r="AL5" s="24"/>
      <c r="AM5" s="24"/>
      <c r="AN5" s="24"/>
      <c r="AO5" s="24"/>
      <c r="AP5" s="24"/>
      <c r="AQ5" s="24"/>
      <c r="AR5" s="24"/>
      <c r="AS5" s="24"/>
      <c r="AT5" s="24"/>
      <c r="AU5" s="24"/>
      <c r="AV5" s="24"/>
      <c r="AW5" s="24"/>
      <c r="AX5" s="24"/>
      <c r="AY5" s="24"/>
      <c r="AZ5" s="24"/>
    </row>
    <row r="6" spans="1:53" ht="20" customHeight="1" x14ac:dyDescent="0.2">
      <c r="A6" s="67"/>
      <c r="B6" s="95"/>
      <c r="D6" s="140"/>
      <c r="G6" s="136" t="s">
        <v>24</v>
      </c>
      <c r="H6" s="147" t="s">
        <v>365</v>
      </c>
      <c r="I6" s="150" t="s">
        <v>363</v>
      </c>
      <c r="J6" s="153" t="s">
        <v>364</v>
      </c>
      <c r="K6" s="177" t="s">
        <v>276</v>
      </c>
      <c r="L6" s="172" t="s">
        <v>277</v>
      </c>
      <c r="M6" s="171" t="s">
        <v>276</v>
      </c>
      <c r="N6" s="172" t="s">
        <v>277</v>
      </c>
      <c r="O6" s="144" t="s">
        <v>276</v>
      </c>
      <c r="P6" s="172" t="s">
        <v>277</v>
      </c>
      <c r="Q6" s="144" t="s">
        <v>276</v>
      </c>
      <c r="R6" s="172" t="s">
        <v>277</v>
      </c>
      <c r="S6" s="144" t="s">
        <v>276</v>
      </c>
      <c r="T6" s="172" t="s">
        <v>277</v>
      </c>
      <c r="U6" s="174" t="s">
        <v>276</v>
      </c>
      <c r="V6" s="172" t="s">
        <v>277</v>
      </c>
      <c r="W6" s="144" t="s">
        <v>276</v>
      </c>
      <c r="X6" s="172" t="s">
        <v>277</v>
      </c>
      <c r="Y6" s="144" t="s">
        <v>276</v>
      </c>
      <c r="Z6" s="172" t="s">
        <v>277</v>
      </c>
      <c r="AA6" s="144" t="s">
        <v>276</v>
      </c>
      <c r="AB6" s="172" t="s">
        <v>277</v>
      </c>
      <c r="AC6" s="156" t="s">
        <v>276</v>
      </c>
      <c r="AD6" s="172" t="s">
        <v>277</v>
      </c>
      <c r="AE6" s="24"/>
      <c r="AF6" s="24"/>
      <c r="AG6" s="24"/>
      <c r="AH6" s="24"/>
      <c r="AI6" s="24"/>
      <c r="AJ6" s="24"/>
      <c r="AK6" s="24"/>
      <c r="AL6" s="24"/>
      <c r="AM6" s="24"/>
      <c r="AN6" s="24"/>
      <c r="AO6" s="24"/>
      <c r="AP6" s="24"/>
      <c r="AQ6" s="24"/>
      <c r="AR6" s="24"/>
      <c r="AS6" s="24"/>
      <c r="AT6" s="24"/>
      <c r="AU6" s="24"/>
      <c r="AV6" s="24"/>
      <c r="AW6" s="24"/>
      <c r="AX6" s="24"/>
      <c r="AY6" s="24"/>
      <c r="AZ6" s="24"/>
    </row>
    <row r="7" spans="1:53" ht="20" customHeight="1" thickBot="1" x14ac:dyDescent="0.25">
      <c r="A7" s="136" t="s">
        <v>285</v>
      </c>
      <c r="B7" s="138" t="s">
        <v>369</v>
      </c>
      <c r="D7" s="141"/>
      <c r="G7" s="136"/>
      <c r="H7" s="148"/>
      <c r="I7" s="151"/>
      <c r="J7" s="154"/>
      <c r="K7" s="178"/>
      <c r="L7" s="172"/>
      <c r="M7" s="171"/>
      <c r="N7" s="172"/>
      <c r="O7" s="144"/>
      <c r="P7" s="172"/>
      <c r="Q7" s="144"/>
      <c r="R7" s="172"/>
      <c r="S7" s="144"/>
      <c r="T7" s="172"/>
      <c r="U7" s="174"/>
      <c r="V7" s="172"/>
      <c r="W7" s="144"/>
      <c r="X7" s="172"/>
      <c r="Y7" s="144"/>
      <c r="Z7" s="172"/>
      <c r="AA7" s="144"/>
      <c r="AB7" s="172"/>
      <c r="AC7" s="157"/>
      <c r="AD7" s="172"/>
      <c r="AE7" s="24"/>
      <c r="AF7" s="24"/>
      <c r="AG7" s="24"/>
      <c r="AH7" s="24"/>
      <c r="AI7" s="24"/>
      <c r="AJ7" s="24"/>
      <c r="AK7" s="24"/>
      <c r="AL7" s="24"/>
      <c r="AM7" s="24"/>
      <c r="AN7" s="24"/>
      <c r="AO7" s="24"/>
      <c r="AP7" s="24"/>
      <c r="AQ7" s="24"/>
      <c r="AR7" s="24"/>
      <c r="AS7" s="24"/>
      <c r="AT7" s="24"/>
      <c r="AU7" s="24"/>
      <c r="AV7" s="24"/>
      <c r="AW7" s="24"/>
      <c r="AX7" s="24"/>
      <c r="AY7" s="24"/>
      <c r="AZ7" s="24"/>
    </row>
    <row r="8" spans="1:53" ht="20" customHeight="1" x14ac:dyDescent="0.2">
      <c r="A8" s="136"/>
      <c r="B8" s="138"/>
      <c r="G8" s="136"/>
      <c r="H8" s="148"/>
      <c r="I8" s="151"/>
      <c r="J8" s="154"/>
      <c r="K8" s="178"/>
      <c r="L8" s="172"/>
      <c r="M8" s="171"/>
      <c r="N8" s="172"/>
      <c r="O8" s="144"/>
      <c r="P8" s="172"/>
      <c r="Q8" s="144"/>
      <c r="R8" s="172"/>
      <c r="S8" s="144"/>
      <c r="T8" s="172"/>
      <c r="U8" s="174"/>
      <c r="V8" s="172"/>
      <c r="W8" s="144"/>
      <c r="X8" s="172"/>
      <c r="Y8" s="144"/>
      <c r="Z8" s="172"/>
      <c r="AA8" s="144"/>
      <c r="AB8" s="172"/>
      <c r="AC8" s="157"/>
      <c r="AD8" s="172"/>
      <c r="AE8" s="24"/>
      <c r="AF8" s="24"/>
      <c r="AG8" s="24"/>
      <c r="AH8" s="24"/>
      <c r="AI8" s="24"/>
      <c r="AJ8" s="24"/>
      <c r="AK8" s="24"/>
      <c r="AL8" s="24"/>
      <c r="AM8" s="24"/>
      <c r="AN8" s="24"/>
      <c r="AO8" s="24"/>
      <c r="AP8" s="24"/>
      <c r="AQ8" s="24"/>
      <c r="AR8" s="24"/>
      <c r="AS8" s="24"/>
      <c r="AT8" s="24"/>
      <c r="AU8" s="24"/>
      <c r="AV8" s="24"/>
      <c r="AW8" s="24"/>
      <c r="AX8" s="24"/>
      <c r="AY8" s="24"/>
      <c r="AZ8" s="24"/>
    </row>
    <row r="9" spans="1:53" ht="20" customHeight="1" x14ac:dyDescent="0.2">
      <c r="A9" s="136"/>
      <c r="B9" s="138"/>
      <c r="G9" s="136"/>
      <c r="H9" s="148"/>
      <c r="I9" s="151"/>
      <c r="J9" s="154"/>
      <c r="K9" s="178"/>
      <c r="L9" s="172"/>
      <c r="M9" s="171"/>
      <c r="N9" s="172"/>
      <c r="O9" s="144"/>
      <c r="P9" s="172"/>
      <c r="Q9" s="144"/>
      <c r="R9" s="172"/>
      <c r="S9" s="144"/>
      <c r="T9" s="172"/>
      <c r="U9" s="174"/>
      <c r="V9" s="172"/>
      <c r="W9" s="144"/>
      <c r="X9" s="172"/>
      <c r="Y9" s="144"/>
      <c r="Z9" s="172"/>
      <c r="AA9" s="144"/>
      <c r="AB9" s="172"/>
      <c r="AC9" s="157"/>
      <c r="AD9" s="172"/>
      <c r="AE9" s="24"/>
      <c r="AF9" s="24"/>
      <c r="AG9" s="24"/>
      <c r="AH9" s="24"/>
      <c r="AI9" s="24"/>
      <c r="AJ9" s="24"/>
      <c r="AK9" s="24"/>
      <c r="AL9" s="24"/>
      <c r="AM9" s="24"/>
      <c r="AN9" s="24"/>
      <c r="AO9" s="24"/>
      <c r="AP9" s="24"/>
      <c r="AQ9" s="24"/>
      <c r="AR9" s="24"/>
      <c r="AS9" s="24"/>
      <c r="AT9" s="24"/>
      <c r="AU9" s="24"/>
      <c r="AV9" s="24"/>
      <c r="AW9" s="24"/>
      <c r="AX9" s="24"/>
      <c r="AY9" s="24"/>
      <c r="AZ9" s="24"/>
    </row>
    <row r="10" spans="1:53" s="23" customFormat="1" ht="20" customHeight="1" thickBot="1" x14ac:dyDescent="0.25">
      <c r="A10" s="137"/>
      <c r="B10" s="139"/>
      <c r="C10" s="22" t="s">
        <v>20</v>
      </c>
      <c r="D10" s="21" t="s">
        <v>21</v>
      </c>
      <c r="E10" s="21" t="s">
        <v>22</v>
      </c>
      <c r="F10" s="22" t="s">
        <v>23</v>
      </c>
      <c r="G10" s="146"/>
      <c r="H10" s="149"/>
      <c r="I10" s="152"/>
      <c r="J10" s="155"/>
      <c r="K10" s="179"/>
      <c r="L10" s="173"/>
      <c r="M10" s="176"/>
      <c r="N10" s="173"/>
      <c r="O10" s="145"/>
      <c r="P10" s="173"/>
      <c r="Q10" s="145"/>
      <c r="R10" s="173"/>
      <c r="S10" s="145"/>
      <c r="T10" s="173"/>
      <c r="U10" s="175"/>
      <c r="V10" s="173"/>
      <c r="W10" s="145"/>
      <c r="X10" s="173"/>
      <c r="Y10" s="145"/>
      <c r="Z10" s="173"/>
      <c r="AA10" s="145"/>
      <c r="AB10" s="173"/>
      <c r="AC10" s="158"/>
      <c r="AD10" s="173"/>
      <c r="AE10" s="124" t="s">
        <v>25</v>
      </c>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row>
    <row r="11" spans="1:53" s="23" customFormat="1" ht="20" customHeight="1" x14ac:dyDescent="0.2">
      <c r="A11" s="67"/>
      <c r="B11" s="97"/>
      <c r="C11" s="70" t="s">
        <v>86</v>
      </c>
      <c r="D11" s="69" t="s">
        <v>287</v>
      </c>
      <c r="E11" s="69" t="s">
        <v>288</v>
      </c>
      <c r="F11" s="70">
        <v>2015</v>
      </c>
      <c r="G11" s="70"/>
      <c r="H11" s="71">
        <v>81</v>
      </c>
      <c r="I11" s="72" t="s">
        <v>366</v>
      </c>
      <c r="J11" s="73" t="s">
        <v>367</v>
      </c>
      <c r="K11" s="80"/>
      <c r="L11" s="89" t="str">
        <f t="shared" ref="L11:L42" si="0">IF((ISERROR((K11/$H11)*100)), "", IF(AND(NOT(ISERROR((K11/$H11)*100)),((K11/$H11)*100) &lt;&gt; 0), (K11/$H11)*100, ""))</f>
        <v/>
      </c>
      <c r="M11" s="80"/>
      <c r="N11" s="89" t="str">
        <f t="shared" ref="N11:N52" si="1">IF((ISERROR((M11/$H11)*100)), "", IF(AND(NOT(ISERROR((M11/$H11)*100)),((M11/$H11)*100) &lt;&gt; 0), (M11/$H11)*100, ""))</f>
        <v/>
      </c>
      <c r="O11" s="79"/>
      <c r="P11" s="89" t="str">
        <f t="shared" ref="P11:P60" si="2">IF((ISERROR((O11/$H11)*100)), "", IF(AND(NOT(ISERROR((O11/$H11)*100)),((O11/$H11)*100) &lt;&gt; 0), (O11/$H11)*100, ""))</f>
        <v/>
      </c>
      <c r="Q11" s="79"/>
      <c r="R11" s="89" t="str">
        <f t="shared" ref="R11:Z60" si="3">IF((ISERROR((Q11/$H11)*100)), "", IF(AND(NOT(ISERROR((Q11/$H11)*100)),((Q11/$H11)*100) &lt;&gt; 0), (Q11/$H11)*100, ""))</f>
        <v/>
      </c>
      <c r="S11" s="79"/>
      <c r="T11" s="89" t="str">
        <f t="shared" ref="T11:T52" si="4">IF((ISERROR((S11/$H11)*100)), "", IF(AND(NOT(ISERROR((S11/$H11)*100)),((S11/$H11)*100) &lt;&gt; 0), (S11/$H11)*100, ""))</f>
        <v/>
      </c>
      <c r="U11" s="81"/>
      <c r="V11" s="90" t="str">
        <f t="shared" ref="V11:V39" si="5">IF((ISERROR((U11/$H11)*100)), "", IF(AND(NOT(ISERROR((U11/$H11)*100)),((U11/$H11)*100) &lt;&gt; 0), (U11/$H11)*100, ""))</f>
        <v/>
      </c>
      <c r="W11" s="79"/>
      <c r="X11" s="89" t="str">
        <f t="shared" ref="X11:X42" si="6">IF((ISERROR((W11/$H11)*100)), "", IF(AND(NOT(ISERROR((W11/$H11)*100)),((W11/$H11)*100) &lt;&gt; 0), (W11/$H11)*100, ""))</f>
        <v/>
      </c>
      <c r="Y11" s="79"/>
      <c r="Z11" s="89" t="str">
        <f t="shared" si="3"/>
        <v/>
      </c>
      <c r="AA11" s="79"/>
      <c r="AB11" s="89" t="str">
        <f t="shared" ref="AB11:AB60" si="7">IF((ISERROR((AA11/$H11)*100)), "", IF(AND(NOT(ISERROR((AA11/$H11)*100)),((AA11/$H11)*100) &lt;&gt; 0), (AA11/$H11)*100, ""))</f>
        <v/>
      </c>
      <c r="AC11" s="79"/>
      <c r="AD11" s="89" t="str">
        <f t="shared" ref="AD11:AD60" si="8">IF((ISERROR((AC11/$H11)*100)), "", IF(AND(NOT(ISERROR((AC11/$H11)*100)),((AC11/$H11)*100) &lt;&gt; 0), (AC11/$H11)*100, ""))</f>
        <v/>
      </c>
      <c r="AE11" s="69" t="s">
        <v>368</v>
      </c>
    </row>
    <row r="12" spans="1:53" ht="20" customHeight="1" x14ac:dyDescent="0.2">
      <c r="A12" s="68"/>
      <c r="B12" s="95"/>
      <c r="C12" s="25" t="s">
        <v>86</v>
      </c>
      <c r="D12" s="24" t="s">
        <v>26</v>
      </c>
      <c r="E12" s="24" t="s">
        <v>27</v>
      </c>
      <c r="F12" s="25">
        <v>2008</v>
      </c>
      <c r="G12" s="25">
        <v>165</v>
      </c>
      <c r="H12" s="71">
        <v>107</v>
      </c>
      <c r="I12" s="72" t="s">
        <v>171</v>
      </c>
      <c r="J12" s="73"/>
      <c r="K12" s="74"/>
      <c r="L12" s="75" t="str">
        <f t="shared" si="0"/>
        <v/>
      </c>
      <c r="M12" s="74"/>
      <c r="N12" s="75" t="str">
        <f t="shared" si="1"/>
        <v/>
      </c>
      <c r="O12" s="74"/>
      <c r="P12" s="75" t="str">
        <f t="shared" si="2"/>
        <v/>
      </c>
      <c r="Q12" s="76"/>
      <c r="R12" s="77" t="str">
        <f t="shared" si="3"/>
        <v/>
      </c>
      <c r="S12" s="76"/>
      <c r="T12" s="77" t="str">
        <f t="shared" si="4"/>
        <v/>
      </c>
      <c r="U12" s="78"/>
      <c r="V12" s="43" t="str">
        <f t="shared" si="5"/>
        <v/>
      </c>
      <c r="W12" s="76"/>
      <c r="X12" s="77" t="str">
        <f t="shared" si="6"/>
        <v/>
      </c>
      <c r="Y12" s="76"/>
      <c r="Z12" s="77" t="str">
        <f t="shared" si="3"/>
        <v/>
      </c>
      <c r="AA12" s="76"/>
      <c r="AB12" s="77" t="str">
        <f t="shared" si="7"/>
        <v/>
      </c>
      <c r="AC12" s="76"/>
      <c r="AD12" s="77" t="str">
        <f t="shared" si="8"/>
        <v/>
      </c>
      <c r="AE12" s="24" t="s">
        <v>170</v>
      </c>
      <c r="AF12" s="24"/>
      <c r="AG12" s="24"/>
      <c r="AH12" s="24"/>
      <c r="AI12" s="24"/>
      <c r="AJ12" s="24"/>
      <c r="AK12" s="24"/>
      <c r="AL12" s="24"/>
      <c r="AM12" s="24"/>
      <c r="AN12" s="24"/>
      <c r="AO12" s="24"/>
      <c r="AP12" s="24"/>
      <c r="AQ12" s="24"/>
      <c r="AR12" s="24"/>
      <c r="AS12" s="24"/>
      <c r="AT12" s="24"/>
      <c r="AU12" s="24"/>
      <c r="AV12" s="24"/>
      <c r="AW12" s="24"/>
      <c r="AX12" s="24"/>
      <c r="AY12" s="24"/>
      <c r="AZ12" s="24"/>
    </row>
    <row r="13" spans="1:53" customFormat="1" ht="20" customHeight="1" x14ac:dyDescent="0.2">
      <c r="A13" s="68"/>
      <c r="B13" s="96"/>
      <c r="C13" s="25" t="s">
        <v>86</v>
      </c>
      <c r="D13" s="24" t="s">
        <v>289</v>
      </c>
      <c r="E13" s="24" t="s">
        <v>290</v>
      </c>
      <c r="F13" s="25">
        <v>2016</v>
      </c>
      <c r="H13" s="29">
        <v>12</v>
      </c>
      <c r="I13" s="28" t="s">
        <v>370</v>
      </c>
      <c r="J13" s="39"/>
      <c r="K13" s="40"/>
      <c r="L13" s="43" t="str">
        <f t="shared" si="0"/>
        <v/>
      </c>
      <c r="M13" s="40"/>
      <c r="N13" s="43" t="str">
        <f t="shared" si="1"/>
        <v/>
      </c>
      <c r="O13" s="40"/>
      <c r="P13" s="43" t="str">
        <f t="shared" si="2"/>
        <v/>
      </c>
      <c r="Q13" s="40"/>
      <c r="R13" s="43" t="str">
        <f t="shared" si="3"/>
        <v/>
      </c>
      <c r="S13" s="40"/>
      <c r="T13" s="43" t="str">
        <f t="shared" si="4"/>
        <v/>
      </c>
      <c r="U13" s="86"/>
      <c r="V13" s="43" t="str">
        <f t="shared" si="5"/>
        <v/>
      </c>
      <c r="W13" s="40"/>
      <c r="X13" s="43" t="str">
        <f t="shared" si="6"/>
        <v/>
      </c>
      <c r="Y13" s="40"/>
      <c r="Z13" s="43" t="str">
        <f t="shared" si="3"/>
        <v/>
      </c>
      <c r="AA13" s="40"/>
      <c r="AB13" s="43" t="str">
        <f t="shared" si="7"/>
        <v/>
      </c>
      <c r="AC13" s="40"/>
      <c r="AD13" s="43" t="str">
        <f t="shared" si="8"/>
        <v/>
      </c>
      <c r="AE13" s="24" t="s">
        <v>371</v>
      </c>
    </row>
    <row r="14" spans="1:53" ht="20" customHeight="1" x14ac:dyDescent="0.2">
      <c r="A14" s="68"/>
      <c r="B14" s="95"/>
      <c r="C14" s="25" t="s">
        <v>86</v>
      </c>
      <c r="D14" s="24" t="s">
        <v>33</v>
      </c>
      <c r="E14" s="24" t="s">
        <v>34</v>
      </c>
      <c r="F14" s="25">
        <v>2003</v>
      </c>
      <c r="G14" s="25">
        <v>291</v>
      </c>
      <c r="H14" s="29">
        <v>14</v>
      </c>
      <c r="I14" s="28" t="s">
        <v>172</v>
      </c>
      <c r="J14" s="39"/>
      <c r="K14" s="40"/>
      <c r="L14" s="43" t="str">
        <f t="shared" si="0"/>
        <v/>
      </c>
      <c r="M14" s="40"/>
      <c r="N14" s="43" t="str">
        <f t="shared" si="1"/>
        <v/>
      </c>
      <c r="O14" s="40">
        <v>2</v>
      </c>
      <c r="P14" s="43">
        <f t="shared" si="2"/>
        <v>14.285714285714285</v>
      </c>
      <c r="Q14" s="40"/>
      <c r="R14" s="43" t="str">
        <f t="shared" si="3"/>
        <v/>
      </c>
      <c r="S14" s="40"/>
      <c r="T14" s="43" t="str">
        <f t="shared" si="4"/>
        <v/>
      </c>
      <c r="U14" s="86"/>
      <c r="V14" s="43" t="str">
        <f t="shared" si="5"/>
        <v/>
      </c>
      <c r="W14" s="40"/>
      <c r="X14" s="43" t="str">
        <f t="shared" si="6"/>
        <v/>
      </c>
      <c r="Y14" s="40"/>
      <c r="Z14" s="43" t="str">
        <f t="shared" si="3"/>
        <v/>
      </c>
      <c r="AA14" s="40"/>
      <c r="AB14" s="43" t="str">
        <f t="shared" si="7"/>
        <v/>
      </c>
      <c r="AC14" s="40"/>
      <c r="AD14" s="43" t="str">
        <f t="shared" si="8"/>
        <v/>
      </c>
      <c r="AE14" s="24" t="s">
        <v>372</v>
      </c>
      <c r="AF14" s="24"/>
      <c r="AG14" s="24"/>
      <c r="AH14" s="24"/>
      <c r="AI14" s="24"/>
      <c r="AJ14" s="24"/>
      <c r="AK14" s="24"/>
      <c r="AL14" s="24"/>
      <c r="AM14" s="24"/>
      <c r="AN14" s="24"/>
      <c r="AO14" s="24"/>
      <c r="AP14" s="24"/>
      <c r="AQ14" s="24"/>
      <c r="AR14" s="24"/>
      <c r="AS14" s="24"/>
      <c r="AT14" s="24"/>
      <c r="AU14" s="24"/>
      <c r="AV14" s="24"/>
      <c r="AW14" s="24"/>
      <c r="AX14" s="24"/>
      <c r="AY14" s="24"/>
      <c r="AZ14" s="24"/>
    </row>
    <row r="15" spans="1:53" ht="20" customHeight="1" x14ac:dyDescent="0.2">
      <c r="A15" s="67"/>
      <c r="B15" s="95"/>
      <c r="C15" s="25" t="s">
        <v>86</v>
      </c>
      <c r="D15" s="24" t="s">
        <v>291</v>
      </c>
      <c r="E15" s="24" t="s">
        <v>292</v>
      </c>
      <c r="F15" s="25">
        <v>2008</v>
      </c>
      <c r="H15" s="29">
        <v>24</v>
      </c>
      <c r="I15" s="28" t="s">
        <v>246</v>
      </c>
      <c r="J15" s="39" t="s">
        <v>373</v>
      </c>
      <c r="K15" s="40"/>
      <c r="L15" s="43" t="str">
        <f t="shared" si="0"/>
        <v/>
      </c>
      <c r="M15" s="40"/>
      <c r="N15" s="43" t="str">
        <f t="shared" si="1"/>
        <v/>
      </c>
      <c r="O15" s="40"/>
      <c r="P15" s="43" t="str">
        <f t="shared" si="2"/>
        <v/>
      </c>
      <c r="Q15" s="40"/>
      <c r="R15" s="43" t="str">
        <f t="shared" si="3"/>
        <v/>
      </c>
      <c r="S15" s="40"/>
      <c r="T15" s="43" t="str">
        <f t="shared" si="4"/>
        <v/>
      </c>
      <c r="U15" s="86"/>
      <c r="V15" s="43" t="str">
        <f t="shared" si="5"/>
        <v/>
      </c>
      <c r="W15" s="40"/>
      <c r="X15" s="43" t="str">
        <f t="shared" si="6"/>
        <v/>
      </c>
      <c r="Y15" s="40"/>
      <c r="Z15" s="43" t="str">
        <f t="shared" si="3"/>
        <v/>
      </c>
      <c r="AA15" s="40"/>
      <c r="AB15" s="43" t="str">
        <f t="shared" si="7"/>
        <v/>
      </c>
      <c r="AC15" s="40"/>
      <c r="AD15" s="43" t="str">
        <f t="shared" si="8"/>
        <v/>
      </c>
      <c r="AE15" s="24"/>
      <c r="AF15" s="24"/>
      <c r="AG15" s="24"/>
      <c r="AH15" s="24"/>
      <c r="AI15" s="24"/>
      <c r="AJ15" s="24"/>
      <c r="AK15" s="24"/>
      <c r="AL15" s="24"/>
      <c r="AM15" s="24"/>
      <c r="AN15" s="24"/>
      <c r="AO15" s="24"/>
      <c r="AP15" s="24"/>
      <c r="AQ15" s="24"/>
      <c r="AR15" s="24"/>
      <c r="AS15" s="24"/>
      <c r="AT15" s="24"/>
      <c r="AU15" s="24"/>
      <c r="AV15" s="24"/>
      <c r="AW15" s="24"/>
      <c r="AX15" s="24"/>
      <c r="AY15" s="24"/>
      <c r="AZ15" s="24"/>
    </row>
    <row r="16" spans="1:53" ht="20" customHeight="1" x14ac:dyDescent="0.2">
      <c r="A16" s="68"/>
      <c r="B16" s="95"/>
      <c r="C16" s="25" t="s">
        <v>86</v>
      </c>
      <c r="D16" s="24" t="s">
        <v>36</v>
      </c>
      <c r="E16" s="24" t="s">
        <v>37</v>
      </c>
      <c r="F16" s="25">
        <v>2008</v>
      </c>
      <c r="G16" s="25">
        <v>40</v>
      </c>
      <c r="H16" s="29">
        <v>51</v>
      </c>
      <c r="I16" s="28"/>
      <c r="J16" s="39" t="s">
        <v>176</v>
      </c>
      <c r="K16" s="40"/>
      <c r="L16" s="43" t="str">
        <f t="shared" si="0"/>
        <v/>
      </c>
      <c r="M16" s="40"/>
      <c r="N16" s="43" t="str">
        <f t="shared" si="1"/>
        <v/>
      </c>
      <c r="O16" s="40"/>
      <c r="P16" s="43" t="str">
        <f t="shared" si="2"/>
        <v/>
      </c>
      <c r="Q16" s="40"/>
      <c r="R16" s="43" t="str">
        <f t="shared" si="3"/>
        <v/>
      </c>
      <c r="S16" s="40"/>
      <c r="T16" s="43" t="str">
        <f t="shared" si="4"/>
        <v/>
      </c>
      <c r="U16" s="86"/>
      <c r="V16" s="43" t="str">
        <f t="shared" si="5"/>
        <v/>
      </c>
      <c r="W16" s="40"/>
      <c r="X16" s="43" t="str">
        <f t="shared" si="6"/>
        <v/>
      </c>
      <c r="Y16" s="40"/>
      <c r="Z16" s="43" t="str">
        <f t="shared" si="3"/>
        <v/>
      </c>
      <c r="AA16" s="40"/>
      <c r="AB16" s="43" t="str">
        <f t="shared" si="7"/>
        <v/>
      </c>
      <c r="AC16" s="40"/>
      <c r="AD16" s="43" t="str">
        <f t="shared" si="8"/>
        <v/>
      </c>
      <c r="AE16" s="24" t="s">
        <v>179</v>
      </c>
      <c r="AF16" s="24"/>
      <c r="AG16" s="24"/>
      <c r="AH16" s="24"/>
      <c r="AI16" s="24"/>
      <c r="AJ16" s="24"/>
      <c r="AK16" s="24"/>
      <c r="AL16" s="24"/>
      <c r="AM16" s="24"/>
      <c r="AN16" s="24"/>
      <c r="AO16" s="24"/>
      <c r="AP16" s="24"/>
      <c r="AQ16" s="24"/>
      <c r="AR16" s="24"/>
      <c r="AS16" s="24"/>
      <c r="AT16" s="24"/>
      <c r="AU16" s="24"/>
      <c r="AV16" s="24"/>
      <c r="AW16" s="24"/>
      <c r="AX16" s="24"/>
      <c r="AY16" s="24"/>
      <c r="AZ16" s="24"/>
    </row>
    <row r="17" spans="1:52" ht="20" customHeight="1" x14ac:dyDescent="0.2">
      <c r="A17" s="67"/>
      <c r="B17" s="95"/>
      <c r="C17" s="25" t="s">
        <v>86</v>
      </c>
      <c r="D17" s="24" t="s">
        <v>41</v>
      </c>
      <c r="E17" s="24" t="s">
        <v>42</v>
      </c>
      <c r="F17" s="25">
        <v>2004</v>
      </c>
      <c r="G17" s="25">
        <v>79</v>
      </c>
      <c r="H17" s="29">
        <v>22</v>
      </c>
      <c r="I17" s="28" t="s">
        <v>174</v>
      </c>
      <c r="J17" s="39" t="s">
        <v>176</v>
      </c>
      <c r="K17" s="40"/>
      <c r="L17" s="43" t="str">
        <f t="shared" si="0"/>
        <v/>
      </c>
      <c r="M17" s="40"/>
      <c r="N17" s="43" t="str">
        <f t="shared" si="1"/>
        <v/>
      </c>
      <c r="O17" s="40"/>
      <c r="P17" s="43" t="str">
        <f t="shared" si="2"/>
        <v/>
      </c>
      <c r="Q17" s="40"/>
      <c r="R17" s="43" t="str">
        <f t="shared" si="3"/>
        <v/>
      </c>
      <c r="S17" s="40"/>
      <c r="T17" s="43" t="str">
        <f t="shared" si="4"/>
        <v/>
      </c>
      <c r="U17" s="86"/>
      <c r="V17" s="43" t="str">
        <f t="shared" si="5"/>
        <v/>
      </c>
      <c r="W17" s="40"/>
      <c r="X17" s="43" t="str">
        <f t="shared" si="6"/>
        <v/>
      </c>
      <c r="Y17" s="40"/>
      <c r="Z17" s="43" t="str">
        <f t="shared" si="3"/>
        <v/>
      </c>
      <c r="AA17" s="40"/>
      <c r="AB17" s="43" t="str">
        <f t="shared" si="7"/>
        <v/>
      </c>
      <c r="AC17" s="40"/>
      <c r="AD17" s="43" t="str">
        <f t="shared" si="8"/>
        <v/>
      </c>
      <c r="AE17" s="24" t="s">
        <v>177</v>
      </c>
      <c r="AF17" s="24"/>
      <c r="AG17" s="24"/>
      <c r="AH17" s="24"/>
      <c r="AI17" s="24"/>
      <c r="AJ17" s="24"/>
      <c r="AK17" s="24"/>
      <c r="AL17" s="24"/>
      <c r="AM17" s="24"/>
      <c r="AN17" s="24"/>
      <c r="AO17" s="24"/>
      <c r="AP17" s="24"/>
      <c r="AQ17" s="24"/>
      <c r="AR17" s="24"/>
      <c r="AS17" s="24"/>
      <c r="AT17" s="24"/>
      <c r="AU17" s="24"/>
      <c r="AV17" s="24"/>
      <c r="AW17" s="24"/>
      <c r="AX17" s="24"/>
      <c r="AY17" s="24"/>
      <c r="AZ17" s="24"/>
    </row>
    <row r="18" spans="1:52" ht="20" customHeight="1" x14ac:dyDescent="0.2">
      <c r="A18" s="67"/>
      <c r="B18" s="95"/>
      <c r="C18" s="25" t="s">
        <v>86</v>
      </c>
      <c r="D18" s="24" t="s">
        <v>43</v>
      </c>
      <c r="E18" s="24" t="s">
        <v>44</v>
      </c>
      <c r="F18" s="25">
        <v>1976</v>
      </c>
      <c r="G18" s="25">
        <v>179</v>
      </c>
      <c r="H18" s="29">
        <v>8</v>
      </c>
      <c r="I18" s="91" t="s">
        <v>374</v>
      </c>
      <c r="J18" s="39"/>
      <c r="K18" s="45">
        <v>1</v>
      </c>
      <c r="L18" s="46">
        <f t="shared" si="0"/>
        <v>12.5</v>
      </c>
      <c r="M18" s="45">
        <v>2</v>
      </c>
      <c r="N18" s="46">
        <f t="shared" si="1"/>
        <v>25</v>
      </c>
      <c r="O18" s="45">
        <v>1</v>
      </c>
      <c r="P18" s="46">
        <f t="shared" si="2"/>
        <v>12.5</v>
      </c>
      <c r="Q18" s="45">
        <v>5</v>
      </c>
      <c r="R18" s="46">
        <f t="shared" si="3"/>
        <v>62.5</v>
      </c>
      <c r="S18" s="45">
        <v>2</v>
      </c>
      <c r="T18" s="46">
        <f t="shared" si="4"/>
        <v>25</v>
      </c>
      <c r="U18" s="86">
        <v>1</v>
      </c>
      <c r="V18" s="43">
        <f t="shared" si="5"/>
        <v>12.5</v>
      </c>
      <c r="W18" s="40"/>
      <c r="X18" s="43" t="str">
        <f t="shared" si="6"/>
        <v/>
      </c>
      <c r="Y18" s="45">
        <v>1</v>
      </c>
      <c r="Z18" s="46">
        <f t="shared" si="3"/>
        <v>12.5</v>
      </c>
      <c r="AA18" s="45">
        <v>1</v>
      </c>
      <c r="AB18" s="46">
        <f t="shared" si="7"/>
        <v>12.5</v>
      </c>
      <c r="AC18" s="40"/>
      <c r="AD18" s="43" t="str">
        <f t="shared" si="8"/>
        <v/>
      </c>
      <c r="AE18" s="24" t="s">
        <v>198</v>
      </c>
      <c r="AF18" s="24"/>
      <c r="AG18" s="24"/>
      <c r="AH18" s="24"/>
      <c r="AI18" s="24"/>
      <c r="AJ18" s="24"/>
      <c r="AK18" s="24"/>
      <c r="AL18" s="24"/>
      <c r="AM18" s="24"/>
      <c r="AN18" s="24"/>
      <c r="AO18" s="24"/>
      <c r="AP18" s="24"/>
      <c r="AQ18" s="24"/>
      <c r="AR18" s="24"/>
      <c r="AS18" s="24"/>
      <c r="AT18" s="24"/>
      <c r="AU18" s="24"/>
      <c r="AV18" s="24"/>
      <c r="AW18" s="24"/>
      <c r="AX18" s="24"/>
      <c r="AY18" s="24"/>
      <c r="AZ18" s="24"/>
    </row>
    <row r="19" spans="1:52" ht="20" customHeight="1" x14ac:dyDescent="0.2">
      <c r="A19" s="68"/>
      <c r="B19" s="96"/>
      <c r="C19" s="25" t="s">
        <v>86</v>
      </c>
      <c r="D19" s="24" t="s">
        <v>155</v>
      </c>
      <c r="E19" s="24" t="s">
        <v>156</v>
      </c>
      <c r="F19" s="25">
        <v>2007</v>
      </c>
      <c r="H19" s="29">
        <v>44</v>
      </c>
      <c r="I19" s="28"/>
      <c r="J19" s="39"/>
      <c r="K19" s="40"/>
      <c r="L19" s="43" t="str">
        <f t="shared" si="0"/>
        <v/>
      </c>
      <c r="M19" s="40"/>
      <c r="N19" s="43" t="str">
        <f t="shared" si="1"/>
        <v/>
      </c>
      <c r="O19" s="40"/>
      <c r="P19" s="43" t="str">
        <f t="shared" si="2"/>
        <v/>
      </c>
      <c r="Q19" s="40"/>
      <c r="R19" s="43" t="str">
        <f t="shared" si="3"/>
        <v/>
      </c>
      <c r="S19" s="40"/>
      <c r="T19" s="43" t="str">
        <f t="shared" si="4"/>
        <v/>
      </c>
      <c r="U19" s="86"/>
      <c r="V19" s="43" t="str">
        <f t="shared" si="5"/>
        <v/>
      </c>
      <c r="W19" s="40"/>
      <c r="X19" s="43" t="str">
        <f t="shared" si="6"/>
        <v/>
      </c>
      <c r="Y19" s="40"/>
      <c r="Z19" s="43" t="str">
        <f t="shared" si="3"/>
        <v/>
      </c>
      <c r="AA19" s="40"/>
      <c r="AB19" s="43" t="str">
        <f t="shared" si="7"/>
        <v/>
      </c>
      <c r="AC19" s="40"/>
      <c r="AD19" s="43" t="str">
        <f t="shared" si="8"/>
        <v/>
      </c>
      <c r="AE19" s="24" t="s">
        <v>188</v>
      </c>
      <c r="AF19" s="24"/>
      <c r="AG19" s="24"/>
      <c r="AH19" s="24"/>
      <c r="AI19" s="24"/>
      <c r="AJ19" s="24"/>
      <c r="AK19" s="24"/>
      <c r="AL19" s="24"/>
      <c r="AM19" s="24"/>
      <c r="AN19" s="24"/>
      <c r="AO19" s="24"/>
      <c r="AP19" s="24"/>
      <c r="AQ19" s="24"/>
      <c r="AR19" s="24"/>
      <c r="AS19" s="24"/>
      <c r="AT19" s="24"/>
      <c r="AU19" s="24"/>
      <c r="AV19" s="24"/>
      <c r="AW19" s="24"/>
      <c r="AX19" s="24"/>
      <c r="AY19" s="24"/>
      <c r="AZ19" s="24"/>
    </row>
    <row r="20" spans="1:52" ht="20" customHeight="1" x14ac:dyDescent="0.2">
      <c r="A20" s="67"/>
      <c r="B20" s="96"/>
      <c r="C20" s="25" t="s">
        <v>86</v>
      </c>
      <c r="D20" s="24" t="s">
        <v>293</v>
      </c>
      <c r="E20" s="24" t="s">
        <v>294</v>
      </c>
      <c r="F20" s="25">
        <v>2014</v>
      </c>
      <c r="H20" s="29">
        <v>86</v>
      </c>
      <c r="I20" s="28" t="s">
        <v>238</v>
      </c>
      <c r="J20" s="39" t="s">
        <v>375</v>
      </c>
      <c r="K20" s="40"/>
      <c r="L20" s="43" t="str">
        <f t="shared" si="0"/>
        <v/>
      </c>
      <c r="M20" s="40"/>
      <c r="N20" s="43" t="str">
        <f t="shared" si="1"/>
        <v/>
      </c>
      <c r="O20" s="40"/>
      <c r="P20" s="43" t="str">
        <f t="shared" si="2"/>
        <v/>
      </c>
      <c r="Q20" s="40"/>
      <c r="R20" s="43" t="str">
        <f t="shared" si="3"/>
        <v/>
      </c>
      <c r="S20" s="40"/>
      <c r="T20" s="43" t="str">
        <f t="shared" si="4"/>
        <v/>
      </c>
      <c r="U20" s="86"/>
      <c r="V20" s="43" t="str">
        <f t="shared" si="5"/>
        <v/>
      </c>
      <c r="W20" s="40"/>
      <c r="X20" s="43" t="str">
        <f t="shared" si="6"/>
        <v/>
      </c>
      <c r="Y20" s="40"/>
      <c r="Z20" s="43" t="str">
        <f t="shared" si="3"/>
        <v/>
      </c>
      <c r="AA20" s="40"/>
      <c r="AB20" s="43" t="str">
        <f t="shared" si="7"/>
        <v/>
      </c>
      <c r="AC20" s="40"/>
      <c r="AD20" s="43" t="str">
        <f t="shared" si="8"/>
        <v/>
      </c>
      <c r="AE20" s="24" t="s">
        <v>376</v>
      </c>
      <c r="AF20" s="24"/>
      <c r="AG20" s="24"/>
      <c r="AH20" s="24"/>
      <c r="AI20" s="24"/>
      <c r="AJ20" s="24"/>
      <c r="AK20" s="24"/>
      <c r="AL20" s="24"/>
      <c r="AM20" s="24"/>
      <c r="AN20" s="24"/>
      <c r="AO20" s="24"/>
      <c r="AP20" s="24"/>
      <c r="AQ20" s="24"/>
      <c r="AR20" s="24"/>
      <c r="AS20" s="24"/>
      <c r="AT20" s="24"/>
      <c r="AU20" s="24"/>
      <c r="AV20" s="24"/>
      <c r="AW20" s="24"/>
      <c r="AX20" s="24"/>
      <c r="AY20" s="24"/>
      <c r="AZ20" s="24"/>
    </row>
    <row r="21" spans="1:52" ht="20" customHeight="1" x14ac:dyDescent="0.2">
      <c r="A21" s="67"/>
      <c r="B21" s="25"/>
      <c r="D21" s="24" t="s">
        <v>295</v>
      </c>
      <c r="E21" s="24" t="s">
        <v>296</v>
      </c>
      <c r="F21" s="25">
        <v>2015</v>
      </c>
      <c r="H21" s="29"/>
      <c r="I21" s="28"/>
      <c r="J21" s="39"/>
      <c r="K21" s="40"/>
      <c r="L21" s="43" t="str">
        <f t="shared" si="0"/>
        <v/>
      </c>
      <c r="M21" s="40"/>
      <c r="N21" s="43" t="str">
        <f t="shared" si="1"/>
        <v/>
      </c>
      <c r="O21" s="40"/>
      <c r="P21" s="43" t="str">
        <f t="shared" si="2"/>
        <v/>
      </c>
      <c r="Q21" s="40"/>
      <c r="R21" s="43" t="str">
        <f t="shared" si="3"/>
        <v/>
      </c>
      <c r="S21" s="40"/>
      <c r="T21" s="43" t="str">
        <f t="shared" si="4"/>
        <v/>
      </c>
      <c r="U21" s="86"/>
      <c r="V21" s="43" t="str">
        <f t="shared" si="5"/>
        <v/>
      </c>
      <c r="W21" s="40"/>
      <c r="X21" s="43" t="str">
        <f t="shared" si="6"/>
        <v/>
      </c>
      <c r="Y21" s="40"/>
      <c r="Z21" s="43" t="str">
        <f t="shared" si="3"/>
        <v/>
      </c>
      <c r="AA21" s="40"/>
      <c r="AB21" s="43" t="str">
        <f t="shared" si="7"/>
        <v/>
      </c>
      <c r="AC21" s="40"/>
      <c r="AD21" s="43" t="str">
        <f t="shared" si="8"/>
        <v/>
      </c>
      <c r="AE21" s="24"/>
      <c r="AF21" s="24"/>
      <c r="AG21" s="24"/>
      <c r="AH21" s="24"/>
      <c r="AI21" s="24"/>
      <c r="AJ21" s="24"/>
      <c r="AK21" s="24"/>
      <c r="AL21" s="24"/>
      <c r="AM21" s="24"/>
      <c r="AN21" s="24"/>
      <c r="AO21" s="24"/>
      <c r="AP21" s="24"/>
      <c r="AQ21" s="24"/>
      <c r="AR21" s="24"/>
      <c r="AS21" s="24"/>
      <c r="AT21" s="24"/>
      <c r="AU21" s="24"/>
      <c r="AV21" s="24"/>
      <c r="AW21" s="24"/>
      <c r="AX21" s="24"/>
      <c r="AY21" s="24"/>
      <c r="AZ21" s="24"/>
    </row>
    <row r="22" spans="1:52" ht="20" customHeight="1" x14ac:dyDescent="0.2">
      <c r="A22" s="67"/>
      <c r="B22" s="96"/>
      <c r="C22" s="25" t="s">
        <v>86</v>
      </c>
      <c r="D22" s="24" t="s">
        <v>297</v>
      </c>
      <c r="E22" s="24" t="s">
        <v>298</v>
      </c>
      <c r="F22" s="25">
        <v>2012</v>
      </c>
      <c r="H22" s="29">
        <v>160</v>
      </c>
      <c r="I22" s="28" t="s">
        <v>238</v>
      </c>
      <c r="J22" s="39" t="s">
        <v>211</v>
      </c>
      <c r="K22" s="40"/>
      <c r="L22" s="43" t="str">
        <f t="shared" si="0"/>
        <v/>
      </c>
      <c r="M22" s="40"/>
      <c r="N22" s="43" t="str">
        <f t="shared" si="1"/>
        <v/>
      </c>
      <c r="O22" s="40"/>
      <c r="P22" s="43" t="str">
        <f t="shared" si="2"/>
        <v/>
      </c>
      <c r="Q22" s="40"/>
      <c r="R22" s="43" t="str">
        <f t="shared" si="3"/>
        <v/>
      </c>
      <c r="S22" s="40"/>
      <c r="T22" s="43" t="str">
        <f t="shared" si="4"/>
        <v/>
      </c>
      <c r="U22" s="86"/>
      <c r="V22" s="43" t="str">
        <f t="shared" si="5"/>
        <v/>
      </c>
      <c r="W22" s="40"/>
      <c r="X22" s="43" t="str">
        <f t="shared" si="6"/>
        <v/>
      </c>
      <c r="Y22" s="40"/>
      <c r="Z22" s="43" t="str">
        <f t="shared" si="3"/>
        <v/>
      </c>
      <c r="AA22" s="40"/>
      <c r="AB22" s="43" t="str">
        <f t="shared" si="7"/>
        <v/>
      </c>
      <c r="AC22" s="40"/>
      <c r="AD22" s="43" t="str">
        <f t="shared" si="8"/>
        <v/>
      </c>
      <c r="AE22" s="24"/>
      <c r="AF22" s="24"/>
      <c r="AG22" s="24"/>
      <c r="AH22" s="24"/>
      <c r="AI22" s="24"/>
      <c r="AJ22" s="24"/>
      <c r="AK22" s="24"/>
      <c r="AL22" s="24"/>
      <c r="AM22" s="24"/>
      <c r="AN22" s="24"/>
      <c r="AO22" s="24"/>
      <c r="AP22" s="24"/>
      <c r="AQ22" s="24"/>
      <c r="AR22" s="24"/>
      <c r="AS22" s="24"/>
      <c r="AT22" s="24"/>
      <c r="AU22" s="24"/>
      <c r="AV22" s="24"/>
      <c r="AW22" s="24"/>
      <c r="AX22" s="24"/>
      <c r="AY22" s="24"/>
      <c r="AZ22" s="24"/>
    </row>
    <row r="23" spans="1:52" ht="20" customHeight="1" x14ac:dyDescent="0.2">
      <c r="A23" s="67"/>
      <c r="B23" s="95"/>
      <c r="C23" s="25" t="s">
        <v>86</v>
      </c>
      <c r="D23" s="24" t="s">
        <v>299</v>
      </c>
      <c r="E23" s="24" t="s">
        <v>300</v>
      </c>
      <c r="F23" s="25">
        <v>2013</v>
      </c>
      <c r="H23" s="29">
        <v>12</v>
      </c>
      <c r="I23" s="28" t="s">
        <v>238</v>
      </c>
      <c r="J23" s="39" t="s">
        <v>377</v>
      </c>
      <c r="K23" s="40"/>
      <c r="L23" s="43" t="str">
        <f t="shared" si="0"/>
        <v/>
      </c>
      <c r="M23" s="40"/>
      <c r="N23" s="43" t="str">
        <f t="shared" si="1"/>
        <v/>
      </c>
      <c r="O23" s="45"/>
      <c r="P23" s="46" t="str">
        <f t="shared" si="2"/>
        <v/>
      </c>
      <c r="Q23" s="40"/>
      <c r="R23" s="43" t="str">
        <f t="shared" si="3"/>
        <v/>
      </c>
      <c r="S23" s="40"/>
      <c r="T23" s="43" t="str">
        <f t="shared" si="4"/>
        <v/>
      </c>
      <c r="U23" s="47"/>
      <c r="V23" s="46" t="str">
        <f t="shared" si="5"/>
        <v/>
      </c>
      <c r="W23" s="40"/>
      <c r="X23" s="43" t="str">
        <f t="shared" si="6"/>
        <v/>
      </c>
      <c r="Y23" s="40"/>
      <c r="Z23" s="43" t="str">
        <f t="shared" si="3"/>
        <v/>
      </c>
      <c r="AA23" s="40"/>
      <c r="AB23" s="43" t="str">
        <f t="shared" si="7"/>
        <v/>
      </c>
      <c r="AC23" s="40"/>
      <c r="AD23" s="43" t="str">
        <f t="shared" si="8"/>
        <v/>
      </c>
      <c r="AE23" s="24" t="s">
        <v>378</v>
      </c>
      <c r="AF23" s="24"/>
      <c r="AG23" s="24"/>
      <c r="AH23" s="24"/>
      <c r="AI23" s="24"/>
      <c r="AJ23" s="24"/>
      <c r="AK23" s="24"/>
      <c r="AL23" s="24"/>
      <c r="AM23" s="24"/>
      <c r="AN23" s="24"/>
      <c r="AO23" s="24"/>
      <c r="AP23" s="24"/>
      <c r="AQ23" s="24"/>
      <c r="AR23" s="24"/>
      <c r="AS23" s="24"/>
      <c r="AT23" s="24"/>
      <c r="AU23" s="24"/>
      <c r="AV23" s="24"/>
      <c r="AW23" s="24"/>
      <c r="AX23" s="24"/>
      <c r="AY23" s="24"/>
      <c r="AZ23" s="24"/>
    </row>
    <row r="24" spans="1:52" ht="20" customHeight="1" x14ac:dyDescent="0.2">
      <c r="A24" s="68"/>
      <c r="B24" s="97"/>
      <c r="C24" s="25" t="s">
        <v>86</v>
      </c>
      <c r="D24" s="24" t="s">
        <v>45</v>
      </c>
      <c r="E24" s="24" t="s">
        <v>46</v>
      </c>
      <c r="F24" s="25">
        <v>1998</v>
      </c>
      <c r="G24" s="25">
        <v>96</v>
      </c>
      <c r="H24" s="29">
        <v>61</v>
      </c>
      <c r="I24" s="28" t="s">
        <v>189</v>
      </c>
      <c r="J24" s="39" t="s">
        <v>208</v>
      </c>
      <c r="K24" s="40"/>
      <c r="L24" s="43" t="str">
        <f t="shared" si="0"/>
        <v/>
      </c>
      <c r="M24" s="40"/>
      <c r="N24" s="43" t="str">
        <f t="shared" si="1"/>
        <v/>
      </c>
      <c r="O24" s="40"/>
      <c r="P24" s="43" t="str">
        <f t="shared" si="2"/>
        <v/>
      </c>
      <c r="Q24" s="40"/>
      <c r="R24" s="43" t="str">
        <f t="shared" si="3"/>
        <v/>
      </c>
      <c r="S24" s="40"/>
      <c r="T24" s="43" t="str">
        <f t="shared" si="4"/>
        <v/>
      </c>
      <c r="U24" s="86"/>
      <c r="V24" s="43" t="str">
        <f t="shared" si="5"/>
        <v/>
      </c>
      <c r="W24" s="40"/>
      <c r="X24" s="43" t="str">
        <f t="shared" si="6"/>
        <v/>
      </c>
      <c r="Y24" s="40"/>
      <c r="Z24" s="43" t="str">
        <f t="shared" si="3"/>
        <v/>
      </c>
      <c r="AA24" s="40"/>
      <c r="AB24" s="43" t="str">
        <f t="shared" si="7"/>
        <v/>
      </c>
      <c r="AC24" s="40"/>
      <c r="AD24" s="43" t="str">
        <f t="shared" si="8"/>
        <v/>
      </c>
      <c r="AE24" s="24" t="s">
        <v>190</v>
      </c>
      <c r="AF24" s="24"/>
      <c r="AG24" s="24"/>
      <c r="AH24" s="24"/>
      <c r="AI24" s="24"/>
      <c r="AJ24" s="24"/>
      <c r="AK24" s="24"/>
      <c r="AL24" s="24"/>
      <c r="AM24" s="24"/>
      <c r="AN24" s="24"/>
      <c r="AO24" s="24"/>
      <c r="AP24" s="24"/>
      <c r="AQ24" s="24"/>
      <c r="AR24" s="24"/>
      <c r="AS24" s="24"/>
      <c r="AT24" s="24"/>
      <c r="AU24" s="24"/>
      <c r="AV24" s="24"/>
      <c r="AW24" s="24"/>
      <c r="AX24" s="24"/>
      <c r="AY24" s="24"/>
      <c r="AZ24" s="24"/>
    </row>
    <row r="25" spans="1:52" ht="20" customHeight="1" x14ac:dyDescent="0.2">
      <c r="A25" s="67"/>
      <c r="B25" s="95"/>
      <c r="C25" s="25" t="s">
        <v>86</v>
      </c>
      <c r="D25" s="24" t="s">
        <v>301</v>
      </c>
      <c r="E25" s="24" t="s">
        <v>302</v>
      </c>
      <c r="F25" s="25">
        <v>2000</v>
      </c>
      <c r="H25" s="29">
        <v>9</v>
      </c>
      <c r="I25" s="28" t="s">
        <v>246</v>
      </c>
      <c r="J25" s="39" t="s">
        <v>176</v>
      </c>
      <c r="K25" s="40"/>
      <c r="L25" s="43" t="str">
        <f t="shared" si="0"/>
        <v/>
      </c>
      <c r="M25" s="40"/>
      <c r="N25" s="43" t="str">
        <f t="shared" si="1"/>
        <v/>
      </c>
      <c r="O25" s="40">
        <v>1</v>
      </c>
      <c r="P25" s="43">
        <f t="shared" si="2"/>
        <v>11.111111111111111</v>
      </c>
      <c r="Q25" s="40">
        <v>1</v>
      </c>
      <c r="R25" s="43">
        <f t="shared" si="3"/>
        <v>11.111111111111111</v>
      </c>
      <c r="S25" s="40"/>
      <c r="T25" s="43" t="str">
        <f t="shared" si="4"/>
        <v/>
      </c>
      <c r="U25" s="86">
        <v>1</v>
      </c>
      <c r="V25" s="43">
        <f t="shared" si="5"/>
        <v>11.111111111111111</v>
      </c>
      <c r="W25" s="40"/>
      <c r="X25" s="43" t="str">
        <f t="shared" si="6"/>
        <v/>
      </c>
      <c r="Y25" s="40"/>
      <c r="Z25" s="43" t="str">
        <f t="shared" si="3"/>
        <v/>
      </c>
      <c r="AA25" s="40"/>
      <c r="AB25" s="43" t="str">
        <f t="shared" si="7"/>
        <v/>
      </c>
      <c r="AC25" s="40"/>
      <c r="AD25" s="43" t="str">
        <f t="shared" si="8"/>
        <v/>
      </c>
      <c r="AE25" s="24" t="s">
        <v>379</v>
      </c>
      <c r="AF25" s="24"/>
      <c r="AG25" s="24"/>
      <c r="AH25" s="24"/>
      <c r="AI25" s="24"/>
      <c r="AJ25" s="24"/>
      <c r="AK25" s="24"/>
      <c r="AL25" s="24"/>
      <c r="AM25" s="24"/>
      <c r="AN25" s="24"/>
      <c r="AO25" s="24"/>
      <c r="AP25" s="24"/>
      <c r="AQ25" s="24"/>
      <c r="AR25" s="24"/>
      <c r="AS25" s="24"/>
      <c r="AT25" s="24"/>
      <c r="AU25" s="24"/>
      <c r="AV25" s="24"/>
      <c r="AW25" s="24"/>
      <c r="AX25" s="24"/>
      <c r="AY25" s="24"/>
      <c r="AZ25" s="24"/>
    </row>
    <row r="26" spans="1:52" ht="20" customHeight="1" x14ac:dyDescent="0.2">
      <c r="A26" s="67"/>
      <c r="B26" s="96"/>
      <c r="C26" s="25" t="s">
        <v>86</v>
      </c>
      <c r="D26" s="24" t="s">
        <v>303</v>
      </c>
      <c r="E26" s="24" t="s">
        <v>304</v>
      </c>
      <c r="F26" s="25">
        <v>2003</v>
      </c>
      <c r="H26" s="29">
        <v>10</v>
      </c>
      <c r="I26" s="28" t="s">
        <v>203</v>
      </c>
      <c r="J26" s="39" t="s">
        <v>210</v>
      </c>
      <c r="K26" s="40"/>
      <c r="L26" s="43" t="str">
        <f t="shared" si="0"/>
        <v/>
      </c>
      <c r="M26" s="40"/>
      <c r="N26" s="43" t="str">
        <f t="shared" si="1"/>
        <v/>
      </c>
      <c r="O26" s="40"/>
      <c r="P26" s="43" t="str">
        <f t="shared" si="2"/>
        <v/>
      </c>
      <c r="Q26" s="40"/>
      <c r="R26" s="43" t="str">
        <f t="shared" si="3"/>
        <v/>
      </c>
      <c r="S26" s="40"/>
      <c r="T26" s="43" t="str">
        <f t="shared" si="4"/>
        <v/>
      </c>
      <c r="U26" s="86"/>
      <c r="V26" s="43" t="str">
        <f t="shared" si="5"/>
        <v/>
      </c>
      <c r="W26" s="40"/>
      <c r="X26" s="43" t="str">
        <f t="shared" si="6"/>
        <v/>
      </c>
      <c r="Y26" s="40"/>
      <c r="Z26" s="43" t="str">
        <f t="shared" si="3"/>
        <v/>
      </c>
      <c r="AA26" s="40"/>
      <c r="AB26" s="43" t="str">
        <f t="shared" si="7"/>
        <v/>
      </c>
      <c r="AC26" s="40"/>
      <c r="AD26" s="43" t="str">
        <f t="shared" si="8"/>
        <v/>
      </c>
      <c r="AE26" s="24" t="s">
        <v>220</v>
      </c>
      <c r="AF26" s="24"/>
      <c r="AG26" s="24"/>
      <c r="AH26" s="24"/>
      <c r="AI26" s="24"/>
      <c r="AJ26" s="24"/>
      <c r="AK26" s="24"/>
      <c r="AL26" s="24"/>
      <c r="AM26" s="24"/>
      <c r="AN26" s="24"/>
      <c r="AO26" s="24"/>
      <c r="AP26" s="24"/>
      <c r="AQ26" s="24"/>
      <c r="AR26" s="24"/>
      <c r="AS26" s="24"/>
      <c r="AT26" s="24"/>
      <c r="AU26" s="24"/>
      <c r="AV26" s="24"/>
      <c r="AW26" s="24"/>
      <c r="AX26" s="24"/>
      <c r="AY26" s="24"/>
      <c r="AZ26" s="24"/>
    </row>
    <row r="27" spans="1:52" ht="20" customHeight="1" x14ac:dyDescent="0.2">
      <c r="A27" s="68"/>
      <c r="B27" s="96"/>
      <c r="C27" s="25" t="s">
        <v>86</v>
      </c>
      <c r="D27" s="24" t="s">
        <v>52</v>
      </c>
      <c r="E27" s="24" t="s">
        <v>53</v>
      </c>
      <c r="F27" s="25">
        <v>2001</v>
      </c>
      <c r="G27" s="25">
        <v>118</v>
      </c>
      <c r="H27" s="29">
        <v>20</v>
      </c>
      <c r="I27" s="28"/>
      <c r="J27" s="39" t="s">
        <v>208</v>
      </c>
      <c r="K27" s="40"/>
      <c r="L27" s="43" t="str">
        <f t="shared" si="0"/>
        <v/>
      </c>
      <c r="M27" s="40"/>
      <c r="N27" s="43" t="str">
        <f t="shared" si="1"/>
        <v/>
      </c>
      <c r="O27" s="40"/>
      <c r="P27" s="43" t="str">
        <f t="shared" si="2"/>
        <v/>
      </c>
      <c r="Q27" s="40"/>
      <c r="R27" s="43" t="str">
        <f t="shared" si="3"/>
        <v/>
      </c>
      <c r="S27" s="40"/>
      <c r="T27" s="43" t="str">
        <f t="shared" si="4"/>
        <v/>
      </c>
      <c r="U27" s="86"/>
      <c r="V27" s="43" t="str">
        <f t="shared" si="5"/>
        <v/>
      </c>
      <c r="W27" s="40"/>
      <c r="X27" s="43" t="str">
        <f t="shared" si="6"/>
        <v/>
      </c>
      <c r="Y27" s="40"/>
      <c r="Z27" s="43" t="str">
        <f t="shared" si="3"/>
        <v/>
      </c>
      <c r="AA27" s="40"/>
      <c r="AB27" s="43" t="str">
        <f t="shared" si="7"/>
        <v/>
      </c>
      <c r="AC27" s="40"/>
      <c r="AD27" s="43" t="str">
        <f t="shared" si="8"/>
        <v/>
      </c>
      <c r="AE27" s="24" t="s">
        <v>195</v>
      </c>
      <c r="AF27" s="24"/>
      <c r="AG27" s="24"/>
      <c r="AH27" s="24"/>
      <c r="AI27" s="24"/>
      <c r="AJ27" s="24"/>
      <c r="AK27" s="24"/>
      <c r="AL27" s="24"/>
      <c r="AM27" s="24"/>
      <c r="AN27" s="24"/>
      <c r="AO27" s="24"/>
      <c r="AP27" s="24"/>
      <c r="AQ27" s="24"/>
      <c r="AR27" s="24"/>
      <c r="AS27" s="24"/>
      <c r="AT27" s="24"/>
      <c r="AU27" s="24"/>
      <c r="AV27" s="24"/>
      <c r="AW27" s="24"/>
      <c r="AX27" s="24"/>
      <c r="AY27" s="24"/>
      <c r="AZ27" s="24"/>
    </row>
    <row r="28" spans="1:52" ht="20" customHeight="1" x14ac:dyDescent="0.2">
      <c r="A28" s="67"/>
      <c r="B28" s="95"/>
      <c r="C28" s="25" t="s">
        <v>86</v>
      </c>
      <c r="D28" s="24" t="s">
        <v>305</v>
      </c>
      <c r="E28" s="24" t="s">
        <v>306</v>
      </c>
      <c r="F28" s="25">
        <v>1994</v>
      </c>
      <c r="H28" s="29">
        <v>20</v>
      </c>
      <c r="I28" s="28" t="s">
        <v>380</v>
      </c>
      <c r="J28" s="39"/>
      <c r="K28" s="45"/>
      <c r="L28" s="46" t="str">
        <f t="shared" si="0"/>
        <v/>
      </c>
      <c r="M28" s="40"/>
      <c r="N28" s="43" t="str">
        <f t="shared" si="1"/>
        <v/>
      </c>
      <c r="O28" s="45"/>
      <c r="P28" s="46" t="str">
        <f t="shared" si="2"/>
        <v/>
      </c>
      <c r="Q28" s="40"/>
      <c r="R28" s="43" t="str">
        <f t="shared" si="3"/>
        <v/>
      </c>
      <c r="S28" s="40"/>
      <c r="T28" s="43" t="str">
        <f t="shared" si="4"/>
        <v/>
      </c>
      <c r="U28" s="47"/>
      <c r="V28" s="46" t="str">
        <f t="shared" si="5"/>
        <v/>
      </c>
      <c r="W28" s="40"/>
      <c r="X28" s="43" t="str">
        <f t="shared" si="6"/>
        <v/>
      </c>
      <c r="Y28" s="40"/>
      <c r="Z28" s="43" t="str">
        <f t="shared" si="3"/>
        <v/>
      </c>
      <c r="AA28" s="40"/>
      <c r="AB28" s="43" t="str">
        <f t="shared" si="7"/>
        <v/>
      </c>
      <c r="AC28" s="40"/>
      <c r="AD28" s="43" t="str">
        <f t="shared" si="8"/>
        <v/>
      </c>
      <c r="AE28" s="24" t="s">
        <v>381</v>
      </c>
      <c r="AF28" s="24"/>
      <c r="AG28" s="24"/>
      <c r="AH28" s="24"/>
      <c r="AI28" s="24"/>
      <c r="AJ28" s="24"/>
      <c r="AK28" s="24"/>
      <c r="AL28" s="24"/>
      <c r="AM28" s="24"/>
      <c r="AN28" s="24"/>
      <c r="AO28" s="24"/>
      <c r="AP28" s="24"/>
      <c r="AQ28" s="24"/>
      <c r="AR28" s="24"/>
      <c r="AS28" s="24"/>
      <c r="AT28" s="24"/>
      <c r="AU28" s="24"/>
      <c r="AV28" s="24"/>
      <c r="AW28" s="24"/>
      <c r="AX28" s="24"/>
      <c r="AY28" s="24"/>
      <c r="AZ28" s="24"/>
    </row>
    <row r="29" spans="1:52" ht="20" customHeight="1" x14ac:dyDescent="0.2">
      <c r="A29" s="67"/>
      <c r="B29" s="96"/>
      <c r="C29" s="25" t="s">
        <v>86</v>
      </c>
      <c r="D29" s="24" t="s">
        <v>382</v>
      </c>
      <c r="E29" s="24" t="s">
        <v>383</v>
      </c>
      <c r="F29" s="25">
        <v>2008</v>
      </c>
      <c r="H29" s="29">
        <v>50</v>
      </c>
      <c r="I29" s="28" t="s">
        <v>189</v>
      </c>
      <c r="J29" s="39" t="s">
        <v>384</v>
      </c>
      <c r="K29" s="40"/>
      <c r="L29" s="43" t="str">
        <f t="shared" si="0"/>
        <v/>
      </c>
      <c r="M29" s="40"/>
      <c r="N29" s="43" t="str">
        <f t="shared" si="1"/>
        <v/>
      </c>
      <c r="O29" s="40"/>
      <c r="P29" s="43" t="str">
        <f t="shared" si="2"/>
        <v/>
      </c>
      <c r="Q29" s="40"/>
      <c r="R29" s="43" t="str">
        <f t="shared" si="3"/>
        <v/>
      </c>
      <c r="S29" s="40"/>
      <c r="T29" s="43" t="str">
        <f t="shared" si="4"/>
        <v/>
      </c>
      <c r="U29" s="86"/>
      <c r="V29" s="43" t="str">
        <f t="shared" si="5"/>
        <v/>
      </c>
      <c r="W29" s="40"/>
      <c r="X29" s="43" t="str">
        <f t="shared" si="6"/>
        <v/>
      </c>
      <c r="Y29" s="40"/>
      <c r="Z29" s="43" t="str">
        <f t="shared" si="3"/>
        <v/>
      </c>
      <c r="AA29" s="40"/>
      <c r="AB29" s="43" t="str">
        <f t="shared" si="7"/>
        <v/>
      </c>
      <c r="AC29" s="40"/>
      <c r="AD29" s="43" t="str">
        <f t="shared" si="8"/>
        <v/>
      </c>
      <c r="AE29" s="24" t="s">
        <v>196</v>
      </c>
      <c r="AF29" s="24"/>
      <c r="AG29" s="24"/>
      <c r="AH29" s="24"/>
      <c r="AI29" s="24"/>
      <c r="AJ29" s="24"/>
      <c r="AK29" s="24"/>
      <c r="AL29" s="24"/>
      <c r="AM29" s="24"/>
      <c r="AN29" s="24"/>
      <c r="AO29" s="24"/>
      <c r="AP29" s="24"/>
      <c r="AQ29" s="24"/>
      <c r="AR29" s="24"/>
      <c r="AS29" s="24"/>
      <c r="AT29" s="24"/>
      <c r="AU29" s="24"/>
      <c r="AV29" s="24"/>
      <c r="AW29" s="24"/>
      <c r="AX29" s="24"/>
      <c r="AY29" s="24"/>
      <c r="AZ29" s="24"/>
    </row>
    <row r="30" spans="1:52" ht="20" customHeight="1" x14ac:dyDescent="0.2">
      <c r="A30" s="67"/>
      <c r="B30" s="95"/>
      <c r="C30" s="25" t="s">
        <v>86</v>
      </c>
      <c r="D30" s="24" t="s">
        <v>54</v>
      </c>
      <c r="E30" s="24" t="s">
        <v>55</v>
      </c>
      <c r="F30" s="25">
        <v>1996</v>
      </c>
      <c r="G30" s="25">
        <v>82</v>
      </c>
      <c r="H30" s="29">
        <v>15</v>
      </c>
      <c r="I30" s="28" t="s">
        <v>189</v>
      </c>
      <c r="J30" s="39" t="s">
        <v>191</v>
      </c>
      <c r="K30" s="40"/>
      <c r="L30" s="43" t="str">
        <f t="shared" si="0"/>
        <v/>
      </c>
      <c r="M30" s="40">
        <v>1</v>
      </c>
      <c r="N30" s="43">
        <f t="shared" si="1"/>
        <v>6.666666666666667</v>
      </c>
      <c r="O30" s="40"/>
      <c r="P30" s="43" t="str">
        <f t="shared" si="2"/>
        <v/>
      </c>
      <c r="Q30" s="40"/>
      <c r="R30" s="43" t="str">
        <f t="shared" si="3"/>
        <v/>
      </c>
      <c r="S30" s="40"/>
      <c r="T30" s="43" t="str">
        <f t="shared" si="4"/>
        <v/>
      </c>
      <c r="U30" s="86">
        <v>1</v>
      </c>
      <c r="V30" s="43">
        <f t="shared" si="5"/>
        <v>6.666666666666667</v>
      </c>
      <c r="W30" s="40"/>
      <c r="X30" s="43" t="str">
        <f t="shared" si="6"/>
        <v/>
      </c>
      <c r="Y30" s="40"/>
      <c r="Z30" s="43" t="str">
        <f t="shared" si="3"/>
        <v/>
      </c>
      <c r="AA30" s="40"/>
      <c r="AB30" s="43" t="str">
        <f t="shared" si="7"/>
        <v/>
      </c>
      <c r="AC30" s="40"/>
      <c r="AD30" s="43" t="str">
        <f t="shared" si="8"/>
        <v/>
      </c>
      <c r="AE30" s="24" t="s">
        <v>385</v>
      </c>
      <c r="AF30" s="24"/>
      <c r="AG30" s="24"/>
      <c r="AH30" s="24"/>
      <c r="AI30" s="24"/>
      <c r="AJ30" s="24"/>
      <c r="AK30" s="24"/>
      <c r="AL30" s="24"/>
      <c r="AM30" s="24"/>
      <c r="AN30" s="24"/>
      <c r="AO30" s="24"/>
      <c r="AP30" s="24"/>
      <c r="AQ30" s="24"/>
      <c r="AR30" s="24"/>
      <c r="AS30" s="24"/>
      <c r="AT30" s="24"/>
      <c r="AU30" s="24"/>
      <c r="AV30" s="24"/>
      <c r="AW30" s="24"/>
      <c r="AX30" s="24"/>
      <c r="AY30" s="24"/>
      <c r="AZ30" s="24"/>
    </row>
    <row r="31" spans="1:52" ht="20" customHeight="1" x14ac:dyDescent="0.2">
      <c r="A31" s="67"/>
      <c r="B31" s="96"/>
      <c r="C31" s="25" t="s">
        <v>86</v>
      </c>
      <c r="D31" s="24" t="s">
        <v>307</v>
      </c>
      <c r="E31" s="24" t="s">
        <v>308</v>
      </c>
      <c r="F31" s="25">
        <v>2016</v>
      </c>
      <c r="H31" s="29">
        <v>49</v>
      </c>
      <c r="I31" s="28" t="s">
        <v>386</v>
      </c>
      <c r="J31" s="39" t="s">
        <v>213</v>
      </c>
      <c r="K31" s="40"/>
      <c r="L31" s="43" t="str">
        <f t="shared" si="0"/>
        <v/>
      </c>
      <c r="M31" s="40"/>
      <c r="N31" s="43" t="str">
        <f t="shared" si="1"/>
        <v/>
      </c>
      <c r="O31" s="40"/>
      <c r="P31" s="43" t="str">
        <f t="shared" si="2"/>
        <v/>
      </c>
      <c r="Q31" s="40"/>
      <c r="R31" s="43" t="str">
        <f t="shared" si="3"/>
        <v/>
      </c>
      <c r="S31" s="40"/>
      <c r="T31" s="43" t="str">
        <f t="shared" si="4"/>
        <v/>
      </c>
      <c r="U31" s="86"/>
      <c r="V31" s="43" t="str">
        <f t="shared" si="5"/>
        <v/>
      </c>
      <c r="W31" s="40"/>
      <c r="X31" s="43" t="str">
        <f t="shared" si="6"/>
        <v/>
      </c>
      <c r="Y31" s="40"/>
      <c r="Z31" s="43" t="str">
        <f t="shared" si="3"/>
        <v/>
      </c>
      <c r="AA31" s="40"/>
      <c r="AB31" s="43" t="str">
        <f t="shared" si="7"/>
        <v/>
      </c>
      <c r="AC31" s="40"/>
      <c r="AD31" s="43" t="str">
        <f t="shared" si="8"/>
        <v/>
      </c>
      <c r="AE31" s="24" t="s">
        <v>387</v>
      </c>
      <c r="AF31" s="24"/>
      <c r="AG31" s="24"/>
      <c r="AH31" s="24"/>
      <c r="AI31" s="24"/>
      <c r="AJ31" s="24"/>
      <c r="AK31" s="24"/>
      <c r="AL31" s="24"/>
      <c r="AM31" s="24"/>
      <c r="AN31" s="24"/>
      <c r="AO31" s="24"/>
      <c r="AP31" s="24"/>
      <c r="AQ31" s="24"/>
      <c r="AR31" s="24"/>
      <c r="AS31" s="24"/>
      <c r="AT31" s="24"/>
      <c r="AU31" s="24"/>
      <c r="AV31" s="24"/>
      <c r="AW31" s="24"/>
      <c r="AX31" s="24"/>
      <c r="AY31" s="24"/>
      <c r="AZ31" s="24"/>
    </row>
    <row r="32" spans="1:52" ht="20" customHeight="1" x14ac:dyDescent="0.2">
      <c r="A32" s="68"/>
      <c r="B32" s="96"/>
      <c r="C32" s="25" t="s">
        <v>86</v>
      </c>
      <c r="D32" s="24" t="s">
        <v>87</v>
      </c>
      <c r="E32" s="24" t="s">
        <v>56</v>
      </c>
      <c r="F32" s="25">
        <v>2014</v>
      </c>
      <c r="G32" s="25">
        <v>41</v>
      </c>
      <c r="H32" s="29">
        <v>20</v>
      </c>
      <c r="I32" s="28" t="s">
        <v>192</v>
      </c>
      <c r="J32" s="39"/>
      <c r="K32" s="40"/>
      <c r="L32" s="43" t="str">
        <f t="shared" si="0"/>
        <v/>
      </c>
      <c r="M32" s="40"/>
      <c r="N32" s="43" t="str">
        <f t="shared" si="1"/>
        <v/>
      </c>
      <c r="O32" s="45"/>
      <c r="P32" s="46" t="str">
        <f t="shared" si="2"/>
        <v/>
      </c>
      <c r="Q32" s="40"/>
      <c r="R32" s="43" t="str">
        <f t="shared" si="3"/>
        <v/>
      </c>
      <c r="S32" s="40"/>
      <c r="T32" s="43" t="str">
        <f t="shared" si="4"/>
        <v/>
      </c>
      <c r="U32" s="86"/>
      <c r="V32" s="43" t="str">
        <f t="shared" si="5"/>
        <v/>
      </c>
      <c r="W32" s="40"/>
      <c r="X32" s="43" t="str">
        <f t="shared" si="6"/>
        <v/>
      </c>
      <c r="Y32" s="40"/>
      <c r="Z32" s="43" t="str">
        <f t="shared" si="3"/>
        <v/>
      </c>
      <c r="AA32" s="40"/>
      <c r="AB32" s="43" t="str">
        <f t="shared" si="7"/>
        <v/>
      </c>
      <c r="AC32" s="40"/>
      <c r="AD32" s="43" t="str">
        <f t="shared" si="8"/>
        <v/>
      </c>
      <c r="AE32" s="24" t="s">
        <v>388</v>
      </c>
      <c r="AF32" s="24"/>
      <c r="AG32" s="24"/>
      <c r="AH32" s="24"/>
      <c r="AI32" s="24"/>
      <c r="AJ32" s="24"/>
      <c r="AK32" s="24"/>
      <c r="AL32" s="24"/>
      <c r="AM32" s="24"/>
      <c r="AN32" s="24"/>
      <c r="AO32" s="24"/>
      <c r="AP32" s="24"/>
      <c r="AQ32" s="24"/>
      <c r="AR32" s="24"/>
      <c r="AS32" s="24"/>
      <c r="AT32" s="24"/>
      <c r="AU32" s="24"/>
      <c r="AV32" s="24"/>
      <c r="AW32" s="24"/>
      <c r="AX32" s="24"/>
      <c r="AY32" s="24"/>
      <c r="AZ32" s="24"/>
    </row>
    <row r="33" spans="1:52" ht="20" customHeight="1" x14ac:dyDescent="0.2">
      <c r="A33" s="68"/>
      <c r="B33" s="25"/>
      <c r="C33" s="25" t="s">
        <v>86</v>
      </c>
      <c r="D33" s="24" t="s">
        <v>57</v>
      </c>
      <c r="E33" s="24" t="s">
        <v>58</v>
      </c>
      <c r="F33" s="25">
        <v>2006</v>
      </c>
      <c r="G33" s="25">
        <v>132</v>
      </c>
      <c r="H33" s="29">
        <v>7</v>
      </c>
      <c r="I33" s="28"/>
      <c r="J33" s="39"/>
      <c r="K33" s="40"/>
      <c r="L33" s="43" t="str">
        <f t="shared" si="0"/>
        <v/>
      </c>
      <c r="M33" s="40"/>
      <c r="N33" s="43" t="str">
        <f t="shared" si="1"/>
        <v/>
      </c>
      <c r="O33" s="40"/>
      <c r="P33" s="43" t="str">
        <f t="shared" si="2"/>
        <v/>
      </c>
      <c r="Q33" s="40"/>
      <c r="R33" s="43" t="str">
        <f t="shared" si="3"/>
        <v/>
      </c>
      <c r="S33" s="40"/>
      <c r="T33" s="43" t="str">
        <f t="shared" si="4"/>
        <v/>
      </c>
      <c r="U33" s="86"/>
      <c r="V33" s="43" t="str">
        <f t="shared" si="5"/>
        <v/>
      </c>
      <c r="W33" s="40"/>
      <c r="X33" s="43" t="str">
        <f t="shared" si="6"/>
        <v/>
      </c>
      <c r="Y33" s="40"/>
      <c r="Z33" s="43" t="str">
        <f t="shared" si="3"/>
        <v/>
      </c>
      <c r="AA33" s="40"/>
      <c r="AB33" s="43" t="str">
        <f t="shared" si="7"/>
        <v/>
      </c>
      <c r="AC33" s="40"/>
      <c r="AD33" s="43" t="str">
        <f t="shared" si="8"/>
        <v/>
      </c>
      <c r="AE33" s="24" t="s">
        <v>389</v>
      </c>
      <c r="AF33" s="24"/>
      <c r="AG33" s="24"/>
      <c r="AH33" s="24"/>
      <c r="AI33" s="24"/>
      <c r="AJ33" s="24"/>
      <c r="AK33" s="24"/>
      <c r="AL33" s="24"/>
      <c r="AM33" s="24"/>
      <c r="AN33" s="24"/>
      <c r="AO33" s="24"/>
      <c r="AP33" s="24"/>
      <c r="AQ33" s="24"/>
      <c r="AR33" s="24"/>
      <c r="AS33" s="24"/>
      <c r="AT33" s="24"/>
      <c r="AU33" s="24"/>
      <c r="AV33" s="24"/>
      <c r="AW33" s="24"/>
      <c r="AX33" s="24"/>
      <c r="AY33" s="24"/>
      <c r="AZ33" s="24"/>
    </row>
    <row r="34" spans="1:52" ht="20" customHeight="1" x14ac:dyDescent="0.2">
      <c r="A34" s="67"/>
      <c r="B34" s="96"/>
      <c r="C34" s="25" t="s">
        <v>86</v>
      </c>
      <c r="D34" s="24" t="s">
        <v>59</v>
      </c>
      <c r="E34" s="24" t="s">
        <v>60</v>
      </c>
      <c r="F34" s="25">
        <v>2009</v>
      </c>
      <c r="G34" s="25">
        <v>49</v>
      </c>
      <c r="H34" s="29">
        <v>22</v>
      </c>
      <c r="I34" s="28" t="s">
        <v>189</v>
      </c>
      <c r="J34" s="39" t="s">
        <v>209</v>
      </c>
      <c r="K34" s="40"/>
      <c r="L34" s="43" t="str">
        <f t="shared" si="0"/>
        <v/>
      </c>
      <c r="M34" s="40"/>
      <c r="N34" s="43" t="str">
        <f t="shared" si="1"/>
        <v/>
      </c>
      <c r="O34" s="40"/>
      <c r="P34" s="43" t="str">
        <f t="shared" si="2"/>
        <v/>
      </c>
      <c r="Q34" s="40"/>
      <c r="R34" s="43" t="str">
        <f t="shared" si="3"/>
        <v/>
      </c>
      <c r="S34" s="40"/>
      <c r="T34" s="43" t="str">
        <f t="shared" si="4"/>
        <v/>
      </c>
      <c r="U34" s="86"/>
      <c r="V34" s="43" t="str">
        <f t="shared" si="5"/>
        <v/>
      </c>
      <c r="W34" s="40"/>
      <c r="X34" s="43" t="str">
        <f t="shared" si="6"/>
        <v/>
      </c>
      <c r="Y34" s="40"/>
      <c r="Z34" s="43" t="str">
        <f t="shared" si="3"/>
        <v/>
      </c>
      <c r="AA34" s="40"/>
      <c r="AB34" s="43" t="str">
        <f t="shared" si="7"/>
        <v/>
      </c>
      <c r="AC34" s="40"/>
      <c r="AD34" s="43" t="str">
        <f t="shared" si="8"/>
        <v/>
      </c>
      <c r="AE34" s="24" t="s">
        <v>194</v>
      </c>
      <c r="AF34" s="24"/>
      <c r="AG34" s="24"/>
      <c r="AH34" s="24"/>
      <c r="AI34" s="24"/>
      <c r="AJ34" s="24"/>
      <c r="AK34" s="24"/>
      <c r="AL34" s="24"/>
      <c r="AM34" s="24"/>
      <c r="AN34" s="24"/>
      <c r="AO34" s="24"/>
      <c r="AP34" s="24"/>
      <c r="AQ34" s="24"/>
      <c r="AR34" s="24"/>
      <c r="AS34" s="24"/>
      <c r="AT34" s="24"/>
      <c r="AU34" s="24"/>
      <c r="AV34" s="24"/>
      <c r="AW34" s="24"/>
      <c r="AX34" s="24"/>
      <c r="AY34" s="24"/>
      <c r="AZ34" s="24"/>
    </row>
    <row r="35" spans="1:52" ht="20" customHeight="1" x14ac:dyDescent="0.2">
      <c r="A35" s="68"/>
      <c r="B35" s="96"/>
      <c r="C35" s="25" t="s">
        <v>86</v>
      </c>
      <c r="D35" s="24" t="s">
        <v>61</v>
      </c>
      <c r="E35" s="24" t="s">
        <v>62</v>
      </c>
      <c r="F35" s="25">
        <v>2006</v>
      </c>
      <c r="G35" s="25">
        <v>144</v>
      </c>
      <c r="H35" s="29">
        <v>25</v>
      </c>
      <c r="I35" s="28"/>
      <c r="J35" s="39" t="s">
        <v>210</v>
      </c>
      <c r="K35" s="40"/>
      <c r="L35" s="43" t="str">
        <f t="shared" si="0"/>
        <v/>
      </c>
      <c r="M35" s="40"/>
      <c r="N35" s="43" t="str">
        <f t="shared" si="1"/>
        <v/>
      </c>
      <c r="O35" s="40"/>
      <c r="P35" s="43" t="str">
        <f t="shared" si="2"/>
        <v/>
      </c>
      <c r="Q35" s="40"/>
      <c r="R35" s="43" t="str">
        <f t="shared" si="3"/>
        <v/>
      </c>
      <c r="S35" s="40"/>
      <c r="T35" s="43" t="str">
        <f t="shared" si="4"/>
        <v/>
      </c>
      <c r="U35" s="86"/>
      <c r="V35" s="43" t="str">
        <f t="shared" si="5"/>
        <v/>
      </c>
      <c r="W35" s="40"/>
      <c r="X35" s="43" t="str">
        <f t="shared" si="6"/>
        <v/>
      </c>
      <c r="Y35" s="40"/>
      <c r="Z35" s="43" t="str">
        <f t="shared" si="3"/>
        <v/>
      </c>
      <c r="AA35" s="40"/>
      <c r="AB35" s="43" t="str">
        <f t="shared" si="7"/>
        <v/>
      </c>
      <c r="AC35" s="40"/>
      <c r="AD35" s="43" t="str">
        <f t="shared" si="8"/>
        <v/>
      </c>
      <c r="AE35" s="24" t="s">
        <v>196</v>
      </c>
      <c r="AF35" s="24"/>
      <c r="AG35" s="24"/>
      <c r="AH35" s="24"/>
      <c r="AI35" s="24"/>
      <c r="AJ35" s="24"/>
      <c r="AK35" s="24"/>
      <c r="AL35" s="24"/>
      <c r="AM35" s="24"/>
      <c r="AN35" s="24"/>
      <c r="AO35" s="24"/>
      <c r="AP35" s="24"/>
      <c r="AQ35" s="24"/>
      <c r="AR35" s="24"/>
      <c r="AS35" s="24"/>
      <c r="AT35" s="24"/>
      <c r="AU35" s="24"/>
      <c r="AV35" s="24"/>
      <c r="AW35" s="24"/>
      <c r="AX35" s="24"/>
      <c r="AY35" s="24"/>
      <c r="AZ35" s="24"/>
    </row>
    <row r="36" spans="1:52" ht="20" customHeight="1" x14ac:dyDescent="0.2">
      <c r="A36" s="68"/>
      <c r="B36" s="25"/>
      <c r="D36" s="24" t="s">
        <v>309</v>
      </c>
      <c r="E36" s="24" t="s">
        <v>310</v>
      </c>
      <c r="F36" s="25">
        <v>2004</v>
      </c>
      <c r="H36" s="29"/>
      <c r="I36" s="28"/>
      <c r="J36" s="39"/>
      <c r="K36" s="40"/>
      <c r="L36" s="43" t="str">
        <f t="shared" si="0"/>
        <v/>
      </c>
      <c r="M36" s="40"/>
      <c r="N36" s="43" t="str">
        <f t="shared" si="1"/>
        <v/>
      </c>
      <c r="O36" s="40"/>
      <c r="P36" s="43" t="str">
        <f t="shared" si="2"/>
        <v/>
      </c>
      <c r="Q36" s="40"/>
      <c r="R36" s="43" t="str">
        <f t="shared" si="3"/>
        <v/>
      </c>
      <c r="S36" s="40"/>
      <c r="T36" s="43" t="str">
        <f t="shared" si="4"/>
        <v/>
      </c>
      <c r="U36" s="86"/>
      <c r="V36" s="43" t="str">
        <f t="shared" si="5"/>
        <v/>
      </c>
      <c r="W36" s="40"/>
      <c r="X36" s="43" t="str">
        <f t="shared" si="6"/>
        <v/>
      </c>
      <c r="Y36" s="40"/>
      <c r="Z36" s="43" t="str">
        <f t="shared" si="3"/>
        <v/>
      </c>
      <c r="AA36" s="40"/>
      <c r="AB36" s="43" t="str">
        <f t="shared" si="7"/>
        <v/>
      </c>
      <c r="AC36" s="40"/>
      <c r="AD36" s="43" t="str">
        <f t="shared" si="8"/>
        <v/>
      </c>
      <c r="AE36" s="24"/>
      <c r="AF36" s="24"/>
      <c r="AG36" s="24"/>
      <c r="AH36" s="24"/>
      <c r="AI36" s="24"/>
      <c r="AJ36" s="24"/>
      <c r="AK36" s="24"/>
      <c r="AL36" s="24"/>
      <c r="AM36" s="24"/>
      <c r="AN36" s="24"/>
      <c r="AO36" s="24"/>
      <c r="AP36" s="24"/>
      <c r="AQ36" s="24"/>
      <c r="AR36" s="24"/>
      <c r="AS36" s="24"/>
      <c r="AT36" s="24"/>
      <c r="AU36" s="24"/>
      <c r="AV36" s="24"/>
      <c r="AW36" s="24"/>
      <c r="AX36" s="24"/>
      <c r="AY36" s="24"/>
      <c r="AZ36" s="24"/>
    </row>
    <row r="37" spans="1:52" ht="20" customHeight="1" x14ac:dyDescent="0.2">
      <c r="A37" s="67"/>
      <c r="B37" s="95"/>
      <c r="C37" s="25" t="s">
        <v>86</v>
      </c>
      <c r="D37" s="24" t="s">
        <v>311</v>
      </c>
      <c r="E37" s="24" t="s">
        <v>312</v>
      </c>
      <c r="F37" s="25">
        <v>2014</v>
      </c>
      <c r="H37" s="29">
        <v>39</v>
      </c>
      <c r="I37" s="28"/>
      <c r="J37" s="39" t="s">
        <v>384</v>
      </c>
      <c r="K37" s="40">
        <v>23</v>
      </c>
      <c r="L37" s="43">
        <f t="shared" si="0"/>
        <v>58.974358974358978</v>
      </c>
      <c r="M37" s="40">
        <v>22</v>
      </c>
      <c r="N37" s="43">
        <f t="shared" si="1"/>
        <v>56.410256410256409</v>
      </c>
      <c r="O37" s="40">
        <v>22</v>
      </c>
      <c r="P37" s="43">
        <f t="shared" si="2"/>
        <v>56.410256410256409</v>
      </c>
      <c r="Q37" s="40"/>
      <c r="R37" s="43" t="str">
        <f t="shared" si="3"/>
        <v/>
      </c>
      <c r="S37" s="40"/>
      <c r="T37" s="43" t="str">
        <f t="shared" si="4"/>
        <v/>
      </c>
      <c r="U37" s="86"/>
      <c r="V37" s="43" t="str">
        <f t="shared" si="5"/>
        <v/>
      </c>
      <c r="W37" s="40"/>
      <c r="X37" s="43" t="str">
        <f t="shared" si="6"/>
        <v/>
      </c>
      <c r="Y37" s="40"/>
      <c r="Z37" s="43" t="str">
        <f t="shared" si="3"/>
        <v/>
      </c>
      <c r="AA37" s="40"/>
      <c r="AB37" s="43" t="str">
        <f t="shared" si="7"/>
        <v/>
      </c>
      <c r="AC37" s="40"/>
      <c r="AD37" s="43" t="str">
        <f t="shared" si="8"/>
        <v/>
      </c>
      <c r="AE37" s="24" t="s">
        <v>390</v>
      </c>
      <c r="AF37" s="24"/>
      <c r="AG37" s="24"/>
      <c r="AH37" s="24"/>
      <c r="AI37" s="24"/>
      <c r="AJ37" s="24"/>
      <c r="AK37" s="24"/>
      <c r="AL37" s="24"/>
      <c r="AM37" s="24"/>
      <c r="AN37" s="24"/>
      <c r="AO37" s="24"/>
      <c r="AP37" s="24"/>
      <c r="AQ37" s="24"/>
      <c r="AR37" s="24"/>
      <c r="AS37" s="24"/>
      <c r="AT37" s="24"/>
      <c r="AU37" s="24"/>
      <c r="AV37" s="24"/>
      <c r="AW37" s="24"/>
      <c r="AX37" s="24"/>
      <c r="AY37" s="24"/>
      <c r="AZ37" s="24"/>
    </row>
    <row r="38" spans="1:52" ht="20" customHeight="1" x14ac:dyDescent="0.2">
      <c r="A38" s="67"/>
      <c r="B38" s="25"/>
      <c r="C38" s="25" t="s">
        <v>86</v>
      </c>
      <c r="D38" s="24" t="s">
        <v>313</v>
      </c>
      <c r="E38" s="24" t="s">
        <v>314</v>
      </c>
      <c r="F38" s="25">
        <v>2015</v>
      </c>
      <c r="H38" s="29">
        <v>8</v>
      </c>
      <c r="I38" s="28" t="s">
        <v>238</v>
      </c>
      <c r="J38" s="39" t="s">
        <v>391</v>
      </c>
      <c r="K38" s="40"/>
      <c r="L38" s="43" t="str">
        <f t="shared" si="0"/>
        <v/>
      </c>
      <c r="M38" s="40"/>
      <c r="N38" s="43" t="str">
        <f t="shared" si="1"/>
        <v/>
      </c>
      <c r="O38" s="40">
        <v>2</v>
      </c>
      <c r="P38" s="43">
        <f t="shared" si="2"/>
        <v>25</v>
      </c>
      <c r="Q38" s="40"/>
      <c r="R38" s="43" t="str">
        <f t="shared" si="3"/>
        <v/>
      </c>
      <c r="S38" s="40"/>
      <c r="T38" s="43" t="str">
        <f t="shared" si="4"/>
        <v/>
      </c>
      <c r="U38" s="86"/>
      <c r="V38" s="43" t="str">
        <f t="shared" si="5"/>
        <v/>
      </c>
      <c r="W38" s="40"/>
      <c r="X38" s="43" t="str">
        <f t="shared" si="6"/>
        <v/>
      </c>
      <c r="Y38" s="40"/>
      <c r="Z38" s="43" t="str">
        <f t="shared" si="3"/>
        <v/>
      </c>
      <c r="AA38" s="40"/>
      <c r="AB38" s="43" t="str">
        <f t="shared" si="7"/>
        <v/>
      </c>
      <c r="AC38" s="40"/>
      <c r="AD38" s="43" t="str">
        <f t="shared" si="8"/>
        <v/>
      </c>
      <c r="AE38" s="24" t="s">
        <v>392</v>
      </c>
      <c r="AF38" s="24"/>
      <c r="AG38" s="24"/>
      <c r="AH38" s="24"/>
      <c r="AI38" s="24"/>
      <c r="AJ38" s="24"/>
      <c r="AK38" s="24"/>
      <c r="AL38" s="24"/>
      <c r="AM38" s="24"/>
      <c r="AN38" s="24"/>
      <c r="AO38" s="24"/>
      <c r="AP38" s="24"/>
      <c r="AQ38" s="24"/>
      <c r="AR38" s="24"/>
      <c r="AS38" s="24"/>
      <c r="AT38" s="24"/>
      <c r="AU38" s="24"/>
      <c r="AV38" s="24"/>
      <c r="AW38" s="24"/>
      <c r="AX38" s="24"/>
      <c r="AY38" s="24"/>
      <c r="AZ38" s="24"/>
    </row>
    <row r="39" spans="1:52" ht="20" customHeight="1" x14ac:dyDescent="0.2">
      <c r="A39" s="68"/>
      <c r="B39" s="95"/>
      <c r="C39" s="25" t="s">
        <v>86</v>
      </c>
      <c r="D39" s="24" t="s">
        <v>315</v>
      </c>
      <c r="E39" s="24" t="s">
        <v>316</v>
      </c>
      <c r="F39" s="25">
        <v>2001</v>
      </c>
      <c r="H39" s="29">
        <v>9</v>
      </c>
      <c r="I39" s="28"/>
      <c r="J39" s="39" t="s">
        <v>393</v>
      </c>
      <c r="K39" s="40"/>
      <c r="L39" s="43" t="str">
        <f t="shared" si="0"/>
        <v/>
      </c>
      <c r="M39" s="40"/>
      <c r="N39" s="43" t="str">
        <f t="shared" si="1"/>
        <v/>
      </c>
      <c r="O39" s="40"/>
      <c r="P39" s="43" t="str">
        <f t="shared" si="2"/>
        <v/>
      </c>
      <c r="Q39" s="40"/>
      <c r="R39" s="43" t="str">
        <f t="shared" si="3"/>
        <v/>
      </c>
      <c r="S39" s="40"/>
      <c r="T39" s="43" t="str">
        <f t="shared" si="4"/>
        <v/>
      </c>
      <c r="U39" s="47"/>
      <c r="V39" s="46" t="str">
        <f t="shared" si="5"/>
        <v/>
      </c>
      <c r="W39" s="40"/>
      <c r="X39" s="43" t="str">
        <f t="shared" si="6"/>
        <v/>
      </c>
      <c r="Y39" s="40"/>
      <c r="Z39" s="43" t="str">
        <f t="shared" si="3"/>
        <v/>
      </c>
      <c r="AA39" s="40"/>
      <c r="AB39" s="43" t="str">
        <f t="shared" si="7"/>
        <v/>
      </c>
      <c r="AC39" s="40"/>
      <c r="AD39" s="43" t="str">
        <f t="shared" si="8"/>
        <v/>
      </c>
      <c r="AE39" s="24" t="s">
        <v>394</v>
      </c>
      <c r="AF39" s="24"/>
      <c r="AG39" s="24"/>
      <c r="AH39" s="24"/>
      <c r="AI39" s="24"/>
      <c r="AJ39" s="24"/>
      <c r="AK39" s="24"/>
      <c r="AL39" s="24"/>
      <c r="AM39" s="24"/>
      <c r="AN39" s="24"/>
      <c r="AO39" s="24"/>
      <c r="AP39" s="24"/>
      <c r="AQ39" s="24"/>
      <c r="AR39" s="24"/>
      <c r="AS39" s="24"/>
      <c r="AT39" s="24"/>
      <c r="AU39" s="24"/>
      <c r="AV39" s="24"/>
      <c r="AW39" s="24"/>
      <c r="AX39" s="24"/>
      <c r="AY39" s="24"/>
      <c r="AZ39" s="24"/>
    </row>
    <row r="40" spans="1:52" ht="20" customHeight="1" x14ac:dyDescent="0.2">
      <c r="A40" s="67"/>
      <c r="B40" s="95"/>
      <c r="C40" s="25" t="s">
        <v>86</v>
      </c>
      <c r="D40" s="24" t="s">
        <v>63</v>
      </c>
      <c r="E40" s="24" t="s">
        <v>64</v>
      </c>
      <c r="F40" s="25">
        <v>2012</v>
      </c>
      <c r="G40" s="25">
        <v>83</v>
      </c>
      <c r="H40" s="29">
        <v>146</v>
      </c>
      <c r="I40" s="28" t="s">
        <v>197</v>
      </c>
      <c r="J40" s="39" t="s">
        <v>211</v>
      </c>
      <c r="K40" s="40"/>
      <c r="L40" s="43" t="str">
        <f t="shared" si="0"/>
        <v/>
      </c>
      <c r="M40" s="40"/>
      <c r="N40" s="43" t="str">
        <f t="shared" si="1"/>
        <v/>
      </c>
      <c r="O40" s="40"/>
      <c r="P40" s="43" t="str">
        <f t="shared" si="2"/>
        <v/>
      </c>
      <c r="Q40" s="40"/>
      <c r="R40" s="43" t="str">
        <f t="shared" si="3"/>
        <v/>
      </c>
      <c r="S40" s="40"/>
      <c r="T40" s="43" t="str">
        <f t="shared" si="4"/>
        <v/>
      </c>
      <c r="U40" s="86"/>
      <c r="V40" s="43"/>
      <c r="W40" s="40"/>
      <c r="X40" s="43" t="str">
        <f t="shared" si="6"/>
        <v/>
      </c>
      <c r="Y40" s="40"/>
      <c r="Z40" s="43" t="str">
        <f t="shared" si="3"/>
        <v/>
      </c>
      <c r="AA40" s="40"/>
      <c r="AB40" s="43" t="str">
        <f t="shared" si="7"/>
        <v/>
      </c>
      <c r="AC40" s="40"/>
      <c r="AD40" s="43" t="str">
        <f t="shared" si="8"/>
        <v/>
      </c>
      <c r="AE40" s="24" t="s">
        <v>199</v>
      </c>
      <c r="AF40" s="24"/>
      <c r="AG40" s="24"/>
      <c r="AH40" s="24"/>
      <c r="AI40" s="24"/>
      <c r="AJ40" s="24"/>
      <c r="AK40" s="24"/>
      <c r="AL40" s="24"/>
      <c r="AM40" s="24"/>
      <c r="AN40" s="24"/>
      <c r="AO40" s="24"/>
      <c r="AP40" s="24"/>
      <c r="AQ40" s="24"/>
      <c r="AR40" s="24"/>
      <c r="AS40" s="24"/>
      <c r="AT40" s="24"/>
      <c r="AU40" s="24"/>
      <c r="AV40" s="24"/>
      <c r="AW40" s="24"/>
      <c r="AX40" s="24"/>
      <c r="AY40" s="24"/>
      <c r="AZ40" s="24"/>
    </row>
    <row r="41" spans="1:52" ht="20" customHeight="1" x14ac:dyDescent="0.2">
      <c r="A41" s="67"/>
      <c r="B41" s="97"/>
      <c r="C41" s="25" t="s">
        <v>86</v>
      </c>
      <c r="D41" s="24" t="s">
        <v>69</v>
      </c>
      <c r="E41" s="24" t="s">
        <v>70</v>
      </c>
      <c r="F41" s="25">
        <v>2004</v>
      </c>
      <c r="G41" s="25">
        <v>61</v>
      </c>
      <c r="H41" s="29">
        <v>16</v>
      </c>
      <c r="I41" s="28" t="s">
        <v>201</v>
      </c>
      <c r="J41" s="39" t="s">
        <v>212</v>
      </c>
      <c r="K41" s="40"/>
      <c r="L41" s="43" t="str">
        <f t="shared" si="0"/>
        <v/>
      </c>
      <c r="M41" s="40"/>
      <c r="N41" s="43" t="str">
        <f t="shared" si="1"/>
        <v/>
      </c>
      <c r="O41" s="40"/>
      <c r="P41" s="43" t="str">
        <f t="shared" si="2"/>
        <v/>
      </c>
      <c r="Q41" s="40"/>
      <c r="R41" s="43" t="str">
        <f t="shared" si="3"/>
        <v/>
      </c>
      <c r="S41" s="40"/>
      <c r="T41" s="43" t="str">
        <f t="shared" si="4"/>
        <v/>
      </c>
      <c r="U41" s="86"/>
      <c r="V41" s="43" t="str">
        <f t="shared" ref="V41:V82" si="9">IF((ISERROR((U41/$H41)*100)), "", IF(AND(NOT(ISERROR((U41/$H41)*100)),((U41/$H41)*100) &lt;&gt; 0), (U41/$H41)*100, ""))</f>
        <v/>
      </c>
      <c r="W41" s="40"/>
      <c r="X41" s="43" t="str">
        <f t="shared" si="6"/>
        <v/>
      </c>
      <c r="Y41" s="40"/>
      <c r="Z41" s="43" t="str">
        <f t="shared" si="3"/>
        <v/>
      </c>
      <c r="AA41" s="40"/>
      <c r="AB41" s="43" t="str">
        <f t="shared" si="7"/>
        <v/>
      </c>
      <c r="AC41" s="40"/>
      <c r="AD41" s="43" t="str">
        <f t="shared" si="8"/>
        <v/>
      </c>
      <c r="AE41" s="24" t="s">
        <v>202</v>
      </c>
      <c r="AF41" s="24"/>
      <c r="AG41" s="24"/>
      <c r="AH41" s="24"/>
      <c r="AI41" s="24"/>
      <c r="AJ41" s="24"/>
      <c r="AK41" s="24"/>
      <c r="AL41" s="24"/>
      <c r="AM41" s="24"/>
      <c r="AN41" s="24"/>
      <c r="AO41" s="24"/>
      <c r="AP41" s="24"/>
      <c r="AQ41" s="24"/>
      <c r="AR41" s="24"/>
      <c r="AS41" s="24"/>
      <c r="AT41" s="24"/>
      <c r="AU41" s="24"/>
      <c r="AV41" s="24"/>
      <c r="AW41" s="24"/>
      <c r="AX41" s="24"/>
      <c r="AY41" s="24"/>
      <c r="AZ41" s="24"/>
    </row>
    <row r="42" spans="1:52" ht="20" customHeight="1" x14ac:dyDescent="0.2">
      <c r="A42" s="67"/>
      <c r="B42" s="96"/>
      <c r="C42" s="25" t="s">
        <v>86</v>
      </c>
      <c r="D42" s="24" t="s">
        <v>71</v>
      </c>
      <c r="E42" s="24" t="s">
        <v>70</v>
      </c>
      <c r="F42" s="25">
        <v>2004</v>
      </c>
      <c r="G42" s="25">
        <v>45</v>
      </c>
      <c r="H42" s="29">
        <v>16</v>
      </c>
      <c r="I42" s="28" t="s">
        <v>201</v>
      </c>
      <c r="J42" s="39" t="s">
        <v>212</v>
      </c>
      <c r="K42" s="40"/>
      <c r="L42" s="43" t="str">
        <f t="shared" si="0"/>
        <v/>
      </c>
      <c r="M42" s="40"/>
      <c r="N42" s="43" t="str">
        <f t="shared" si="1"/>
        <v/>
      </c>
      <c r="O42" s="40"/>
      <c r="P42" s="43" t="str">
        <f t="shared" si="2"/>
        <v/>
      </c>
      <c r="Q42" s="40"/>
      <c r="R42" s="43" t="str">
        <f t="shared" si="3"/>
        <v/>
      </c>
      <c r="S42" s="40"/>
      <c r="T42" s="43" t="str">
        <f t="shared" si="4"/>
        <v/>
      </c>
      <c r="U42" s="86"/>
      <c r="V42" s="43" t="str">
        <f t="shared" si="9"/>
        <v/>
      </c>
      <c r="W42" s="40"/>
      <c r="X42" s="43" t="str">
        <f t="shared" si="6"/>
        <v/>
      </c>
      <c r="Y42" s="40"/>
      <c r="Z42" s="43" t="str">
        <f t="shared" si="3"/>
        <v/>
      </c>
      <c r="AA42" s="40"/>
      <c r="AB42" s="43" t="str">
        <f t="shared" si="7"/>
        <v/>
      </c>
      <c r="AC42" s="40"/>
      <c r="AD42" s="43" t="str">
        <f t="shared" si="8"/>
        <v/>
      </c>
      <c r="AE42" s="24" t="s">
        <v>196</v>
      </c>
      <c r="AF42" s="24"/>
      <c r="AG42" s="24"/>
      <c r="AH42" s="24"/>
      <c r="AI42" s="24"/>
      <c r="AJ42" s="24"/>
      <c r="AK42" s="24"/>
      <c r="AL42" s="24"/>
      <c r="AM42" s="24"/>
      <c r="AN42" s="24"/>
      <c r="AO42" s="24"/>
      <c r="AP42" s="24"/>
      <c r="AQ42" s="24"/>
      <c r="AR42" s="24"/>
      <c r="AS42" s="24"/>
      <c r="AT42" s="24"/>
      <c r="AU42" s="24"/>
      <c r="AV42" s="24"/>
      <c r="AW42" s="24"/>
      <c r="AX42" s="24"/>
      <c r="AY42" s="24"/>
      <c r="AZ42" s="24"/>
    </row>
    <row r="43" spans="1:52" ht="20" customHeight="1" x14ac:dyDescent="0.2">
      <c r="A43" s="67"/>
      <c r="B43" s="95"/>
      <c r="D43" s="24" t="s">
        <v>317</v>
      </c>
      <c r="E43" s="24" t="s">
        <v>320</v>
      </c>
      <c r="F43" s="25">
        <v>2008</v>
      </c>
      <c r="H43" s="29"/>
      <c r="I43" s="28"/>
      <c r="J43" s="39" t="s">
        <v>395</v>
      </c>
      <c r="K43" s="40"/>
      <c r="L43" s="43" t="str">
        <f t="shared" ref="L43:L74" si="10">IF((ISERROR((K43/$H43)*100)), "", IF(AND(NOT(ISERROR((K43/$H43)*100)),((K43/$H43)*100) &lt;&gt; 0), (K43/$H43)*100, ""))</f>
        <v/>
      </c>
      <c r="M43" s="40"/>
      <c r="N43" s="43" t="str">
        <f t="shared" si="1"/>
        <v/>
      </c>
      <c r="O43" s="40">
        <v>2</v>
      </c>
      <c r="P43" s="43" t="str">
        <f t="shared" si="2"/>
        <v/>
      </c>
      <c r="Q43" s="40"/>
      <c r="R43" s="43" t="str">
        <f t="shared" si="3"/>
        <v/>
      </c>
      <c r="S43" s="40"/>
      <c r="T43" s="43" t="str">
        <f t="shared" si="4"/>
        <v/>
      </c>
      <c r="U43" s="86"/>
      <c r="V43" s="43" t="str">
        <f t="shared" si="9"/>
        <v/>
      </c>
      <c r="W43" s="40"/>
      <c r="X43" s="43" t="str">
        <f t="shared" ref="X43:X74" si="11">IF((ISERROR((W43/$H43)*100)), "", IF(AND(NOT(ISERROR((W43/$H43)*100)),((W43/$H43)*100) &lt;&gt; 0), (W43/$H43)*100, ""))</f>
        <v/>
      </c>
      <c r="Y43" s="40"/>
      <c r="Z43" s="43" t="str">
        <f t="shared" si="3"/>
        <v/>
      </c>
      <c r="AA43" s="40"/>
      <c r="AB43" s="43" t="str">
        <f t="shared" si="7"/>
        <v/>
      </c>
      <c r="AC43" s="40"/>
      <c r="AD43" s="43" t="str">
        <f t="shared" si="8"/>
        <v/>
      </c>
      <c r="AE43" s="24"/>
      <c r="AF43" s="24"/>
      <c r="AG43" s="24"/>
      <c r="AH43" s="24"/>
      <c r="AI43" s="24"/>
      <c r="AJ43" s="24"/>
      <c r="AK43" s="24"/>
      <c r="AL43" s="24"/>
      <c r="AM43" s="24"/>
      <c r="AN43" s="24"/>
      <c r="AO43" s="24"/>
      <c r="AP43" s="24"/>
      <c r="AQ43" s="24"/>
      <c r="AR43" s="24"/>
      <c r="AS43" s="24"/>
      <c r="AT43" s="24"/>
      <c r="AU43" s="24"/>
      <c r="AV43" s="24"/>
      <c r="AW43" s="24"/>
      <c r="AX43" s="24"/>
      <c r="AY43" s="24"/>
      <c r="AZ43" s="24"/>
    </row>
    <row r="44" spans="1:52" ht="20" customHeight="1" x14ac:dyDescent="0.2">
      <c r="A44" s="67"/>
      <c r="B44" s="96"/>
      <c r="C44" s="25" t="s">
        <v>86</v>
      </c>
      <c r="D44" s="24" t="s">
        <v>318</v>
      </c>
      <c r="E44" s="24" t="s">
        <v>319</v>
      </c>
      <c r="F44" s="25">
        <v>2013</v>
      </c>
      <c r="H44" s="29">
        <v>54</v>
      </c>
      <c r="I44" s="28"/>
      <c r="J44" s="39"/>
      <c r="K44" s="40"/>
      <c r="L44" s="43" t="str">
        <f t="shared" si="10"/>
        <v/>
      </c>
      <c r="M44" s="40"/>
      <c r="N44" s="43" t="str">
        <f t="shared" si="1"/>
        <v/>
      </c>
      <c r="O44" s="40"/>
      <c r="P44" s="43" t="str">
        <f t="shared" si="2"/>
        <v/>
      </c>
      <c r="Q44" s="40"/>
      <c r="R44" s="43" t="str">
        <f t="shared" si="3"/>
        <v/>
      </c>
      <c r="S44" s="40"/>
      <c r="T44" s="43" t="str">
        <f t="shared" si="4"/>
        <v/>
      </c>
      <c r="U44" s="86"/>
      <c r="V44" s="43" t="str">
        <f t="shared" si="9"/>
        <v/>
      </c>
      <c r="W44" s="40"/>
      <c r="X44" s="43" t="str">
        <f t="shared" si="11"/>
        <v/>
      </c>
      <c r="Y44" s="40"/>
      <c r="Z44" s="43" t="str">
        <f t="shared" si="3"/>
        <v/>
      </c>
      <c r="AA44" s="40"/>
      <c r="AB44" s="43" t="str">
        <f t="shared" si="7"/>
        <v/>
      </c>
      <c r="AC44" s="40"/>
      <c r="AD44" s="43" t="str">
        <f t="shared" si="8"/>
        <v/>
      </c>
      <c r="AE44" s="24" t="s">
        <v>396</v>
      </c>
      <c r="AF44" s="24"/>
      <c r="AG44" s="24"/>
      <c r="AH44" s="24"/>
      <c r="AI44" s="24"/>
      <c r="AJ44" s="24"/>
      <c r="AK44" s="24"/>
      <c r="AL44" s="24"/>
      <c r="AM44" s="24"/>
      <c r="AN44" s="24"/>
      <c r="AO44" s="24"/>
      <c r="AP44" s="24"/>
      <c r="AQ44" s="24"/>
      <c r="AR44" s="24"/>
      <c r="AS44" s="24"/>
      <c r="AT44" s="24"/>
      <c r="AU44" s="24"/>
      <c r="AV44" s="24"/>
      <c r="AW44" s="24"/>
      <c r="AX44" s="24"/>
      <c r="AY44" s="24"/>
      <c r="AZ44" s="24"/>
    </row>
    <row r="45" spans="1:52" ht="20" customHeight="1" x14ac:dyDescent="0.2">
      <c r="A45" s="68"/>
      <c r="B45" s="25"/>
      <c r="C45" s="25" t="s">
        <v>86</v>
      </c>
      <c r="D45" s="24" t="s">
        <v>397</v>
      </c>
      <c r="E45" s="24" t="s">
        <v>73</v>
      </c>
      <c r="F45" s="25">
        <v>2014</v>
      </c>
      <c r="G45" s="25">
        <v>23</v>
      </c>
      <c r="H45" s="29">
        <v>28</v>
      </c>
      <c r="I45" s="28" t="s">
        <v>203</v>
      </c>
      <c r="J45" s="39" t="s">
        <v>213</v>
      </c>
      <c r="K45" s="40"/>
      <c r="L45" s="43" t="str">
        <f t="shared" si="10"/>
        <v/>
      </c>
      <c r="M45" s="40"/>
      <c r="N45" s="43" t="str">
        <f t="shared" si="1"/>
        <v/>
      </c>
      <c r="O45" s="40"/>
      <c r="P45" s="43" t="str">
        <f t="shared" si="2"/>
        <v/>
      </c>
      <c r="Q45" s="40"/>
      <c r="R45" s="43" t="str">
        <f t="shared" si="3"/>
        <v/>
      </c>
      <c r="S45" s="40"/>
      <c r="T45" s="43" t="str">
        <f t="shared" si="4"/>
        <v/>
      </c>
      <c r="U45" s="86"/>
      <c r="V45" s="43" t="str">
        <f t="shared" si="9"/>
        <v/>
      </c>
      <c r="W45" s="40"/>
      <c r="X45" s="43" t="str">
        <f t="shared" si="11"/>
        <v/>
      </c>
      <c r="Y45" s="40"/>
      <c r="Z45" s="43" t="str">
        <f t="shared" si="3"/>
        <v/>
      </c>
      <c r="AA45" s="40"/>
      <c r="AB45" s="43" t="str">
        <f t="shared" si="7"/>
        <v/>
      </c>
      <c r="AC45" s="40"/>
      <c r="AD45" s="43" t="str">
        <f t="shared" si="8"/>
        <v/>
      </c>
      <c r="AE45" s="24" t="s">
        <v>204</v>
      </c>
      <c r="AF45" s="24"/>
      <c r="AG45" s="24"/>
      <c r="AH45" s="24"/>
      <c r="AI45" s="24"/>
      <c r="AJ45" s="24"/>
      <c r="AK45" s="24"/>
      <c r="AL45" s="24"/>
      <c r="AM45" s="24"/>
      <c r="AN45" s="24"/>
      <c r="AO45" s="24"/>
      <c r="AP45" s="24"/>
      <c r="AQ45" s="24"/>
      <c r="AR45" s="24"/>
      <c r="AS45" s="24"/>
      <c r="AT45" s="24"/>
      <c r="AU45" s="24"/>
      <c r="AV45" s="24"/>
      <c r="AW45" s="24"/>
      <c r="AX45" s="24"/>
      <c r="AY45" s="24"/>
      <c r="AZ45" s="24"/>
    </row>
    <row r="46" spans="1:52" ht="20" customHeight="1" x14ac:dyDescent="0.2">
      <c r="A46" s="67"/>
      <c r="B46" s="95"/>
      <c r="C46" s="25" t="s">
        <v>86</v>
      </c>
      <c r="D46" s="24" t="s">
        <v>321</v>
      </c>
      <c r="E46" s="24" t="s">
        <v>322</v>
      </c>
      <c r="F46" s="25">
        <v>2014</v>
      </c>
      <c r="H46" s="29">
        <v>28</v>
      </c>
      <c r="I46" s="28" t="s">
        <v>203</v>
      </c>
      <c r="J46" s="39" t="s">
        <v>213</v>
      </c>
      <c r="K46" s="40"/>
      <c r="L46" s="43" t="str">
        <f t="shared" si="10"/>
        <v/>
      </c>
      <c r="M46" s="40"/>
      <c r="N46" s="43" t="str">
        <f t="shared" si="1"/>
        <v/>
      </c>
      <c r="O46" s="40"/>
      <c r="P46" s="43" t="str">
        <f t="shared" si="2"/>
        <v/>
      </c>
      <c r="Q46" s="40"/>
      <c r="R46" s="43" t="str">
        <f t="shared" si="3"/>
        <v/>
      </c>
      <c r="S46" s="40"/>
      <c r="T46" s="43" t="str">
        <f t="shared" si="4"/>
        <v/>
      </c>
      <c r="U46" s="86">
        <v>3</v>
      </c>
      <c r="V46" s="43">
        <f t="shared" si="9"/>
        <v>10.714285714285714</v>
      </c>
      <c r="W46" s="40"/>
      <c r="X46" s="43" t="str">
        <f t="shared" si="11"/>
        <v/>
      </c>
      <c r="Y46" s="40"/>
      <c r="Z46" s="43" t="str">
        <f t="shared" si="3"/>
        <v/>
      </c>
      <c r="AA46" s="40"/>
      <c r="AB46" s="43" t="str">
        <f t="shared" si="7"/>
        <v/>
      </c>
      <c r="AC46" s="40"/>
      <c r="AD46" s="43" t="str">
        <f t="shared" si="8"/>
        <v/>
      </c>
      <c r="AE46" s="24" t="s">
        <v>398</v>
      </c>
      <c r="AF46" s="24"/>
      <c r="AG46" s="24"/>
      <c r="AH46" s="24"/>
      <c r="AI46" s="24"/>
      <c r="AJ46" s="24"/>
      <c r="AK46" s="24"/>
      <c r="AL46" s="24"/>
      <c r="AM46" s="24"/>
      <c r="AN46" s="24"/>
      <c r="AO46" s="24"/>
      <c r="AP46" s="24"/>
      <c r="AQ46" s="24"/>
      <c r="AR46" s="24"/>
      <c r="AS46" s="24"/>
      <c r="AT46" s="24"/>
      <c r="AU46" s="24"/>
      <c r="AV46" s="24"/>
      <c r="AW46" s="24"/>
      <c r="AX46" s="24"/>
      <c r="AY46" s="24"/>
      <c r="AZ46" s="24"/>
    </row>
    <row r="47" spans="1:52" ht="20" customHeight="1" x14ac:dyDescent="0.2">
      <c r="A47" s="68"/>
      <c r="B47" s="25"/>
      <c r="C47" s="25" t="s">
        <v>86</v>
      </c>
      <c r="D47" s="24" t="s">
        <v>78</v>
      </c>
      <c r="E47" s="24" t="s">
        <v>79</v>
      </c>
      <c r="F47" s="25">
        <v>2009</v>
      </c>
      <c r="G47" s="25">
        <v>134</v>
      </c>
      <c r="H47" s="29">
        <v>94</v>
      </c>
      <c r="I47" s="28"/>
      <c r="J47" s="39"/>
      <c r="K47" s="40"/>
      <c r="L47" s="43" t="str">
        <f t="shared" si="10"/>
        <v/>
      </c>
      <c r="M47" s="40"/>
      <c r="N47" s="43" t="str">
        <f t="shared" si="1"/>
        <v/>
      </c>
      <c r="O47" s="40"/>
      <c r="P47" s="43" t="str">
        <f t="shared" si="2"/>
        <v/>
      </c>
      <c r="Q47" s="40"/>
      <c r="R47" s="43" t="str">
        <f t="shared" si="3"/>
        <v/>
      </c>
      <c r="S47" s="40"/>
      <c r="T47" s="43" t="str">
        <f t="shared" si="4"/>
        <v/>
      </c>
      <c r="U47" s="86"/>
      <c r="V47" s="43" t="str">
        <f t="shared" si="9"/>
        <v/>
      </c>
      <c r="W47" s="40"/>
      <c r="X47" s="43" t="str">
        <f t="shared" si="11"/>
        <v/>
      </c>
      <c r="Y47" s="40"/>
      <c r="Z47" s="43" t="str">
        <f t="shared" si="3"/>
        <v/>
      </c>
      <c r="AA47" s="40"/>
      <c r="AB47" s="43" t="str">
        <f t="shared" si="7"/>
        <v/>
      </c>
      <c r="AC47" s="40"/>
      <c r="AD47" s="43" t="str">
        <f t="shared" si="8"/>
        <v/>
      </c>
      <c r="AE47" s="24" t="s">
        <v>207</v>
      </c>
      <c r="AF47" s="24"/>
      <c r="AG47" s="24"/>
      <c r="AH47" s="24"/>
      <c r="AI47" s="24"/>
      <c r="AJ47" s="24"/>
      <c r="AK47" s="24"/>
      <c r="AL47" s="24"/>
      <c r="AM47" s="24"/>
      <c r="AN47" s="24"/>
      <c r="AO47" s="24"/>
      <c r="AP47" s="24"/>
      <c r="AQ47" s="24"/>
      <c r="AR47" s="24"/>
      <c r="AS47" s="24"/>
      <c r="AT47" s="24"/>
      <c r="AU47" s="24"/>
      <c r="AV47" s="24"/>
      <c r="AW47" s="24"/>
      <c r="AX47" s="24"/>
      <c r="AY47" s="24"/>
      <c r="AZ47" s="24"/>
    </row>
    <row r="48" spans="1:52" ht="20" customHeight="1" x14ac:dyDescent="0.2">
      <c r="A48" s="67"/>
      <c r="B48" s="96"/>
      <c r="C48" s="25" t="s">
        <v>86</v>
      </c>
      <c r="D48" s="24" t="s">
        <v>323</v>
      </c>
      <c r="E48" s="24" t="s">
        <v>324</v>
      </c>
      <c r="F48" s="25">
        <v>2011</v>
      </c>
      <c r="H48" s="29">
        <v>4</v>
      </c>
      <c r="I48" s="28"/>
      <c r="J48" s="39"/>
      <c r="K48" s="40"/>
      <c r="L48" s="43" t="str">
        <f t="shared" si="10"/>
        <v/>
      </c>
      <c r="M48" s="40"/>
      <c r="N48" s="43" t="str">
        <f t="shared" si="1"/>
        <v/>
      </c>
      <c r="O48" s="40"/>
      <c r="P48" s="43" t="str">
        <f t="shared" si="2"/>
        <v/>
      </c>
      <c r="Q48" s="40"/>
      <c r="R48" s="43" t="str">
        <f t="shared" si="3"/>
        <v/>
      </c>
      <c r="S48" s="40"/>
      <c r="T48" s="43" t="str">
        <f t="shared" si="4"/>
        <v/>
      </c>
      <c r="U48" s="86"/>
      <c r="V48" s="43" t="str">
        <f t="shared" si="9"/>
        <v/>
      </c>
      <c r="W48" s="40"/>
      <c r="X48" s="43" t="str">
        <f t="shared" si="11"/>
        <v/>
      </c>
      <c r="Y48" s="40"/>
      <c r="Z48" s="43" t="str">
        <f t="shared" si="3"/>
        <v/>
      </c>
      <c r="AA48" s="40"/>
      <c r="AB48" s="43" t="str">
        <f t="shared" si="7"/>
        <v/>
      </c>
      <c r="AC48" s="40"/>
      <c r="AD48" s="43" t="str">
        <f t="shared" si="8"/>
        <v/>
      </c>
      <c r="AE48" s="24"/>
      <c r="AF48" s="24"/>
      <c r="AG48" s="24"/>
      <c r="AH48" s="24"/>
      <c r="AI48" s="24"/>
      <c r="AJ48" s="24"/>
      <c r="AK48" s="24"/>
      <c r="AL48" s="24"/>
      <c r="AM48" s="24"/>
      <c r="AN48" s="24"/>
      <c r="AO48" s="24"/>
      <c r="AP48" s="24"/>
      <c r="AQ48" s="24"/>
      <c r="AR48" s="24"/>
      <c r="AS48" s="24"/>
      <c r="AT48" s="24"/>
      <c r="AU48" s="24"/>
      <c r="AV48" s="24"/>
      <c r="AW48" s="24"/>
      <c r="AX48" s="24"/>
      <c r="AY48" s="24"/>
      <c r="AZ48" s="24"/>
    </row>
    <row r="49" spans="1:52" ht="20" customHeight="1" x14ac:dyDescent="0.2">
      <c r="A49" s="67"/>
      <c r="B49" s="96"/>
      <c r="C49" s="25" t="s">
        <v>86</v>
      </c>
      <c r="D49" s="24" t="s">
        <v>325</v>
      </c>
      <c r="E49" s="24" t="s">
        <v>326</v>
      </c>
      <c r="F49" s="25">
        <v>2015</v>
      </c>
      <c r="H49" s="29">
        <v>10</v>
      </c>
      <c r="I49" s="28" t="s">
        <v>386</v>
      </c>
      <c r="J49" s="39" t="s">
        <v>399</v>
      </c>
      <c r="K49" s="40"/>
      <c r="L49" s="43" t="str">
        <f t="shared" si="10"/>
        <v/>
      </c>
      <c r="M49" s="40"/>
      <c r="N49" s="43" t="str">
        <f t="shared" si="1"/>
        <v/>
      </c>
      <c r="O49" s="40"/>
      <c r="P49" s="43" t="str">
        <f t="shared" si="2"/>
        <v/>
      </c>
      <c r="Q49" s="40"/>
      <c r="R49" s="43" t="str">
        <f t="shared" si="3"/>
        <v/>
      </c>
      <c r="S49" s="40"/>
      <c r="T49" s="43" t="str">
        <f t="shared" si="4"/>
        <v/>
      </c>
      <c r="U49" s="86"/>
      <c r="V49" s="43" t="str">
        <f t="shared" si="9"/>
        <v/>
      </c>
      <c r="W49" s="40"/>
      <c r="X49" s="43" t="str">
        <f t="shared" si="11"/>
        <v/>
      </c>
      <c r="Y49" s="40"/>
      <c r="Z49" s="43" t="str">
        <f t="shared" si="3"/>
        <v/>
      </c>
      <c r="AA49" s="40"/>
      <c r="AB49" s="43" t="str">
        <f t="shared" si="7"/>
        <v/>
      </c>
      <c r="AC49" s="40"/>
      <c r="AD49" s="43" t="str">
        <f t="shared" si="8"/>
        <v/>
      </c>
      <c r="AE49" s="24"/>
      <c r="AF49" s="24"/>
      <c r="AG49" s="24"/>
      <c r="AH49" s="24"/>
      <c r="AI49" s="24"/>
      <c r="AJ49" s="24"/>
      <c r="AK49" s="24"/>
      <c r="AL49" s="24"/>
      <c r="AM49" s="24"/>
      <c r="AN49" s="24"/>
      <c r="AO49" s="24"/>
      <c r="AP49" s="24"/>
      <c r="AQ49" s="24"/>
      <c r="AR49" s="24"/>
      <c r="AS49" s="24"/>
      <c r="AT49" s="24"/>
      <c r="AU49" s="24"/>
      <c r="AV49" s="24"/>
      <c r="AW49" s="24"/>
      <c r="AX49" s="24"/>
      <c r="AY49" s="24"/>
      <c r="AZ49" s="24"/>
    </row>
    <row r="50" spans="1:52" ht="20" customHeight="1" x14ac:dyDescent="0.2">
      <c r="A50" s="67"/>
      <c r="B50" s="95"/>
      <c r="C50" s="25" t="s">
        <v>86</v>
      </c>
      <c r="D50" s="24" t="s">
        <v>80</v>
      </c>
      <c r="E50" s="24" t="s">
        <v>81</v>
      </c>
      <c r="F50" s="25">
        <v>2015</v>
      </c>
      <c r="G50" s="25">
        <v>10</v>
      </c>
      <c r="H50" s="29">
        <v>11</v>
      </c>
      <c r="I50" s="28" t="s">
        <v>215</v>
      </c>
      <c r="J50" s="39" t="s">
        <v>176</v>
      </c>
      <c r="K50" s="40"/>
      <c r="L50" s="43" t="str">
        <f t="shared" si="10"/>
        <v/>
      </c>
      <c r="M50" s="40"/>
      <c r="N50" s="43" t="str">
        <f t="shared" si="1"/>
        <v/>
      </c>
      <c r="O50" s="40"/>
      <c r="P50" s="43" t="str">
        <f t="shared" si="2"/>
        <v/>
      </c>
      <c r="Q50" s="40"/>
      <c r="R50" s="43" t="str">
        <f t="shared" si="3"/>
        <v/>
      </c>
      <c r="S50" s="40"/>
      <c r="T50" s="43" t="str">
        <f t="shared" si="4"/>
        <v/>
      </c>
      <c r="U50" s="86"/>
      <c r="V50" s="43" t="str">
        <f t="shared" si="9"/>
        <v/>
      </c>
      <c r="W50" s="40"/>
      <c r="X50" s="43" t="str">
        <f t="shared" si="11"/>
        <v/>
      </c>
      <c r="Y50" s="40"/>
      <c r="Z50" s="43" t="str">
        <f t="shared" si="3"/>
        <v/>
      </c>
      <c r="AA50" s="40"/>
      <c r="AB50" s="43" t="str">
        <f t="shared" si="7"/>
        <v/>
      </c>
      <c r="AC50" s="40"/>
      <c r="AD50" s="43" t="str">
        <f t="shared" si="8"/>
        <v/>
      </c>
      <c r="AE50" s="24" t="s">
        <v>214</v>
      </c>
      <c r="AF50" s="24"/>
      <c r="AG50" s="24"/>
      <c r="AH50" s="24"/>
      <c r="AI50" s="24"/>
      <c r="AJ50" s="24"/>
      <c r="AK50" s="24"/>
      <c r="AL50" s="24"/>
      <c r="AM50" s="24"/>
      <c r="AN50" s="24"/>
      <c r="AO50" s="24"/>
      <c r="AP50" s="24"/>
      <c r="AQ50" s="24"/>
      <c r="AR50" s="24"/>
      <c r="AS50" s="24"/>
      <c r="AT50" s="24"/>
      <c r="AU50" s="24"/>
      <c r="AV50" s="24"/>
      <c r="AW50" s="24"/>
      <c r="AX50" s="24"/>
      <c r="AY50" s="24"/>
      <c r="AZ50" s="24"/>
    </row>
    <row r="51" spans="1:52" ht="20" customHeight="1" x14ac:dyDescent="0.2">
      <c r="A51" s="68"/>
      <c r="B51" s="96"/>
      <c r="C51" s="25" t="s">
        <v>86</v>
      </c>
      <c r="D51" s="24" t="s">
        <v>82</v>
      </c>
      <c r="E51" s="24" t="s">
        <v>83</v>
      </c>
      <c r="F51" s="25">
        <v>1994</v>
      </c>
      <c r="G51" s="25">
        <v>292</v>
      </c>
      <c r="H51" s="29">
        <v>15</v>
      </c>
      <c r="I51" s="28" t="s">
        <v>216</v>
      </c>
      <c r="J51" s="39"/>
      <c r="K51" s="40"/>
      <c r="L51" s="43" t="str">
        <f t="shared" si="10"/>
        <v/>
      </c>
      <c r="M51" s="40"/>
      <c r="N51" s="43" t="str">
        <f t="shared" si="1"/>
        <v/>
      </c>
      <c r="O51" s="40"/>
      <c r="P51" s="43" t="str">
        <f t="shared" si="2"/>
        <v/>
      </c>
      <c r="Q51" s="40"/>
      <c r="R51" s="43" t="str">
        <f t="shared" si="3"/>
        <v/>
      </c>
      <c r="S51" s="40"/>
      <c r="T51" s="43" t="str">
        <f t="shared" si="4"/>
        <v/>
      </c>
      <c r="U51" s="86"/>
      <c r="V51" s="43" t="str">
        <f t="shared" si="9"/>
        <v/>
      </c>
      <c r="W51" s="40"/>
      <c r="X51" s="43" t="str">
        <f t="shared" si="11"/>
        <v/>
      </c>
      <c r="Y51" s="40"/>
      <c r="Z51" s="43" t="str">
        <f t="shared" si="3"/>
        <v/>
      </c>
      <c r="AA51" s="40"/>
      <c r="AB51" s="43" t="str">
        <f t="shared" si="7"/>
        <v/>
      </c>
      <c r="AC51" s="40"/>
      <c r="AD51" s="43" t="str">
        <f t="shared" si="8"/>
        <v/>
      </c>
      <c r="AE51" s="24" t="s">
        <v>217</v>
      </c>
      <c r="AF51" s="24"/>
      <c r="AG51" s="24"/>
      <c r="AH51" s="24"/>
      <c r="AI51" s="24"/>
      <c r="AJ51" s="24"/>
      <c r="AK51" s="24"/>
      <c r="AL51" s="24"/>
      <c r="AM51" s="24"/>
      <c r="AN51" s="24"/>
      <c r="AO51" s="24"/>
      <c r="AP51" s="24"/>
      <c r="AQ51" s="24"/>
      <c r="AR51" s="24"/>
      <c r="AS51" s="24"/>
      <c r="AT51" s="24"/>
      <c r="AU51" s="24"/>
      <c r="AV51" s="24"/>
      <c r="AW51" s="24"/>
      <c r="AX51" s="24"/>
      <c r="AY51" s="24"/>
      <c r="AZ51" s="24"/>
    </row>
    <row r="52" spans="1:52" ht="20" customHeight="1" x14ac:dyDescent="0.2">
      <c r="A52" s="68"/>
      <c r="B52" s="25"/>
      <c r="C52" s="25" t="s">
        <v>86</v>
      </c>
      <c r="D52" s="24" t="s">
        <v>84</v>
      </c>
      <c r="E52" s="24" t="s">
        <v>85</v>
      </c>
      <c r="F52" s="25">
        <v>2000</v>
      </c>
      <c r="G52" s="25">
        <v>146</v>
      </c>
      <c r="H52" s="29">
        <v>42</v>
      </c>
      <c r="I52" s="28" t="s">
        <v>400</v>
      </c>
      <c r="J52" s="39"/>
      <c r="K52" s="40"/>
      <c r="L52" s="43" t="str">
        <f t="shared" si="10"/>
        <v/>
      </c>
      <c r="M52" s="40"/>
      <c r="N52" s="43" t="str">
        <f t="shared" si="1"/>
        <v/>
      </c>
      <c r="O52" s="40"/>
      <c r="P52" s="43" t="str">
        <f t="shared" si="2"/>
        <v/>
      </c>
      <c r="Q52" s="40"/>
      <c r="R52" s="43" t="str">
        <f t="shared" si="3"/>
        <v/>
      </c>
      <c r="S52" s="40"/>
      <c r="T52" s="43" t="str">
        <f t="shared" si="4"/>
        <v/>
      </c>
      <c r="U52" s="86"/>
      <c r="V52" s="43" t="str">
        <f t="shared" si="9"/>
        <v/>
      </c>
      <c r="W52" s="40"/>
      <c r="X52" s="43" t="str">
        <f t="shared" si="11"/>
        <v/>
      </c>
      <c r="Y52" s="40"/>
      <c r="Z52" s="43" t="str">
        <f t="shared" si="3"/>
        <v/>
      </c>
      <c r="AA52" s="40"/>
      <c r="AB52" s="43" t="str">
        <f t="shared" si="7"/>
        <v/>
      </c>
      <c r="AC52" s="40"/>
      <c r="AD52" s="43" t="str">
        <f t="shared" si="8"/>
        <v/>
      </c>
      <c r="AE52" s="24"/>
      <c r="AF52" s="24"/>
      <c r="AG52" s="24"/>
      <c r="AH52" s="24"/>
      <c r="AI52" s="24"/>
      <c r="AJ52" s="24"/>
      <c r="AK52" s="24"/>
      <c r="AL52" s="24"/>
      <c r="AM52" s="24"/>
      <c r="AN52" s="24"/>
      <c r="AO52" s="24"/>
      <c r="AP52" s="24"/>
      <c r="AQ52" s="24"/>
      <c r="AR52" s="24"/>
      <c r="AS52" s="24"/>
      <c r="AT52" s="24"/>
      <c r="AU52" s="24"/>
      <c r="AV52" s="24"/>
      <c r="AW52" s="24"/>
      <c r="AX52" s="24"/>
      <c r="AY52" s="24"/>
      <c r="AZ52" s="24"/>
    </row>
    <row r="53" spans="1:52" ht="20" customHeight="1" x14ac:dyDescent="0.2">
      <c r="A53" s="68"/>
      <c r="B53" s="96"/>
      <c r="C53" s="57" t="s">
        <v>35</v>
      </c>
      <c r="D53" s="56" t="s">
        <v>88</v>
      </c>
      <c r="E53" s="56" t="s">
        <v>89</v>
      </c>
      <c r="F53" s="57">
        <v>1996</v>
      </c>
      <c r="G53" s="57">
        <v>187</v>
      </c>
      <c r="H53" s="29">
        <v>100</v>
      </c>
      <c r="I53" s="28" t="s">
        <v>218</v>
      </c>
      <c r="J53" s="39"/>
      <c r="K53" s="40"/>
      <c r="L53" s="43" t="str">
        <f t="shared" si="10"/>
        <v/>
      </c>
      <c r="M53" s="40"/>
      <c r="N53" s="43" t="str">
        <f t="shared" ref="N53" si="12">IF((ISERROR((M53/$H53)*100)), "", IF(AND(NOT(ISERROR((M53/$H53)*100)),((M53/$H53)*100) &lt;&gt; 0), (M53/$H53)*100, ""))</f>
        <v/>
      </c>
      <c r="O53" s="40"/>
      <c r="P53" s="43" t="str">
        <f>IF((ISERROR((O53/$H53)*100)), "", IF(AND(NOT(ISERROR((O53/$H53)*100)),((O53/$H53)*100) &lt;&gt; 0), (O53/$H53)*100, ""))</f>
        <v/>
      </c>
      <c r="Q53" s="40"/>
      <c r="R53" s="43" t="str">
        <f>IF((ISERROR((Q53/$H53)*100)), "", IF(AND(NOT(ISERROR((Q53/$H53)*100)),((Q53/$H53)*100) &lt;&gt; 0), (Q53/$H53)*100, ""))</f>
        <v/>
      </c>
      <c r="S53" s="40"/>
      <c r="T53" s="43" t="str">
        <f t="shared" ref="T53" si="13">IF((ISERROR((S53/$H53)*100)), "", IF(AND(NOT(ISERROR((S53/$H53)*100)),((S53/$H53)*100) &lt;&gt; 0), (S53/$H53)*100, ""))</f>
        <v/>
      </c>
      <c r="U53" s="86"/>
      <c r="V53" s="43" t="str">
        <f t="shared" si="9"/>
        <v/>
      </c>
      <c r="W53" s="40"/>
      <c r="X53" s="43" t="str">
        <f t="shared" si="11"/>
        <v/>
      </c>
      <c r="Y53" s="40"/>
      <c r="Z53" s="43" t="str">
        <f t="shared" si="3"/>
        <v/>
      </c>
      <c r="AA53" s="40"/>
      <c r="AB53" s="43" t="str">
        <f t="shared" si="7"/>
        <v/>
      </c>
      <c r="AC53" s="40"/>
      <c r="AD53" s="43" t="str">
        <f>IF((ISERROR((AC53/$H53)*100)), "", IF(AND(NOT(ISERROR((AC53/$H53)*100)),((AC53/$H53)*100) &lt;&gt; 0), (AC53/$H53)*100, ""))</f>
        <v/>
      </c>
      <c r="AE53" s="24" t="s">
        <v>219</v>
      </c>
      <c r="AF53" s="24"/>
      <c r="AG53" s="24"/>
      <c r="AH53" s="24"/>
      <c r="AI53" s="24"/>
      <c r="AJ53" s="24"/>
      <c r="AK53" s="24"/>
      <c r="AL53" s="24"/>
      <c r="AM53" s="24"/>
      <c r="AN53" s="24"/>
      <c r="AO53" s="24"/>
      <c r="AP53" s="24"/>
      <c r="AQ53" s="24"/>
      <c r="AR53" s="24"/>
      <c r="AS53" s="24"/>
      <c r="AT53" s="24"/>
      <c r="AU53" s="24"/>
      <c r="AV53" s="24"/>
      <c r="AW53" s="24"/>
      <c r="AX53" s="24"/>
      <c r="AY53" s="24"/>
      <c r="AZ53" s="24"/>
    </row>
    <row r="54" spans="1:52" ht="20" customHeight="1" x14ac:dyDescent="0.2">
      <c r="A54" s="68"/>
      <c r="B54" s="96"/>
      <c r="C54" s="25" t="s">
        <v>86</v>
      </c>
      <c r="D54" s="24" t="s">
        <v>90</v>
      </c>
      <c r="E54" s="24" t="s">
        <v>91</v>
      </c>
      <c r="F54" s="25">
        <v>2000</v>
      </c>
      <c r="G54" s="25">
        <v>79</v>
      </c>
      <c r="H54" s="29">
        <v>10</v>
      </c>
      <c r="I54" s="28" t="s">
        <v>174</v>
      </c>
      <c r="J54" s="39"/>
      <c r="K54" s="40"/>
      <c r="L54" s="43" t="str">
        <f t="shared" si="10"/>
        <v/>
      </c>
      <c r="M54" s="40"/>
      <c r="N54" s="43" t="str">
        <f t="shared" ref="N54:N78" si="14">IF((ISERROR((M54/$H54)*100)), "", IF(AND(NOT(ISERROR((M54/$H54)*100)),((M54/$H54)*100) &lt;&gt; 0), (M54/$H54)*100, ""))</f>
        <v/>
      </c>
      <c r="O54" s="40"/>
      <c r="P54" s="43" t="str">
        <f t="shared" si="2"/>
        <v/>
      </c>
      <c r="Q54" s="40"/>
      <c r="R54" s="43" t="str">
        <f t="shared" si="3"/>
        <v/>
      </c>
      <c r="S54" s="40"/>
      <c r="T54" s="43" t="str">
        <f t="shared" ref="T54:T78" si="15">IF((ISERROR((S54/$H54)*100)), "", IF(AND(NOT(ISERROR((S54/$H54)*100)),((S54/$H54)*100) &lt;&gt; 0), (S54/$H54)*100, ""))</f>
        <v/>
      </c>
      <c r="U54" s="86"/>
      <c r="V54" s="43" t="str">
        <f t="shared" si="9"/>
        <v/>
      </c>
      <c r="W54" s="40"/>
      <c r="X54" s="43" t="str">
        <f t="shared" si="11"/>
        <v/>
      </c>
      <c r="Y54" s="40"/>
      <c r="Z54" s="43" t="str">
        <f t="shared" si="3"/>
        <v/>
      </c>
      <c r="AA54" s="40"/>
      <c r="AB54" s="43" t="str">
        <f t="shared" si="7"/>
        <v/>
      </c>
      <c r="AC54" s="40"/>
      <c r="AD54" s="43" t="str">
        <f t="shared" si="8"/>
        <v/>
      </c>
      <c r="AE54" s="24" t="s">
        <v>220</v>
      </c>
      <c r="AF54" s="24"/>
      <c r="AG54" s="24"/>
      <c r="AH54" s="24"/>
      <c r="AI54" s="24"/>
      <c r="AJ54" s="24"/>
      <c r="AK54" s="24"/>
      <c r="AL54" s="24"/>
      <c r="AM54" s="24"/>
      <c r="AN54" s="24"/>
      <c r="AO54" s="24"/>
      <c r="AP54" s="24"/>
      <c r="AQ54" s="24"/>
      <c r="AR54" s="24"/>
      <c r="AS54" s="24"/>
      <c r="AT54" s="24"/>
      <c r="AU54" s="24"/>
      <c r="AV54" s="24"/>
      <c r="AW54" s="24"/>
      <c r="AX54" s="24"/>
      <c r="AY54" s="24"/>
      <c r="AZ54" s="24"/>
    </row>
    <row r="55" spans="1:52" ht="20" customHeight="1" x14ac:dyDescent="0.2">
      <c r="A55" s="67"/>
      <c r="B55" s="95"/>
      <c r="D55" s="24" t="s">
        <v>327</v>
      </c>
      <c r="E55" s="24" t="s">
        <v>328</v>
      </c>
      <c r="F55" s="25">
        <v>2005</v>
      </c>
      <c r="H55" s="29">
        <v>13</v>
      </c>
      <c r="I55" s="28" t="s">
        <v>401</v>
      </c>
      <c r="J55" s="39"/>
      <c r="K55" s="40"/>
      <c r="L55" s="43" t="str">
        <f t="shared" si="10"/>
        <v/>
      </c>
      <c r="M55" s="40"/>
      <c r="N55" s="43" t="str">
        <f t="shared" si="14"/>
        <v/>
      </c>
      <c r="O55" s="40"/>
      <c r="P55" s="43" t="str">
        <f t="shared" si="2"/>
        <v/>
      </c>
      <c r="Q55" s="40"/>
      <c r="R55" s="43" t="str">
        <f t="shared" si="3"/>
        <v/>
      </c>
      <c r="S55" s="40"/>
      <c r="T55" s="43" t="str">
        <f t="shared" si="15"/>
        <v/>
      </c>
      <c r="U55" s="86">
        <v>1</v>
      </c>
      <c r="V55" s="43">
        <f t="shared" si="9"/>
        <v>7.6923076923076925</v>
      </c>
      <c r="W55" s="40">
        <v>3</v>
      </c>
      <c r="X55" s="43">
        <f t="shared" si="11"/>
        <v>23.076923076923077</v>
      </c>
      <c r="Y55" s="40"/>
      <c r="Z55" s="43" t="str">
        <f t="shared" si="3"/>
        <v/>
      </c>
      <c r="AA55" s="40"/>
      <c r="AB55" s="43" t="str">
        <f t="shared" si="7"/>
        <v/>
      </c>
      <c r="AC55" s="40"/>
      <c r="AD55" s="43" t="str">
        <f t="shared" si="8"/>
        <v/>
      </c>
      <c r="AE55" s="24" t="s">
        <v>402</v>
      </c>
      <c r="AF55" s="24"/>
      <c r="AG55" s="24"/>
      <c r="AH55" s="24"/>
      <c r="AI55" s="24"/>
      <c r="AJ55" s="24"/>
      <c r="AK55" s="24"/>
      <c r="AL55" s="24"/>
      <c r="AM55" s="24"/>
      <c r="AN55" s="24"/>
      <c r="AO55" s="24"/>
      <c r="AP55" s="24"/>
      <c r="AQ55" s="24"/>
      <c r="AR55" s="24"/>
      <c r="AS55" s="24"/>
      <c r="AT55" s="24"/>
      <c r="AU55" s="24"/>
      <c r="AV55" s="24"/>
      <c r="AW55" s="24"/>
      <c r="AX55" s="24"/>
      <c r="AY55" s="24"/>
      <c r="AZ55" s="24"/>
    </row>
    <row r="56" spans="1:52" ht="20" customHeight="1" x14ac:dyDescent="0.2">
      <c r="A56" s="68"/>
      <c r="B56" s="96"/>
      <c r="C56" s="25" t="s">
        <v>86</v>
      </c>
      <c r="D56" s="24" t="s">
        <v>92</v>
      </c>
      <c r="E56" s="24" t="s">
        <v>93</v>
      </c>
      <c r="F56" s="25">
        <v>2001</v>
      </c>
      <c r="G56" s="25">
        <v>170</v>
      </c>
      <c r="H56" s="29">
        <v>22</v>
      </c>
      <c r="I56" s="28" t="s">
        <v>189</v>
      </c>
      <c r="J56" s="39" t="s">
        <v>176</v>
      </c>
      <c r="K56" s="40"/>
      <c r="L56" s="43" t="str">
        <f t="shared" si="10"/>
        <v/>
      </c>
      <c r="M56" s="40"/>
      <c r="N56" s="43" t="str">
        <f t="shared" si="14"/>
        <v/>
      </c>
      <c r="O56" s="40"/>
      <c r="P56" s="43" t="str">
        <f t="shared" si="2"/>
        <v/>
      </c>
      <c r="Q56" s="40"/>
      <c r="R56" s="43" t="str">
        <f t="shared" si="3"/>
        <v/>
      </c>
      <c r="S56" s="40"/>
      <c r="T56" s="43" t="str">
        <f t="shared" si="15"/>
        <v/>
      </c>
      <c r="U56" s="86"/>
      <c r="V56" s="43" t="str">
        <f t="shared" si="9"/>
        <v/>
      </c>
      <c r="W56" s="40"/>
      <c r="X56" s="43" t="str">
        <f t="shared" si="11"/>
        <v/>
      </c>
      <c r="Y56" s="40"/>
      <c r="Z56" s="43" t="str">
        <f t="shared" si="3"/>
        <v/>
      </c>
      <c r="AA56" s="40"/>
      <c r="AB56" s="43" t="str">
        <f t="shared" si="7"/>
        <v/>
      </c>
      <c r="AC56" s="40"/>
      <c r="AD56" s="43" t="str">
        <f t="shared" si="8"/>
        <v/>
      </c>
      <c r="AE56" s="24" t="s">
        <v>196</v>
      </c>
      <c r="AF56" s="24"/>
      <c r="AG56" s="24"/>
      <c r="AH56" s="24"/>
      <c r="AI56" s="24"/>
      <c r="AJ56" s="24"/>
      <c r="AK56" s="24"/>
      <c r="AL56" s="24"/>
      <c r="AM56" s="24"/>
      <c r="AN56" s="24"/>
      <c r="AO56" s="24"/>
      <c r="AP56" s="24"/>
      <c r="AQ56" s="24"/>
      <c r="AR56" s="24"/>
      <c r="AS56" s="24"/>
      <c r="AT56" s="24"/>
      <c r="AU56" s="24"/>
      <c r="AV56" s="24"/>
      <c r="AW56" s="24"/>
      <c r="AX56" s="24"/>
      <c r="AY56" s="24"/>
      <c r="AZ56" s="24"/>
    </row>
    <row r="57" spans="1:52" ht="20" customHeight="1" x14ac:dyDescent="0.2">
      <c r="A57" s="67"/>
      <c r="B57" s="96"/>
      <c r="C57" s="25" t="s">
        <v>86</v>
      </c>
      <c r="D57" s="24" t="s">
        <v>329</v>
      </c>
      <c r="E57" s="24" t="s">
        <v>330</v>
      </c>
      <c r="F57" s="25">
        <v>2009</v>
      </c>
      <c r="H57" s="29">
        <v>20</v>
      </c>
      <c r="I57" s="28" t="s">
        <v>238</v>
      </c>
      <c r="J57" s="39" t="s">
        <v>208</v>
      </c>
      <c r="K57" s="40"/>
      <c r="L57" s="43" t="str">
        <f t="shared" si="10"/>
        <v/>
      </c>
      <c r="M57" s="40"/>
      <c r="N57" s="43" t="str">
        <f t="shared" si="14"/>
        <v/>
      </c>
      <c r="O57" s="40"/>
      <c r="P57" s="43" t="str">
        <f t="shared" si="2"/>
        <v/>
      </c>
      <c r="Q57" s="40"/>
      <c r="R57" s="43" t="str">
        <f t="shared" si="3"/>
        <v/>
      </c>
      <c r="S57" s="40"/>
      <c r="T57" s="43" t="str">
        <f t="shared" si="15"/>
        <v/>
      </c>
      <c r="U57" s="86"/>
      <c r="V57" s="43" t="str">
        <f t="shared" si="9"/>
        <v/>
      </c>
      <c r="W57" s="40"/>
      <c r="X57" s="43" t="str">
        <f t="shared" si="11"/>
        <v/>
      </c>
      <c r="Y57" s="40"/>
      <c r="Z57" s="43" t="str">
        <f t="shared" si="3"/>
        <v/>
      </c>
      <c r="AA57" s="40"/>
      <c r="AB57" s="43" t="str">
        <f t="shared" si="7"/>
        <v/>
      </c>
      <c r="AC57" s="40"/>
      <c r="AD57" s="43" t="str">
        <f t="shared" si="8"/>
        <v/>
      </c>
      <c r="AE57" s="24" t="s">
        <v>403</v>
      </c>
      <c r="AF57" s="24"/>
      <c r="AG57" s="24"/>
      <c r="AH57" s="24"/>
      <c r="AI57" s="24"/>
      <c r="AJ57" s="24"/>
      <c r="AK57" s="24"/>
      <c r="AL57" s="24"/>
      <c r="AM57" s="24"/>
      <c r="AN57" s="24"/>
      <c r="AO57" s="24"/>
      <c r="AP57" s="24"/>
      <c r="AQ57" s="24"/>
      <c r="AR57" s="24"/>
      <c r="AS57" s="24"/>
      <c r="AT57" s="24"/>
      <c r="AU57" s="24"/>
      <c r="AV57" s="24"/>
      <c r="AW57" s="24"/>
      <c r="AX57" s="24"/>
      <c r="AY57" s="24"/>
      <c r="AZ57" s="24"/>
    </row>
    <row r="58" spans="1:52" ht="20" customHeight="1" x14ac:dyDescent="0.2">
      <c r="A58" s="67"/>
      <c r="B58" s="25"/>
      <c r="C58" s="25" t="s">
        <v>86</v>
      </c>
      <c r="D58" s="24" t="s">
        <v>331</v>
      </c>
      <c r="E58" s="24" t="s">
        <v>332</v>
      </c>
      <c r="F58" s="25">
        <v>2006</v>
      </c>
      <c r="H58" s="29">
        <v>20</v>
      </c>
      <c r="I58" s="28" t="s">
        <v>404</v>
      </c>
      <c r="J58" s="39" t="s">
        <v>176</v>
      </c>
      <c r="K58" s="40"/>
      <c r="L58" s="43" t="str">
        <f t="shared" si="10"/>
        <v/>
      </c>
      <c r="M58" s="40"/>
      <c r="N58" s="43" t="str">
        <f t="shared" si="14"/>
        <v/>
      </c>
      <c r="O58" s="45"/>
      <c r="P58" s="46" t="str">
        <f t="shared" si="2"/>
        <v/>
      </c>
      <c r="Q58" s="40"/>
      <c r="R58" s="43" t="str">
        <f t="shared" si="3"/>
        <v/>
      </c>
      <c r="S58" s="40"/>
      <c r="T58" s="43" t="str">
        <f t="shared" si="15"/>
        <v/>
      </c>
      <c r="U58" s="86"/>
      <c r="V58" s="43" t="str">
        <f t="shared" si="9"/>
        <v/>
      </c>
      <c r="W58" s="40"/>
      <c r="X58" s="43" t="str">
        <f t="shared" si="11"/>
        <v/>
      </c>
      <c r="Y58" s="40"/>
      <c r="Z58" s="43" t="str">
        <f t="shared" si="3"/>
        <v/>
      </c>
      <c r="AA58" s="40"/>
      <c r="AB58" s="43" t="str">
        <f t="shared" si="7"/>
        <v/>
      </c>
      <c r="AC58" s="40"/>
      <c r="AD58" s="43" t="str">
        <f t="shared" si="8"/>
        <v/>
      </c>
      <c r="AE58" s="24" t="s">
        <v>405</v>
      </c>
      <c r="AF58" s="24"/>
      <c r="AG58" s="24"/>
      <c r="AH58" s="24"/>
      <c r="AI58" s="24"/>
      <c r="AJ58" s="24"/>
      <c r="AK58" s="24"/>
      <c r="AL58" s="24"/>
      <c r="AM58" s="24"/>
      <c r="AN58" s="24"/>
      <c r="AO58" s="24"/>
      <c r="AP58" s="24"/>
      <c r="AQ58" s="24"/>
      <c r="AR58" s="24"/>
      <c r="AS58" s="24"/>
      <c r="AT58" s="24"/>
      <c r="AU58" s="24"/>
      <c r="AV58" s="24"/>
      <c r="AW58" s="24"/>
      <c r="AX58" s="24"/>
      <c r="AY58" s="24"/>
      <c r="AZ58" s="24"/>
    </row>
    <row r="59" spans="1:52" ht="20" customHeight="1" x14ac:dyDescent="0.2">
      <c r="A59" s="68"/>
      <c r="B59" s="25"/>
      <c r="C59" s="25" t="s">
        <v>86</v>
      </c>
      <c r="D59" s="24" t="s">
        <v>335</v>
      </c>
      <c r="E59" s="24" t="s">
        <v>336</v>
      </c>
      <c r="F59" s="25">
        <v>2016</v>
      </c>
      <c r="H59" s="29">
        <v>50</v>
      </c>
      <c r="I59" s="28" t="s">
        <v>238</v>
      </c>
      <c r="J59" s="39" t="s">
        <v>212</v>
      </c>
      <c r="K59" s="40"/>
      <c r="L59" s="43" t="str">
        <f t="shared" si="10"/>
        <v/>
      </c>
      <c r="M59" s="40"/>
      <c r="N59" s="43" t="str">
        <f t="shared" si="14"/>
        <v/>
      </c>
      <c r="O59" s="40"/>
      <c r="P59" s="43" t="str">
        <f t="shared" si="2"/>
        <v/>
      </c>
      <c r="Q59" s="40"/>
      <c r="R59" s="43" t="str">
        <f t="shared" si="3"/>
        <v/>
      </c>
      <c r="S59" s="40"/>
      <c r="T59" s="43" t="str">
        <f t="shared" si="15"/>
        <v/>
      </c>
      <c r="U59" s="86"/>
      <c r="V59" s="43" t="str">
        <f t="shared" si="9"/>
        <v/>
      </c>
      <c r="W59" s="40"/>
      <c r="X59" s="43" t="str">
        <f t="shared" si="11"/>
        <v/>
      </c>
      <c r="Y59" s="40"/>
      <c r="Z59" s="43" t="str">
        <f t="shared" si="3"/>
        <v/>
      </c>
      <c r="AA59" s="40"/>
      <c r="AB59" s="43" t="str">
        <f t="shared" si="7"/>
        <v/>
      </c>
      <c r="AC59" s="40"/>
      <c r="AD59" s="43" t="str">
        <f t="shared" si="8"/>
        <v/>
      </c>
      <c r="AE59" s="24"/>
      <c r="AF59" s="24"/>
      <c r="AG59" s="24"/>
      <c r="AH59" s="24"/>
      <c r="AI59" s="24"/>
      <c r="AJ59" s="24"/>
      <c r="AK59" s="24"/>
      <c r="AL59" s="24"/>
      <c r="AM59" s="24"/>
      <c r="AN59" s="24"/>
      <c r="AO59" s="24"/>
      <c r="AP59" s="24"/>
      <c r="AQ59" s="24"/>
      <c r="AR59" s="24"/>
      <c r="AS59" s="24"/>
      <c r="AT59" s="24"/>
      <c r="AU59" s="24"/>
      <c r="AV59" s="24"/>
      <c r="AW59" s="24"/>
      <c r="AX59" s="24"/>
      <c r="AY59" s="24"/>
      <c r="AZ59" s="24"/>
    </row>
    <row r="60" spans="1:52" ht="20" customHeight="1" x14ac:dyDescent="0.2">
      <c r="A60" s="67"/>
      <c r="B60" s="95"/>
      <c r="C60" s="25" t="s">
        <v>86</v>
      </c>
      <c r="D60" s="24" t="s">
        <v>333</v>
      </c>
      <c r="E60" s="24" t="s">
        <v>334</v>
      </c>
      <c r="F60" s="25">
        <v>2011</v>
      </c>
      <c r="H60" s="29">
        <v>244</v>
      </c>
      <c r="I60" s="28" t="s">
        <v>235</v>
      </c>
      <c r="J60" s="39" t="s">
        <v>210</v>
      </c>
      <c r="K60" s="40"/>
      <c r="L60" s="43" t="str">
        <f t="shared" si="10"/>
        <v/>
      </c>
      <c r="M60" s="40"/>
      <c r="N60" s="43" t="str">
        <f t="shared" si="14"/>
        <v/>
      </c>
      <c r="O60" s="40"/>
      <c r="P60" s="43" t="str">
        <f t="shared" si="2"/>
        <v/>
      </c>
      <c r="Q60" s="40"/>
      <c r="R60" s="43" t="str">
        <f t="shared" si="3"/>
        <v/>
      </c>
      <c r="S60" s="40"/>
      <c r="T60" s="43" t="str">
        <f t="shared" si="15"/>
        <v/>
      </c>
      <c r="U60" s="86"/>
      <c r="V60" s="43" t="str">
        <f t="shared" si="9"/>
        <v/>
      </c>
      <c r="W60" s="40"/>
      <c r="X60" s="43" t="str">
        <f t="shared" si="11"/>
        <v/>
      </c>
      <c r="Y60" s="40"/>
      <c r="Z60" s="43" t="str">
        <f t="shared" si="3"/>
        <v/>
      </c>
      <c r="AA60" s="40"/>
      <c r="AB60" s="43" t="str">
        <f t="shared" si="7"/>
        <v/>
      </c>
      <c r="AC60" s="40"/>
      <c r="AD60" s="43" t="str">
        <f t="shared" si="8"/>
        <v/>
      </c>
      <c r="AE60" s="24"/>
      <c r="AF60" s="24"/>
      <c r="AG60" s="24"/>
      <c r="AH60" s="24"/>
      <c r="AI60" s="24"/>
      <c r="AJ60" s="24"/>
      <c r="AK60" s="24"/>
      <c r="AL60" s="24"/>
      <c r="AM60" s="24"/>
      <c r="AN60" s="24"/>
      <c r="AO60" s="24"/>
      <c r="AP60" s="24"/>
      <c r="AQ60" s="24"/>
      <c r="AR60" s="24"/>
      <c r="AS60" s="24"/>
      <c r="AT60" s="24"/>
      <c r="AU60" s="24"/>
      <c r="AV60" s="24"/>
      <c r="AW60" s="24"/>
      <c r="AX60" s="24"/>
      <c r="AY60" s="24"/>
      <c r="AZ60" s="24"/>
    </row>
    <row r="61" spans="1:52" ht="20" customHeight="1" x14ac:dyDescent="0.2">
      <c r="A61" s="67"/>
      <c r="B61" s="95"/>
      <c r="C61" s="25" t="s">
        <v>86</v>
      </c>
      <c r="D61" s="24" t="s">
        <v>100</v>
      </c>
      <c r="E61" s="24" t="s">
        <v>101</v>
      </c>
      <c r="F61" s="25">
        <v>2002</v>
      </c>
      <c r="G61" s="25">
        <v>103</v>
      </c>
      <c r="H61" s="29">
        <v>8</v>
      </c>
      <c r="I61" s="28"/>
      <c r="J61" s="39"/>
      <c r="K61" s="40"/>
      <c r="L61" s="43" t="str">
        <f t="shared" si="10"/>
        <v/>
      </c>
      <c r="M61" s="40"/>
      <c r="N61" s="43" t="str">
        <f t="shared" si="14"/>
        <v/>
      </c>
      <c r="O61" s="40"/>
      <c r="P61" s="43" t="str">
        <f t="shared" ref="P61:P94" si="16">IF((ISERROR((O61/$H61)*100)), "", IF(AND(NOT(ISERROR((O61/$H61)*100)),((O61/$H61)*100) &lt;&gt; 0), (O61/$H61)*100, ""))</f>
        <v/>
      </c>
      <c r="Q61" s="40"/>
      <c r="R61" s="43" t="str">
        <f t="shared" ref="R61:R94" si="17">IF((ISERROR((Q61/$H61)*100)), "", IF(AND(NOT(ISERROR((Q61/$H61)*100)),((Q61/$H61)*100) &lt;&gt; 0), (Q61/$H61)*100, ""))</f>
        <v/>
      </c>
      <c r="S61" s="40"/>
      <c r="T61" s="43" t="str">
        <f t="shared" si="15"/>
        <v/>
      </c>
      <c r="U61" s="86">
        <v>2</v>
      </c>
      <c r="V61" s="43">
        <f t="shared" si="9"/>
        <v>25</v>
      </c>
      <c r="W61" s="40"/>
      <c r="X61" s="43" t="str">
        <f t="shared" si="11"/>
        <v/>
      </c>
      <c r="Y61" s="40"/>
      <c r="Z61" s="43" t="str">
        <f t="shared" ref="Z61:Z94" si="18">IF((ISERROR((Y61/$H61)*100)), "", IF(AND(NOT(ISERROR((Y61/$H61)*100)),((Y61/$H61)*100) &lt;&gt; 0), (Y61/$H61)*100, ""))</f>
        <v/>
      </c>
      <c r="AA61" s="40"/>
      <c r="AB61" s="43" t="str">
        <f t="shared" ref="AB61:AB94" si="19">IF((ISERROR((AA61/$H61)*100)), "", IF(AND(NOT(ISERROR((AA61/$H61)*100)),((AA61/$H61)*100) &lt;&gt; 0), (AA61/$H61)*100, ""))</f>
        <v/>
      </c>
      <c r="AC61" s="40"/>
      <c r="AD61" s="43" t="str">
        <f t="shared" ref="AD61:AD94" si="20">IF((ISERROR((AC61/$H61)*100)), "", IF(AND(NOT(ISERROR((AC61/$H61)*100)),((AC61/$H61)*100) &lt;&gt; 0), (AC61/$H61)*100, ""))</f>
        <v/>
      </c>
      <c r="AE61" s="24" t="s">
        <v>222</v>
      </c>
      <c r="AF61" s="24"/>
      <c r="AG61" s="24"/>
      <c r="AH61" s="24"/>
      <c r="AI61" s="24"/>
      <c r="AJ61" s="24"/>
      <c r="AK61" s="24"/>
      <c r="AL61" s="24"/>
      <c r="AM61" s="24"/>
      <c r="AN61" s="24"/>
      <c r="AO61" s="24"/>
      <c r="AP61" s="24"/>
      <c r="AQ61" s="24"/>
      <c r="AR61" s="24"/>
      <c r="AS61" s="24"/>
      <c r="AT61" s="24"/>
      <c r="AU61" s="24"/>
      <c r="AV61" s="24"/>
      <c r="AW61" s="24"/>
      <c r="AX61" s="24"/>
      <c r="AY61" s="24"/>
      <c r="AZ61" s="24"/>
    </row>
    <row r="62" spans="1:52" ht="20" customHeight="1" x14ac:dyDescent="0.2">
      <c r="A62" s="67"/>
      <c r="B62" s="96"/>
      <c r="D62" s="24" t="s">
        <v>337</v>
      </c>
      <c r="E62" s="24" t="s">
        <v>338</v>
      </c>
      <c r="F62" s="25">
        <v>2013</v>
      </c>
      <c r="H62" s="29">
        <v>18</v>
      </c>
      <c r="I62" s="28"/>
      <c r="J62" s="39"/>
      <c r="K62" s="40"/>
      <c r="L62" s="43" t="str">
        <f t="shared" si="10"/>
        <v/>
      </c>
      <c r="M62" s="40"/>
      <c r="N62" s="43" t="str">
        <f t="shared" si="14"/>
        <v/>
      </c>
      <c r="O62" s="40"/>
      <c r="P62" s="43" t="str">
        <f t="shared" si="16"/>
        <v/>
      </c>
      <c r="Q62" s="40"/>
      <c r="R62" s="43" t="str">
        <f t="shared" si="17"/>
        <v/>
      </c>
      <c r="S62" s="40"/>
      <c r="T62" s="43" t="str">
        <f t="shared" si="15"/>
        <v/>
      </c>
      <c r="U62" s="86"/>
      <c r="V62" s="43" t="str">
        <f t="shared" si="9"/>
        <v/>
      </c>
      <c r="W62" s="40"/>
      <c r="X62" s="43" t="str">
        <f t="shared" si="11"/>
        <v/>
      </c>
      <c r="Y62" s="40"/>
      <c r="Z62" s="43" t="str">
        <f t="shared" si="18"/>
        <v/>
      </c>
      <c r="AA62" s="40"/>
      <c r="AB62" s="43" t="str">
        <f t="shared" si="19"/>
        <v/>
      </c>
      <c r="AC62" s="40"/>
      <c r="AD62" s="43" t="str">
        <f t="shared" si="20"/>
        <v/>
      </c>
      <c r="AE62" s="24" t="s">
        <v>406</v>
      </c>
      <c r="AF62" s="24"/>
      <c r="AG62" s="24"/>
      <c r="AH62" s="24"/>
      <c r="AI62" s="24"/>
      <c r="AJ62" s="24"/>
      <c r="AK62" s="24"/>
      <c r="AL62" s="24"/>
      <c r="AM62" s="24"/>
      <c r="AN62" s="24"/>
      <c r="AO62" s="24"/>
      <c r="AP62" s="24"/>
      <c r="AQ62" s="24"/>
      <c r="AR62" s="24"/>
      <c r="AS62" s="24"/>
      <c r="AT62" s="24"/>
      <c r="AU62" s="24"/>
      <c r="AV62" s="24"/>
      <c r="AW62" s="24"/>
      <c r="AX62" s="24"/>
      <c r="AY62" s="24"/>
      <c r="AZ62" s="24"/>
    </row>
    <row r="63" spans="1:52" ht="20" customHeight="1" x14ac:dyDescent="0.2">
      <c r="A63" s="67"/>
      <c r="B63" s="96"/>
      <c r="C63" s="25" t="s">
        <v>86</v>
      </c>
      <c r="D63" s="24" t="s">
        <v>339</v>
      </c>
      <c r="E63" s="24" t="s">
        <v>340</v>
      </c>
      <c r="F63" s="25">
        <v>2015</v>
      </c>
      <c r="H63" s="29"/>
      <c r="I63" s="28"/>
      <c r="J63" s="39"/>
      <c r="K63" s="40"/>
      <c r="L63" s="43" t="str">
        <f t="shared" si="10"/>
        <v/>
      </c>
      <c r="M63" s="40"/>
      <c r="N63" s="43" t="str">
        <f t="shared" si="14"/>
        <v/>
      </c>
      <c r="O63" s="40"/>
      <c r="P63" s="43" t="str">
        <f t="shared" si="16"/>
        <v/>
      </c>
      <c r="Q63" s="40"/>
      <c r="R63" s="43" t="str">
        <f t="shared" si="17"/>
        <v/>
      </c>
      <c r="S63" s="40"/>
      <c r="T63" s="43" t="str">
        <f t="shared" si="15"/>
        <v/>
      </c>
      <c r="U63" s="86"/>
      <c r="V63" s="43" t="str">
        <f t="shared" si="9"/>
        <v/>
      </c>
      <c r="W63" s="40"/>
      <c r="X63" s="43" t="str">
        <f t="shared" si="11"/>
        <v/>
      </c>
      <c r="Y63" s="40"/>
      <c r="Z63" s="43" t="str">
        <f t="shared" si="18"/>
        <v/>
      </c>
      <c r="AA63" s="40"/>
      <c r="AB63" s="43" t="str">
        <f t="shared" si="19"/>
        <v/>
      </c>
      <c r="AC63" s="40"/>
      <c r="AD63" s="43" t="str">
        <f t="shared" si="20"/>
        <v/>
      </c>
      <c r="AE63" s="24" t="s">
        <v>407</v>
      </c>
      <c r="AF63" s="24"/>
      <c r="AG63" s="24"/>
      <c r="AH63" s="24"/>
      <c r="AI63" s="24"/>
      <c r="AJ63" s="24"/>
      <c r="AK63" s="24"/>
      <c r="AL63" s="24"/>
      <c r="AM63" s="24"/>
      <c r="AN63" s="24"/>
      <c r="AO63" s="24"/>
      <c r="AP63" s="24"/>
      <c r="AQ63" s="24"/>
      <c r="AR63" s="24"/>
      <c r="AS63" s="24"/>
      <c r="AT63" s="24"/>
      <c r="AU63" s="24"/>
      <c r="AV63" s="24"/>
      <c r="AW63" s="24"/>
      <c r="AX63" s="24"/>
      <c r="AY63" s="24"/>
      <c r="AZ63" s="24"/>
    </row>
    <row r="64" spans="1:52" ht="20" customHeight="1" x14ac:dyDescent="0.2">
      <c r="A64" s="67"/>
      <c r="B64" s="95"/>
      <c r="C64" s="25" t="s">
        <v>86</v>
      </c>
      <c r="D64" s="24" t="s">
        <v>104</v>
      </c>
      <c r="E64" s="24" t="s">
        <v>105</v>
      </c>
      <c r="F64" s="25">
        <v>1996</v>
      </c>
      <c r="G64" s="25">
        <v>12</v>
      </c>
      <c r="H64" s="29">
        <v>97</v>
      </c>
      <c r="I64" s="28" t="s">
        <v>225</v>
      </c>
      <c r="J64" s="39" t="s">
        <v>226</v>
      </c>
      <c r="K64" s="40"/>
      <c r="L64" s="43" t="str">
        <f t="shared" si="10"/>
        <v/>
      </c>
      <c r="M64" s="40"/>
      <c r="N64" s="43" t="str">
        <f t="shared" si="14"/>
        <v/>
      </c>
      <c r="O64" s="40"/>
      <c r="P64" s="43" t="str">
        <f t="shared" si="16"/>
        <v/>
      </c>
      <c r="Q64" s="40"/>
      <c r="R64" s="43" t="str">
        <f t="shared" si="17"/>
        <v/>
      </c>
      <c r="S64" s="40"/>
      <c r="T64" s="43" t="str">
        <f t="shared" si="15"/>
        <v/>
      </c>
      <c r="U64" s="86">
        <v>16</v>
      </c>
      <c r="V64" s="43">
        <f t="shared" si="9"/>
        <v>16.494845360824741</v>
      </c>
      <c r="W64" s="40"/>
      <c r="X64" s="43" t="str">
        <f t="shared" si="11"/>
        <v/>
      </c>
      <c r="Y64" s="40"/>
      <c r="Z64" s="43" t="str">
        <f t="shared" si="18"/>
        <v/>
      </c>
      <c r="AA64" s="40"/>
      <c r="AB64" s="43" t="str">
        <f t="shared" si="19"/>
        <v/>
      </c>
      <c r="AC64" s="40"/>
      <c r="AD64" s="43" t="str">
        <f t="shared" si="20"/>
        <v/>
      </c>
      <c r="AE64" s="24" t="s">
        <v>431</v>
      </c>
      <c r="AF64" s="24"/>
      <c r="AG64" s="24"/>
      <c r="AH64" s="24"/>
      <c r="AI64" s="24"/>
      <c r="AJ64" s="24"/>
      <c r="AK64" s="24"/>
      <c r="AL64" s="24"/>
      <c r="AM64" s="24"/>
      <c r="AN64" s="24"/>
      <c r="AO64" s="24"/>
      <c r="AP64" s="24"/>
      <c r="AQ64" s="24"/>
      <c r="AR64" s="24"/>
      <c r="AS64" s="24"/>
      <c r="AT64" s="24"/>
      <c r="AU64" s="24"/>
      <c r="AV64" s="24"/>
      <c r="AW64" s="24"/>
      <c r="AX64" s="24"/>
      <c r="AY64" s="24"/>
      <c r="AZ64" s="24"/>
    </row>
    <row r="65" spans="1:52" ht="20" customHeight="1" x14ac:dyDescent="0.2">
      <c r="A65" s="67"/>
      <c r="B65" s="96"/>
      <c r="C65" s="25" t="s">
        <v>86</v>
      </c>
      <c r="D65" s="24" t="s">
        <v>341</v>
      </c>
      <c r="E65" s="24" t="s">
        <v>342</v>
      </c>
      <c r="F65" s="25">
        <v>2009</v>
      </c>
      <c r="H65" s="29">
        <v>102</v>
      </c>
      <c r="I65" s="28" t="s">
        <v>238</v>
      </c>
      <c r="J65" s="39" t="s">
        <v>408</v>
      </c>
      <c r="K65" s="40"/>
      <c r="L65" s="43" t="str">
        <f t="shared" si="10"/>
        <v/>
      </c>
      <c r="M65" s="40"/>
      <c r="N65" s="43" t="str">
        <f t="shared" si="14"/>
        <v/>
      </c>
      <c r="O65" s="40"/>
      <c r="P65" s="43" t="str">
        <f t="shared" si="16"/>
        <v/>
      </c>
      <c r="Q65" s="40"/>
      <c r="R65" s="43" t="str">
        <f t="shared" si="17"/>
        <v/>
      </c>
      <c r="S65" s="40"/>
      <c r="T65" s="43" t="str">
        <f t="shared" si="15"/>
        <v/>
      </c>
      <c r="U65" s="86"/>
      <c r="V65" s="43" t="str">
        <f t="shared" si="9"/>
        <v/>
      </c>
      <c r="W65" s="40"/>
      <c r="X65" s="43" t="str">
        <f t="shared" si="11"/>
        <v/>
      </c>
      <c r="Y65" s="40"/>
      <c r="Z65" s="43" t="str">
        <f t="shared" si="18"/>
        <v/>
      </c>
      <c r="AA65" s="40"/>
      <c r="AB65" s="43" t="str">
        <f t="shared" si="19"/>
        <v/>
      </c>
      <c r="AC65" s="40"/>
      <c r="AD65" s="43" t="str">
        <f t="shared" si="20"/>
        <v/>
      </c>
      <c r="AE65" s="24"/>
      <c r="AF65" s="24"/>
      <c r="AG65" s="24"/>
      <c r="AH65" s="24"/>
      <c r="AI65" s="24"/>
      <c r="AJ65" s="24"/>
      <c r="AK65" s="24"/>
      <c r="AL65" s="24"/>
      <c r="AM65" s="24"/>
      <c r="AN65" s="24"/>
      <c r="AO65" s="24"/>
      <c r="AP65" s="24"/>
      <c r="AQ65" s="24"/>
      <c r="AR65" s="24"/>
      <c r="AS65" s="24"/>
      <c r="AT65" s="24"/>
      <c r="AU65" s="24"/>
      <c r="AV65" s="24"/>
      <c r="AW65" s="24"/>
      <c r="AX65" s="24"/>
      <c r="AY65" s="24"/>
      <c r="AZ65" s="24"/>
    </row>
    <row r="66" spans="1:52" ht="20" customHeight="1" x14ac:dyDescent="0.2">
      <c r="A66" s="68"/>
      <c r="B66" s="25"/>
      <c r="C66" s="25" t="s">
        <v>86</v>
      </c>
      <c r="D66" s="24" t="s">
        <v>106</v>
      </c>
      <c r="E66" s="24" t="s">
        <v>107</v>
      </c>
      <c r="F66" s="25">
        <v>1989</v>
      </c>
      <c r="G66" s="25">
        <v>27</v>
      </c>
      <c r="H66" s="29">
        <v>25</v>
      </c>
      <c r="I66" s="28" t="s">
        <v>232</v>
      </c>
      <c r="J66" s="39" t="s">
        <v>191</v>
      </c>
      <c r="K66" s="45"/>
      <c r="L66" s="46" t="str">
        <f t="shared" si="10"/>
        <v/>
      </c>
      <c r="M66" s="40"/>
      <c r="N66" s="43" t="str">
        <f t="shared" si="14"/>
        <v/>
      </c>
      <c r="O66" s="40"/>
      <c r="P66" s="43" t="str">
        <f t="shared" si="16"/>
        <v/>
      </c>
      <c r="Q66" s="40"/>
      <c r="R66" s="43" t="str">
        <f t="shared" si="17"/>
        <v/>
      </c>
      <c r="S66" s="40"/>
      <c r="T66" s="43" t="str">
        <f t="shared" si="15"/>
        <v/>
      </c>
      <c r="U66" s="86"/>
      <c r="V66" s="43" t="str">
        <f t="shared" si="9"/>
        <v/>
      </c>
      <c r="W66" s="40"/>
      <c r="X66" s="43" t="str">
        <f t="shared" si="11"/>
        <v/>
      </c>
      <c r="Y66" s="40"/>
      <c r="Z66" s="43" t="str">
        <f t="shared" si="18"/>
        <v/>
      </c>
      <c r="AA66" s="40"/>
      <c r="AB66" s="43" t="str">
        <f t="shared" si="19"/>
        <v/>
      </c>
      <c r="AC66" s="40"/>
      <c r="AD66" s="43" t="str">
        <f t="shared" si="20"/>
        <v/>
      </c>
      <c r="AE66" s="24"/>
      <c r="AF66" s="24"/>
      <c r="AG66" s="24"/>
      <c r="AH66" s="24"/>
      <c r="AI66" s="24"/>
      <c r="AJ66" s="24"/>
      <c r="AK66" s="24"/>
      <c r="AL66" s="24"/>
      <c r="AM66" s="24"/>
      <c r="AN66" s="24"/>
      <c r="AO66" s="24"/>
      <c r="AP66" s="24"/>
      <c r="AQ66" s="24"/>
      <c r="AR66" s="24"/>
      <c r="AS66" s="24"/>
      <c r="AT66" s="24"/>
      <c r="AU66" s="24"/>
      <c r="AV66" s="24"/>
      <c r="AW66" s="24"/>
      <c r="AX66" s="24"/>
      <c r="AY66" s="24"/>
      <c r="AZ66" s="24"/>
    </row>
    <row r="67" spans="1:52" ht="20" customHeight="1" x14ac:dyDescent="0.2">
      <c r="A67" s="68"/>
      <c r="B67" s="96"/>
      <c r="C67" s="25" t="s">
        <v>86</v>
      </c>
      <c r="D67" s="24" t="s">
        <v>343</v>
      </c>
      <c r="E67" s="24" t="s">
        <v>344</v>
      </c>
      <c r="F67" s="25">
        <v>2011</v>
      </c>
      <c r="H67" s="29"/>
      <c r="I67" s="28"/>
      <c r="J67" s="39"/>
      <c r="K67" s="40"/>
      <c r="L67" s="43" t="str">
        <f t="shared" si="10"/>
        <v/>
      </c>
      <c r="M67" s="40"/>
      <c r="N67" s="43" t="str">
        <f t="shared" si="14"/>
        <v/>
      </c>
      <c r="O67" s="40"/>
      <c r="P67" s="43" t="str">
        <f t="shared" si="16"/>
        <v/>
      </c>
      <c r="Q67" s="40"/>
      <c r="R67" s="43" t="str">
        <f t="shared" si="17"/>
        <v/>
      </c>
      <c r="S67" s="40"/>
      <c r="T67" s="43" t="str">
        <f t="shared" si="15"/>
        <v/>
      </c>
      <c r="U67" s="86"/>
      <c r="V67" s="43" t="str">
        <f t="shared" si="9"/>
        <v/>
      </c>
      <c r="W67" s="40"/>
      <c r="X67" s="43" t="str">
        <f t="shared" si="11"/>
        <v/>
      </c>
      <c r="Y67" s="40"/>
      <c r="Z67" s="43" t="str">
        <f t="shared" si="18"/>
        <v/>
      </c>
      <c r="AA67" s="40"/>
      <c r="AB67" s="43" t="str">
        <f t="shared" si="19"/>
        <v/>
      </c>
      <c r="AC67" s="40"/>
      <c r="AD67" s="43" t="str">
        <f t="shared" si="20"/>
        <v/>
      </c>
      <c r="AE67" s="24" t="s">
        <v>409</v>
      </c>
      <c r="AF67" s="24"/>
      <c r="AG67" s="24"/>
      <c r="AH67" s="24"/>
      <c r="AI67" s="24"/>
      <c r="AJ67" s="24"/>
      <c r="AK67" s="24"/>
      <c r="AL67" s="24"/>
      <c r="AM67" s="24"/>
      <c r="AN67" s="24"/>
      <c r="AO67" s="24"/>
      <c r="AP67" s="24"/>
      <c r="AQ67" s="24"/>
      <c r="AR67" s="24"/>
      <c r="AS67" s="24"/>
      <c r="AT67" s="24"/>
      <c r="AU67" s="24"/>
      <c r="AV67" s="24"/>
      <c r="AW67" s="24"/>
      <c r="AX67" s="24"/>
      <c r="AY67" s="24"/>
      <c r="AZ67" s="24"/>
    </row>
    <row r="68" spans="1:52" ht="20" customHeight="1" x14ac:dyDescent="0.2">
      <c r="A68" s="68"/>
      <c r="B68" s="95"/>
      <c r="C68" s="25" t="s">
        <v>86</v>
      </c>
      <c r="D68" s="24" t="s">
        <v>345</v>
      </c>
      <c r="E68" s="24" t="s">
        <v>346</v>
      </c>
      <c r="F68" s="25">
        <v>1977</v>
      </c>
      <c r="H68" s="29">
        <v>5</v>
      </c>
      <c r="I68" s="28" t="s">
        <v>410</v>
      </c>
      <c r="J68" s="39"/>
      <c r="K68" s="40"/>
      <c r="L68" s="43" t="str">
        <f t="shared" si="10"/>
        <v/>
      </c>
      <c r="M68" s="40"/>
      <c r="N68" s="43" t="str">
        <f t="shared" si="14"/>
        <v/>
      </c>
      <c r="O68" s="40">
        <v>5</v>
      </c>
      <c r="P68" s="43">
        <f t="shared" si="16"/>
        <v>100</v>
      </c>
      <c r="Q68" s="40"/>
      <c r="R68" s="43" t="str">
        <f t="shared" si="17"/>
        <v/>
      </c>
      <c r="S68" s="40"/>
      <c r="T68" s="43" t="str">
        <f t="shared" si="15"/>
        <v/>
      </c>
      <c r="U68" s="86"/>
      <c r="V68" s="43" t="str">
        <f t="shared" si="9"/>
        <v/>
      </c>
      <c r="W68" s="40"/>
      <c r="X68" s="43" t="str">
        <f t="shared" si="11"/>
        <v/>
      </c>
      <c r="Y68" s="40"/>
      <c r="Z68" s="43" t="str">
        <f t="shared" si="18"/>
        <v/>
      </c>
      <c r="AA68" s="40"/>
      <c r="AB68" s="43" t="str">
        <f t="shared" si="19"/>
        <v/>
      </c>
      <c r="AC68" s="40"/>
      <c r="AD68" s="43" t="str">
        <f t="shared" si="20"/>
        <v/>
      </c>
      <c r="AE68" s="24" t="s">
        <v>411</v>
      </c>
      <c r="AF68" s="24"/>
      <c r="AG68" s="24"/>
      <c r="AH68" s="24"/>
      <c r="AI68" s="24"/>
      <c r="AJ68" s="24"/>
      <c r="AK68" s="24"/>
      <c r="AL68" s="24"/>
      <c r="AM68" s="24"/>
      <c r="AN68" s="24"/>
      <c r="AO68" s="24"/>
      <c r="AP68" s="24"/>
      <c r="AQ68" s="24"/>
      <c r="AR68" s="24"/>
      <c r="AS68" s="24"/>
      <c r="AT68" s="24"/>
      <c r="AU68" s="24"/>
      <c r="AV68" s="24"/>
      <c r="AW68" s="24"/>
      <c r="AX68" s="24"/>
      <c r="AY68" s="24"/>
      <c r="AZ68" s="24"/>
    </row>
    <row r="69" spans="1:52" ht="20" customHeight="1" x14ac:dyDescent="0.2">
      <c r="A69" s="67"/>
      <c r="B69" s="95"/>
      <c r="C69" s="25" t="s">
        <v>86</v>
      </c>
      <c r="D69" s="24" t="s">
        <v>108</v>
      </c>
      <c r="E69" s="24" t="s">
        <v>109</v>
      </c>
      <c r="F69" s="25">
        <v>2008</v>
      </c>
      <c r="G69" s="25">
        <v>54</v>
      </c>
      <c r="H69" s="29">
        <v>30</v>
      </c>
      <c r="I69" s="28" t="s">
        <v>174</v>
      </c>
      <c r="J69" s="39" t="s">
        <v>233</v>
      </c>
      <c r="K69" s="40"/>
      <c r="L69" s="43" t="str">
        <f t="shared" si="10"/>
        <v/>
      </c>
      <c r="M69" s="40"/>
      <c r="N69" s="43" t="str">
        <f t="shared" si="14"/>
        <v/>
      </c>
      <c r="O69" s="40"/>
      <c r="P69" s="43" t="str">
        <f t="shared" si="16"/>
        <v/>
      </c>
      <c r="Q69" s="40"/>
      <c r="R69" s="43" t="str">
        <f t="shared" si="17"/>
        <v/>
      </c>
      <c r="S69" s="40"/>
      <c r="T69" s="43" t="str">
        <f t="shared" si="15"/>
        <v/>
      </c>
      <c r="U69" s="86"/>
      <c r="V69" s="43" t="str">
        <f t="shared" si="9"/>
        <v/>
      </c>
      <c r="W69" s="40"/>
      <c r="X69" s="43" t="str">
        <f t="shared" si="11"/>
        <v/>
      </c>
      <c r="Y69" s="40"/>
      <c r="Z69" s="43" t="str">
        <f t="shared" si="18"/>
        <v/>
      </c>
      <c r="AA69" s="40"/>
      <c r="AB69" s="43" t="str">
        <f t="shared" si="19"/>
        <v/>
      </c>
      <c r="AC69" s="40"/>
      <c r="AD69" s="43" t="str">
        <f t="shared" si="20"/>
        <v/>
      </c>
      <c r="AE69" s="24"/>
      <c r="AF69" s="24"/>
      <c r="AG69" s="24"/>
      <c r="AH69" s="24"/>
      <c r="AI69" s="24"/>
      <c r="AJ69" s="24"/>
      <c r="AK69" s="24"/>
      <c r="AL69" s="24"/>
      <c r="AM69" s="24"/>
      <c r="AN69" s="24"/>
      <c r="AO69" s="24"/>
      <c r="AP69" s="24"/>
      <c r="AQ69" s="24"/>
      <c r="AR69" s="24"/>
      <c r="AS69" s="24"/>
      <c r="AT69" s="24"/>
      <c r="AU69" s="24"/>
      <c r="AV69" s="24"/>
      <c r="AW69" s="24"/>
      <c r="AX69" s="24"/>
      <c r="AY69" s="24"/>
      <c r="AZ69" s="24"/>
    </row>
    <row r="70" spans="1:52" ht="20" customHeight="1" x14ac:dyDescent="0.2">
      <c r="A70" s="67"/>
      <c r="B70" s="96"/>
      <c r="C70" s="25" t="s">
        <v>86</v>
      </c>
      <c r="D70" s="24" t="s">
        <v>110</v>
      </c>
      <c r="E70" s="24" t="s">
        <v>111</v>
      </c>
      <c r="F70" s="25">
        <v>1999</v>
      </c>
      <c r="G70" s="25">
        <v>76</v>
      </c>
      <c r="H70" s="29">
        <v>7</v>
      </c>
      <c r="I70" s="28" t="s">
        <v>189</v>
      </c>
      <c r="J70" s="39" t="s">
        <v>212</v>
      </c>
      <c r="K70" s="40"/>
      <c r="L70" s="43" t="str">
        <f t="shared" si="10"/>
        <v/>
      </c>
      <c r="M70" s="40"/>
      <c r="N70" s="43" t="str">
        <f t="shared" si="14"/>
        <v/>
      </c>
      <c r="O70" s="40"/>
      <c r="P70" s="43" t="str">
        <f t="shared" si="16"/>
        <v/>
      </c>
      <c r="Q70" s="40"/>
      <c r="R70" s="43" t="str">
        <f t="shared" si="17"/>
        <v/>
      </c>
      <c r="S70" s="40"/>
      <c r="T70" s="43" t="str">
        <f t="shared" si="15"/>
        <v/>
      </c>
      <c r="U70" s="86"/>
      <c r="V70" s="43" t="str">
        <f t="shared" si="9"/>
        <v/>
      </c>
      <c r="W70" s="40"/>
      <c r="X70" s="43" t="str">
        <f t="shared" si="11"/>
        <v/>
      </c>
      <c r="Y70" s="40"/>
      <c r="Z70" s="43" t="str">
        <f t="shared" si="18"/>
        <v/>
      </c>
      <c r="AA70" s="40"/>
      <c r="AB70" s="43" t="str">
        <f t="shared" si="19"/>
        <v/>
      </c>
      <c r="AC70" s="40"/>
      <c r="AD70" s="43" t="str">
        <f t="shared" si="20"/>
        <v/>
      </c>
      <c r="AE70" s="24" t="s">
        <v>196</v>
      </c>
      <c r="AF70" s="24"/>
      <c r="AG70" s="24"/>
      <c r="AH70" s="24"/>
      <c r="AI70" s="24"/>
      <c r="AJ70" s="24"/>
      <c r="AK70" s="24"/>
      <c r="AL70" s="24"/>
      <c r="AM70" s="24"/>
      <c r="AN70" s="24"/>
      <c r="AO70" s="24"/>
      <c r="AP70" s="24"/>
      <c r="AQ70" s="24"/>
      <c r="AR70" s="24"/>
      <c r="AS70" s="24"/>
      <c r="AT70" s="24"/>
      <c r="AU70" s="24"/>
      <c r="AV70" s="24"/>
      <c r="AW70" s="24"/>
      <c r="AX70" s="24"/>
      <c r="AY70" s="24"/>
      <c r="AZ70" s="24"/>
    </row>
    <row r="71" spans="1:52" ht="20" customHeight="1" x14ac:dyDescent="0.2">
      <c r="A71" s="68"/>
      <c r="B71" s="96"/>
      <c r="C71" s="25" t="s">
        <v>86</v>
      </c>
      <c r="D71" s="24" t="s">
        <v>112</v>
      </c>
      <c r="E71" s="24" t="s">
        <v>113</v>
      </c>
      <c r="F71" s="25">
        <v>2008</v>
      </c>
      <c r="G71" s="25">
        <v>101</v>
      </c>
      <c r="H71" s="29">
        <v>16</v>
      </c>
      <c r="I71" s="28" t="s">
        <v>235</v>
      </c>
      <c r="J71" s="39"/>
      <c r="K71" s="40"/>
      <c r="L71" s="43" t="str">
        <f t="shared" si="10"/>
        <v/>
      </c>
      <c r="M71" s="40"/>
      <c r="N71" s="43" t="str">
        <f t="shared" si="14"/>
        <v/>
      </c>
      <c r="O71" s="40"/>
      <c r="P71" s="43" t="str">
        <f t="shared" si="16"/>
        <v/>
      </c>
      <c r="Q71" s="40"/>
      <c r="R71" s="43" t="str">
        <f t="shared" si="17"/>
        <v/>
      </c>
      <c r="S71" s="40"/>
      <c r="T71" s="43" t="str">
        <f t="shared" si="15"/>
        <v/>
      </c>
      <c r="U71" s="86"/>
      <c r="V71" s="43" t="str">
        <f t="shared" si="9"/>
        <v/>
      </c>
      <c r="W71" s="40"/>
      <c r="X71" s="43" t="str">
        <f t="shared" si="11"/>
        <v/>
      </c>
      <c r="Y71" s="40"/>
      <c r="Z71" s="43" t="str">
        <f t="shared" si="18"/>
        <v/>
      </c>
      <c r="AA71" s="40"/>
      <c r="AB71" s="43" t="str">
        <f t="shared" si="19"/>
        <v/>
      </c>
      <c r="AC71" s="40"/>
      <c r="AD71" s="43" t="str">
        <f t="shared" si="20"/>
        <v/>
      </c>
      <c r="AE71" s="24" t="s">
        <v>432</v>
      </c>
      <c r="AF71" s="24"/>
      <c r="AG71" s="24"/>
      <c r="AH71" s="24"/>
      <c r="AI71" s="24"/>
      <c r="AJ71" s="24"/>
      <c r="AK71" s="24"/>
      <c r="AL71" s="24"/>
      <c r="AM71" s="24"/>
      <c r="AN71" s="24"/>
      <c r="AO71" s="24"/>
      <c r="AP71" s="24"/>
      <c r="AQ71" s="24"/>
      <c r="AR71" s="24"/>
      <c r="AS71" s="24"/>
      <c r="AT71" s="24"/>
      <c r="AU71" s="24"/>
      <c r="AV71" s="24"/>
      <c r="AW71" s="24"/>
      <c r="AX71" s="24"/>
      <c r="AY71" s="24"/>
      <c r="AZ71" s="24"/>
    </row>
    <row r="72" spans="1:52" ht="20" customHeight="1" x14ac:dyDescent="0.2">
      <c r="A72" s="67"/>
      <c r="B72" s="95"/>
      <c r="C72" s="25" t="s">
        <v>86</v>
      </c>
      <c r="D72" s="24" t="s">
        <v>114</v>
      </c>
      <c r="E72" s="24" t="s">
        <v>115</v>
      </c>
      <c r="F72" s="25">
        <v>1997</v>
      </c>
      <c r="G72" s="25">
        <v>127</v>
      </c>
      <c r="H72" s="29">
        <v>8</v>
      </c>
      <c r="I72" s="28" t="s">
        <v>236</v>
      </c>
      <c r="J72" s="39" t="s">
        <v>237</v>
      </c>
      <c r="K72" s="40"/>
      <c r="L72" s="43" t="str">
        <f t="shared" si="10"/>
        <v/>
      </c>
      <c r="M72" s="40"/>
      <c r="N72" s="43" t="str">
        <f t="shared" si="14"/>
        <v/>
      </c>
      <c r="O72" s="40"/>
      <c r="P72" s="43" t="str">
        <f t="shared" si="16"/>
        <v/>
      </c>
      <c r="Q72" s="40"/>
      <c r="R72" s="43" t="str">
        <f t="shared" si="17"/>
        <v/>
      </c>
      <c r="S72" s="40"/>
      <c r="T72" s="43" t="str">
        <f t="shared" si="15"/>
        <v/>
      </c>
      <c r="U72" s="86">
        <v>1</v>
      </c>
      <c r="V72" s="43">
        <f t="shared" si="9"/>
        <v>12.5</v>
      </c>
      <c r="W72" s="40"/>
      <c r="X72" s="43" t="str">
        <f t="shared" si="11"/>
        <v/>
      </c>
      <c r="Y72" s="40"/>
      <c r="Z72" s="43" t="str">
        <f t="shared" si="18"/>
        <v/>
      </c>
      <c r="AA72" s="40"/>
      <c r="AB72" s="43" t="str">
        <f t="shared" si="19"/>
        <v/>
      </c>
      <c r="AC72" s="40">
        <v>1</v>
      </c>
      <c r="AD72" s="43">
        <f t="shared" si="20"/>
        <v>12.5</v>
      </c>
      <c r="AE72" s="24" t="s">
        <v>433</v>
      </c>
      <c r="AF72" s="24"/>
      <c r="AG72" s="24"/>
      <c r="AH72" s="24"/>
      <c r="AI72" s="24"/>
      <c r="AJ72" s="24"/>
      <c r="AK72" s="24"/>
      <c r="AL72" s="24"/>
      <c r="AM72" s="24"/>
      <c r="AN72" s="24"/>
      <c r="AO72" s="24"/>
      <c r="AP72" s="24"/>
      <c r="AQ72" s="24"/>
      <c r="AR72" s="24"/>
      <c r="AS72" s="24"/>
      <c r="AT72" s="24"/>
      <c r="AU72" s="24"/>
      <c r="AV72" s="24"/>
      <c r="AW72" s="24"/>
      <c r="AX72" s="24"/>
      <c r="AY72" s="24"/>
      <c r="AZ72" s="24"/>
    </row>
    <row r="73" spans="1:52" ht="20" customHeight="1" x14ac:dyDescent="0.2">
      <c r="A73" s="67"/>
      <c r="B73" s="25"/>
      <c r="C73" s="25" t="s">
        <v>86</v>
      </c>
      <c r="D73" s="24" t="s">
        <v>116</v>
      </c>
      <c r="E73" s="24" t="s">
        <v>117</v>
      </c>
      <c r="F73" s="25">
        <v>2001</v>
      </c>
      <c r="G73" s="25">
        <v>143</v>
      </c>
      <c r="H73" s="29">
        <v>6</v>
      </c>
      <c r="I73" s="28" t="s">
        <v>238</v>
      </c>
      <c r="J73" s="39" t="s">
        <v>213</v>
      </c>
      <c r="K73" s="40"/>
      <c r="L73" s="43" t="str">
        <f t="shared" si="10"/>
        <v/>
      </c>
      <c r="M73" s="40"/>
      <c r="N73" s="43" t="str">
        <f t="shared" si="14"/>
        <v/>
      </c>
      <c r="O73" s="40"/>
      <c r="P73" s="43" t="str">
        <f t="shared" si="16"/>
        <v/>
      </c>
      <c r="Q73" s="40"/>
      <c r="R73" s="43" t="str">
        <f t="shared" si="17"/>
        <v/>
      </c>
      <c r="S73" s="40"/>
      <c r="T73" s="43" t="str">
        <f t="shared" si="15"/>
        <v/>
      </c>
      <c r="U73" s="86"/>
      <c r="V73" s="43" t="str">
        <f t="shared" si="9"/>
        <v/>
      </c>
      <c r="W73" s="40"/>
      <c r="X73" s="43" t="str">
        <f t="shared" si="11"/>
        <v/>
      </c>
      <c r="Y73" s="40"/>
      <c r="Z73" s="43" t="str">
        <f t="shared" si="18"/>
        <v/>
      </c>
      <c r="AA73" s="40"/>
      <c r="AB73" s="43" t="str">
        <f t="shared" si="19"/>
        <v/>
      </c>
      <c r="AC73" s="40"/>
      <c r="AD73" s="43" t="str">
        <f t="shared" si="20"/>
        <v/>
      </c>
      <c r="AE73" s="24" t="s">
        <v>239</v>
      </c>
      <c r="AF73" s="24"/>
      <c r="AG73" s="24"/>
      <c r="AH73" s="24"/>
      <c r="AI73" s="24"/>
      <c r="AJ73" s="24"/>
      <c r="AK73" s="24"/>
      <c r="AL73" s="24"/>
      <c r="AM73" s="24"/>
      <c r="AN73" s="24"/>
      <c r="AO73" s="24"/>
      <c r="AP73" s="24"/>
      <c r="AQ73" s="24"/>
      <c r="AR73" s="24"/>
      <c r="AS73" s="24"/>
      <c r="AT73" s="24"/>
      <c r="AU73" s="24"/>
      <c r="AV73" s="24"/>
      <c r="AW73" s="24"/>
      <c r="AX73" s="24"/>
      <c r="AY73" s="24"/>
      <c r="AZ73" s="24"/>
    </row>
    <row r="74" spans="1:52" ht="20" customHeight="1" x14ac:dyDescent="0.2">
      <c r="A74" s="67"/>
      <c r="B74" s="95"/>
      <c r="C74" s="25" t="s">
        <v>86</v>
      </c>
      <c r="D74" s="24" t="s">
        <v>120</v>
      </c>
      <c r="E74" s="24" t="s">
        <v>121</v>
      </c>
      <c r="F74" s="25">
        <v>2003</v>
      </c>
      <c r="G74" s="25">
        <v>45</v>
      </c>
      <c r="H74" s="29">
        <v>16</v>
      </c>
      <c r="I74" s="28" t="s">
        <v>189</v>
      </c>
      <c r="J74" s="39" t="s">
        <v>377</v>
      </c>
      <c r="K74" s="40"/>
      <c r="L74" s="43" t="str">
        <f t="shared" si="10"/>
        <v/>
      </c>
      <c r="M74" s="40"/>
      <c r="N74" s="43" t="str">
        <f t="shared" si="14"/>
        <v/>
      </c>
      <c r="O74" s="45"/>
      <c r="P74" s="46" t="str">
        <f t="shared" si="16"/>
        <v/>
      </c>
      <c r="Q74" s="40"/>
      <c r="R74" s="43" t="str">
        <f t="shared" si="17"/>
        <v/>
      </c>
      <c r="S74" s="40"/>
      <c r="T74" s="43" t="str">
        <f t="shared" si="15"/>
        <v/>
      </c>
      <c r="U74" s="86"/>
      <c r="V74" s="43" t="str">
        <f t="shared" si="9"/>
        <v/>
      </c>
      <c r="W74" s="40"/>
      <c r="X74" s="43" t="str">
        <f t="shared" si="11"/>
        <v/>
      </c>
      <c r="Y74" s="40"/>
      <c r="Z74" s="43" t="str">
        <f t="shared" si="18"/>
        <v/>
      </c>
      <c r="AA74" s="40"/>
      <c r="AB74" s="43" t="str">
        <f t="shared" si="19"/>
        <v/>
      </c>
      <c r="AC74" s="40"/>
      <c r="AD74" s="43" t="str">
        <f t="shared" si="20"/>
        <v/>
      </c>
      <c r="AE74" s="24" t="s">
        <v>244</v>
      </c>
      <c r="AF74" s="24"/>
      <c r="AG74" s="24"/>
      <c r="AH74" s="24"/>
      <c r="AI74" s="24"/>
      <c r="AJ74" s="24"/>
      <c r="AK74" s="24"/>
      <c r="AL74" s="24"/>
      <c r="AM74" s="24"/>
      <c r="AN74" s="24"/>
      <c r="AO74" s="24"/>
      <c r="AP74" s="24"/>
      <c r="AQ74" s="24"/>
      <c r="AR74" s="24"/>
      <c r="AS74" s="24"/>
      <c r="AT74" s="24"/>
      <c r="AU74" s="24"/>
      <c r="AV74" s="24"/>
      <c r="AW74" s="24"/>
      <c r="AX74" s="24"/>
      <c r="AY74" s="24"/>
      <c r="AZ74" s="24"/>
    </row>
    <row r="75" spans="1:52" ht="20" customHeight="1" x14ac:dyDescent="0.2">
      <c r="A75" s="67"/>
      <c r="B75" s="96"/>
      <c r="C75" s="25" t="s">
        <v>86</v>
      </c>
      <c r="D75" s="24" t="s">
        <v>122</v>
      </c>
      <c r="E75" s="24" t="s">
        <v>123</v>
      </c>
      <c r="F75" s="25">
        <v>2002</v>
      </c>
      <c r="G75" s="25">
        <v>73</v>
      </c>
      <c r="H75" s="29">
        <v>49</v>
      </c>
      <c r="I75" s="28" t="s">
        <v>218</v>
      </c>
      <c r="J75" s="39"/>
      <c r="K75" s="40"/>
      <c r="L75" s="43" t="str">
        <f t="shared" ref="L75:L86" si="21">IF((ISERROR((K75/$H75)*100)), "", IF(AND(NOT(ISERROR((K75/$H75)*100)),((K75/$H75)*100) &lt;&gt; 0), (K75/$H75)*100, ""))</f>
        <v/>
      </c>
      <c r="M75" s="40"/>
      <c r="N75" s="43" t="str">
        <f t="shared" si="14"/>
        <v/>
      </c>
      <c r="O75" s="40"/>
      <c r="P75" s="43" t="str">
        <f t="shared" si="16"/>
        <v/>
      </c>
      <c r="Q75" s="40"/>
      <c r="R75" s="43" t="str">
        <f t="shared" si="17"/>
        <v/>
      </c>
      <c r="S75" s="40"/>
      <c r="T75" s="43" t="str">
        <f t="shared" si="15"/>
        <v/>
      </c>
      <c r="U75" s="86"/>
      <c r="V75" s="43" t="str">
        <f t="shared" si="9"/>
        <v/>
      </c>
      <c r="W75" s="40"/>
      <c r="X75" s="43" t="str">
        <f t="shared" ref="X75:X94" si="22">IF((ISERROR((W75/$H75)*100)), "", IF(AND(NOT(ISERROR((W75/$H75)*100)),((W75/$H75)*100) &lt;&gt; 0), (W75/$H75)*100, ""))</f>
        <v/>
      </c>
      <c r="Y75" s="40"/>
      <c r="Z75" s="43" t="str">
        <f t="shared" si="18"/>
        <v/>
      </c>
      <c r="AA75" s="40"/>
      <c r="AB75" s="43" t="str">
        <f t="shared" si="19"/>
        <v/>
      </c>
      <c r="AC75" s="40"/>
      <c r="AD75" s="43" t="str">
        <f t="shared" si="20"/>
        <v/>
      </c>
      <c r="AE75" s="24" t="s">
        <v>196</v>
      </c>
      <c r="AF75" s="24"/>
      <c r="AG75" s="24"/>
      <c r="AH75" s="24"/>
      <c r="AI75" s="24"/>
      <c r="AJ75" s="24"/>
      <c r="AK75" s="24"/>
      <c r="AL75" s="24"/>
      <c r="AM75" s="24"/>
      <c r="AN75" s="24"/>
      <c r="AO75" s="24"/>
      <c r="AP75" s="24"/>
      <c r="AQ75" s="24"/>
      <c r="AR75" s="24"/>
      <c r="AS75" s="24"/>
      <c r="AT75" s="24"/>
      <c r="AU75" s="24"/>
      <c r="AV75" s="24"/>
      <c r="AW75" s="24"/>
      <c r="AX75" s="24"/>
      <c r="AY75" s="24"/>
      <c r="AZ75" s="24"/>
    </row>
    <row r="76" spans="1:52" ht="20" customHeight="1" x14ac:dyDescent="0.2">
      <c r="A76" s="67"/>
      <c r="B76" s="95"/>
      <c r="C76" s="25" t="s">
        <v>86</v>
      </c>
      <c r="D76" s="24" t="s">
        <v>347</v>
      </c>
      <c r="E76" s="24" t="s">
        <v>348</v>
      </c>
      <c r="F76" s="25">
        <v>2015</v>
      </c>
      <c r="H76" s="29">
        <v>5</v>
      </c>
      <c r="I76" s="28" t="s">
        <v>235</v>
      </c>
      <c r="J76" s="39" t="s">
        <v>208</v>
      </c>
      <c r="K76" s="40"/>
      <c r="L76" s="43" t="str">
        <f t="shared" si="21"/>
        <v/>
      </c>
      <c r="M76" s="40"/>
      <c r="N76" s="43" t="str">
        <f t="shared" si="14"/>
        <v/>
      </c>
      <c r="O76" s="40"/>
      <c r="P76" s="43" t="str">
        <f t="shared" si="16"/>
        <v/>
      </c>
      <c r="Q76" s="40"/>
      <c r="R76" s="43" t="str">
        <f t="shared" si="17"/>
        <v/>
      </c>
      <c r="S76" s="40"/>
      <c r="T76" s="43" t="str">
        <f t="shared" si="15"/>
        <v/>
      </c>
      <c r="U76" s="86"/>
      <c r="V76" s="43" t="str">
        <f t="shared" si="9"/>
        <v/>
      </c>
      <c r="W76" s="40"/>
      <c r="X76" s="43" t="str">
        <f t="shared" si="22"/>
        <v/>
      </c>
      <c r="Y76" s="40"/>
      <c r="Z76" s="43" t="str">
        <f t="shared" si="18"/>
        <v/>
      </c>
      <c r="AA76" s="40"/>
      <c r="AB76" s="43" t="str">
        <f t="shared" si="19"/>
        <v/>
      </c>
      <c r="AC76" s="40"/>
      <c r="AD76" s="43" t="str">
        <f t="shared" si="20"/>
        <v/>
      </c>
      <c r="AE76" s="24"/>
      <c r="AF76" s="24"/>
      <c r="AG76" s="24"/>
      <c r="AH76" s="24"/>
      <c r="AI76" s="24"/>
      <c r="AJ76" s="24"/>
      <c r="AK76" s="24"/>
      <c r="AL76" s="24"/>
      <c r="AM76" s="24"/>
      <c r="AN76" s="24"/>
      <c r="AO76" s="24"/>
      <c r="AP76" s="24"/>
      <c r="AQ76" s="24"/>
      <c r="AR76" s="24"/>
      <c r="AS76" s="24"/>
      <c r="AT76" s="24"/>
      <c r="AU76" s="24"/>
      <c r="AV76" s="24"/>
      <c r="AW76" s="24"/>
      <c r="AX76" s="24"/>
      <c r="AY76" s="24"/>
      <c r="AZ76" s="24"/>
    </row>
    <row r="77" spans="1:52" ht="20" customHeight="1" x14ac:dyDescent="0.2">
      <c r="A77" s="67"/>
      <c r="B77" s="96"/>
      <c r="C77" s="25" t="s">
        <v>86</v>
      </c>
      <c r="D77" s="24" t="s">
        <v>349</v>
      </c>
      <c r="E77" s="24" t="s">
        <v>350</v>
      </c>
      <c r="F77" s="25">
        <v>2008</v>
      </c>
      <c r="H77" s="29">
        <v>86</v>
      </c>
      <c r="I77" s="28" t="s">
        <v>189</v>
      </c>
      <c r="J77" s="39"/>
      <c r="K77" s="40"/>
      <c r="L77" s="43" t="str">
        <f t="shared" si="21"/>
        <v/>
      </c>
      <c r="M77" s="40"/>
      <c r="N77" s="43" t="str">
        <f t="shared" si="14"/>
        <v/>
      </c>
      <c r="O77" s="40"/>
      <c r="P77" s="43" t="str">
        <f t="shared" si="16"/>
        <v/>
      </c>
      <c r="Q77" s="40"/>
      <c r="R77" s="43" t="str">
        <f t="shared" si="17"/>
        <v/>
      </c>
      <c r="S77" s="40"/>
      <c r="T77" s="43" t="str">
        <f t="shared" si="15"/>
        <v/>
      </c>
      <c r="U77" s="86"/>
      <c r="V77" s="43" t="str">
        <f t="shared" si="9"/>
        <v/>
      </c>
      <c r="W77" s="40"/>
      <c r="X77" s="43" t="str">
        <f t="shared" si="22"/>
        <v/>
      </c>
      <c r="Y77" s="40"/>
      <c r="Z77" s="43" t="str">
        <f t="shared" si="18"/>
        <v/>
      </c>
      <c r="AA77" s="40"/>
      <c r="AB77" s="43" t="str">
        <f t="shared" si="19"/>
        <v/>
      </c>
      <c r="AC77" s="40"/>
      <c r="AD77" s="43" t="str">
        <f t="shared" si="20"/>
        <v/>
      </c>
      <c r="AE77" s="24" t="s">
        <v>412</v>
      </c>
      <c r="AF77" s="24"/>
      <c r="AG77" s="24"/>
      <c r="AH77" s="24"/>
      <c r="AI77" s="24"/>
      <c r="AJ77" s="24"/>
      <c r="AK77" s="24"/>
      <c r="AL77" s="24"/>
      <c r="AM77" s="24"/>
      <c r="AN77" s="24"/>
      <c r="AO77" s="24"/>
      <c r="AP77" s="24"/>
      <c r="AQ77" s="24"/>
      <c r="AR77" s="24"/>
      <c r="AS77" s="24"/>
      <c r="AT77" s="24"/>
      <c r="AU77" s="24"/>
      <c r="AV77" s="24"/>
      <c r="AW77" s="24"/>
      <c r="AX77" s="24"/>
      <c r="AY77" s="24"/>
      <c r="AZ77" s="24"/>
    </row>
    <row r="78" spans="1:52" ht="20" customHeight="1" x14ac:dyDescent="0.2">
      <c r="A78" s="67"/>
      <c r="B78" s="96"/>
      <c r="C78" s="25" t="s">
        <v>86</v>
      </c>
      <c r="D78" s="24" t="s">
        <v>351</v>
      </c>
      <c r="E78" s="24" t="s">
        <v>352</v>
      </c>
      <c r="F78" s="25">
        <v>2012</v>
      </c>
      <c r="H78" s="29">
        <v>16</v>
      </c>
      <c r="I78" s="28" t="s">
        <v>413</v>
      </c>
      <c r="J78" s="39" t="s">
        <v>233</v>
      </c>
      <c r="K78" s="40"/>
      <c r="L78" s="43" t="str">
        <f t="shared" si="21"/>
        <v/>
      </c>
      <c r="M78" s="40"/>
      <c r="N78" s="43" t="str">
        <f t="shared" si="14"/>
        <v/>
      </c>
      <c r="O78" s="40"/>
      <c r="P78" s="43" t="str">
        <f t="shared" si="16"/>
        <v/>
      </c>
      <c r="Q78" s="40"/>
      <c r="R78" s="43" t="str">
        <f t="shared" si="17"/>
        <v/>
      </c>
      <c r="S78" s="40"/>
      <c r="T78" s="43" t="str">
        <f t="shared" si="15"/>
        <v/>
      </c>
      <c r="U78" s="86"/>
      <c r="V78" s="43" t="str">
        <f t="shared" si="9"/>
        <v/>
      </c>
      <c r="W78" s="40"/>
      <c r="X78" s="43" t="str">
        <f t="shared" si="22"/>
        <v/>
      </c>
      <c r="Y78" s="40"/>
      <c r="Z78" s="43" t="str">
        <f t="shared" si="18"/>
        <v/>
      </c>
      <c r="AA78" s="40"/>
      <c r="AB78" s="43" t="str">
        <f t="shared" si="19"/>
        <v/>
      </c>
      <c r="AC78" s="40"/>
      <c r="AD78" s="43" t="str">
        <f t="shared" si="20"/>
        <v/>
      </c>
      <c r="AE78" s="24"/>
      <c r="AF78" s="24"/>
      <c r="AG78" s="24"/>
      <c r="AH78" s="24"/>
      <c r="AI78" s="24"/>
      <c r="AJ78" s="24"/>
      <c r="AK78" s="24"/>
      <c r="AL78" s="24"/>
      <c r="AM78" s="24"/>
      <c r="AN78" s="24"/>
      <c r="AO78" s="24"/>
      <c r="AP78" s="24"/>
      <c r="AQ78" s="24"/>
      <c r="AR78" s="24"/>
      <c r="AS78" s="24"/>
      <c r="AT78" s="24"/>
      <c r="AU78" s="24"/>
      <c r="AV78" s="24"/>
      <c r="AW78" s="24"/>
      <c r="AX78" s="24"/>
      <c r="AY78" s="24"/>
      <c r="AZ78" s="24"/>
    </row>
    <row r="79" spans="1:52" ht="20" customHeight="1" x14ac:dyDescent="0.2">
      <c r="A79" s="68"/>
      <c r="B79" s="25"/>
      <c r="C79" s="57" t="s">
        <v>35</v>
      </c>
      <c r="D79" s="56" t="s">
        <v>124</v>
      </c>
      <c r="E79" s="56" t="s">
        <v>125</v>
      </c>
      <c r="F79" s="57">
        <v>2007</v>
      </c>
      <c r="G79" s="57">
        <v>60</v>
      </c>
      <c r="H79" s="29"/>
      <c r="I79" s="28"/>
      <c r="J79" s="39"/>
      <c r="K79" s="40"/>
      <c r="L79" s="43" t="str">
        <f t="shared" si="21"/>
        <v/>
      </c>
      <c r="M79" s="40"/>
      <c r="N79" s="43" t="str">
        <f t="shared" ref="N79" si="23">IF((ISERROR((M79/$H79)*100)), "", IF(AND(NOT(ISERROR((M79/$H79)*100)),((M79/$H79)*100) &lt;&gt; 0), (M79/$H79)*100, ""))</f>
        <v/>
      </c>
      <c r="O79" s="40"/>
      <c r="P79" s="43" t="str">
        <f>IF((ISERROR((O79/$H79)*100)), "", IF(AND(NOT(ISERROR((O79/$H79)*100)),((O79/$H79)*100) &lt;&gt; 0), (O79/$H79)*100, ""))</f>
        <v/>
      </c>
      <c r="Q79" s="40"/>
      <c r="R79" s="43" t="str">
        <f>IF((ISERROR((Q79/$H79)*100)), "", IF(AND(NOT(ISERROR((Q79/$H79)*100)),((Q79/$H79)*100) &lt;&gt; 0), (Q79/$H79)*100, ""))</f>
        <v/>
      </c>
      <c r="S79" s="40"/>
      <c r="T79" s="43" t="str">
        <f t="shared" ref="T79" si="24">IF((ISERROR((S79/$H79)*100)), "", IF(AND(NOT(ISERROR((S79/$H79)*100)),((S79/$H79)*100) &lt;&gt; 0), (S79/$H79)*100, ""))</f>
        <v/>
      </c>
      <c r="U79" s="86"/>
      <c r="V79" s="43" t="str">
        <f t="shared" si="9"/>
        <v/>
      </c>
      <c r="W79" s="40"/>
      <c r="X79" s="43" t="str">
        <f t="shared" si="22"/>
        <v/>
      </c>
      <c r="Y79" s="40"/>
      <c r="Z79" s="43" t="str">
        <f t="shared" si="18"/>
        <v/>
      </c>
      <c r="AA79" s="40"/>
      <c r="AB79" s="43" t="str">
        <f t="shared" si="19"/>
        <v/>
      </c>
      <c r="AC79" s="40"/>
      <c r="AD79" s="43" t="str">
        <f>IF((ISERROR((AC79/$H79)*100)), "", IF(AND(NOT(ISERROR((AC79/$H79)*100)),((AC79/$H79)*100) &lt;&gt; 0), (AC79/$H79)*100, ""))</f>
        <v/>
      </c>
      <c r="AE79" s="24" t="s">
        <v>435</v>
      </c>
      <c r="AF79" s="24"/>
      <c r="AG79" s="24"/>
      <c r="AH79" s="24"/>
      <c r="AI79" s="24"/>
      <c r="AJ79" s="24"/>
      <c r="AK79" s="24"/>
      <c r="AL79" s="24"/>
      <c r="AM79" s="24"/>
      <c r="AN79" s="24"/>
      <c r="AO79" s="24"/>
      <c r="AP79" s="24"/>
      <c r="AQ79" s="24"/>
      <c r="AR79" s="24"/>
      <c r="AS79" s="24"/>
      <c r="AT79" s="24"/>
      <c r="AU79" s="24"/>
      <c r="AV79" s="24"/>
      <c r="AW79" s="24"/>
      <c r="AX79" s="24"/>
      <c r="AY79" s="24"/>
      <c r="AZ79" s="24"/>
    </row>
    <row r="80" spans="1:52" ht="20" customHeight="1" x14ac:dyDescent="0.2">
      <c r="A80" s="68"/>
      <c r="B80" s="25"/>
      <c r="C80" s="25" t="s">
        <v>86</v>
      </c>
      <c r="D80" s="24" t="s">
        <v>128</v>
      </c>
      <c r="E80" s="24" t="s">
        <v>129</v>
      </c>
      <c r="F80" s="25">
        <v>2000</v>
      </c>
      <c r="G80" s="25">
        <v>252</v>
      </c>
      <c r="H80" s="29">
        <v>40</v>
      </c>
      <c r="I80" s="28" t="s">
        <v>246</v>
      </c>
      <c r="J80" s="39" t="s">
        <v>176</v>
      </c>
      <c r="K80" s="40"/>
      <c r="L80" s="43" t="str">
        <f t="shared" si="21"/>
        <v/>
      </c>
      <c r="M80" s="40"/>
      <c r="N80" s="43" t="str">
        <f t="shared" ref="N80:N94" si="25">IF((ISERROR((M80/$H80)*100)), "", IF(AND(NOT(ISERROR((M80/$H80)*100)),((M80/$H80)*100) &lt;&gt; 0), (M80/$H80)*100, ""))</f>
        <v/>
      </c>
      <c r="O80" s="40"/>
      <c r="P80" s="43" t="str">
        <f t="shared" si="16"/>
        <v/>
      </c>
      <c r="Q80" s="40"/>
      <c r="R80" s="43" t="str">
        <f t="shared" si="17"/>
        <v/>
      </c>
      <c r="S80" s="40"/>
      <c r="T80" s="43" t="str">
        <f t="shared" ref="T80:T94" si="26">IF((ISERROR((S80/$H80)*100)), "", IF(AND(NOT(ISERROR((S80/$H80)*100)),((S80/$H80)*100) &lt;&gt; 0), (S80/$H80)*100, ""))</f>
        <v/>
      </c>
      <c r="U80" s="86"/>
      <c r="V80" s="43" t="str">
        <f t="shared" si="9"/>
        <v/>
      </c>
      <c r="W80" s="40"/>
      <c r="X80" s="43" t="str">
        <f t="shared" si="22"/>
        <v/>
      </c>
      <c r="Y80" s="40"/>
      <c r="Z80" s="43" t="str">
        <f t="shared" si="18"/>
        <v/>
      </c>
      <c r="AA80" s="40"/>
      <c r="AB80" s="43" t="str">
        <f t="shared" si="19"/>
        <v/>
      </c>
      <c r="AC80" s="40"/>
      <c r="AD80" s="43" t="str">
        <f t="shared" si="20"/>
        <v/>
      </c>
      <c r="AE80" s="24" t="s">
        <v>247</v>
      </c>
      <c r="AF80" s="24"/>
      <c r="AG80" s="24"/>
      <c r="AH80" s="24"/>
      <c r="AI80" s="24"/>
      <c r="AJ80" s="24"/>
      <c r="AK80" s="24"/>
      <c r="AL80" s="24"/>
      <c r="AM80" s="24"/>
      <c r="AN80" s="24"/>
      <c r="AO80" s="24"/>
      <c r="AP80" s="24"/>
      <c r="AQ80" s="24"/>
      <c r="AR80" s="24"/>
      <c r="AS80" s="24"/>
      <c r="AT80" s="24"/>
      <c r="AU80" s="24"/>
      <c r="AV80" s="24"/>
      <c r="AW80" s="24"/>
      <c r="AX80" s="24"/>
      <c r="AY80" s="24"/>
      <c r="AZ80" s="24"/>
    </row>
    <row r="81" spans="1:52" ht="20" customHeight="1" x14ac:dyDescent="0.2">
      <c r="A81" s="67"/>
      <c r="B81" s="95"/>
      <c r="C81" s="25" t="s">
        <v>86</v>
      </c>
      <c r="D81" s="24" t="s">
        <v>132</v>
      </c>
      <c r="E81" s="24" t="s">
        <v>133</v>
      </c>
      <c r="F81" s="25">
        <v>1998</v>
      </c>
      <c r="G81" s="25">
        <v>213</v>
      </c>
      <c r="H81" s="29">
        <v>6</v>
      </c>
      <c r="I81" s="28" t="s">
        <v>189</v>
      </c>
      <c r="J81" s="39"/>
      <c r="K81" s="40"/>
      <c r="L81" s="43" t="str">
        <f t="shared" si="21"/>
        <v/>
      </c>
      <c r="M81" s="40"/>
      <c r="N81" s="43" t="str">
        <f t="shared" si="25"/>
        <v/>
      </c>
      <c r="O81" s="40"/>
      <c r="P81" s="43" t="str">
        <f t="shared" si="16"/>
        <v/>
      </c>
      <c r="Q81" s="40"/>
      <c r="R81" s="43" t="str">
        <f t="shared" si="17"/>
        <v/>
      </c>
      <c r="S81" s="40"/>
      <c r="T81" s="43" t="str">
        <f t="shared" si="26"/>
        <v/>
      </c>
      <c r="U81" s="86"/>
      <c r="V81" s="43" t="str">
        <f t="shared" si="9"/>
        <v/>
      </c>
      <c r="W81" s="45">
        <v>4</v>
      </c>
      <c r="X81" s="46">
        <f t="shared" si="22"/>
        <v>66.666666666666657</v>
      </c>
      <c r="Y81" s="40"/>
      <c r="Z81" s="43" t="str">
        <f t="shared" si="18"/>
        <v/>
      </c>
      <c r="AA81" s="40"/>
      <c r="AB81" s="43" t="str">
        <f t="shared" si="19"/>
        <v/>
      </c>
      <c r="AC81" s="40"/>
      <c r="AD81" s="43" t="str">
        <f t="shared" si="20"/>
        <v/>
      </c>
      <c r="AE81" s="24" t="s">
        <v>248</v>
      </c>
      <c r="AF81" s="24"/>
      <c r="AG81" s="24"/>
      <c r="AH81" s="24"/>
      <c r="AI81" s="24"/>
      <c r="AJ81" s="24"/>
      <c r="AK81" s="24"/>
      <c r="AL81" s="24"/>
      <c r="AM81" s="24"/>
      <c r="AN81" s="24"/>
      <c r="AO81" s="24"/>
      <c r="AP81" s="24"/>
      <c r="AQ81" s="24"/>
      <c r="AR81" s="24"/>
      <c r="AS81" s="24"/>
      <c r="AT81" s="24"/>
      <c r="AU81" s="24"/>
      <c r="AV81" s="24"/>
      <c r="AW81" s="24"/>
      <c r="AX81" s="24"/>
      <c r="AY81" s="24"/>
      <c r="AZ81" s="24"/>
    </row>
    <row r="82" spans="1:52" ht="20" customHeight="1" x14ac:dyDescent="0.2">
      <c r="A82" s="68"/>
      <c r="B82" s="95"/>
      <c r="C82" s="25" t="s">
        <v>86</v>
      </c>
      <c r="D82" s="24" t="s">
        <v>134</v>
      </c>
      <c r="E82" s="24" t="s">
        <v>135</v>
      </c>
      <c r="F82" s="25">
        <v>2001</v>
      </c>
      <c r="G82" s="25">
        <v>192</v>
      </c>
      <c r="H82" s="29">
        <v>40</v>
      </c>
      <c r="I82" s="28" t="s">
        <v>189</v>
      </c>
      <c r="J82" s="39" t="s">
        <v>176</v>
      </c>
      <c r="K82" s="40"/>
      <c r="L82" s="43" t="str">
        <f t="shared" si="21"/>
        <v/>
      </c>
      <c r="M82" s="40"/>
      <c r="N82" s="43" t="str">
        <f t="shared" si="25"/>
        <v/>
      </c>
      <c r="O82" s="40"/>
      <c r="P82" s="43" t="str">
        <f t="shared" si="16"/>
        <v/>
      </c>
      <c r="Q82" s="40"/>
      <c r="R82" s="43" t="str">
        <f t="shared" si="17"/>
        <v/>
      </c>
      <c r="S82" s="40"/>
      <c r="T82" s="43" t="str">
        <f t="shared" si="26"/>
        <v/>
      </c>
      <c r="U82" s="86"/>
      <c r="V82" s="43" t="str">
        <f t="shared" si="9"/>
        <v/>
      </c>
      <c r="W82" s="45">
        <v>1</v>
      </c>
      <c r="X82" s="46">
        <f t="shared" si="22"/>
        <v>2.5</v>
      </c>
      <c r="Y82" s="40"/>
      <c r="Z82" s="43" t="str">
        <f t="shared" si="18"/>
        <v/>
      </c>
      <c r="AA82" s="40"/>
      <c r="AB82" s="43" t="str">
        <f t="shared" si="19"/>
        <v/>
      </c>
      <c r="AC82" s="40"/>
      <c r="AD82" s="43" t="str">
        <f t="shared" si="20"/>
        <v/>
      </c>
      <c r="AE82" s="24" t="s">
        <v>436</v>
      </c>
      <c r="AF82" s="24"/>
      <c r="AG82" s="24"/>
      <c r="AH82" s="24"/>
      <c r="AI82" s="24"/>
      <c r="AJ82" s="24"/>
      <c r="AK82" s="24"/>
      <c r="AL82" s="24"/>
      <c r="AM82" s="24"/>
      <c r="AN82" s="24"/>
      <c r="AO82" s="24"/>
      <c r="AP82" s="24"/>
      <c r="AQ82" s="24"/>
      <c r="AR82" s="24"/>
      <c r="AS82" s="24"/>
      <c r="AT82" s="24"/>
      <c r="AU82" s="24"/>
      <c r="AV82" s="24"/>
      <c r="AW82" s="24"/>
      <c r="AX82" s="24"/>
      <c r="AY82" s="24"/>
      <c r="AZ82" s="24"/>
    </row>
    <row r="83" spans="1:52" ht="20" customHeight="1" x14ac:dyDescent="0.2">
      <c r="A83" s="67"/>
      <c r="B83" s="96"/>
      <c r="C83" s="25" t="s">
        <v>86</v>
      </c>
      <c r="D83" s="24" t="s">
        <v>154</v>
      </c>
      <c r="E83" s="24" t="s">
        <v>153</v>
      </c>
      <c r="F83" s="25">
        <v>1999</v>
      </c>
      <c r="G83" s="25">
        <v>9</v>
      </c>
      <c r="H83" s="29">
        <v>30</v>
      </c>
      <c r="I83" s="28" t="s">
        <v>250</v>
      </c>
      <c r="J83" s="39" t="s">
        <v>251</v>
      </c>
      <c r="K83" s="40"/>
      <c r="L83" s="43" t="str">
        <f t="shared" si="21"/>
        <v/>
      </c>
      <c r="M83" s="40"/>
      <c r="N83" s="43" t="str">
        <f t="shared" si="25"/>
        <v/>
      </c>
      <c r="O83" s="40"/>
      <c r="P83" s="43" t="str">
        <f t="shared" si="16"/>
        <v/>
      </c>
      <c r="Q83" s="40"/>
      <c r="R83" s="43" t="str">
        <f t="shared" si="17"/>
        <v/>
      </c>
      <c r="S83" s="40"/>
      <c r="T83" s="43" t="str">
        <f t="shared" si="26"/>
        <v/>
      </c>
      <c r="U83" s="86"/>
      <c r="V83" s="43"/>
      <c r="W83" s="40"/>
      <c r="X83" s="43" t="str">
        <f t="shared" si="22"/>
        <v/>
      </c>
      <c r="Y83" s="40"/>
      <c r="Z83" s="43" t="str">
        <f t="shared" si="18"/>
        <v/>
      </c>
      <c r="AA83" s="40"/>
      <c r="AB83" s="43" t="str">
        <f t="shared" si="19"/>
        <v/>
      </c>
      <c r="AC83" s="40"/>
      <c r="AD83" s="43" t="str">
        <f t="shared" si="20"/>
        <v/>
      </c>
      <c r="AE83" s="24" t="s">
        <v>437</v>
      </c>
      <c r="AF83" s="24"/>
      <c r="AG83" s="24"/>
      <c r="AH83" s="24"/>
      <c r="AI83" s="24"/>
      <c r="AJ83" s="24"/>
      <c r="AK83" s="24"/>
      <c r="AL83" s="24"/>
      <c r="AM83" s="24"/>
      <c r="AN83" s="24"/>
      <c r="AO83" s="24"/>
      <c r="AP83" s="24"/>
      <c r="AQ83" s="24"/>
      <c r="AR83" s="24"/>
      <c r="AS83" s="24"/>
      <c r="AT83" s="24"/>
      <c r="AU83" s="24"/>
      <c r="AV83" s="24"/>
      <c r="AW83" s="24"/>
      <c r="AX83" s="24"/>
      <c r="AY83" s="24"/>
      <c r="AZ83" s="24"/>
    </row>
    <row r="84" spans="1:52" ht="20" customHeight="1" x14ac:dyDescent="0.2">
      <c r="A84" s="68"/>
      <c r="B84" s="25"/>
      <c r="C84" s="25" t="s">
        <v>86</v>
      </c>
      <c r="D84" s="24" t="s">
        <v>136</v>
      </c>
      <c r="E84" s="24" t="s">
        <v>137</v>
      </c>
      <c r="F84" s="25">
        <v>2007</v>
      </c>
      <c r="G84" s="25">
        <v>240</v>
      </c>
      <c r="H84" s="29">
        <v>105</v>
      </c>
      <c r="I84" s="28" t="s">
        <v>253</v>
      </c>
      <c r="J84" s="39" t="s">
        <v>176</v>
      </c>
      <c r="K84" s="40"/>
      <c r="L84" s="43" t="str">
        <f t="shared" si="21"/>
        <v/>
      </c>
      <c r="M84" s="40"/>
      <c r="N84" s="43" t="str">
        <f t="shared" si="25"/>
        <v/>
      </c>
      <c r="O84" s="40"/>
      <c r="P84" s="43" t="str">
        <f t="shared" si="16"/>
        <v/>
      </c>
      <c r="Q84" s="40"/>
      <c r="R84" s="43" t="str">
        <f t="shared" si="17"/>
        <v/>
      </c>
      <c r="S84" s="40"/>
      <c r="T84" s="43" t="str">
        <f t="shared" si="26"/>
        <v/>
      </c>
      <c r="U84" s="86"/>
      <c r="V84" s="43" t="str">
        <f t="shared" ref="V84:V94" si="27">IF((ISERROR((U84/$H84)*100)), "", IF(AND(NOT(ISERROR((U84/$H84)*100)),((U84/$H84)*100) &lt;&gt; 0), (U84/$H84)*100, ""))</f>
        <v/>
      </c>
      <c r="W84" s="40"/>
      <c r="X84" s="43" t="str">
        <f t="shared" si="22"/>
        <v/>
      </c>
      <c r="Y84" s="40"/>
      <c r="Z84" s="43" t="str">
        <f t="shared" si="18"/>
        <v/>
      </c>
      <c r="AA84" s="40"/>
      <c r="AB84" s="43" t="str">
        <f t="shared" si="19"/>
        <v/>
      </c>
      <c r="AC84" s="40"/>
      <c r="AD84" s="43" t="str">
        <f t="shared" si="20"/>
        <v/>
      </c>
      <c r="AE84" s="24" t="s">
        <v>254</v>
      </c>
      <c r="AF84" s="24"/>
      <c r="AG84" s="24"/>
      <c r="AH84" s="24"/>
      <c r="AI84" s="24"/>
      <c r="AJ84" s="24"/>
      <c r="AK84" s="24"/>
      <c r="AL84" s="24"/>
      <c r="AM84" s="24"/>
      <c r="AN84" s="24"/>
      <c r="AO84" s="24"/>
      <c r="AP84" s="24"/>
      <c r="AQ84" s="24"/>
      <c r="AR84" s="24"/>
      <c r="AS84" s="24"/>
      <c r="AT84" s="24"/>
      <c r="AU84" s="24"/>
      <c r="AV84" s="24"/>
      <c r="AW84" s="24"/>
      <c r="AX84" s="24"/>
      <c r="AY84" s="24"/>
      <c r="AZ84" s="24"/>
    </row>
    <row r="85" spans="1:52" ht="20" customHeight="1" x14ac:dyDescent="0.2">
      <c r="A85" s="67"/>
      <c r="B85" s="95"/>
      <c r="C85" s="25" t="s">
        <v>86</v>
      </c>
      <c r="D85" s="24" t="s">
        <v>138</v>
      </c>
      <c r="E85" s="24" t="s">
        <v>139</v>
      </c>
      <c r="F85" s="25">
        <v>2011</v>
      </c>
      <c r="G85" s="25">
        <v>42</v>
      </c>
      <c r="H85" s="29">
        <v>51</v>
      </c>
      <c r="I85" s="28" t="s">
        <v>255</v>
      </c>
      <c r="J85" s="39" t="s">
        <v>256</v>
      </c>
      <c r="K85" s="40"/>
      <c r="L85" s="43" t="str">
        <f t="shared" si="21"/>
        <v/>
      </c>
      <c r="M85" s="40"/>
      <c r="N85" s="43" t="str">
        <f t="shared" si="25"/>
        <v/>
      </c>
      <c r="O85" s="40"/>
      <c r="P85" s="43" t="str">
        <f t="shared" si="16"/>
        <v/>
      </c>
      <c r="Q85" s="40"/>
      <c r="R85" s="43" t="str">
        <f t="shared" si="17"/>
        <v/>
      </c>
      <c r="S85" s="40"/>
      <c r="T85" s="43" t="str">
        <f t="shared" si="26"/>
        <v/>
      </c>
      <c r="U85" s="47">
        <v>4</v>
      </c>
      <c r="V85" s="46">
        <f t="shared" si="27"/>
        <v>7.8431372549019605</v>
      </c>
      <c r="W85" s="40"/>
      <c r="X85" s="43" t="str">
        <f t="shared" si="22"/>
        <v/>
      </c>
      <c r="Y85" s="40"/>
      <c r="Z85" s="43" t="str">
        <f t="shared" si="18"/>
        <v/>
      </c>
      <c r="AA85" s="40"/>
      <c r="AB85" s="43" t="str">
        <f t="shared" si="19"/>
        <v/>
      </c>
      <c r="AC85" s="45" t="s">
        <v>257</v>
      </c>
      <c r="AD85" s="46" t="str">
        <f t="shared" si="20"/>
        <v/>
      </c>
      <c r="AE85" s="24" t="s">
        <v>438</v>
      </c>
      <c r="AF85" s="24"/>
      <c r="AG85" s="24"/>
      <c r="AH85" s="24"/>
      <c r="AI85" s="24"/>
      <c r="AJ85" s="24"/>
      <c r="AK85" s="24"/>
      <c r="AL85" s="24"/>
      <c r="AM85" s="24"/>
      <c r="AN85" s="24"/>
      <c r="AO85" s="24"/>
      <c r="AP85" s="24"/>
      <c r="AQ85" s="24"/>
      <c r="AR85" s="24"/>
      <c r="AS85" s="24"/>
      <c r="AT85" s="24"/>
      <c r="AU85" s="24"/>
      <c r="AV85" s="24"/>
      <c r="AW85" s="24"/>
      <c r="AX85" s="24"/>
      <c r="AY85" s="24"/>
      <c r="AZ85" s="24"/>
    </row>
    <row r="86" spans="1:52" ht="20" customHeight="1" x14ac:dyDescent="0.2">
      <c r="A86" s="67"/>
      <c r="B86" s="95"/>
      <c r="C86" s="25" t="s">
        <v>86</v>
      </c>
      <c r="D86" s="24" t="s">
        <v>353</v>
      </c>
      <c r="E86" s="24" t="s">
        <v>354</v>
      </c>
      <c r="F86" s="25">
        <v>2010</v>
      </c>
      <c r="H86" s="29">
        <v>53</v>
      </c>
      <c r="I86" s="91" t="s">
        <v>415</v>
      </c>
      <c r="J86" s="39" t="s">
        <v>414</v>
      </c>
      <c r="K86" s="40"/>
      <c r="L86" s="43" t="str">
        <f t="shared" si="21"/>
        <v/>
      </c>
      <c r="M86" s="40"/>
      <c r="N86" s="43" t="str">
        <f t="shared" si="25"/>
        <v/>
      </c>
      <c r="O86" s="40">
        <v>15</v>
      </c>
      <c r="P86" s="43">
        <f t="shared" si="16"/>
        <v>28.30188679245283</v>
      </c>
      <c r="Q86" s="40"/>
      <c r="R86" s="43" t="str">
        <f t="shared" si="17"/>
        <v/>
      </c>
      <c r="S86" s="40"/>
      <c r="T86" s="43" t="str">
        <f t="shared" si="26"/>
        <v/>
      </c>
      <c r="U86" s="86">
        <v>15</v>
      </c>
      <c r="V86" s="43">
        <f t="shared" si="27"/>
        <v>28.30188679245283</v>
      </c>
      <c r="W86" s="40"/>
      <c r="X86" s="43" t="str">
        <f t="shared" si="22"/>
        <v/>
      </c>
      <c r="Y86" s="40"/>
      <c r="Z86" s="43" t="str">
        <f t="shared" si="18"/>
        <v/>
      </c>
      <c r="AA86" s="40"/>
      <c r="AB86" s="43" t="str">
        <f t="shared" si="19"/>
        <v/>
      </c>
      <c r="AC86" s="40"/>
      <c r="AD86" s="43" t="str">
        <f t="shared" si="20"/>
        <v/>
      </c>
      <c r="AE86" s="24" t="s">
        <v>416</v>
      </c>
      <c r="AF86" s="24"/>
      <c r="AG86" s="24"/>
      <c r="AH86" s="24"/>
      <c r="AI86" s="24"/>
      <c r="AJ86" s="24"/>
      <c r="AK86" s="24"/>
      <c r="AL86" s="24"/>
      <c r="AM86" s="24"/>
      <c r="AN86" s="24"/>
      <c r="AO86" s="24"/>
      <c r="AP86" s="24"/>
      <c r="AQ86" s="24"/>
      <c r="AR86" s="24"/>
      <c r="AS86" s="24"/>
      <c r="AT86" s="24"/>
      <c r="AU86" s="24"/>
      <c r="AV86" s="24"/>
      <c r="AW86" s="24"/>
      <c r="AX86" s="24"/>
      <c r="AY86" s="24"/>
      <c r="AZ86" s="24"/>
    </row>
    <row r="87" spans="1:52" ht="20" customHeight="1" x14ac:dyDescent="0.2">
      <c r="A87" s="67"/>
      <c r="B87" s="95"/>
      <c r="C87" s="25" t="s">
        <v>86</v>
      </c>
      <c r="D87" s="24" t="s">
        <v>355</v>
      </c>
      <c r="E87" s="24" t="s">
        <v>356</v>
      </c>
      <c r="F87" s="25">
        <v>2014</v>
      </c>
      <c r="H87" s="29">
        <v>39</v>
      </c>
      <c r="I87" s="28" t="s">
        <v>235</v>
      </c>
      <c r="J87" s="39" t="s">
        <v>417</v>
      </c>
      <c r="K87" s="40"/>
      <c r="L87" s="43"/>
      <c r="M87" s="40"/>
      <c r="N87" s="43" t="str">
        <f t="shared" si="25"/>
        <v/>
      </c>
      <c r="O87" s="40"/>
      <c r="P87" s="43" t="str">
        <f t="shared" si="16"/>
        <v/>
      </c>
      <c r="Q87" s="40"/>
      <c r="R87" s="43" t="str">
        <f t="shared" si="17"/>
        <v/>
      </c>
      <c r="S87" s="40"/>
      <c r="T87" s="43" t="str">
        <f t="shared" si="26"/>
        <v/>
      </c>
      <c r="U87" s="86"/>
      <c r="V87" s="43" t="str">
        <f t="shared" si="27"/>
        <v/>
      </c>
      <c r="W87" s="40"/>
      <c r="X87" s="43" t="str">
        <f t="shared" si="22"/>
        <v/>
      </c>
      <c r="Y87" s="40"/>
      <c r="Z87" s="43" t="str">
        <f t="shared" si="18"/>
        <v/>
      </c>
      <c r="AA87" s="40"/>
      <c r="AB87" s="43"/>
      <c r="AC87" s="40"/>
      <c r="AD87" s="43" t="str">
        <f t="shared" si="20"/>
        <v/>
      </c>
      <c r="AE87" s="24" t="s">
        <v>439</v>
      </c>
      <c r="AF87" s="24"/>
      <c r="AG87" s="24"/>
      <c r="AH87" s="24"/>
      <c r="AI87" s="24"/>
      <c r="AJ87" s="24"/>
      <c r="AK87" s="24"/>
      <c r="AL87" s="24"/>
      <c r="AM87" s="24"/>
      <c r="AN87" s="24"/>
      <c r="AO87" s="24"/>
      <c r="AP87" s="24"/>
      <c r="AQ87" s="24"/>
      <c r="AR87" s="24"/>
      <c r="AS87" s="24"/>
      <c r="AT87" s="24"/>
      <c r="AU87" s="24"/>
      <c r="AV87" s="24"/>
      <c r="AW87" s="24"/>
      <c r="AX87" s="24"/>
      <c r="AY87" s="24"/>
      <c r="AZ87" s="24"/>
    </row>
    <row r="88" spans="1:52" ht="20" customHeight="1" x14ac:dyDescent="0.2">
      <c r="A88" s="67"/>
      <c r="B88" s="95"/>
      <c r="C88" s="25" t="s">
        <v>86</v>
      </c>
      <c r="D88" s="24" t="s">
        <v>357</v>
      </c>
      <c r="E88" s="24" t="s">
        <v>358</v>
      </c>
      <c r="F88" s="25">
        <v>2010</v>
      </c>
      <c r="H88" s="29">
        <v>789</v>
      </c>
      <c r="I88" s="28" t="s">
        <v>235</v>
      </c>
      <c r="J88" s="39" t="s">
        <v>419</v>
      </c>
      <c r="K88" s="40"/>
      <c r="L88" s="43" t="str">
        <f t="shared" ref="L88:L94" si="28">IF((ISERROR((K88/$H88)*100)), "", IF(AND(NOT(ISERROR((K88/$H88)*100)),((K88/$H88)*100) &lt;&gt; 0), (K88/$H88)*100, ""))</f>
        <v/>
      </c>
      <c r="M88" s="40"/>
      <c r="N88" s="43" t="str">
        <f t="shared" si="25"/>
        <v/>
      </c>
      <c r="O88" s="40"/>
      <c r="P88" s="43" t="str">
        <f t="shared" si="16"/>
        <v/>
      </c>
      <c r="Q88" s="40"/>
      <c r="R88" s="43" t="str">
        <f t="shared" si="17"/>
        <v/>
      </c>
      <c r="S88" s="40"/>
      <c r="T88" s="43" t="str">
        <f t="shared" si="26"/>
        <v/>
      </c>
      <c r="U88" s="86"/>
      <c r="V88" s="43" t="str">
        <f t="shared" si="27"/>
        <v/>
      </c>
      <c r="W88" s="40"/>
      <c r="X88" s="43" t="str">
        <f t="shared" si="22"/>
        <v/>
      </c>
      <c r="Y88" s="40"/>
      <c r="Z88" s="43" t="str">
        <f t="shared" si="18"/>
        <v/>
      </c>
      <c r="AA88" s="40"/>
      <c r="AB88" s="43" t="str">
        <f t="shared" si="19"/>
        <v/>
      </c>
      <c r="AC88" s="40"/>
      <c r="AD88" s="43" t="str">
        <f t="shared" si="20"/>
        <v/>
      </c>
      <c r="AE88" s="24" t="s">
        <v>418</v>
      </c>
      <c r="AF88" s="24"/>
      <c r="AG88" s="24"/>
      <c r="AH88" s="24"/>
      <c r="AI88" s="24"/>
      <c r="AJ88" s="24"/>
      <c r="AK88" s="24"/>
      <c r="AL88" s="24"/>
      <c r="AM88" s="24"/>
      <c r="AN88" s="24"/>
      <c r="AO88" s="24"/>
      <c r="AP88" s="24"/>
      <c r="AQ88" s="24"/>
      <c r="AR88" s="24"/>
      <c r="AS88" s="24"/>
      <c r="AT88" s="24"/>
      <c r="AU88" s="24"/>
      <c r="AV88" s="24"/>
      <c r="AW88" s="24"/>
      <c r="AX88" s="24"/>
      <c r="AY88" s="24"/>
      <c r="AZ88" s="24"/>
    </row>
    <row r="89" spans="1:52" ht="20" customHeight="1" x14ac:dyDescent="0.2">
      <c r="A89" s="67"/>
      <c r="B89" s="96"/>
      <c r="C89" s="93" t="s">
        <v>423</v>
      </c>
      <c r="D89" s="24" t="s">
        <v>359</v>
      </c>
      <c r="E89" s="24" t="s">
        <v>360</v>
      </c>
      <c r="F89" s="25">
        <v>2016</v>
      </c>
      <c r="H89" s="29">
        <v>16</v>
      </c>
      <c r="I89" s="28" t="s">
        <v>421</v>
      </c>
      <c r="J89" s="92" t="s">
        <v>422</v>
      </c>
      <c r="K89" s="40"/>
      <c r="L89" s="43" t="str">
        <f t="shared" si="28"/>
        <v/>
      </c>
      <c r="M89" s="40"/>
      <c r="N89" s="43" t="str">
        <f t="shared" si="25"/>
        <v/>
      </c>
      <c r="O89" s="40"/>
      <c r="P89" s="43" t="str">
        <f t="shared" si="16"/>
        <v/>
      </c>
      <c r="Q89" s="40"/>
      <c r="R89" s="43" t="str">
        <f t="shared" si="17"/>
        <v/>
      </c>
      <c r="S89" s="40"/>
      <c r="T89" s="43" t="str">
        <f t="shared" si="26"/>
        <v/>
      </c>
      <c r="U89" s="86"/>
      <c r="V89" s="43" t="str">
        <f t="shared" si="27"/>
        <v/>
      </c>
      <c r="W89" s="40"/>
      <c r="X89" s="43" t="str">
        <f t="shared" si="22"/>
        <v/>
      </c>
      <c r="Y89" s="40"/>
      <c r="Z89" s="43" t="str">
        <f t="shared" si="18"/>
        <v/>
      </c>
      <c r="AA89" s="40"/>
      <c r="AB89" s="43" t="str">
        <f t="shared" si="19"/>
        <v/>
      </c>
      <c r="AC89" s="40"/>
      <c r="AD89" s="43" t="str">
        <f t="shared" si="20"/>
        <v/>
      </c>
      <c r="AE89" s="24" t="s">
        <v>424</v>
      </c>
      <c r="AF89" s="24"/>
      <c r="AG89" s="24"/>
      <c r="AH89" s="24"/>
      <c r="AI89" s="24"/>
      <c r="AJ89" s="24"/>
      <c r="AK89" s="24"/>
      <c r="AL89" s="24"/>
      <c r="AM89" s="24"/>
      <c r="AN89" s="24"/>
      <c r="AO89" s="24"/>
      <c r="AP89" s="24"/>
      <c r="AQ89" s="24"/>
      <c r="AR89" s="24"/>
      <c r="AS89" s="24"/>
      <c r="AT89" s="24"/>
      <c r="AU89" s="24"/>
      <c r="AV89" s="24"/>
      <c r="AW89" s="24"/>
      <c r="AX89" s="24"/>
      <c r="AY89" s="24"/>
      <c r="AZ89" s="24"/>
    </row>
    <row r="90" spans="1:52" ht="20" customHeight="1" x14ac:dyDescent="0.2">
      <c r="A90" s="67"/>
      <c r="B90" s="95"/>
      <c r="C90" s="94" t="s">
        <v>425</v>
      </c>
      <c r="D90" s="56" t="s">
        <v>140</v>
      </c>
      <c r="E90" s="56" t="s">
        <v>141</v>
      </c>
      <c r="F90" s="57">
        <v>2005</v>
      </c>
      <c r="G90" s="57">
        <v>21</v>
      </c>
      <c r="H90" s="29"/>
      <c r="I90" s="28" t="s">
        <v>259</v>
      </c>
      <c r="J90" s="39"/>
      <c r="K90" s="40"/>
      <c r="L90" s="43" t="str">
        <f t="shared" si="28"/>
        <v/>
      </c>
      <c r="M90" s="40"/>
      <c r="N90" s="43" t="str">
        <f t="shared" si="25"/>
        <v/>
      </c>
      <c r="O90" s="40"/>
      <c r="P90" s="43" t="str">
        <f t="shared" si="16"/>
        <v/>
      </c>
      <c r="Q90" s="40"/>
      <c r="R90" s="43" t="str">
        <f t="shared" si="17"/>
        <v/>
      </c>
      <c r="S90" s="40"/>
      <c r="T90" s="43" t="str">
        <f t="shared" si="26"/>
        <v/>
      </c>
      <c r="U90" s="47">
        <v>16</v>
      </c>
      <c r="V90" s="46" t="str">
        <f t="shared" si="27"/>
        <v/>
      </c>
      <c r="W90" s="45">
        <v>5</v>
      </c>
      <c r="X90" s="46" t="str">
        <f t="shared" si="22"/>
        <v/>
      </c>
      <c r="Y90" s="40"/>
      <c r="Z90" s="43" t="str">
        <f t="shared" si="18"/>
        <v/>
      </c>
      <c r="AA90" s="40"/>
      <c r="AB90" s="43" t="str">
        <f t="shared" si="19"/>
        <v/>
      </c>
      <c r="AC90" s="40"/>
      <c r="AD90" s="43" t="str">
        <f t="shared" si="20"/>
        <v/>
      </c>
      <c r="AE90" s="24" t="s">
        <v>260</v>
      </c>
      <c r="AF90" s="24"/>
      <c r="AG90" s="24"/>
      <c r="AH90" s="24"/>
      <c r="AI90" s="24"/>
      <c r="AJ90" s="24"/>
      <c r="AK90" s="24"/>
      <c r="AL90" s="24"/>
      <c r="AM90" s="24"/>
      <c r="AN90" s="24"/>
      <c r="AO90" s="24"/>
      <c r="AP90" s="24"/>
      <c r="AQ90" s="24"/>
      <c r="AR90" s="24"/>
      <c r="AS90" s="24"/>
      <c r="AT90" s="24"/>
      <c r="AU90" s="24"/>
      <c r="AV90" s="24"/>
      <c r="AW90" s="24"/>
      <c r="AX90" s="24"/>
      <c r="AY90" s="24"/>
      <c r="AZ90" s="24"/>
    </row>
    <row r="91" spans="1:52" ht="20" customHeight="1" x14ac:dyDescent="0.2">
      <c r="A91" s="68"/>
      <c r="B91" s="25"/>
      <c r="C91" s="25" t="s">
        <v>35</v>
      </c>
      <c r="D91" s="24" t="s">
        <v>142</v>
      </c>
      <c r="E91" s="24" t="s">
        <v>143</v>
      </c>
      <c r="F91" s="25">
        <v>2015</v>
      </c>
      <c r="G91" s="25">
        <v>1</v>
      </c>
      <c r="H91" s="29">
        <v>119</v>
      </c>
      <c r="I91" s="28"/>
      <c r="J91" s="39"/>
      <c r="K91" s="40"/>
      <c r="L91" s="43" t="str">
        <f t="shared" si="28"/>
        <v/>
      </c>
      <c r="M91" s="40"/>
      <c r="N91" s="43" t="str">
        <f t="shared" si="25"/>
        <v/>
      </c>
      <c r="O91" s="40"/>
      <c r="P91" s="43" t="str">
        <f t="shared" si="16"/>
        <v/>
      </c>
      <c r="Q91" s="40"/>
      <c r="R91" s="43" t="str">
        <f t="shared" si="17"/>
        <v/>
      </c>
      <c r="S91" s="40"/>
      <c r="T91" s="43" t="str">
        <f t="shared" si="26"/>
        <v/>
      </c>
      <c r="U91" s="86"/>
      <c r="V91" s="43" t="str">
        <f t="shared" si="27"/>
        <v/>
      </c>
      <c r="W91" s="40"/>
      <c r="X91" s="43" t="str">
        <f t="shared" si="22"/>
        <v/>
      </c>
      <c r="Y91" s="40"/>
      <c r="Z91" s="43" t="str">
        <f t="shared" si="18"/>
        <v/>
      </c>
      <c r="AA91" s="40"/>
      <c r="AB91" s="43" t="str">
        <f t="shared" si="19"/>
        <v/>
      </c>
      <c r="AC91" s="40"/>
      <c r="AD91" s="43" t="str">
        <f t="shared" si="20"/>
        <v/>
      </c>
      <c r="AE91" s="24" t="s">
        <v>261</v>
      </c>
      <c r="AF91" s="24"/>
      <c r="AG91" s="24"/>
      <c r="AH91" s="24"/>
      <c r="AI91" s="24"/>
      <c r="AJ91" s="24"/>
      <c r="AK91" s="24"/>
      <c r="AL91" s="24"/>
      <c r="AM91" s="24"/>
      <c r="AN91" s="24"/>
      <c r="AO91" s="24"/>
      <c r="AP91" s="24"/>
      <c r="AQ91" s="24"/>
      <c r="AR91" s="24"/>
      <c r="AS91" s="24"/>
      <c r="AT91" s="24"/>
      <c r="AU91" s="24"/>
      <c r="AV91" s="24"/>
      <c r="AW91" s="24"/>
      <c r="AX91" s="24"/>
      <c r="AY91" s="24"/>
      <c r="AZ91" s="24"/>
    </row>
    <row r="92" spans="1:52" ht="20" customHeight="1" x14ac:dyDescent="0.2">
      <c r="A92" s="68"/>
      <c r="B92" s="25"/>
      <c r="C92" s="25" t="s">
        <v>86</v>
      </c>
      <c r="D92" s="24" t="s">
        <v>144</v>
      </c>
      <c r="E92" s="24" t="s">
        <v>145</v>
      </c>
      <c r="F92" s="25">
        <v>2008</v>
      </c>
      <c r="G92" s="25">
        <v>156</v>
      </c>
      <c r="H92" s="29">
        <v>51</v>
      </c>
      <c r="I92" s="28" t="s">
        <v>189</v>
      </c>
      <c r="J92" s="39"/>
      <c r="K92" s="40"/>
      <c r="L92" s="43" t="str">
        <f t="shared" si="28"/>
        <v/>
      </c>
      <c r="M92" s="40"/>
      <c r="N92" s="43" t="str">
        <f t="shared" si="25"/>
        <v/>
      </c>
      <c r="O92" s="40"/>
      <c r="P92" s="43" t="str">
        <f t="shared" si="16"/>
        <v/>
      </c>
      <c r="Q92" s="40"/>
      <c r="R92" s="43" t="str">
        <f t="shared" si="17"/>
        <v/>
      </c>
      <c r="S92" s="40"/>
      <c r="T92" s="43" t="str">
        <f t="shared" si="26"/>
        <v/>
      </c>
      <c r="U92" s="86"/>
      <c r="V92" s="43" t="str">
        <f t="shared" si="27"/>
        <v/>
      </c>
      <c r="W92" s="40"/>
      <c r="X92" s="43" t="str">
        <f t="shared" si="22"/>
        <v/>
      </c>
      <c r="Y92" s="40"/>
      <c r="Z92" s="43" t="str">
        <f t="shared" si="18"/>
        <v/>
      </c>
      <c r="AA92" s="40"/>
      <c r="AB92" s="43" t="str">
        <f t="shared" si="19"/>
        <v/>
      </c>
      <c r="AC92" s="40"/>
      <c r="AD92" s="43" t="str">
        <f t="shared" si="20"/>
        <v/>
      </c>
      <c r="AE92" s="24" t="s">
        <v>262</v>
      </c>
      <c r="AF92" s="24"/>
      <c r="AG92" s="24"/>
      <c r="AH92" s="24"/>
      <c r="AI92" s="24"/>
      <c r="AJ92" s="24"/>
      <c r="AK92" s="24"/>
      <c r="AL92" s="24"/>
      <c r="AM92" s="24"/>
      <c r="AN92" s="24"/>
      <c r="AO92" s="24"/>
      <c r="AP92" s="24"/>
      <c r="AQ92" s="24"/>
      <c r="AR92" s="24"/>
      <c r="AS92" s="24"/>
      <c r="AT92" s="24"/>
      <c r="AU92" s="24"/>
      <c r="AV92" s="24"/>
      <c r="AW92" s="24"/>
      <c r="AX92" s="24"/>
      <c r="AY92" s="24"/>
      <c r="AZ92" s="24"/>
    </row>
    <row r="93" spans="1:52" ht="20" customHeight="1" x14ac:dyDescent="0.2">
      <c r="A93" s="67"/>
      <c r="B93" s="96"/>
      <c r="C93" s="25" t="s">
        <v>86</v>
      </c>
      <c r="D93" s="24" t="s">
        <v>361</v>
      </c>
      <c r="E93" s="24" t="s">
        <v>362</v>
      </c>
      <c r="F93" s="25">
        <v>2009</v>
      </c>
      <c r="H93" s="29">
        <v>12</v>
      </c>
      <c r="I93" s="28" t="s">
        <v>238</v>
      </c>
      <c r="J93" s="39" t="s">
        <v>212</v>
      </c>
      <c r="K93" s="82"/>
      <c r="L93" s="83" t="str">
        <f t="shared" si="28"/>
        <v/>
      </c>
      <c r="M93" s="82"/>
      <c r="N93" s="83" t="str">
        <f t="shared" si="25"/>
        <v/>
      </c>
      <c r="O93" s="82"/>
      <c r="P93" s="83" t="str">
        <f t="shared" si="16"/>
        <v/>
      </c>
      <c r="Q93" s="82"/>
      <c r="R93" s="83" t="str">
        <f t="shared" si="17"/>
        <v/>
      </c>
      <c r="S93" s="82"/>
      <c r="T93" s="83" t="str">
        <f t="shared" si="26"/>
        <v/>
      </c>
      <c r="U93" s="84"/>
      <c r="V93" s="83" t="str">
        <f t="shared" si="27"/>
        <v/>
      </c>
      <c r="W93" s="82"/>
      <c r="X93" s="83" t="str">
        <f t="shared" si="22"/>
        <v/>
      </c>
      <c r="Y93" s="82"/>
      <c r="Z93" s="83" t="str">
        <f t="shared" si="18"/>
        <v/>
      </c>
      <c r="AA93" s="82"/>
      <c r="AB93" s="83" t="str">
        <f t="shared" si="19"/>
        <v/>
      </c>
      <c r="AC93" s="82"/>
      <c r="AD93" s="83" t="str">
        <f t="shared" si="20"/>
        <v/>
      </c>
      <c r="AE93" s="24" t="s">
        <v>195</v>
      </c>
      <c r="AF93" s="24"/>
      <c r="AG93" s="24"/>
      <c r="AH93" s="24"/>
      <c r="AI93" s="24"/>
      <c r="AJ93" s="24"/>
      <c r="AK93" s="24"/>
      <c r="AL93" s="24"/>
      <c r="AM93" s="24"/>
      <c r="AN93" s="24"/>
      <c r="AO93" s="24"/>
      <c r="AP93" s="24"/>
      <c r="AQ93" s="24"/>
      <c r="AR93" s="24"/>
      <c r="AS93" s="24"/>
      <c r="AT93" s="24"/>
      <c r="AU93" s="24"/>
      <c r="AV93" s="24"/>
      <c r="AW93" s="24"/>
      <c r="AX93" s="24"/>
      <c r="AY93" s="24"/>
      <c r="AZ93" s="24"/>
    </row>
    <row r="94" spans="1:52" ht="20" customHeight="1" thickBot="1" x14ac:dyDescent="0.25">
      <c r="A94" s="68"/>
      <c r="B94" s="25"/>
      <c r="C94" s="25" t="s">
        <v>86</v>
      </c>
      <c r="D94" s="24" t="s">
        <v>150</v>
      </c>
      <c r="E94" s="24" t="s">
        <v>151</v>
      </c>
      <c r="F94" s="25">
        <v>2011</v>
      </c>
      <c r="G94" s="25">
        <v>112</v>
      </c>
      <c r="H94" s="29">
        <v>22</v>
      </c>
      <c r="I94" s="28" t="s">
        <v>246</v>
      </c>
      <c r="J94" s="39" t="s">
        <v>213</v>
      </c>
      <c r="K94" s="41"/>
      <c r="L94" s="44" t="str">
        <f t="shared" si="28"/>
        <v/>
      </c>
      <c r="M94" s="41"/>
      <c r="N94" s="44" t="str">
        <f t="shared" si="25"/>
        <v/>
      </c>
      <c r="O94" s="41"/>
      <c r="P94" s="44" t="str">
        <f t="shared" si="16"/>
        <v/>
      </c>
      <c r="Q94" s="41"/>
      <c r="R94" s="44" t="str">
        <f t="shared" si="17"/>
        <v/>
      </c>
      <c r="S94" s="41"/>
      <c r="T94" s="44" t="str">
        <f t="shared" si="26"/>
        <v/>
      </c>
      <c r="U94" s="42"/>
      <c r="V94" s="44" t="str">
        <f t="shared" si="27"/>
        <v/>
      </c>
      <c r="W94" s="41"/>
      <c r="X94" s="44" t="str">
        <f t="shared" si="22"/>
        <v/>
      </c>
      <c r="Y94" s="41"/>
      <c r="Z94" s="44" t="str">
        <f t="shared" si="18"/>
        <v/>
      </c>
      <c r="AA94" s="41"/>
      <c r="AB94" s="44" t="str">
        <f t="shared" si="19"/>
        <v/>
      </c>
      <c r="AC94" s="41"/>
      <c r="AD94" s="44" t="str">
        <f t="shared" si="20"/>
        <v/>
      </c>
      <c r="AE94" s="24" t="s">
        <v>264</v>
      </c>
      <c r="AF94" s="24"/>
      <c r="AG94" s="24"/>
      <c r="AH94" s="24"/>
      <c r="AI94" s="24"/>
      <c r="AJ94" s="24"/>
      <c r="AK94" s="24"/>
      <c r="AL94" s="24"/>
      <c r="AM94" s="24"/>
      <c r="AN94" s="24"/>
      <c r="AO94" s="24"/>
      <c r="AP94" s="24"/>
      <c r="AQ94" s="24"/>
      <c r="AR94" s="24"/>
      <c r="AS94" s="24"/>
      <c r="AT94" s="24"/>
      <c r="AU94" s="24"/>
      <c r="AV94" s="24"/>
      <c r="AW94" s="24"/>
      <c r="AX94" s="24"/>
      <c r="AY94" s="24"/>
      <c r="AZ94" s="24"/>
    </row>
    <row r="95" spans="1:52" x14ac:dyDescent="0.2">
      <c r="AE95" s="24"/>
      <c r="AF95" s="24"/>
      <c r="AG95" s="24"/>
      <c r="AH95" s="24"/>
      <c r="AI95" s="24"/>
      <c r="AJ95" s="24"/>
      <c r="AK95" s="24"/>
      <c r="AL95" s="24"/>
      <c r="AM95" s="24"/>
      <c r="AN95" s="24"/>
      <c r="AO95" s="24"/>
      <c r="AP95" s="24"/>
      <c r="AQ95" s="24"/>
      <c r="AR95" s="24"/>
      <c r="AS95" s="24"/>
      <c r="AT95" s="24"/>
      <c r="AU95" s="24"/>
      <c r="AV95" s="24"/>
      <c r="AW95" s="24"/>
      <c r="AX95" s="24"/>
      <c r="AY95" s="24"/>
      <c r="AZ95" s="24"/>
    </row>
    <row r="96" spans="1:52" ht="17" thickBot="1" x14ac:dyDescent="0.25">
      <c r="AE96" s="24"/>
      <c r="AF96" s="24"/>
      <c r="AG96" s="24"/>
      <c r="AH96" s="24"/>
      <c r="AI96" s="24"/>
      <c r="AJ96" s="24"/>
      <c r="AK96" s="24"/>
      <c r="AL96" s="24"/>
      <c r="AM96" s="24"/>
      <c r="AN96" s="24"/>
      <c r="AO96" s="24"/>
      <c r="AP96" s="24"/>
      <c r="AQ96" s="24"/>
      <c r="AR96" s="24"/>
      <c r="AS96" s="24"/>
      <c r="AT96" s="24"/>
      <c r="AU96" s="24"/>
      <c r="AV96" s="24"/>
      <c r="AW96" s="24"/>
      <c r="AX96" s="24"/>
      <c r="AY96" s="24"/>
      <c r="AZ96" s="24"/>
    </row>
    <row r="97" spans="3:52" s="23" customFormat="1" x14ac:dyDescent="0.2">
      <c r="C97" s="48"/>
      <c r="F97" s="25"/>
      <c r="G97" s="50" t="s">
        <v>280</v>
      </c>
      <c r="H97" s="51">
        <f>SUM(H11:H94)</f>
        <v>3795</v>
      </c>
      <c r="I97" s="52" t="s">
        <v>278</v>
      </c>
      <c r="J97" s="53" t="s">
        <v>277</v>
      </c>
      <c r="K97" s="58">
        <f>IF((SUM(K11:K94)&lt;&gt;0), SUMIF($H11:$H94, "&gt;0", K11:K94), "")</f>
        <v>24</v>
      </c>
      <c r="L97" s="59">
        <f>IF(ISERROR((K97/$H97)*100), "", IF(((K97/$H97)*100) &lt;&gt; 0, (K97/$H97)*100, ""))</f>
        <v>0.6324110671936759</v>
      </c>
      <c r="M97" s="58">
        <f>IF((SUM(M11:M94)&lt;&gt;0), SUMIF($H11:$H94, "&gt;0", M11:M94), "")</f>
        <v>25</v>
      </c>
      <c r="N97" s="59">
        <f>IF(ISERROR((M97/$H97)*100), "", IF(((M97/$H97)*100) &lt;&gt; 0, (M97/$H97)*100, ""))</f>
        <v>0.65876152832674573</v>
      </c>
      <c r="O97" s="58">
        <f>IF((SUM(O11:O94)&lt;&gt;0), SUMIF($H11:$H94, "&gt;0", O11:O94), "")</f>
        <v>48</v>
      </c>
      <c r="P97" s="59">
        <f>IF(ISERROR((O97/$H97)*100), "", IF(((O97/$H97)*100) &lt;&gt; 0, (O97/$H97)*100, ""))</f>
        <v>1.2648221343873518</v>
      </c>
      <c r="Q97" s="58">
        <f>IF((SUM(Q11:Q94)&lt;&gt;0), SUMIF($H11:$H94, "&gt;0", Q11:Q94), "")</f>
        <v>6</v>
      </c>
      <c r="R97" s="59">
        <f>IF(ISERROR((Q97/$H97)*100), "", IF(((Q97/$H97)*100) &lt;&gt; 0, (Q97/$H97)*100, ""))</f>
        <v>0.15810276679841898</v>
      </c>
      <c r="S97" s="58">
        <f>IF((SUM(S11:S94)&lt;&gt;0), SUMIF($H11:$H94, "&gt;0", S11:S94), "")</f>
        <v>2</v>
      </c>
      <c r="T97" s="59">
        <f>IF(ISERROR((S97/$H97)*100), "", IF(((S97/$H97)*100) &lt;&gt; 0, (S97/$H97)*100, ""))</f>
        <v>5.2700922266139656E-2</v>
      </c>
      <c r="U97" s="58">
        <f>IF((SUM(U11:U94)&lt;&gt;0), SUMIF($H11:$H94, "&gt;0", U11:U94), "")</f>
        <v>45</v>
      </c>
      <c r="V97" s="59">
        <f>IF(ISERROR((U97/$H97)*100), "", IF(((U97/$H97)*100) &lt;&gt; 0, (U97/$H97)*100, ""))</f>
        <v>1.1857707509881421</v>
      </c>
      <c r="W97" s="58">
        <f>IF((SUM(W11:W94)&lt;&gt;0), SUMIF($H11:$H94, "&gt;0", W11:W94), "")</f>
        <v>8</v>
      </c>
      <c r="X97" s="59">
        <f>IF(ISERROR((W97/$H97)*100), "", IF(((W97/$H97)*100) &lt;&gt; 0, (W97/$H97)*100, ""))</f>
        <v>0.21080368906455862</v>
      </c>
      <c r="Y97" s="58">
        <f>IF((SUM(Y11:Y94)&lt;&gt;0), SUMIF($H11:$H94, "&gt;0", Y11:Y94), "")</f>
        <v>1</v>
      </c>
      <c r="Z97" s="59">
        <f>IF(ISERROR((Y97/$H97)*100), "", IF(((Y97/$H97)*100) &lt;&gt; 0, (Y97/$H97)*100, ""))</f>
        <v>2.6350461133069828E-2</v>
      </c>
      <c r="AA97" s="58">
        <f>IF((SUM(AA11:AA94)&lt;&gt;0), SUMIF($H11:$H94, "&gt;0", AA11:AA94), "")</f>
        <v>1</v>
      </c>
      <c r="AB97" s="59">
        <f>IF(ISERROR((AA97/$H97)*100), "", IF(((AA97/$H97)*100) &lt;&gt; 0, (AA97/$H97)*100, ""))</f>
        <v>2.6350461133069828E-2</v>
      </c>
      <c r="AC97" s="58">
        <f>IF((SUM(AC11:AC94)&lt;&gt;0), SUMIF($H11:$H94, "&gt;0", AC11:AC94), "")</f>
        <v>1</v>
      </c>
      <c r="AD97" s="59">
        <f>IF(ISERROR((AC97/$H97)*100), "", IF(((AC97/$H97)*100) &lt;&gt; 0, (AC97/$H97)*100, ""))</f>
        <v>2.6350461133069828E-2</v>
      </c>
    </row>
    <row r="98" spans="3:52" s="23" customFormat="1" ht="18" customHeight="1" x14ac:dyDescent="0.2">
      <c r="C98" s="48"/>
      <c r="F98" s="25"/>
      <c r="G98" s="50" t="s">
        <v>281</v>
      </c>
      <c r="H98" s="49" t="s">
        <v>279</v>
      </c>
      <c r="I98" s="54" t="s">
        <v>278</v>
      </c>
      <c r="J98" s="55" t="s">
        <v>277</v>
      </c>
      <c r="K98" s="60">
        <f>IF(SUMIF(K11:K94, "&gt; 0", $H11:$H94) &gt; 0, SUMIF(K11:K94, "&gt; 0", $H11:$H94), "")</f>
        <v>47</v>
      </c>
      <c r="L98" s="61">
        <f>(K97/K98)*100</f>
        <v>51.063829787234042</v>
      </c>
      <c r="M98" s="60">
        <f>IF(SUMIF(M11:M94, "&gt; 0", $H11:$H94) &gt; 0, SUMIF(M11:M94, "&gt; 0", $H11:$H94), "")</f>
        <v>62</v>
      </c>
      <c r="N98" s="61">
        <f>(M97/M98)*100</f>
        <v>40.322580645161288</v>
      </c>
      <c r="O98" s="60">
        <f>IF(SUMIF(O11:O94, "&gt; 0", $H11:$H94) &gt; 0, SUMIF(O11:O94, "&gt; 0", $H11:$H94), "")</f>
        <v>136</v>
      </c>
      <c r="P98" s="61">
        <f>(O97/O98)*100</f>
        <v>35.294117647058826</v>
      </c>
      <c r="Q98" s="60">
        <f>IF(SUMIF(Q11:Q94, "&gt; 0", $H11:$H94) &gt; 0, SUMIF(Q11:Q94, "&gt; 0", $H11:$H94), "")</f>
        <v>17</v>
      </c>
      <c r="R98" s="61">
        <f>(Q97/Q98)*100</f>
        <v>35.294117647058826</v>
      </c>
      <c r="S98" s="60">
        <f>IF(SUMIF(S11:S94, "&gt; 0", $H11:$H94) &gt; 0, SUMIF(S11:S94, "&gt; 0", $H11:$H94), "")</f>
        <v>8</v>
      </c>
      <c r="T98" s="61">
        <f>(S97/S98)*100</f>
        <v>25</v>
      </c>
      <c r="U98" s="60">
        <f>IF(SUMIF(U11:U94, "&gt; 0", $H11:$H94) &gt; 0, SUMIF(U11:U94, "&gt; 0", $H11:$H94), "")</f>
        <v>290</v>
      </c>
      <c r="V98" s="61">
        <f>(U97/U98)*100</f>
        <v>15.517241379310345</v>
      </c>
      <c r="W98" s="60">
        <f>IF(SUMIF(W11:W94, "&gt; 0", $H11:$H94) &gt; 0, SUMIF(W11:W94, "&gt; 0", $H11:$H94), "")</f>
        <v>59</v>
      </c>
      <c r="X98" s="61">
        <f>(W97/W98)*100</f>
        <v>13.559322033898304</v>
      </c>
      <c r="Y98" s="60">
        <f>IF(SUMIF(Y11:Y94, "&gt; 0", $H11:$H94) &gt; 0, SUMIF(Y11:Y94, "&gt; 0", $H11:$H94), "")</f>
        <v>8</v>
      </c>
      <c r="Z98" s="61">
        <f>(Y97/Y98)*100</f>
        <v>12.5</v>
      </c>
      <c r="AA98" s="60">
        <f>IF(SUMIF(AA11:AA94, "&gt; 0", $H11:$H94) &gt; 0, SUMIF(AA11:AA94, "&gt; 0", $H11:$H94), "")</f>
        <v>8</v>
      </c>
      <c r="AB98" s="61">
        <f>(AA97/AA98)*100</f>
        <v>12.5</v>
      </c>
      <c r="AC98" s="60">
        <f>IF(SUMIF(AC11:AC94, "&gt; 0", $H11:$H94) &gt; 0, SUMIF(AC11:AC94, "&gt; 0", $H11:$H94), "")</f>
        <v>8</v>
      </c>
      <c r="AD98" s="61">
        <f>(AC97/AC98)*100</f>
        <v>12.5</v>
      </c>
    </row>
    <row r="99" spans="3:52" ht="18" customHeight="1" thickBot="1" x14ac:dyDescent="0.25">
      <c r="H99" s="180" t="s">
        <v>278</v>
      </c>
      <c r="I99" s="183"/>
      <c r="J99" s="184"/>
      <c r="K99" s="159" t="s">
        <v>276</v>
      </c>
      <c r="L99" s="161" t="s">
        <v>277</v>
      </c>
      <c r="M99" s="159" t="s">
        <v>276</v>
      </c>
      <c r="N99" s="161" t="s">
        <v>277</v>
      </c>
      <c r="O99" s="159" t="s">
        <v>276</v>
      </c>
      <c r="P99" s="161" t="s">
        <v>277</v>
      </c>
      <c r="Q99" s="159" t="s">
        <v>276</v>
      </c>
      <c r="R99" s="161" t="s">
        <v>277</v>
      </c>
      <c r="S99" s="159" t="s">
        <v>276</v>
      </c>
      <c r="T99" s="161" t="s">
        <v>277</v>
      </c>
      <c r="U99" s="159" t="s">
        <v>276</v>
      </c>
      <c r="V99" s="161" t="s">
        <v>277</v>
      </c>
      <c r="W99" s="159" t="s">
        <v>276</v>
      </c>
      <c r="X99" s="161" t="s">
        <v>277</v>
      </c>
      <c r="Y99" s="159" t="s">
        <v>276</v>
      </c>
      <c r="Z99" s="161" t="s">
        <v>277</v>
      </c>
      <c r="AA99" s="159" t="s">
        <v>276</v>
      </c>
      <c r="AB99" s="161" t="s">
        <v>277</v>
      </c>
      <c r="AC99" s="159" t="s">
        <v>276</v>
      </c>
      <c r="AD99" s="161" t="s">
        <v>277</v>
      </c>
      <c r="AE99" s="24"/>
      <c r="AF99" s="24"/>
      <c r="AG99" s="24"/>
      <c r="AH99" s="24"/>
      <c r="AI99" s="24"/>
      <c r="AJ99" s="24"/>
      <c r="AK99" s="24"/>
      <c r="AL99" s="24"/>
      <c r="AM99" s="24"/>
      <c r="AN99" s="24"/>
      <c r="AO99" s="24"/>
      <c r="AP99" s="24"/>
      <c r="AQ99" s="24"/>
      <c r="AR99" s="24"/>
      <c r="AS99" s="24"/>
      <c r="AT99" s="24"/>
      <c r="AU99" s="24"/>
      <c r="AV99" s="24"/>
      <c r="AW99" s="24"/>
      <c r="AX99" s="24"/>
      <c r="AY99" s="24"/>
      <c r="AZ99" s="24"/>
    </row>
    <row r="100" spans="3:52" ht="18" customHeight="1" x14ac:dyDescent="0.2">
      <c r="E100" s="62" t="s">
        <v>283</v>
      </c>
      <c r="F100" s="65">
        <v>1</v>
      </c>
      <c r="H100" s="181"/>
      <c r="I100" s="185"/>
      <c r="J100" s="186"/>
      <c r="K100" s="159"/>
      <c r="L100" s="162"/>
      <c r="M100" s="159"/>
      <c r="N100" s="162"/>
      <c r="O100" s="159"/>
      <c r="P100" s="162"/>
      <c r="Q100" s="159"/>
      <c r="R100" s="162"/>
      <c r="S100" s="159"/>
      <c r="T100" s="162"/>
      <c r="U100" s="159"/>
      <c r="V100" s="162"/>
      <c r="W100" s="159"/>
      <c r="X100" s="162"/>
      <c r="Y100" s="159"/>
      <c r="Z100" s="162"/>
      <c r="AA100" s="159"/>
      <c r="AB100" s="162"/>
      <c r="AC100" s="159"/>
      <c r="AD100" s="162"/>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row>
    <row r="101" spans="3:52" ht="18" customHeight="1" x14ac:dyDescent="0.2">
      <c r="E101" s="63"/>
      <c r="F101" s="64"/>
      <c r="H101" s="181"/>
      <c r="I101" s="185"/>
      <c r="J101" s="186"/>
      <c r="K101" s="159"/>
      <c r="L101" s="162"/>
      <c r="M101" s="159"/>
      <c r="N101" s="162"/>
      <c r="O101" s="159"/>
      <c r="P101" s="162"/>
      <c r="Q101" s="159"/>
      <c r="R101" s="162"/>
      <c r="S101" s="159"/>
      <c r="T101" s="162"/>
      <c r="U101" s="159"/>
      <c r="V101" s="162"/>
      <c r="W101" s="159"/>
      <c r="X101" s="162"/>
      <c r="Y101" s="159"/>
      <c r="Z101" s="162"/>
      <c r="AA101" s="159"/>
      <c r="AB101" s="162"/>
      <c r="AC101" s="159"/>
      <c r="AD101" s="162"/>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row>
    <row r="102" spans="3:52" ht="18" customHeight="1" x14ac:dyDescent="0.2">
      <c r="E102" s="194" t="s">
        <v>284</v>
      </c>
      <c r="F102" s="195"/>
      <c r="H102" s="181"/>
      <c r="I102" s="185"/>
      <c r="J102" s="186"/>
      <c r="K102" s="159"/>
      <c r="L102" s="162"/>
      <c r="M102" s="159"/>
      <c r="N102" s="162"/>
      <c r="O102" s="159"/>
      <c r="P102" s="162"/>
      <c r="Q102" s="159"/>
      <c r="R102" s="162"/>
      <c r="S102" s="159"/>
      <c r="T102" s="162"/>
      <c r="U102" s="159"/>
      <c r="V102" s="162"/>
      <c r="W102" s="159"/>
      <c r="X102" s="162"/>
      <c r="Y102" s="159"/>
      <c r="Z102" s="162"/>
      <c r="AA102" s="159"/>
      <c r="AB102" s="162"/>
      <c r="AC102" s="159"/>
      <c r="AD102" s="162"/>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row>
    <row r="103" spans="3:52" ht="18" customHeight="1" x14ac:dyDescent="0.2">
      <c r="E103" s="194"/>
      <c r="F103" s="195"/>
      <c r="H103" s="181"/>
      <c r="I103" s="185"/>
      <c r="J103" s="186"/>
      <c r="K103" s="160"/>
      <c r="L103" s="162"/>
      <c r="M103" s="160"/>
      <c r="N103" s="162"/>
      <c r="O103" s="160"/>
      <c r="P103" s="162"/>
      <c r="Q103" s="160"/>
      <c r="R103" s="162"/>
      <c r="S103" s="160"/>
      <c r="T103" s="162"/>
      <c r="U103" s="160"/>
      <c r="V103" s="162"/>
      <c r="W103" s="160"/>
      <c r="X103" s="162"/>
      <c r="Y103" s="160"/>
      <c r="Z103" s="162"/>
      <c r="AA103" s="160"/>
      <c r="AB103" s="162"/>
      <c r="AC103" s="160"/>
      <c r="AD103" s="162"/>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row>
    <row r="104" spans="3:52" ht="18" customHeight="1" x14ac:dyDescent="0.2">
      <c r="E104" s="194"/>
      <c r="F104" s="195"/>
      <c r="H104" s="181"/>
      <c r="I104" s="185"/>
      <c r="J104" s="186"/>
      <c r="K104" s="189" t="s">
        <v>186</v>
      </c>
      <c r="L104" s="190"/>
      <c r="M104" s="193" t="s">
        <v>273</v>
      </c>
      <c r="N104" s="190"/>
      <c r="O104" s="189" t="s">
        <v>169</v>
      </c>
      <c r="P104" s="190"/>
      <c r="Q104" s="193" t="s">
        <v>275</v>
      </c>
      <c r="R104" s="190"/>
      <c r="S104" s="189" t="s">
        <v>184</v>
      </c>
      <c r="T104" s="190"/>
      <c r="U104" s="209" t="s">
        <v>230</v>
      </c>
      <c r="V104" s="190"/>
      <c r="W104" s="189" t="s">
        <v>164</v>
      </c>
      <c r="X104" s="190"/>
      <c r="Y104" s="189" t="s">
        <v>183</v>
      </c>
      <c r="Z104" s="190"/>
      <c r="AA104" s="189" t="s">
        <v>187</v>
      </c>
      <c r="AB104" s="190"/>
      <c r="AC104" s="189" t="s">
        <v>165</v>
      </c>
      <c r="AD104" s="190"/>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row>
    <row r="105" spans="3:52" ht="18" customHeight="1" x14ac:dyDescent="0.2">
      <c r="E105" s="194"/>
      <c r="F105" s="195"/>
      <c r="H105" s="181"/>
      <c r="I105" s="185"/>
      <c r="J105" s="186"/>
      <c r="K105" s="166"/>
      <c r="L105" s="167"/>
      <c r="M105" s="166"/>
      <c r="N105" s="167"/>
      <c r="O105" s="166"/>
      <c r="P105" s="167"/>
      <c r="Q105" s="166"/>
      <c r="R105" s="167"/>
      <c r="S105" s="166"/>
      <c r="T105" s="167"/>
      <c r="U105" s="210"/>
      <c r="V105" s="167"/>
      <c r="W105" s="166"/>
      <c r="X105" s="167"/>
      <c r="Y105" s="166"/>
      <c r="Z105" s="167"/>
      <c r="AA105" s="166"/>
      <c r="AB105" s="167"/>
      <c r="AC105" s="166"/>
      <c r="AD105" s="167"/>
      <c r="AE105" s="24"/>
      <c r="AF105" s="24"/>
      <c r="AG105" s="24"/>
      <c r="AH105" s="24"/>
      <c r="AI105" s="24"/>
      <c r="AJ105" s="24"/>
      <c r="AK105" s="24"/>
      <c r="AL105" s="24"/>
      <c r="AM105" s="24"/>
      <c r="AN105" s="24"/>
      <c r="AO105" s="24"/>
      <c r="AP105" s="24"/>
      <c r="AQ105" s="24"/>
      <c r="AR105" s="24"/>
      <c r="AS105" s="24"/>
      <c r="AT105" s="24"/>
      <c r="AU105" s="24"/>
      <c r="AV105" s="24"/>
      <c r="AW105" s="24"/>
      <c r="AX105" s="24"/>
      <c r="AY105" s="24"/>
      <c r="AZ105" s="24"/>
    </row>
    <row r="106" spans="3:52" ht="18" customHeight="1" thickBot="1" x14ac:dyDescent="0.25">
      <c r="E106" s="194"/>
      <c r="F106" s="195"/>
      <c r="H106" s="181"/>
      <c r="I106" s="185"/>
      <c r="J106" s="186"/>
      <c r="K106" s="191"/>
      <c r="L106" s="192"/>
      <c r="M106" s="191"/>
      <c r="N106" s="192"/>
      <c r="O106" s="191"/>
      <c r="P106" s="192"/>
      <c r="Q106" s="191"/>
      <c r="R106" s="192"/>
      <c r="S106" s="191"/>
      <c r="T106" s="192"/>
      <c r="U106" s="211"/>
      <c r="V106" s="192"/>
      <c r="W106" s="191"/>
      <c r="X106" s="192"/>
      <c r="Y106" s="191"/>
      <c r="Z106" s="192"/>
      <c r="AA106" s="191"/>
      <c r="AB106" s="192"/>
      <c r="AC106" s="191"/>
      <c r="AD106" s="192"/>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row>
    <row r="107" spans="3:52" ht="20" customHeight="1" thickBot="1" x14ac:dyDescent="0.3">
      <c r="E107" s="196"/>
      <c r="F107" s="197"/>
      <c r="H107" s="182"/>
      <c r="I107" s="187"/>
      <c r="J107" s="188"/>
      <c r="K107" s="201" t="s">
        <v>441</v>
      </c>
      <c r="L107" s="202"/>
      <c r="M107" s="202"/>
      <c r="N107" s="202"/>
      <c r="O107" s="202"/>
      <c r="P107" s="202"/>
      <c r="Q107" s="202"/>
      <c r="R107" s="202"/>
      <c r="S107" s="202"/>
      <c r="T107" s="202"/>
      <c r="U107" s="202"/>
      <c r="V107" s="202"/>
      <c r="W107" s="202"/>
      <c r="X107" s="202"/>
      <c r="Y107" s="202"/>
      <c r="Z107" s="202"/>
      <c r="AA107" s="202"/>
      <c r="AB107" s="202"/>
      <c r="AC107" s="202"/>
      <c r="AD107" s="203"/>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row>
    <row r="112" spans="3:52" ht="17" thickBot="1" x14ac:dyDescent="0.25"/>
    <row r="113" spans="1:53" ht="20" thickBot="1" x14ac:dyDescent="0.3">
      <c r="K113" s="198" t="s">
        <v>444</v>
      </c>
      <c r="L113" s="199"/>
      <c r="M113" s="199"/>
      <c r="N113" s="199"/>
      <c r="O113" s="199"/>
      <c r="P113" s="199"/>
      <c r="Q113" s="199"/>
      <c r="R113" s="199"/>
      <c r="S113" s="199"/>
      <c r="T113" s="199"/>
      <c r="U113" s="199"/>
      <c r="V113" s="199"/>
      <c r="W113" s="199"/>
      <c r="X113" s="199"/>
      <c r="Y113" s="199"/>
      <c r="Z113" s="199"/>
      <c r="AA113" s="199"/>
      <c r="AB113" s="199"/>
      <c r="AC113" s="199"/>
      <c r="AD113" s="199"/>
      <c r="AE113" s="199"/>
      <c r="AF113" s="200"/>
    </row>
    <row r="114" spans="1:53" ht="16" customHeight="1" x14ac:dyDescent="0.2">
      <c r="D114" s="142" t="s">
        <v>443</v>
      </c>
      <c r="K114" s="170" t="s">
        <v>274</v>
      </c>
      <c r="L114" s="165"/>
      <c r="M114" s="164" t="s">
        <v>161</v>
      </c>
      <c r="N114" s="165"/>
      <c r="O114" s="164" t="s">
        <v>168</v>
      </c>
      <c r="P114" s="165"/>
      <c r="Q114" s="164" t="s">
        <v>162</v>
      </c>
      <c r="R114" s="165"/>
      <c r="S114" s="164" t="s">
        <v>229</v>
      </c>
      <c r="T114" s="165"/>
      <c r="U114" s="170" t="s">
        <v>420</v>
      </c>
      <c r="V114" s="204"/>
      <c r="W114" s="170" t="s">
        <v>272</v>
      </c>
      <c r="X114" s="165"/>
      <c r="Y114" s="164" t="s">
        <v>163</v>
      </c>
      <c r="Z114" s="165"/>
      <c r="AA114" s="164" t="s">
        <v>228</v>
      </c>
      <c r="AB114" s="165"/>
      <c r="AC114" s="164" t="s">
        <v>227</v>
      </c>
      <c r="AD114" s="165"/>
      <c r="AE114" s="164" t="s">
        <v>223</v>
      </c>
      <c r="AF114" s="165"/>
      <c r="AG114" s="24"/>
      <c r="AH114" s="24"/>
      <c r="AI114" s="24"/>
      <c r="AJ114" s="24"/>
      <c r="AK114" s="24"/>
      <c r="AL114" s="24"/>
      <c r="AM114" s="24"/>
      <c r="AN114" s="24"/>
      <c r="AO114" s="24"/>
      <c r="AP114" s="24"/>
      <c r="AQ114" s="24"/>
      <c r="AR114" s="24"/>
      <c r="AS114" s="24"/>
      <c r="AT114" s="24"/>
      <c r="AU114" s="24"/>
      <c r="AV114" s="24"/>
      <c r="AW114" s="24"/>
      <c r="AX114" s="24"/>
      <c r="AY114" s="24"/>
      <c r="AZ114" s="24"/>
    </row>
    <row r="115" spans="1:53" ht="20" customHeight="1" x14ac:dyDescent="0.2">
      <c r="B115" s="97"/>
      <c r="D115" s="143"/>
      <c r="K115" s="166"/>
      <c r="L115" s="167"/>
      <c r="M115" s="166"/>
      <c r="N115" s="167"/>
      <c r="O115" s="166"/>
      <c r="P115" s="167"/>
      <c r="Q115" s="166"/>
      <c r="R115" s="167"/>
      <c r="S115" s="166"/>
      <c r="T115" s="167"/>
      <c r="U115" s="205"/>
      <c r="V115" s="206"/>
      <c r="W115" s="166"/>
      <c r="X115" s="167"/>
      <c r="Y115" s="166"/>
      <c r="Z115" s="167"/>
      <c r="AA115" s="166"/>
      <c r="AB115" s="167"/>
      <c r="AC115" s="166"/>
      <c r="AD115" s="167"/>
      <c r="AE115" s="166"/>
      <c r="AF115" s="167"/>
      <c r="AG115" s="24"/>
      <c r="AH115" s="24"/>
      <c r="AI115" s="24"/>
      <c r="AJ115" s="24"/>
      <c r="AK115" s="24"/>
      <c r="AL115" s="24"/>
      <c r="AM115" s="24"/>
      <c r="AN115" s="24"/>
      <c r="AO115" s="24"/>
      <c r="AP115" s="24"/>
      <c r="AQ115" s="24"/>
      <c r="AR115" s="24"/>
      <c r="AS115" s="24"/>
      <c r="AT115" s="24"/>
      <c r="AU115" s="24"/>
      <c r="AV115" s="24"/>
      <c r="AW115" s="24"/>
      <c r="AX115" s="24"/>
      <c r="AY115" s="24"/>
      <c r="AZ115" s="24"/>
    </row>
    <row r="116" spans="1:53" ht="20" customHeight="1" x14ac:dyDescent="0.2">
      <c r="A116" s="68"/>
      <c r="B116" s="96"/>
      <c r="D116" s="140" t="s">
        <v>282</v>
      </c>
      <c r="I116" s="25"/>
      <c r="J116" s="25"/>
      <c r="K116" s="168"/>
      <c r="L116" s="169"/>
      <c r="M116" s="168"/>
      <c r="N116" s="169"/>
      <c r="O116" s="168"/>
      <c r="P116" s="169"/>
      <c r="Q116" s="168"/>
      <c r="R116" s="169"/>
      <c r="S116" s="168"/>
      <c r="T116" s="169"/>
      <c r="U116" s="207"/>
      <c r="V116" s="208"/>
      <c r="W116" s="168"/>
      <c r="X116" s="169"/>
      <c r="Y116" s="168"/>
      <c r="Z116" s="169"/>
      <c r="AA116" s="168"/>
      <c r="AB116" s="169"/>
      <c r="AC116" s="168"/>
      <c r="AD116" s="169"/>
      <c r="AE116" s="168"/>
      <c r="AF116" s="169"/>
      <c r="AG116" s="24"/>
      <c r="AH116" s="24"/>
      <c r="AI116" s="24"/>
      <c r="AJ116" s="24"/>
      <c r="AK116" s="24"/>
      <c r="AL116" s="24"/>
      <c r="AM116" s="24"/>
      <c r="AN116" s="24"/>
      <c r="AO116" s="24"/>
      <c r="AP116" s="24"/>
      <c r="AQ116" s="24"/>
      <c r="AR116" s="24"/>
      <c r="AS116" s="24"/>
      <c r="AT116" s="24"/>
      <c r="AU116" s="24"/>
      <c r="AV116" s="24"/>
      <c r="AW116" s="24"/>
      <c r="AX116" s="24"/>
      <c r="AY116" s="24"/>
      <c r="AZ116" s="24"/>
    </row>
    <row r="117" spans="1:53" ht="20" customHeight="1" x14ac:dyDescent="0.2">
      <c r="A117" s="67"/>
      <c r="B117" s="95"/>
      <c r="D117" s="140"/>
      <c r="G117" s="136" t="s">
        <v>24</v>
      </c>
      <c r="H117" s="147" t="s">
        <v>365</v>
      </c>
      <c r="I117" s="150" t="s">
        <v>363</v>
      </c>
      <c r="J117" s="153" t="s">
        <v>364</v>
      </c>
      <c r="K117" s="171" t="s">
        <v>276</v>
      </c>
      <c r="L117" s="172" t="s">
        <v>277</v>
      </c>
      <c r="M117" s="156" t="s">
        <v>276</v>
      </c>
      <c r="N117" s="214" t="s">
        <v>277</v>
      </c>
      <c r="O117" s="144" t="s">
        <v>276</v>
      </c>
      <c r="P117" s="172" t="s">
        <v>277</v>
      </c>
      <c r="Q117" s="144" t="s">
        <v>276</v>
      </c>
      <c r="R117" s="172" t="s">
        <v>277</v>
      </c>
      <c r="S117" s="144" t="s">
        <v>276</v>
      </c>
      <c r="T117" s="172" t="s">
        <v>277</v>
      </c>
      <c r="U117" s="174" t="s">
        <v>276</v>
      </c>
      <c r="V117" s="172" t="s">
        <v>277</v>
      </c>
      <c r="W117" s="171" t="s">
        <v>276</v>
      </c>
      <c r="X117" s="172" t="s">
        <v>277</v>
      </c>
      <c r="Y117" s="144" t="s">
        <v>276</v>
      </c>
      <c r="Z117" s="172" t="s">
        <v>277</v>
      </c>
      <c r="AA117" s="144" t="s">
        <v>276</v>
      </c>
      <c r="AB117" s="172" t="s">
        <v>277</v>
      </c>
      <c r="AC117" s="144" t="s">
        <v>276</v>
      </c>
      <c r="AD117" s="172" t="s">
        <v>277</v>
      </c>
      <c r="AE117" s="144" t="s">
        <v>276</v>
      </c>
      <c r="AF117" s="172" t="s">
        <v>277</v>
      </c>
      <c r="AG117" s="24"/>
      <c r="AH117" s="24"/>
      <c r="AI117" s="24"/>
      <c r="AJ117" s="24"/>
      <c r="AK117" s="24"/>
      <c r="AL117" s="24"/>
      <c r="AM117" s="24"/>
      <c r="AN117" s="24"/>
      <c r="AO117" s="24"/>
      <c r="AP117" s="24"/>
      <c r="AQ117" s="24"/>
      <c r="AR117" s="24"/>
      <c r="AS117" s="24"/>
      <c r="AT117" s="24"/>
      <c r="AU117" s="24"/>
      <c r="AV117" s="24"/>
      <c r="AW117" s="24"/>
      <c r="AX117" s="24"/>
      <c r="AY117" s="24"/>
      <c r="AZ117" s="24"/>
    </row>
    <row r="118" spans="1:53" ht="20" customHeight="1" thickBot="1" x14ac:dyDescent="0.25">
      <c r="A118" s="136" t="s">
        <v>285</v>
      </c>
      <c r="B118" s="138" t="s">
        <v>369</v>
      </c>
      <c r="D118" s="141"/>
      <c r="G118" s="136"/>
      <c r="H118" s="148"/>
      <c r="I118" s="151"/>
      <c r="J118" s="154"/>
      <c r="K118" s="171"/>
      <c r="L118" s="172"/>
      <c r="M118" s="157"/>
      <c r="N118" s="215"/>
      <c r="O118" s="144"/>
      <c r="P118" s="172"/>
      <c r="Q118" s="144"/>
      <c r="R118" s="172"/>
      <c r="S118" s="144"/>
      <c r="T118" s="172"/>
      <c r="U118" s="174"/>
      <c r="V118" s="172"/>
      <c r="W118" s="144"/>
      <c r="X118" s="172"/>
      <c r="Y118" s="144"/>
      <c r="Z118" s="172"/>
      <c r="AA118" s="144"/>
      <c r="AB118" s="172"/>
      <c r="AC118" s="144"/>
      <c r="AD118" s="172"/>
      <c r="AE118" s="144"/>
      <c r="AF118" s="172"/>
      <c r="AG118" s="24"/>
      <c r="AH118" s="24"/>
      <c r="AI118" s="24"/>
      <c r="AJ118" s="24"/>
      <c r="AK118" s="24"/>
      <c r="AL118" s="24"/>
      <c r="AM118" s="24"/>
      <c r="AN118" s="24"/>
      <c r="AO118" s="24"/>
      <c r="AP118" s="24"/>
      <c r="AQ118" s="24"/>
      <c r="AR118" s="24"/>
      <c r="AS118" s="24"/>
      <c r="AT118" s="24"/>
      <c r="AU118" s="24"/>
      <c r="AV118" s="24"/>
      <c r="AW118" s="24"/>
      <c r="AX118" s="24"/>
      <c r="AY118" s="24"/>
      <c r="AZ118" s="24"/>
    </row>
    <row r="119" spans="1:53" ht="20" customHeight="1" x14ac:dyDescent="0.2">
      <c r="A119" s="136"/>
      <c r="B119" s="138"/>
      <c r="G119" s="136"/>
      <c r="H119" s="148"/>
      <c r="I119" s="151"/>
      <c r="J119" s="154"/>
      <c r="K119" s="171"/>
      <c r="L119" s="172"/>
      <c r="M119" s="157"/>
      <c r="N119" s="215"/>
      <c r="O119" s="144"/>
      <c r="P119" s="172"/>
      <c r="Q119" s="144"/>
      <c r="R119" s="172"/>
      <c r="S119" s="144"/>
      <c r="T119" s="172"/>
      <c r="U119" s="174"/>
      <c r="V119" s="172"/>
      <c r="W119" s="144"/>
      <c r="X119" s="172"/>
      <c r="Y119" s="144"/>
      <c r="Z119" s="172"/>
      <c r="AA119" s="144"/>
      <c r="AB119" s="172"/>
      <c r="AC119" s="144"/>
      <c r="AD119" s="172"/>
      <c r="AE119" s="144"/>
      <c r="AF119" s="172"/>
      <c r="AG119" s="24"/>
      <c r="AH119" s="24"/>
      <c r="AI119" s="24"/>
      <c r="AJ119" s="24"/>
      <c r="AK119" s="24"/>
      <c r="AL119" s="24"/>
      <c r="AM119" s="24"/>
      <c r="AN119" s="24"/>
      <c r="AO119" s="24"/>
      <c r="AP119" s="24"/>
      <c r="AQ119" s="24"/>
      <c r="AR119" s="24"/>
      <c r="AS119" s="24"/>
      <c r="AT119" s="24"/>
      <c r="AU119" s="24"/>
      <c r="AV119" s="24"/>
      <c r="AW119" s="24"/>
      <c r="AX119" s="24"/>
      <c r="AY119" s="24"/>
      <c r="AZ119" s="24"/>
    </row>
    <row r="120" spans="1:53" ht="20" customHeight="1" x14ac:dyDescent="0.2">
      <c r="A120" s="136"/>
      <c r="B120" s="138"/>
      <c r="G120" s="136"/>
      <c r="H120" s="148"/>
      <c r="I120" s="151"/>
      <c r="J120" s="154"/>
      <c r="K120" s="171"/>
      <c r="L120" s="172"/>
      <c r="M120" s="157"/>
      <c r="N120" s="215"/>
      <c r="O120" s="144"/>
      <c r="P120" s="172"/>
      <c r="Q120" s="144"/>
      <c r="R120" s="172"/>
      <c r="S120" s="144"/>
      <c r="T120" s="172"/>
      <c r="U120" s="174"/>
      <c r="V120" s="172"/>
      <c r="W120" s="144"/>
      <c r="X120" s="172"/>
      <c r="Y120" s="144"/>
      <c r="Z120" s="172"/>
      <c r="AA120" s="144"/>
      <c r="AB120" s="172"/>
      <c r="AC120" s="144"/>
      <c r="AD120" s="172"/>
      <c r="AE120" s="144"/>
      <c r="AF120" s="172"/>
      <c r="AG120" s="24"/>
      <c r="AH120" s="24"/>
      <c r="AI120" s="24"/>
      <c r="AJ120" s="24"/>
      <c r="AK120" s="24"/>
      <c r="AL120" s="24"/>
      <c r="AM120" s="24"/>
      <c r="AN120" s="24"/>
      <c r="AO120" s="24"/>
      <c r="AP120" s="24"/>
      <c r="AQ120" s="24"/>
      <c r="AR120" s="24"/>
      <c r="AS120" s="24"/>
      <c r="AT120" s="24"/>
      <c r="AU120" s="24"/>
      <c r="AV120" s="24"/>
      <c r="AW120" s="24"/>
      <c r="AX120" s="24"/>
      <c r="AY120" s="24"/>
      <c r="AZ120" s="24"/>
    </row>
    <row r="121" spans="1:53" ht="20" customHeight="1" thickBot="1" x14ac:dyDescent="0.25">
      <c r="A121" s="137"/>
      <c r="B121" s="139"/>
      <c r="C121" s="22" t="s">
        <v>20</v>
      </c>
      <c r="D121" s="21" t="s">
        <v>21</v>
      </c>
      <c r="E121" s="21" t="s">
        <v>22</v>
      </c>
      <c r="F121" s="22" t="s">
        <v>23</v>
      </c>
      <c r="G121" s="146"/>
      <c r="H121" s="149"/>
      <c r="I121" s="152"/>
      <c r="J121" s="155"/>
      <c r="K121" s="176"/>
      <c r="L121" s="173"/>
      <c r="M121" s="158"/>
      <c r="N121" s="216"/>
      <c r="O121" s="145"/>
      <c r="P121" s="173"/>
      <c r="Q121" s="145"/>
      <c r="R121" s="173"/>
      <c r="S121" s="145"/>
      <c r="T121" s="173"/>
      <c r="U121" s="175"/>
      <c r="V121" s="173"/>
      <c r="W121" s="145"/>
      <c r="X121" s="173"/>
      <c r="Y121" s="145"/>
      <c r="Z121" s="173"/>
      <c r="AA121" s="145"/>
      <c r="AB121" s="173"/>
      <c r="AC121" s="145"/>
      <c r="AD121" s="173"/>
      <c r="AE121" s="145"/>
      <c r="AF121" s="173"/>
      <c r="AG121" s="21" t="s">
        <v>25</v>
      </c>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row>
    <row r="122" spans="1:53" ht="20" customHeight="1" x14ac:dyDescent="0.2">
      <c r="A122" s="67"/>
      <c r="B122" s="97"/>
      <c r="C122" s="70" t="s">
        <v>86</v>
      </c>
      <c r="D122" s="69" t="s">
        <v>287</v>
      </c>
      <c r="E122" s="69" t="s">
        <v>288</v>
      </c>
      <c r="F122" s="70">
        <v>2015</v>
      </c>
      <c r="G122" s="70"/>
      <c r="H122" s="71">
        <v>81</v>
      </c>
      <c r="I122" s="72" t="s">
        <v>366</v>
      </c>
      <c r="J122" s="73" t="s">
        <v>367</v>
      </c>
      <c r="K122" s="80"/>
      <c r="L122" s="89" t="str">
        <f t="shared" ref="L122:L153" si="29">IF((ISERROR((K122/$H122)*100)), "", IF(AND(NOT(ISERROR((K122/$H122)*100)),((K122/$H122)*100) &lt;&gt; 0), (K122/$H122)*100, ""))</f>
        <v/>
      </c>
      <c r="M122" s="79"/>
      <c r="N122" s="89" t="str">
        <f t="shared" ref="N122" si="30">IF((ISERROR((M122/$H122)*100)), "", IF(AND(NOT(ISERROR((M122/$H122)*100)),((M122/$H122)*100) &lt;&gt; 0), (M122/$H122)*100, ""))</f>
        <v/>
      </c>
      <c r="O122" s="79"/>
      <c r="P122" s="89" t="str">
        <f t="shared" ref="P122:P153" si="31">IF((ISERROR((O122/$H122)*100)), "", IF(AND(NOT(ISERROR((O122/$H122)*100)),((O122/$H122)*100) &lt;&gt; 0), (O122/$H122)*100, ""))</f>
        <v/>
      </c>
      <c r="Q122" s="79"/>
      <c r="R122" s="89" t="str">
        <f t="shared" ref="R122:R153" si="32">IF((ISERROR((Q122/$H122)*100)), "", IF(AND(NOT(ISERROR((Q122/$H122)*100)),((Q122/$H122)*100) &lt;&gt; 0), (Q122/$H122)*100, ""))</f>
        <v/>
      </c>
      <c r="S122" s="79"/>
      <c r="T122" s="89" t="str">
        <f t="shared" ref="T122:Z205" si="33">IF((ISERROR((S122/$H122)*100)), "", IF(AND(NOT(ISERROR((S122/$H122)*100)),((S122/$H122)*100) &lt;&gt; 0), (S122/$H122)*100, ""))</f>
        <v/>
      </c>
      <c r="U122" s="81"/>
      <c r="V122" s="90" t="str">
        <f t="shared" ref="V122:V153" si="34">IF((ISERROR((U122/$H122)*100)), "", IF(AND(NOT(ISERROR((U122/$H122)*100)),((U122/$H122)*100) &lt;&gt; 0), (U122/$H122)*100, ""))</f>
        <v/>
      </c>
      <c r="W122" s="79"/>
      <c r="X122" s="89" t="str">
        <f t="shared" ref="X122:X153" si="35">IF((ISERROR((W122/$H122)*100)), "", IF(AND(NOT(ISERROR((W122/$H122)*100)),((W122/$H122)*100) &lt;&gt; 0), (W122/$H122)*100, ""))</f>
        <v/>
      </c>
      <c r="Y122" s="79"/>
      <c r="Z122" s="89" t="str">
        <f t="shared" si="33"/>
        <v/>
      </c>
      <c r="AA122" s="79"/>
      <c r="AB122" s="89" t="str">
        <f t="shared" ref="AB122:AB171" si="36">IF((ISERROR((AA122/$H122)*100)), "", IF(AND(NOT(ISERROR((AA122/$H122)*100)),((AA122/$H122)*100) &lt;&gt; 0), (AA122/$H122)*100, ""))</f>
        <v/>
      </c>
      <c r="AC122" s="79"/>
      <c r="AD122" s="89" t="str">
        <f t="shared" ref="AD122:AD153" si="37">IF((ISERROR((AC122/$H122)*100)), "", IF(AND(NOT(ISERROR((AC122/$H122)*100)),((AC122/$H122)*100) &lt;&gt; 0), (AC122/$H122)*100, ""))</f>
        <v/>
      </c>
      <c r="AE122" s="79"/>
      <c r="AF122" s="89" t="str">
        <f t="shared" ref="AF122:AF153" si="38">IF((ISERROR((AE122/$H122)*100)), "", IF(AND(NOT(ISERROR((AE122/$H122)*100)),((AE122/$H122)*100) &lt;&gt; 0), (AE122/$H122)*100, ""))</f>
        <v/>
      </c>
      <c r="AG122" s="69" t="s">
        <v>368</v>
      </c>
      <c r="AH122" s="24"/>
      <c r="AI122" s="24"/>
      <c r="AJ122" s="24"/>
      <c r="AK122" s="24"/>
      <c r="AL122" s="24"/>
      <c r="AM122" s="24"/>
      <c r="AN122" s="24"/>
      <c r="AO122" s="24"/>
      <c r="AP122" s="24"/>
      <c r="AQ122" s="24"/>
      <c r="AR122" s="24"/>
      <c r="AS122" s="24"/>
      <c r="AT122" s="24"/>
      <c r="AU122" s="24"/>
      <c r="AV122" s="24"/>
      <c r="AW122" s="24"/>
      <c r="AX122" s="24"/>
      <c r="AY122" s="24"/>
      <c r="AZ122" s="24"/>
    </row>
    <row r="123" spans="1:53" ht="20" customHeight="1" x14ac:dyDescent="0.2">
      <c r="A123" s="68"/>
      <c r="B123" s="95"/>
      <c r="C123" s="25" t="s">
        <v>86</v>
      </c>
      <c r="D123" s="24" t="s">
        <v>26</v>
      </c>
      <c r="E123" s="24" t="s">
        <v>27</v>
      </c>
      <c r="F123" s="25">
        <v>2008</v>
      </c>
      <c r="G123" s="25">
        <v>165</v>
      </c>
      <c r="H123" s="71">
        <v>107</v>
      </c>
      <c r="I123" s="72" t="s">
        <v>171</v>
      </c>
      <c r="J123" s="73"/>
      <c r="K123" s="76"/>
      <c r="L123" s="77" t="str">
        <f t="shared" si="29"/>
        <v/>
      </c>
      <c r="M123" s="74"/>
      <c r="N123" s="75" t="str">
        <f>IF((ISERROR((M123/$H123)*100)), "", IF(AND(NOT(ISERROR((M123/$H123)*100)),((M123/$H123)*100) &lt;&gt; 0), (M123/$H123)*100, ""))</f>
        <v/>
      </c>
      <c r="O123" s="76"/>
      <c r="P123" s="77" t="str">
        <f t="shared" si="31"/>
        <v/>
      </c>
      <c r="Q123" s="76"/>
      <c r="R123" s="77" t="str">
        <f t="shared" si="32"/>
        <v/>
      </c>
      <c r="S123" s="74"/>
      <c r="T123" s="75" t="str">
        <f t="shared" si="33"/>
        <v/>
      </c>
      <c r="U123" s="78"/>
      <c r="V123" s="43" t="str">
        <f t="shared" si="34"/>
        <v/>
      </c>
      <c r="W123" s="76"/>
      <c r="X123" s="77" t="str">
        <f t="shared" si="35"/>
        <v/>
      </c>
      <c r="Y123" s="76"/>
      <c r="Z123" s="77" t="str">
        <f t="shared" si="33"/>
        <v/>
      </c>
      <c r="AA123" s="76"/>
      <c r="AB123" s="77" t="str">
        <f t="shared" si="36"/>
        <v/>
      </c>
      <c r="AC123" s="76"/>
      <c r="AD123" s="77" t="str">
        <f t="shared" si="37"/>
        <v/>
      </c>
      <c r="AE123" s="76"/>
      <c r="AF123" s="77" t="str">
        <f t="shared" si="38"/>
        <v/>
      </c>
      <c r="AG123" s="24" t="s">
        <v>170</v>
      </c>
      <c r="AH123" s="24"/>
      <c r="AI123" s="24"/>
      <c r="AJ123" s="24"/>
      <c r="AK123" s="24"/>
      <c r="AL123" s="24"/>
      <c r="AM123" s="24"/>
      <c r="AN123" s="24"/>
      <c r="AO123" s="24"/>
      <c r="AP123" s="24"/>
      <c r="AQ123" s="24"/>
      <c r="AR123" s="24"/>
      <c r="AS123" s="24"/>
      <c r="AT123" s="24"/>
      <c r="AU123" s="24"/>
      <c r="AV123" s="24"/>
      <c r="AW123" s="24"/>
      <c r="AX123" s="24"/>
      <c r="AY123" s="24"/>
      <c r="AZ123" s="24"/>
    </row>
    <row r="124" spans="1:53" ht="20" customHeight="1" x14ac:dyDescent="0.2">
      <c r="A124" s="68"/>
      <c r="B124" s="96"/>
      <c r="C124" s="25" t="s">
        <v>86</v>
      </c>
      <c r="D124" s="24" t="s">
        <v>289</v>
      </c>
      <c r="E124" s="24" t="s">
        <v>290</v>
      </c>
      <c r="F124" s="25">
        <v>2016</v>
      </c>
      <c r="G124"/>
      <c r="H124" s="29">
        <v>12</v>
      </c>
      <c r="I124" s="28" t="s">
        <v>370</v>
      </c>
      <c r="J124" s="39"/>
      <c r="K124" s="40"/>
      <c r="L124" s="43" t="str">
        <f t="shared" si="29"/>
        <v/>
      </c>
      <c r="M124" s="40"/>
      <c r="N124" s="43" t="str">
        <f t="shared" ref="N124:N172" si="39">IF((ISERROR((M124/$H124)*100)), "", IF(AND(NOT(ISERROR((M124/$H124)*100)),((M124/$H124)*100) &lt;&gt; 0), (M124/$H124)*100, ""))</f>
        <v/>
      </c>
      <c r="O124" s="40"/>
      <c r="P124" s="43" t="str">
        <f t="shared" si="31"/>
        <v/>
      </c>
      <c r="Q124" s="40"/>
      <c r="R124" s="43" t="str">
        <f t="shared" si="32"/>
        <v/>
      </c>
      <c r="S124" s="40"/>
      <c r="T124" s="43" t="str">
        <f t="shared" si="33"/>
        <v/>
      </c>
      <c r="U124" s="86"/>
      <c r="V124" s="43" t="str">
        <f t="shared" si="34"/>
        <v/>
      </c>
      <c r="W124" s="40"/>
      <c r="X124" s="43" t="str">
        <f t="shared" si="35"/>
        <v/>
      </c>
      <c r="Y124" s="40"/>
      <c r="Z124" s="43" t="str">
        <f t="shared" si="33"/>
        <v/>
      </c>
      <c r="AA124" s="40"/>
      <c r="AB124" s="43" t="str">
        <f t="shared" si="36"/>
        <v/>
      </c>
      <c r="AC124" s="40"/>
      <c r="AD124" s="43" t="str">
        <f t="shared" si="37"/>
        <v/>
      </c>
      <c r="AE124" s="40"/>
      <c r="AF124" s="43" t="str">
        <f t="shared" si="38"/>
        <v/>
      </c>
      <c r="AG124" s="24" t="s">
        <v>371</v>
      </c>
      <c r="AH124" s="24"/>
      <c r="AI124" s="24"/>
      <c r="AJ124" s="24"/>
      <c r="AK124" s="24"/>
      <c r="AL124" s="24"/>
      <c r="AM124" s="24"/>
      <c r="AN124" s="24"/>
      <c r="AO124" s="24"/>
      <c r="AP124" s="24"/>
      <c r="AQ124" s="24"/>
      <c r="AR124" s="24"/>
      <c r="AS124" s="24"/>
      <c r="AT124" s="24"/>
      <c r="AU124" s="24"/>
      <c r="AV124" s="24"/>
      <c r="AW124" s="24"/>
      <c r="AX124" s="24"/>
      <c r="AY124" s="24"/>
      <c r="AZ124" s="24"/>
    </row>
    <row r="125" spans="1:53" ht="20" customHeight="1" x14ac:dyDescent="0.2">
      <c r="A125" s="68"/>
      <c r="B125" s="95"/>
      <c r="C125" s="25" t="s">
        <v>86</v>
      </c>
      <c r="D125" s="24" t="s">
        <v>33</v>
      </c>
      <c r="E125" s="24" t="s">
        <v>34</v>
      </c>
      <c r="F125" s="25">
        <v>2003</v>
      </c>
      <c r="G125" s="25">
        <v>291</v>
      </c>
      <c r="H125" s="29">
        <v>14</v>
      </c>
      <c r="I125" s="28" t="s">
        <v>172</v>
      </c>
      <c r="J125" s="39"/>
      <c r="K125" s="40">
        <v>1</v>
      </c>
      <c r="L125" s="43">
        <f t="shared" si="29"/>
        <v>7.1428571428571423</v>
      </c>
      <c r="M125" s="40">
        <v>2</v>
      </c>
      <c r="N125" s="43">
        <f t="shared" si="39"/>
        <v>14.285714285714285</v>
      </c>
      <c r="O125" s="40"/>
      <c r="P125" s="43" t="str">
        <f t="shared" si="31"/>
        <v/>
      </c>
      <c r="Q125" s="40"/>
      <c r="R125" s="43" t="str">
        <f t="shared" si="32"/>
        <v/>
      </c>
      <c r="S125" s="40"/>
      <c r="T125" s="43" t="str">
        <f t="shared" si="33"/>
        <v/>
      </c>
      <c r="U125" s="86"/>
      <c r="V125" s="43" t="str">
        <f t="shared" si="34"/>
        <v/>
      </c>
      <c r="W125" s="40"/>
      <c r="X125" s="43" t="str">
        <f t="shared" si="35"/>
        <v/>
      </c>
      <c r="Y125" s="40"/>
      <c r="Z125" s="43" t="str">
        <f t="shared" si="33"/>
        <v/>
      </c>
      <c r="AA125" s="40"/>
      <c r="AB125" s="43" t="str">
        <f t="shared" si="36"/>
        <v/>
      </c>
      <c r="AC125" s="40"/>
      <c r="AD125" s="43" t="str">
        <f t="shared" si="37"/>
        <v/>
      </c>
      <c r="AE125" s="40"/>
      <c r="AF125" s="43" t="str">
        <f t="shared" si="38"/>
        <v/>
      </c>
      <c r="AG125" s="24" t="s">
        <v>372</v>
      </c>
      <c r="AH125" s="24"/>
      <c r="AI125" s="24"/>
      <c r="AJ125" s="24"/>
      <c r="AK125" s="24"/>
      <c r="AL125" s="24"/>
      <c r="AM125" s="24"/>
      <c r="AN125" s="24"/>
      <c r="AO125" s="24"/>
      <c r="AP125" s="24"/>
      <c r="AQ125" s="24"/>
      <c r="AR125" s="24"/>
      <c r="AS125" s="24"/>
      <c r="AT125" s="24"/>
      <c r="AU125" s="24"/>
      <c r="AV125" s="24"/>
      <c r="AW125" s="24"/>
      <c r="AX125" s="24"/>
      <c r="AY125" s="24"/>
      <c r="AZ125" s="24"/>
    </row>
    <row r="126" spans="1:53" ht="20" customHeight="1" x14ac:dyDescent="0.2">
      <c r="A126" s="67"/>
      <c r="B126" s="95"/>
      <c r="C126" s="25" t="s">
        <v>86</v>
      </c>
      <c r="D126" s="24" t="s">
        <v>291</v>
      </c>
      <c r="E126" s="24" t="s">
        <v>292</v>
      </c>
      <c r="F126" s="25">
        <v>2008</v>
      </c>
      <c r="H126" s="29">
        <v>24</v>
      </c>
      <c r="I126" s="28" t="s">
        <v>246</v>
      </c>
      <c r="J126" s="39" t="s">
        <v>373</v>
      </c>
      <c r="K126" s="40"/>
      <c r="L126" s="43" t="str">
        <f t="shared" si="29"/>
        <v/>
      </c>
      <c r="M126" s="40">
        <v>1</v>
      </c>
      <c r="N126" s="43">
        <f t="shared" si="39"/>
        <v>4.1666666666666661</v>
      </c>
      <c r="O126" s="40"/>
      <c r="P126" s="43" t="str">
        <f t="shared" si="31"/>
        <v/>
      </c>
      <c r="Q126" s="40"/>
      <c r="R126" s="43" t="str">
        <f t="shared" si="32"/>
        <v/>
      </c>
      <c r="S126" s="40"/>
      <c r="T126" s="43" t="str">
        <f t="shared" si="33"/>
        <v/>
      </c>
      <c r="U126" s="86"/>
      <c r="V126" s="43" t="str">
        <f t="shared" si="34"/>
        <v/>
      </c>
      <c r="W126" s="40"/>
      <c r="X126" s="43" t="str">
        <f t="shared" si="35"/>
        <v/>
      </c>
      <c r="Y126" s="40"/>
      <c r="Z126" s="43" t="str">
        <f t="shared" si="33"/>
        <v/>
      </c>
      <c r="AA126" s="40"/>
      <c r="AB126" s="43" t="str">
        <f t="shared" si="36"/>
        <v/>
      </c>
      <c r="AC126" s="40"/>
      <c r="AD126" s="43" t="str">
        <f t="shared" si="37"/>
        <v/>
      </c>
      <c r="AE126" s="40"/>
      <c r="AF126" s="43" t="str">
        <f t="shared" si="38"/>
        <v/>
      </c>
      <c r="AG126" s="24"/>
      <c r="AH126" s="24"/>
      <c r="AI126" s="24"/>
      <c r="AJ126" s="24"/>
      <c r="AK126" s="24"/>
      <c r="AL126" s="24"/>
      <c r="AM126" s="24"/>
      <c r="AN126" s="24"/>
      <c r="AO126" s="24"/>
      <c r="AP126" s="24"/>
      <c r="AQ126" s="24"/>
      <c r="AR126" s="24"/>
      <c r="AS126" s="24"/>
      <c r="AT126" s="24"/>
      <c r="AU126" s="24"/>
      <c r="AV126" s="24"/>
      <c r="AW126" s="24"/>
      <c r="AX126" s="24"/>
      <c r="AY126" s="24"/>
      <c r="AZ126" s="24"/>
    </row>
    <row r="127" spans="1:53" ht="20" customHeight="1" x14ac:dyDescent="0.2">
      <c r="A127" s="68"/>
      <c r="B127" s="95"/>
      <c r="C127" s="25" t="s">
        <v>86</v>
      </c>
      <c r="D127" s="24" t="s">
        <v>36</v>
      </c>
      <c r="E127" s="24" t="s">
        <v>37</v>
      </c>
      <c r="F127" s="25">
        <v>2008</v>
      </c>
      <c r="G127" s="25">
        <v>40</v>
      </c>
      <c r="H127" s="29">
        <v>51</v>
      </c>
      <c r="I127" s="28"/>
      <c r="J127" s="39" t="s">
        <v>176</v>
      </c>
      <c r="K127" s="40"/>
      <c r="L127" s="43" t="str">
        <f t="shared" si="29"/>
        <v/>
      </c>
      <c r="M127" s="40"/>
      <c r="N127" s="43" t="str">
        <f t="shared" si="39"/>
        <v/>
      </c>
      <c r="O127" s="40"/>
      <c r="P127" s="43" t="str">
        <f t="shared" si="31"/>
        <v/>
      </c>
      <c r="Q127" s="40"/>
      <c r="R127" s="43" t="str">
        <f t="shared" si="32"/>
        <v/>
      </c>
      <c r="S127" s="40"/>
      <c r="T127" s="43" t="str">
        <f t="shared" si="33"/>
        <v/>
      </c>
      <c r="U127" s="47"/>
      <c r="V127" s="46" t="str">
        <f t="shared" si="34"/>
        <v/>
      </c>
      <c r="W127" s="40"/>
      <c r="X127" s="43" t="str">
        <f t="shared" si="35"/>
        <v/>
      </c>
      <c r="Y127" s="40"/>
      <c r="Z127" s="43" t="str">
        <f t="shared" si="33"/>
        <v/>
      </c>
      <c r="AA127" s="40"/>
      <c r="AB127" s="43" t="str">
        <f t="shared" si="36"/>
        <v/>
      </c>
      <c r="AC127" s="40"/>
      <c r="AD127" s="43" t="str">
        <f t="shared" si="37"/>
        <v/>
      </c>
      <c r="AE127" s="40"/>
      <c r="AF127" s="43" t="str">
        <f t="shared" si="38"/>
        <v/>
      </c>
      <c r="AG127" s="24" t="s">
        <v>179</v>
      </c>
      <c r="AH127" s="24"/>
      <c r="AI127" s="24"/>
      <c r="AJ127" s="24"/>
      <c r="AK127" s="24"/>
      <c r="AL127" s="24"/>
      <c r="AM127" s="24"/>
      <c r="AN127" s="24"/>
      <c r="AO127" s="24"/>
      <c r="AP127" s="24"/>
      <c r="AQ127" s="24"/>
      <c r="AR127" s="24"/>
      <c r="AS127" s="24"/>
      <c r="AT127" s="24"/>
      <c r="AU127" s="24"/>
      <c r="AV127" s="24"/>
      <c r="AW127" s="24"/>
      <c r="AX127" s="24"/>
      <c r="AY127" s="24"/>
      <c r="AZ127" s="24"/>
    </row>
    <row r="128" spans="1:53" ht="20" customHeight="1" x14ac:dyDescent="0.2">
      <c r="A128" s="67"/>
      <c r="B128" s="95"/>
      <c r="C128" s="25" t="s">
        <v>86</v>
      </c>
      <c r="D128" s="24" t="s">
        <v>41</v>
      </c>
      <c r="E128" s="24" t="s">
        <v>42</v>
      </c>
      <c r="F128" s="25">
        <v>2004</v>
      </c>
      <c r="G128" s="25">
        <v>79</v>
      </c>
      <c r="H128" s="29">
        <v>22</v>
      </c>
      <c r="I128" s="28" t="s">
        <v>174</v>
      </c>
      <c r="J128" s="39" t="s">
        <v>176</v>
      </c>
      <c r="K128" s="40"/>
      <c r="L128" s="43" t="str">
        <f t="shared" si="29"/>
        <v/>
      </c>
      <c r="M128" s="40">
        <v>5</v>
      </c>
      <c r="N128" s="43">
        <f t="shared" si="39"/>
        <v>22.727272727272727</v>
      </c>
      <c r="O128" s="40"/>
      <c r="P128" s="43" t="str">
        <f t="shared" si="31"/>
        <v/>
      </c>
      <c r="Q128" s="40"/>
      <c r="R128" s="43" t="str">
        <f t="shared" si="32"/>
        <v/>
      </c>
      <c r="S128" s="40"/>
      <c r="T128" s="43" t="str">
        <f t="shared" si="33"/>
        <v/>
      </c>
      <c r="U128" s="86"/>
      <c r="V128" s="43" t="str">
        <f t="shared" si="34"/>
        <v/>
      </c>
      <c r="W128" s="40"/>
      <c r="X128" s="43" t="str">
        <f t="shared" si="35"/>
        <v/>
      </c>
      <c r="Y128" s="40"/>
      <c r="Z128" s="43" t="str">
        <f t="shared" si="33"/>
        <v/>
      </c>
      <c r="AA128" s="40"/>
      <c r="AB128" s="43" t="str">
        <f t="shared" si="36"/>
        <v/>
      </c>
      <c r="AC128" s="40"/>
      <c r="AD128" s="43" t="str">
        <f t="shared" si="37"/>
        <v/>
      </c>
      <c r="AE128" s="40"/>
      <c r="AF128" s="43" t="str">
        <f t="shared" si="38"/>
        <v/>
      </c>
      <c r="AG128" s="24" t="s">
        <v>177</v>
      </c>
      <c r="AH128" s="24"/>
      <c r="AI128" s="24"/>
      <c r="AJ128" s="24"/>
      <c r="AK128" s="24"/>
      <c r="AL128" s="24"/>
      <c r="AM128" s="24"/>
      <c r="AN128" s="24"/>
      <c r="AO128" s="24"/>
      <c r="AP128" s="24"/>
      <c r="AQ128" s="24"/>
      <c r="AR128" s="24"/>
      <c r="AS128" s="24"/>
      <c r="AT128" s="24"/>
      <c r="AU128" s="24"/>
      <c r="AV128" s="24"/>
      <c r="AW128" s="24"/>
      <c r="AX128" s="24"/>
      <c r="AY128" s="24"/>
      <c r="AZ128" s="24"/>
    </row>
    <row r="129" spans="1:52" ht="20" customHeight="1" x14ac:dyDescent="0.2">
      <c r="A129" s="67"/>
      <c r="B129" s="95"/>
      <c r="C129" s="25" t="s">
        <v>86</v>
      </c>
      <c r="D129" s="24" t="s">
        <v>43</v>
      </c>
      <c r="E129" s="24" t="s">
        <v>44</v>
      </c>
      <c r="F129" s="25">
        <v>1976</v>
      </c>
      <c r="G129" s="25">
        <v>179</v>
      </c>
      <c r="H129" s="29">
        <v>8</v>
      </c>
      <c r="I129" s="91" t="s">
        <v>374</v>
      </c>
      <c r="J129" s="39"/>
      <c r="K129" s="45">
        <v>1</v>
      </c>
      <c r="L129" s="46">
        <f t="shared" si="29"/>
        <v>12.5</v>
      </c>
      <c r="M129" s="40"/>
      <c r="N129" s="43" t="str">
        <f t="shared" si="39"/>
        <v/>
      </c>
      <c r="O129" s="45">
        <v>1</v>
      </c>
      <c r="P129" s="46">
        <f t="shared" si="31"/>
        <v>12.5</v>
      </c>
      <c r="Q129" s="40"/>
      <c r="R129" s="43" t="str">
        <f t="shared" si="32"/>
        <v/>
      </c>
      <c r="S129" s="40"/>
      <c r="T129" s="43" t="str">
        <f t="shared" si="33"/>
        <v/>
      </c>
      <c r="U129" s="86"/>
      <c r="V129" s="43" t="str">
        <f t="shared" si="34"/>
        <v/>
      </c>
      <c r="W129" s="40"/>
      <c r="X129" s="43" t="str">
        <f t="shared" si="35"/>
        <v/>
      </c>
      <c r="Y129" s="40"/>
      <c r="Z129" s="43" t="str">
        <f t="shared" si="33"/>
        <v/>
      </c>
      <c r="AA129" s="45"/>
      <c r="AB129" s="46" t="str">
        <f t="shared" si="36"/>
        <v/>
      </c>
      <c r="AC129" s="45"/>
      <c r="AD129" s="46" t="str">
        <f t="shared" si="37"/>
        <v/>
      </c>
      <c r="AE129" s="40"/>
      <c r="AF129" s="43" t="str">
        <f t="shared" si="38"/>
        <v/>
      </c>
      <c r="AG129" s="24" t="s">
        <v>198</v>
      </c>
      <c r="AH129" s="24"/>
      <c r="AI129" s="24"/>
      <c r="AJ129" s="24"/>
      <c r="AK129" s="24"/>
      <c r="AL129" s="24"/>
      <c r="AM129" s="24"/>
      <c r="AN129" s="24"/>
      <c r="AO129" s="24"/>
      <c r="AP129" s="24"/>
      <c r="AQ129" s="24"/>
      <c r="AR129" s="24"/>
      <c r="AS129" s="24"/>
      <c r="AT129" s="24"/>
      <c r="AU129" s="24"/>
      <c r="AV129" s="24"/>
      <c r="AW129" s="24"/>
      <c r="AX129" s="24"/>
      <c r="AY129" s="24"/>
      <c r="AZ129" s="24"/>
    </row>
    <row r="130" spans="1:52" ht="20" customHeight="1" x14ac:dyDescent="0.2">
      <c r="A130" s="68"/>
      <c r="B130" s="96"/>
      <c r="C130" s="25" t="s">
        <v>86</v>
      </c>
      <c r="D130" s="24" t="s">
        <v>155</v>
      </c>
      <c r="E130" s="24" t="s">
        <v>156</v>
      </c>
      <c r="F130" s="25">
        <v>2007</v>
      </c>
      <c r="H130" s="29">
        <v>44</v>
      </c>
      <c r="I130" s="28"/>
      <c r="J130" s="39"/>
      <c r="K130" s="40"/>
      <c r="L130" s="43" t="str">
        <f t="shared" si="29"/>
        <v/>
      </c>
      <c r="M130" s="40"/>
      <c r="N130" s="43" t="str">
        <f t="shared" si="39"/>
        <v/>
      </c>
      <c r="O130" s="40"/>
      <c r="P130" s="43" t="str">
        <f t="shared" si="31"/>
        <v/>
      </c>
      <c r="Q130" s="40"/>
      <c r="R130" s="43" t="str">
        <f t="shared" si="32"/>
        <v/>
      </c>
      <c r="S130" s="40"/>
      <c r="T130" s="43" t="str">
        <f t="shared" si="33"/>
        <v/>
      </c>
      <c r="U130" s="86"/>
      <c r="V130" s="43" t="str">
        <f t="shared" si="34"/>
        <v/>
      </c>
      <c r="W130" s="40"/>
      <c r="X130" s="43" t="str">
        <f t="shared" si="35"/>
        <v/>
      </c>
      <c r="Y130" s="40"/>
      <c r="Z130" s="43" t="str">
        <f t="shared" si="33"/>
        <v/>
      </c>
      <c r="AA130" s="40"/>
      <c r="AB130" s="43" t="str">
        <f t="shared" si="36"/>
        <v/>
      </c>
      <c r="AC130" s="40"/>
      <c r="AD130" s="43" t="str">
        <f t="shared" si="37"/>
        <v/>
      </c>
      <c r="AE130" s="40"/>
      <c r="AF130" s="43" t="str">
        <f t="shared" si="38"/>
        <v/>
      </c>
      <c r="AG130" s="24" t="s">
        <v>188</v>
      </c>
      <c r="AH130" s="24"/>
      <c r="AI130" s="24"/>
      <c r="AJ130" s="24"/>
      <c r="AK130" s="24"/>
      <c r="AL130" s="24"/>
      <c r="AM130" s="24"/>
      <c r="AN130" s="24"/>
      <c r="AO130" s="24"/>
      <c r="AP130" s="24"/>
      <c r="AQ130" s="24"/>
      <c r="AR130" s="24"/>
      <c r="AS130" s="24"/>
      <c r="AT130" s="24"/>
      <c r="AU130" s="24"/>
      <c r="AV130" s="24"/>
      <c r="AW130" s="24"/>
      <c r="AX130" s="24"/>
      <c r="AY130" s="24"/>
      <c r="AZ130" s="24"/>
    </row>
    <row r="131" spans="1:52" ht="20" customHeight="1" x14ac:dyDescent="0.2">
      <c r="A131" s="67"/>
      <c r="B131" s="96"/>
      <c r="C131" s="25" t="s">
        <v>86</v>
      </c>
      <c r="D131" s="24" t="s">
        <v>293</v>
      </c>
      <c r="E131" s="24" t="s">
        <v>294</v>
      </c>
      <c r="F131" s="25">
        <v>2014</v>
      </c>
      <c r="H131" s="29">
        <v>86</v>
      </c>
      <c r="I131" s="28" t="s">
        <v>238</v>
      </c>
      <c r="J131" s="39" t="s">
        <v>375</v>
      </c>
      <c r="K131" s="40"/>
      <c r="L131" s="43" t="str">
        <f t="shared" si="29"/>
        <v/>
      </c>
      <c r="M131" s="40"/>
      <c r="N131" s="43" t="str">
        <f t="shared" si="39"/>
        <v/>
      </c>
      <c r="O131" s="40"/>
      <c r="P131" s="43" t="str">
        <f t="shared" si="31"/>
        <v/>
      </c>
      <c r="Q131" s="40"/>
      <c r="R131" s="43" t="str">
        <f t="shared" si="32"/>
        <v/>
      </c>
      <c r="S131" s="40"/>
      <c r="T131" s="43" t="str">
        <f t="shared" si="33"/>
        <v/>
      </c>
      <c r="U131" s="86"/>
      <c r="V131" s="43" t="str">
        <f t="shared" si="34"/>
        <v/>
      </c>
      <c r="W131" s="40"/>
      <c r="X131" s="43" t="str">
        <f t="shared" si="35"/>
        <v/>
      </c>
      <c r="Y131" s="40"/>
      <c r="Z131" s="43" t="str">
        <f t="shared" si="33"/>
        <v/>
      </c>
      <c r="AA131" s="40"/>
      <c r="AB131" s="43" t="str">
        <f t="shared" si="36"/>
        <v/>
      </c>
      <c r="AC131" s="40"/>
      <c r="AD131" s="43" t="str">
        <f t="shared" si="37"/>
        <v/>
      </c>
      <c r="AE131" s="40"/>
      <c r="AF131" s="43" t="str">
        <f t="shared" si="38"/>
        <v/>
      </c>
      <c r="AG131" s="24" t="s">
        <v>376</v>
      </c>
      <c r="AH131" s="24"/>
      <c r="AI131" s="24"/>
      <c r="AJ131" s="24"/>
      <c r="AK131" s="24"/>
      <c r="AL131" s="24"/>
      <c r="AM131" s="24"/>
      <c r="AN131" s="24"/>
      <c r="AO131" s="24"/>
      <c r="AP131" s="24"/>
      <c r="AQ131" s="24"/>
      <c r="AR131" s="24"/>
      <c r="AS131" s="24"/>
      <c r="AT131" s="24"/>
      <c r="AU131" s="24"/>
      <c r="AV131" s="24"/>
      <c r="AW131" s="24"/>
      <c r="AX131" s="24"/>
      <c r="AY131" s="24"/>
      <c r="AZ131" s="24"/>
    </row>
    <row r="132" spans="1:52" ht="20" customHeight="1" x14ac:dyDescent="0.2">
      <c r="A132" s="67"/>
      <c r="B132" s="25"/>
      <c r="D132" s="24" t="s">
        <v>295</v>
      </c>
      <c r="E132" s="24" t="s">
        <v>296</v>
      </c>
      <c r="F132" s="25">
        <v>2015</v>
      </c>
      <c r="H132" s="29"/>
      <c r="I132" s="28"/>
      <c r="J132" s="39"/>
      <c r="K132" s="40"/>
      <c r="L132" s="43" t="str">
        <f t="shared" si="29"/>
        <v/>
      </c>
      <c r="M132" s="40"/>
      <c r="N132" s="43" t="str">
        <f t="shared" si="39"/>
        <v/>
      </c>
      <c r="O132" s="40"/>
      <c r="P132" s="43" t="str">
        <f t="shared" si="31"/>
        <v/>
      </c>
      <c r="Q132" s="40"/>
      <c r="R132" s="43" t="str">
        <f t="shared" si="32"/>
        <v/>
      </c>
      <c r="S132" s="40"/>
      <c r="T132" s="43" t="str">
        <f t="shared" si="33"/>
        <v/>
      </c>
      <c r="U132" s="86"/>
      <c r="V132" s="43" t="str">
        <f t="shared" si="34"/>
        <v/>
      </c>
      <c r="W132" s="40"/>
      <c r="X132" s="43" t="str">
        <f t="shared" si="35"/>
        <v/>
      </c>
      <c r="Y132" s="40"/>
      <c r="Z132" s="43" t="str">
        <f t="shared" si="33"/>
        <v/>
      </c>
      <c r="AA132" s="40"/>
      <c r="AB132" s="43" t="str">
        <f t="shared" si="36"/>
        <v/>
      </c>
      <c r="AC132" s="40"/>
      <c r="AD132" s="43" t="str">
        <f t="shared" si="37"/>
        <v/>
      </c>
      <c r="AE132" s="40"/>
      <c r="AF132" s="43" t="str">
        <f t="shared" si="38"/>
        <v/>
      </c>
      <c r="AG132" s="24"/>
      <c r="AH132" s="24"/>
      <c r="AI132" s="24"/>
      <c r="AJ132" s="24"/>
      <c r="AK132" s="24"/>
      <c r="AL132" s="24"/>
      <c r="AM132" s="24"/>
      <c r="AN132" s="24"/>
      <c r="AO132" s="24"/>
      <c r="AP132" s="24"/>
      <c r="AQ132" s="24"/>
      <c r="AR132" s="24"/>
      <c r="AS132" s="24"/>
      <c r="AT132" s="24"/>
      <c r="AU132" s="24"/>
      <c r="AV132" s="24"/>
      <c r="AW132" s="24"/>
      <c r="AX132" s="24"/>
      <c r="AY132" s="24"/>
      <c r="AZ132" s="24"/>
    </row>
    <row r="133" spans="1:52" ht="20" customHeight="1" x14ac:dyDescent="0.2">
      <c r="A133" s="67"/>
      <c r="B133" s="96"/>
      <c r="C133" s="25" t="s">
        <v>86</v>
      </c>
      <c r="D133" s="24" t="s">
        <v>297</v>
      </c>
      <c r="E133" s="24" t="s">
        <v>298</v>
      </c>
      <c r="F133" s="25">
        <v>2012</v>
      </c>
      <c r="H133" s="29">
        <v>160</v>
      </c>
      <c r="I133" s="28" t="s">
        <v>238</v>
      </c>
      <c r="J133" s="39" t="s">
        <v>211</v>
      </c>
      <c r="K133" s="40"/>
      <c r="L133" s="43" t="str">
        <f t="shared" si="29"/>
        <v/>
      </c>
      <c r="M133" s="40"/>
      <c r="N133" s="43" t="str">
        <f t="shared" si="39"/>
        <v/>
      </c>
      <c r="O133" s="40"/>
      <c r="P133" s="43" t="str">
        <f t="shared" si="31"/>
        <v/>
      </c>
      <c r="Q133" s="40"/>
      <c r="R133" s="43" t="str">
        <f t="shared" si="32"/>
        <v/>
      </c>
      <c r="S133" s="40"/>
      <c r="T133" s="43" t="str">
        <f t="shared" si="33"/>
        <v/>
      </c>
      <c r="U133" s="86"/>
      <c r="V133" s="43" t="str">
        <f t="shared" si="34"/>
        <v/>
      </c>
      <c r="W133" s="40"/>
      <c r="X133" s="43" t="str">
        <f t="shared" si="35"/>
        <v/>
      </c>
      <c r="Y133" s="40"/>
      <c r="Z133" s="43" t="str">
        <f t="shared" si="33"/>
        <v/>
      </c>
      <c r="AA133" s="40"/>
      <c r="AB133" s="43" t="str">
        <f t="shared" si="36"/>
        <v/>
      </c>
      <c r="AC133" s="40"/>
      <c r="AD133" s="43" t="str">
        <f t="shared" si="37"/>
        <v/>
      </c>
      <c r="AE133" s="40"/>
      <c r="AF133" s="43" t="str">
        <f t="shared" si="38"/>
        <v/>
      </c>
      <c r="AG133" s="24"/>
      <c r="AH133" s="24"/>
      <c r="AI133" s="24"/>
      <c r="AJ133" s="24"/>
      <c r="AK133" s="24"/>
      <c r="AL133" s="24"/>
      <c r="AM133" s="24"/>
      <c r="AN133" s="24"/>
      <c r="AO133" s="24"/>
      <c r="AP133" s="24"/>
      <c r="AQ133" s="24"/>
      <c r="AR133" s="24"/>
      <c r="AS133" s="24"/>
      <c r="AT133" s="24"/>
      <c r="AU133" s="24"/>
      <c r="AV133" s="24"/>
      <c r="AW133" s="24"/>
      <c r="AX133" s="24"/>
      <c r="AY133" s="24"/>
      <c r="AZ133" s="24"/>
    </row>
    <row r="134" spans="1:52" ht="20" customHeight="1" x14ac:dyDescent="0.2">
      <c r="A134" s="67"/>
      <c r="B134" s="95"/>
      <c r="C134" s="25" t="s">
        <v>86</v>
      </c>
      <c r="D134" s="24" t="s">
        <v>299</v>
      </c>
      <c r="E134" s="24" t="s">
        <v>300</v>
      </c>
      <c r="F134" s="25">
        <v>2013</v>
      </c>
      <c r="H134" s="29">
        <v>12</v>
      </c>
      <c r="I134" s="28" t="s">
        <v>238</v>
      </c>
      <c r="J134" s="39" t="s">
        <v>377</v>
      </c>
      <c r="K134" s="40"/>
      <c r="L134" s="43" t="str">
        <f t="shared" si="29"/>
        <v/>
      </c>
      <c r="M134" s="40"/>
      <c r="N134" s="43" t="str">
        <f t="shared" si="39"/>
        <v/>
      </c>
      <c r="O134" s="40"/>
      <c r="P134" s="43" t="str">
        <f t="shared" si="31"/>
        <v/>
      </c>
      <c r="Q134" s="40"/>
      <c r="R134" s="43" t="str">
        <f t="shared" si="32"/>
        <v/>
      </c>
      <c r="S134" s="40"/>
      <c r="T134" s="43" t="str">
        <f t="shared" si="33"/>
        <v/>
      </c>
      <c r="U134" s="86"/>
      <c r="V134" s="43" t="str">
        <f t="shared" si="34"/>
        <v/>
      </c>
      <c r="W134" s="40"/>
      <c r="X134" s="43" t="str">
        <f t="shared" si="35"/>
        <v/>
      </c>
      <c r="Y134" s="40"/>
      <c r="Z134" s="43" t="str">
        <f t="shared" si="33"/>
        <v/>
      </c>
      <c r="AA134" s="40"/>
      <c r="AB134" s="43" t="str">
        <f t="shared" si="36"/>
        <v/>
      </c>
      <c r="AC134" s="40"/>
      <c r="AD134" s="43" t="str">
        <f t="shared" si="37"/>
        <v/>
      </c>
      <c r="AE134" s="40"/>
      <c r="AF134" s="43" t="str">
        <f t="shared" si="38"/>
        <v/>
      </c>
      <c r="AG134" s="24" t="s">
        <v>378</v>
      </c>
      <c r="AH134" s="24"/>
      <c r="AI134" s="24"/>
      <c r="AJ134" s="24"/>
      <c r="AK134" s="24"/>
      <c r="AL134" s="24"/>
      <c r="AM134" s="24"/>
      <c r="AN134" s="24"/>
      <c r="AO134" s="24"/>
      <c r="AP134" s="24"/>
      <c r="AQ134" s="24"/>
      <c r="AR134" s="24"/>
      <c r="AS134" s="24"/>
      <c r="AT134" s="24"/>
      <c r="AU134" s="24"/>
      <c r="AV134" s="24"/>
      <c r="AW134" s="24"/>
      <c r="AX134" s="24"/>
      <c r="AY134" s="24"/>
      <c r="AZ134" s="24"/>
    </row>
    <row r="135" spans="1:52" ht="20" customHeight="1" x14ac:dyDescent="0.2">
      <c r="A135" s="68"/>
      <c r="B135" s="97"/>
      <c r="C135" s="25" t="s">
        <v>86</v>
      </c>
      <c r="D135" s="24" t="s">
        <v>45</v>
      </c>
      <c r="E135" s="24" t="s">
        <v>46</v>
      </c>
      <c r="F135" s="25">
        <v>1998</v>
      </c>
      <c r="G135" s="25">
        <v>96</v>
      </c>
      <c r="H135" s="29">
        <v>61</v>
      </c>
      <c r="I135" s="28" t="s">
        <v>189</v>
      </c>
      <c r="J135" s="39" t="s">
        <v>208</v>
      </c>
      <c r="K135" s="40"/>
      <c r="L135" s="43" t="str">
        <f t="shared" si="29"/>
        <v/>
      </c>
      <c r="M135" s="40"/>
      <c r="N135" s="43" t="str">
        <f t="shared" si="39"/>
        <v/>
      </c>
      <c r="O135" s="40"/>
      <c r="P135" s="43" t="str">
        <f t="shared" si="31"/>
        <v/>
      </c>
      <c r="Q135" s="40"/>
      <c r="R135" s="43" t="str">
        <f t="shared" si="32"/>
        <v/>
      </c>
      <c r="S135" s="40"/>
      <c r="T135" s="43" t="str">
        <f t="shared" si="33"/>
        <v/>
      </c>
      <c r="U135" s="86"/>
      <c r="V135" s="43" t="str">
        <f t="shared" si="34"/>
        <v/>
      </c>
      <c r="W135" s="40"/>
      <c r="X135" s="43" t="str">
        <f t="shared" si="35"/>
        <v/>
      </c>
      <c r="Y135" s="40"/>
      <c r="Z135" s="43" t="str">
        <f t="shared" si="33"/>
        <v/>
      </c>
      <c r="AA135" s="40"/>
      <c r="AB135" s="43" t="str">
        <f t="shared" si="36"/>
        <v/>
      </c>
      <c r="AC135" s="40"/>
      <c r="AD135" s="43" t="str">
        <f t="shared" si="37"/>
        <v/>
      </c>
      <c r="AE135" s="40"/>
      <c r="AF135" s="43" t="str">
        <f t="shared" si="38"/>
        <v/>
      </c>
      <c r="AG135" s="24" t="s">
        <v>190</v>
      </c>
      <c r="AH135" s="24"/>
      <c r="AI135" s="24"/>
      <c r="AJ135" s="24"/>
      <c r="AK135" s="24"/>
      <c r="AL135" s="24"/>
      <c r="AM135" s="24"/>
      <c r="AN135" s="24"/>
      <c r="AO135" s="24"/>
      <c r="AP135" s="24"/>
      <c r="AQ135" s="24"/>
      <c r="AR135" s="24"/>
      <c r="AS135" s="24"/>
      <c r="AT135" s="24"/>
      <c r="AU135" s="24"/>
      <c r="AV135" s="24"/>
      <c r="AW135" s="24"/>
      <c r="AX135" s="24"/>
      <c r="AY135" s="24"/>
      <c r="AZ135" s="24"/>
    </row>
    <row r="136" spans="1:52" ht="20" customHeight="1" x14ac:dyDescent="0.2">
      <c r="A136" s="67"/>
      <c r="B136" s="95"/>
      <c r="C136" s="25" t="s">
        <v>86</v>
      </c>
      <c r="D136" s="24" t="s">
        <v>301</v>
      </c>
      <c r="E136" s="24" t="s">
        <v>302</v>
      </c>
      <c r="F136" s="25">
        <v>2000</v>
      </c>
      <c r="H136" s="29">
        <v>9</v>
      </c>
      <c r="I136" s="28" t="s">
        <v>246</v>
      </c>
      <c r="J136" s="39" t="s">
        <v>176</v>
      </c>
      <c r="K136" s="40"/>
      <c r="L136" s="43" t="str">
        <f t="shared" si="29"/>
        <v/>
      </c>
      <c r="M136" s="40"/>
      <c r="N136" s="43" t="str">
        <f t="shared" si="39"/>
        <v/>
      </c>
      <c r="O136" s="40"/>
      <c r="P136" s="43" t="str">
        <f t="shared" si="31"/>
        <v/>
      </c>
      <c r="Q136" s="40"/>
      <c r="R136" s="43" t="str">
        <f t="shared" si="32"/>
        <v/>
      </c>
      <c r="S136" s="40"/>
      <c r="T136" s="43" t="str">
        <f t="shared" si="33"/>
        <v/>
      </c>
      <c r="U136" s="86"/>
      <c r="V136" s="43" t="str">
        <f t="shared" si="34"/>
        <v/>
      </c>
      <c r="W136" s="40"/>
      <c r="X136" s="43" t="str">
        <f t="shared" si="35"/>
        <v/>
      </c>
      <c r="Y136" s="40"/>
      <c r="Z136" s="43" t="str">
        <f t="shared" si="33"/>
        <v/>
      </c>
      <c r="AA136" s="40"/>
      <c r="AB136" s="43" t="str">
        <f t="shared" si="36"/>
        <v/>
      </c>
      <c r="AC136" s="40"/>
      <c r="AD136" s="43" t="str">
        <f t="shared" si="37"/>
        <v/>
      </c>
      <c r="AE136" s="40"/>
      <c r="AF136" s="43" t="str">
        <f t="shared" si="38"/>
        <v/>
      </c>
      <c r="AG136" s="24" t="s">
        <v>379</v>
      </c>
      <c r="AH136" s="24"/>
      <c r="AI136" s="24"/>
      <c r="AJ136" s="24"/>
      <c r="AK136" s="24"/>
      <c r="AL136" s="24"/>
      <c r="AM136" s="24"/>
      <c r="AN136" s="24"/>
      <c r="AO136" s="24"/>
      <c r="AP136" s="24"/>
      <c r="AQ136" s="24"/>
      <c r="AR136" s="24"/>
      <c r="AS136" s="24"/>
      <c r="AT136" s="24"/>
      <c r="AU136" s="24"/>
      <c r="AV136" s="24"/>
      <c r="AW136" s="24"/>
      <c r="AX136" s="24"/>
      <c r="AY136" s="24"/>
      <c r="AZ136" s="24"/>
    </row>
    <row r="137" spans="1:52" ht="20" customHeight="1" x14ac:dyDescent="0.2">
      <c r="A137" s="67"/>
      <c r="B137" s="96"/>
      <c r="C137" s="25" t="s">
        <v>86</v>
      </c>
      <c r="D137" s="24" t="s">
        <v>303</v>
      </c>
      <c r="E137" s="24" t="s">
        <v>304</v>
      </c>
      <c r="F137" s="25">
        <v>2003</v>
      </c>
      <c r="H137" s="29">
        <v>10</v>
      </c>
      <c r="I137" s="28" t="s">
        <v>203</v>
      </c>
      <c r="J137" s="39" t="s">
        <v>210</v>
      </c>
      <c r="K137" s="40"/>
      <c r="L137" s="43" t="str">
        <f t="shared" si="29"/>
        <v/>
      </c>
      <c r="M137" s="40"/>
      <c r="N137" s="43" t="str">
        <f t="shared" si="39"/>
        <v/>
      </c>
      <c r="O137" s="40"/>
      <c r="P137" s="43" t="str">
        <f t="shared" si="31"/>
        <v/>
      </c>
      <c r="Q137" s="40"/>
      <c r="R137" s="43" t="str">
        <f t="shared" si="32"/>
        <v/>
      </c>
      <c r="S137" s="40"/>
      <c r="T137" s="43" t="str">
        <f t="shared" si="33"/>
        <v/>
      </c>
      <c r="U137" s="86"/>
      <c r="V137" s="43" t="str">
        <f t="shared" si="34"/>
        <v/>
      </c>
      <c r="W137" s="40"/>
      <c r="X137" s="43" t="str">
        <f t="shared" si="35"/>
        <v/>
      </c>
      <c r="Y137" s="40"/>
      <c r="Z137" s="43" t="str">
        <f t="shared" si="33"/>
        <v/>
      </c>
      <c r="AA137" s="40"/>
      <c r="AB137" s="43" t="str">
        <f t="shared" si="36"/>
        <v/>
      </c>
      <c r="AC137" s="40"/>
      <c r="AD137" s="43" t="str">
        <f t="shared" si="37"/>
        <v/>
      </c>
      <c r="AE137" s="40"/>
      <c r="AF137" s="43" t="str">
        <f t="shared" si="38"/>
        <v/>
      </c>
      <c r="AG137" s="24" t="s">
        <v>220</v>
      </c>
      <c r="AH137" s="24"/>
      <c r="AI137" s="24"/>
      <c r="AJ137" s="24"/>
      <c r="AK137" s="24"/>
      <c r="AL137" s="24"/>
      <c r="AM137" s="24"/>
      <c r="AN137" s="24"/>
      <c r="AO137" s="24"/>
      <c r="AP137" s="24"/>
      <c r="AQ137" s="24"/>
      <c r="AR137" s="24"/>
      <c r="AS137" s="24"/>
      <c r="AT137" s="24"/>
      <c r="AU137" s="24"/>
      <c r="AV137" s="24"/>
      <c r="AW137" s="24"/>
      <c r="AX137" s="24"/>
      <c r="AY137" s="24"/>
      <c r="AZ137" s="24"/>
    </row>
    <row r="138" spans="1:52" ht="20" customHeight="1" x14ac:dyDescent="0.2">
      <c r="A138" s="68"/>
      <c r="B138" s="96"/>
      <c r="C138" s="25" t="s">
        <v>86</v>
      </c>
      <c r="D138" s="24" t="s">
        <v>52</v>
      </c>
      <c r="E138" s="24" t="s">
        <v>53</v>
      </c>
      <c r="F138" s="25">
        <v>2001</v>
      </c>
      <c r="G138" s="25">
        <v>118</v>
      </c>
      <c r="H138" s="29">
        <v>20</v>
      </c>
      <c r="I138" s="28"/>
      <c r="J138" s="39" t="s">
        <v>208</v>
      </c>
      <c r="K138" s="40"/>
      <c r="L138" s="43" t="str">
        <f t="shared" si="29"/>
        <v/>
      </c>
      <c r="M138" s="40"/>
      <c r="N138" s="43" t="str">
        <f t="shared" si="39"/>
        <v/>
      </c>
      <c r="O138" s="40"/>
      <c r="P138" s="43" t="str">
        <f t="shared" si="31"/>
        <v/>
      </c>
      <c r="Q138" s="40"/>
      <c r="R138" s="43" t="str">
        <f t="shared" si="32"/>
        <v/>
      </c>
      <c r="S138" s="40"/>
      <c r="T138" s="43" t="str">
        <f t="shared" si="33"/>
        <v/>
      </c>
      <c r="U138" s="86"/>
      <c r="V138" s="43" t="str">
        <f t="shared" si="34"/>
        <v/>
      </c>
      <c r="W138" s="40"/>
      <c r="X138" s="43" t="str">
        <f t="shared" si="35"/>
        <v/>
      </c>
      <c r="Y138" s="40"/>
      <c r="Z138" s="43" t="str">
        <f t="shared" si="33"/>
        <v/>
      </c>
      <c r="AA138" s="40"/>
      <c r="AB138" s="43" t="str">
        <f t="shared" si="36"/>
        <v/>
      </c>
      <c r="AC138" s="40"/>
      <c r="AD138" s="43" t="str">
        <f t="shared" si="37"/>
        <v/>
      </c>
      <c r="AE138" s="40"/>
      <c r="AF138" s="43" t="str">
        <f t="shared" si="38"/>
        <v/>
      </c>
      <c r="AG138" s="24" t="s">
        <v>195</v>
      </c>
      <c r="AH138" s="24"/>
      <c r="AI138" s="24"/>
      <c r="AJ138" s="24"/>
      <c r="AK138" s="24"/>
      <c r="AL138" s="24"/>
      <c r="AM138" s="24"/>
      <c r="AN138" s="24"/>
      <c r="AO138" s="24"/>
      <c r="AP138" s="24"/>
      <c r="AQ138" s="24"/>
      <c r="AR138" s="24"/>
      <c r="AS138" s="24"/>
      <c r="AT138" s="24"/>
      <c r="AU138" s="24"/>
      <c r="AV138" s="24"/>
      <c r="AW138" s="24"/>
      <c r="AX138" s="24"/>
      <c r="AY138" s="24"/>
      <c r="AZ138" s="24"/>
    </row>
    <row r="139" spans="1:52" ht="20" customHeight="1" x14ac:dyDescent="0.2">
      <c r="A139" s="67"/>
      <c r="B139" s="95"/>
      <c r="C139" s="25" t="s">
        <v>86</v>
      </c>
      <c r="D139" s="24" t="s">
        <v>305</v>
      </c>
      <c r="E139" s="24" t="s">
        <v>306</v>
      </c>
      <c r="F139" s="25">
        <v>1994</v>
      </c>
      <c r="H139" s="29">
        <v>20</v>
      </c>
      <c r="I139" s="28" t="s">
        <v>380</v>
      </c>
      <c r="J139" s="39"/>
      <c r="K139" s="40"/>
      <c r="L139" s="43" t="str">
        <f t="shared" si="29"/>
        <v/>
      </c>
      <c r="M139" s="40"/>
      <c r="N139" s="43" t="str">
        <f t="shared" si="39"/>
        <v/>
      </c>
      <c r="O139" s="40"/>
      <c r="P139" s="43" t="str">
        <f t="shared" si="31"/>
        <v/>
      </c>
      <c r="Q139" s="40"/>
      <c r="R139" s="43" t="str">
        <f t="shared" si="32"/>
        <v/>
      </c>
      <c r="S139" s="40"/>
      <c r="T139" s="43" t="str">
        <f t="shared" si="33"/>
        <v/>
      </c>
      <c r="U139" s="86"/>
      <c r="V139" s="43" t="str">
        <f t="shared" si="34"/>
        <v/>
      </c>
      <c r="W139" s="40"/>
      <c r="X139" s="43" t="str">
        <f t="shared" si="35"/>
        <v/>
      </c>
      <c r="Y139" s="40"/>
      <c r="Z139" s="43" t="str">
        <f t="shared" si="33"/>
        <v/>
      </c>
      <c r="AA139" s="40"/>
      <c r="AB139" s="43" t="str">
        <f t="shared" si="36"/>
        <v/>
      </c>
      <c r="AC139" s="40"/>
      <c r="AD139" s="43" t="str">
        <f t="shared" si="37"/>
        <v/>
      </c>
      <c r="AE139" s="40"/>
      <c r="AF139" s="43" t="str">
        <f t="shared" si="38"/>
        <v/>
      </c>
      <c r="AG139" s="24" t="s">
        <v>381</v>
      </c>
      <c r="AH139" s="24"/>
      <c r="AI139" s="24"/>
      <c r="AJ139" s="24"/>
      <c r="AK139" s="24"/>
      <c r="AL139" s="24"/>
      <c r="AM139" s="24"/>
      <c r="AN139" s="24"/>
      <c r="AO139" s="24"/>
      <c r="AP139" s="24"/>
      <c r="AQ139" s="24"/>
      <c r="AR139" s="24"/>
      <c r="AS139" s="24"/>
      <c r="AT139" s="24"/>
      <c r="AU139" s="24"/>
      <c r="AV139" s="24"/>
      <c r="AW139" s="24"/>
      <c r="AX139" s="24"/>
      <c r="AY139" s="24"/>
      <c r="AZ139" s="24"/>
    </row>
    <row r="140" spans="1:52" ht="20" customHeight="1" x14ac:dyDescent="0.2">
      <c r="A140" s="67"/>
      <c r="B140" s="96"/>
      <c r="C140" s="25" t="s">
        <v>86</v>
      </c>
      <c r="D140" s="24" t="s">
        <v>382</v>
      </c>
      <c r="E140" s="24" t="s">
        <v>383</v>
      </c>
      <c r="F140" s="25">
        <v>2008</v>
      </c>
      <c r="H140" s="29">
        <v>50</v>
      </c>
      <c r="I140" s="28" t="s">
        <v>189</v>
      </c>
      <c r="J140" s="39" t="s">
        <v>384</v>
      </c>
      <c r="K140" s="40"/>
      <c r="L140" s="43" t="str">
        <f t="shared" si="29"/>
        <v/>
      </c>
      <c r="M140" s="40"/>
      <c r="N140" s="43" t="str">
        <f t="shared" si="39"/>
        <v/>
      </c>
      <c r="O140" s="40"/>
      <c r="P140" s="43" t="str">
        <f t="shared" si="31"/>
        <v/>
      </c>
      <c r="Q140" s="40"/>
      <c r="R140" s="43" t="str">
        <f t="shared" si="32"/>
        <v/>
      </c>
      <c r="S140" s="40"/>
      <c r="T140" s="43" t="str">
        <f t="shared" si="33"/>
        <v/>
      </c>
      <c r="U140" s="86"/>
      <c r="V140" s="43" t="str">
        <f t="shared" si="34"/>
        <v/>
      </c>
      <c r="W140" s="40"/>
      <c r="X140" s="43" t="str">
        <f t="shared" si="35"/>
        <v/>
      </c>
      <c r="Y140" s="40"/>
      <c r="Z140" s="43" t="str">
        <f t="shared" si="33"/>
        <v/>
      </c>
      <c r="AA140" s="40"/>
      <c r="AB140" s="43" t="str">
        <f t="shared" si="36"/>
        <v/>
      </c>
      <c r="AC140" s="40"/>
      <c r="AD140" s="43" t="str">
        <f t="shared" si="37"/>
        <v/>
      </c>
      <c r="AE140" s="40"/>
      <c r="AF140" s="43" t="str">
        <f t="shared" si="38"/>
        <v/>
      </c>
      <c r="AG140" s="24" t="s">
        <v>196</v>
      </c>
      <c r="AH140" s="24"/>
      <c r="AI140" s="24"/>
      <c r="AJ140" s="24"/>
      <c r="AK140" s="24"/>
      <c r="AL140" s="24"/>
      <c r="AM140" s="24"/>
      <c r="AN140" s="24"/>
      <c r="AO140" s="24"/>
      <c r="AP140" s="24"/>
      <c r="AQ140" s="24"/>
      <c r="AR140" s="24"/>
      <c r="AS140" s="24"/>
      <c r="AT140" s="24"/>
      <c r="AU140" s="24"/>
      <c r="AV140" s="24"/>
      <c r="AW140" s="24"/>
      <c r="AX140" s="24"/>
      <c r="AY140" s="24"/>
      <c r="AZ140" s="24"/>
    </row>
    <row r="141" spans="1:52" ht="20" customHeight="1" x14ac:dyDescent="0.2">
      <c r="A141" s="67"/>
      <c r="B141" s="95"/>
      <c r="C141" s="25" t="s">
        <v>86</v>
      </c>
      <c r="D141" s="24" t="s">
        <v>54</v>
      </c>
      <c r="E141" s="24" t="s">
        <v>55</v>
      </c>
      <c r="F141" s="25">
        <v>1996</v>
      </c>
      <c r="G141" s="25">
        <v>82</v>
      </c>
      <c r="H141" s="29">
        <v>15</v>
      </c>
      <c r="I141" s="28" t="s">
        <v>189</v>
      </c>
      <c r="J141" s="39" t="s">
        <v>191</v>
      </c>
      <c r="K141" s="40"/>
      <c r="L141" s="43" t="str">
        <f t="shared" si="29"/>
        <v/>
      </c>
      <c r="M141" s="40">
        <v>3</v>
      </c>
      <c r="N141" s="43">
        <f t="shared" si="39"/>
        <v>20</v>
      </c>
      <c r="O141" s="40"/>
      <c r="P141" s="43" t="str">
        <f t="shared" si="31"/>
        <v/>
      </c>
      <c r="Q141" s="40"/>
      <c r="R141" s="43" t="str">
        <f t="shared" si="32"/>
        <v/>
      </c>
      <c r="S141" s="40"/>
      <c r="T141" s="43" t="str">
        <f t="shared" si="33"/>
        <v/>
      </c>
      <c r="U141" s="86"/>
      <c r="V141" s="43" t="str">
        <f t="shared" si="34"/>
        <v/>
      </c>
      <c r="W141" s="40">
        <v>1</v>
      </c>
      <c r="X141" s="43">
        <f t="shared" si="35"/>
        <v>6.666666666666667</v>
      </c>
      <c r="Y141" s="40"/>
      <c r="Z141" s="43" t="str">
        <f t="shared" si="33"/>
        <v/>
      </c>
      <c r="AA141" s="40"/>
      <c r="AB141" s="43" t="str">
        <f t="shared" si="36"/>
        <v/>
      </c>
      <c r="AC141" s="40"/>
      <c r="AD141" s="43" t="str">
        <f t="shared" si="37"/>
        <v/>
      </c>
      <c r="AE141" s="40"/>
      <c r="AF141" s="43" t="str">
        <f t="shared" si="38"/>
        <v/>
      </c>
      <c r="AG141" s="24" t="s">
        <v>385</v>
      </c>
      <c r="AH141" s="24"/>
      <c r="AI141" s="24"/>
      <c r="AJ141" s="24"/>
      <c r="AK141" s="24"/>
      <c r="AL141" s="24"/>
      <c r="AM141" s="24"/>
      <c r="AN141" s="24"/>
      <c r="AO141" s="24"/>
      <c r="AP141" s="24"/>
      <c r="AQ141" s="24"/>
      <c r="AR141" s="24"/>
      <c r="AS141" s="24"/>
      <c r="AT141" s="24"/>
      <c r="AU141" s="24"/>
      <c r="AV141" s="24"/>
      <c r="AW141" s="24"/>
      <c r="AX141" s="24"/>
      <c r="AY141" s="24"/>
      <c r="AZ141" s="24"/>
    </row>
    <row r="142" spans="1:52" ht="20" customHeight="1" x14ac:dyDescent="0.2">
      <c r="A142" s="67"/>
      <c r="B142" s="96"/>
      <c r="C142" s="25" t="s">
        <v>86</v>
      </c>
      <c r="D142" s="24" t="s">
        <v>307</v>
      </c>
      <c r="E142" s="24" t="s">
        <v>308</v>
      </c>
      <c r="F142" s="25">
        <v>2016</v>
      </c>
      <c r="H142" s="29">
        <v>49</v>
      </c>
      <c r="I142" s="28" t="s">
        <v>386</v>
      </c>
      <c r="J142" s="39" t="s">
        <v>213</v>
      </c>
      <c r="K142" s="40"/>
      <c r="L142" s="43" t="str">
        <f t="shared" si="29"/>
        <v/>
      </c>
      <c r="M142" s="40"/>
      <c r="N142" s="43" t="str">
        <f t="shared" si="39"/>
        <v/>
      </c>
      <c r="O142" s="40"/>
      <c r="P142" s="43" t="str">
        <f t="shared" si="31"/>
        <v/>
      </c>
      <c r="Q142" s="40"/>
      <c r="R142" s="43" t="str">
        <f t="shared" si="32"/>
        <v/>
      </c>
      <c r="S142" s="40"/>
      <c r="T142" s="43" t="str">
        <f t="shared" si="33"/>
        <v/>
      </c>
      <c r="U142" s="86"/>
      <c r="V142" s="43" t="str">
        <f t="shared" si="34"/>
        <v/>
      </c>
      <c r="W142" s="40"/>
      <c r="X142" s="43" t="str">
        <f t="shared" si="35"/>
        <v/>
      </c>
      <c r="Y142" s="40"/>
      <c r="Z142" s="43" t="str">
        <f t="shared" si="33"/>
        <v/>
      </c>
      <c r="AA142" s="40"/>
      <c r="AB142" s="43" t="str">
        <f t="shared" si="36"/>
        <v/>
      </c>
      <c r="AC142" s="40"/>
      <c r="AD142" s="43" t="str">
        <f t="shared" si="37"/>
        <v/>
      </c>
      <c r="AE142" s="40"/>
      <c r="AF142" s="43" t="str">
        <f t="shared" si="38"/>
        <v/>
      </c>
      <c r="AG142" s="24" t="s">
        <v>387</v>
      </c>
      <c r="AH142" s="24"/>
      <c r="AI142" s="24"/>
      <c r="AJ142" s="24"/>
      <c r="AK142" s="24"/>
      <c r="AL142" s="24"/>
      <c r="AM142" s="24"/>
      <c r="AN142" s="24"/>
      <c r="AO142" s="24"/>
      <c r="AP142" s="24"/>
      <c r="AQ142" s="24"/>
      <c r="AR142" s="24"/>
      <c r="AS142" s="24"/>
      <c r="AT142" s="24"/>
      <c r="AU142" s="24"/>
      <c r="AV142" s="24"/>
      <c r="AW142" s="24"/>
      <c r="AX142" s="24"/>
      <c r="AY142" s="24"/>
      <c r="AZ142" s="24"/>
    </row>
    <row r="143" spans="1:52" ht="20" customHeight="1" x14ac:dyDescent="0.2">
      <c r="A143" s="68"/>
      <c r="B143" s="96"/>
      <c r="C143" s="25" t="s">
        <v>86</v>
      </c>
      <c r="D143" s="24" t="s">
        <v>87</v>
      </c>
      <c r="E143" s="24" t="s">
        <v>56</v>
      </c>
      <c r="F143" s="25">
        <v>2014</v>
      </c>
      <c r="G143" s="25">
        <v>41</v>
      </c>
      <c r="H143" s="29">
        <v>20</v>
      </c>
      <c r="I143" s="28" t="s">
        <v>192</v>
      </c>
      <c r="J143" s="39"/>
      <c r="K143" s="40"/>
      <c r="L143" s="43" t="str">
        <f t="shared" si="29"/>
        <v/>
      </c>
      <c r="M143" s="40"/>
      <c r="N143" s="43" t="str">
        <f t="shared" si="39"/>
        <v/>
      </c>
      <c r="O143" s="40"/>
      <c r="P143" s="43" t="str">
        <f t="shared" si="31"/>
        <v/>
      </c>
      <c r="Q143" s="40"/>
      <c r="R143" s="43" t="str">
        <f t="shared" si="32"/>
        <v/>
      </c>
      <c r="S143" s="40"/>
      <c r="T143" s="43" t="str">
        <f t="shared" si="33"/>
        <v/>
      </c>
      <c r="U143" s="86"/>
      <c r="V143" s="43" t="str">
        <f t="shared" si="34"/>
        <v/>
      </c>
      <c r="W143" s="40"/>
      <c r="X143" s="43" t="str">
        <f t="shared" si="35"/>
        <v/>
      </c>
      <c r="Y143" s="40"/>
      <c r="Z143" s="43" t="str">
        <f t="shared" si="33"/>
        <v/>
      </c>
      <c r="AA143" s="40"/>
      <c r="AB143" s="43" t="str">
        <f t="shared" si="36"/>
        <v/>
      </c>
      <c r="AC143" s="40"/>
      <c r="AD143" s="43" t="str">
        <f t="shared" si="37"/>
        <v/>
      </c>
      <c r="AE143" s="40"/>
      <c r="AF143" s="43" t="str">
        <f t="shared" si="38"/>
        <v/>
      </c>
      <c r="AG143" s="24" t="s">
        <v>388</v>
      </c>
      <c r="AH143" s="24"/>
      <c r="AI143" s="24"/>
      <c r="AJ143" s="24"/>
      <c r="AK143" s="24"/>
      <c r="AL143" s="24"/>
      <c r="AM143" s="24"/>
      <c r="AN143" s="24"/>
      <c r="AO143" s="24"/>
      <c r="AP143" s="24"/>
      <c r="AQ143" s="24"/>
      <c r="AR143" s="24"/>
      <c r="AS143" s="24"/>
      <c r="AT143" s="24"/>
      <c r="AU143" s="24"/>
      <c r="AV143" s="24"/>
      <c r="AW143" s="24"/>
      <c r="AX143" s="24"/>
      <c r="AY143" s="24"/>
      <c r="AZ143" s="24"/>
    </row>
    <row r="144" spans="1:52" ht="20" customHeight="1" x14ac:dyDescent="0.2">
      <c r="A144" s="68"/>
      <c r="B144" s="25"/>
      <c r="C144" s="25" t="s">
        <v>86</v>
      </c>
      <c r="D144" s="24" t="s">
        <v>57</v>
      </c>
      <c r="E144" s="24" t="s">
        <v>58</v>
      </c>
      <c r="F144" s="25">
        <v>2006</v>
      </c>
      <c r="G144" s="25">
        <v>132</v>
      </c>
      <c r="H144" s="29">
        <v>7</v>
      </c>
      <c r="I144" s="28"/>
      <c r="J144" s="39"/>
      <c r="K144" s="40"/>
      <c r="L144" s="43" t="str">
        <f t="shared" si="29"/>
        <v/>
      </c>
      <c r="M144" s="40"/>
      <c r="N144" s="43" t="str">
        <f t="shared" si="39"/>
        <v/>
      </c>
      <c r="O144" s="40"/>
      <c r="P144" s="43" t="str">
        <f t="shared" si="31"/>
        <v/>
      </c>
      <c r="Q144" s="40"/>
      <c r="R144" s="43" t="str">
        <f t="shared" si="32"/>
        <v/>
      </c>
      <c r="S144" s="40"/>
      <c r="T144" s="43" t="str">
        <f t="shared" si="33"/>
        <v/>
      </c>
      <c r="U144" s="86"/>
      <c r="V144" s="43" t="str">
        <f t="shared" si="34"/>
        <v/>
      </c>
      <c r="W144" s="40"/>
      <c r="X144" s="43" t="str">
        <f t="shared" si="35"/>
        <v/>
      </c>
      <c r="Y144" s="40"/>
      <c r="Z144" s="43" t="str">
        <f t="shared" si="33"/>
        <v/>
      </c>
      <c r="AA144" s="40"/>
      <c r="AB144" s="43" t="str">
        <f t="shared" si="36"/>
        <v/>
      </c>
      <c r="AC144" s="40"/>
      <c r="AD144" s="43" t="str">
        <f t="shared" si="37"/>
        <v/>
      </c>
      <c r="AE144" s="40"/>
      <c r="AF144" s="43" t="str">
        <f t="shared" si="38"/>
        <v/>
      </c>
      <c r="AG144" s="24" t="s">
        <v>389</v>
      </c>
      <c r="AH144" s="24"/>
      <c r="AI144" s="24"/>
      <c r="AJ144" s="24"/>
      <c r="AK144" s="24"/>
      <c r="AL144" s="24"/>
      <c r="AM144" s="24"/>
      <c r="AN144" s="24"/>
      <c r="AO144" s="24"/>
      <c r="AP144" s="24"/>
      <c r="AQ144" s="24"/>
      <c r="AR144" s="24"/>
      <c r="AS144" s="24"/>
      <c r="AT144" s="24"/>
      <c r="AU144" s="24"/>
      <c r="AV144" s="24"/>
      <c r="AW144" s="24"/>
      <c r="AX144" s="24"/>
      <c r="AY144" s="24"/>
      <c r="AZ144" s="24"/>
    </row>
    <row r="145" spans="1:52" ht="20" customHeight="1" x14ac:dyDescent="0.2">
      <c r="A145" s="67"/>
      <c r="B145" s="96"/>
      <c r="C145" s="25" t="s">
        <v>86</v>
      </c>
      <c r="D145" s="24" t="s">
        <v>59</v>
      </c>
      <c r="E145" s="24" t="s">
        <v>60</v>
      </c>
      <c r="F145" s="25">
        <v>2009</v>
      </c>
      <c r="G145" s="25">
        <v>49</v>
      </c>
      <c r="H145" s="29">
        <v>22</v>
      </c>
      <c r="I145" s="28" t="s">
        <v>189</v>
      </c>
      <c r="J145" s="39" t="s">
        <v>209</v>
      </c>
      <c r="K145" s="40"/>
      <c r="L145" s="43" t="str">
        <f t="shared" si="29"/>
        <v/>
      </c>
      <c r="M145" s="40"/>
      <c r="N145" s="43" t="str">
        <f t="shared" si="39"/>
        <v/>
      </c>
      <c r="O145" s="40"/>
      <c r="P145" s="43" t="str">
        <f t="shared" si="31"/>
        <v/>
      </c>
      <c r="Q145" s="40"/>
      <c r="R145" s="43" t="str">
        <f t="shared" si="32"/>
        <v/>
      </c>
      <c r="S145" s="40"/>
      <c r="T145" s="43" t="str">
        <f t="shared" si="33"/>
        <v/>
      </c>
      <c r="U145" s="86"/>
      <c r="V145" s="43" t="str">
        <f t="shared" si="34"/>
        <v/>
      </c>
      <c r="W145" s="40"/>
      <c r="X145" s="43" t="str">
        <f t="shared" si="35"/>
        <v/>
      </c>
      <c r="Y145" s="40"/>
      <c r="Z145" s="43" t="str">
        <f t="shared" si="33"/>
        <v/>
      </c>
      <c r="AA145" s="40"/>
      <c r="AB145" s="43" t="str">
        <f t="shared" si="36"/>
        <v/>
      </c>
      <c r="AC145" s="40"/>
      <c r="AD145" s="43" t="str">
        <f t="shared" si="37"/>
        <v/>
      </c>
      <c r="AE145" s="40"/>
      <c r="AF145" s="43" t="str">
        <f t="shared" si="38"/>
        <v/>
      </c>
      <c r="AG145" s="24" t="s">
        <v>194</v>
      </c>
      <c r="AH145" s="24"/>
      <c r="AI145" s="24"/>
      <c r="AJ145" s="24"/>
      <c r="AK145" s="24"/>
      <c r="AL145" s="24"/>
      <c r="AM145" s="24"/>
      <c r="AN145" s="24"/>
      <c r="AO145" s="24"/>
      <c r="AP145" s="24"/>
      <c r="AQ145" s="24"/>
      <c r="AR145" s="24"/>
      <c r="AS145" s="24"/>
      <c r="AT145" s="24"/>
      <c r="AU145" s="24"/>
      <c r="AV145" s="24"/>
      <c r="AW145" s="24"/>
      <c r="AX145" s="24"/>
      <c r="AY145" s="24"/>
      <c r="AZ145" s="24"/>
    </row>
    <row r="146" spans="1:52" ht="20" customHeight="1" x14ac:dyDescent="0.2">
      <c r="A146" s="68"/>
      <c r="B146" s="96"/>
      <c r="C146" s="25" t="s">
        <v>86</v>
      </c>
      <c r="D146" s="24" t="s">
        <v>61</v>
      </c>
      <c r="E146" s="24" t="s">
        <v>62</v>
      </c>
      <c r="F146" s="25">
        <v>2006</v>
      </c>
      <c r="G146" s="25">
        <v>144</v>
      </c>
      <c r="H146" s="29">
        <v>25</v>
      </c>
      <c r="I146" s="28"/>
      <c r="J146" s="39" t="s">
        <v>210</v>
      </c>
      <c r="K146" s="40"/>
      <c r="L146" s="43" t="str">
        <f t="shared" si="29"/>
        <v/>
      </c>
      <c r="M146" s="40"/>
      <c r="N146" s="43" t="str">
        <f t="shared" si="39"/>
        <v/>
      </c>
      <c r="O146" s="40"/>
      <c r="P146" s="43" t="str">
        <f t="shared" si="31"/>
        <v/>
      </c>
      <c r="Q146" s="40"/>
      <c r="R146" s="43" t="str">
        <f t="shared" si="32"/>
        <v/>
      </c>
      <c r="S146" s="40"/>
      <c r="T146" s="43" t="str">
        <f t="shared" si="33"/>
        <v/>
      </c>
      <c r="U146" s="86"/>
      <c r="V146" s="43" t="str">
        <f t="shared" si="34"/>
        <v/>
      </c>
      <c r="W146" s="40"/>
      <c r="X146" s="43" t="str">
        <f t="shared" si="35"/>
        <v/>
      </c>
      <c r="Y146" s="40"/>
      <c r="Z146" s="43" t="str">
        <f t="shared" si="33"/>
        <v/>
      </c>
      <c r="AA146" s="40"/>
      <c r="AB146" s="43" t="str">
        <f t="shared" si="36"/>
        <v/>
      </c>
      <c r="AC146" s="40"/>
      <c r="AD146" s="43" t="str">
        <f t="shared" si="37"/>
        <v/>
      </c>
      <c r="AE146" s="40"/>
      <c r="AF146" s="43" t="str">
        <f t="shared" si="38"/>
        <v/>
      </c>
      <c r="AG146" s="24" t="s">
        <v>196</v>
      </c>
      <c r="AH146" s="24"/>
      <c r="AI146" s="24"/>
      <c r="AJ146" s="24"/>
      <c r="AK146" s="24"/>
      <c r="AL146" s="24"/>
      <c r="AM146" s="24"/>
      <c r="AN146" s="24"/>
      <c r="AO146" s="24"/>
      <c r="AP146" s="24"/>
      <c r="AQ146" s="24"/>
      <c r="AR146" s="24"/>
      <c r="AS146" s="24"/>
      <c r="AT146" s="24"/>
      <c r="AU146" s="24"/>
      <c r="AV146" s="24"/>
      <c r="AW146" s="24"/>
      <c r="AX146" s="24"/>
      <c r="AY146" s="24"/>
      <c r="AZ146" s="24"/>
    </row>
    <row r="147" spans="1:52" ht="20" customHeight="1" x14ac:dyDescent="0.2">
      <c r="A147" s="68"/>
      <c r="B147" s="25"/>
      <c r="D147" s="24" t="s">
        <v>309</v>
      </c>
      <c r="E147" s="24" t="s">
        <v>310</v>
      </c>
      <c r="F147" s="25">
        <v>2004</v>
      </c>
      <c r="H147" s="29"/>
      <c r="I147" s="28"/>
      <c r="J147" s="39"/>
      <c r="K147" s="40"/>
      <c r="L147" s="43" t="str">
        <f t="shared" si="29"/>
        <v/>
      </c>
      <c r="M147" s="40"/>
      <c r="N147" s="43" t="str">
        <f t="shared" si="39"/>
        <v/>
      </c>
      <c r="O147" s="40"/>
      <c r="P147" s="43" t="str">
        <f t="shared" si="31"/>
        <v/>
      </c>
      <c r="Q147" s="40"/>
      <c r="R147" s="43" t="str">
        <f t="shared" si="32"/>
        <v/>
      </c>
      <c r="S147" s="40"/>
      <c r="T147" s="43" t="str">
        <f t="shared" si="33"/>
        <v/>
      </c>
      <c r="U147" s="86"/>
      <c r="V147" s="43" t="str">
        <f t="shared" si="34"/>
        <v/>
      </c>
      <c r="W147" s="40"/>
      <c r="X147" s="43" t="str">
        <f t="shared" si="35"/>
        <v/>
      </c>
      <c r="Y147" s="40"/>
      <c r="Z147" s="43" t="str">
        <f t="shared" si="33"/>
        <v/>
      </c>
      <c r="AA147" s="40"/>
      <c r="AB147" s="43" t="str">
        <f t="shared" si="36"/>
        <v/>
      </c>
      <c r="AC147" s="40"/>
      <c r="AD147" s="43" t="str">
        <f t="shared" si="37"/>
        <v/>
      </c>
      <c r="AE147" s="40"/>
      <c r="AF147" s="43" t="str">
        <f t="shared" si="38"/>
        <v/>
      </c>
      <c r="AG147" s="24"/>
      <c r="AH147" s="24"/>
      <c r="AI147" s="24"/>
      <c r="AJ147" s="24"/>
      <c r="AK147" s="24"/>
      <c r="AL147" s="24"/>
      <c r="AM147" s="24"/>
      <c r="AN147" s="24"/>
      <c r="AO147" s="24"/>
      <c r="AP147" s="24"/>
      <c r="AQ147" s="24"/>
      <c r="AR147" s="24"/>
      <c r="AS147" s="24"/>
      <c r="AT147" s="24"/>
      <c r="AU147" s="24"/>
      <c r="AV147" s="24"/>
      <c r="AW147" s="24"/>
      <c r="AX147" s="24"/>
      <c r="AY147" s="24"/>
      <c r="AZ147" s="24"/>
    </row>
    <row r="148" spans="1:52" ht="20" customHeight="1" x14ac:dyDescent="0.2">
      <c r="A148" s="67"/>
      <c r="B148" s="95"/>
      <c r="C148" s="25" t="s">
        <v>86</v>
      </c>
      <c r="D148" s="24" t="s">
        <v>311</v>
      </c>
      <c r="E148" s="24" t="s">
        <v>312</v>
      </c>
      <c r="F148" s="25">
        <v>2014</v>
      </c>
      <c r="H148" s="29">
        <v>39</v>
      </c>
      <c r="I148" s="28"/>
      <c r="J148" s="39" t="s">
        <v>384</v>
      </c>
      <c r="K148" s="40"/>
      <c r="L148" s="43" t="str">
        <f t="shared" si="29"/>
        <v/>
      </c>
      <c r="M148" s="40"/>
      <c r="N148" s="43" t="str">
        <f t="shared" si="39"/>
        <v/>
      </c>
      <c r="O148" s="40"/>
      <c r="P148" s="43" t="str">
        <f t="shared" si="31"/>
        <v/>
      </c>
      <c r="Q148" s="40">
        <v>8</v>
      </c>
      <c r="R148" s="43">
        <f t="shared" si="32"/>
        <v>20.512820512820511</v>
      </c>
      <c r="S148" s="40"/>
      <c r="T148" s="43" t="str">
        <f t="shared" si="33"/>
        <v/>
      </c>
      <c r="U148" s="86"/>
      <c r="V148" s="43" t="str">
        <f t="shared" si="34"/>
        <v/>
      </c>
      <c r="W148" s="40"/>
      <c r="X148" s="43" t="str">
        <f t="shared" si="35"/>
        <v/>
      </c>
      <c r="Y148" s="40">
        <v>3</v>
      </c>
      <c r="Z148" s="43">
        <f t="shared" si="33"/>
        <v>7.6923076923076925</v>
      </c>
      <c r="AA148" s="40"/>
      <c r="AB148" s="43" t="str">
        <f t="shared" si="36"/>
        <v/>
      </c>
      <c r="AC148" s="40"/>
      <c r="AD148" s="43" t="str">
        <f t="shared" si="37"/>
        <v/>
      </c>
      <c r="AE148" s="40"/>
      <c r="AF148" s="43" t="str">
        <f t="shared" si="38"/>
        <v/>
      </c>
      <c r="AG148" s="24" t="s">
        <v>390</v>
      </c>
      <c r="AH148" s="24"/>
      <c r="AI148" s="24"/>
      <c r="AJ148" s="24"/>
      <c r="AK148" s="24"/>
      <c r="AL148" s="24"/>
      <c r="AM148" s="24"/>
      <c r="AN148" s="24"/>
      <c r="AO148" s="24"/>
      <c r="AP148" s="24"/>
      <c r="AQ148" s="24"/>
      <c r="AR148" s="24"/>
      <c r="AS148" s="24"/>
      <c r="AT148" s="24"/>
      <c r="AU148" s="24"/>
      <c r="AV148" s="24"/>
      <c r="AW148" s="24"/>
      <c r="AX148" s="24"/>
      <c r="AY148" s="24"/>
      <c r="AZ148" s="24"/>
    </row>
    <row r="149" spans="1:52" ht="20" customHeight="1" x14ac:dyDescent="0.2">
      <c r="A149" s="67"/>
      <c r="B149" s="25"/>
      <c r="C149" s="25" t="s">
        <v>86</v>
      </c>
      <c r="D149" s="24" t="s">
        <v>313</v>
      </c>
      <c r="E149" s="24" t="s">
        <v>314</v>
      </c>
      <c r="F149" s="25">
        <v>2015</v>
      </c>
      <c r="H149" s="29">
        <v>8</v>
      </c>
      <c r="I149" s="28" t="s">
        <v>238</v>
      </c>
      <c r="J149" s="39" t="s">
        <v>391</v>
      </c>
      <c r="K149" s="40"/>
      <c r="L149" s="43" t="str">
        <f t="shared" si="29"/>
        <v/>
      </c>
      <c r="M149" s="40"/>
      <c r="N149" s="43" t="str">
        <f t="shared" si="39"/>
        <v/>
      </c>
      <c r="O149" s="40"/>
      <c r="P149" s="43" t="str">
        <f t="shared" si="31"/>
        <v/>
      </c>
      <c r="Q149" s="40"/>
      <c r="R149" s="43" t="str">
        <f t="shared" si="32"/>
        <v/>
      </c>
      <c r="S149" s="40"/>
      <c r="T149" s="43" t="str">
        <f t="shared" si="33"/>
        <v/>
      </c>
      <c r="U149" s="86"/>
      <c r="V149" s="43" t="str">
        <f t="shared" si="34"/>
        <v/>
      </c>
      <c r="W149" s="40"/>
      <c r="X149" s="43" t="str">
        <f t="shared" si="35"/>
        <v/>
      </c>
      <c r="Y149" s="40"/>
      <c r="Z149" s="43" t="str">
        <f t="shared" si="33"/>
        <v/>
      </c>
      <c r="AA149" s="40"/>
      <c r="AB149" s="43" t="str">
        <f t="shared" si="36"/>
        <v/>
      </c>
      <c r="AC149" s="40"/>
      <c r="AD149" s="43" t="str">
        <f t="shared" si="37"/>
        <v/>
      </c>
      <c r="AE149" s="40"/>
      <c r="AF149" s="43" t="str">
        <f t="shared" si="38"/>
        <v/>
      </c>
      <c r="AG149" s="24" t="s">
        <v>392</v>
      </c>
      <c r="AH149" s="24"/>
      <c r="AI149" s="24"/>
      <c r="AJ149" s="24"/>
      <c r="AK149" s="24"/>
      <c r="AL149" s="24"/>
      <c r="AM149" s="24"/>
      <c r="AN149" s="24"/>
      <c r="AO149" s="24"/>
      <c r="AP149" s="24"/>
      <c r="AQ149" s="24"/>
      <c r="AR149" s="24"/>
      <c r="AS149" s="24"/>
      <c r="AT149" s="24"/>
      <c r="AU149" s="24"/>
      <c r="AV149" s="24"/>
      <c r="AW149" s="24"/>
      <c r="AX149" s="24"/>
      <c r="AY149" s="24"/>
      <c r="AZ149" s="24"/>
    </row>
    <row r="150" spans="1:52" ht="20" customHeight="1" x14ac:dyDescent="0.2">
      <c r="A150" s="68"/>
      <c r="B150" s="95"/>
      <c r="C150" s="25" t="s">
        <v>86</v>
      </c>
      <c r="D150" s="24" t="s">
        <v>315</v>
      </c>
      <c r="E150" s="24" t="s">
        <v>316</v>
      </c>
      <c r="F150" s="25">
        <v>2001</v>
      </c>
      <c r="H150" s="29">
        <v>9</v>
      </c>
      <c r="I150" s="28"/>
      <c r="J150" s="39" t="s">
        <v>393</v>
      </c>
      <c r="K150" s="40"/>
      <c r="L150" s="43" t="str">
        <f t="shared" si="29"/>
        <v/>
      </c>
      <c r="M150" s="40"/>
      <c r="N150" s="43" t="str">
        <f t="shared" si="39"/>
        <v/>
      </c>
      <c r="O150" s="40"/>
      <c r="P150" s="43" t="str">
        <f t="shared" si="31"/>
        <v/>
      </c>
      <c r="Q150" s="40"/>
      <c r="R150" s="43" t="str">
        <f t="shared" si="32"/>
        <v/>
      </c>
      <c r="S150" s="40"/>
      <c r="T150" s="43" t="str">
        <f t="shared" si="33"/>
        <v/>
      </c>
      <c r="U150" s="86"/>
      <c r="V150" s="43" t="str">
        <f t="shared" si="34"/>
        <v/>
      </c>
      <c r="W150" s="40"/>
      <c r="X150" s="43" t="str">
        <f t="shared" si="35"/>
        <v/>
      </c>
      <c r="Y150" s="40"/>
      <c r="Z150" s="43" t="str">
        <f t="shared" si="33"/>
        <v/>
      </c>
      <c r="AA150" s="40"/>
      <c r="AB150" s="43" t="str">
        <f t="shared" si="36"/>
        <v/>
      </c>
      <c r="AC150" s="40"/>
      <c r="AD150" s="43" t="str">
        <f t="shared" si="37"/>
        <v/>
      </c>
      <c r="AE150" s="40"/>
      <c r="AF150" s="43" t="str">
        <f t="shared" si="38"/>
        <v/>
      </c>
      <c r="AG150" s="24" t="s">
        <v>394</v>
      </c>
      <c r="AH150" s="24"/>
      <c r="AI150" s="24"/>
      <c r="AJ150" s="24"/>
      <c r="AK150" s="24"/>
      <c r="AL150" s="24"/>
      <c r="AM150" s="24"/>
      <c r="AN150" s="24"/>
      <c r="AO150" s="24"/>
      <c r="AP150" s="24"/>
      <c r="AQ150" s="24"/>
      <c r="AR150" s="24"/>
      <c r="AS150" s="24"/>
      <c r="AT150" s="24"/>
      <c r="AU150" s="24"/>
      <c r="AV150" s="24"/>
      <c r="AW150" s="24"/>
      <c r="AX150" s="24"/>
      <c r="AY150" s="24"/>
      <c r="AZ150" s="24"/>
    </row>
    <row r="151" spans="1:52" ht="20" customHeight="1" x14ac:dyDescent="0.2">
      <c r="A151" s="67"/>
      <c r="B151" s="95"/>
      <c r="C151" s="25" t="s">
        <v>86</v>
      </c>
      <c r="D151" s="24" t="s">
        <v>63</v>
      </c>
      <c r="E151" s="24" t="s">
        <v>64</v>
      </c>
      <c r="F151" s="25">
        <v>2012</v>
      </c>
      <c r="G151" s="25">
        <v>83</v>
      </c>
      <c r="H151" s="29">
        <v>146</v>
      </c>
      <c r="I151" s="28" t="s">
        <v>197</v>
      </c>
      <c r="J151" s="39" t="s">
        <v>211</v>
      </c>
      <c r="K151" s="40"/>
      <c r="L151" s="43" t="str">
        <f t="shared" si="29"/>
        <v/>
      </c>
      <c r="M151" s="40"/>
      <c r="N151" s="43" t="str">
        <f t="shared" si="39"/>
        <v/>
      </c>
      <c r="O151" s="40"/>
      <c r="P151" s="43" t="str">
        <f t="shared" si="31"/>
        <v/>
      </c>
      <c r="Q151" s="40"/>
      <c r="R151" s="43" t="str">
        <f t="shared" si="32"/>
        <v/>
      </c>
      <c r="S151" s="40"/>
      <c r="T151" s="43" t="str">
        <f t="shared" si="33"/>
        <v/>
      </c>
      <c r="U151" s="86">
        <v>1</v>
      </c>
      <c r="V151" s="43">
        <f t="shared" si="34"/>
        <v>0.68493150684931503</v>
      </c>
      <c r="W151" s="40"/>
      <c r="X151" s="43" t="str">
        <f t="shared" si="35"/>
        <v/>
      </c>
      <c r="Y151" s="40"/>
      <c r="Z151" s="43" t="str">
        <f t="shared" si="33"/>
        <v/>
      </c>
      <c r="AA151" s="40"/>
      <c r="AB151" s="43" t="str">
        <f t="shared" si="36"/>
        <v/>
      </c>
      <c r="AC151" s="40"/>
      <c r="AD151" s="43" t="str">
        <f t="shared" si="37"/>
        <v/>
      </c>
      <c r="AE151" s="40"/>
      <c r="AF151" s="43" t="str">
        <f t="shared" si="38"/>
        <v/>
      </c>
      <c r="AG151" s="24" t="s">
        <v>199</v>
      </c>
      <c r="AH151" s="24"/>
      <c r="AI151" s="24"/>
      <c r="AJ151" s="24"/>
      <c r="AK151" s="24"/>
      <c r="AL151" s="24"/>
      <c r="AM151" s="24"/>
      <c r="AN151" s="24"/>
      <c r="AO151" s="24"/>
      <c r="AP151" s="24"/>
      <c r="AQ151" s="24"/>
      <c r="AR151" s="24"/>
      <c r="AS151" s="24"/>
      <c r="AT151" s="24"/>
      <c r="AU151" s="24"/>
      <c r="AV151" s="24"/>
      <c r="AW151" s="24"/>
      <c r="AX151" s="24"/>
      <c r="AY151" s="24"/>
      <c r="AZ151" s="24"/>
    </row>
    <row r="152" spans="1:52" ht="20" customHeight="1" x14ac:dyDescent="0.2">
      <c r="A152" s="67"/>
      <c r="B152" s="97"/>
      <c r="C152" s="25" t="s">
        <v>86</v>
      </c>
      <c r="D152" s="24" t="s">
        <v>69</v>
      </c>
      <c r="E152" s="24" t="s">
        <v>70</v>
      </c>
      <c r="F152" s="25">
        <v>2004</v>
      </c>
      <c r="G152" s="25">
        <v>61</v>
      </c>
      <c r="H152" s="29">
        <v>16</v>
      </c>
      <c r="I152" s="28" t="s">
        <v>201</v>
      </c>
      <c r="J152" s="39" t="s">
        <v>212</v>
      </c>
      <c r="K152" s="40"/>
      <c r="L152" s="43" t="str">
        <f t="shared" si="29"/>
        <v/>
      </c>
      <c r="M152" s="40"/>
      <c r="N152" s="43" t="str">
        <f t="shared" si="39"/>
        <v/>
      </c>
      <c r="O152" s="40"/>
      <c r="P152" s="43" t="str">
        <f t="shared" si="31"/>
        <v/>
      </c>
      <c r="Q152" s="40"/>
      <c r="R152" s="43" t="str">
        <f t="shared" si="32"/>
        <v/>
      </c>
      <c r="S152" s="40"/>
      <c r="T152" s="43" t="str">
        <f t="shared" si="33"/>
        <v/>
      </c>
      <c r="U152" s="86"/>
      <c r="V152" s="43" t="str">
        <f t="shared" si="34"/>
        <v/>
      </c>
      <c r="W152" s="40"/>
      <c r="X152" s="43" t="str">
        <f t="shared" si="35"/>
        <v/>
      </c>
      <c r="Y152" s="40"/>
      <c r="Z152" s="43" t="str">
        <f t="shared" si="33"/>
        <v/>
      </c>
      <c r="AA152" s="40"/>
      <c r="AB152" s="43" t="str">
        <f t="shared" si="36"/>
        <v/>
      </c>
      <c r="AC152" s="40"/>
      <c r="AD152" s="43" t="str">
        <f t="shared" si="37"/>
        <v/>
      </c>
      <c r="AE152" s="40"/>
      <c r="AF152" s="43" t="str">
        <f t="shared" si="38"/>
        <v/>
      </c>
      <c r="AG152" s="24" t="s">
        <v>202</v>
      </c>
      <c r="AH152" s="24"/>
      <c r="AI152" s="24"/>
      <c r="AJ152" s="24"/>
      <c r="AK152" s="24"/>
      <c r="AL152" s="24"/>
      <c r="AM152" s="24"/>
      <c r="AN152" s="24"/>
      <c r="AO152" s="24"/>
      <c r="AP152" s="24"/>
      <c r="AQ152" s="24"/>
      <c r="AR152" s="24"/>
      <c r="AS152" s="24"/>
      <c r="AT152" s="24"/>
      <c r="AU152" s="24"/>
      <c r="AV152" s="24"/>
      <c r="AW152" s="24"/>
      <c r="AX152" s="24"/>
      <c r="AY152" s="24"/>
      <c r="AZ152" s="24"/>
    </row>
    <row r="153" spans="1:52" ht="20" customHeight="1" x14ac:dyDescent="0.2">
      <c r="A153" s="67"/>
      <c r="B153" s="96"/>
      <c r="C153" s="25" t="s">
        <v>86</v>
      </c>
      <c r="D153" s="24" t="s">
        <v>71</v>
      </c>
      <c r="E153" s="24" t="s">
        <v>70</v>
      </c>
      <c r="F153" s="25">
        <v>2004</v>
      </c>
      <c r="G153" s="25">
        <v>45</v>
      </c>
      <c r="H153" s="29">
        <v>16</v>
      </c>
      <c r="I153" s="28" t="s">
        <v>201</v>
      </c>
      <c r="J153" s="39" t="s">
        <v>212</v>
      </c>
      <c r="K153" s="40"/>
      <c r="L153" s="43" t="str">
        <f t="shared" si="29"/>
        <v/>
      </c>
      <c r="M153" s="40"/>
      <c r="N153" s="43" t="str">
        <f t="shared" si="39"/>
        <v/>
      </c>
      <c r="O153" s="40"/>
      <c r="P153" s="43" t="str">
        <f t="shared" si="31"/>
        <v/>
      </c>
      <c r="Q153" s="40"/>
      <c r="R153" s="43" t="str">
        <f t="shared" si="32"/>
        <v/>
      </c>
      <c r="S153" s="40"/>
      <c r="T153" s="43" t="str">
        <f t="shared" si="33"/>
        <v/>
      </c>
      <c r="U153" s="86"/>
      <c r="V153" s="43" t="str">
        <f t="shared" si="34"/>
        <v/>
      </c>
      <c r="W153" s="40"/>
      <c r="X153" s="43" t="str">
        <f t="shared" si="35"/>
        <v/>
      </c>
      <c r="Y153" s="40"/>
      <c r="Z153" s="43" t="str">
        <f t="shared" si="33"/>
        <v/>
      </c>
      <c r="AA153" s="40"/>
      <c r="AB153" s="43" t="str">
        <f t="shared" si="36"/>
        <v/>
      </c>
      <c r="AC153" s="40"/>
      <c r="AD153" s="43" t="str">
        <f t="shared" si="37"/>
        <v/>
      </c>
      <c r="AE153" s="40"/>
      <c r="AF153" s="43" t="str">
        <f t="shared" si="38"/>
        <v/>
      </c>
      <c r="AG153" s="24" t="s">
        <v>196</v>
      </c>
      <c r="AH153" s="24"/>
      <c r="AI153" s="24"/>
      <c r="AJ153" s="24"/>
      <c r="AK153" s="24"/>
      <c r="AL153" s="24"/>
      <c r="AM153" s="24"/>
      <c r="AN153" s="24"/>
      <c r="AO153" s="24"/>
      <c r="AP153" s="24"/>
      <c r="AQ153" s="24"/>
      <c r="AR153" s="24"/>
      <c r="AS153" s="24"/>
      <c r="AT153" s="24"/>
      <c r="AU153" s="24"/>
      <c r="AV153" s="24"/>
      <c r="AW153" s="24"/>
      <c r="AX153" s="24"/>
      <c r="AY153" s="24"/>
      <c r="AZ153" s="24"/>
    </row>
    <row r="154" spans="1:52" ht="20" customHeight="1" x14ac:dyDescent="0.2">
      <c r="A154" s="67"/>
      <c r="B154" s="95"/>
      <c r="D154" s="24" t="s">
        <v>317</v>
      </c>
      <c r="E154" s="24" t="s">
        <v>320</v>
      </c>
      <c r="F154" s="25">
        <v>2008</v>
      </c>
      <c r="H154" s="29"/>
      <c r="I154" s="28"/>
      <c r="J154" s="39" t="s">
        <v>395</v>
      </c>
      <c r="K154" s="40"/>
      <c r="L154" s="43" t="str">
        <f t="shared" ref="L154:L185" si="40">IF((ISERROR((K154/$H154)*100)), "", IF(AND(NOT(ISERROR((K154/$H154)*100)),((K154/$H154)*100) &lt;&gt; 0), (K154/$H154)*100, ""))</f>
        <v/>
      </c>
      <c r="M154" s="40"/>
      <c r="N154" s="43" t="str">
        <f t="shared" si="39"/>
        <v/>
      </c>
      <c r="O154" s="40"/>
      <c r="P154" s="43" t="str">
        <f t="shared" ref="P154:P185" si="41">IF((ISERROR((O154/$H154)*100)), "", IF(AND(NOT(ISERROR((O154/$H154)*100)),((O154/$H154)*100) &lt;&gt; 0), (O154/$H154)*100, ""))</f>
        <v/>
      </c>
      <c r="Q154" s="40"/>
      <c r="R154" s="43" t="str">
        <f t="shared" ref="R154:R185" si="42">IF((ISERROR((Q154/$H154)*100)), "", IF(AND(NOT(ISERROR((Q154/$H154)*100)),((Q154/$H154)*100) &lt;&gt; 0), (Q154/$H154)*100, ""))</f>
        <v/>
      </c>
      <c r="S154" s="40"/>
      <c r="T154" s="43" t="str">
        <f t="shared" si="33"/>
        <v/>
      </c>
      <c r="U154" s="86"/>
      <c r="V154" s="43" t="str">
        <f t="shared" ref="V154:V185" si="43">IF((ISERROR((U154/$H154)*100)), "", IF(AND(NOT(ISERROR((U154/$H154)*100)),((U154/$H154)*100) &lt;&gt; 0), (U154/$H154)*100, ""))</f>
        <v/>
      </c>
      <c r="W154" s="40"/>
      <c r="X154" s="43" t="str">
        <f t="shared" ref="X154:X185" si="44">IF((ISERROR((W154/$H154)*100)), "", IF(AND(NOT(ISERROR((W154/$H154)*100)),((W154/$H154)*100) &lt;&gt; 0), (W154/$H154)*100, ""))</f>
        <v/>
      </c>
      <c r="Y154" s="40"/>
      <c r="Z154" s="43" t="str">
        <f t="shared" si="33"/>
        <v/>
      </c>
      <c r="AA154" s="40"/>
      <c r="AB154" s="43" t="str">
        <f t="shared" si="36"/>
        <v/>
      </c>
      <c r="AC154" s="40"/>
      <c r="AD154" s="43" t="str">
        <f t="shared" ref="AD154:AD185" si="45">IF((ISERROR((AC154/$H154)*100)), "", IF(AND(NOT(ISERROR((AC154/$H154)*100)),((AC154/$H154)*100) &lt;&gt; 0), (AC154/$H154)*100, ""))</f>
        <v/>
      </c>
      <c r="AE154" s="40"/>
      <c r="AF154" s="43" t="str">
        <f t="shared" ref="AF154:AF185" si="46">IF((ISERROR((AE154/$H154)*100)), "", IF(AND(NOT(ISERROR((AE154/$H154)*100)),((AE154/$H154)*100) &lt;&gt; 0), (AE154/$H154)*100, ""))</f>
        <v/>
      </c>
      <c r="AG154" s="24"/>
      <c r="AH154" s="24"/>
      <c r="AI154" s="24"/>
      <c r="AJ154" s="24"/>
      <c r="AK154" s="24"/>
      <c r="AL154" s="24"/>
      <c r="AM154" s="24"/>
      <c r="AN154" s="24"/>
      <c r="AO154" s="24"/>
      <c r="AP154" s="24"/>
      <c r="AQ154" s="24"/>
      <c r="AR154" s="24"/>
      <c r="AS154" s="24"/>
      <c r="AT154" s="24"/>
      <c r="AU154" s="24"/>
      <c r="AV154" s="24"/>
      <c r="AW154" s="24"/>
      <c r="AX154" s="24"/>
      <c r="AY154" s="24"/>
      <c r="AZ154" s="24"/>
    </row>
    <row r="155" spans="1:52" ht="20" customHeight="1" x14ac:dyDescent="0.2">
      <c r="A155" s="67"/>
      <c r="B155" s="96"/>
      <c r="C155" s="25" t="s">
        <v>86</v>
      </c>
      <c r="D155" s="24" t="s">
        <v>318</v>
      </c>
      <c r="E155" s="24" t="s">
        <v>319</v>
      </c>
      <c r="F155" s="25">
        <v>2013</v>
      </c>
      <c r="H155" s="29">
        <v>54</v>
      </c>
      <c r="I155" s="28"/>
      <c r="J155" s="39"/>
      <c r="K155" s="40"/>
      <c r="L155" s="43" t="str">
        <f t="shared" si="40"/>
        <v/>
      </c>
      <c r="M155" s="40"/>
      <c r="N155" s="43" t="str">
        <f t="shared" si="39"/>
        <v/>
      </c>
      <c r="O155" s="40"/>
      <c r="P155" s="43" t="str">
        <f t="shared" si="41"/>
        <v/>
      </c>
      <c r="Q155" s="40"/>
      <c r="R155" s="43" t="str">
        <f t="shared" si="42"/>
        <v/>
      </c>
      <c r="S155" s="40"/>
      <c r="T155" s="43" t="str">
        <f t="shared" si="33"/>
        <v/>
      </c>
      <c r="U155" s="86"/>
      <c r="V155" s="43" t="str">
        <f t="shared" si="43"/>
        <v/>
      </c>
      <c r="W155" s="40"/>
      <c r="X155" s="43" t="str">
        <f t="shared" si="44"/>
        <v/>
      </c>
      <c r="Y155" s="40"/>
      <c r="Z155" s="43" t="str">
        <f t="shared" si="33"/>
        <v/>
      </c>
      <c r="AA155" s="40"/>
      <c r="AB155" s="43" t="str">
        <f t="shared" si="36"/>
        <v/>
      </c>
      <c r="AC155" s="40"/>
      <c r="AD155" s="43" t="str">
        <f t="shared" si="45"/>
        <v/>
      </c>
      <c r="AE155" s="40"/>
      <c r="AF155" s="43" t="str">
        <f t="shared" si="46"/>
        <v/>
      </c>
      <c r="AG155" s="24" t="s">
        <v>396</v>
      </c>
      <c r="AH155" s="24"/>
      <c r="AI155" s="24"/>
      <c r="AJ155" s="24"/>
      <c r="AK155" s="24"/>
      <c r="AL155" s="24"/>
      <c r="AM155" s="24"/>
      <c r="AN155" s="24"/>
      <c r="AO155" s="24"/>
      <c r="AP155" s="24"/>
      <c r="AQ155" s="24"/>
      <c r="AR155" s="24"/>
      <c r="AS155" s="24"/>
      <c r="AT155" s="24"/>
      <c r="AU155" s="24"/>
      <c r="AV155" s="24"/>
      <c r="AW155" s="24"/>
      <c r="AX155" s="24"/>
      <c r="AY155" s="24"/>
      <c r="AZ155" s="24"/>
    </row>
    <row r="156" spans="1:52" ht="20" customHeight="1" x14ac:dyDescent="0.2">
      <c r="A156" s="68"/>
      <c r="B156" s="25"/>
      <c r="C156" s="25" t="s">
        <v>86</v>
      </c>
      <c r="D156" s="24" t="s">
        <v>397</v>
      </c>
      <c r="E156" s="24" t="s">
        <v>73</v>
      </c>
      <c r="F156" s="25">
        <v>2014</v>
      </c>
      <c r="G156" s="25">
        <v>23</v>
      </c>
      <c r="H156" s="29">
        <v>28</v>
      </c>
      <c r="I156" s="28" t="s">
        <v>203</v>
      </c>
      <c r="J156" s="39" t="s">
        <v>213</v>
      </c>
      <c r="K156" s="40"/>
      <c r="L156" s="43" t="str">
        <f t="shared" si="40"/>
        <v/>
      </c>
      <c r="M156" s="40"/>
      <c r="N156" s="43" t="str">
        <f t="shared" si="39"/>
        <v/>
      </c>
      <c r="O156" s="40"/>
      <c r="P156" s="43" t="str">
        <f t="shared" si="41"/>
        <v/>
      </c>
      <c r="Q156" s="40"/>
      <c r="R156" s="43" t="str">
        <f t="shared" si="42"/>
        <v/>
      </c>
      <c r="S156" s="40"/>
      <c r="T156" s="43" t="str">
        <f t="shared" si="33"/>
        <v/>
      </c>
      <c r="U156" s="86"/>
      <c r="V156" s="43" t="str">
        <f t="shared" si="43"/>
        <v/>
      </c>
      <c r="W156" s="40"/>
      <c r="X156" s="43" t="str">
        <f t="shared" si="44"/>
        <v/>
      </c>
      <c r="Y156" s="40"/>
      <c r="Z156" s="43" t="str">
        <f t="shared" si="33"/>
        <v/>
      </c>
      <c r="AA156" s="40"/>
      <c r="AB156" s="43" t="str">
        <f t="shared" si="36"/>
        <v/>
      </c>
      <c r="AC156" s="40"/>
      <c r="AD156" s="43" t="str">
        <f t="shared" si="45"/>
        <v/>
      </c>
      <c r="AE156" s="40"/>
      <c r="AF156" s="43" t="str">
        <f t="shared" si="46"/>
        <v/>
      </c>
      <c r="AG156" s="24" t="s">
        <v>204</v>
      </c>
      <c r="AH156" s="24"/>
      <c r="AI156" s="24"/>
      <c r="AJ156" s="24"/>
      <c r="AK156" s="24"/>
      <c r="AL156" s="24"/>
      <c r="AM156" s="24"/>
      <c r="AN156" s="24"/>
      <c r="AO156" s="24"/>
      <c r="AP156" s="24"/>
      <c r="AQ156" s="24"/>
      <c r="AR156" s="24"/>
      <c r="AS156" s="24"/>
      <c r="AT156" s="24"/>
      <c r="AU156" s="24"/>
      <c r="AV156" s="24"/>
      <c r="AW156" s="24"/>
      <c r="AX156" s="24"/>
      <c r="AY156" s="24"/>
      <c r="AZ156" s="24"/>
    </row>
    <row r="157" spans="1:52" ht="20" customHeight="1" x14ac:dyDescent="0.2">
      <c r="A157" s="67"/>
      <c r="B157" s="95"/>
      <c r="C157" s="25" t="s">
        <v>86</v>
      </c>
      <c r="D157" s="24" t="s">
        <v>321</v>
      </c>
      <c r="E157" s="24" t="s">
        <v>322</v>
      </c>
      <c r="F157" s="25">
        <v>2014</v>
      </c>
      <c r="H157" s="29">
        <v>28</v>
      </c>
      <c r="I157" s="28" t="s">
        <v>203</v>
      </c>
      <c r="J157" s="39" t="s">
        <v>213</v>
      </c>
      <c r="K157" s="40"/>
      <c r="L157" s="43" t="str">
        <f t="shared" si="40"/>
        <v/>
      </c>
      <c r="M157" s="40">
        <v>3</v>
      </c>
      <c r="N157" s="43">
        <f t="shared" si="39"/>
        <v>10.714285714285714</v>
      </c>
      <c r="O157" s="40"/>
      <c r="P157" s="43" t="str">
        <f t="shared" si="41"/>
        <v/>
      </c>
      <c r="Q157" s="40">
        <v>4</v>
      </c>
      <c r="R157" s="43">
        <f t="shared" si="42"/>
        <v>14.285714285714285</v>
      </c>
      <c r="S157" s="40"/>
      <c r="T157" s="43" t="str">
        <f t="shared" si="33"/>
        <v/>
      </c>
      <c r="U157" s="86">
        <v>5</v>
      </c>
      <c r="V157" s="43">
        <f t="shared" si="43"/>
        <v>17.857142857142858</v>
      </c>
      <c r="W157" s="40"/>
      <c r="X157" s="43" t="str">
        <f t="shared" si="44"/>
        <v/>
      </c>
      <c r="Y157" s="40"/>
      <c r="Z157" s="43" t="str">
        <f t="shared" si="33"/>
        <v/>
      </c>
      <c r="AA157" s="40"/>
      <c r="AB157" s="43" t="str">
        <f t="shared" si="36"/>
        <v/>
      </c>
      <c r="AC157" s="40"/>
      <c r="AD157" s="43" t="str">
        <f t="shared" si="45"/>
        <v/>
      </c>
      <c r="AE157" s="40"/>
      <c r="AF157" s="43" t="str">
        <f t="shared" si="46"/>
        <v/>
      </c>
      <c r="AG157" s="24" t="s">
        <v>398</v>
      </c>
      <c r="AH157" s="24"/>
      <c r="AI157" s="24"/>
      <c r="AJ157" s="24"/>
      <c r="AK157" s="24"/>
      <c r="AL157" s="24"/>
      <c r="AM157" s="24"/>
      <c r="AN157" s="24"/>
      <c r="AO157" s="24"/>
      <c r="AP157" s="24"/>
      <c r="AQ157" s="24"/>
      <c r="AR157" s="24"/>
      <c r="AS157" s="24"/>
      <c r="AT157" s="24"/>
      <c r="AU157" s="24"/>
      <c r="AV157" s="24"/>
      <c r="AW157" s="24"/>
      <c r="AX157" s="24"/>
      <c r="AY157" s="24"/>
      <c r="AZ157" s="24"/>
    </row>
    <row r="158" spans="1:52" ht="20" customHeight="1" x14ac:dyDescent="0.2">
      <c r="A158" s="68"/>
      <c r="B158" s="25"/>
      <c r="C158" s="25" t="s">
        <v>86</v>
      </c>
      <c r="D158" s="24" t="s">
        <v>78</v>
      </c>
      <c r="E158" s="24" t="s">
        <v>79</v>
      </c>
      <c r="F158" s="25">
        <v>2009</v>
      </c>
      <c r="G158" s="25">
        <v>134</v>
      </c>
      <c r="H158" s="29">
        <v>94</v>
      </c>
      <c r="I158" s="28"/>
      <c r="J158" s="39"/>
      <c r="K158" s="40"/>
      <c r="L158" s="43" t="str">
        <f t="shared" si="40"/>
        <v/>
      </c>
      <c r="M158" s="40"/>
      <c r="N158" s="43" t="str">
        <f t="shared" si="39"/>
        <v/>
      </c>
      <c r="O158" s="40"/>
      <c r="P158" s="43" t="str">
        <f t="shared" si="41"/>
        <v/>
      </c>
      <c r="Q158" s="40"/>
      <c r="R158" s="43" t="str">
        <f t="shared" si="42"/>
        <v/>
      </c>
      <c r="S158" s="40"/>
      <c r="T158" s="43" t="str">
        <f t="shared" si="33"/>
        <v/>
      </c>
      <c r="U158" s="86"/>
      <c r="V158" s="43" t="str">
        <f t="shared" si="43"/>
        <v/>
      </c>
      <c r="W158" s="40"/>
      <c r="X158" s="43" t="str">
        <f t="shared" si="44"/>
        <v/>
      </c>
      <c r="Y158" s="40"/>
      <c r="Z158" s="43" t="str">
        <f t="shared" si="33"/>
        <v/>
      </c>
      <c r="AA158" s="40"/>
      <c r="AB158" s="43" t="str">
        <f t="shared" si="36"/>
        <v/>
      </c>
      <c r="AC158" s="40"/>
      <c r="AD158" s="43" t="str">
        <f t="shared" si="45"/>
        <v/>
      </c>
      <c r="AE158" s="40"/>
      <c r="AF158" s="43" t="str">
        <f t="shared" si="46"/>
        <v/>
      </c>
      <c r="AG158" s="24" t="s">
        <v>207</v>
      </c>
      <c r="AH158" s="24"/>
      <c r="AI158" s="24"/>
      <c r="AJ158" s="24"/>
      <c r="AK158" s="24"/>
      <c r="AL158" s="24"/>
      <c r="AM158" s="24"/>
      <c r="AN158" s="24"/>
      <c r="AO158" s="24"/>
      <c r="AP158" s="24"/>
      <c r="AQ158" s="24"/>
      <c r="AR158" s="24"/>
      <c r="AS158" s="24"/>
      <c r="AT158" s="24"/>
      <c r="AU158" s="24"/>
      <c r="AV158" s="24"/>
      <c r="AW158" s="24"/>
      <c r="AX158" s="24"/>
      <c r="AY158" s="24"/>
      <c r="AZ158" s="24"/>
    </row>
    <row r="159" spans="1:52" ht="20" customHeight="1" x14ac:dyDescent="0.2">
      <c r="A159" s="67"/>
      <c r="B159" s="96"/>
      <c r="C159" s="25" t="s">
        <v>86</v>
      </c>
      <c r="D159" s="24" t="s">
        <v>323</v>
      </c>
      <c r="E159" s="24" t="s">
        <v>324</v>
      </c>
      <c r="F159" s="25">
        <v>2011</v>
      </c>
      <c r="H159" s="29">
        <v>4</v>
      </c>
      <c r="I159" s="28"/>
      <c r="J159" s="39"/>
      <c r="K159" s="40"/>
      <c r="L159" s="43" t="str">
        <f t="shared" si="40"/>
        <v/>
      </c>
      <c r="M159" s="40"/>
      <c r="N159" s="43" t="str">
        <f t="shared" si="39"/>
        <v/>
      </c>
      <c r="O159" s="40"/>
      <c r="P159" s="43" t="str">
        <f t="shared" si="41"/>
        <v/>
      </c>
      <c r="Q159" s="40"/>
      <c r="R159" s="43" t="str">
        <f t="shared" si="42"/>
        <v/>
      </c>
      <c r="S159" s="40"/>
      <c r="T159" s="43" t="str">
        <f t="shared" si="33"/>
        <v/>
      </c>
      <c r="U159" s="86"/>
      <c r="V159" s="43" t="str">
        <f t="shared" si="43"/>
        <v/>
      </c>
      <c r="W159" s="40"/>
      <c r="X159" s="43" t="str">
        <f t="shared" si="44"/>
        <v/>
      </c>
      <c r="Y159" s="40"/>
      <c r="Z159" s="43" t="str">
        <f t="shared" si="33"/>
        <v/>
      </c>
      <c r="AA159" s="40"/>
      <c r="AB159" s="43" t="str">
        <f t="shared" si="36"/>
        <v/>
      </c>
      <c r="AC159" s="40"/>
      <c r="AD159" s="43" t="str">
        <f t="shared" si="45"/>
        <v/>
      </c>
      <c r="AE159" s="40"/>
      <c r="AF159" s="43" t="str">
        <f t="shared" si="46"/>
        <v/>
      </c>
      <c r="AG159" s="24"/>
      <c r="AH159" s="24"/>
      <c r="AI159" s="24"/>
      <c r="AJ159" s="24"/>
      <c r="AK159" s="24"/>
      <c r="AL159" s="24"/>
      <c r="AM159" s="24"/>
      <c r="AN159" s="24"/>
      <c r="AO159" s="24"/>
      <c r="AP159" s="24"/>
      <c r="AQ159" s="24"/>
      <c r="AR159" s="24"/>
      <c r="AS159" s="24"/>
      <c r="AT159" s="24"/>
      <c r="AU159" s="24"/>
      <c r="AV159" s="24"/>
      <c r="AW159" s="24"/>
      <c r="AX159" s="24"/>
      <c r="AY159" s="24"/>
      <c r="AZ159" s="24"/>
    </row>
    <row r="160" spans="1:52" ht="20" customHeight="1" x14ac:dyDescent="0.2">
      <c r="A160" s="67"/>
      <c r="B160" s="96"/>
      <c r="C160" s="25" t="s">
        <v>86</v>
      </c>
      <c r="D160" s="24" t="s">
        <v>325</v>
      </c>
      <c r="E160" s="24" t="s">
        <v>326</v>
      </c>
      <c r="F160" s="25">
        <v>2015</v>
      </c>
      <c r="H160" s="29">
        <v>10</v>
      </c>
      <c r="I160" s="28" t="s">
        <v>386</v>
      </c>
      <c r="J160" s="39" t="s">
        <v>399</v>
      </c>
      <c r="K160" s="40"/>
      <c r="L160" s="43" t="str">
        <f t="shared" si="40"/>
        <v/>
      </c>
      <c r="M160" s="40"/>
      <c r="N160" s="43" t="str">
        <f t="shared" si="39"/>
        <v/>
      </c>
      <c r="O160" s="40"/>
      <c r="P160" s="43" t="str">
        <f t="shared" si="41"/>
        <v/>
      </c>
      <c r="Q160" s="40"/>
      <c r="R160" s="43" t="str">
        <f t="shared" si="42"/>
        <v/>
      </c>
      <c r="S160" s="40"/>
      <c r="T160" s="43" t="str">
        <f t="shared" si="33"/>
        <v/>
      </c>
      <c r="U160" s="86"/>
      <c r="V160" s="43" t="str">
        <f t="shared" si="43"/>
        <v/>
      </c>
      <c r="W160" s="40"/>
      <c r="X160" s="43" t="str">
        <f t="shared" si="44"/>
        <v/>
      </c>
      <c r="Y160" s="40"/>
      <c r="Z160" s="43" t="str">
        <f t="shared" si="33"/>
        <v/>
      </c>
      <c r="AA160" s="40"/>
      <c r="AB160" s="43" t="str">
        <f t="shared" si="36"/>
        <v/>
      </c>
      <c r="AC160" s="40"/>
      <c r="AD160" s="43" t="str">
        <f t="shared" si="45"/>
        <v/>
      </c>
      <c r="AE160" s="40"/>
      <c r="AF160" s="43" t="str">
        <f t="shared" si="46"/>
        <v/>
      </c>
      <c r="AG160" s="24"/>
      <c r="AH160" s="24"/>
      <c r="AI160" s="24"/>
      <c r="AJ160" s="24"/>
      <c r="AK160" s="24"/>
      <c r="AL160" s="24"/>
      <c r="AM160" s="24"/>
      <c r="AN160" s="24"/>
      <c r="AO160" s="24"/>
      <c r="AP160" s="24"/>
      <c r="AQ160" s="24"/>
      <c r="AR160" s="24"/>
      <c r="AS160" s="24"/>
      <c r="AT160" s="24"/>
      <c r="AU160" s="24"/>
      <c r="AV160" s="24"/>
      <c r="AW160" s="24"/>
      <c r="AX160" s="24"/>
      <c r="AY160" s="24"/>
      <c r="AZ160" s="24"/>
    </row>
    <row r="161" spans="1:52" ht="20" customHeight="1" x14ac:dyDescent="0.2">
      <c r="A161" s="67"/>
      <c r="B161" s="95"/>
      <c r="C161" s="25" t="s">
        <v>86</v>
      </c>
      <c r="D161" s="24" t="s">
        <v>80</v>
      </c>
      <c r="E161" s="24" t="s">
        <v>81</v>
      </c>
      <c r="F161" s="25">
        <v>2015</v>
      </c>
      <c r="G161" s="25">
        <v>10</v>
      </c>
      <c r="H161" s="29">
        <v>11</v>
      </c>
      <c r="I161" s="28" t="s">
        <v>215</v>
      </c>
      <c r="J161" s="39" t="s">
        <v>176</v>
      </c>
      <c r="K161" s="40"/>
      <c r="L161" s="43" t="str">
        <f t="shared" si="40"/>
        <v/>
      </c>
      <c r="M161" s="45">
        <v>1</v>
      </c>
      <c r="N161" s="46">
        <f t="shared" si="39"/>
        <v>9.0909090909090917</v>
      </c>
      <c r="O161" s="40"/>
      <c r="P161" s="43" t="str">
        <f t="shared" si="41"/>
        <v/>
      </c>
      <c r="Q161" s="40"/>
      <c r="R161" s="43" t="str">
        <f t="shared" si="42"/>
        <v/>
      </c>
      <c r="S161" s="40"/>
      <c r="T161" s="43" t="str">
        <f t="shared" si="33"/>
        <v/>
      </c>
      <c r="U161" s="86"/>
      <c r="V161" s="43" t="str">
        <f t="shared" si="43"/>
        <v/>
      </c>
      <c r="W161" s="40"/>
      <c r="X161" s="43" t="str">
        <f t="shared" si="44"/>
        <v/>
      </c>
      <c r="Y161" s="40"/>
      <c r="Z161" s="43" t="str">
        <f t="shared" si="33"/>
        <v/>
      </c>
      <c r="AA161" s="40"/>
      <c r="AB161" s="43" t="str">
        <f t="shared" si="36"/>
        <v/>
      </c>
      <c r="AC161" s="40"/>
      <c r="AD161" s="43" t="str">
        <f t="shared" si="45"/>
        <v/>
      </c>
      <c r="AE161" s="40"/>
      <c r="AF161" s="43" t="str">
        <f t="shared" si="46"/>
        <v/>
      </c>
      <c r="AG161" s="24" t="s">
        <v>214</v>
      </c>
      <c r="AH161" s="24"/>
      <c r="AI161" s="24"/>
      <c r="AJ161" s="24"/>
      <c r="AK161" s="24"/>
      <c r="AL161" s="24"/>
      <c r="AM161" s="24"/>
      <c r="AN161" s="24"/>
      <c r="AO161" s="24"/>
      <c r="AP161" s="24"/>
      <c r="AQ161" s="24"/>
      <c r="AR161" s="24"/>
      <c r="AS161" s="24"/>
      <c r="AT161" s="24"/>
      <c r="AU161" s="24"/>
      <c r="AV161" s="24"/>
      <c r="AW161" s="24"/>
      <c r="AX161" s="24"/>
      <c r="AY161" s="24"/>
      <c r="AZ161" s="24"/>
    </row>
    <row r="162" spans="1:52" ht="20" customHeight="1" x14ac:dyDescent="0.2">
      <c r="A162" s="68"/>
      <c r="B162" s="96"/>
      <c r="C162" s="25" t="s">
        <v>86</v>
      </c>
      <c r="D162" s="24" t="s">
        <v>82</v>
      </c>
      <c r="E162" s="24" t="s">
        <v>83</v>
      </c>
      <c r="F162" s="25">
        <v>1994</v>
      </c>
      <c r="G162" s="25">
        <v>292</v>
      </c>
      <c r="H162" s="29">
        <v>15</v>
      </c>
      <c r="I162" s="28" t="s">
        <v>216</v>
      </c>
      <c r="J162" s="39"/>
      <c r="K162" s="40"/>
      <c r="L162" s="43" t="str">
        <f t="shared" si="40"/>
        <v/>
      </c>
      <c r="M162" s="40"/>
      <c r="N162" s="43" t="str">
        <f t="shared" si="39"/>
        <v/>
      </c>
      <c r="O162" s="40"/>
      <c r="P162" s="43" t="str">
        <f t="shared" si="41"/>
        <v/>
      </c>
      <c r="Q162" s="40"/>
      <c r="R162" s="43" t="str">
        <f t="shared" si="42"/>
        <v/>
      </c>
      <c r="S162" s="40"/>
      <c r="T162" s="43" t="str">
        <f t="shared" si="33"/>
        <v/>
      </c>
      <c r="U162" s="86"/>
      <c r="V162" s="43" t="str">
        <f t="shared" si="43"/>
        <v/>
      </c>
      <c r="W162" s="40"/>
      <c r="X162" s="43" t="str">
        <f t="shared" si="44"/>
        <v/>
      </c>
      <c r="Y162" s="40"/>
      <c r="Z162" s="43" t="str">
        <f t="shared" si="33"/>
        <v/>
      </c>
      <c r="AA162" s="40"/>
      <c r="AB162" s="43" t="str">
        <f t="shared" si="36"/>
        <v/>
      </c>
      <c r="AC162" s="40"/>
      <c r="AD162" s="43" t="str">
        <f t="shared" si="45"/>
        <v/>
      </c>
      <c r="AE162" s="40"/>
      <c r="AF162" s="43" t="str">
        <f t="shared" si="46"/>
        <v/>
      </c>
      <c r="AG162" s="24" t="s">
        <v>217</v>
      </c>
      <c r="AH162" s="24"/>
      <c r="AI162" s="24"/>
      <c r="AJ162" s="24"/>
      <c r="AK162" s="24"/>
      <c r="AL162" s="24"/>
      <c r="AM162" s="24"/>
      <c r="AN162" s="24"/>
      <c r="AO162" s="24"/>
      <c r="AP162" s="24"/>
      <c r="AQ162" s="24"/>
      <c r="AR162" s="24"/>
      <c r="AS162" s="24"/>
      <c r="AT162" s="24"/>
      <c r="AU162" s="24"/>
      <c r="AV162" s="24"/>
      <c r="AW162" s="24"/>
      <c r="AX162" s="24"/>
      <c r="AY162" s="24"/>
      <c r="AZ162" s="24"/>
    </row>
    <row r="163" spans="1:52" ht="20" customHeight="1" x14ac:dyDescent="0.2">
      <c r="A163" s="68"/>
      <c r="B163" s="25"/>
      <c r="C163" s="25" t="s">
        <v>86</v>
      </c>
      <c r="D163" s="24" t="s">
        <v>84</v>
      </c>
      <c r="E163" s="24" t="s">
        <v>85</v>
      </c>
      <c r="F163" s="25">
        <v>2000</v>
      </c>
      <c r="G163" s="25">
        <v>146</v>
      </c>
      <c r="H163" s="29">
        <v>42</v>
      </c>
      <c r="I163" s="28" t="s">
        <v>400</v>
      </c>
      <c r="J163" s="39"/>
      <c r="K163" s="40"/>
      <c r="L163" s="43" t="str">
        <f t="shared" si="40"/>
        <v/>
      </c>
      <c r="M163" s="40"/>
      <c r="N163" s="43" t="str">
        <f t="shared" si="39"/>
        <v/>
      </c>
      <c r="O163" s="40"/>
      <c r="P163" s="43" t="str">
        <f t="shared" si="41"/>
        <v/>
      </c>
      <c r="Q163" s="40"/>
      <c r="R163" s="43" t="str">
        <f t="shared" si="42"/>
        <v/>
      </c>
      <c r="S163" s="40"/>
      <c r="T163" s="43" t="str">
        <f t="shared" si="33"/>
        <v/>
      </c>
      <c r="U163" s="86"/>
      <c r="V163" s="43" t="str">
        <f t="shared" si="43"/>
        <v/>
      </c>
      <c r="W163" s="40"/>
      <c r="X163" s="43" t="str">
        <f t="shared" si="44"/>
        <v/>
      </c>
      <c r="Y163" s="40"/>
      <c r="Z163" s="43" t="str">
        <f t="shared" si="33"/>
        <v/>
      </c>
      <c r="AA163" s="40"/>
      <c r="AB163" s="43" t="str">
        <f t="shared" si="36"/>
        <v/>
      </c>
      <c r="AC163" s="40"/>
      <c r="AD163" s="43" t="str">
        <f t="shared" si="45"/>
        <v/>
      </c>
      <c r="AE163" s="40"/>
      <c r="AF163" s="43" t="str">
        <f t="shared" si="46"/>
        <v/>
      </c>
      <c r="AG163" s="24"/>
      <c r="AH163" s="24"/>
      <c r="AI163" s="24"/>
      <c r="AJ163" s="24"/>
      <c r="AK163" s="24"/>
      <c r="AL163" s="24"/>
      <c r="AM163" s="24"/>
      <c r="AN163" s="24"/>
      <c r="AO163" s="24"/>
      <c r="AP163" s="24"/>
      <c r="AQ163" s="24"/>
      <c r="AR163" s="24"/>
      <c r="AS163" s="24"/>
      <c r="AT163" s="24"/>
      <c r="AU163" s="24"/>
      <c r="AV163" s="24"/>
      <c r="AW163" s="24"/>
      <c r="AX163" s="24"/>
      <c r="AY163" s="24"/>
      <c r="AZ163" s="24"/>
    </row>
    <row r="164" spans="1:52" ht="20" customHeight="1" x14ac:dyDescent="0.2">
      <c r="A164" s="68"/>
      <c r="B164" s="96"/>
      <c r="C164" s="57" t="s">
        <v>35</v>
      </c>
      <c r="D164" s="56" t="s">
        <v>88</v>
      </c>
      <c r="E164" s="56" t="s">
        <v>89</v>
      </c>
      <c r="F164" s="57">
        <v>1996</v>
      </c>
      <c r="G164" s="57">
        <v>187</v>
      </c>
      <c r="H164" s="29">
        <v>100</v>
      </c>
      <c r="I164" s="28" t="s">
        <v>218</v>
      </c>
      <c r="J164" s="39"/>
      <c r="K164" s="40"/>
      <c r="L164" s="43" t="str">
        <f t="shared" si="40"/>
        <v/>
      </c>
      <c r="M164" s="40"/>
      <c r="N164" s="43" t="str">
        <f t="shared" si="39"/>
        <v/>
      </c>
      <c r="O164" s="40"/>
      <c r="P164" s="43" t="str">
        <f t="shared" si="41"/>
        <v/>
      </c>
      <c r="Q164" s="40"/>
      <c r="R164" s="43" t="str">
        <f t="shared" si="42"/>
        <v/>
      </c>
      <c r="S164" s="40"/>
      <c r="T164" s="43" t="str">
        <f t="shared" si="33"/>
        <v/>
      </c>
      <c r="U164" s="86"/>
      <c r="V164" s="43" t="str">
        <f t="shared" si="43"/>
        <v/>
      </c>
      <c r="W164" s="40"/>
      <c r="X164" s="43" t="str">
        <f t="shared" si="44"/>
        <v/>
      </c>
      <c r="Y164" s="40"/>
      <c r="Z164" s="43" t="str">
        <f t="shared" si="33"/>
        <v/>
      </c>
      <c r="AA164" s="40"/>
      <c r="AB164" s="43" t="str">
        <f t="shared" si="36"/>
        <v/>
      </c>
      <c r="AC164" s="40"/>
      <c r="AD164" s="43" t="str">
        <f t="shared" si="45"/>
        <v/>
      </c>
      <c r="AE164" s="40"/>
      <c r="AF164" s="43" t="str">
        <f t="shared" si="46"/>
        <v/>
      </c>
      <c r="AG164" s="24" t="s">
        <v>219</v>
      </c>
      <c r="AH164" s="24"/>
      <c r="AI164" s="24"/>
      <c r="AJ164" s="24"/>
      <c r="AK164" s="24"/>
      <c r="AL164" s="24"/>
      <c r="AM164" s="24"/>
      <c r="AN164" s="24"/>
      <c r="AO164" s="24"/>
      <c r="AP164" s="24"/>
      <c r="AQ164" s="24"/>
      <c r="AR164" s="24"/>
      <c r="AS164" s="24"/>
      <c r="AT164" s="24"/>
      <c r="AU164" s="24"/>
      <c r="AV164" s="24"/>
      <c r="AW164" s="24"/>
      <c r="AX164" s="24"/>
      <c r="AY164" s="24"/>
      <c r="AZ164" s="24"/>
    </row>
    <row r="165" spans="1:52" ht="20" customHeight="1" x14ac:dyDescent="0.2">
      <c r="A165" s="68"/>
      <c r="B165" s="96"/>
      <c r="C165" s="25" t="s">
        <v>86</v>
      </c>
      <c r="D165" s="24" t="s">
        <v>90</v>
      </c>
      <c r="E165" s="24" t="s">
        <v>91</v>
      </c>
      <c r="F165" s="25">
        <v>2000</v>
      </c>
      <c r="G165" s="25">
        <v>79</v>
      </c>
      <c r="H165" s="29">
        <v>10</v>
      </c>
      <c r="I165" s="28" t="s">
        <v>174</v>
      </c>
      <c r="J165" s="39"/>
      <c r="K165" s="40"/>
      <c r="L165" s="43" t="str">
        <f t="shared" si="40"/>
        <v/>
      </c>
      <c r="M165" s="40"/>
      <c r="N165" s="43" t="str">
        <f t="shared" si="39"/>
        <v/>
      </c>
      <c r="O165" s="40"/>
      <c r="P165" s="43" t="str">
        <f t="shared" si="41"/>
        <v/>
      </c>
      <c r="Q165" s="40"/>
      <c r="R165" s="43" t="str">
        <f t="shared" si="42"/>
        <v/>
      </c>
      <c r="S165" s="40"/>
      <c r="T165" s="43" t="str">
        <f t="shared" si="33"/>
        <v/>
      </c>
      <c r="U165" s="86"/>
      <c r="V165" s="43" t="str">
        <f t="shared" si="43"/>
        <v/>
      </c>
      <c r="W165" s="40"/>
      <c r="X165" s="43" t="str">
        <f t="shared" si="44"/>
        <v/>
      </c>
      <c r="Y165" s="40"/>
      <c r="Z165" s="43" t="str">
        <f t="shared" si="33"/>
        <v/>
      </c>
      <c r="AA165" s="40"/>
      <c r="AB165" s="43" t="str">
        <f t="shared" si="36"/>
        <v/>
      </c>
      <c r="AC165" s="40"/>
      <c r="AD165" s="43" t="str">
        <f t="shared" si="45"/>
        <v/>
      </c>
      <c r="AE165" s="40"/>
      <c r="AF165" s="43" t="str">
        <f t="shared" si="46"/>
        <v/>
      </c>
      <c r="AG165" s="24" t="s">
        <v>220</v>
      </c>
      <c r="AH165" s="24"/>
      <c r="AI165" s="24"/>
      <c r="AJ165" s="24"/>
      <c r="AK165" s="24"/>
      <c r="AL165" s="24"/>
      <c r="AM165" s="24"/>
      <c r="AN165" s="24"/>
      <c r="AO165" s="24"/>
      <c r="AP165" s="24"/>
      <c r="AQ165" s="24"/>
      <c r="AR165" s="24"/>
      <c r="AS165" s="24"/>
      <c r="AT165" s="24"/>
      <c r="AU165" s="24"/>
      <c r="AV165" s="24"/>
      <c r="AW165" s="24"/>
      <c r="AX165" s="24"/>
      <c r="AY165" s="24"/>
      <c r="AZ165" s="24"/>
    </row>
    <row r="166" spans="1:52" ht="20" customHeight="1" x14ac:dyDescent="0.2">
      <c r="A166" s="67"/>
      <c r="B166" s="95"/>
      <c r="D166" s="24" t="s">
        <v>327</v>
      </c>
      <c r="E166" s="24" t="s">
        <v>328</v>
      </c>
      <c r="F166" s="25">
        <v>2005</v>
      </c>
      <c r="H166" s="29">
        <v>13</v>
      </c>
      <c r="I166" s="28" t="s">
        <v>401</v>
      </c>
      <c r="J166" s="39"/>
      <c r="K166" s="40"/>
      <c r="L166" s="43" t="str">
        <f t="shared" si="40"/>
        <v/>
      </c>
      <c r="M166" s="40"/>
      <c r="N166" s="43" t="str">
        <f t="shared" si="39"/>
        <v/>
      </c>
      <c r="O166" s="40"/>
      <c r="P166" s="43" t="str">
        <f t="shared" si="41"/>
        <v/>
      </c>
      <c r="Q166" s="40"/>
      <c r="R166" s="43" t="str">
        <f t="shared" si="42"/>
        <v/>
      </c>
      <c r="S166" s="40"/>
      <c r="T166" s="43" t="str">
        <f t="shared" si="33"/>
        <v/>
      </c>
      <c r="U166" s="86"/>
      <c r="V166" s="43" t="str">
        <f t="shared" si="43"/>
        <v/>
      </c>
      <c r="W166" s="40"/>
      <c r="X166" s="43" t="str">
        <f t="shared" si="44"/>
        <v/>
      </c>
      <c r="Y166" s="40"/>
      <c r="Z166" s="43" t="str">
        <f t="shared" si="33"/>
        <v/>
      </c>
      <c r="AA166" s="40"/>
      <c r="AB166" s="43" t="str">
        <f t="shared" si="36"/>
        <v/>
      </c>
      <c r="AC166" s="40"/>
      <c r="AD166" s="43" t="str">
        <f t="shared" si="45"/>
        <v/>
      </c>
      <c r="AE166" s="40"/>
      <c r="AF166" s="43" t="str">
        <f t="shared" si="46"/>
        <v/>
      </c>
      <c r="AG166" s="24" t="s">
        <v>402</v>
      </c>
      <c r="AH166" s="24"/>
      <c r="AI166" s="24"/>
      <c r="AJ166" s="24"/>
      <c r="AK166" s="24"/>
      <c r="AL166" s="24"/>
      <c r="AM166" s="24"/>
      <c r="AN166" s="24"/>
      <c r="AO166" s="24"/>
      <c r="AP166" s="24"/>
      <c r="AQ166" s="24"/>
      <c r="AR166" s="24"/>
      <c r="AS166" s="24"/>
      <c r="AT166" s="24"/>
      <c r="AU166" s="24"/>
      <c r="AV166" s="24"/>
      <c r="AW166" s="24"/>
      <c r="AX166" s="24"/>
      <c r="AY166" s="24"/>
      <c r="AZ166" s="24"/>
    </row>
    <row r="167" spans="1:52" ht="20" customHeight="1" x14ac:dyDescent="0.2">
      <c r="A167" s="68"/>
      <c r="B167" s="96"/>
      <c r="C167" s="25" t="s">
        <v>86</v>
      </c>
      <c r="D167" s="24" t="s">
        <v>92</v>
      </c>
      <c r="E167" s="24" t="s">
        <v>93</v>
      </c>
      <c r="F167" s="25">
        <v>2001</v>
      </c>
      <c r="G167" s="25">
        <v>170</v>
      </c>
      <c r="H167" s="29">
        <v>22</v>
      </c>
      <c r="I167" s="28" t="s">
        <v>189</v>
      </c>
      <c r="J167" s="39" t="s">
        <v>176</v>
      </c>
      <c r="K167" s="40"/>
      <c r="L167" s="43" t="str">
        <f t="shared" si="40"/>
        <v/>
      </c>
      <c r="M167" s="40"/>
      <c r="N167" s="43" t="str">
        <f t="shared" si="39"/>
        <v/>
      </c>
      <c r="O167" s="40"/>
      <c r="P167" s="43" t="str">
        <f t="shared" si="41"/>
        <v/>
      </c>
      <c r="Q167" s="40"/>
      <c r="R167" s="43" t="str">
        <f t="shared" si="42"/>
        <v/>
      </c>
      <c r="S167" s="40"/>
      <c r="T167" s="43" t="str">
        <f t="shared" si="33"/>
        <v/>
      </c>
      <c r="U167" s="86"/>
      <c r="V167" s="43" t="str">
        <f t="shared" si="43"/>
        <v/>
      </c>
      <c r="W167" s="40"/>
      <c r="X167" s="43" t="str">
        <f t="shared" si="44"/>
        <v/>
      </c>
      <c r="Y167" s="40"/>
      <c r="Z167" s="43" t="str">
        <f t="shared" si="33"/>
        <v/>
      </c>
      <c r="AA167" s="40"/>
      <c r="AB167" s="43" t="str">
        <f t="shared" si="36"/>
        <v/>
      </c>
      <c r="AC167" s="40"/>
      <c r="AD167" s="43" t="str">
        <f t="shared" si="45"/>
        <v/>
      </c>
      <c r="AE167" s="40"/>
      <c r="AF167" s="43" t="str">
        <f t="shared" si="46"/>
        <v/>
      </c>
      <c r="AG167" s="24" t="s">
        <v>196</v>
      </c>
      <c r="AH167" s="24"/>
      <c r="AI167" s="24"/>
      <c r="AJ167" s="24"/>
      <c r="AK167" s="24"/>
      <c r="AL167" s="24"/>
      <c r="AM167" s="24"/>
      <c r="AN167" s="24"/>
      <c r="AO167" s="24"/>
      <c r="AP167" s="24"/>
      <c r="AQ167" s="24"/>
      <c r="AR167" s="24"/>
      <c r="AS167" s="24"/>
      <c r="AT167" s="24"/>
      <c r="AU167" s="24"/>
      <c r="AV167" s="24"/>
      <c r="AW167" s="24"/>
      <c r="AX167" s="24"/>
      <c r="AY167" s="24"/>
      <c r="AZ167" s="24"/>
    </row>
    <row r="168" spans="1:52" ht="20" customHeight="1" x14ac:dyDescent="0.2">
      <c r="A168" s="67"/>
      <c r="B168" s="96"/>
      <c r="C168" s="25" t="s">
        <v>86</v>
      </c>
      <c r="D168" s="24" t="s">
        <v>329</v>
      </c>
      <c r="E168" s="24" t="s">
        <v>330</v>
      </c>
      <c r="F168" s="25">
        <v>2009</v>
      </c>
      <c r="H168" s="29">
        <v>20</v>
      </c>
      <c r="I168" s="28" t="s">
        <v>238</v>
      </c>
      <c r="J168" s="39" t="s">
        <v>208</v>
      </c>
      <c r="K168" s="40"/>
      <c r="L168" s="43" t="str">
        <f t="shared" si="40"/>
        <v/>
      </c>
      <c r="M168" s="40"/>
      <c r="N168" s="43" t="str">
        <f t="shared" si="39"/>
        <v/>
      </c>
      <c r="O168" s="40"/>
      <c r="P168" s="43" t="str">
        <f t="shared" si="41"/>
        <v/>
      </c>
      <c r="Q168" s="40"/>
      <c r="R168" s="43" t="str">
        <f t="shared" si="42"/>
        <v/>
      </c>
      <c r="S168" s="40"/>
      <c r="T168" s="43" t="str">
        <f t="shared" si="33"/>
        <v/>
      </c>
      <c r="U168" s="86"/>
      <c r="V168" s="43" t="str">
        <f t="shared" si="43"/>
        <v/>
      </c>
      <c r="W168" s="40"/>
      <c r="X168" s="43" t="str">
        <f t="shared" si="44"/>
        <v/>
      </c>
      <c r="Y168" s="40"/>
      <c r="Z168" s="43" t="str">
        <f t="shared" si="33"/>
        <v/>
      </c>
      <c r="AA168" s="40"/>
      <c r="AB168" s="43" t="str">
        <f t="shared" si="36"/>
        <v/>
      </c>
      <c r="AC168" s="40"/>
      <c r="AD168" s="43" t="str">
        <f t="shared" si="45"/>
        <v/>
      </c>
      <c r="AE168" s="40"/>
      <c r="AF168" s="43" t="str">
        <f t="shared" si="46"/>
        <v/>
      </c>
      <c r="AG168" s="24" t="s">
        <v>403</v>
      </c>
      <c r="AH168" s="24"/>
      <c r="AI168" s="24"/>
      <c r="AJ168" s="24"/>
      <c r="AK168" s="24"/>
      <c r="AL168" s="24"/>
      <c r="AM168" s="24"/>
      <c r="AN168" s="24"/>
      <c r="AO168" s="24"/>
      <c r="AP168" s="24"/>
      <c r="AQ168" s="24"/>
      <c r="AR168" s="24"/>
      <c r="AS168" s="24"/>
      <c r="AT168" s="24"/>
      <c r="AU168" s="24"/>
      <c r="AV168" s="24"/>
      <c r="AW168" s="24"/>
      <c r="AX168" s="24"/>
      <c r="AY168" s="24"/>
      <c r="AZ168" s="24"/>
    </row>
    <row r="169" spans="1:52" ht="20" customHeight="1" x14ac:dyDescent="0.2">
      <c r="A169" s="67"/>
      <c r="B169" s="25"/>
      <c r="C169" s="25" t="s">
        <v>86</v>
      </c>
      <c r="D169" s="24" t="s">
        <v>331</v>
      </c>
      <c r="E169" s="24" t="s">
        <v>332</v>
      </c>
      <c r="F169" s="25">
        <v>2006</v>
      </c>
      <c r="H169" s="29">
        <v>20</v>
      </c>
      <c r="I169" s="28" t="s">
        <v>404</v>
      </c>
      <c r="J169" s="39" t="s">
        <v>176</v>
      </c>
      <c r="K169" s="40"/>
      <c r="L169" s="43" t="str">
        <f t="shared" si="40"/>
        <v/>
      </c>
      <c r="M169" s="40"/>
      <c r="N169" s="43" t="str">
        <f t="shared" si="39"/>
        <v/>
      </c>
      <c r="O169" s="40"/>
      <c r="P169" s="43" t="str">
        <f t="shared" si="41"/>
        <v/>
      </c>
      <c r="Q169" s="40"/>
      <c r="R169" s="43" t="str">
        <f t="shared" si="42"/>
        <v/>
      </c>
      <c r="S169" s="40"/>
      <c r="T169" s="43" t="str">
        <f t="shared" si="33"/>
        <v/>
      </c>
      <c r="U169" s="86"/>
      <c r="V169" s="43" t="str">
        <f t="shared" si="43"/>
        <v/>
      </c>
      <c r="W169" s="40"/>
      <c r="X169" s="43" t="str">
        <f t="shared" si="44"/>
        <v/>
      </c>
      <c r="Y169" s="40"/>
      <c r="Z169" s="43" t="str">
        <f t="shared" si="33"/>
        <v/>
      </c>
      <c r="AA169" s="40"/>
      <c r="AB169" s="43" t="str">
        <f t="shared" si="36"/>
        <v/>
      </c>
      <c r="AC169" s="40"/>
      <c r="AD169" s="43" t="str">
        <f t="shared" si="45"/>
        <v/>
      </c>
      <c r="AE169" s="40"/>
      <c r="AF169" s="43" t="str">
        <f t="shared" si="46"/>
        <v/>
      </c>
      <c r="AG169" s="24" t="s">
        <v>405</v>
      </c>
      <c r="AH169" s="24"/>
      <c r="AI169" s="24"/>
      <c r="AJ169" s="24"/>
      <c r="AK169" s="24"/>
      <c r="AL169" s="24"/>
      <c r="AM169" s="24"/>
      <c r="AN169" s="24"/>
      <c r="AO169" s="24"/>
      <c r="AP169" s="24"/>
      <c r="AQ169" s="24"/>
      <c r="AR169" s="24"/>
      <c r="AS169" s="24"/>
      <c r="AT169" s="24"/>
      <c r="AU169" s="24"/>
      <c r="AV169" s="24"/>
      <c r="AW169" s="24"/>
      <c r="AX169" s="24"/>
      <c r="AY169" s="24"/>
      <c r="AZ169" s="24"/>
    </row>
    <row r="170" spans="1:52" ht="20" customHeight="1" x14ac:dyDescent="0.2">
      <c r="A170" s="68"/>
      <c r="B170" s="25"/>
      <c r="C170" s="25" t="s">
        <v>86</v>
      </c>
      <c r="D170" s="24" t="s">
        <v>335</v>
      </c>
      <c r="E170" s="24" t="s">
        <v>336</v>
      </c>
      <c r="F170" s="25">
        <v>2016</v>
      </c>
      <c r="H170" s="29">
        <v>50</v>
      </c>
      <c r="I170" s="28" t="s">
        <v>238</v>
      </c>
      <c r="J170" s="39" t="s">
        <v>212</v>
      </c>
      <c r="K170" s="40"/>
      <c r="L170" s="43" t="str">
        <f t="shared" si="40"/>
        <v/>
      </c>
      <c r="M170" s="40"/>
      <c r="N170" s="43" t="str">
        <f t="shared" si="39"/>
        <v/>
      </c>
      <c r="O170" s="40"/>
      <c r="P170" s="43" t="str">
        <f t="shared" si="41"/>
        <v/>
      </c>
      <c r="Q170" s="40"/>
      <c r="R170" s="43" t="str">
        <f t="shared" si="42"/>
        <v/>
      </c>
      <c r="S170" s="40"/>
      <c r="T170" s="43" t="str">
        <f t="shared" si="33"/>
        <v/>
      </c>
      <c r="U170" s="86"/>
      <c r="V170" s="43" t="str">
        <f t="shared" si="43"/>
        <v/>
      </c>
      <c r="W170" s="40"/>
      <c r="X170" s="43" t="str">
        <f t="shared" si="44"/>
        <v/>
      </c>
      <c r="Y170" s="40"/>
      <c r="Z170" s="43" t="str">
        <f t="shared" si="33"/>
        <v/>
      </c>
      <c r="AA170" s="40"/>
      <c r="AB170" s="43" t="str">
        <f t="shared" si="36"/>
        <v/>
      </c>
      <c r="AC170" s="40"/>
      <c r="AD170" s="43" t="str">
        <f t="shared" si="45"/>
        <v/>
      </c>
      <c r="AE170" s="40"/>
      <c r="AF170" s="43" t="str">
        <f t="shared" si="46"/>
        <v/>
      </c>
      <c r="AG170" s="24"/>
      <c r="AH170" s="24"/>
      <c r="AI170" s="24"/>
      <c r="AJ170" s="24"/>
      <c r="AK170" s="24"/>
      <c r="AL170" s="24"/>
      <c r="AM170" s="24"/>
      <c r="AN170" s="24"/>
      <c r="AO170" s="24"/>
      <c r="AP170" s="24"/>
      <c r="AQ170" s="24"/>
      <c r="AR170" s="24"/>
      <c r="AS170" s="24"/>
      <c r="AT170" s="24"/>
      <c r="AU170" s="24"/>
      <c r="AV170" s="24"/>
      <c r="AW170" s="24"/>
      <c r="AX170" s="24"/>
      <c r="AY170" s="24"/>
      <c r="AZ170" s="24"/>
    </row>
    <row r="171" spans="1:52" ht="20" customHeight="1" x14ac:dyDescent="0.2">
      <c r="A171" s="67"/>
      <c r="B171" s="95"/>
      <c r="C171" s="25" t="s">
        <v>86</v>
      </c>
      <c r="D171" s="24" t="s">
        <v>333</v>
      </c>
      <c r="E171" s="24" t="s">
        <v>334</v>
      </c>
      <c r="F171" s="25">
        <v>2011</v>
      </c>
      <c r="H171" s="29">
        <v>244</v>
      </c>
      <c r="I171" s="28" t="s">
        <v>235</v>
      </c>
      <c r="J171" s="39" t="s">
        <v>210</v>
      </c>
      <c r="K171" s="40"/>
      <c r="L171" s="43" t="str">
        <f t="shared" si="40"/>
        <v/>
      </c>
      <c r="M171" s="40">
        <v>3</v>
      </c>
      <c r="N171" s="43">
        <f t="shared" si="39"/>
        <v>1.2295081967213115</v>
      </c>
      <c r="O171" s="40"/>
      <c r="P171" s="43" t="str">
        <f t="shared" si="41"/>
        <v/>
      </c>
      <c r="Q171" s="40">
        <v>4</v>
      </c>
      <c r="R171" s="43">
        <f t="shared" si="42"/>
        <v>1.639344262295082</v>
      </c>
      <c r="S171" s="40"/>
      <c r="T171" s="43" t="str">
        <f t="shared" si="33"/>
        <v/>
      </c>
      <c r="U171" s="86"/>
      <c r="V171" s="43" t="str">
        <f t="shared" si="43"/>
        <v/>
      </c>
      <c r="W171" s="40"/>
      <c r="X171" s="43" t="str">
        <f t="shared" si="44"/>
        <v/>
      </c>
      <c r="Y171" s="40"/>
      <c r="Z171" s="43" t="str">
        <f t="shared" si="33"/>
        <v/>
      </c>
      <c r="AA171" s="40"/>
      <c r="AB171" s="43" t="str">
        <f t="shared" si="36"/>
        <v/>
      </c>
      <c r="AC171" s="40"/>
      <c r="AD171" s="43" t="str">
        <f t="shared" si="45"/>
        <v/>
      </c>
      <c r="AE171" s="40"/>
      <c r="AF171" s="43" t="str">
        <f t="shared" si="46"/>
        <v/>
      </c>
      <c r="AG171" s="24"/>
      <c r="AH171" s="24"/>
      <c r="AI171" s="24"/>
      <c r="AJ171" s="24"/>
      <c r="AK171" s="24"/>
      <c r="AL171" s="24"/>
      <c r="AM171" s="24"/>
      <c r="AN171" s="24"/>
      <c r="AO171" s="24"/>
      <c r="AP171" s="24"/>
      <c r="AQ171" s="24"/>
      <c r="AR171" s="24"/>
      <c r="AS171" s="24"/>
      <c r="AT171" s="24"/>
      <c r="AU171" s="24"/>
      <c r="AV171" s="24"/>
      <c r="AW171" s="24"/>
      <c r="AX171" s="24"/>
      <c r="AY171" s="24"/>
      <c r="AZ171" s="24"/>
    </row>
    <row r="172" spans="1:52" ht="20" customHeight="1" x14ac:dyDescent="0.2">
      <c r="A172" s="67"/>
      <c r="B172" s="95"/>
      <c r="C172" s="25" t="s">
        <v>86</v>
      </c>
      <c r="D172" s="24" t="s">
        <v>100</v>
      </c>
      <c r="E172" s="24" t="s">
        <v>101</v>
      </c>
      <c r="F172" s="25">
        <v>2002</v>
      </c>
      <c r="G172" s="25">
        <v>103</v>
      </c>
      <c r="H172" s="29">
        <v>8</v>
      </c>
      <c r="I172" s="28"/>
      <c r="J172" s="39"/>
      <c r="K172" s="40"/>
      <c r="L172" s="43" t="str">
        <f t="shared" si="40"/>
        <v/>
      </c>
      <c r="M172" s="40"/>
      <c r="N172" s="43" t="str">
        <f t="shared" si="39"/>
        <v/>
      </c>
      <c r="O172" s="40"/>
      <c r="P172" s="43" t="str">
        <f t="shared" si="41"/>
        <v/>
      </c>
      <c r="Q172" s="40"/>
      <c r="R172" s="43" t="str">
        <f t="shared" si="42"/>
        <v/>
      </c>
      <c r="S172" s="40"/>
      <c r="T172" s="43" t="str">
        <f t="shared" si="33"/>
        <v/>
      </c>
      <c r="U172" s="86"/>
      <c r="V172" s="43" t="str">
        <f t="shared" si="43"/>
        <v/>
      </c>
      <c r="W172" s="40"/>
      <c r="X172" s="43" t="str">
        <f t="shared" si="44"/>
        <v/>
      </c>
      <c r="Y172" s="40"/>
      <c r="Z172" s="43" t="str">
        <f t="shared" si="33"/>
        <v/>
      </c>
      <c r="AA172" s="40"/>
      <c r="AB172" s="43" t="str">
        <f t="shared" ref="AB172:AB205" si="47">IF((ISERROR((AA172/$H172)*100)), "", IF(AND(NOT(ISERROR((AA172/$H172)*100)),((AA172/$H172)*100) &lt;&gt; 0), (AA172/$H172)*100, ""))</f>
        <v/>
      </c>
      <c r="AC172" s="40"/>
      <c r="AD172" s="43" t="str">
        <f t="shared" si="45"/>
        <v/>
      </c>
      <c r="AE172" s="40"/>
      <c r="AF172" s="43" t="str">
        <f t="shared" si="46"/>
        <v/>
      </c>
      <c r="AG172" s="24" t="s">
        <v>222</v>
      </c>
      <c r="AH172" s="24"/>
      <c r="AI172" s="24"/>
      <c r="AJ172" s="24"/>
      <c r="AK172" s="24"/>
      <c r="AL172" s="24"/>
      <c r="AM172" s="24"/>
      <c r="AN172" s="24"/>
      <c r="AO172" s="24"/>
      <c r="AP172" s="24"/>
      <c r="AQ172" s="24"/>
      <c r="AR172" s="24"/>
      <c r="AS172" s="24"/>
      <c r="AT172" s="24"/>
      <c r="AU172" s="24"/>
      <c r="AV172" s="24"/>
      <c r="AW172" s="24"/>
      <c r="AX172" s="24"/>
      <c r="AY172" s="24"/>
      <c r="AZ172" s="24"/>
    </row>
    <row r="173" spans="1:52" ht="20" customHeight="1" x14ac:dyDescent="0.2">
      <c r="A173" s="67"/>
      <c r="B173" s="96"/>
      <c r="D173" s="24" t="s">
        <v>337</v>
      </c>
      <c r="E173" s="24" t="s">
        <v>338</v>
      </c>
      <c r="F173" s="25">
        <v>2013</v>
      </c>
      <c r="H173" s="29">
        <v>18</v>
      </c>
      <c r="I173" s="28"/>
      <c r="J173" s="39"/>
      <c r="K173" s="40"/>
      <c r="L173" s="43" t="str">
        <f t="shared" si="40"/>
        <v/>
      </c>
      <c r="M173" s="40"/>
      <c r="N173" s="43" t="str">
        <f t="shared" ref="N173:N205" si="48">IF((ISERROR((M173/$H173)*100)), "", IF(AND(NOT(ISERROR((M173/$H173)*100)),((M173/$H173)*100) &lt;&gt; 0), (M173/$H173)*100, ""))</f>
        <v/>
      </c>
      <c r="O173" s="40"/>
      <c r="P173" s="43" t="str">
        <f t="shared" si="41"/>
        <v/>
      </c>
      <c r="Q173" s="40"/>
      <c r="R173" s="43" t="str">
        <f t="shared" si="42"/>
        <v/>
      </c>
      <c r="S173" s="40"/>
      <c r="T173" s="43" t="str">
        <f t="shared" si="33"/>
        <v/>
      </c>
      <c r="U173" s="86"/>
      <c r="V173" s="43" t="str">
        <f t="shared" si="43"/>
        <v/>
      </c>
      <c r="W173" s="40"/>
      <c r="X173" s="43" t="str">
        <f t="shared" si="44"/>
        <v/>
      </c>
      <c r="Y173" s="40"/>
      <c r="Z173" s="43" t="str">
        <f t="shared" si="33"/>
        <v/>
      </c>
      <c r="AA173" s="40"/>
      <c r="AB173" s="43" t="str">
        <f t="shared" si="47"/>
        <v/>
      </c>
      <c r="AC173" s="40"/>
      <c r="AD173" s="43" t="str">
        <f t="shared" si="45"/>
        <v/>
      </c>
      <c r="AE173" s="40"/>
      <c r="AF173" s="43" t="str">
        <f t="shared" si="46"/>
        <v/>
      </c>
      <c r="AG173" s="24" t="s">
        <v>406</v>
      </c>
      <c r="AH173" s="24"/>
      <c r="AI173" s="24"/>
      <c r="AJ173" s="24"/>
      <c r="AK173" s="24"/>
      <c r="AL173" s="24"/>
      <c r="AM173" s="24"/>
      <c r="AN173" s="24"/>
      <c r="AO173" s="24"/>
      <c r="AP173" s="24"/>
      <c r="AQ173" s="24"/>
      <c r="AR173" s="24"/>
      <c r="AS173" s="24"/>
      <c r="AT173" s="24"/>
      <c r="AU173" s="24"/>
      <c r="AV173" s="24"/>
      <c r="AW173" s="24"/>
      <c r="AX173" s="24"/>
      <c r="AY173" s="24"/>
      <c r="AZ173" s="24"/>
    </row>
    <row r="174" spans="1:52" ht="20" customHeight="1" x14ac:dyDescent="0.2">
      <c r="A174" s="67"/>
      <c r="B174" s="96"/>
      <c r="C174" s="25" t="s">
        <v>86</v>
      </c>
      <c r="D174" s="24" t="s">
        <v>339</v>
      </c>
      <c r="E174" s="24" t="s">
        <v>340</v>
      </c>
      <c r="F174" s="25">
        <v>2015</v>
      </c>
      <c r="H174" s="29"/>
      <c r="I174" s="28"/>
      <c r="J174" s="39"/>
      <c r="K174" s="40"/>
      <c r="L174" s="43" t="str">
        <f t="shared" si="40"/>
        <v/>
      </c>
      <c r="M174" s="40"/>
      <c r="N174" s="43" t="str">
        <f t="shared" si="48"/>
        <v/>
      </c>
      <c r="O174" s="40"/>
      <c r="P174" s="43" t="str">
        <f t="shared" si="41"/>
        <v/>
      </c>
      <c r="Q174" s="40"/>
      <c r="R174" s="43" t="str">
        <f t="shared" si="42"/>
        <v/>
      </c>
      <c r="S174" s="40"/>
      <c r="T174" s="43" t="str">
        <f t="shared" si="33"/>
        <v/>
      </c>
      <c r="U174" s="86"/>
      <c r="V174" s="43" t="str">
        <f t="shared" si="43"/>
        <v/>
      </c>
      <c r="W174" s="40"/>
      <c r="X174" s="43" t="str">
        <f t="shared" si="44"/>
        <v/>
      </c>
      <c r="Y174" s="40"/>
      <c r="Z174" s="43" t="str">
        <f t="shared" si="33"/>
        <v/>
      </c>
      <c r="AA174" s="40"/>
      <c r="AB174" s="43" t="str">
        <f t="shared" si="47"/>
        <v/>
      </c>
      <c r="AC174" s="40"/>
      <c r="AD174" s="43" t="str">
        <f t="shared" si="45"/>
        <v/>
      </c>
      <c r="AE174" s="40"/>
      <c r="AF174" s="43" t="str">
        <f t="shared" si="46"/>
        <v/>
      </c>
      <c r="AG174" s="24" t="s">
        <v>407</v>
      </c>
      <c r="AH174" s="24"/>
      <c r="AI174" s="24"/>
      <c r="AJ174" s="24"/>
      <c r="AK174" s="24"/>
      <c r="AL174" s="24"/>
      <c r="AM174" s="24"/>
      <c r="AN174" s="24"/>
      <c r="AO174" s="24"/>
      <c r="AP174" s="24"/>
      <c r="AQ174" s="24"/>
      <c r="AR174" s="24"/>
      <c r="AS174" s="24"/>
      <c r="AT174" s="24"/>
      <c r="AU174" s="24"/>
      <c r="AV174" s="24"/>
      <c r="AW174" s="24"/>
      <c r="AX174" s="24"/>
      <c r="AY174" s="24"/>
      <c r="AZ174" s="24"/>
    </row>
    <row r="175" spans="1:52" ht="20" customHeight="1" x14ac:dyDescent="0.2">
      <c r="A175" s="67"/>
      <c r="B175" s="95"/>
      <c r="C175" s="25" t="s">
        <v>86</v>
      </c>
      <c r="D175" s="24" t="s">
        <v>104</v>
      </c>
      <c r="E175" s="24" t="s">
        <v>105</v>
      </c>
      <c r="F175" s="25">
        <v>1996</v>
      </c>
      <c r="G175" s="25">
        <v>12</v>
      </c>
      <c r="H175" s="29">
        <v>97</v>
      </c>
      <c r="I175" s="28" t="s">
        <v>225</v>
      </c>
      <c r="J175" s="39" t="s">
        <v>226</v>
      </c>
      <c r="K175" s="40"/>
      <c r="L175" s="43" t="str">
        <f t="shared" si="40"/>
        <v/>
      </c>
      <c r="M175" s="40">
        <v>3</v>
      </c>
      <c r="N175" s="43">
        <f t="shared" si="48"/>
        <v>3.0927835051546393</v>
      </c>
      <c r="O175" s="40"/>
      <c r="P175" s="43" t="str">
        <f t="shared" si="41"/>
        <v/>
      </c>
      <c r="Q175" s="40">
        <v>4</v>
      </c>
      <c r="R175" s="43">
        <f t="shared" si="42"/>
        <v>4.1237113402061851</v>
      </c>
      <c r="S175" s="40">
        <v>6</v>
      </c>
      <c r="T175" s="43">
        <f t="shared" si="33"/>
        <v>6.1855670103092786</v>
      </c>
      <c r="U175" s="86"/>
      <c r="V175" s="43" t="str">
        <f t="shared" si="43"/>
        <v/>
      </c>
      <c r="W175" s="40"/>
      <c r="X175" s="43" t="str">
        <f t="shared" si="44"/>
        <v/>
      </c>
      <c r="Y175" s="40"/>
      <c r="Z175" s="43" t="str">
        <f t="shared" si="33"/>
        <v/>
      </c>
      <c r="AA175" s="40">
        <v>1</v>
      </c>
      <c r="AB175" s="43">
        <f t="shared" si="47"/>
        <v>1.0309278350515463</v>
      </c>
      <c r="AC175" s="40">
        <v>1</v>
      </c>
      <c r="AD175" s="43">
        <f t="shared" si="45"/>
        <v>1.0309278350515463</v>
      </c>
      <c r="AE175" s="40"/>
      <c r="AF175" s="43" t="str">
        <f t="shared" si="46"/>
        <v/>
      </c>
      <c r="AG175" s="24" t="s">
        <v>431</v>
      </c>
      <c r="AH175" s="24"/>
      <c r="AI175" s="24"/>
      <c r="AJ175" s="24"/>
      <c r="AK175" s="24"/>
      <c r="AL175" s="24"/>
      <c r="AM175" s="24"/>
      <c r="AN175" s="24"/>
      <c r="AO175" s="24"/>
      <c r="AP175" s="24"/>
      <c r="AQ175" s="24"/>
      <c r="AR175" s="24"/>
      <c r="AS175" s="24"/>
      <c r="AT175" s="24"/>
      <c r="AU175" s="24"/>
      <c r="AV175" s="24"/>
      <c r="AW175" s="24"/>
      <c r="AX175" s="24"/>
      <c r="AY175" s="24"/>
      <c r="AZ175" s="24"/>
    </row>
    <row r="176" spans="1:52" ht="20" customHeight="1" x14ac:dyDescent="0.2">
      <c r="A176" s="67"/>
      <c r="B176" s="96"/>
      <c r="C176" s="25" t="s">
        <v>86</v>
      </c>
      <c r="D176" s="24" t="s">
        <v>341</v>
      </c>
      <c r="E176" s="24" t="s">
        <v>342</v>
      </c>
      <c r="F176" s="25">
        <v>2009</v>
      </c>
      <c r="H176" s="29">
        <v>102</v>
      </c>
      <c r="I176" s="28" t="s">
        <v>238</v>
      </c>
      <c r="J176" s="39" t="s">
        <v>408</v>
      </c>
      <c r="K176" s="40"/>
      <c r="L176" s="43" t="str">
        <f t="shared" si="40"/>
        <v/>
      </c>
      <c r="M176" s="40"/>
      <c r="N176" s="43" t="str">
        <f t="shared" si="48"/>
        <v/>
      </c>
      <c r="O176" s="40"/>
      <c r="P176" s="43" t="str">
        <f t="shared" si="41"/>
        <v/>
      </c>
      <c r="Q176" s="40"/>
      <c r="R176" s="43" t="str">
        <f t="shared" si="42"/>
        <v/>
      </c>
      <c r="S176" s="40"/>
      <c r="T176" s="43" t="str">
        <f t="shared" si="33"/>
        <v/>
      </c>
      <c r="U176" s="86"/>
      <c r="V176" s="43" t="str">
        <f t="shared" si="43"/>
        <v/>
      </c>
      <c r="W176" s="40"/>
      <c r="X176" s="43" t="str">
        <f t="shared" si="44"/>
        <v/>
      </c>
      <c r="Y176" s="40"/>
      <c r="Z176" s="43" t="str">
        <f t="shared" si="33"/>
        <v/>
      </c>
      <c r="AA176" s="40"/>
      <c r="AB176" s="43" t="str">
        <f t="shared" si="47"/>
        <v/>
      </c>
      <c r="AC176" s="40"/>
      <c r="AD176" s="43" t="str">
        <f t="shared" si="45"/>
        <v/>
      </c>
      <c r="AE176" s="40"/>
      <c r="AF176" s="43" t="str">
        <f t="shared" si="46"/>
        <v/>
      </c>
      <c r="AG176" s="24"/>
      <c r="AH176" s="24"/>
      <c r="AI176" s="24"/>
      <c r="AJ176" s="24"/>
      <c r="AK176" s="24"/>
      <c r="AL176" s="24"/>
      <c r="AM176" s="24"/>
      <c r="AN176" s="24"/>
      <c r="AO176" s="24"/>
      <c r="AP176" s="24"/>
      <c r="AQ176" s="24"/>
      <c r="AR176" s="24"/>
      <c r="AS176" s="24"/>
      <c r="AT176" s="24"/>
      <c r="AU176" s="24"/>
      <c r="AV176" s="24"/>
      <c r="AW176" s="24"/>
      <c r="AX176" s="24"/>
      <c r="AY176" s="24"/>
      <c r="AZ176" s="24"/>
    </row>
    <row r="177" spans="1:52" ht="20" customHeight="1" x14ac:dyDescent="0.2">
      <c r="A177" s="68"/>
      <c r="B177" s="25"/>
      <c r="C177" s="25" t="s">
        <v>86</v>
      </c>
      <c r="D177" s="24" t="s">
        <v>106</v>
      </c>
      <c r="E177" s="24" t="s">
        <v>107</v>
      </c>
      <c r="F177" s="25">
        <v>1989</v>
      </c>
      <c r="G177" s="25">
        <v>27</v>
      </c>
      <c r="H177" s="29">
        <v>25</v>
      </c>
      <c r="I177" s="28" t="s">
        <v>232</v>
      </c>
      <c r="J177" s="39" t="s">
        <v>191</v>
      </c>
      <c r="K177" s="40"/>
      <c r="L177" s="43" t="str">
        <f t="shared" si="40"/>
        <v/>
      </c>
      <c r="M177" s="40"/>
      <c r="N177" s="43" t="str">
        <f t="shared" si="48"/>
        <v/>
      </c>
      <c r="O177" s="40"/>
      <c r="P177" s="43" t="str">
        <f t="shared" si="41"/>
        <v/>
      </c>
      <c r="Q177" s="40"/>
      <c r="R177" s="43" t="str">
        <f t="shared" si="42"/>
        <v/>
      </c>
      <c r="S177" s="40"/>
      <c r="T177" s="43" t="str">
        <f t="shared" si="33"/>
        <v/>
      </c>
      <c r="U177" s="86"/>
      <c r="V177" s="43" t="str">
        <f t="shared" si="43"/>
        <v/>
      </c>
      <c r="W177" s="40"/>
      <c r="X177" s="43" t="str">
        <f t="shared" si="44"/>
        <v/>
      </c>
      <c r="Y177" s="40"/>
      <c r="Z177" s="43" t="str">
        <f t="shared" si="33"/>
        <v/>
      </c>
      <c r="AA177" s="40"/>
      <c r="AB177" s="43" t="str">
        <f t="shared" si="47"/>
        <v/>
      </c>
      <c r="AC177" s="40"/>
      <c r="AD177" s="43" t="str">
        <f t="shared" si="45"/>
        <v/>
      </c>
      <c r="AE177" s="40"/>
      <c r="AF177" s="43" t="str">
        <f t="shared" si="46"/>
        <v/>
      </c>
      <c r="AG177" s="24"/>
      <c r="AH177" s="24"/>
      <c r="AI177" s="24"/>
      <c r="AJ177" s="24"/>
      <c r="AK177" s="24"/>
      <c r="AL177" s="24"/>
      <c r="AM177" s="24"/>
      <c r="AN177" s="24"/>
      <c r="AO177" s="24"/>
      <c r="AP177" s="24"/>
      <c r="AQ177" s="24"/>
      <c r="AR177" s="24"/>
      <c r="AS177" s="24"/>
      <c r="AT177" s="24"/>
      <c r="AU177" s="24"/>
      <c r="AV177" s="24"/>
      <c r="AW177" s="24"/>
      <c r="AX177" s="24"/>
      <c r="AY177" s="24"/>
      <c r="AZ177" s="24"/>
    </row>
    <row r="178" spans="1:52" ht="20" customHeight="1" x14ac:dyDescent="0.2">
      <c r="A178" s="68"/>
      <c r="B178" s="96"/>
      <c r="C178" s="25" t="s">
        <v>86</v>
      </c>
      <c r="D178" s="24" t="s">
        <v>343</v>
      </c>
      <c r="E178" s="24" t="s">
        <v>344</v>
      </c>
      <c r="F178" s="25">
        <v>2011</v>
      </c>
      <c r="H178" s="29"/>
      <c r="I178" s="28"/>
      <c r="J178" s="39"/>
      <c r="K178" s="40"/>
      <c r="L178" s="43" t="str">
        <f t="shared" si="40"/>
        <v/>
      </c>
      <c r="M178" s="40"/>
      <c r="N178" s="43" t="str">
        <f t="shared" si="48"/>
        <v/>
      </c>
      <c r="O178" s="40"/>
      <c r="P178" s="43" t="str">
        <f t="shared" si="41"/>
        <v/>
      </c>
      <c r="Q178" s="40"/>
      <c r="R178" s="43" t="str">
        <f t="shared" si="42"/>
        <v/>
      </c>
      <c r="S178" s="40"/>
      <c r="T178" s="43" t="str">
        <f t="shared" si="33"/>
        <v/>
      </c>
      <c r="U178" s="86"/>
      <c r="V178" s="43" t="str">
        <f t="shared" si="43"/>
        <v/>
      </c>
      <c r="W178" s="40"/>
      <c r="X178" s="43" t="str">
        <f t="shared" si="44"/>
        <v/>
      </c>
      <c r="Y178" s="40"/>
      <c r="Z178" s="43" t="str">
        <f t="shared" si="33"/>
        <v/>
      </c>
      <c r="AA178" s="40"/>
      <c r="AB178" s="43" t="str">
        <f t="shared" si="47"/>
        <v/>
      </c>
      <c r="AC178" s="40"/>
      <c r="AD178" s="43" t="str">
        <f t="shared" si="45"/>
        <v/>
      </c>
      <c r="AE178" s="40"/>
      <c r="AF178" s="43" t="str">
        <f t="shared" si="46"/>
        <v/>
      </c>
      <c r="AG178" s="24" t="s">
        <v>409</v>
      </c>
      <c r="AH178" s="24"/>
      <c r="AI178" s="24"/>
      <c r="AJ178" s="24"/>
      <c r="AK178" s="24"/>
      <c r="AL178" s="24"/>
      <c r="AM178" s="24"/>
      <c r="AN178" s="24"/>
      <c r="AO178" s="24"/>
      <c r="AP178" s="24"/>
      <c r="AQ178" s="24"/>
      <c r="AR178" s="24"/>
      <c r="AS178" s="24"/>
      <c r="AT178" s="24"/>
      <c r="AU178" s="24"/>
      <c r="AV178" s="24"/>
      <c r="AW178" s="24"/>
      <c r="AX178" s="24"/>
      <c r="AY178" s="24"/>
      <c r="AZ178" s="24"/>
    </row>
    <row r="179" spans="1:52" ht="20" customHeight="1" x14ac:dyDescent="0.2">
      <c r="A179" s="68"/>
      <c r="B179" s="95"/>
      <c r="C179" s="25" t="s">
        <v>86</v>
      </c>
      <c r="D179" s="24" t="s">
        <v>345</v>
      </c>
      <c r="E179" s="24" t="s">
        <v>346</v>
      </c>
      <c r="F179" s="25">
        <v>1977</v>
      </c>
      <c r="H179" s="29">
        <v>5</v>
      </c>
      <c r="I179" s="28" t="s">
        <v>410</v>
      </c>
      <c r="J179" s="39"/>
      <c r="K179" s="40"/>
      <c r="L179" s="43" t="str">
        <f t="shared" si="40"/>
        <v/>
      </c>
      <c r="M179" s="40"/>
      <c r="N179" s="43" t="str">
        <f t="shared" si="48"/>
        <v/>
      </c>
      <c r="O179" s="40"/>
      <c r="P179" s="43" t="str">
        <f t="shared" si="41"/>
        <v/>
      </c>
      <c r="Q179" s="40"/>
      <c r="R179" s="43" t="str">
        <f t="shared" si="42"/>
        <v/>
      </c>
      <c r="S179" s="40"/>
      <c r="T179" s="43" t="str">
        <f t="shared" si="33"/>
        <v/>
      </c>
      <c r="U179" s="86"/>
      <c r="V179" s="43" t="str">
        <f t="shared" si="43"/>
        <v/>
      </c>
      <c r="W179" s="40"/>
      <c r="X179" s="43" t="str">
        <f t="shared" si="44"/>
        <v/>
      </c>
      <c r="Y179" s="40"/>
      <c r="Z179" s="43" t="str">
        <f t="shared" si="33"/>
        <v/>
      </c>
      <c r="AA179" s="40"/>
      <c r="AB179" s="43" t="str">
        <f t="shared" si="47"/>
        <v/>
      </c>
      <c r="AC179" s="40"/>
      <c r="AD179" s="43" t="str">
        <f t="shared" si="45"/>
        <v/>
      </c>
      <c r="AE179" s="40"/>
      <c r="AF179" s="43" t="str">
        <f t="shared" si="46"/>
        <v/>
      </c>
      <c r="AG179" s="24" t="s">
        <v>411</v>
      </c>
      <c r="AH179" s="24"/>
      <c r="AI179" s="24"/>
      <c r="AJ179" s="24"/>
      <c r="AK179" s="24"/>
      <c r="AL179" s="24"/>
      <c r="AM179" s="24"/>
      <c r="AN179" s="24"/>
      <c r="AO179" s="24"/>
      <c r="AP179" s="24"/>
      <c r="AQ179" s="24"/>
      <c r="AR179" s="24"/>
      <c r="AS179" s="24"/>
      <c r="AT179" s="24"/>
      <c r="AU179" s="24"/>
      <c r="AV179" s="24"/>
      <c r="AW179" s="24"/>
      <c r="AX179" s="24"/>
      <c r="AY179" s="24"/>
      <c r="AZ179" s="24"/>
    </row>
    <row r="180" spans="1:52" ht="20" customHeight="1" x14ac:dyDescent="0.2">
      <c r="A180" s="67"/>
      <c r="B180" s="95"/>
      <c r="C180" s="25" t="s">
        <v>86</v>
      </c>
      <c r="D180" s="24" t="s">
        <v>108</v>
      </c>
      <c r="E180" s="24" t="s">
        <v>109</v>
      </c>
      <c r="F180" s="25">
        <v>2008</v>
      </c>
      <c r="G180" s="25">
        <v>54</v>
      </c>
      <c r="H180" s="29">
        <v>30</v>
      </c>
      <c r="I180" s="28" t="s">
        <v>174</v>
      </c>
      <c r="J180" s="39" t="s">
        <v>233</v>
      </c>
      <c r="K180" s="40"/>
      <c r="L180" s="43" t="str">
        <f t="shared" si="40"/>
        <v/>
      </c>
      <c r="M180" s="40">
        <v>1</v>
      </c>
      <c r="N180" s="43">
        <f t="shared" si="48"/>
        <v>3.3333333333333335</v>
      </c>
      <c r="O180" s="40"/>
      <c r="P180" s="43" t="str">
        <f t="shared" si="41"/>
        <v/>
      </c>
      <c r="Q180" s="40"/>
      <c r="R180" s="43" t="str">
        <f t="shared" si="42"/>
        <v/>
      </c>
      <c r="S180" s="40"/>
      <c r="T180" s="43" t="str">
        <f t="shared" si="33"/>
        <v/>
      </c>
      <c r="U180" s="86"/>
      <c r="V180" s="43" t="str">
        <f t="shared" si="43"/>
        <v/>
      </c>
      <c r="W180" s="40">
        <v>1</v>
      </c>
      <c r="X180" s="43">
        <f t="shared" si="44"/>
        <v>3.3333333333333335</v>
      </c>
      <c r="Y180" s="40"/>
      <c r="Z180" s="43" t="str">
        <f t="shared" si="33"/>
        <v/>
      </c>
      <c r="AA180" s="40"/>
      <c r="AB180" s="43" t="str">
        <f t="shared" si="47"/>
        <v/>
      </c>
      <c r="AC180" s="40"/>
      <c r="AD180" s="43" t="str">
        <f t="shared" si="45"/>
        <v/>
      </c>
      <c r="AE180" s="40"/>
      <c r="AF180" s="43" t="str">
        <f t="shared" si="46"/>
        <v/>
      </c>
      <c r="AG180" s="24"/>
      <c r="AH180" s="24"/>
      <c r="AI180" s="24"/>
      <c r="AJ180" s="24"/>
      <c r="AK180" s="24"/>
      <c r="AL180" s="24"/>
      <c r="AM180" s="24"/>
      <c r="AN180" s="24"/>
      <c r="AO180" s="24"/>
      <c r="AP180" s="24"/>
      <c r="AQ180" s="24"/>
      <c r="AR180" s="24"/>
      <c r="AS180" s="24"/>
      <c r="AT180" s="24"/>
      <c r="AU180" s="24"/>
      <c r="AV180" s="24"/>
      <c r="AW180" s="24"/>
      <c r="AX180" s="24"/>
      <c r="AY180" s="24"/>
      <c r="AZ180" s="24"/>
    </row>
    <row r="181" spans="1:52" ht="20" customHeight="1" x14ac:dyDescent="0.2">
      <c r="A181" s="67"/>
      <c r="B181" s="96"/>
      <c r="C181" s="25" t="s">
        <v>86</v>
      </c>
      <c r="D181" s="24" t="s">
        <v>110</v>
      </c>
      <c r="E181" s="24" t="s">
        <v>111</v>
      </c>
      <c r="F181" s="25">
        <v>1999</v>
      </c>
      <c r="G181" s="25">
        <v>76</v>
      </c>
      <c r="H181" s="29">
        <v>7</v>
      </c>
      <c r="I181" s="28" t="s">
        <v>189</v>
      </c>
      <c r="J181" s="39" t="s">
        <v>212</v>
      </c>
      <c r="K181" s="40"/>
      <c r="L181" s="43" t="str">
        <f t="shared" si="40"/>
        <v/>
      </c>
      <c r="M181" s="40"/>
      <c r="N181" s="43" t="str">
        <f t="shared" si="48"/>
        <v/>
      </c>
      <c r="O181" s="40"/>
      <c r="P181" s="43" t="str">
        <f t="shared" si="41"/>
        <v/>
      </c>
      <c r="Q181" s="40"/>
      <c r="R181" s="43" t="str">
        <f t="shared" si="42"/>
        <v/>
      </c>
      <c r="S181" s="40"/>
      <c r="T181" s="43" t="str">
        <f t="shared" si="33"/>
        <v/>
      </c>
      <c r="U181" s="86"/>
      <c r="V181" s="43" t="str">
        <f t="shared" si="43"/>
        <v/>
      </c>
      <c r="W181" s="40"/>
      <c r="X181" s="43" t="str">
        <f t="shared" si="44"/>
        <v/>
      </c>
      <c r="Y181" s="40"/>
      <c r="Z181" s="43" t="str">
        <f t="shared" si="33"/>
        <v/>
      </c>
      <c r="AA181" s="40"/>
      <c r="AB181" s="43" t="str">
        <f t="shared" si="47"/>
        <v/>
      </c>
      <c r="AC181" s="40"/>
      <c r="AD181" s="43" t="str">
        <f t="shared" si="45"/>
        <v/>
      </c>
      <c r="AE181" s="40"/>
      <c r="AF181" s="43" t="str">
        <f t="shared" si="46"/>
        <v/>
      </c>
      <c r="AG181" s="24" t="s">
        <v>196</v>
      </c>
      <c r="AH181" s="24"/>
      <c r="AI181" s="24"/>
      <c r="AJ181" s="24"/>
      <c r="AK181" s="24"/>
      <c r="AL181" s="24"/>
      <c r="AM181" s="24"/>
      <c r="AN181" s="24"/>
      <c r="AO181" s="24"/>
      <c r="AP181" s="24"/>
      <c r="AQ181" s="24"/>
      <c r="AR181" s="24"/>
      <c r="AS181" s="24"/>
      <c r="AT181" s="24"/>
      <c r="AU181" s="24"/>
      <c r="AV181" s="24"/>
      <c r="AW181" s="24"/>
      <c r="AX181" s="24"/>
      <c r="AY181" s="24"/>
      <c r="AZ181" s="24"/>
    </row>
    <row r="182" spans="1:52" ht="20" customHeight="1" x14ac:dyDescent="0.2">
      <c r="A182" s="68"/>
      <c r="B182" s="96"/>
      <c r="C182" s="25" t="s">
        <v>86</v>
      </c>
      <c r="D182" s="24" t="s">
        <v>112</v>
      </c>
      <c r="E182" s="24" t="s">
        <v>113</v>
      </c>
      <c r="F182" s="25">
        <v>2008</v>
      </c>
      <c r="G182" s="25">
        <v>101</v>
      </c>
      <c r="H182" s="29">
        <v>16</v>
      </c>
      <c r="I182" s="28" t="s">
        <v>235</v>
      </c>
      <c r="J182" s="39"/>
      <c r="K182" s="40"/>
      <c r="L182" s="43" t="str">
        <f t="shared" si="40"/>
        <v/>
      </c>
      <c r="M182" s="40"/>
      <c r="N182" s="43" t="str">
        <f t="shared" si="48"/>
        <v/>
      </c>
      <c r="O182" s="40"/>
      <c r="P182" s="43" t="str">
        <f t="shared" si="41"/>
        <v/>
      </c>
      <c r="Q182" s="40"/>
      <c r="R182" s="43" t="str">
        <f t="shared" si="42"/>
        <v/>
      </c>
      <c r="S182" s="40"/>
      <c r="T182" s="43" t="str">
        <f t="shared" si="33"/>
        <v/>
      </c>
      <c r="U182" s="86"/>
      <c r="V182" s="43" t="str">
        <f t="shared" si="43"/>
        <v/>
      </c>
      <c r="W182" s="40"/>
      <c r="X182" s="43" t="str">
        <f t="shared" si="44"/>
        <v/>
      </c>
      <c r="Y182" s="40"/>
      <c r="Z182" s="43" t="str">
        <f t="shared" si="33"/>
        <v/>
      </c>
      <c r="AA182" s="40"/>
      <c r="AB182" s="43" t="str">
        <f t="shared" si="47"/>
        <v/>
      </c>
      <c r="AC182" s="40"/>
      <c r="AD182" s="43" t="str">
        <f t="shared" si="45"/>
        <v/>
      </c>
      <c r="AE182" s="40"/>
      <c r="AF182" s="43" t="str">
        <f t="shared" si="46"/>
        <v/>
      </c>
      <c r="AG182" s="24" t="s">
        <v>432</v>
      </c>
      <c r="AH182" s="24"/>
      <c r="AI182" s="24"/>
      <c r="AJ182" s="24"/>
      <c r="AK182" s="24"/>
      <c r="AL182" s="24"/>
      <c r="AM182" s="24"/>
      <c r="AN182" s="24"/>
      <c r="AO182" s="24"/>
      <c r="AP182" s="24"/>
      <c r="AQ182" s="24"/>
      <c r="AR182" s="24"/>
      <c r="AS182" s="24"/>
      <c r="AT182" s="24"/>
      <c r="AU182" s="24"/>
      <c r="AV182" s="24"/>
      <c r="AW182" s="24"/>
      <c r="AX182" s="24"/>
      <c r="AY182" s="24"/>
      <c r="AZ182" s="24"/>
    </row>
    <row r="183" spans="1:52" ht="20" customHeight="1" x14ac:dyDescent="0.2">
      <c r="A183" s="67"/>
      <c r="B183" s="95"/>
      <c r="C183" s="25" t="s">
        <v>86</v>
      </c>
      <c r="D183" s="24" t="s">
        <v>114</v>
      </c>
      <c r="E183" s="24" t="s">
        <v>115</v>
      </c>
      <c r="F183" s="25">
        <v>1997</v>
      </c>
      <c r="G183" s="25">
        <v>127</v>
      </c>
      <c r="H183" s="29">
        <v>8</v>
      </c>
      <c r="I183" s="28" t="s">
        <v>236</v>
      </c>
      <c r="J183" s="39" t="s">
        <v>237</v>
      </c>
      <c r="K183" s="40"/>
      <c r="L183" s="43" t="str">
        <f t="shared" si="40"/>
        <v/>
      </c>
      <c r="M183" s="40"/>
      <c r="N183" s="43" t="str">
        <f t="shared" si="48"/>
        <v/>
      </c>
      <c r="O183" s="40"/>
      <c r="P183" s="43" t="str">
        <f t="shared" si="41"/>
        <v/>
      </c>
      <c r="Q183" s="40"/>
      <c r="R183" s="43" t="str">
        <f t="shared" si="42"/>
        <v/>
      </c>
      <c r="S183" s="40"/>
      <c r="T183" s="43" t="str">
        <f t="shared" si="33"/>
        <v/>
      </c>
      <c r="U183" s="86"/>
      <c r="V183" s="43" t="str">
        <f t="shared" si="43"/>
        <v/>
      </c>
      <c r="W183" s="40"/>
      <c r="X183" s="43" t="str">
        <f t="shared" si="44"/>
        <v/>
      </c>
      <c r="Y183" s="40"/>
      <c r="Z183" s="43" t="str">
        <f t="shared" si="33"/>
        <v/>
      </c>
      <c r="AA183" s="40"/>
      <c r="AB183" s="43" t="str">
        <f t="shared" si="47"/>
        <v/>
      </c>
      <c r="AC183" s="40"/>
      <c r="AD183" s="43" t="str">
        <f t="shared" si="45"/>
        <v/>
      </c>
      <c r="AE183" s="40"/>
      <c r="AF183" s="43" t="str">
        <f t="shared" si="46"/>
        <v/>
      </c>
      <c r="AG183" s="24" t="s">
        <v>433</v>
      </c>
      <c r="AH183" s="24"/>
      <c r="AI183" s="24"/>
      <c r="AJ183" s="24"/>
      <c r="AK183" s="24"/>
      <c r="AL183" s="24"/>
      <c r="AM183" s="24"/>
      <c r="AN183" s="24"/>
      <c r="AO183" s="24"/>
      <c r="AP183" s="24"/>
      <c r="AQ183" s="24"/>
      <c r="AR183" s="24"/>
      <c r="AS183" s="24"/>
      <c r="AT183" s="24"/>
      <c r="AU183" s="24"/>
      <c r="AV183" s="24"/>
      <c r="AW183" s="24"/>
      <c r="AX183" s="24"/>
      <c r="AY183" s="24"/>
      <c r="AZ183" s="24"/>
    </row>
    <row r="184" spans="1:52" ht="20" customHeight="1" x14ac:dyDescent="0.2">
      <c r="A184" s="67"/>
      <c r="B184" s="25"/>
      <c r="C184" s="25" t="s">
        <v>86</v>
      </c>
      <c r="D184" s="24" t="s">
        <v>116</v>
      </c>
      <c r="E184" s="24" t="s">
        <v>117</v>
      </c>
      <c r="F184" s="25">
        <v>2001</v>
      </c>
      <c r="G184" s="25">
        <v>143</v>
      </c>
      <c r="H184" s="29">
        <v>6</v>
      </c>
      <c r="I184" s="28" t="s">
        <v>238</v>
      </c>
      <c r="J184" s="39" t="s">
        <v>213</v>
      </c>
      <c r="K184" s="40"/>
      <c r="L184" s="43" t="str">
        <f t="shared" si="40"/>
        <v/>
      </c>
      <c r="M184" s="40"/>
      <c r="N184" s="43" t="str">
        <f t="shared" si="48"/>
        <v/>
      </c>
      <c r="O184" s="40"/>
      <c r="P184" s="43" t="str">
        <f t="shared" si="41"/>
        <v/>
      </c>
      <c r="Q184" s="40"/>
      <c r="R184" s="43" t="str">
        <f t="shared" si="42"/>
        <v/>
      </c>
      <c r="S184" s="40"/>
      <c r="T184" s="43" t="str">
        <f t="shared" si="33"/>
        <v/>
      </c>
      <c r="U184" s="86"/>
      <c r="V184" s="43" t="str">
        <f t="shared" si="43"/>
        <v/>
      </c>
      <c r="W184" s="40"/>
      <c r="X184" s="43" t="str">
        <f t="shared" si="44"/>
        <v/>
      </c>
      <c r="Y184" s="40"/>
      <c r="Z184" s="43" t="str">
        <f t="shared" si="33"/>
        <v/>
      </c>
      <c r="AA184" s="40"/>
      <c r="AB184" s="43" t="str">
        <f t="shared" si="47"/>
        <v/>
      </c>
      <c r="AC184" s="40"/>
      <c r="AD184" s="43" t="str">
        <f t="shared" si="45"/>
        <v/>
      </c>
      <c r="AE184" s="40"/>
      <c r="AF184" s="43" t="str">
        <f t="shared" si="46"/>
        <v/>
      </c>
      <c r="AG184" s="24" t="s">
        <v>239</v>
      </c>
      <c r="AH184" s="24"/>
      <c r="AI184" s="24"/>
      <c r="AJ184" s="24"/>
      <c r="AK184" s="24"/>
      <c r="AL184" s="24"/>
      <c r="AM184" s="24"/>
      <c r="AN184" s="24"/>
      <c r="AO184" s="24"/>
      <c r="AP184" s="24"/>
      <c r="AQ184" s="24"/>
      <c r="AR184" s="24"/>
      <c r="AS184" s="24"/>
      <c r="AT184" s="24"/>
      <c r="AU184" s="24"/>
      <c r="AV184" s="24"/>
      <c r="AW184" s="24"/>
      <c r="AX184" s="24"/>
      <c r="AY184" s="24"/>
      <c r="AZ184" s="24"/>
    </row>
    <row r="185" spans="1:52" ht="20" customHeight="1" x14ac:dyDescent="0.2">
      <c r="A185" s="67"/>
      <c r="B185" s="95"/>
      <c r="C185" s="25" t="s">
        <v>86</v>
      </c>
      <c r="D185" s="24" t="s">
        <v>120</v>
      </c>
      <c r="E185" s="24" t="s">
        <v>121</v>
      </c>
      <c r="F185" s="25">
        <v>2003</v>
      </c>
      <c r="G185" s="25">
        <v>45</v>
      </c>
      <c r="H185" s="29">
        <v>16</v>
      </c>
      <c r="I185" s="28" t="s">
        <v>189</v>
      </c>
      <c r="J185" s="39" t="s">
        <v>377</v>
      </c>
      <c r="K185" s="40"/>
      <c r="L185" s="43" t="str">
        <f t="shared" si="40"/>
        <v/>
      </c>
      <c r="M185" s="40"/>
      <c r="N185" s="43" t="str">
        <f t="shared" si="48"/>
        <v/>
      </c>
      <c r="O185" s="40"/>
      <c r="P185" s="43" t="str">
        <f t="shared" si="41"/>
        <v/>
      </c>
      <c r="Q185" s="40"/>
      <c r="R185" s="43" t="str">
        <f t="shared" si="42"/>
        <v/>
      </c>
      <c r="S185" s="40"/>
      <c r="T185" s="43" t="str">
        <f t="shared" si="33"/>
        <v/>
      </c>
      <c r="U185" s="86"/>
      <c r="V185" s="43" t="str">
        <f t="shared" si="43"/>
        <v/>
      </c>
      <c r="W185" s="40"/>
      <c r="X185" s="43" t="str">
        <f t="shared" si="44"/>
        <v/>
      </c>
      <c r="Y185" s="40"/>
      <c r="Z185" s="43" t="str">
        <f t="shared" si="33"/>
        <v/>
      </c>
      <c r="AA185" s="40"/>
      <c r="AB185" s="43" t="str">
        <f t="shared" si="47"/>
        <v/>
      </c>
      <c r="AC185" s="40"/>
      <c r="AD185" s="43" t="str">
        <f t="shared" si="45"/>
        <v/>
      </c>
      <c r="AE185" s="40"/>
      <c r="AF185" s="43" t="str">
        <f t="shared" si="46"/>
        <v/>
      </c>
      <c r="AG185" s="24" t="s">
        <v>244</v>
      </c>
      <c r="AH185" s="24"/>
      <c r="AI185" s="24"/>
      <c r="AJ185" s="24"/>
      <c r="AK185" s="24"/>
      <c r="AL185" s="24"/>
      <c r="AM185" s="24"/>
      <c r="AN185" s="24"/>
      <c r="AO185" s="24"/>
      <c r="AP185" s="24"/>
      <c r="AQ185" s="24"/>
      <c r="AR185" s="24"/>
      <c r="AS185" s="24"/>
      <c r="AT185" s="24"/>
      <c r="AU185" s="24"/>
      <c r="AV185" s="24"/>
      <c r="AW185" s="24"/>
      <c r="AX185" s="24"/>
      <c r="AY185" s="24"/>
      <c r="AZ185" s="24"/>
    </row>
    <row r="186" spans="1:52" ht="20" customHeight="1" x14ac:dyDescent="0.2">
      <c r="A186" s="67"/>
      <c r="B186" s="96"/>
      <c r="C186" s="25" t="s">
        <v>86</v>
      </c>
      <c r="D186" s="24" t="s">
        <v>122</v>
      </c>
      <c r="E186" s="24" t="s">
        <v>123</v>
      </c>
      <c r="F186" s="25">
        <v>2002</v>
      </c>
      <c r="G186" s="25">
        <v>73</v>
      </c>
      <c r="H186" s="29">
        <v>49</v>
      </c>
      <c r="I186" s="28" t="s">
        <v>218</v>
      </c>
      <c r="J186" s="39"/>
      <c r="K186" s="40"/>
      <c r="L186" s="43" t="str">
        <f t="shared" ref="L186:L205" si="49">IF((ISERROR((K186/$H186)*100)), "", IF(AND(NOT(ISERROR((K186/$H186)*100)),((K186/$H186)*100) &lt;&gt; 0), (K186/$H186)*100, ""))</f>
        <v/>
      </c>
      <c r="M186" s="40"/>
      <c r="N186" s="43" t="str">
        <f t="shared" si="48"/>
        <v/>
      </c>
      <c r="O186" s="40"/>
      <c r="P186" s="43" t="str">
        <f t="shared" ref="P186:P205" si="50">IF((ISERROR((O186/$H186)*100)), "", IF(AND(NOT(ISERROR((O186/$H186)*100)),((O186/$H186)*100) &lt;&gt; 0), (O186/$H186)*100, ""))</f>
        <v/>
      </c>
      <c r="Q186" s="40"/>
      <c r="R186" s="43" t="str">
        <f t="shared" ref="R186:R205" si="51">IF((ISERROR((Q186/$H186)*100)), "", IF(AND(NOT(ISERROR((Q186/$H186)*100)),((Q186/$H186)*100) &lt;&gt; 0), (Q186/$H186)*100, ""))</f>
        <v/>
      </c>
      <c r="S186" s="40"/>
      <c r="T186" s="43" t="str">
        <f t="shared" si="33"/>
        <v/>
      </c>
      <c r="U186" s="86"/>
      <c r="V186" s="43" t="str">
        <f t="shared" ref="V186:V205" si="52">IF((ISERROR((U186/$H186)*100)), "", IF(AND(NOT(ISERROR((U186/$H186)*100)),((U186/$H186)*100) &lt;&gt; 0), (U186/$H186)*100, ""))</f>
        <v/>
      </c>
      <c r="W186" s="40"/>
      <c r="X186" s="43" t="str">
        <f t="shared" ref="X186:X205" si="53">IF((ISERROR((W186/$H186)*100)), "", IF(AND(NOT(ISERROR((W186/$H186)*100)),((W186/$H186)*100) &lt;&gt; 0), (W186/$H186)*100, ""))</f>
        <v/>
      </c>
      <c r="Y186" s="40"/>
      <c r="Z186" s="43" t="str">
        <f t="shared" si="33"/>
        <v/>
      </c>
      <c r="AA186" s="40"/>
      <c r="AB186" s="43" t="str">
        <f t="shared" si="47"/>
        <v/>
      </c>
      <c r="AC186" s="40"/>
      <c r="AD186" s="43" t="str">
        <f t="shared" ref="AD186:AD205" si="54">IF((ISERROR((AC186/$H186)*100)), "", IF(AND(NOT(ISERROR((AC186/$H186)*100)),((AC186/$H186)*100) &lt;&gt; 0), (AC186/$H186)*100, ""))</f>
        <v/>
      </c>
      <c r="AE186" s="40"/>
      <c r="AF186" s="43" t="str">
        <f t="shared" ref="AF186:AF205" si="55">IF((ISERROR((AE186/$H186)*100)), "", IF(AND(NOT(ISERROR((AE186/$H186)*100)),((AE186/$H186)*100) &lt;&gt; 0), (AE186/$H186)*100, ""))</f>
        <v/>
      </c>
      <c r="AG186" s="24" t="s">
        <v>196</v>
      </c>
      <c r="AH186" s="24"/>
      <c r="AI186" s="24"/>
      <c r="AJ186" s="24"/>
      <c r="AK186" s="24"/>
      <c r="AL186" s="24"/>
      <c r="AM186" s="24"/>
      <c r="AN186" s="24"/>
      <c r="AO186" s="24"/>
      <c r="AP186" s="24"/>
      <c r="AQ186" s="24"/>
      <c r="AR186" s="24"/>
      <c r="AS186" s="24"/>
      <c r="AT186" s="24"/>
      <c r="AU186" s="24"/>
      <c r="AV186" s="24"/>
      <c r="AW186" s="24"/>
      <c r="AX186" s="24"/>
      <c r="AY186" s="24"/>
      <c r="AZ186" s="24"/>
    </row>
    <row r="187" spans="1:52" ht="20" customHeight="1" x14ac:dyDescent="0.2">
      <c r="A187" s="67"/>
      <c r="B187" s="95"/>
      <c r="C187" s="25" t="s">
        <v>86</v>
      </c>
      <c r="D187" s="24" t="s">
        <v>347</v>
      </c>
      <c r="E187" s="24" t="s">
        <v>348</v>
      </c>
      <c r="F187" s="25">
        <v>2015</v>
      </c>
      <c r="H187" s="29">
        <v>5</v>
      </c>
      <c r="I187" s="28" t="s">
        <v>235</v>
      </c>
      <c r="J187" s="39" t="s">
        <v>208</v>
      </c>
      <c r="K187" s="40"/>
      <c r="L187" s="43" t="str">
        <f t="shared" si="49"/>
        <v/>
      </c>
      <c r="M187" s="40"/>
      <c r="N187" s="43" t="str">
        <f t="shared" si="48"/>
        <v/>
      </c>
      <c r="O187" s="40"/>
      <c r="P187" s="43" t="str">
        <f t="shared" si="50"/>
        <v/>
      </c>
      <c r="Q187" s="40"/>
      <c r="R187" s="43" t="str">
        <f t="shared" si="51"/>
        <v/>
      </c>
      <c r="S187" s="40"/>
      <c r="T187" s="43" t="str">
        <f t="shared" si="33"/>
        <v/>
      </c>
      <c r="U187" s="86">
        <v>1</v>
      </c>
      <c r="V187" s="43">
        <f t="shared" si="52"/>
        <v>20</v>
      </c>
      <c r="W187" s="40"/>
      <c r="X187" s="43" t="str">
        <f t="shared" si="53"/>
        <v/>
      </c>
      <c r="Y187" s="40"/>
      <c r="Z187" s="43" t="str">
        <f t="shared" si="33"/>
        <v/>
      </c>
      <c r="AA187" s="40"/>
      <c r="AB187" s="43" t="str">
        <f t="shared" si="47"/>
        <v/>
      </c>
      <c r="AC187" s="40"/>
      <c r="AD187" s="43" t="str">
        <f t="shared" si="54"/>
        <v/>
      </c>
      <c r="AE187" s="40"/>
      <c r="AF187" s="43" t="str">
        <f t="shared" si="55"/>
        <v/>
      </c>
      <c r="AG187" s="24"/>
      <c r="AH187" s="24"/>
      <c r="AI187" s="24"/>
      <c r="AJ187" s="24"/>
      <c r="AK187" s="24"/>
      <c r="AL187" s="24"/>
      <c r="AM187" s="24"/>
      <c r="AN187" s="24"/>
      <c r="AO187" s="24"/>
      <c r="AP187" s="24"/>
      <c r="AQ187" s="24"/>
      <c r="AR187" s="24"/>
      <c r="AS187" s="24"/>
      <c r="AT187" s="24"/>
      <c r="AU187" s="24"/>
      <c r="AV187" s="24"/>
      <c r="AW187" s="24"/>
      <c r="AX187" s="24"/>
      <c r="AY187" s="24"/>
      <c r="AZ187" s="24"/>
    </row>
    <row r="188" spans="1:52" ht="20" customHeight="1" x14ac:dyDescent="0.2">
      <c r="A188" s="67"/>
      <c r="B188" s="96"/>
      <c r="C188" s="25" t="s">
        <v>86</v>
      </c>
      <c r="D188" s="24" t="s">
        <v>349</v>
      </c>
      <c r="E188" s="24" t="s">
        <v>350</v>
      </c>
      <c r="F188" s="25">
        <v>2008</v>
      </c>
      <c r="H188" s="29">
        <v>86</v>
      </c>
      <c r="I188" s="28" t="s">
        <v>189</v>
      </c>
      <c r="J188" s="39"/>
      <c r="K188" s="40"/>
      <c r="L188" s="43" t="str">
        <f t="shared" si="49"/>
        <v/>
      </c>
      <c r="M188" s="40"/>
      <c r="N188" s="43" t="str">
        <f t="shared" si="48"/>
        <v/>
      </c>
      <c r="O188" s="40"/>
      <c r="P188" s="43" t="str">
        <f t="shared" si="50"/>
        <v/>
      </c>
      <c r="Q188" s="40"/>
      <c r="R188" s="43" t="str">
        <f t="shared" si="51"/>
        <v/>
      </c>
      <c r="S188" s="40"/>
      <c r="T188" s="43" t="str">
        <f t="shared" si="33"/>
        <v/>
      </c>
      <c r="U188" s="86"/>
      <c r="V188" s="43" t="str">
        <f t="shared" si="52"/>
        <v/>
      </c>
      <c r="W188" s="40"/>
      <c r="X188" s="43" t="str">
        <f t="shared" si="53"/>
        <v/>
      </c>
      <c r="Y188" s="40"/>
      <c r="Z188" s="43" t="str">
        <f t="shared" si="33"/>
        <v/>
      </c>
      <c r="AA188" s="40"/>
      <c r="AB188" s="43" t="str">
        <f t="shared" si="47"/>
        <v/>
      </c>
      <c r="AC188" s="40"/>
      <c r="AD188" s="43" t="str">
        <f t="shared" si="54"/>
        <v/>
      </c>
      <c r="AE188" s="40"/>
      <c r="AF188" s="43" t="str">
        <f t="shared" si="55"/>
        <v/>
      </c>
      <c r="AG188" s="24" t="s">
        <v>412</v>
      </c>
      <c r="AH188" s="24"/>
      <c r="AI188" s="24"/>
      <c r="AJ188" s="24"/>
      <c r="AK188" s="24"/>
      <c r="AL188" s="24"/>
      <c r="AM188" s="24"/>
      <c r="AN188" s="24"/>
      <c r="AO188" s="24"/>
      <c r="AP188" s="24"/>
      <c r="AQ188" s="24"/>
      <c r="AR188" s="24"/>
      <c r="AS188" s="24"/>
      <c r="AT188" s="24"/>
      <c r="AU188" s="24"/>
      <c r="AV188" s="24"/>
      <c r="AW188" s="24"/>
      <c r="AX188" s="24"/>
      <c r="AY188" s="24"/>
      <c r="AZ188" s="24"/>
    </row>
    <row r="189" spans="1:52" ht="20" customHeight="1" x14ac:dyDescent="0.2">
      <c r="A189" s="67"/>
      <c r="B189" s="96"/>
      <c r="C189" s="25" t="s">
        <v>86</v>
      </c>
      <c r="D189" s="24" t="s">
        <v>351</v>
      </c>
      <c r="E189" s="24" t="s">
        <v>352</v>
      </c>
      <c r="F189" s="25">
        <v>2012</v>
      </c>
      <c r="H189" s="29">
        <v>16</v>
      </c>
      <c r="I189" s="28" t="s">
        <v>413</v>
      </c>
      <c r="J189" s="39" t="s">
        <v>233</v>
      </c>
      <c r="K189" s="40"/>
      <c r="L189" s="43" t="str">
        <f t="shared" si="49"/>
        <v/>
      </c>
      <c r="M189" s="40"/>
      <c r="N189" s="43" t="str">
        <f t="shared" si="48"/>
        <v/>
      </c>
      <c r="O189" s="40"/>
      <c r="P189" s="43" t="str">
        <f t="shared" si="50"/>
        <v/>
      </c>
      <c r="Q189" s="40"/>
      <c r="R189" s="43" t="str">
        <f t="shared" si="51"/>
        <v/>
      </c>
      <c r="S189" s="40"/>
      <c r="T189" s="43" t="str">
        <f t="shared" si="33"/>
        <v/>
      </c>
      <c r="U189" s="86"/>
      <c r="V189" s="43" t="str">
        <f t="shared" si="52"/>
        <v/>
      </c>
      <c r="W189" s="40"/>
      <c r="X189" s="43" t="str">
        <f t="shared" si="53"/>
        <v/>
      </c>
      <c r="Y189" s="40"/>
      <c r="Z189" s="43" t="str">
        <f t="shared" si="33"/>
        <v/>
      </c>
      <c r="AA189" s="40"/>
      <c r="AB189" s="43" t="str">
        <f t="shared" si="47"/>
        <v/>
      </c>
      <c r="AC189" s="40"/>
      <c r="AD189" s="43" t="str">
        <f t="shared" si="54"/>
        <v/>
      </c>
      <c r="AE189" s="40"/>
      <c r="AF189" s="43" t="str">
        <f t="shared" si="55"/>
        <v/>
      </c>
      <c r="AG189" s="24"/>
      <c r="AH189" s="24"/>
      <c r="AI189" s="24"/>
      <c r="AJ189" s="24"/>
      <c r="AK189" s="24"/>
      <c r="AL189" s="24"/>
      <c r="AM189" s="24"/>
      <c r="AN189" s="24"/>
      <c r="AO189" s="24"/>
      <c r="AP189" s="24"/>
      <c r="AQ189" s="24"/>
      <c r="AR189" s="24"/>
      <c r="AS189" s="24"/>
      <c r="AT189" s="24"/>
      <c r="AU189" s="24"/>
      <c r="AV189" s="24"/>
      <c r="AW189" s="24"/>
      <c r="AX189" s="24"/>
      <c r="AY189" s="24"/>
      <c r="AZ189" s="24"/>
    </row>
    <row r="190" spans="1:52" ht="20" customHeight="1" x14ac:dyDescent="0.2">
      <c r="A190" s="68"/>
      <c r="B190" s="25"/>
      <c r="C190" s="57" t="s">
        <v>35</v>
      </c>
      <c r="D190" s="56" t="s">
        <v>124</v>
      </c>
      <c r="E190" s="56" t="s">
        <v>125</v>
      </c>
      <c r="F190" s="57">
        <v>2007</v>
      </c>
      <c r="G190" s="57">
        <v>60</v>
      </c>
      <c r="H190" s="29"/>
      <c r="I190" s="28"/>
      <c r="J190" s="39"/>
      <c r="K190" s="40"/>
      <c r="L190" s="43" t="str">
        <f t="shared" si="49"/>
        <v/>
      </c>
      <c r="M190" s="40"/>
      <c r="N190" s="43" t="str">
        <f t="shared" si="48"/>
        <v/>
      </c>
      <c r="O190" s="40"/>
      <c r="P190" s="43" t="str">
        <f t="shared" si="50"/>
        <v/>
      </c>
      <c r="Q190" s="40"/>
      <c r="R190" s="43" t="str">
        <f t="shared" si="51"/>
        <v/>
      </c>
      <c r="S190" s="40"/>
      <c r="T190" s="43" t="str">
        <f t="shared" si="33"/>
        <v/>
      </c>
      <c r="U190" s="86"/>
      <c r="V190" s="43" t="str">
        <f t="shared" si="52"/>
        <v/>
      </c>
      <c r="W190" s="40"/>
      <c r="X190" s="43" t="str">
        <f t="shared" si="53"/>
        <v/>
      </c>
      <c r="Y190" s="40"/>
      <c r="Z190" s="43" t="str">
        <f t="shared" si="33"/>
        <v/>
      </c>
      <c r="AA190" s="40"/>
      <c r="AB190" s="43" t="str">
        <f t="shared" si="47"/>
        <v/>
      </c>
      <c r="AC190" s="40"/>
      <c r="AD190" s="43" t="str">
        <f t="shared" si="54"/>
        <v/>
      </c>
      <c r="AE190" s="40"/>
      <c r="AF190" s="43" t="str">
        <f t="shared" si="55"/>
        <v/>
      </c>
      <c r="AG190" s="24" t="s">
        <v>435</v>
      </c>
      <c r="AH190" s="24"/>
      <c r="AI190" s="24"/>
      <c r="AJ190" s="24"/>
      <c r="AK190" s="24"/>
      <c r="AL190" s="24"/>
      <c r="AM190" s="24"/>
      <c r="AN190" s="24"/>
      <c r="AO190" s="24"/>
      <c r="AP190" s="24"/>
      <c r="AQ190" s="24"/>
      <c r="AR190" s="24"/>
      <c r="AS190" s="24"/>
      <c r="AT190" s="24"/>
      <c r="AU190" s="24"/>
      <c r="AV190" s="24"/>
      <c r="AW190" s="24"/>
      <c r="AX190" s="24"/>
      <c r="AY190" s="24"/>
      <c r="AZ190" s="24"/>
    </row>
    <row r="191" spans="1:52" ht="20" customHeight="1" x14ac:dyDescent="0.2">
      <c r="A191" s="68"/>
      <c r="B191" s="25"/>
      <c r="C191" s="25" t="s">
        <v>86</v>
      </c>
      <c r="D191" s="24" t="s">
        <v>128</v>
      </c>
      <c r="E191" s="24" t="s">
        <v>129</v>
      </c>
      <c r="F191" s="25">
        <v>2000</v>
      </c>
      <c r="G191" s="25">
        <v>252</v>
      </c>
      <c r="H191" s="29">
        <v>40</v>
      </c>
      <c r="I191" s="28" t="s">
        <v>246</v>
      </c>
      <c r="J191" s="39" t="s">
        <v>176</v>
      </c>
      <c r="K191" s="40"/>
      <c r="L191" s="43" t="str">
        <f t="shared" si="49"/>
        <v/>
      </c>
      <c r="M191" s="40"/>
      <c r="N191" s="43" t="str">
        <f t="shared" si="48"/>
        <v/>
      </c>
      <c r="O191" s="40"/>
      <c r="P191" s="43" t="str">
        <f t="shared" si="50"/>
        <v/>
      </c>
      <c r="Q191" s="40"/>
      <c r="R191" s="43" t="str">
        <f t="shared" si="51"/>
        <v/>
      </c>
      <c r="S191" s="40"/>
      <c r="T191" s="43" t="str">
        <f t="shared" si="33"/>
        <v/>
      </c>
      <c r="U191" s="86"/>
      <c r="V191" s="43" t="str">
        <f t="shared" si="52"/>
        <v/>
      </c>
      <c r="W191" s="40"/>
      <c r="X191" s="43" t="str">
        <f t="shared" si="53"/>
        <v/>
      </c>
      <c r="Y191" s="40"/>
      <c r="Z191" s="43" t="str">
        <f t="shared" si="33"/>
        <v/>
      </c>
      <c r="AA191" s="40"/>
      <c r="AB191" s="43" t="str">
        <f t="shared" si="47"/>
        <v/>
      </c>
      <c r="AC191" s="40"/>
      <c r="AD191" s="43" t="str">
        <f t="shared" si="54"/>
        <v/>
      </c>
      <c r="AE191" s="40"/>
      <c r="AF191" s="43" t="str">
        <f t="shared" si="55"/>
        <v/>
      </c>
      <c r="AG191" s="24" t="s">
        <v>247</v>
      </c>
      <c r="AH191" s="24"/>
      <c r="AI191" s="24"/>
      <c r="AJ191" s="24"/>
      <c r="AK191" s="24"/>
      <c r="AL191" s="24"/>
      <c r="AM191" s="24"/>
      <c r="AN191" s="24"/>
      <c r="AO191" s="24"/>
      <c r="AP191" s="24"/>
      <c r="AQ191" s="24"/>
      <c r="AR191" s="24"/>
      <c r="AS191" s="24"/>
      <c r="AT191" s="24"/>
      <c r="AU191" s="24"/>
      <c r="AV191" s="24"/>
      <c r="AW191" s="24"/>
      <c r="AX191" s="24"/>
      <c r="AY191" s="24"/>
      <c r="AZ191" s="24"/>
    </row>
    <row r="192" spans="1:52" ht="20" customHeight="1" x14ac:dyDescent="0.2">
      <c r="A192" s="67"/>
      <c r="B192" s="95"/>
      <c r="C192" s="25" t="s">
        <v>86</v>
      </c>
      <c r="D192" s="24" t="s">
        <v>132</v>
      </c>
      <c r="E192" s="24" t="s">
        <v>133</v>
      </c>
      <c r="F192" s="25">
        <v>1998</v>
      </c>
      <c r="G192" s="25">
        <v>213</v>
      </c>
      <c r="H192" s="29">
        <v>6</v>
      </c>
      <c r="I192" s="28" t="s">
        <v>189</v>
      </c>
      <c r="J192" s="39"/>
      <c r="K192" s="40"/>
      <c r="L192" s="43" t="str">
        <f t="shared" si="49"/>
        <v/>
      </c>
      <c r="M192" s="40"/>
      <c r="N192" s="43" t="str">
        <f t="shared" si="48"/>
        <v/>
      </c>
      <c r="O192" s="40"/>
      <c r="P192" s="43" t="str">
        <f t="shared" si="50"/>
        <v/>
      </c>
      <c r="Q192" s="40"/>
      <c r="R192" s="43" t="str">
        <f t="shared" si="51"/>
        <v/>
      </c>
      <c r="S192" s="40"/>
      <c r="T192" s="43" t="str">
        <f t="shared" si="33"/>
        <v/>
      </c>
      <c r="U192" s="86"/>
      <c r="V192" s="43" t="str">
        <f t="shared" si="52"/>
        <v/>
      </c>
      <c r="W192" s="40"/>
      <c r="X192" s="43" t="str">
        <f t="shared" si="53"/>
        <v/>
      </c>
      <c r="Y192" s="40"/>
      <c r="Z192" s="43" t="str">
        <f t="shared" si="33"/>
        <v/>
      </c>
      <c r="AA192" s="40"/>
      <c r="AB192" s="43" t="str">
        <f t="shared" si="47"/>
        <v/>
      </c>
      <c r="AC192" s="40"/>
      <c r="AD192" s="43" t="str">
        <f t="shared" si="54"/>
        <v/>
      </c>
      <c r="AE192" s="40"/>
      <c r="AF192" s="43" t="str">
        <f t="shared" si="55"/>
        <v/>
      </c>
      <c r="AG192" s="24" t="s">
        <v>248</v>
      </c>
      <c r="AH192" s="24"/>
      <c r="AI192" s="24"/>
      <c r="AJ192" s="24"/>
      <c r="AK192" s="24"/>
      <c r="AL192" s="24"/>
      <c r="AM192" s="24"/>
      <c r="AN192" s="24"/>
      <c r="AO192" s="24"/>
      <c r="AP192" s="24"/>
      <c r="AQ192" s="24"/>
      <c r="AR192" s="24"/>
      <c r="AS192" s="24"/>
      <c r="AT192" s="24"/>
      <c r="AU192" s="24"/>
      <c r="AV192" s="24"/>
      <c r="AW192" s="24"/>
      <c r="AX192" s="24"/>
      <c r="AY192" s="24"/>
      <c r="AZ192" s="24"/>
    </row>
    <row r="193" spans="1:52" ht="20" customHeight="1" x14ac:dyDescent="0.2">
      <c r="A193" s="68"/>
      <c r="B193" s="95"/>
      <c r="C193" s="25" t="s">
        <v>86</v>
      </c>
      <c r="D193" s="24" t="s">
        <v>134</v>
      </c>
      <c r="E193" s="24" t="s">
        <v>135</v>
      </c>
      <c r="F193" s="25">
        <v>2001</v>
      </c>
      <c r="G193" s="25">
        <v>192</v>
      </c>
      <c r="H193" s="29">
        <v>40</v>
      </c>
      <c r="I193" s="28" t="s">
        <v>189</v>
      </c>
      <c r="J193" s="39" t="s">
        <v>176</v>
      </c>
      <c r="K193" s="40"/>
      <c r="L193" s="43" t="str">
        <f t="shared" si="49"/>
        <v/>
      </c>
      <c r="M193" s="40">
        <v>2</v>
      </c>
      <c r="N193" s="43">
        <f t="shared" si="48"/>
        <v>5</v>
      </c>
      <c r="O193" s="40"/>
      <c r="P193" s="43" t="str">
        <f t="shared" si="50"/>
        <v/>
      </c>
      <c r="Q193" s="40"/>
      <c r="R193" s="43" t="str">
        <f t="shared" si="51"/>
        <v/>
      </c>
      <c r="S193" s="40"/>
      <c r="T193" s="43" t="str">
        <f t="shared" si="33"/>
        <v/>
      </c>
      <c r="U193" s="86"/>
      <c r="V193" s="43" t="str">
        <f t="shared" si="52"/>
        <v/>
      </c>
      <c r="W193" s="40"/>
      <c r="X193" s="43" t="str">
        <f t="shared" si="53"/>
        <v/>
      </c>
      <c r="Y193" s="40"/>
      <c r="Z193" s="43" t="str">
        <f t="shared" si="33"/>
        <v/>
      </c>
      <c r="AA193" s="40"/>
      <c r="AB193" s="43" t="str">
        <f t="shared" si="47"/>
        <v/>
      </c>
      <c r="AC193" s="40"/>
      <c r="AD193" s="43" t="str">
        <f t="shared" si="54"/>
        <v/>
      </c>
      <c r="AE193" s="40"/>
      <c r="AF193" s="43" t="str">
        <f t="shared" si="55"/>
        <v/>
      </c>
      <c r="AG193" s="24" t="s">
        <v>436</v>
      </c>
      <c r="AH193" s="24"/>
      <c r="AI193" s="24"/>
      <c r="AJ193" s="24"/>
      <c r="AK193" s="24"/>
      <c r="AL193" s="24"/>
      <c r="AM193" s="24"/>
      <c r="AN193" s="24"/>
      <c r="AO193" s="24"/>
      <c r="AP193" s="24"/>
      <c r="AQ193" s="24"/>
      <c r="AR193" s="24"/>
      <c r="AS193" s="24"/>
      <c r="AT193" s="24"/>
      <c r="AU193" s="24"/>
      <c r="AV193" s="24"/>
      <c r="AW193" s="24"/>
      <c r="AX193" s="24"/>
      <c r="AY193" s="24"/>
      <c r="AZ193" s="24"/>
    </row>
    <row r="194" spans="1:52" ht="20" customHeight="1" x14ac:dyDescent="0.2">
      <c r="A194" s="67"/>
      <c r="B194" s="96"/>
      <c r="C194" s="25" t="s">
        <v>86</v>
      </c>
      <c r="D194" s="24" t="s">
        <v>154</v>
      </c>
      <c r="E194" s="24" t="s">
        <v>153</v>
      </c>
      <c r="F194" s="25">
        <v>1999</v>
      </c>
      <c r="G194" s="25">
        <v>9</v>
      </c>
      <c r="H194" s="29">
        <v>30</v>
      </c>
      <c r="I194" s="28" t="s">
        <v>250</v>
      </c>
      <c r="J194" s="39" t="s">
        <v>251</v>
      </c>
      <c r="K194" s="40"/>
      <c r="L194" s="43" t="str">
        <f t="shared" si="49"/>
        <v/>
      </c>
      <c r="M194" s="40"/>
      <c r="N194" s="43" t="str">
        <f t="shared" si="48"/>
        <v/>
      </c>
      <c r="O194" s="40"/>
      <c r="P194" s="43" t="str">
        <f t="shared" si="50"/>
        <v/>
      </c>
      <c r="Q194" s="40"/>
      <c r="R194" s="43" t="str">
        <f t="shared" si="51"/>
        <v/>
      </c>
      <c r="S194" s="40"/>
      <c r="T194" s="43" t="str">
        <f t="shared" si="33"/>
        <v/>
      </c>
      <c r="U194" s="86"/>
      <c r="V194" s="43" t="str">
        <f t="shared" si="52"/>
        <v/>
      </c>
      <c r="W194" s="40"/>
      <c r="X194" s="43" t="str">
        <f t="shared" si="53"/>
        <v/>
      </c>
      <c r="Y194" s="40"/>
      <c r="Z194" s="43" t="str">
        <f t="shared" si="33"/>
        <v/>
      </c>
      <c r="AA194" s="40"/>
      <c r="AB194" s="43" t="str">
        <f t="shared" si="47"/>
        <v/>
      </c>
      <c r="AC194" s="40"/>
      <c r="AD194" s="43" t="str">
        <f t="shared" si="54"/>
        <v/>
      </c>
      <c r="AE194" s="40"/>
      <c r="AF194" s="43" t="str">
        <f t="shared" si="55"/>
        <v/>
      </c>
      <c r="AG194" s="24" t="s">
        <v>437</v>
      </c>
      <c r="AH194" s="24"/>
      <c r="AI194" s="24"/>
      <c r="AJ194" s="24"/>
      <c r="AK194" s="24"/>
      <c r="AL194" s="24"/>
      <c r="AM194" s="24"/>
      <c r="AN194" s="24"/>
      <c r="AO194" s="24"/>
      <c r="AP194" s="24"/>
      <c r="AQ194" s="24"/>
      <c r="AR194" s="24"/>
      <c r="AS194" s="24"/>
      <c r="AT194" s="24"/>
      <c r="AU194" s="24"/>
      <c r="AV194" s="24"/>
      <c r="AW194" s="24"/>
      <c r="AX194" s="24"/>
      <c r="AY194" s="24"/>
      <c r="AZ194" s="24"/>
    </row>
    <row r="195" spans="1:52" ht="20" customHeight="1" x14ac:dyDescent="0.2">
      <c r="A195" s="68"/>
      <c r="B195" s="25"/>
      <c r="C195" s="25" t="s">
        <v>86</v>
      </c>
      <c r="D195" s="24" t="s">
        <v>136</v>
      </c>
      <c r="E195" s="24" t="s">
        <v>137</v>
      </c>
      <c r="F195" s="25">
        <v>2007</v>
      </c>
      <c r="G195" s="25">
        <v>240</v>
      </c>
      <c r="H195" s="29">
        <v>105</v>
      </c>
      <c r="I195" s="28" t="s">
        <v>253</v>
      </c>
      <c r="J195" s="39" t="s">
        <v>176</v>
      </c>
      <c r="K195" s="40"/>
      <c r="L195" s="43" t="str">
        <f t="shared" si="49"/>
        <v/>
      </c>
      <c r="M195" s="40"/>
      <c r="N195" s="43" t="str">
        <f t="shared" si="48"/>
        <v/>
      </c>
      <c r="O195" s="40"/>
      <c r="P195" s="43" t="str">
        <f t="shared" si="50"/>
        <v/>
      </c>
      <c r="Q195" s="40"/>
      <c r="R195" s="43" t="str">
        <f t="shared" si="51"/>
        <v/>
      </c>
      <c r="S195" s="40"/>
      <c r="T195" s="43" t="str">
        <f t="shared" si="33"/>
        <v/>
      </c>
      <c r="U195" s="86"/>
      <c r="V195" s="43" t="str">
        <f t="shared" si="52"/>
        <v/>
      </c>
      <c r="W195" s="40"/>
      <c r="X195" s="43" t="str">
        <f t="shared" si="53"/>
        <v/>
      </c>
      <c r="Y195" s="40"/>
      <c r="Z195" s="43" t="str">
        <f t="shared" si="33"/>
        <v/>
      </c>
      <c r="AA195" s="40"/>
      <c r="AB195" s="43" t="str">
        <f t="shared" si="47"/>
        <v/>
      </c>
      <c r="AC195" s="40"/>
      <c r="AD195" s="43" t="str">
        <f t="shared" si="54"/>
        <v/>
      </c>
      <c r="AE195" s="40"/>
      <c r="AF195" s="43" t="str">
        <f t="shared" si="55"/>
        <v/>
      </c>
      <c r="AG195" s="24" t="s">
        <v>254</v>
      </c>
      <c r="AH195" s="24"/>
      <c r="AI195" s="24"/>
      <c r="AJ195" s="24"/>
      <c r="AK195" s="24"/>
      <c r="AL195" s="24"/>
      <c r="AM195" s="24"/>
      <c r="AN195" s="24"/>
      <c r="AO195" s="24"/>
      <c r="AP195" s="24"/>
      <c r="AQ195" s="24"/>
      <c r="AR195" s="24"/>
      <c r="AS195" s="24"/>
      <c r="AT195" s="24"/>
      <c r="AU195" s="24"/>
      <c r="AV195" s="24"/>
      <c r="AW195" s="24"/>
      <c r="AX195" s="24"/>
      <c r="AY195" s="24"/>
      <c r="AZ195" s="24"/>
    </row>
    <row r="196" spans="1:52" ht="20" customHeight="1" x14ac:dyDescent="0.2">
      <c r="A196" s="67"/>
      <c r="B196" s="95"/>
      <c r="C196" s="25" t="s">
        <v>86</v>
      </c>
      <c r="D196" s="24" t="s">
        <v>138</v>
      </c>
      <c r="E196" s="24" t="s">
        <v>139</v>
      </c>
      <c r="F196" s="25">
        <v>2011</v>
      </c>
      <c r="G196" s="25">
        <v>42</v>
      </c>
      <c r="H196" s="29">
        <v>51</v>
      </c>
      <c r="I196" s="28" t="s">
        <v>255</v>
      </c>
      <c r="J196" s="39" t="s">
        <v>256</v>
      </c>
      <c r="K196" s="40"/>
      <c r="L196" s="43" t="str">
        <f t="shared" si="49"/>
        <v/>
      </c>
      <c r="M196" s="45">
        <v>21</v>
      </c>
      <c r="N196" s="46">
        <f t="shared" si="48"/>
        <v>41.17647058823529</v>
      </c>
      <c r="O196" s="40"/>
      <c r="P196" s="43" t="str">
        <f t="shared" si="50"/>
        <v/>
      </c>
      <c r="Q196" s="40"/>
      <c r="R196" s="43" t="str">
        <f t="shared" si="51"/>
        <v/>
      </c>
      <c r="S196" s="40"/>
      <c r="T196" s="43" t="str">
        <f t="shared" si="33"/>
        <v/>
      </c>
      <c r="U196" s="86"/>
      <c r="V196" s="43" t="str">
        <f t="shared" si="52"/>
        <v/>
      </c>
      <c r="W196" s="40"/>
      <c r="X196" s="43" t="str">
        <f t="shared" si="53"/>
        <v/>
      </c>
      <c r="Y196" s="45">
        <v>1</v>
      </c>
      <c r="Z196" s="46">
        <f t="shared" si="33"/>
        <v>1.9607843137254901</v>
      </c>
      <c r="AA196" s="40"/>
      <c r="AB196" s="43" t="str">
        <f t="shared" si="47"/>
        <v/>
      </c>
      <c r="AC196" s="40"/>
      <c r="AD196" s="43" t="str">
        <f t="shared" si="54"/>
        <v/>
      </c>
      <c r="AE196" s="40"/>
      <c r="AF196" s="43" t="str">
        <f t="shared" si="55"/>
        <v/>
      </c>
      <c r="AG196" s="24" t="s">
        <v>438</v>
      </c>
      <c r="AH196" s="24"/>
      <c r="AI196" s="24"/>
      <c r="AJ196" s="24"/>
      <c r="AK196" s="24"/>
      <c r="AL196" s="24"/>
      <c r="AM196" s="24"/>
      <c r="AN196" s="24"/>
      <c r="AO196" s="24"/>
      <c r="AP196" s="24"/>
      <c r="AQ196" s="24"/>
      <c r="AR196" s="24"/>
      <c r="AS196" s="24"/>
      <c r="AT196" s="24"/>
      <c r="AU196" s="24"/>
      <c r="AV196" s="24"/>
      <c r="AW196" s="24"/>
      <c r="AX196" s="24"/>
      <c r="AY196" s="24"/>
      <c r="AZ196" s="24"/>
    </row>
    <row r="197" spans="1:52" ht="20" customHeight="1" x14ac:dyDescent="0.2">
      <c r="A197" s="67"/>
      <c r="B197" s="95"/>
      <c r="C197" s="25" t="s">
        <v>86</v>
      </c>
      <c r="D197" s="24" t="s">
        <v>353</v>
      </c>
      <c r="E197" s="24" t="s">
        <v>354</v>
      </c>
      <c r="F197" s="25">
        <v>2010</v>
      </c>
      <c r="H197" s="29">
        <v>53</v>
      </c>
      <c r="I197" s="91" t="s">
        <v>415</v>
      </c>
      <c r="J197" s="39" t="s">
        <v>414</v>
      </c>
      <c r="K197" s="40"/>
      <c r="L197" s="43" t="str">
        <f t="shared" si="49"/>
        <v/>
      </c>
      <c r="M197" s="40"/>
      <c r="N197" s="43"/>
      <c r="O197" s="40">
        <v>3</v>
      </c>
      <c r="P197" s="43">
        <f t="shared" si="50"/>
        <v>5.6603773584905666</v>
      </c>
      <c r="Q197" s="40">
        <v>9</v>
      </c>
      <c r="R197" s="43">
        <f t="shared" si="51"/>
        <v>16.981132075471699</v>
      </c>
      <c r="S197" s="40"/>
      <c r="T197" s="43" t="str">
        <f t="shared" si="33"/>
        <v/>
      </c>
      <c r="U197" s="86"/>
      <c r="V197" s="43" t="str">
        <f t="shared" si="52"/>
        <v/>
      </c>
      <c r="W197" s="40"/>
      <c r="X197" s="43" t="str">
        <f t="shared" si="53"/>
        <v/>
      </c>
      <c r="Y197" s="40">
        <v>2</v>
      </c>
      <c r="Z197" s="43">
        <f t="shared" si="33"/>
        <v>3.7735849056603774</v>
      </c>
      <c r="AA197" s="40"/>
      <c r="AB197" s="43" t="str">
        <f t="shared" si="47"/>
        <v/>
      </c>
      <c r="AC197" s="40"/>
      <c r="AD197" s="43" t="str">
        <f t="shared" si="54"/>
        <v/>
      </c>
      <c r="AE197" s="40"/>
      <c r="AF197" s="43" t="str">
        <f t="shared" si="55"/>
        <v/>
      </c>
      <c r="AG197" s="24" t="s">
        <v>416</v>
      </c>
      <c r="AH197" s="24"/>
      <c r="AI197" s="24"/>
      <c r="AJ197" s="24"/>
      <c r="AK197" s="24"/>
      <c r="AL197" s="24"/>
      <c r="AM197" s="24"/>
      <c r="AN197" s="24"/>
      <c r="AO197" s="24"/>
      <c r="AP197" s="24"/>
      <c r="AQ197" s="24"/>
      <c r="AR197" s="24"/>
      <c r="AS197" s="24"/>
      <c r="AT197" s="24"/>
      <c r="AU197" s="24"/>
      <c r="AV197" s="24"/>
      <c r="AW197" s="24"/>
      <c r="AX197" s="24"/>
      <c r="AY197" s="24"/>
      <c r="AZ197" s="24"/>
    </row>
    <row r="198" spans="1:52" ht="20" customHeight="1" x14ac:dyDescent="0.2">
      <c r="A198" s="67"/>
      <c r="B198" s="95"/>
      <c r="C198" s="25" t="s">
        <v>86</v>
      </c>
      <c r="D198" s="24" t="s">
        <v>355</v>
      </c>
      <c r="E198" s="24" t="s">
        <v>356</v>
      </c>
      <c r="F198" s="25">
        <v>2014</v>
      </c>
      <c r="H198" s="29">
        <v>39</v>
      </c>
      <c r="I198" s="28" t="s">
        <v>235</v>
      </c>
      <c r="J198" s="39" t="s">
        <v>417</v>
      </c>
      <c r="K198" s="40"/>
      <c r="L198" s="43" t="str">
        <f t="shared" si="49"/>
        <v/>
      </c>
      <c r="M198" s="40"/>
      <c r="N198" s="43" t="str">
        <f t="shared" si="48"/>
        <v/>
      </c>
      <c r="O198" s="40"/>
      <c r="P198" s="43" t="str">
        <f t="shared" si="50"/>
        <v/>
      </c>
      <c r="Q198" s="40"/>
      <c r="R198" s="43" t="str">
        <f t="shared" si="51"/>
        <v/>
      </c>
      <c r="S198" s="40"/>
      <c r="T198" s="43" t="str">
        <f t="shared" si="33"/>
        <v/>
      </c>
      <c r="U198" s="86">
        <v>8</v>
      </c>
      <c r="V198" s="43">
        <f t="shared" si="52"/>
        <v>20.512820512820511</v>
      </c>
      <c r="W198" s="40"/>
      <c r="X198" s="43" t="str">
        <f t="shared" si="53"/>
        <v/>
      </c>
      <c r="Y198" s="40"/>
      <c r="Z198" s="43" t="str">
        <f t="shared" si="33"/>
        <v/>
      </c>
      <c r="AA198" s="40"/>
      <c r="AB198" s="43" t="str">
        <f t="shared" si="47"/>
        <v/>
      </c>
      <c r="AC198" s="40"/>
      <c r="AD198" s="43" t="str">
        <f t="shared" si="54"/>
        <v/>
      </c>
      <c r="AE198" s="40"/>
      <c r="AF198" s="43" t="str">
        <f t="shared" si="55"/>
        <v/>
      </c>
      <c r="AG198" s="24" t="s">
        <v>439</v>
      </c>
      <c r="AH198" s="24"/>
      <c r="AI198" s="24"/>
      <c r="AJ198" s="24"/>
      <c r="AK198" s="24"/>
      <c r="AL198" s="24"/>
      <c r="AM198" s="24"/>
      <c r="AN198" s="24"/>
      <c r="AO198" s="24"/>
      <c r="AP198" s="24"/>
      <c r="AQ198" s="24"/>
      <c r="AR198" s="24"/>
      <c r="AS198" s="24"/>
      <c r="AT198" s="24"/>
      <c r="AU198" s="24"/>
      <c r="AV198" s="24"/>
      <c r="AW198" s="24"/>
      <c r="AX198" s="24"/>
      <c r="AY198" s="24"/>
      <c r="AZ198" s="24"/>
    </row>
    <row r="199" spans="1:52" ht="20" customHeight="1" x14ac:dyDescent="0.2">
      <c r="A199" s="67"/>
      <c r="B199" s="95"/>
      <c r="C199" s="25" t="s">
        <v>86</v>
      </c>
      <c r="D199" s="24" t="s">
        <v>357</v>
      </c>
      <c r="E199" s="24" t="s">
        <v>358</v>
      </c>
      <c r="F199" s="25">
        <v>2010</v>
      </c>
      <c r="H199" s="29">
        <v>789</v>
      </c>
      <c r="I199" s="28" t="s">
        <v>235</v>
      </c>
      <c r="J199" s="39" t="s">
        <v>419</v>
      </c>
      <c r="K199" s="40"/>
      <c r="L199" s="43" t="str">
        <f t="shared" si="49"/>
        <v/>
      </c>
      <c r="M199" s="40"/>
      <c r="N199" s="43" t="str">
        <f t="shared" si="48"/>
        <v/>
      </c>
      <c r="O199" s="40"/>
      <c r="P199" s="43" t="str">
        <f t="shared" si="50"/>
        <v/>
      </c>
      <c r="Q199" s="40"/>
      <c r="R199" s="43" t="str">
        <f t="shared" si="51"/>
        <v/>
      </c>
      <c r="S199" s="40"/>
      <c r="T199" s="43" t="str">
        <f t="shared" si="33"/>
        <v/>
      </c>
      <c r="U199" s="86">
        <v>43</v>
      </c>
      <c r="V199" s="43">
        <f t="shared" si="52"/>
        <v>5.4499366286438535</v>
      </c>
      <c r="W199" s="40"/>
      <c r="X199" s="43" t="str">
        <f t="shared" si="53"/>
        <v/>
      </c>
      <c r="Y199" s="40"/>
      <c r="Z199" s="43" t="str">
        <f t="shared" si="33"/>
        <v/>
      </c>
      <c r="AA199" s="40"/>
      <c r="AB199" s="43" t="str">
        <f t="shared" si="47"/>
        <v/>
      </c>
      <c r="AC199" s="40"/>
      <c r="AD199" s="43" t="str">
        <f t="shared" si="54"/>
        <v/>
      </c>
      <c r="AE199" s="40"/>
      <c r="AF199" s="43" t="str">
        <f t="shared" si="55"/>
        <v/>
      </c>
      <c r="AG199" s="24" t="s">
        <v>418</v>
      </c>
      <c r="AH199" s="24"/>
      <c r="AI199" s="24"/>
      <c r="AJ199" s="24"/>
      <c r="AK199" s="24"/>
      <c r="AL199" s="24"/>
      <c r="AM199" s="24"/>
      <c r="AN199" s="24"/>
      <c r="AO199" s="24"/>
      <c r="AP199" s="24"/>
      <c r="AQ199" s="24"/>
      <c r="AR199" s="24"/>
      <c r="AS199" s="24"/>
      <c r="AT199" s="24"/>
      <c r="AU199" s="24"/>
      <c r="AV199" s="24"/>
      <c r="AW199" s="24"/>
      <c r="AX199" s="24"/>
      <c r="AY199" s="24"/>
      <c r="AZ199" s="24"/>
    </row>
    <row r="200" spans="1:52" ht="20" customHeight="1" x14ac:dyDescent="0.2">
      <c r="A200" s="67"/>
      <c r="B200" s="96"/>
      <c r="C200" s="93" t="s">
        <v>423</v>
      </c>
      <c r="D200" s="24" t="s">
        <v>359</v>
      </c>
      <c r="E200" s="24" t="s">
        <v>360</v>
      </c>
      <c r="F200" s="25">
        <v>2016</v>
      </c>
      <c r="H200" s="29">
        <v>16</v>
      </c>
      <c r="I200" s="28" t="s">
        <v>421</v>
      </c>
      <c r="J200" s="92" t="s">
        <v>422</v>
      </c>
      <c r="K200" s="40"/>
      <c r="L200" s="43" t="str">
        <f t="shared" si="49"/>
        <v/>
      </c>
      <c r="M200" s="40"/>
      <c r="N200" s="43" t="str">
        <f t="shared" si="48"/>
        <v/>
      </c>
      <c r="O200" s="40"/>
      <c r="P200" s="43" t="str">
        <f t="shared" si="50"/>
        <v/>
      </c>
      <c r="Q200" s="40"/>
      <c r="R200" s="43" t="str">
        <f t="shared" si="51"/>
        <v/>
      </c>
      <c r="S200" s="40"/>
      <c r="T200" s="43" t="str">
        <f t="shared" si="33"/>
        <v/>
      </c>
      <c r="U200" s="86"/>
      <c r="V200" s="43" t="str">
        <f t="shared" si="52"/>
        <v/>
      </c>
      <c r="W200" s="40"/>
      <c r="X200" s="43" t="str">
        <f t="shared" si="53"/>
        <v/>
      </c>
      <c r="Y200" s="40"/>
      <c r="Z200" s="43" t="str">
        <f t="shared" si="33"/>
        <v/>
      </c>
      <c r="AA200" s="40"/>
      <c r="AB200" s="43" t="str">
        <f t="shared" si="47"/>
        <v/>
      </c>
      <c r="AC200" s="40"/>
      <c r="AD200" s="43" t="str">
        <f t="shared" si="54"/>
        <v/>
      </c>
      <c r="AE200" s="40"/>
      <c r="AF200" s="43" t="str">
        <f t="shared" si="55"/>
        <v/>
      </c>
      <c r="AG200" s="24" t="s">
        <v>424</v>
      </c>
      <c r="AH200" s="24"/>
      <c r="AI200" s="24"/>
      <c r="AJ200" s="24"/>
      <c r="AK200" s="24"/>
      <c r="AL200" s="24"/>
      <c r="AM200" s="24"/>
      <c r="AN200" s="24"/>
      <c r="AO200" s="24"/>
      <c r="AP200" s="24"/>
      <c r="AQ200" s="24"/>
      <c r="AR200" s="24"/>
      <c r="AS200" s="24"/>
      <c r="AT200" s="24"/>
      <c r="AU200" s="24"/>
      <c r="AV200" s="24"/>
      <c r="AW200" s="24"/>
      <c r="AX200" s="24"/>
      <c r="AY200" s="24"/>
      <c r="AZ200" s="24"/>
    </row>
    <row r="201" spans="1:52" ht="20" customHeight="1" x14ac:dyDescent="0.2">
      <c r="A201" s="67"/>
      <c r="B201" s="95"/>
      <c r="C201" s="94" t="s">
        <v>425</v>
      </c>
      <c r="D201" s="56" t="s">
        <v>140</v>
      </c>
      <c r="E201" s="56" t="s">
        <v>141</v>
      </c>
      <c r="F201" s="57">
        <v>2005</v>
      </c>
      <c r="G201" s="57">
        <v>21</v>
      </c>
      <c r="H201" s="29"/>
      <c r="I201" s="28" t="s">
        <v>259</v>
      </c>
      <c r="J201" s="39"/>
      <c r="K201" s="40"/>
      <c r="L201" s="43" t="str">
        <f t="shared" si="49"/>
        <v/>
      </c>
      <c r="M201" s="40"/>
      <c r="N201" s="43" t="str">
        <f t="shared" si="48"/>
        <v/>
      </c>
      <c r="O201" s="40"/>
      <c r="P201" s="43" t="str">
        <f t="shared" si="50"/>
        <v/>
      </c>
      <c r="Q201" s="40"/>
      <c r="R201" s="43" t="str">
        <f t="shared" si="51"/>
        <v/>
      </c>
      <c r="S201" s="40"/>
      <c r="T201" s="43" t="str">
        <f t="shared" si="33"/>
        <v/>
      </c>
      <c r="U201" s="86"/>
      <c r="V201" s="43" t="str">
        <f t="shared" si="52"/>
        <v/>
      </c>
      <c r="W201" s="40"/>
      <c r="X201" s="43" t="str">
        <f t="shared" si="53"/>
        <v/>
      </c>
      <c r="Y201" s="40"/>
      <c r="Z201" s="43" t="str">
        <f t="shared" si="33"/>
        <v/>
      </c>
      <c r="AA201" s="40"/>
      <c r="AB201" s="43" t="str">
        <f t="shared" si="47"/>
        <v/>
      </c>
      <c r="AC201" s="45">
        <v>5</v>
      </c>
      <c r="AD201" s="46" t="str">
        <f t="shared" si="54"/>
        <v/>
      </c>
      <c r="AE201" s="40"/>
      <c r="AF201" s="43" t="str">
        <f t="shared" si="55"/>
        <v/>
      </c>
      <c r="AG201" s="24" t="s">
        <v>260</v>
      </c>
      <c r="AH201" s="24"/>
      <c r="AI201" s="24"/>
      <c r="AJ201" s="24"/>
      <c r="AK201" s="24"/>
      <c r="AL201" s="24"/>
      <c r="AM201" s="24"/>
      <c r="AN201" s="24"/>
      <c r="AO201" s="24"/>
      <c r="AP201" s="24"/>
      <c r="AQ201" s="24"/>
      <c r="AR201" s="24"/>
      <c r="AS201" s="24"/>
      <c r="AT201" s="24"/>
      <c r="AU201" s="24"/>
      <c r="AV201" s="24"/>
      <c r="AW201" s="24"/>
      <c r="AX201" s="24"/>
      <c r="AY201" s="24"/>
      <c r="AZ201" s="24"/>
    </row>
    <row r="202" spans="1:52" ht="20" customHeight="1" x14ac:dyDescent="0.2">
      <c r="A202" s="68"/>
      <c r="B202" s="25"/>
      <c r="C202" s="25" t="s">
        <v>35</v>
      </c>
      <c r="D202" s="24" t="s">
        <v>142</v>
      </c>
      <c r="E202" s="24" t="s">
        <v>143</v>
      </c>
      <c r="F202" s="25">
        <v>2015</v>
      </c>
      <c r="G202" s="25">
        <v>1</v>
      </c>
      <c r="H202" s="29">
        <v>119</v>
      </c>
      <c r="I202" s="28"/>
      <c r="J202" s="39"/>
      <c r="K202" s="40"/>
      <c r="L202" s="43" t="str">
        <f t="shared" si="49"/>
        <v/>
      </c>
      <c r="M202" s="40"/>
      <c r="N202" s="43" t="str">
        <f t="shared" si="48"/>
        <v/>
      </c>
      <c r="O202" s="40"/>
      <c r="P202" s="43" t="str">
        <f t="shared" si="50"/>
        <v/>
      </c>
      <c r="Q202" s="40"/>
      <c r="R202" s="43" t="str">
        <f t="shared" si="51"/>
        <v/>
      </c>
      <c r="S202" s="40"/>
      <c r="T202" s="43" t="str">
        <f t="shared" si="33"/>
        <v/>
      </c>
      <c r="U202" s="86"/>
      <c r="V202" s="43" t="str">
        <f t="shared" si="52"/>
        <v/>
      </c>
      <c r="W202" s="40"/>
      <c r="X202" s="43" t="str">
        <f t="shared" si="53"/>
        <v/>
      </c>
      <c r="Y202" s="40"/>
      <c r="Z202" s="43" t="str">
        <f t="shared" si="33"/>
        <v/>
      </c>
      <c r="AA202" s="40"/>
      <c r="AB202" s="43" t="str">
        <f t="shared" si="47"/>
        <v/>
      </c>
      <c r="AC202" s="40"/>
      <c r="AD202" s="43" t="str">
        <f t="shared" si="54"/>
        <v/>
      </c>
      <c r="AE202" s="40"/>
      <c r="AF202" s="43" t="str">
        <f t="shared" si="55"/>
        <v/>
      </c>
      <c r="AG202" s="24" t="s">
        <v>261</v>
      </c>
      <c r="AH202" s="24"/>
      <c r="AI202" s="24"/>
      <c r="AJ202" s="24"/>
      <c r="AK202" s="24"/>
      <c r="AL202" s="24"/>
      <c r="AM202" s="24"/>
      <c r="AN202" s="24"/>
      <c r="AO202" s="24"/>
      <c r="AP202" s="24"/>
      <c r="AQ202" s="24"/>
      <c r="AR202" s="24"/>
      <c r="AS202" s="24"/>
      <c r="AT202" s="24"/>
      <c r="AU202" s="24"/>
      <c r="AV202" s="24"/>
      <c r="AW202" s="24"/>
      <c r="AX202" s="24"/>
      <c r="AY202" s="24"/>
      <c r="AZ202" s="24"/>
    </row>
    <row r="203" spans="1:52" ht="20" customHeight="1" x14ac:dyDescent="0.2">
      <c r="A203" s="68"/>
      <c r="B203" s="25"/>
      <c r="C203" s="25" t="s">
        <v>86</v>
      </c>
      <c r="D203" s="24" t="s">
        <v>144</v>
      </c>
      <c r="E203" s="24" t="s">
        <v>145</v>
      </c>
      <c r="F203" s="25">
        <v>2008</v>
      </c>
      <c r="G203" s="25">
        <v>156</v>
      </c>
      <c r="H203" s="29">
        <v>51</v>
      </c>
      <c r="I203" s="28" t="s">
        <v>189</v>
      </c>
      <c r="J203" s="39"/>
      <c r="K203" s="40"/>
      <c r="L203" s="43" t="str">
        <f t="shared" si="49"/>
        <v/>
      </c>
      <c r="M203" s="40"/>
      <c r="N203" s="43" t="str">
        <f t="shared" si="48"/>
        <v/>
      </c>
      <c r="O203" s="40"/>
      <c r="P203" s="43" t="str">
        <f t="shared" si="50"/>
        <v/>
      </c>
      <c r="Q203" s="40"/>
      <c r="R203" s="43" t="str">
        <f t="shared" si="51"/>
        <v/>
      </c>
      <c r="S203" s="40"/>
      <c r="T203" s="43" t="str">
        <f t="shared" si="33"/>
        <v/>
      </c>
      <c r="U203" s="86"/>
      <c r="V203" s="43" t="str">
        <f t="shared" si="52"/>
        <v/>
      </c>
      <c r="W203" s="40"/>
      <c r="X203" s="43" t="str">
        <f t="shared" si="53"/>
        <v/>
      </c>
      <c r="Y203" s="40"/>
      <c r="Z203" s="43" t="str">
        <f t="shared" si="33"/>
        <v/>
      </c>
      <c r="AA203" s="40"/>
      <c r="AB203" s="43" t="str">
        <f t="shared" si="47"/>
        <v/>
      </c>
      <c r="AC203" s="40"/>
      <c r="AD203" s="43" t="str">
        <f t="shared" si="54"/>
        <v/>
      </c>
      <c r="AE203" s="40"/>
      <c r="AF203" s="43" t="str">
        <f t="shared" si="55"/>
        <v/>
      </c>
      <c r="AG203" s="24" t="s">
        <v>262</v>
      </c>
      <c r="AH203" s="24"/>
      <c r="AI203" s="24"/>
      <c r="AJ203" s="24"/>
      <c r="AK203" s="24"/>
      <c r="AL203" s="24"/>
      <c r="AM203" s="24"/>
      <c r="AN203" s="24"/>
      <c r="AO203" s="24"/>
      <c r="AP203" s="24"/>
      <c r="AQ203" s="24"/>
      <c r="AR203" s="24"/>
      <c r="AS203" s="24"/>
      <c r="AT203" s="24"/>
      <c r="AU203" s="24"/>
      <c r="AV203" s="24"/>
      <c r="AW203" s="24"/>
      <c r="AX203" s="24"/>
      <c r="AY203" s="24"/>
      <c r="AZ203" s="24"/>
    </row>
    <row r="204" spans="1:52" ht="20" customHeight="1" x14ac:dyDescent="0.2">
      <c r="A204" s="67"/>
      <c r="B204" s="96"/>
      <c r="C204" s="25" t="s">
        <v>86</v>
      </c>
      <c r="D204" s="24" t="s">
        <v>361</v>
      </c>
      <c r="E204" s="24" t="s">
        <v>362</v>
      </c>
      <c r="F204" s="25">
        <v>2009</v>
      </c>
      <c r="H204" s="29">
        <v>12</v>
      </c>
      <c r="I204" s="28" t="s">
        <v>238</v>
      </c>
      <c r="J204" s="39" t="s">
        <v>212</v>
      </c>
      <c r="K204" s="82"/>
      <c r="L204" s="83" t="str">
        <f t="shared" si="49"/>
        <v/>
      </c>
      <c r="M204" s="82"/>
      <c r="N204" s="83" t="str">
        <f t="shared" si="48"/>
        <v/>
      </c>
      <c r="O204" s="82"/>
      <c r="P204" s="83" t="str">
        <f t="shared" si="50"/>
        <v/>
      </c>
      <c r="Q204" s="82"/>
      <c r="R204" s="83" t="str">
        <f t="shared" si="51"/>
        <v/>
      </c>
      <c r="S204" s="82"/>
      <c r="T204" s="83" t="str">
        <f t="shared" si="33"/>
        <v/>
      </c>
      <c r="U204" s="84"/>
      <c r="V204" s="83" t="str">
        <f t="shared" si="52"/>
        <v/>
      </c>
      <c r="W204" s="82"/>
      <c r="X204" s="83" t="str">
        <f t="shared" si="53"/>
        <v/>
      </c>
      <c r="Y204" s="82"/>
      <c r="Z204" s="83" t="str">
        <f t="shared" si="33"/>
        <v/>
      </c>
      <c r="AA204" s="82"/>
      <c r="AB204" s="83" t="str">
        <f t="shared" si="47"/>
        <v/>
      </c>
      <c r="AC204" s="82"/>
      <c r="AD204" s="83" t="str">
        <f t="shared" si="54"/>
        <v/>
      </c>
      <c r="AE204" s="82"/>
      <c r="AF204" s="83" t="str">
        <f t="shared" si="55"/>
        <v/>
      </c>
      <c r="AG204" s="24" t="s">
        <v>195</v>
      </c>
      <c r="AH204" s="24"/>
      <c r="AI204" s="24"/>
      <c r="AJ204" s="24"/>
      <c r="AK204" s="24"/>
      <c r="AL204" s="24"/>
      <c r="AM204" s="24"/>
      <c r="AN204" s="24"/>
      <c r="AO204" s="24"/>
      <c r="AP204" s="24"/>
      <c r="AQ204" s="24"/>
      <c r="AR204" s="24"/>
      <c r="AS204" s="24"/>
      <c r="AT204" s="24"/>
      <c r="AU204" s="24"/>
      <c r="AV204" s="24"/>
      <c r="AW204" s="24"/>
      <c r="AX204" s="24"/>
      <c r="AY204" s="24"/>
      <c r="AZ204" s="24"/>
    </row>
    <row r="205" spans="1:52" ht="20" customHeight="1" thickBot="1" x14ac:dyDescent="0.25">
      <c r="A205" s="68"/>
      <c r="B205" s="25"/>
      <c r="C205" s="25" t="s">
        <v>86</v>
      </c>
      <c r="D205" s="24" t="s">
        <v>150</v>
      </c>
      <c r="E205" s="24" t="s">
        <v>151</v>
      </c>
      <c r="F205" s="25">
        <v>2011</v>
      </c>
      <c r="G205" s="25">
        <v>112</v>
      </c>
      <c r="H205" s="29">
        <v>22</v>
      </c>
      <c r="I205" s="28" t="s">
        <v>246</v>
      </c>
      <c r="J205" s="39" t="s">
        <v>213</v>
      </c>
      <c r="K205" s="41"/>
      <c r="L205" s="44" t="str">
        <f t="shared" si="49"/>
        <v/>
      </c>
      <c r="M205" s="41"/>
      <c r="N205" s="44" t="str">
        <f t="shared" si="48"/>
        <v/>
      </c>
      <c r="O205" s="41"/>
      <c r="P205" s="44" t="str">
        <f t="shared" si="50"/>
        <v/>
      </c>
      <c r="Q205" s="41"/>
      <c r="R205" s="44" t="str">
        <f t="shared" si="51"/>
        <v/>
      </c>
      <c r="S205" s="41"/>
      <c r="T205" s="44" t="str">
        <f t="shared" si="33"/>
        <v/>
      </c>
      <c r="U205" s="42"/>
      <c r="V205" s="44" t="str">
        <f t="shared" si="52"/>
        <v/>
      </c>
      <c r="W205" s="41"/>
      <c r="X205" s="44" t="str">
        <f t="shared" si="53"/>
        <v/>
      </c>
      <c r="Y205" s="41"/>
      <c r="Z205" s="44" t="str">
        <f t="shared" si="33"/>
        <v/>
      </c>
      <c r="AA205" s="41"/>
      <c r="AB205" s="44" t="str">
        <f t="shared" si="47"/>
        <v/>
      </c>
      <c r="AC205" s="41"/>
      <c r="AD205" s="44" t="str">
        <f t="shared" si="54"/>
        <v/>
      </c>
      <c r="AE205" s="41"/>
      <c r="AF205" s="44" t="str">
        <f t="shared" si="55"/>
        <v/>
      </c>
      <c r="AG205" s="24" t="s">
        <v>264</v>
      </c>
      <c r="AH205" s="24"/>
      <c r="AI205" s="24"/>
      <c r="AJ205" s="24"/>
      <c r="AK205" s="24"/>
      <c r="AL205" s="24"/>
      <c r="AM205" s="24"/>
      <c r="AN205" s="24"/>
      <c r="AO205" s="24"/>
      <c r="AP205" s="24"/>
      <c r="AQ205" s="24"/>
      <c r="AR205" s="24"/>
      <c r="AS205" s="24"/>
      <c r="AT205" s="24"/>
      <c r="AU205" s="24"/>
      <c r="AV205" s="24"/>
      <c r="AW205" s="24"/>
      <c r="AX205" s="24"/>
      <c r="AY205" s="24"/>
      <c r="AZ205" s="24"/>
    </row>
    <row r="206" spans="1:52" x14ac:dyDescent="0.2">
      <c r="AG206" s="24"/>
      <c r="AH206" s="24"/>
      <c r="AI206" s="24"/>
      <c r="AJ206" s="24"/>
      <c r="AK206" s="24"/>
      <c r="AL206" s="24"/>
      <c r="AM206" s="24"/>
      <c r="AN206" s="24"/>
      <c r="AO206" s="24"/>
      <c r="AP206" s="24"/>
      <c r="AQ206" s="24"/>
      <c r="AR206" s="24"/>
      <c r="AS206" s="24"/>
      <c r="AT206" s="24"/>
      <c r="AU206" s="24"/>
      <c r="AV206" s="24"/>
      <c r="AW206" s="24"/>
      <c r="AX206" s="24"/>
      <c r="AY206" s="24"/>
      <c r="AZ206" s="24"/>
    </row>
    <row r="207" spans="1:52" ht="17" thickBot="1" x14ac:dyDescent="0.25">
      <c r="AG207" s="24"/>
      <c r="AH207" s="24"/>
      <c r="AI207" s="24"/>
      <c r="AJ207" s="24"/>
      <c r="AK207" s="24"/>
      <c r="AL207" s="24"/>
      <c r="AM207" s="24"/>
      <c r="AN207" s="24"/>
      <c r="AO207" s="24"/>
      <c r="AP207" s="24"/>
      <c r="AQ207" s="24"/>
      <c r="AR207" s="24"/>
      <c r="AS207" s="24"/>
      <c r="AT207" s="24"/>
      <c r="AU207" s="24"/>
      <c r="AV207" s="24"/>
      <c r="AW207" s="24"/>
      <c r="AX207" s="24"/>
      <c r="AY207" s="24"/>
      <c r="AZ207" s="24"/>
    </row>
    <row r="208" spans="1:52" x14ac:dyDescent="0.2">
      <c r="A208" s="23"/>
      <c r="B208" s="23"/>
      <c r="C208" s="48"/>
      <c r="D208" s="23"/>
      <c r="E208" s="23"/>
      <c r="G208" s="50" t="s">
        <v>280</v>
      </c>
      <c r="H208" s="51">
        <f>SUM(H122:H205)</f>
        <v>3795</v>
      </c>
      <c r="I208" s="52" t="s">
        <v>278</v>
      </c>
      <c r="J208" s="53" t="s">
        <v>277</v>
      </c>
      <c r="K208" s="58">
        <f>IF((SUM(K122:K205)&lt;&gt;0), SUMIF($H122:$H205, "&gt;0", K122:K205), "")</f>
        <v>2</v>
      </c>
      <c r="L208" s="59">
        <f>IF(ISERROR((K208/$H208)*100), "", IF(((K208/$H208)*100) &lt;&gt; 0, (K208/$H208)*100, ""))</f>
        <v>5.2700922266139656E-2</v>
      </c>
      <c r="M208" s="58">
        <f>IF((SUM(M122:M205)&lt;&gt;0), SUMIF($H122:$H205, "&gt;0", M122:M205), "")</f>
        <v>45</v>
      </c>
      <c r="N208" s="59">
        <f>IF(ISERROR((M208/$H208)*100), "", IF(((M208/$H208)*100) &lt;&gt; 0, (M208/$H208)*100, ""))</f>
        <v>1.1857707509881421</v>
      </c>
      <c r="O208" s="58">
        <f>IF((SUM(O122:O205)&lt;&gt;0), SUMIF($H122:$H205, "&gt;0", O122:O205), "")</f>
        <v>4</v>
      </c>
      <c r="P208" s="59">
        <f>IF(ISERROR((O208/$H208)*100), "", IF(((O208/$H208)*100) &lt;&gt; 0, (O208/$H208)*100, ""))</f>
        <v>0.10540184453227931</v>
      </c>
      <c r="Q208" s="58">
        <f>IF((SUM(Q122:Q205)&lt;&gt;0), SUMIF($H122:$H205, "&gt;0", Q122:Q205), "")</f>
        <v>29</v>
      </c>
      <c r="R208" s="59">
        <f>IF(ISERROR((Q208/$H208)*100), "", IF(((Q208/$H208)*100) &lt;&gt; 0, (Q208/$H208)*100, ""))</f>
        <v>0.76416337285902503</v>
      </c>
      <c r="S208" s="58">
        <f>IF((SUM(S122:S205)&lt;&gt;0), SUMIF($H122:$H205, "&gt;0", S122:S205), "")</f>
        <v>6</v>
      </c>
      <c r="T208" s="59">
        <f>IF(ISERROR((S208/$H208)*100), "", IF(((S208/$H208)*100) &lt;&gt; 0, (S208/$H208)*100, ""))</f>
        <v>0.15810276679841898</v>
      </c>
      <c r="U208" s="58">
        <f>IF((SUM(U122:U205)&lt;&gt;0), SUMIF($H122:$H205, "&gt;0", U122:U205), "")</f>
        <v>58</v>
      </c>
      <c r="V208" s="59">
        <f>IF(ISERROR((U208/$H208)*100), "", IF(((U208/$H208)*100) &lt;&gt; 0, (U208/$H208)*100, ""))</f>
        <v>1.5283267457180501</v>
      </c>
      <c r="W208" s="58">
        <f>IF((SUM(W122:W205)&lt;&gt;0), SUMIF($H122:$H205, "&gt;0", W122:W205), "")</f>
        <v>2</v>
      </c>
      <c r="X208" s="59">
        <f>IF(ISERROR((W208/$H208)*100), "", IF(((W208/$H208)*100) &lt;&gt; 0, (W208/$H208)*100, ""))</f>
        <v>5.2700922266139656E-2</v>
      </c>
      <c r="Y208" s="58">
        <f>IF((SUM(Y122:Y205)&lt;&gt;0), SUMIF($H122:$H205, "&gt;0", Y122:Y205), "")</f>
        <v>6</v>
      </c>
      <c r="Z208" s="59">
        <f>IF(ISERROR((Y208/$H208)*100), "", IF(((Y208/$H208)*100) &lt;&gt; 0, (Y208/$H208)*100, ""))</f>
        <v>0.15810276679841898</v>
      </c>
      <c r="AA208" s="58">
        <f>IF((SUM(AA122:AA205)&lt;&gt;0), SUMIF($H122:$H205, "&gt;0", AA122:AA205), "")</f>
        <v>1</v>
      </c>
      <c r="AB208" s="59">
        <f>IF(ISERROR((AA208/$H208)*100), "", IF(((AA208/$H208)*100) &lt;&gt; 0, (AA208/$H208)*100, ""))</f>
        <v>2.6350461133069828E-2</v>
      </c>
      <c r="AC208" s="58">
        <f>IF((SUM(AC122:AC205)&lt;&gt;0), SUMIF($H122:$H205, "&gt;0", AC122:AC205), "")</f>
        <v>1</v>
      </c>
      <c r="AD208" s="59">
        <f>IF(ISERROR((AC208/$H208)*100), "", IF(((AC208/$H208)*100) &lt;&gt; 0, (AC208/$H208)*100, ""))</f>
        <v>2.6350461133069828E-2</v>
      </c>
      <c r="AE208" s="58" t="str">
        <f>IF((SUM(AE122:AE205)&lt;&gt;0), SUMIF($H122:$H205, "&gt;0", AE122:AE205), "")</f>
        <v/>
      </c>
      <c r="AF208" s="59" t="str">
        <f>IF(ISERROR((AE208/$H208)*100), "", IF(((AE208/$H208)*100) &lt;&gt; 0, (AE208/$H208)*100, ""))</f>
        <v/>
      </c>
      <c r="AG208" s="23"/>
      <c r="AH208" s="24"/>
      <c r="AI208" s="24"/>
      <c r="AJ208" s="24"/>
      <c r="AK208" s="24"/>
      <c r="AL208" s="24"/>
      <c r="AM208" s="24"/>
      <c r="AN208" s="24"/>
      <c r="AO208" s="24"/>
      <c r="AP208" s="24"/>
      <c r="AQ208" s="24"/>
      <c r="AR208" s="24"/>
      <c r="AS208" s="24"/>
      <c r="AT208" s="24"/>
      <c r="AU208" s="24"/>
      <c r="AV208" s="24"/>
      <c r="AW208" s="24"/>
      <c r="AX208" s="24"/>
      <c r="AY208" s="24"/>
      <c r="AZ208" s="24"/>
    </row>
    <row r="209" spans="1:52" x14ac:dyDescent="0.2">
      <c r="A209" s="23"/>
      <c r="B209" s="23"/>
      <c r="C209" s="48"/>
      <c r="D209" s="23"/>
      <c r="E209" s="23"/>
      <c r="G209" s="50" t="s">
        <v>281</v>
      </c>
      <c r="H209" s="49" t="s">
        <v>279</v>
      </c>
      <c r="I209" s="54" t="s">
        <v>278</v>
      </c>
      <c r="J209" s="55" t="s">
        <v>277</v>
      </c>
      <c r="K209" s="60">
        <f>IF(SUMIF(K122:K205, "&gt; 0", $H122:$H205) &gt; 0, SUMIF(K122:K205, "&gt; 0", $H122:$H205), "")</f>
        <v>22</v>
      </c>
      <c r="L209" s="61">
        <f>(K208/K209)*100</f>
        <v>9.0909090909090917</v>
      </c>
      <c r="M209" s="60">
        <f>IF(SUMIF(M122:M205, "&gt; 0", $H122:$H205) &gt; 0, SUMIF(M122:M205, "&gt; 0", $H122:$H205), "")</f>
        <v>576</v>
      </c>
      <c r="N209" s="61">
        <f>(M208/M209)*100</f>
        <v>7.8125</v>
      </c>
      <c r="O209" s="60">
        <f>IF(SUMIF(O122:O205, "&gt; 0", $H122:$H205) &gt; 0, SUMIF(O122:O205, "&gt; 0", $H122:$H205), "")</f>
        <v>61</v>
      </c>
      <c r="P209" s="61">
        <f>(O208/O209)*100</f>
        <v>6.557377049180328</v>
      </c>
      <c r="Q209" s="60">
        <f>IF(SUMIF(Q122:Q205, "&gt; 0", $H122:$H205) &gt; 0, SUMIF(Q122:Q205, "&gt; 0", $H122:$H205), "")</f>
        <v>461</v>
      </c>
      <c r="R209" s="61">
        <f>(Q208/Q209)*100</f>
        <v>6.2906724511930596</v>
      </c>
      <c r="S209" s="60">
        <f>IF(SUMIF(S122:S205, "&gt; 0", $H122:$H205) &gt; 0, SUMIF(S122:S205, "&gt; 0", $H122:$H205), "")</f>
        <v>97</v>
      </c>
      <c r="T209" s="61">
        <f>(S208/S209)*100</f>
        <v>6.1855670103092786</v>
      </c>
      <c r="U209" s="60">
        <f>IF(SUMIF(U122:U205, "&gt; 0", $H122:$H205) &gt; 0, SUMIF(U122:U205, "&gt; 0", $H122:$H205), "")</f>
        <v>1007</v>
      </c>
      <c r="V209" s="61">
        <f>(U208/U209)*100</f>
        <v>5.7596822244289969</v>
      </c>
      <c r="W209" s="60">
        <f>IF(SUMIF(W122:W205, "&gt; 0", $H122:$H205) &gt; 0, SUMIF(W122:W205, "&gt; 0", $H122:$H205), "")</f>
        <v>45</v>
      </c>
      <c r="X209" s="61">
        <f>(W208/W209)*100</f>
        <v>4.4444444444444446</v>
      </c>
      <c r="Y209" s="60">
        <f>IF(SUMIF(Y122:Y205, "&gt; 0", $H122:$H205) &gt; 0, SUMIF(Y122:Y205, "&gt; 0", $H122:$H205), "")</f>
        <v>143</v>
      </c>
      <c r="Z209" s="61">
        <f>(Y208/Y209)*100</f>
        <v>4.1958041958041958</v>
      </c>
      <c r="AA209" s="60">
        <f>IF(SUMIF(AA122:AA205, "&gt; 0", $H122:$H205) &gt; 0, SUMIF(AA122:AA205, "&gt; 0", $H122:$H205), "")</f>
        <v>97</v>
      </c>
      <c r="AB209" s="61">
        <f>(AA208/AA209)*100</f>
        <v>1.0309278350515463</v>
      </c>
      <c r="AC209" s="60">
        <f>IF(SUMIF(AC122:AC205, "&gt; 0", $H122:$H205) &gt; 0, SUMIF(AC122:AC205, "&gt; 0", $H122:$H205), "")</f>
        <v>97</v>
      </c>
      <c r="AD209" s="61">
        <f>(AC208/AC209)*100</f>
        <v>1.0309278350515463</v>
      </c>
      <c r="AE209" s="60" t="str">
        <f>IF(SUMIF(AE122:AE205, "&gt; 0", $H122:$H205) &gt; 0, SUMIF(AE122:AE205, "&gt; 0", $H122:$H205), "")</f>
        <v/>
      </c>
      <c r="AF209" s="61"/>
      <c r="AG209" s="23"/>
      <c r="AH209" s="24"/>
      <c r="AI209" s="24"/>
      <c r="AJ209" s="24"/>
      <c r="AK209" s="24"/>
      <c r="AL209" s="24"/>
      <c r="AM209" s="24"/>
      <c r="AN209" s="24"/>
      <c r="AO209" s="24"/>
      <c r="AP209" s="24"/>
      <c r="AQ209" s="24"/>
      <c r="AR209" s="24"/>
      <c r="AS209" s="24"/>
      <c r="AT209" s="24"/>
      <c r="AU209" s="24"/>
      <c r="AV209" s="24"/>
      <c r="AW209" s="24"/>
      <c r="AX209" s="24"/>
      <c r="AY209" s="24"/>
      <c r="AZ209" s="24"/>
    </row>
    <row r="210" spans="1:52" ht="17" customHeight="1" thickBot="1" x14ac:dyDescent="0.25">
      <c r="H210" s="180" t="s">
        <v>278</v>
      </c>
      <c r="I210" s="183"/>
      <c r="J210" s="184"/>
      <c r="K210" s="159" t="s">
        <v>276</v>
      </c>
      <c r="L210" s="161" t="s">
        <v>277</v>
      </c>
      <c r="M210" s="163" t="s">
        <v>276</v>
      </c>
      <c r="N210" s="162" t="s">
        <v>277</v>
      </c>
      <c r="O210" s="159" t="s">
        <v>276</v>
      </c>
      <c r="P210" s="161" t="s">
        <v>277</v>
      </c>
      <c r="Q210" s="159" t="s">
        <v>276</v>
      </c>
      <c r="R210" s="161" t="s">
        <v>277</v>
      </c>
      <c r="S210" s="159" t="s">
        <v>276</v>
      </c>
      <c r="T210" s="161" t="s">
        <v>277</v>
      </c>
      <c r="U210" s="159" t="s">
        <v>276</v>
      </c>
      <c r="V210" s="161" t="s">
        <v>277</v>
      </c>
      <c r="W210" s="159" t="s">
        <v>276</v>
      </c>
      <c r="X210" s="161" t="s">
        <v>277</v>
      </c>
      <c r="Y210" s="159" t="s">
        <v>276</v>
      </c>
      <c r="Z210" s="161" t="s">
        <v>277</v>
      </c>
      <c r="AA210" s="159" t="s">
        <v>276</v>
      </c>
      <c r="AB210" s="161" t="s">
        <v>277</v>
      </c>
      <c r="AC210" s="159" t="s">
        <v>276</v>
      </c>
      <c r="AD210" s="161" t="s">
        <v>277</v>
      </c>
      <c r="AE210" s="159" t="s">
        <v>276</v>
      </c>
      <c r="AF210" s="161" t="s">
        <v>277</v>
      </c>
      <c r="AG210" s="24"/>
      <c r="AH210" s="24"/>
      <c r="AI210" s="24"/>
      <c r="AJ210" s="24"/>
      <c r="AK210" s="24"/>
      <c r="AL210" s="24"/>
      <c r="AM210" s="24"/>
      <c r="AN210" s="24"/>
      <c r="AO210" s="24"/>
      <c r="AP210" s="24"/>
      <c r="AQ210" s="24"/>
      <c r="AR210" s="24"/>
      <c r="AS210" s="24"/>
      <c r="AT210" s="24"/>
      <c r="AU210" s="24"/>
      <c r="AV210" s="24"/>
      <c r="AW210" s="24"/>
      <c r="AX210" s="24"/>
      <c r="AY210" s="24"/>
      <c r="AZ210" s="24"/>
    </row>
    <row r="211" spans="1:52" x14ac:dyDescent="0.2">
      <c r="E211" s="62" t="s">
        <v>283</v>
      </c>
      <c r="F211" s="65">
        <v>1</v>
      </c>
      <c r="H211" s="181"/>
      <c r="I211" s="185"/>
      <c r="J211" s="186"/>
      <c r="K211" s="159"/>
      <c r="L211" s="162"/>
      <c r="M211" s="159"/>
      <c r="N211" s="162"/>
      <c r="O211" s="159"/>
      <c r="P211" s="162"/>
      <c r="Q211" s="159"/>
      <c r="R211" s="162"/>
      <c r="S211" s="159"/>
      <c r="T211" s="162"/>
      <c r="U211" s="159"/>
      <c r="V211" s="162"/>
      <c r="W211" s="159"/>
      <c r="X211" s="162"/>
      <c r="Y211" s="159"/>
      <c r="Z211" s="162"/>
      <c r="AA211" s="159"/>
      <c r="AB211" s="162"/>
      <c r="AC211" s="159"/>
      <c r="AD211" s="162"/>
      <c r="AE211" s="159"/>
      <c r="AF211" s="162"/>
      <c r="AG211" s="24"/>
      <c r="AH211" s="24"/>
      <c r="AI211" s="24"/>
      <c r="AJ211" s="24"/>
      <c r="AK211" s="24"/>
      <c r="AL211" s="24"/>
      <c r="AM211" s="24"/>
      <c r="AN211" s="24"/>
      <c r="AO211" s="24"/>
      <c r="AP211" s="24"/>
      <c r="AQ211" s="24"/>
      <c r="AR211" s="24"/>
      <c r="AS211" s="24"/>
      <c r="AT211" s="24"/>
      <c r="AU211" s="24"/>
      <c r="AV211" s="24"/>
      <c r="AW211" s="24"/>
      <c r="AX211" s="24"/>
      <c r="AY211" s="24"/>
      <c r="AZ211" s="24"/>
    </row>
    <row r="212" spans="1:52" x14ac:dyDescent="0.2">
      <c r="E212" s="63"/>
      <c r="F212" s="64"/>
      <c r="H212" s="181"/>
      <c r="I212" s="185"/>
      <c r="J212" s="186"/>
      <c r="K212" s="159"/>
      <c r="L212" s="162"/>
      <c r="M212" s="159"/>
      <c r="N212" s="162"/>
      <c r="O212" s="159"/>
      <c r="P212" s="162"/>
      <c r="Q212" s="159"/>
      <c r="R212" s="162"/>
      <c r="S212" s="159"/>
      <c r="T212" s="162"/>
      <c r="U212" s="159"/>
      <c r="V212" s="162"/>
      <c r="W212" s="159"/>
      <c r="X212" s="162"/>
      <c r="Y212" s="159"/>
      <c r="Z212" s="162"/>
      <c r="AA212" s="159"/>
      <c r="AB212" s="162"/>
      <c r="AC212" s="159"/>
      <c r="AD212" s="162"/>
      <c r="AE212" s="159"/>
      <c r="AF212" s="162"/>
      <c r="AG212" s="24"/>
      <c r="AH212" s="24"/>
      <c r="AI212" s="24"/>
      <c r="AJ212" s="24"/>
      <c r="AK212" s="24"/>
      <c r="AL212" s="24"/>
      <c r="AM212" s="24"/>
      <c r="AN212" s="24"/>
      <c r="AO212" s="24"/>
      <c r="AP212" s="24"/>
      <c r="AQ212" s="24"/>
      <c r="AR212" s="24"/>
      <c r="AS212" s="24"/>
      <c r="AT212" s="24"/>
      <c r="AU212" s="24"/>
      <c r="AV212" s="24"/>
      <c r="AW212" s="24"/>
      <c r="AX212" s="24"/>
      <c r="AY212" s="24"/>
      <c r="AZ212" s="24"/>
    </row>
    <row r="213" spans="1:52" x14ac:dyDescent="0.2">
      <c r="E213" s="194" t="s">
        <v>284</v>
      </c>
      <c r="F213" s="195"/>
      <c r="H213" s="181"/>
      <c r="I213" s="185"/>
      <c r="J213" s="186"/>
      <c r="K213" s="159"/>
      <c r="L213" s="162"/>
      <c r="M213" s="159"/>
      <c r="N213" s="162"/>
      <c r="O213" s="159"/>
      <c r="P213" s="162"/>
      <c r="Q213" s="159"/>
      <c r="R213" s="162"/>
      <c r="S213" s="159"/>
      <c r="T213" s="162"/>
      <c r="U213" s="159"/>
      <c r="V213" s="162"/>
      <c r="W213" s="159"/>
      <c r="X213" s="162"/>
      <c r="Y213" s="159"/>
      <c r="Z213" s="162"/>
      <c r="AA213" s="159"/>
      <c r="AB213" s="162"/>
      <c r="AC213" s="159"/>
      <c r="AD213" s="162"/>
      <c r="AE213" s="159"/>
      <c r="AF213" s="162"/>
      <c r="AG213" s="24"/>
      <c r="AH213" s="24"/>
      <c r="AI213" s="24"/>
      <c r="AJ213" s="24"/>
      <c r="AK213" s="24"/>
      <c r="AL213" s="24"/>
      <c r="AM213" s="24"/>
      <c r="AN213" s="24"/>
      <c r="AO213" s="24"/>
      <c r="AP213" s="24"/>
      <c r="AQ213" s="24"/>
      <c r="AR213" s="24"/>
      <c r="AS213" s="24"/>
      <c r="AT213" s="24"/>
      <c r="AU213" s="24"/>
      <c r="AV213" s="24"/>
      <c r="AW213" s="24"/>
      <c r="AX213" s="24"/>
      <c r="AY213" s="24"/>
      <c r="AZ213" s="24"/>
    </row>
    <row r="214" spans="1:52" x14ac:dyDescent="0.2">
      <c r="E214" s="194"/>
      <c r="F214" s="195"/>
      <c r="H214" s="181"/>
      <c r="I214" s="185"/>
      <c r="J214" s="186"/>
      <c r="K214" s="160"/>
      <c r="L214" s="162"/>
      <c r="M214" s="160"/>
      <c r="N214" s="162"/>
      <c r="O214" s="160"/>
      <c r="P214" s="162"/>
      <c r="Q214" s="160"/>
      <c r="R214" s="162"/>
      <c r="S214" s="160"/>
      <c r="T214" s="162"/>
      <c r="U214" s="160"/>
      <c r="V214" s="162"/>
      <c r="W214" s="160"/>
      <c r="X214" s="162"/>
      <c r="Y214" s="160"/>
      <c r="Z214" s="162"/>
      <c r="AA214" s="160"/>
      <c r="AB214" s="162"/>
      <c r="AC214" s="160"/>
      <c r="AD214" s="162"/>
      <c r="AE214" s="160"/>
      <c r="AF214" s="162"/>
      <c r="AG214" s="24"/>
      <c r="AH214" s="24"/>
      <c r="AI214" s="24"/>
      <c r="AJ214" s="24"/>
      <c r="AK214" s="24"/>
      <c r="AL214" s="24"/>
      <c r="AM214" s="24"/>
      <c r="AN214" s="24"/>
      <c r="AO214" s="24"/>
      <c r="AP214" s="24"/>
      <c r="AQ214" s="24"/>
      <c r="AR214" s="24"/>
      <c r="AS214" s="24"/>
      <c r="AT214" s="24"/>
      <c r="AU214" s="24"/>
      <c r="AV214" s="24"/>
      <c r="AW214" s="24"/>
      <c r="AX214" s="24"/>
      <c r="AY214" s="24"/>
      <c r="AZ214" s="24"/>
    </row>
    <row r="215" spans="1:52" ht="16" customHeight="1" x14ac:dyDescent="0.2">
      <c r="E215" s="194"/>
      <c r="F215" s="195"/>
      <c r="H215" s="181"/>
      <c r="I215" s="185"/>
      <c r="J215" s="186"/>
      <c r="K215" s="193" t="s">
        <v>274</v>
      </c>
      <c r="L215" s="190"/>
      <c r="M215" s="189" t="s">
        <v>161</v>
      </c>
      <c r="N215" s="190"/>
      <c r="O215" s="189" t="s">
        <v>168</v>
      </c>
      <c r="P215" s="190"/>
      <c r="Q215" s="189" t="s">
        <v>162</v>
      </c>
      <c r="R215" s="190"/>
      <c r="S215" s="189" t="s">
        <v>229</v>
      </c>
      <c r="T215" s="190"/>
      <c r="U215" s="209" t="s">
        <v>420</v>
      </c>
      <c r="V215" s="190"/>
      <c r="W215" s="193" t="s">
        <v>272</v>
      </c>
      <c r="X215" s="190"/>
      <c r="Y215" s="189" t="s">
        <v>163</v>
      </c>
      <c r="Z215" s="190"/>
      <c r="AA215" s="189" t="s">
        <v>228</v>
      </c>
      <c r="AB215" s="190"/>
      <c r="AC215" s="189" t="s">
        <v>227</v>
      </c>
      <c r="AD215" s="190"/>
      <c r="AE215" s="189" t="s">
        <v>223</v>
      </c>
      <c r="AF215" s="190"/>
      <c r="AG215" s="24"/>
      <c r="AH215" s="24"/>
      <c r="AI215" s="24"/>
      <c r="AJ215" s="24"/>
      <c r="AK215" s="24"/>
      <c r="AL215" s="24"/>
      <c r="AM215" s="24"/>
      <c r="AN215" s="24"/>
      <c r="AO215" s="24"/>
      <c r="AP215" s="24"/>
      <c r="AQ215" s="24"/>
      <c r="AR215" s="24"/>
      <c r="AS215" s="24"/>
      <c r="AT215" s="24"/>
      <c r="AU215" s="24"/>
      <c r="AV215" s="24"/>
      <c r="AW215" s="24"/>
      <c r="AX215" s="24"/>
      <c r="AY215" s="24"/>
      <c r="AZ215" s="24"/>
    </row>
    <row r="216" spans="1:52" x14ac:dyDescent="0.2">
      <c r="E216" s="194"/>
      <c r="F216" s="195"/>
      <c r="H216" s="181"/>
      <c r="I216" s="185"/>
      <c r="J216" s="186"/>
      <c r="K216" s="166"/>
      <c r="L216" s="167"/>
      <c r="M216" s="166"/>
      <c r="N216" s="167"/>
      <c r="O216" s="166"/>
      <c r="P216" s="167"/>
      <c r="Q216" s="166"/>
      <c r="R216" s="167"/>
      <c r="S216" s="166"/>
      <c r="T216" s="167"/>
      <c r="U216" s="210"/>
      <c r="V216" s="167"/>
      <c r="W216" s="166"/>
      <c r="X216" s="167"/>
      <c r="Y216" s="166"/>
      <c r="Z216" s="167"/>
      <c r="AA216" s="166"/>
      <c r="AB216" s="167"/>
      <c r="AC216" s="166"/>
      <c r="AD216" s="167"/>
      <c r="AE216" s="166"/>
      <c r="AF216" s="167"/>
      <c r="AG216" s="24"/>
      <c r="AH216" s="24"/>
      <c r="AI216" s="24"/>
      <c r="AJ216" s="24"/>
      <c r="AK216" s="24"/>
      <c r="AL216" s="24"/>
      <c r="AM216" s="24"/>
      <c r="AN216" s="24"/>
      <c r="AO216" s="24"/>
      <c r="AP216" s="24"/>
      <c r="AQ216" s="24"/>
      <c r="AR216" s="24"/>
      <c r="AS216" s="24"/>
      <c r="AT216" s="24"/>
      <c r="AU216" s="24"/>
      <c r="AV216" s="24"/>
      <c r="AW216" s="24"/>
      <c r="AX216" s="24"/>
      <c r="AY216" s="24"/>
      <c r="AZ216" s="24"/>
    </row>
    <row r="217" spans="1:52" ht="17" thickBot="1" x14ac:dyDescent="0.25">
      <c r="E217" s="194"/>
      <c r="F217" s="195"/>
      <c r="H217" s="181"/>
      <c r="I217" s="185"/>
      <c r="J217" s="186"/>
      <c r="K217" s="191"/>
      <c r="L217" s="192"/>
      <c r="M217" s="191"/>
      <c r="N217" s="192"/>
      <c r="O217" s="191"/>
      <c r="P217" s="192"/>
      <c r="Q217" s="191"/>
      <c r="R217" s="192"/>
      <c r="S217" s="191"/>
      <c r="T217" s="192"/>
      <c r="U217" s="211"/>
      <c r="V217" s="192"/>
      <c r="W217" s="191"/>
      <c r="X217" s="192"/>
      <c r="Y217" s="191"/>
      <c r="Z217" s="192"/>
      <c r="AA217" s="191"/>
      <c r="AB217" s="192"/>
      <c r="AC217" s="191"/>
      <c r="AD217" s="192"/>
      <c r="AE217" s="191"/>
      <c r="AF217" s="192"/>
      <c r="AG217" s="24"/>
      <c r="AH217" s="24"/>
      <c r="AI217" s="24"/>
      <c r="AJ217" s="24"/>
      <c r="AK217" s="24"/>
      <c r="AL217" s="24"/>
      <c r="AM217" s="24"/>
      <c r="AN217" s="24"/>
      <c r="AO217" s="24"/>
      <c r="AP217" s="24"/>
      <c r="AQ217" s="24"/>
      <c r="AR217" s="24"/>
      <c r="AS217" s="24"/>
      <c r="AT217" s="24"/>
      <c r="AU217" s="24"/>
      <c r="AV217" s="24"/>
      <c r="AW217" s="24"/>
      <c r="AX217" s="24"/>
      <c r="AY217" s="24"/>
      <c r="AZ217" s="24"/>
    </row>
    <row r="218" spans="1:52" ht="20" thickBot="1" x14ac:dyDescent="0.3">
      <c r="E218" s="196"/>
      <c r="F218" s="197"/>
      <c r="H218" s="182"/>
      <c r="I218" s="187"/>
      <c r="J218" s="188"/>
      <c r="K218" s="201" t="s">
        <v>444</v>
      </c>
      <c r="L218" s="202"/>
      <c r="M218" s="202"/>
      <c r="N218" s="202"/>
      <c r="O218" s="202"/>
      <c r="P218" s="202"/>
      <c r="Q218" s="202"/>
      <c r="R218" s="202"/>
      <c r="S218" s="202"/>
      <c r="T218" s="202"/>
      <c r="U218" s="202"/>
      <c r="V218" s="202"/>
      <c r="W218" s="202"/>
      <c r="X218" s="202"/>
      <c r="Y218" s="202"/>
      <c r="Z218" s="202"/>
      <c r="AA218" s="202"/>
      <c r="AB218" s="202"/>
      <c r="AC218" s="202"/>
      <c r="AD218" s="202"/>
      <c r="AE218" s="202"/>
      <c r="AF218" s="203"/>
      <c r="AG218" s="24"/>
      <c r="AH218" s="24"/>
      <c r="AI218" s="24"/>
      <c r="AJ218" s="24"/>
      <c r="AK218" s="24"/>
      <c r="AL218" s="24"/>
      <c r="AM218" s="24"/>
      <c r="AN218" s="24"/>
      <c r="AO218" s="24"/>
      <c r="AP218" s="24"/>
      <c r="AQ218" s="24"/>
      <c r="AR218" s="24"/>
      <c r="AS218" s="24"/>
      <c r="AT218" s="24"/>
      <c r="AU218" s="24"/>
      <c r="AV218" s="24"/>
      <c r="AW218" s="24"/>
      <c r="AX218" s="24"/>
      <c r="AY218" s="24"/>
      <c r="AZ218" s="24"/>
    </row>
  </sheetData>
  <mergeCells count="152">
    <mergeCell ref="W3:X5"/>
    <mergeCell ref="AC3:AD5"/>
    <mergeCell ref="U3:V5"/>
    <mergeCell ref="Q3:R5"/>
    <mergeCell ref="Y3:Z5"/>
    <mergeCell ref="D3:D4"/>
    <mergeCell ref="O3:P5"/>
    <mergeCell ref="M3:N5"/>
    <mergeCell ref="K3:L5"/>
    <mergeCell ref="AD6:AD10"/>
    <mergeCell ref="U6:U10"/>
    <mergeCell ref="V6:V10"/>
    <mergeCell ref="AA6:AA10"/>
    <mergeCell ref="AB6:AB10"/>
    <mergeCell ref="S6:S10"/>
    <mergeCell ref="T6:T10"/>
    <mergeCell ref="Y6:Y10"/>
    <mergeCell ref="Z6:Z10"/>
    <mergeCell ref="K99:K103"/>
    <mergeCell ref="L99:L103"/>
    <mergeCell ref="A7:A10"/>
    <mergeCell ref="B7:B10"/>
    <mergeCell ref="H99:H107"/>
    <mergeCell ref="I99:J107"/>
    <mergeCell ref="W6:W10"/>
    <mergeCell ref="X6:X10"/>
    <mergeCell ref="AC6:AC10"/>
    <mergeCell ref="Q6:Q10"/>
    <mergeCell ref="R6:R10"/>
    <mergeCell ref="O6:O10"/>
    <mergeCell ref="P6:P10"/>
    <mergeCell ref="M6:M10"/>
    <mergeCell ref="N6:N10"/>
    <mergeCell ref="K6:K10"/>
    <mergeCell ref="L6:L10"/>
    <mergeCell ref="D5:D7"/>
    <mergeCell ref="G6:G10"/>
    <mergeCell ref="H6:H10"/>
    <mergeCell ref="I6:I10"/>
    <mergeCell ref="J6:J10"/>
    <mergeCell ref="AA3:AB5"/>
    <mergeCell ref="S3:T5"/>
    <mergeCell ref="Q99:Q103"/>
    <mergeCell ref="R99:R103"/>
    <mergeCell ref="Q117:Q121"/>
    <mergeCell ref="R117:R121"/>
    <mergeCell ref="AE117:AE121"/>
    <mergeCell ref="AF117:AF121"/>
    <mergeCell ref="O99:O103"/>
    <mergeCell ref="P99:P103"/>
    <mergeCell ref="M99:M103"/>
    <mergeCell ref="N99:N103"/>
    <mergeCell ref="U99:U103"/>
    <mergeCell ref="V99:V103"/>
    <mergeCell ref="AA99:AA103"/>
    <mergeCell ref="AB99:AB103"/>
    <mergeCell ref="S99:S103"/>
    <mergeCell ref="T99:T103"/>
    <mergeCell ref="AA114:AB116"/>
    <mergeCell ref="Y99:Y103"/>
    <mergeCell ref="Z99:Z103"/>
    <mergeCell ref="D114:D115"/>
    <mergeCell ref="M114:N116"/>
    <mergeCell ref="S114:T116"/>
    <mergeCell ref="Y114:Z116"/>
    <mergeCell ref="Q114:R116"/>
    <mergeCell ref="AE114:AF116"/>
    <mergeCell ref="U104:V106"/>
    <mergeCell ref="K107:AD107"/>
    <mergeCell ref="K2:AD2"/>
    <mergeCell ref="AA104:AB106"/>
    <mergeCell ref="S104:T106"/>
    <mergeCell ref="W104:X106"/>
    <mergeCell ref="AC104:AD106"/>
    <mergeCell ref="K114:L116"/>
    <mergeCell ref="K104:L106"/>
    <mergeCell ref="Q104:R106"/>
    <mergeCell ref="Y104:Z106"/>
    <mergeCell ref="E102:F107"/>
    <mergeCell ref="O104:P106"/>
    <mergeCell ref="M104:N106"/>
    <mergeCell ref="W99:W103"/>
    <mergeCell ref="X99:X103"/>
    <mergeCell ref="AC99:AC103"/>
    <mergeCell ref="AD99:AD103"/>
    <mergeCell ref="A118:A121"/>
    <mergeCell ref="B118:B121"/>
    <mergeCell ref="AD117:AD121"/>
    <mergeCell ref="O117:O121"/>
    <mergeCell ref="P117:P121"/>
    <mergeCell ref="W117:W121"/>
    <mergeCell ref="X117:X121"/>
    <mergeCell ref="AB117:AB121"/>
    <mergeCell ref="AC117:AC121"/>
    <mergeCell ref="K117:K121"/>
    <mergeCell ref="L117:L121"/>
    <mergeCell ref="AA117:AA121"/>
    <mergeCell ref="M117:M121"/>
    <mergeCell ref="N117:N121"/>
    <mergeCell ref="S117:S121"/>
    <mergeCell ref="T117:T121"/>
    <mergeCell ref="Y117:Y121"/>
    <mergeCell ref="Z117:Z121"/>
    <mergeCell ref="D116:D118"/>
    <mergeCell ref="G117:G121"/>
    <mergeCell ref="H117:H121"/>
    <mergeCell ref="I117:I121"/>
    <mergeCell ref="J117:J121"/>
    <mergeCell ref="AC114:AD116"/>
    <mergeCell ref="E213:F218"/>
    <mergeCell ref="M215:N217"/>
    <mergeCell ref="S215:T217"/>
    <mergeCell ref="Y215:Z217"/>
    <mergeCell ref="Q215:R217"/>
    <mergeCell ref="AE215:AF217"/>
    <mergeCell ref="W210:W214"/>
    <mergeCell ref="X210:X214"/>
    <mergeCell ref="AC210:AC214"/>
    <mergeCell ref="AD210:AD214"/>
    <mergeCell ref="O210:O214"/>
    <mergeCell ref="P210:P214"/>
    <mergeCell ref="K210:K214"/>
    <mergeCell ref="L210:L214"/>
    <mergeCell ref="AA210:AA214"/>
    <mergeCell ref="AB210:AB214"/>
    <mergeCell ref="Y210:Y214"/>
    <mergeCell ref="Z210:Z214"/>
    <mergeCell ref="Q210:Q214"/>
    <mergeCell ref="R210:R214"/>
    <mergeCell ref="AE210:AE214"/>
    <mergeCell ref="AF210:AF214"/>
    <mergeCell ref="H210:H218"/>
    <mergeCell ref="I210:J218"/>
    <mergeCell ref="U215:V217"/>
    <mergeCell ref="K113:AF113"/>
    <mergeCell ref="K218:AF218"/>
    <mergeCell ref="O215:P217"/>
    <mergeCell ref="W215:X217"/>
    <mergeCell ref="K215:L217"/>
    <mergeCell ref="AA215:AB217"/>
    <mergeCell ref="AC215:AD217"/>
    <mergeCell ref="U210:U214"/>
    <mergeCell ref="V210:V214"/>
    <mergeCell ref="M210:M214"/>
    <mergeCell ref="N210:N214"/>
    <mergeCell ref="S210:S214"/>
    <mergeCell ref="T210:T214"/>
    <mergeCell ref="U117:U121"/>
    <mergeCell ref="V117:V121"/>
    <mergeCell ref="U114:V116"/>
    <mergeCell ref="O114:P116"/>
    <mergeCell ref="W114:X11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7"/>
  <sheetViews>
    <sheetView showRuler="0" topLeftCell="A43"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98" t="s">
        <v>167</v>
      </c>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199"/>
      <c r="AS2" s="199"/>
      <c r="AT2" s="199"/>
      <c r="AU2" s="199"/>
      <c r="AV2" s="199"/>
      <c r="AW2" s="199"/>
      <c r="AX2" s="199"/>
      <c r="AY2" s="199"/>
      <c r="AZ2" s="200"/>
    </row>
    <row r="3" spans="1:53" ht="16" customHeight="1" x14ac:dyDescent="0.2">
      <c r="D3" s="142" t="s">
        <v>265</v>
      </c>
      <c r="K3" s="170" t="s">
        <v>275</v>
      </c>
      <c r="L3" s="165"/>
      <c r="M3" s="164" t="s">
        <v>186</v>
      </c>
      <c r="N3" s="165"/>
      <c r="O3" s="170" t="s">
        <v>273</v>
      </c>
      <c r="P3" s="165"/>
      <c r="Q3" s="164" t="s">
        <v>169</v>
      </c>
      <c r="R3" s="165"/>
      <c r="S3" s="164" t="s">
        <v>184</v>
      </c>
      <c r="T3" s="165"/>
      <c r="U3" s="212" t="s">
        <v>230</v>
      </c>
      <c r="V3" s="165"/>
      <c r="W3" s="164" t="s">
        <v>162</v>
      </c>
      <c r="X3" s="165"/>
      <c r="Y3" s="170" t="s">
        <v>274</v>
      </c>
      <c r="Z3" s="165"/>
      <c r="AA3" s="164" t="s">
        <v>183</v>
      </c>
      <c r="AB3" s="165"/>
      <c r="AC3" s="164" t="s">
        <v>187</v>
      </c>
      <c r="AD3" s="165"/>
      <c r="AE3" s="164" t="s">
        <v>161</v>
      </c>
      <c r="AF3" s="165"/>
      <c r="AG3" s="164" t="s">
        <v>168</v>
      </c>
      <c r="AH3" s="165"/>
      <c r="AI3" s="170" t="s">
        <v>420</v>
      </c>
      <c r="AJ3" s="204"/>
      <c r="AK3" s="164" t="s">
        <v>163</v>
      </c>
      <c r="AL3" s="165"/>
      <c r="AM3" s="170" t="s">
        <v>272</v>
      </c>
      <c r="AN3" s="165"/>
      <c r="AO3" s="164" t="s">
        <v>164</v>
      </c>
      <c r="AP3" s="165"/>
      <c r="AQ3" s="164" t="s">
        <v>228</v>
      </c>
      <c r="AR3" s="165"/>
      <c r="AS3" s="164" t="s">
        <v>227</v>
      </c>
      <c r="AT3" s="165"/>
      <c r="AU3" s="164" t="s">
        <v>229</v>
      </c>
      <c r="AV3" s="165"/>
      <c r="AW3" s="164" t="s">
        <v>223</v>
      </c>
      <c r="AX3" s="165"/>
      <c r="AY3" s="164" t="s">
        <v>165</v>
      </c>
      <c r="AZ3" s="165"/>
    </row>
    <row r="4" spans="1:53" ht="20" customHeight="1" x14ac:dyDescent="0.2">
      <c r="B4" s="97"/>
      <c r="D4" s="143"/>
      <c r="K4" s="166"/>
      <c r="L4" s="167"/>
      <c r="M4" s="166"/>
      <c r="N4" s="167"/>
      <c r="O4" s="166"/>
      <c r="P4" s="167"/>
      <c r="Q4" s="166"/>
      <c r="R4" s="167"/>
      <c r="S4" s="166"/>
      <c r="T4" s="167"/>
      <c r="U4" s="210"/>
      <c r="V4" s="167"/>
      <c r="W4" s="166"/>
      <c r="X4" s="167"/>
      <c r="Y4" s="166"/>
      <c r="Z4" s="167"/>
      <c r="AA4" s="166"/>
      <c r="AB4" s="167"/>
      <c r="AC4" s="166"/>
      <c r="AD4" s="167"/>
      <c r="AE4" s="166"/>
      <c r="AF4" s="167"/>
      <c r="AG4" s="166"/>
      <c r="AH4" s="167"/>
      <c r="AI4" s="205"/>
      <c r="AJ4" s="206"/>
      <c r="AK4" s="166"/>
      <c r="AL4" s="167"/>
      <c r="AM4" s="166"/>
      <c r="AN4" s="167"/>
      <c r="AO4" s="166"/>
      <c r="AP4" s="167"/>
      <c r="AQ4" s="166"/>
      <c r="AR4" s="167"/>
      <c r="AS4" s="166"/>
      <c r="AT4" s="167"/>
      <c r="AU4" s="166"/>
      <c r="AV4" s="167"/>
      <c r="AW4" s="166"/>
      <c r="AX4" s="167"/>
      <c r="AY4" s="166"/>
      <c r="AZ4" s="167"/>
    </row>
    <row r="5" spans="1:53" ht="20" customHeight="1" x14ac:dyDescent="0.2">
      <c r="A5" s="68"/>
      <c r="B5" s="96"/>
      <c r="D5" s="140" t="s">
        <v>282</v>
      </c>
      <c r="I5" s="25"/>
      <c r="J5" s="25"/>
      <c r="K5" s="168"/>
      <c r="L5" s="169"/>
      <c r="M5" s="168"/>
      <c r="N5" s="169"/>
      <c r="O5" s="168"/>
      <c r="P5" s="169"/>
      <c r="Q5" s="168"/>
      <c r="R5" s="169"/>
      <c r="S5" s="168"/>
      <c r="T5" s="169"/>
      <c r="U5" s="213"/>
      <c r="V5" s="169"/>
      <c r="W5" s="168"/>
      <c r="X5" s="169"/>
      <c r="Y5" s="168"/>
      <c r="Z5" s="169"/>
      <c r="AA5" s="168"/>
      <c r="AB5" s="169"/>
      <c r="AC5" s="168"/>
      <c r="AD5" s="169"/>
      <c r="AE5" s="168"/>
      <c r="AF5" s="169"/>
      <c r="AG5" s="168"/>
      <c r="AH5" s="169"/>
      <c r="AI5" s="207"/>
      <c r="AJ5" s="208"/>
      <c r="AK5" s="168"/>
      <c r="AL5" s="169"/>
      <c r="AM5" s="168"/>
      <c r="AN5" s="169"/>
      <c r="AO5" s="168"/>
      <c r="AP5" s="169"/>
      <c r="AQ5" s="168"/>
      <c r="AR5" s="169"/>
      <c r="AS5" s="168"/>
      <c r="AT5" s="169"/>
      <c r="AU5" s="168"/>
      <c r="AV5" s="169"/>
      <c r="AW5" s="168"/>
      <c r="AX5" s="169"/>
      <c r="AY5" s="168"/>
      <c r="AZ5" s="169"/>
    </row>
    <row r="6" spans="1:53" ht="20" customHeight="1" x14ac:dyDescent="0.2">
      <c r="A6" s="67"/>
      <c r="B6" s="95"/>
      <c r="D6" s="140"/>
      <c r="G6" s="136" t="s">
        <v>24</v>
      </c>
      <c r="H6" s="147" t="s">
        <v>365</v>
      </c>
      <c r="I6" s="150" t="s">
        <v>363</v>
      </c>
      <c r="J6" s="153" t="s">
        <v>364</v>
      </c>
      <c r="K6" s="144" t="s">
        <v>276</v>
      </c>
      <c r="L6" s="172" t="s">
        <v>277</v>
      </c>
      <c r="M6" s="177" t="s">
        <v>276</v>
      </c>
      <c r="N6" s="172" t="s">
        <v>277</v>
      </c>
      <c r="O6" s="171" t="s">
        <v>276</v>
      </c>
      <c r="P6" s="172" t="s">
        <v>277</v>
      </c>
      <c r="Q6" s="144" t="s">
        <v>276</v>
      </c>
      <c r="R6" s="172" t="s">
        <v>277</v>
      </c>
      <c r="S6" s="144" t="s">
        <v>276</v>
      </c>
      <c r="T6" s="172" t="s">
        <v>277</v>
      </c>
      <c r="U6" s="174" t="s">
        <v>276</v>
      </c>
      <c r="V6" s="172" t="s">
        <v>277</v>
      </c>
      <c r="W6" s="144" t="s">
        <v>276</v>
      </c>
      <c r="X6" s="172" t="s">
        <v>277</v>
      </c>
      <c r="Y6" s="171" t="s">
        <v>276</v>
      </c>
      <c r="Z6" s="172" t="s">
        <v>277</v>
      </c>
      <c r="AA6" s="144" t="s">
        <v>276</v>
      </c>
      <c r="AB6" s="172" t="s">
        <v>277</v>
      </c>
      <c r="AC6" s="144" t="s">
        <v>276</v>
      </c>
      <c r="AD6" s="172" t="s">
        <v>277</v>
      </c>
      <c r="AE6" s="156" t="s">
        <v>276</v>
      </c>
      <c r="AF6" s="214" t="s">
        <v>277</v>
      </c>
      <c r="AG6" s="144" t="s">
        <v>276</v>
      </c>
      <c r="AH6" s="172" t="s">
        <v>277</v>
      </c>
      <c r="AI6" s="174" t="s">
        <v>276</v>
      </c>
      <c r="AJ6" s="172" t="s">
        <v>277</v>
      </c>
      <c r="AK6" s="144" t="s">
        <v>276</v>
      </c>
      <c r="AL6" s="172" t="s">
        <v>277</v>
      </c>
      <c r="AM6" s="171" t="s">
        <v>276</v>
      </c>
      <c r="AN6" s="172" t="s">
        <v>277</v>
      </c>
      <c r="AO6" s="144" t="s">
        <v>276</v>
      </c>
      <c r="AP6" s="172" t="s">
        <v>277</v>
      </c>
      <c r="AQ6" s="144" t="s">
        <v>276</v>
      </c>
      <c r="AR6" s="172" t="s">
        <v>277</v>
      </c>
      <c r="AS6" s="144" t="s">
        <v>276</v>
      </c>
      <c r="AT6" s="172" t="s">
        <v>277</v>
      </c>
      <c r="AU6" s="144" t="s">
        <v>276</v>
      </c>
      <c r="AV6" s="172" t="s">
        <v>277</v>
      </c>
      <c r="AW6" s="144" t="s">
        <v>276</v>
      </c>
      <c r="AX6" s="172" t="s">
        <v>277</v>
      </c>
      <c r="AY6" s="156" t="s">
        <v>276</v>
      </c>
      <c r="AZ6" s="172" t="s">
        <v>277</v>
      </c>
    </row>
    <row r="7" spans="1:53" ht="20" customHeight="1" thickBot="1" x14ac:dyDescent="0.25">
      <c r="A7" s="136" t="s">
        <v>285</v>
      </c>
      <c r="B7" s="138" t="s">
        <v>369</v>
      </c>
      <c r="D7" s="141"/>
      <c r="G7" s="136"/>
      <c r="H7" s="148"/>
      <c r="I7" s="151"/>
      <c r="J7" s="154"/>
      <c r="K7" s="144"/>
      <c r="L7" s="172"/>
      <c r="M7" s="178"/>
      <c r="N7" s="172"/>
      <c r="O7" s="171"/>
      <c r="P7" s="172"/>
      <c r="Q7" s="144"/>
      <c r="R7" s="172"/>
      <c r="S7" s="144"/>
      <c r="T7" s="172"/>
      <c r="U7" s="174"/>
      <c r="V7" s="172"/>
      <c r="W7" s="144"/>
      <c r="X7" s="172"/>
      <c r="Y7" s="171"/>
      <c r="Z7" s="172"/>
      <c r="AA7" s="144"/>
      <c r="AB7" s="172"/>
      <c r="AC7" s="144"/>
      <c r="AD7" s="172"/>
      <c r="AE7" s="157"/>
      <c r="AF7" s="215"/>
      <c r="AG7" s="144"/>
      <c r="AH7" s="172"/>
      <c r="AI7" s="174"/>
      <c r="AJ7" s="172"/>
      <c r="AK7" s="144"/>
      <c r="AL7" s="172"/>
      <c r="AM7" s="144"/>
      <c r="AN7" s="172"/>
      <c r="AO7" s="144"/>
      <c r="AP7" s="172"/>
      <c r="AQ7" s="144"/>
      <c r="AR7" s="172"/>
      <c r="AS7" s="144"/>
      <c r="AT7" s="172"/>
      <c r="AU7" s="144"/>
      <c r="AV7" s="172"/>
      <c r="AW7" s="144"/>
      <c r="AX7" s="172"/>
      <c r="AY7" s="157"/>
      <c r="AZ7" s="172"/>
    </row>
    <row r="8" spans="1:53" ht="20" customHeight="1" x14ac:dyDescent="0.2">
      <c r="A8" s="136"/>
      <c r="B8" s="138"/>
      <c r="G8" s="136"/>
      <c r="H8" s="148"/>
      <c r="I8" s="151"/>
      <c r="J8" s="154"/>
      <c r="K8" s="144"/>
      <c r="L8" s="172"/>
      <c r="M8" s="178"/>
      <c r="N8" s="172"/>
      <c r="O8" s="171"/>
      <c r="P8" s="172"/>
      <c r="Q8" s="144"/>
      <c r="R8" s="172"/>
      <c r="S8" s="144"/>
      <c r="T8" s="172"/>
      <c r="U8" s="174"/>
      <c r="V8" s="172"/>
      <c r="W8" s="144"/>
      <c r="X8" s="172"/>
      <c r="Y8" s="171"/>
      <c r="Z8" s="172"/>
      <c r="AA8" s="144"/>
      <c r="AB8" s="172"/>
      <c r="AC8" s="144"/>
      <c r="AD8" s="172"/>
      <c r="AE8" s="157"/>
      <c r="AF8" s="215"/>
      <c r="AG8" s="144"/>
      <c r="AH8" s="172"/>
      <c r="AI8" s="174"/>
      <c r="AJ8" s="172"/>
      <c r="AK8" s="144"/>
      <c r="AL8" s="172"/>
      <c r="AM8" s="144"/>
      <c r="AN8" s="172"/>
      <c r="AO8" s="144"/>
      <c r="AP8" s="172"/>
      <c r="AQ8" s="144"/>
      <c r="AR8" s="172"/>
      <c r="AS8" s="144"/>
      <c r="AT8" s="172"/>
      <c r="AU8" s="144"/>
      <c r="AV8" s="172"/>
      <c r="AW8" s="144"/>
      <c r="AX8" s="172"/>
      <c r="AY8" s="157"/>
      <c r="AZ8" s="172"/>
    </row>
    <row r="9" spans="1:53" ht="20" customHeight="1" x14ac:dyDescent="0.2">
      <c r="A9" s="136"/>
      <c r="B9" s="138"/>
      <c r="G9" s="136"/>
      <c r="H9" s="148"/>
      <c r="I9" s="151"/>
      <c r="J9" s="154"/>
      <c r="K9" s="144"/>
      <c r="L9" s="172"/>
      <c r="M9" s="178"/>
      <c r="N9" s="172"/>
      <c r="O9" s="171"/>
      <c r="P9" s="172"/>
      <c r="Q9" s="144"/>
      <c r="R9" s="172"/>
      <c r="S9" s="144"/>
      <c r="T9" s="172"/>
      <c r="U9" s="174"/>
      <c r="V9" s="172"/>
      <c r="W9" s="144"/>
      <c r="X9" s="172"/>
      <c r="Y9" s="171"/>
      <c r="Z9" s="172"/>
      <c r="AA9" s="144"/>
      <c r="AB9" s="172"/>
      <c r="AC9" s="144"/>
      <c r="AD9" s="172"/>
      <c r="AE9" s="157"/>
      <c r="AF9" s="215"/>
      <c r="AG9" s="144"/>
      <c r="AH9" s="172"/>
      <c r="AI9" s="174"/>
      <c r="AJ9" s="172"/>
      <c r="AK9" s="144"/>
      <c r="AL9" s="172"/>
      <c r="AM9" s="144"/>
      <c r="AN9" s="172"/>
      <c r="AO9" s="144"/>
      <c r="AP9" s="172"/>
      <c r="AQ9" s="144"/>
      <c r="AR9" s="172"/>
      <c r="AS9" s="144"/>
      <c r="AT9" s="172"/>
      <c r="AU9" s="144"/>
      <c r="AV9" s="172"/>
      <c r="AW9" s="144"/>
      <c r="AX9" s="172"/>
      <c r="AY9" s="157"/>
      <c r="AZ9" s="172"/>
    </row>
    <row r="10" spans="1:53" s="23" customFormat="1" ht="20" customHeight="1" thickBot="1" x14ac:dyDescent="0.25">
      <c r="A10" s="137"/>
      <c r="B10" s="139"/>
      <c r="C10" s="22" t="s">
        <v>20</v>
      </c>
      <c r="D10" s="21" t="s">
        <v>21</v>
      </c>
      <c r="E10" s="21" t="s">
        <v>22</v>
      </c>
      <c r="F10" s="22" t="s">
        <v>23</v>
      </c>
      <c r="G10" s="146"/>
      <c r="H10" s="149"/>
      <c r="I10" s="152"/>
      <c r="J10" s="155"/>
      <c r="K10" s="145"/>
      <c r="L10" s="173"/>
      <c r="M10" s="179"/>
      <c r="N10" s="173"/>
      <c r="O10" s="176"/>
      <c r="P10" s="173"/>
      <c r="Q10" s="145"/>
      <c r="R10" s="173"/>
      <c r="S10" s="145"/>
      <c r="T10" s="173"/>
      <c r="U10" s="175"/>
      <c r="V10" s="173"/>
      <c r="W10" s="145"/>
      <c r="X10" s="173"/>
      <c r="Y10" s="176"/>
      <c r="Z10" s="173"/>
      <c r="AA10" s="145"/>
      <c r="AB10" s="173"/>
      <c r="AC10" s="145"/>
      <c r="AD10" s="173"/>
      <c r="AE10" s="158"/>
      <c r="AF10" s="216"/>
      <c r="AG10" s="145"/>
      <c r="AH10" s="173"/>
      <c r="AI10" s="175"/>
      <c r="AJ10" s="173"/>
      <c r="AK10" s="145"/>
      <c r="AL10" s="173"/>
      <c r="AM10" s="145"/>
      <c r="AN10" s="173"/>
      <c r="AO10" s="145"/>
      <c r="AP10" s="173"/>
      <c r="AQ10" s="145"/>
      <c r="AR10" s="173"/>
      <c r="AS10" s="145"/>
      <c r="AT10" s="173"/>
      <c r="AU10" s="145"/>
      <c r="AV10" s="173"/>
      <c r="AW10" s="145"/>
      <c r="AX10" s="173"/>
      <c r="AY10" s="158"/>
      <c r="AZ10" s="173"/>
      <c r="BA10" s="21" t="s">
        <v>25</v>
      </c>
    </row>
    <row r="11" spans="1:53" s="23" customFormat="1" ht="20" customHeight="1" x14ac:dyDescent="0.2">
      <c r="A11" s="67"/>
      <c r="B11" s="97"/>
      <c r="C11" s="70" t="s">
        <v>86</v>
      </c>
      <c r="D11" s="69" t="s">
        <v>287</v>
      </c>
      <c r="E11" s="69" t="s">
        <v>288</v>
      </c>
      <c r="F11" s="70">
        <v>2015</v>
      </c>
      <c r="G11" s="70"/>
      <c r="H11" s="71">
        <v>81</v>
      </c>
      <c r="I11" s="72" t="s">
        <v>366</v>
      </c>
      <c r="J11" s="73" t="s">
        <v>367</v>
      </c>
      <c r="K11" s="79"/>
      <c r="L11" s="89" t="str">
        <f t="shared" ref="L11:L42" si="0">IF((ISERROR((K11/$H11)*100)), "", IF(AND(NOT(ISERROR((K11/$H11)*100)),((K11/$H11)*100) &lt;&gt; 0), (K11/$H11)*100, ""))</f>
        <v/>
      </c>
      <c r="M11" s="80"/>
      <c r="N11" s="89" t="str">
        <f t="shared" ref="N11:N42" si="1">IF((ISERROR((M11/$H11)*100)), "", IF(AND(NOT(ISERROR((M11/$H11)*100)),((M11/$H11)*100) &lt;&gt; 0), (M11/$H11)*100, ""))</f>
        <v/>
      </c>
      <c r="O11" s="80"/>
      <c r="P11" s="89" t="str">
        <f t="shared" ref="P11:P42" si="2">IF((ISERROR((O11/$H11)*100)), "", IF(AND(NOT(ISERROR((O11/$H11)*100)),((O11/$H11)*100) &lt;&gt; 0), (O11/$H11)*100, ""))</f>
        <v/>
      </c>
      <c r="Q11" s="79"/>
      <c r="R11" s="89" t="str">
        <f t="shared" ref="R11:R42" si="3">IF((ISERROR((Q11/$H11)*100)), "", IF(AND(NOT(ISERROR((Q11/$H11)*100)),((Q11/$H11)*100) &lt;&gt; 0), (Q11/$H11)*100, ""))</f>
        <v/>
      </c>
      <c r="S11" s="79"/>
      <c r="T11" s="89" t="str">
        <f t="shared" ref="T11:T42" si="4">IF((ISERROR((S11/$H11)*100)), "", IF(AND(NOT(ISERROR((S11/$H11)*100)),((S11/$H11)*100) &lt;&gt; 0), (S11/$H11)*100, ""))</f>
        <v/>
      </c>
      <c r="U11" s="81"/>
      <c r="V11" s="90" t="str">
        <f t="shared" ref="V11:V29" si="5">IF((ISERROR((U11/$H11)*100)), "", IF(AND(NOT(ISERROR((U11/$H11)*100)),((U11/$H11)*100) &lt;&gt; 0), (U11/$H11)*100, ""))</f>
        <v/>
      </c>
      <c r="W11" s="79"/>
      <c r="X11" s="89" t="str">
        <f t="shared" ref="X11:X42" si="6">IF((ISERROR((W11/$H11)*100)), "", IF(AND(NOT(ISERROR((W11/$H11)*100)),((W11/$H11)*100) &lt;&gt; 0), (W11/$H11)*100, ""))</f>
        <v/>
      </c>
      <c r="Y11" s="80"/>
      <c r="Z11" s="89" t="str">
        <f t="shared" ref="Z11:Z42" si="7">IF((ISERROR((Y11/$H11)*100)), "", IF(AND(NOT(ISERROR((Y11/$H11)*100)),((Y11/$H11)*100) &lt;&gt; 0), (Y11/$H11)*100, ""))</f>
        <v/>
      </c>
      <c r="AA11" s="79"/>
      <c r="AB11" s="89" t="str">
        <f t="shared" ref="AB11:AB42" si="8">IF((ISERROR((AA11/$H11)*100)), "", IF(AND(NOT(ISERROR((AA11/$H11)*100)),((AA11/$H11)*100) &lt;&gt; 0), (AA11/$H11)*100, ""))</f>
        <v/>
      </c>
      <c r="AC11" s="79"/>
      <c r="AD11" s="89" t="str">
        <f t="shared" ref="AD11:AD42" si="9">IF((ISERROR((AC11/$H11)*100)), "", IF(AND(NOT(ISERROR((AC11/$H11)*100)),((AC11/$H11)*100) &lt;&gt; 0), (AC11/$H11)*100, ""))</f>
        <v/>
      </c>
      <c r="AE11" s="79"/>
      <c r="AF11" s="89" t="str">
        <f t="shared" ref="AF11" si="10">IF((ISERROR((AE11/$H11)*100)), "", IF(AND(NOT(ISERROR((AE11/$H11)*100)),((AE11/$H11)*100) &lt;&gt; 0), (AE11/$H11)*100, ""))</f>
        <v/>
      </c>
      <c r="AG11" s="79"/>
      <c r="AH11" s="89" t="str">
        <f t="shared" ref="AH11:AH42" si="11">IF((ISERROR((AG11/$H11)*100)), "", IF(AND(NOT(ISERROR((AG11/$H11)*100)),((AG11/$H11)*100) &lt;&gt; 0), (AG11/$H11)*100, ""))</f>
        <v/>
      </c>
      <c r="AI11" s="81"/>
      <c r="AJ11" s="90" t="str">
        <f t="shared" ref="AJ11:AJ42" si="12">IF((ISERROR((AI11/$H11)*100)), "", IF(AND(NOT(ISERROR((AI11/$H11)*100)),((AI11/$H11)*100) &lt;&gt; 0), (AI11/$H11)*100, ""))</f>
        <v/>
      </c>
      <c r="AK11" s="79"/>
      <c r="AL11" s="89" t="str">
        <f t="shared" ref="AL11:AL42" si="13">IF((ISERROR((AK11/$H11)*100)), "", IF(AND(NOT(ISERROR((AK11/$H11)*100)),((AK11/$H11)*100) &lt;&gt; 0), (AK11/$H11)*100, ""))</f>
        <v/>
      </c>
      <c r="AM11" s="79"/>
      <c r="AN11" s="89" t="str">
        <f t="shared" ref="AN11:AN42" si="14">IF((ISERROR((AM11/$H11)*100)), "", IF(AND(NOT(ISERROR((AM11/$H11)*100)),((AM11/$H11)*100) &lt;&gt; 0), (AM11/$H11)*100, ""))</f>
        <v/>
      </c>
      <c r="AO11" s="79"/>
      <c r="AP11" s="89" t="str">
        <f t="shared" ref="AP11:AP42" si="15">IF((ISERROR((AO11/$H11)*100)), "", IF(AND(NOT(ISERROR((AO11/$H11)*100)),((AO11/$H11)*100) &lt;&gt; 0), (AO11/$H11)*100, ""))</f>
        <v/>
      </c>
      <c r="AQ11" s="79"/>
      <c r="AR11" s="89" t="str">
        <f t="shared" ref="AR11:AR42" si="16">IF((ISERROR((AQ11/$H11)*100)), "", IF(AND(NOT(ISERROR((AQ11/$H11)*100)),((AQ11/$H11)*100) &lt;&gt; 0), (AQ11/$H11)*100, ""))</f>
        <v/>
      </c>
      <c r="AS11" s="79"/>
      <c r="AT11" s="89" t="str">
        <f t="shared" ref="AT11:AT42" si="17">IF((ISERROR((AS11/$H11)*100)), "", IF(AND(NOT(ISERROR((AS11/$H11)*100)),((AS11/$H11)*100) &lt;&gt; 0), (AS11/$H11)*100, ""))</f>
        <v/>
      </c>
      <c r="AU11" s="79"/>
      <c r="AV11" s="89" t="str">
        <f t="shared" ref="AV11:AV64" si="18">IF((ISERROR((AU11/$H11)*100)), "", IF(AND(NOT(ISERROR((AU11/$H11)*100)),((AU11/$H11)*100) &lt;&gt; 0), (AU11/$H11)*100, ""))</f>
        <v/>
      </c>
      <c r="AW11" s="79"/>
      <c r="AX11" s="89" t="str">
        <f t="shared" ref="AX11:AX43" si="19">IF((ISERROR((AW11/$H11)*100)), "", IF(AND(NOT(ISERROR((AW11/$H11)*100)),((AW11/$H11)*100) &lt;&gt; 0), (AW11/$H11)*100, ""))</f>
        <v/>
      </c>
      <c r="AY11" s="79"/>
      <c r="AZ11" s="89" t="str">
        <f t="shared" ref="AZ11:AZ43" si="20">IF((ISERROR((AY11/$H11)*100)), "", IF(AND(NOT(ISERROR((AY11/$H11)*100)),((AY11/$H11)*100) &lt;&gt; 0), (AY11/$H11)*100, ""))</f>
        <v/>
      </c>
      <c r="BA11" s="69" t="s">
        <v>368</v>
      </c>
    </row>
    <row r="12" spans="1:53" customFormat="1" ht="20" customHeight="1" x14ac:dyDescent="0.2">
      <c r="A12" s="68"/>
      <c r="B12" s="96"/>
      <c r="C12" s="25" t="s">
        <v>86</v>
      </c>
      <c r="D12" s="24" t="s">
        <v>289</v>
      </c>
      <c r="E12" s="24" t="s">
        <v>290</v>
      </c>
      <c r="F12" s="25">
        <v>2016</v>
      </c>
      <c r="H12" s="29">
        <v>12</v>
      </c>
      <c r="I12" s="28" t="s">
        <v>370</v>
      </c>
      <c r="J12" s="39"/>
      <c r="K12" s="40"/>
      <c r="L12" s="43" t="str">
        <f t="shared" si="0"/>
        <v/>
      </c>
      <c r="M12" s="40"/>
      <c r="N12" s="43" t="str">
        <f t="shared" si="1"/>
        <v/>
      </c>
      <c r="O12" s="40"/>
      <c r="P12" s="43" t="str">
        <f t="shared" si="2"/>
        <v/>
      </c>
      <c r="Q12" s="40"/>
      <c r="R12" s="43" t="str">
        <f t="shared" si="3"/>
        <v/>
      </c>
      <c r="S12" s="40"/>
      <c r="T12" s="43" t="str">
        <f t="shared" si="4"/>
        <v/>
      </c>
      <c r="U12" s="86"/>
      <c r="V12" s="43" t="str">
        <f t="shared" si="5"/>
        <v/>
      </c>
      <c r="W12" s="40"/>
      <c r="X12" s="43" t="str">
        <f t="shared" si="6"/>
        <v/>
      </c>
      <c r="Y12" s="40"/>
      <c r="Z12" s="43" t="str">
        <f t="shared" si="7"/>
        <v/>
      </c>
      <c r="AA12" s="40"/>
      <c r="AB12" s="43" t="str">
        <f t="shared" si="8"/>
        <v/>
      </c>
      <c r="AC12" s="40"/>
      <c r="AD12" s="43" t="str">
        <f t="shared" si="9"/>
        <v/>
      </c>
      <c r="AE12" s="40"/>
      <c r="AF12" s="43" t="str">
        <f t="shared" ref="AF12:AF44" si="21">IF((ISERROR((AE12/$H12)*100)), "", IF(AND(NOT(ISERROR((AE12/$H12)*100)),((AE12/$H12)*100) &lt;&gt; 0), (AE12/$H12)*100, ""))</f>
        <v/>
      </c>
      <c r="AG12" s="40"/>
      <c r="AH12" s="43" t="str">
        <f t="shared" si="11"/>
        <v/>
      </c>
      <c r="AI12" s="86"/>
      <c r="AJ12" s="43" t="str">
        <f t="shared" si="12"/>
        <v/>
      </c>
      <c r="AK12" s="40"/>
      <c r="AL12" s="43" t="str">
        <f t="shared" si="13"/>
        <v/>
      </c>
      <c r="AM12" s="40"/>
      <c r="AN12" s="43" t="str">
        <f t="shared" si="14"/>
        <v/>
      </c>
      <c r="AO12" s="40"/>
      <c r="AP12" s="43" t="str">
        <f t="shared" si="15"/>
        <v/>
      </c>
      <c r="AQ12" s="40"/>
      <c r="AR12" s="43" t="str">
        <f t="shared" si="16"/>
        <v/>
      </c>
      <c r="AS12" s="40"/>
      <c r="AT12" s="43" t="str">
        <f t="shared" si="17"/>
        <v/>
      </c>
      <c r="AU12" s="40"/>
      <c r="AV12" s="43" t="str">
        <f t="shared" si="18"/>
        <v/>
      </c>
      <c r="AW12" s="40"/>
      <c r="AX12" s="43" t="str">
        <f t="shared" si="19"/>
        <v/>
      </c>
      <c r="AY12" s="40"/>
      <c r="AZ12" s="43" t="str">
        <f t="shared" si="20"/>
        <v/>
      </c>
      <c r="BA12" s="24" t="s">
        <v>371</v>
      </c>
    </row>
    <row r="13" spans="1:53" ht="20" customHeight="1" x14ac:dyDescent="0.2">
      <c r="A13" s="67"/>
      <c r="B13" s="95"/>
      <c r="C13" s="25" t="s">
        <v>86</v>
      </c>
      <c r="D13" s="24" t="s">
        <v>291</v>
      </c>
      <c r="E13" s="24" t="s">
        <v>292</v>
      </c>
      <c r="F13" s="25">
        <v>2008</v>
      </c>
      <c r="H13" s="29">
        <v>24</v>
      </c>
      <c r="I13" s="28" t="s">
        <v>246</v>
      </c>
      <c r="J13" s="39" t="s">
        <v>373</v>
      </c>
      <c r="K13" s="40"/>
      <c r="L13" s="43" t="str">
        <f t="shared" si="0"/>
        <v/>
      </c>
      <c r="M13" s="40"/>
      <c r="N13" s="43" t="str">
        <f t="shared" si="1"/>
        <v/>
      </c>
      <c r="O13" s="40"/>
      <c r="P13" s="43" t="str">
        <f t="shared" si="2"/>
        <v/>
      </c>
      <c r="Q13" s="40"/>
      <c r="R13" s="43" t="str">
        <f t="shared" si="3"/>
        <v/>
      </c>
      <c r="S13" s="40"/>
      <c r="T13" s="43" t="str">
        <f t="shared" si="4"/>
        <v/>
      </c>
      <c r="U13" s="86"/>
      <c r="V13" s="43" t="str">
        <f t="shared" si="5"/>
        <v/>
      </c>
      <c r="W13" s="40"/>
      <c r="X13" s="43" t="str">
        <f t="shared" si="6"/>
        <v/>
      </c>
      <c r="Y13" s="40"/>
      <c r="Z13" s="43" t="str">
        <f t="shared" si="7"/>
        <v/>
      </c>
      <c r="AA13" s="40"/>
      <c r="AB13" s="43" t="str">
        <f t="shared" si="8"/>
        <v/>
      </c>
      <c r="AC13" s="40"/>
      <c r="AD13" s="43" t="str">
        <f t="shared" si="9"/>
        <v/>
      </c>
      <c r="AE13" s="40">
        <v>1</v>
      </c>
      <c r="AF13" s="43">
        <f t="shared" si="21"/>
        <v>4.1666666666666661</v>
      </c>
      <c r="AG13" s="40"/>
      <c r="AH13" s="43" t="str">
        <f t="shared" si="11"/>
        <v/>
      </c>
      <c r="AI13" s="86"/>
      <c r="AJ13" s="43" t="str">
        <f t="shared" si="12"/>
        <v/>
      </c>
      <c r="AK13" s="40"/>
      <c r="AL13" s="43" t="str">
        <f t="shared" si="13"/>
        <v/>
      </c>
      <c r="AM13" s="40"/>
      <c r="AN13" s="43" t="str">
        <f t="shared" si="14"/>
        <v/>
      </c>
      <c r="AO13" s="40"/>
      <c r="AP13" s="43" t="str">
        <f t="shared" si="15"/>
        <v/>
      </c>
      <c r="AQ13" s="40"/>
      <c r="AR13" s="43" t="str">
        <f t="shared" si="16"/>
        <v/>
      </c>
      <c r="AS13" s="40"/>
      <c r="AT13" s="43" t="str">
        <f t="shared" si="17"/>
        <v/>
      </c>
      <c r="AU13" s="40"/>
      <c r="AV13" s="43" t="str">
        <f t="shared" si="18"/>
        <v/>
      </c>
      <c r="AW13" s="40"/>
      <c r="AX13" s="43" t="str">
        <f t="shared" si="19"/>
        <v/>
      </c>
      <c r="AY13" s="40"/>
      <c r="AZ13" s="43" t="str">
        <f t="shared" si="20"/>
        <v/>
      </c>
    </row>
    <row r="14" spans="1:53" ht="20" customHeight="1" x14ac:dyDescent="0.2">
      <c r="A14" s="68"/>
      <c r="B14" s="95"/>
      <c r="C14" s="25" t="s">
        <v>86</v>
      </c>
      <c r="D14" s="24" t="s">
        <v>36</v>
      </c>
      <c r="E14" s="24" t="s">
        <v>37</v>
      </c>
      <c r="F14" s="25">
        <v>2008</v>
      </c>
      <c r="G14" s="25">
        <v>40</v>
      </c>
      <c r="H14" s="29">
        <v>51</v>
      </c>
      <c r="I14" s="28"/>
      <c r="J14" s="39" t="s">
        <v>176</v>
      </c>
      <c r="K14" s="40"/>
      <c r="L14" s="43" t="str">
        <f t="shared" si="0"/>
        <v/>
      </c>
      <c r="M14" s="40"/>
      <c r="N14" s="43" t="str">
        <f t="shared" si="1"/>
        <v/>
      </c>
      <c r="O14" s="40"/>
      <c r="P14" s="43" t="str">
        <f t="shared" si="2"/>
        <v/>
      </c>
      <c r="Q14" s="40"/>
      <c r="R14" s="43" t="str">
        <f t="shared" si="3"/>
        <v/>
      </c>
      <c r="S14" s="40"/>
      <c r="T14" s="43" t="str">
        <f t="shared" si="4"/>
        <v/>
      </c>
      <c r="U14" s="86"/>
      <c r="V14" s="43" t="str">
        <f t="shared" si="5"/>
        <v/>
      </c>
      <c r="W14" s="40"/>
      <c r="X14" s="43" t="str">
        <f t="shared" si="6"/>
        <v/>
      </c>
      <c r="Y14" s="40"/>
      <c r="Z14" s="43" t="str">
        <f t="shared" si="7"/>
        <v/>
      </c>
      <c r="AA14" s="40"/>
      <c r="AB14" s="43" t="str">
        <f t="shared" si="8"/>
        <v/>
      </c>
      <c r="AC14" s="40"/>
      <c r="AD14" s="43" t="str">
        <f t="shared" si="9"/>
        <v/>
      </c>
      <c r="AE14" s="40"/>
      <c r="AF14" s="43" t="str">
        <f t="shared" si="21"/>
        <v/>
      </c>
      <c r="AG14" s="40"/>
      <c r="AH14" s="43" t="str">
        <f t="shared" si="11"/>
        <v/>
      </c>
      <c r="AI14" s="47"/>
      <c r="AJ14" s="46" t="str">
        <f t="shared" si="12"/>
        <v/>
      </c>
      <c r="AK14" s="40"/>
      <c r="AL14" s="43" t="str">
        <f t="shared" si="13"/>
        <v/>
      </c>
      <c r="AM14" s="40"/>
      <c r="AN14" s="43" t="str">
        <f t="shared" si="14"/>
        <v/>
      </c>
      <c r="AO14" s="40"/>
      <c r="AP14" s="43" t="str">
        <f t="shared" si="15"/>
        <v/>
      </c>
      <c r="AQ14" s="40"/>
      <c r="AR14" s="43" t="str">
        <f t="shared" si="16"/>
        <v/>
      </c>
      <c r="AS14" s="40"/>
      <c r="AT14" s="43" t="str">
        <f t="shared" si="17"/>
        <v/>
      </c>
      <c r="AU14" s="40"/>
      <c r="AV14" s="43" t="str">
        <f t="shared" si="18"/>
        <v/>
      </c>
      <c r="AW14" s="40"/>
      <c r="AX14" s="43" t="str">
        <f t="shared" si="19"/>
        <v/>
      </c>
      <c r="AY14" s="40"/>
      <c r="AZ14" s="43" t="str">
        <f t="shared" si="20"/>
        <v/>
      </c>
      <c r="BA14" s="24" t="s">
        <v>179</v>
      </c>
    </row>
    <row r="15" spans="1:53" ht="20" customHeight="1" x14ac:dyDescent="0.2">
      <c r="A15" s="67"/>
      <c r="B15" s="95"/>
      <c r="C15" s="25" t="s">
        <v>86</v>
      </c>
      <c r="D15" s="24" t="s">
        <v>41</v>
      </c>
      <c r="E15" s="24" t="s">
        <v>42</v>
      </c>
      <c r="F15" s="25">
        <v>2004</v>
      </c>
      <c r="G15" s="25">
        <v>79</v>
      </c>
      <c r="H15" s="29">
        <v>22</v>
      </c>
      <c r="I15" s="28" t="s">
        <v>174</v>
      </c>
      <c r="J15" s="39" t="s">
        <v>176</v>
      </c>
      <c r="K15" s="40"/>
      <c r="L15" s="43" t="str">
        <f t="shared" si="0"/>
        <v/>
      </c>
      <c r="M15" s="40"/>
      <c r="N15" s="43" t="str">
        <f t="shared" si="1"/>
        <v/>
      </c>
      <c r="O15" s="40"/>
      <c r="P15" s="43" t="str">
        <f t="shared" si="2"/>
        <v/>
      </c>
      <c r="Q15" s="40"/>
      <c r="R15" s="43" t="str">
        <f t="shared" si="3"/>
        <v/>
      </c>
      <c r="S15" s="40"/>
      <c r="T15" s="43" t="str">
        <f t="shared" si="4"/>
        <v/>
      </c>
      <c r="U15" s="86"/>
      <c r="V15" s="43" t="str">
        <f t="shared" si="5"/>
        <v/>
      </c>
      <c r="W15" s="40"/>
      <c r="X15" s="43" t="str">
        <f t="shared" si="6"/>
        <v/>
      </c>
      <c r="Y15" s="40"/>
      <c r="Z15" s="43" t="str">
        <f t="shared" si="7"/>
        <v/>
      </c>
      <c r="AA15" s="40"/>
      <c r="AB15" s="43" t="str">
        <f t="shared" si="8"/>
        <v/>
      </c>
      <c r="AC15" s="40"/>
      <c r="AD15" s="43" t="str">
        <f t="shared" si="9"/>
        <v/>
      </c>
      <c r="AE15" s="40">
        <v>5</v>
      </c>
      <c r="AF15" s="43">
        <f t="shared" si="21"/>
        <v>22.727272727272727</v>
      </c>
      <c r="AG15" s="40"/>
      <c r="AH15" s="43" t="str">
        <f t="shared" si="11"/>
        <v/>
      </c>
      <c r="AI15" s="86"/>
      <c r="AJ15" s="43" t="str">
        <f t="shared" si="12"/>
        <v/>
      </c>
      <c r="AK15" s="40"/>
      <c r="AL15" s="43" t="str">
        <f t="shared" si="13"/>
        <v/>
      </c>
      <c r="AM15" s="40"/>
      <c r="AN15" s="43" t="str">
        <f t="shared" si="14"/>
        <v/>
      </c>
      <c r="AO15" s="40"/>
      <c r="AP15" s="43" t="str">
        <f t="shared" si="15"/>
        <v/>
      </c>
      <c r="AQ15" s="40"/>
      <c r="AR15" s="43" t="str">
        <f t="shared" si="16"/>
        <v/>
      </c>
      <c r="AS15" s="40"/>
      <c r="AT15" s="43" t="str">
        <f t="shared" si="17"/>
        <v/>
      </c>
      <c r="AU15" s="40"/>
      <c r="AV15" s="43" t="str">
        <f t="shared" si="18"/>
        <v/>
      </c>
      <c r="AW15" s="40"/>
      <c r="AX15" s="43" t="str">
        <f t="shared" si="19"/>
        <v/>
      </c>
      <c r="AY15" s="40"/>
      <c r="AZ15" s="43" t="str">
        <f t="shared" si="20"/>
        <v/>
      </c>
      <c r="BA15" s="24" t="s">
        <v>177</v>
      </c>
    </row>
    <row r="16" spans="1:53" ht="20" customHeight="1" x14ac:dyDescent="0.2">
      <c r="A16" s="67"/>
      <c r="B16" s="95"/>
      <c r="C16" s="25" t="s">
        <v>86</v>
      </c>
      <c r="D16" s="24" t="s">
        <v>43</v>
      </c>
      <c r="E16" s="24" t="s">
        <v>44</v>
      </c>
      <c r="F16" s="25">
        <v>1976</v>
      </c>
      <c r="G16" s="25">
        <v>179</v>
      </c>
      <c r="H16" s="29">
        <v>8</v>
      </c>
      <c r="I16" s="91" t="s">
        <v>374</v>
      </c>
      <c r="J16" s="39"/>
      <c r="K16" s="45">
        <v>5</v>
      </c>
      <c r="L16" s="46">
        <f t="shared" si="0"/>
        <v>62.5</v>
      </c>
      <c r="M16" s="45">
        <v>1</v>
      </c>
      <c r="N16" s="46">
        <f t="shared" si="1"/>
        <v>12.5</v>
      </c>
      <c r="O16" s="45">
        <v>2</v>
      </c>
      <c r="P16" s="46">
        <f t="shared" si="2"/>
        <v>25</v>
      </c>
      <c r="Q16" s="45">
        <v>1</v>
      </c>
      <c r="R16" s="46">
        <f t="shared" si="3"/>
        <v>12.5</v>
      </c>
      <c r="S16" s="45">
        <v>2</v>
      </c>
      <c r="T16" s="46">
        <f t="shared" si="4"/>
        <v>25</v>
      </c>
      <c r="U16" s="86">
        <v>1</v>
      </c>
      <c r="V16" s="43">
        <f t="shared" si="5"/>
        <v>12.5</v>
      </c>
      <c r="W16" s="40"/>
      <c r="X16" s="43" t="str">
        <f t="shared" si="6"/>
        <v/>
      </c>
      <c r="Y16" s="45">
        <v>1</v>
      </c>
      <c r="Z16" s="46">
        <f t="shared" si="7"/>
        <v>12.5</v>
      </c>
      <c r="AA16" s="45">
        <v>1</v>
      </c>
      <c r="AB16" s="46">
        <f t="shared" si="8"/>
        <v>12.5</v>
      </c>
      <c r="AC16" s="45">
        <v>1</v>
      </c>
      <c r="AD16" s="46">
        <f t="shared" si="9"/>
        <v>12.5</v>
      </c>
      <c r="AE16" s="40"/>
      <c r="AF16" s="43" t="str">
        <f t="shared" si="21"/>
        <v/>
      </c>
      <c r="AG16" s="45">
        <v>1</v>
      </c>
      <c r="AH16" s="46">
        <f t="shared" si="11"/>
        <v>12.5</v>
      </c>
      <c r="AI16" s="86"/>
      <c r="AJ16" s="43" t="str">
        <f t="shared" si="12"/>
        <v/>
      </c>
      <c r="AK16" s="40"/>
      <c r="AL16" s="43" t="str">
        <f t="shared" si="13"/>
        <v/>
      </c>
      <c r="AM16" s="40"/>
      <c r="AN16" s="43" t="str">
        <f t="shared" si="14"/>
        <v/>
      </c>
      <c r="AO16" s="40"/>
      <c r="AP16" s="43" t="str">
        <f t="shared" si="15"/>
        <v/>
      </c>
      <c r="AQ16" s="45"/>
      <c r="AR16" s="46" t="str">
        <f t="shared" si="16"/>
        <v/>
      </c>
      <c r="AS16" s="45"/>
      <c r="AT16" s="46" t="str">
        <f t="shared" si="17"/>
        <v/>
      </c>
      <c r="AU16" s="40"/>
      <c r="AV16" s="43" t="str">
        <f t="shared" si="18"/>
        <v/>
      </c>
      <c r="AW16" s="40"/>
      <c r="AX16" s="43" t="str">
        <f t="shared" si="19"/>
        <v/>
      </c>
      <c r="AY16" s="40"/>
      <c r="AZ16" s="43" t="str">
        <f t="shared" si="20"/>
        <v/>
      </c>
      <c r="BA16" s="24" t="s">
        <v>198</v>
      </c>
    </row>
    <row r="17" spans="1:53" ht="20" customHeight="1" x14ac:dyDescent="0.2">
      <c r="A17" s="67"/>
      <c r="B17" s="96"/>
      <c r="C17" s="25" t="s">
        <v>86</v>
      </c>
      <c r="D17" s="24" t="s">
        <v>293</v>
      </c>
      <c r="E17" s="24" t="s">
        <v>294</v>
      </c>
      <c r="F17" s="25">
        <v>2014</v>
      </c>
      <c r="H17" s="29">
        <v>86</v>
      </c>
      <c r="I17" s="28" t="s">
        <v>238</v>
      </c>
      <c r="J17" s="39" t="s">
        <v>375</v>
      </c>
      <c r="K17" s="40"/>
      <c r="L17" s="43" t="str">
        <f t="shared" si="0"/>
        <v/>
      </c>
      <c r="M17" s="40"/>
      <c r="N17" s="43" t="str">
        <f t="shared" si="1"/>
        <v/>
      </c>
      <c r="O17" s="40"/>
      <c r="P17" s="43" t="str">
        <f t="shared" si="2"/>
        <v/>
      </c>
      <c r="Q17" s="40"/>
      <c r="R17" s="43" t="str">
        <f t="shared" si="3"/>
        <v/>
      </c>
      <c r="S17" s="40"/>
      <c r="T17" s="43" t="str">
        <f t="shared" si="4"/>
        <v/>
      </c>
      <c r="U17" s="86"/>
      <c r="V17" s="43" t="str">
        <f t="shared" si="5"/>
        <v/>
      </c>
      <c r="W17" s="40"/>
      <c r="X17" s="43" t="str">
        <f t="shared" si="6"/>
        <v/>
      </c>
      <c r="Y17" s="40"/>
      <c r="Z17" s="43" t="str">
        <f t="shared" si="7"/>
        <v/>
      </c>
      <c r="AA17" s="40"/>
      <c r="AB17" s="43" t="str">
        <f t="shared" si="8"/>
        <v/>
      </c>
      <c r="AC17" s="40"/>
      <c r="AD17" s="43" t="str">
        <f t="shared" si="9"/>
        <v/>
      </c>
      <c r="AE17" s="40"/>
      <c r="AF17" s="43" t="str">
        <f t="shared" si="21"/>
        <v/>
      </c>
      <c r="AG17" s="40"/>
      <c r="AH17" s="43" t="str">
        <f t="shared" si="11"/>
        <v/>
      </c>
      <c r="AI17" s="86"/>
      <c r="AJ17" s="43" t="str">
        <f t="shared" si="12"/>
        <v/>
      </c>
      <c r="AK17" s="40"/>
      <c r="AL17" s="43" t="str">
        <f t="shared" si="13"/>
        <v/>
      </c>
      <c r="AM17" s="40"/>
      <c r="AN17" s="43" t="str">
        <f t="shared" si="14"/>
        <v/>
      </c>
      <c r="AO17" s="40"/>
      <c r="AP17" s="43" t="str">
        <f t="shared" si="15"/>
        <v/>
      </c>
      <c r="AQ17" s="40"/>
      <c r="AR17" s="43" t="str">
        <f t="shared" si="16"/>
        <v/>
      </c>
      <c r="AS17" s="40"/>
      <c r="AT17" s="43" t="str">
        <f t="shared" si="17"/>
        <v/>
      </c>
      <c r="AU17" s="40"/>
      <c r="AV17" s="43" t="str">
        <f t="shared" si="18"/>
        <v/>
      </c>
      <c r="AW17" s="40"/>
      <c r="AX17" s="43" t="str">
        <f t="shared" si="19"/>
        <v/>
      </c>
      <c r="AY17" s="40"/>
      <c r="AZ17" s="43" t="str">
        <f t="shared" si="20"/>
        <v/>
      </c>
      <c r="BA17" s="24" t="s">
        <v>376</v>
      </c>
    </row>
    <row r="18" spans="1:53" ht="20" customHeight="1" x14ac:dyDescent="0.2">
      <c r="A18" s="67"/>
      <c r="B18" s="25"/>
      <c r="D18" s="24" t="s">
        <v>295</v>
      </c>
      <c r="E18" s="24" t="s">
        <v>296</v>
      </c>
      <c r="F18" s="25">
        <v>2015</v>
      </c>
      <c r="H18" s="29"/>
      <c r="I18" s="28"/>
      <c r="J18" s="39"/>
      <c r="K18" s="40"/>
      <c r="L18" s="43" t="str">
        <f t="shared" si="0"/>
        <v/>
      </c>
      <c r="M18" s="40"/>
      <c r="N18" s="43" t="str">
        <f t="shared" si="1"/>
        <v/>
      </c>
      <c r="O18" s="40"/>
      <c r="P18" s="43" t="str">
        <f t="shared" si="2"/>
        <v/>
      </c>
      <c r="Q18" s="40"/>
      <c r="R18" s="43" t="str">
        <f t="shared" si="3"/>
        <v/>
      </c>
      <c r="S18" s="40"/>
      <c r="T18" s="43" t="str">
        <f t="shared" si="4"/>
        <v/>
      </c>
      <c r="U18" s="86"/>
      <c r="V18" s="43" t="str">
        <f t="shared" si="5"/>
        <v/>
      </c>
      <c r="W18" s="40"/>
      <c r="X18" s="43" t="str">
        <f t="shared" si="6"/>
        <v/>
      </c>
      <c r="Y18" s="40"/>
      <c r="Z18" s="43" t="str">
        <f t="shared" si="7"/>
        <v/>
      </c>
      <c r="AA18" s="40"/>
      <c r="AB18" s="43" t="str">
        <f t="shared" si="8"/>
        <v/>
      </c>
      <c r="AC18" s="40"/>
      <c r="AD18" s="43" t="str">
        <f t="shared" si="9"/>
        <v/>
      </c>
      <c r="AE18" s="40"/>
      <c r="AF18" s="43" t="str">
        <f t="shared" si="21"/>
        <v/>
      </c>
      <c r="AG18" s="40"/>
      <c r="AH18" s="43" t="str">
        <f t="shared" si="11"/>
        <v/>
      </c>
      <c r="AI18" s="86"/>
      <c r="AJ18" s="43" t="str">
        <f t="shared" si="12"/>
        <v/>
      </c>
      <c r="AK18" s="40"/>
      <c r="AL18" s="43" t="str">
        <f t="shared" si="13"/>
        <v/>
      </c>
      <c r="AM18" s="40"/>
      <c r="AN18" s="43" t="str">
        <f t="shared" si="14"/>
        <v/>
      </c>
      <c r="AO18" s="40"/>
      <c r="AP18" s="43" t="str">
        <f t="shared" si="15"/>
        <v/>
      </c>
      <c r="AQ18" s="40"/>
      <c r="AR18" s="43" t="str">
        <f t="shared" si="16"/>
        <v/>
      </c>
      <c r="AS18" s="40"/>
      <c r="AT18" s="43" t="str">
        <f t="shared" si="17"/>
        <v/>
      </c>
      <c r="AU18" s="40"/>
      <c r="AV18" s="43" t="str">
        <f t="shared" si="18"/>
        <v/>
      </c>
      <c r="AW18" s="40"/>
      <c r="AX18" s="43" t="str">
        <f t="shared" si="19"/>
        <v/>
      </c>
      <c r="AY18" s="40"/>
      <c r="AZ18" s="43" t="str">
        <f t="shared" si="20"/>
        <v/>
      </c>
    </row>
    <row r="19" spans="1:53" ht="20" customHeight="1" x14ac:dyDescent="0.2">
      <c r="A19" s="67"/>
      <c r="B19" s="96"/>
      <c r="C19" s="25" t="s">
        <v>86</v>
      </c>
      <c r="D19" s="24" t="s">
        <v>297</v>
      </c>
      <c r="E19" s="24" t="s">
        <v>298</v>
      </c>
      <c r="F19" s="25">
        <v>2012</v>
      </c>
      <c r="H19" s="29">
        <v>160</v>
      </c>
      <c r="I19" s="28" t="s">
        <v>238</v>
      </c>
      <c r="J19" s="39" t="s">
        <v>211</v>
      </c>
      <c r="K19" s="40"/>
      <c r="L19" s="43" t="str">
        <f t="shared" si="0"/>
        <v/>
      </c>
      <c r="M19" s="40"/>
      <c r="N19" s="43" t="str">
        <f t="shared" si="1"/>
        <v/>
      </c>
      <c r="O19" s="40"/>
      <c r="P19" s="43" t="str">
        <f t="shared" si="2"/>
        <v/>
      </c>
      <c r="Q19" s="40"/>
      <c r="R19" s="43" t="str">
        <f t="shared" si="3"/>
        <v/>
      </c>
      <c r="S19" s="40"/>
      <c r="T19" s="43" t="str">
        <f t="shared" si="4"/>
        <v/>
      </c>
      <c r="U19" s="86"/>
      <c r="V19" s="43" t="str">
        <f t="shared" si="5"/>
        <v/>
      </c>
      <c r="W19" s="40"/>
      <c r="X19" s="43" t="str">
        <f t="shared" si="6"/>
        <v/>
      </c>
      <c r="Y19" s="40"/>
      <c r="Z19" s="43" t="str">
        <f t="shared" si="7"/>
        <v/>
      </c>
      <c r="AA19" s="40"/>
      <c r="AB19" s="43" t="str">
        <f t="shared" si="8"/>
        <v/>
      </c>
      <c r="AC19" s="40"/>
      <c r="AD19" s="43" t="str">
        <f t="shared" si="9"/>
        <v/>
      </c>
      <c r="AE19" s="40"/>
      <c r="AF19" s="43" t="str">
        <f t="shared" si="21"/>
        <v/>
      </c>
      <c r="AG19" s="40"/>
      <c r="AH19" s="43" t="str">
        <f t="shared" si="11"/>
        <v/>
      </c>
      <c r="AI19" s="86"/>
      <c r="AJ19" s="43" t="str">
        <f t="shared" si="12"/>
        <v/>
      </c>
      <c r="AK19" s="40"/>
      <c r="AL19" s="43" t="str">
        <f t="shared" si="13"/>
        <v/>
      </c>
      <c r="AM19" s="40"/>
      <c r="AN19" s="43" t="str">
        <f t="shared" si="14"/>
        <v/>
      </c>
      <c r="AO19" s="40"/>
      <c r="AP19" s="43" t="str">
        <f t="shared" si="15"/>
        <v/>
      </c>
      <c r="AQ19" s="40"/>
      <c r="AR19" s="43" t="str">
        <f t="shared" si="16"/>
        <v/>
      </c>
      <c r="AS19" s="40"/>
      <c r="AT19" s="43" t="str">
        <f t="shared" si="17"/>
        <v/>
      </c>
      <c r="AU19" s="40"/>
      <c r="AV19" s="43" t="str">
        <f t="shared" si="18"/>
        <v/>
      </c>
      <c r="AW19" s="40"/>
      <c r="AX19" s="43" t="str">
        <f t="shared" si="19"/>
        <v/>
      </c>
      <c r="AY19" s="40"/>
      <c r="AZ19" s="43" t="str">
        <f t="shared" si="20"/>
        <v/>
      </c>
    </row>
    <row r="20" spans="1:53" ht="20" customHeight="1" x14ac:dyDescent="0.2">
      <c r="A20" s="67"/>
      <c r="B20" s="95"/>
      <c r="C20" s="25" t="s">
        <v>86</v>
      </c>
      <c r="D20" s="24" t="s">
        <v>299</v>
      </c>
      <c r="E20" s="24" t="s">
        <v>300</v>
      </c>
      <c r="F20" s="25">
        <v>2013</v>
      </c>
      <c r="H20" s="29">
        <v>12</v>
      </c>
      <c r="I20" s="28" t="s">
        <v>238</v>
      </c>
      <c r="J20" s="39" t="s">
        <v>377</v>
      </c>
      <c r="K20" s="40"/>
      <c r="L20" s="43" t="str">
        <f t="shared" si="0"/>
        <v/>
      </c>
      <c r="M20" s="40"/>
      <c r="N20" s="43" t="str">
        <f t="shared" si="1"/>
        <v/>
      </c>
      <c r="O20" s="40"/>
      <c r="P20" s="43" t="str">
        <f t="shared" si="2"/>
        <v/>
      </c>
      <c r="Q20" s="45"/>
      <c r="R20" s="46" t="str">
        <f t="shared" si="3"/>
        <v/>
      </c>
      <c r="S20" s="40"/>
      <c r="T20" s="43" t="str">
        <f t="shared" si="4"/>
        <v/>
      </c>
      <c r="U20" s="47"/>
      <c r="V20" s="46" t="str">
        <f t="shared" si="5"/>
        <v/>
      </c>
      <c r="W20" s="40"/>
      <c r="X20" s="43" t="str">
        <f t="shared" si="6"/>
        <v/>
      </c>
      <c r="Y20" s="40"/>
      <c r="Z20" s="43" t="str">
        <f t="shared" si="7"/>
        <v/>
      </c>
      <c r="AA20" s="40"/>
      <c r="AB20" s="43" t="str">
        <f t="shared" si="8"/>
        <v/>
      </c>
      <c r="AC20" s="40"/>
      <c r="AD20" s="43" t="str">
        <f t="shared" si="9"/>
        <v/>
      </c>
      <c r="AE20" s="40"/>
      <c r="AF20" s="43" t="str">
        <f t="shared" si="21"/>
        <v/>
      </c>
      <c r="AG20" s="40"/>
      <c r="AH20" s="43" t="str">
        <f t="shared" si="11"/>
        <v/>
      </c>
      <c r="AI20" s="86"/>
      <c r="AJ20" s="43" t="str">
        <f t="shared" si="12"/>
        <v/>
      </c>
      <c r="AK20" s="40"/>
      <c r="AL20" s="43" t="str">
        <f t="shared" si="13"/>
        <v/>
      </c>
      <c r="AM20" s="40"/>
      <c r="AN20" s="43" t="str">
        <f t="shared" si="14"/>
        <v/>
      </c>
      <c r="AO20" s="40"/>
      <c r="AP20" s="43" t="str">
        <f t="shared" si="15"/>
        <v/>
      </c>
      <c r="AQ20" s="40"/>
      <c r="AR20" s="43" t="str">
        <f t="shared" si="16"/>
        <v/>
      </c>
      <c r="AS20" s="40"/>
      <c r="AT20" s="43" t="str">
        <f t="shared" si="17"/>
        <v/>
      </c>
      <c r="AU20" s="40"/>
      <c r="AV20" s="43" t="str">
        <f t="shared" si="18"/>
        <v/>
      </c>
      <c r="AW20" s="40"/>
      <c r="AX20" s="43" t="str">
        <f t="shared" si="19"/>
        <v/>
      </c>
      <c r="AY20" s="40"/>
      <c r="AZ20" s="43" t="str">
        <f t="shared" si="20"/>
        <v/>
      </c>
      <c r="BA20" s="24" t="s">
        <v>378</v>
      </c>
    </row>
    <row r="21" spans="1:53" ht="20" customHeight="1" x14ac:dyDescent="0.2">
      <c r="A21" s="68"/>
      <c r="B21" s="96"/>
      <c r="C21" s="25" t="s">
        <v>86</v>
      </c>
      <c r="D21" s="24" t="s">
        <v>52</v>
      </c>
      <c r="E21" s="24" t="s">
        <v>53</v>
      </c>
      <c r="F21" s="25">
        <v>2001</v>
      </c>
      <c r="G21" s="25">
        <v>118</v>
      </c>
      <c r="H21" s="29">
        <v>20</v>
      </c>
      <c r="I21" s="28"/>
      <c r="J21" s="39" t="s">
        <v>208</v>
      </c>
      <c r="K21" s="40"/>
      <c r="L21" s="43" t="str">
        <f t="shared" si="0"/>
        <v/>
      </c>
      <c r="M21" s="40"/>
      <c r="N21" s="43" t="str">
        <f t="shared" si="1"/>
        <v/>
      </c>
      <c r="O21" s="40"/>
      <c r="P21" s="43" t="str">
        <f t="shared" si="2"/>
        <v/>
      </c>
      <c r="Q21" s="40"/>
      <c r="R21" s="43" t="str">
        <f t="shared" si="3"/>
        <v/>
      </c>
      <c r="S21" s="40"/>
      <c r="T21" s="43" t="str">
        <f t="shared" si="4"/>
        <v/>
      </c>
      <c r="U21" s="86"/>
      <c r="V21" s="43" t="str">
        <f t="shared" si="5"/>
        <v/>
      </c>
      <c r="W21" s="40"/>
      <c r="X21" s="43" t="str">
        <f t="shared" si="6"/>
        <v/>
      </c>
      <c r="Y21" s="40"/>
      <c r="Z21" s="43" t="str">
        <f t="shared" si="7"/>
        <v/>
      </c>
      <c r="AA21" s="40"/>
      <c r="AB21" s="43" t="str">
        <f t="shared" si="8"/>
        <v/>
      </c>
      <c r="AC21" s="40"/>
      <c r="AD21" s="43" t="str">
        <f t="shared" si="9"/>
        <v/>
      </c>
      <c r="AE21" s="40"/>
      <c r="AF21" s="43" t="str">
        <f t="shared" si="21"/>
        <v/>
      </c>
      <c r="AG21" s="40"/>
      <c r="AH21" s="43" t="str">
        <f t="shared" si="11"/>
        <v/>
      </c>
      <c r="AI21" s="86"/>
      <c r="AJ21" s="43" t="str">
        <f t="shared" si="12"/>
        <v/>
      </c>
      <c r="AK21" s="40"/>
      <c r="AL21" s="43" t="str">
        <f t="shared" si="13"/>
        <v/>
      </c>
      <c r="AM21" s="40"/>
      <c r="AN21" s="43" t="str">
        <f t="shared" si="14"/>
        <v/>
      </c>
      <c r="AO21" s="40"/>
      <c r="AP21" s="43" t="str">
        <f t="shared" si="15"/>
        <v/>
      </c>
      <c r="AQ21" s="40"/>
      <c r="AR21" s="43" t="str">
        <f t="shared" si="16"/>
        <v/>
      </c>
      <c r="AS21" s="40"/>
      <c r="AT21" s="43" t="str">
        <f t="shared" si="17"/>
        <v/>
      </c>
      <c r="AU21" s="40"/>
      <c r="AV21" s="43" t="str">
        <f t="shared" si="18"/>
        <v/>
      </c>
      <c r="AW21" s="40"/>
      <c r="AX21" s="43" t="str">
        <f t="shared" si="19"/>
        <v/>
      </c>
      <c r="AY21" s="40"/>
      <c r="AZ21" s="43" t="str">
        <f t="shared" si="20"/>
        <v/>
      </c>
      <c r="BA21" s="24" t="s">
        <v>195</v>
      </c>
    </row>
    <row r="22" spans="1:53" ht="20" customHeight="1" x14ac:dyDescent="0.2">
      <c r="A22" s="67"/>
      <c r="B22" s="95"/>
      <c r="C22" s="25" t="s">
        <v>86</v>
      </c>
      <c r="D22" s="24" t="s">
        <v>305</v>
      </c>
      <c r="E22" s="24" t="s">
        <v>306</v>
      </c>
      <c r="F22" s="25">
        <v>1994</v>
      </c>
      <c r="H22" s="29">
        <v>20</v>
      </c>
      <c r="I22" s="28" t="s">
        <v>380</v>
      </c>
      <c r="J22" s="39"/>
      <c r="K22" s="40"/>
      <c r="L22" s="43" t="str">
        <f t="shared" si="0"/>
        <v/>
      </c>
      <c r="M22" s="45"/>
      <c r="N22" s="46" t="str">
        <f t="shared" si="1"/>
        <v/>
      </c>
      <c r="O22" s="40"/>
      <c r="P22" s="43" t="str">
        <f t="shared" si="2"/>
        <v/>
      </c>
      <c r="Q22" s="45"/>
      <c r="R22" s="46" t="str">
        <f t="shared" si="3"/>
        <v/>
      </c>
      <c r="S22" s="40"/>
      <c r="T22" s="43" t="str">
        <f t="shared" si="4"/>
        <v/>
      </c>
      <c r="U22" s="47"/>
      <c r="V22" s="46" t="str">
        <f t="shared" si="5"/>
        <v/>
      </c>
      <c r="W22" s="40"/>
      <c r="X22" s="43" t="str">
        <f t="shared" si="6"/>
        <v/>
      </c>
      <c r="Y22" s="40"/>
      <c r="Z22" s="43" t="str">
        <f t="shared" si="7"/>
        <v/>
      </c>
      <c r="AA22" s="40"/>
      <c r="AB22" s="43" t="str">
        <f t="shared" si="8"/>
        <v/>
      </c>
      <c r="AC22" s="40"/>
      <c r="AD22" s="43" t="str">
        <f t="shared" si="9"/>
        <v/>
      </c>
      <c r="AE22" s="40"/>
      <c r="AF22" s="43" t="str">
        <f t="shared" si="21"/>
        <v/>
      </c>
      <c r="AG22" s="40"/>
      <c r="AH22" s="43" t="str">
        <f t="shared" si="11"/>
        <v/>
      </c>
      <c r="AI22" s="86"/>
      <c r="AJ22" s="43" t="str">
        <f t="shared" si="12"/>
        <v/>
      </c>
      <c r="AK22" s="40"/>
      <c r="AL22" s="43" t="str">
        <f t="shared" si="13"/>
        <v/>
      </c>
      <c r="AM22" s="40"/>
      <c r="AN22" s="43" t="str">
        <f t="shared" si="14"/>
        <v/>
      </c>
      <c r="AO22" s="40"/>
      <c r="AP22" s="43" t="str">
        <f t="shared" si="15"/>
        <v/>
      </c>
      <c r="AQ22" s="40"/>
      <c r="AR22" s="43" t="str">
        <f t="shared" si="16"/>
        <v/>
      </c>
      <c r="AS22" s="40"/>
      <c r="AT22" s="43" t="str">
        <f t="shared" si="17"/>
        <v/>
      </c>
      <c r="AU22" s="40"/>
      <c r="AV22" s="43" t="str">
        <f t="shared" si="18"/>
        <v/>
      </c>
      <c r="AW22" s="40"/>
      <c r="AX22" s="43" t="str">
        <f t="shared" si="19"/>
        <v/>
      </c>
      <c r="AY22" s="40"/>
      <c r="AZ22" s="43" t="str">
        <f t="shared" si="20"/>
        <v/>
      </c>
      <c r="BA22" s="24" t="s">
        <v>381</v>
      </c>
    </row>
    <row r="23" spans="1:53" ht="20" customHeight="1" x14ac:dyDescent="0.2">
      <c r="A23" s="67"/>
      <c r="B23" s="96"/>
      <c r="C23" s="25" t="s">
        <v>86</v>
      </c>
      <c r="D23" s="24" t="s">
        <v>382</v>
      </c>
      <c r="E23" s="24" t="s">
        <v>383</v>
      </c>
      <c r="F23" s="25">
        <v>2008</v>
      </c>
      <c r="H23" s="29">
        <v>50</v>
      </c>
      <c r="I23" s="28" t="s">
        <v>189</v>
      </c>
      <c r="J23" s="39" t="s">
        <v>384</v>
      </c>
      <c r="K23" s="40"/>
      <c r="L23" s="43" t="str">
        <f t="shared" si="0"/>
        <v/>
      </c>
      <c r="M23" s="40"/>
      <c r="N23" s="43" t="str">
        <f t="shared" si="1"/>
        <v/>
      </c>
      <c r="O23" s="40"/>
      <c r="P23" s="43" t="str">
        <f t="shared" si="2"/>
        <v/>
      </c>
      <c r="Q23" s="40"/>
      <c r="R23" s="43" t="str">
        <f t="shared" si="3"/>
        <v/>
      </c>
      <c r="S23" s="40"/>
      <c r="T23" s="43" t="str">
        <f t="shared" si="4"/>
        <v/>
      </c>
      <c r="U23" s="86"/>
      <c r="V23" s="43" t="str">
        <f t="shared" si="5"/>
        <v/>
      </c>
      <c r="W23" s="40"/>
      <c r="X23" s="43" t="str">
        <f t="shared" si="6"/>
        <v/>
      </c>
      <c r="Y23" s="40"/>
      <c r="Z23" s="43" t="str">
        <f t="shared" si="7"/>
        <v/>
      </c>
      <c r="AA23" s="40"/>
      <c r="AB23" s="43" t="str">
        <f t="shared" si="8"/>
        <v/>
      </c>
      <c r="AC23" s="40"/>
      <c r="AD23" s="43" t="str">
        <f t="shared" si="9"/>
        <v/>
      </c>
      <c r="AE23" s="40"/>
      <c r="AF23" s="43" t="str">
        <f t="shared" si="21"/>
        <v/>
      </c>
      <c r="AG23" s="40"/>
      <c r="AH23" s="43" t="str">
        <f t="shared" si="11"/>
        <v/>
      </c>
      <c r="AI23" s="86"/>
      <c r="AJ23" s="43" t="str">
        <f t="shared" si="12"/>
        <v/>
      </c>
      <c r="AK23" s="40"/>
      <c r="AL23" s="43" t="str">
        <f t="shared" si="13"/>
        <v/>
      </c>
      <c r="AM23" s="40"/>
      <c r="AN23" s="43" t="str">
        <f t="shared" si="14"/>
        <v/>
      </c>
      <c r="AO23" s="40"/>
      <c r="AP23" s="43" t="str">
        <f t="shared" si="15"/>
        <v/>
      </c>
      <c r="AQ23" s="40"/>
      <c r="AR23" s="43" t="str">
        <f t="shared" si="16"/>
        <v/>
      </c>
      <c r="AS23" s="40"/>
      <c r="AT23" s="43" t="str">
        <f t="shared" si="17"/>
        <v/>
      </c>
      <c r="AU23" s="40"/>
      <c r="AV23" s="43" t="str">
        <f t="shared" si="18"/>
        <v/>
      </c>
      <c r="AW23" s="40"/>
      <c r="AX23" s="43" t="str">
        <f t="shared" si="19"/>
        <v/>
      </c>
      <c r="AY23" s="40"/>
      <c r="AZ23" s="43" t="str">
        <f t="shared" si="20"/>
        <v/>
      </c>
      <c r="BA23" s="24" t="s">
        <v>196</v>
      </c>
    </row>
    <row r="24" spans="1:53" ht="20" customHeight="1" x14ac:dyDescent="0.2">
      <c r="A24" s="67"/>
      <c r="B24" s="95"/>
      <c r="C24" s="25" t="s">
        <v>86</v>
      </c>
      <c r="D24" s="24" t="s">
        <v>54</v>
      </c>
      <c r="E24" s="24" t="s">
        <v>55</v>
      </c>
      <c r="F24" s="25">
        <v>1996</v>
      </c>
      <c r="G24" s="25">
        <v>82</v>
      </c>
      <c r="H24" s="29">
        <v>15</v>
      </c>
      <c r="I24" s="28" t="s">
        <v>189</v>
      </c>
      <c r="J24" s="39" t="s">
        <v>191</v>
      </c>
      <c r="K24" s="40"/>
      <c r="L24" s="43" t="str">
        <f t="shared" si="0"/>
        <v/>
      </c>
      <c r="M24" s="40"/>
      <c r="N24" s="43" t="str">
        <f t="shared" si="1"/>
        <v/>
      </c>
      <c r="O24" s="40">
        <v>1</v>
      </c>
      <c r="P24" s="43">
        <f t="shared" si="2"/>
        <v>6.666666666666667</v>
      </c>
      <c r="Q24" s="40"/>
      <c r="R24" s="43" t="str">
        <f t="shared" si="3"/>
        <v/>
      </c>
      <c r="S24" s="40"/>
      <c r="T24" s="43" t="str">
        <f t="shared" si="4"/>
        <v/>
      </c>
      <c r="U24" s="86">
        <v>1</v>
      </c>
      <c r="V24" s="43">
        <f t="shared" si="5"/>
        <v>6.666666666666667</v>
      </c>
      <c r="W24" s="40"/>
      <c r="X24" s="43" t="str">
        <f t="shared" si="6"/>
        <v/>
      </c>
      <c r="Y24" s="40"/>
      <c r="Z24" s="43" t="str">
        <f t="shared" si="7"/>
        <v/>
      </c>
      <c r="AA24" s="40"/>
      <c r="AB24" s="43" t="str">
        <f t="shared" si="8"/>
        <v/>
      </c>
      <c r="AC24" s="40"/>
      <c r="AD24" s="43" t="str">
        <f t="shared" si="9"/>
        <v/>
      </c>
      <c r="AE24" s="40">
        <v>3</v>
      </c>
      <c r="AF24" s="43">
        <f t="shared" si="21"/>
        <v>20</v>
      </c>
      <c r="AG24" s="40"/>
      <c r="AH24" s="43" t="str">
        <f t="shared" si="11"/>
        <v/>
      </c>
      <c r="AI24" s="86"/>
      <c r="AJ24" s="43" t="str">
        <f t="shared" si="12"/>
        <v/>
      </c>
      <c r="AK24" s="40"/>
      <c r="AL24" s="43" t="str">
        <f t="shared" si="13"/>
        <v/>
      </c>
      <c r="AM24" s="40">
        <v>1</v>
      </c>
      <c r="AN24" s="43">
        <f t="shared" si="14"/>
        <v>6.666666666666667</v>
      </c>
      <c r="AO24" s="40"/>
      <c r="AP24" s="43" t="str">
        <f t="shared" si="15"/>
        <v/>
      </c>
      <c r="AQ24" s="40"/>
      <c r="AR24" s="43" t="str">
        <f t="shared" si="16"/>
        <v/>
      </c>
      <c r="AS24" s="40"/>
      <c r="AT24" s="43" t="str">
        <f t="shared" si="17"/>
        <v/>
      </c>
      <c r="AU24" s="40"/>
      <c r="AV24" s="43" t="str">
        <f t="shared" si="18"/>
        <v/>
      </c>
      <c r="AW24" s="40"/>
      <c r="AX24" s="43" t="str">
        <f t="shared" si="19"/>
        <v/>
      </c>
      <c r="AY24" s="40"/>
      <c r="AZ24" s="43" t="str">
        <f t="shared" si="20"/>
        <v/>
      </c>
      <c r="BA24" s="24" t="s">
        <v>385</v>
      </c>
    </row>
    <row r="25" spans="1:53" ht="20" customHeight="1" x14ac:dyDescent="0.2">
      <c r="A25" s="68"/>
      <c r="B25" s="25"/>
      <c r="C25" s="25" t="s">
        <v>86</v>
      </c>
      <c r="D25" s="24" t="s">
        <v>57</v>
      </c>
      <c r="E25" s="24" t="s">
        <v>58</v>
      </c>
      <c r="F25" s="25">
        <v>2006</v>
      </c>
      <c r="G25" s="25">
        <v>132</v>
      </c>
      <c r="H25" s="29">
        <v>7</v>
      </c>
      <c r="I25" s="28"/>
      <c r="J25" s="39"/>
      <c r="K25" s="40"/>
      <c r="L25" s="43" t="str">
        <f t="shared" si="0"/>
        <v/>
      </c>
      <c r="M25" s="40"/>
      <c r="N25" s="43" t="str">
        <f t="shared" si="1"/>
        <v/>
      </c>
      <c r="O25" s="40"/>
      <c r="P25" s="43" t="str">
        <f t="shared" si="2"/>
        <v/>
      </c>
      <c r="Q25" s="40"/>
      <c r="R25" s="43" t="str">
        <f t="shared" si="3"/>
        <v/>
      </c>
      <c r="S25" s="40"/>
      <c r="T25" s="43" t="str">
        <f t="shared" si="4"/>
        <v/>
      </c>
      <c r="U25" s="86"/>
      <c r="V25" s="43" t="str">
        <f t="shared" si="5"/>
        <v/>
      </c>
      <c r="W25" s="40"/>
      <c r="X25" s="43" t="str">
        <f t="shared" si="6"/>
        <v/>
      </c>
      <c r="Y25" s="40"/>
      <c r="Z25" s="43" t="str">
        <f t="shared" si="7"/>
        <v/>
      </c>
      <c r="AA25" s="40"/>
      <c r="AB25" s="43" t="str">
        <f t="shared" si="8"/>
        <v/>
      </c>
      <c r="AC25" s="40"/>
      <c r="AD25" s="43" t="str">
        <f t="shared" si="9"/>
        <v/>
      </c>
      <c r="AE25" s="40"/>
      <c r="AF25" s="43" t="str">
        <f t="shared" si="21"/>
        <v/>
      </c>
      <c r="AG25" s="40"/>
      <c r="AH25" s="43" t="str">
        <f t="shared" si="11"/>
        <v/>
      </c>
      <c r="AI25" s="86"/>
      <c r="AJ25" s="43" t="str">
        <f t="shared" si="12"/>
        <v/>
      </c>
      <c r="AK25" s="40"/>
      <c r="AL25" s="43" t="str">
        <f t="shared" si="13"/>
        <v/>
      </c>
      <c r="AM25" s="40"/>
      <c r="AN25" s="43" t="str">
        <f t="shared" si="14"/>
        <v/>
      </c>
      <c r="AO25" s="40"/>
      <c r="AP25" s="43" t="str">
        <f t="shared" si="15"/>
        <v/>
      </c>
      <c r="AQ25" s="40"/>
      <c r="AR25" s="43" t="str">
        <f t="shared" si="16"/>
        <v/>
      </c>
      <c r="AS25" s="40"/>
      <c r="AT25" s="43" t="str">
        <f t="shared" si="17"/>
        <v/>
      </c>
      <c r="AU25" s="40"/>
      <c r="AV25" s="43" t="str">
        <f t="shared" si="18"/>
        <v/>
      </c>
      <c r="AW25" s="40"/>
      <c r="AX25" s="43" t="str">
        <f t="shared" si="19"/>
        <v/>
      </c>
      <c r="AY25" s="40"/>
      <c r="AZ25" s="43" t="str">
        <f t="shared" si="20"/>
        <v/>
      </c>
      <c r="BA25" s="24" t="s">
        <v>389</v>
      </c>
    </row>
    <row r="26" spans="1:53" ht="20" customHeight="1" x14ac:dyDescent="0.2">
      <c r="A26" s="67"/>
      <c r="B26" s="96"/>
      <c r="C26" s="25" t="s">
        <v>86</v>
      </c>
      <c r="D26" s="24" t="s">
        <v>59</v>
      </c>
      <c r="E26" s="24" t="s">
        <v>60</v>
      </c>
      <c r="F26" s="25">
        <v>2009</v>
      </c>
      <c r="G26" s="25">
        <v>49</v>
      </c>
      <c r="H26" s="29">
        <v>22</v>
      </c>
      <c r="I26" s="28" t="s">
        <v>189</v>
      </c>
      <c r="J26" s="39" t="s">
        <v>209</v>
      </c>
      <c r="K26" s="40"/>
      <c r="L26" s="43" t="str">
        <f t="shared" si="0"/>
        <v/>
      </c>
      <c r="M26" s="40"/>
      <c r="N26" s="43" t="str">
        <f t="shared" si="1"/>
        <v/>
      </c>
      <c r="O26" s="40"/>
      <c r="P26" s="43" t="str">
        <f t="shared" si="2"/>
        <v/>
      </c>
      <c r="Q26" s="40"/>
      <c r="R26" s="43" t="str">
        <f t="shared" si="3"/>
        <v/>
      </c>
      <c r="S26" s="40"/>
      <c r="T26" s="43" t="str">
        <f t="shared" si="4"/>
        <v/>
      </c>
      <c r="U26" s="86"/>
      <c r="V26" s="43" t="str">
        <f t="shared" si="5"/>
        <v/>
      </c>
      <c r="W26" s="40"/>
      <c r="X26" s="43" t="str">
        <f t="shared" si="6"/>
        <v/>
      </c>
      <c r="Y26" s="40"/>
      <c r="Z26" s="43" t="str">
        <f t="shared" si="7"/>
        <v/>
      </c>
      <c r="AA26" s="40"/>
      <c r="AB26" s="43" t="str">
        <f t="shared" si="8"/>
        <v/>
      </c>
      <c r="AC26" s="40"/>
      <c r="AD26" s="43" t="str">
        <f t="shared" si="9"/>
        <v/>
      </c>
      <c r="AE26" s="40"/>
      <c r="AF26" s="43" t="str">
        <f t="shared" si="21"/>
        <v/>
      </c>
      <c r="AG26" s="40"/>
      <c r="AH26" s="43" t="str">
        <f t="shared" si="11"/>
        <v/>
      </c>
      <c r="AI26" s="86"/>
      <c r="AJ26" s="43" t="str">
        <f t="shared" si="12"/>
        <v/>
      </c>
      <c r="AK26" s="40"/>
      <c r="AL26" s="43" t="str">
        <f t="shared" si="13"/>
        <v/>
      </c>
      <c r="AM26" s="40"/>
      <c r="AN26" s="43" t="str">
        <f t="shared" si="14"/>
        <v/>
      </c>
      <c r="AO26" s="40"/>
      <c r="AP26" s="43" t="str">
        <f t="shared" si="15"/>
        <v/>
      </c>
      <c r="AQ26" s="40"/>
      <c r="AR26" s="43" t="str">
        <f t="shared" si="16"/>
        <v/>
      </c>
      <c r="AS26" s="40"/>
      <c r="AT26" s="43" t="str">
        <f t="shared" si="17"/>
        <v/>
      </c>
      <c r="AU26" s="40"/>
      <c r="AV26" s="43" t="str">
        <f t="shared" si="18"/>
        <v/>
      </c>
      <c r="AW26" s="40"/>
      <c r="AX26" s="43" t="str">
        <f t="shared" si="19"/>
        <v/>
      </c>
      <c r="AY26" s="40"/>
      <c r="AZ26" s="43" t="str">
        <f t="shared" si="20"/>
        <v/>
      </c>
      <c r="BA26" s="24" t="s">
        <v>194</v>
      </c>
    </row>
    <row r="27" spans="1:53" ht="20" customHeight="1" x14ac:dyDescent="0.2">
      <c r="A27" s="67"/>
      <c r="B27" s="95"/>
      <c r="C27" s="25" t="s">
        <v>86</v>
      </c>
      <c r="D27" s="24" t="s">
        <v>311</v>
      </c>
      <c r="E27" s="24" t="s">
        <v>312</v>
      </c>
      <c r="F27" s="25">
        <v>2014</v>
      </c>
      <c r="H27" s="29">
        <v>39</v>
      </c>
      <c r="I27" s="28"/>
      <c r="J27" s="39" t="s">
        <v>384</v>
      </c>
      <c r="K27" s="40"/>
      <c r="L27" s="43" t="str">
        <f t="shared" si="0"/>
        <v/>
      </c>
      <c r="M27" s="40">
        <v>23</v>
      </c>
      <c r="N27" s="43">
        <f t="shared" si="1"/>
        <v>58.974358974358978</v>
      </c>
      <c r="O27" s="40">
        <v>22</v>
      </c>
      <c r="P27" s="43">
        <f t="shared" si="2"/>
        <v>56.410256410256409</v>
      </c>
      <c r="Q27" s="40">
        <v>22</v>
      </c>
      <c r="R27" s="43">
        <f t="shared" si="3"/>
        <v>56.410256410256409</v>
      </c>
      <c r="S27" s="40"/>
      <c r="T27" s="43" t="str">
        <f t="shared" si="4"/>
        <v/>
      </c>
      <c r="U27" s="86"/>
      <c r="V27" s="43" t="str">
        <f t="shared" si="5"/>
        <v/>
      </c>
      <c r="W27" s="40">
        <v>8</v>
      </c>
      <c r="X27" s="43">
        <f t="shared" si="6"/>
        <v>20.512820512820511</v>
      </c>
      <c r="Y27" s="40"/>
      <c r="Z27" s="43" t="str">
        <f t="shared" si="7"/>
        <v/>
      </c>
      <c r="AA27" s="40"/>
      <c r="AB27" s="43" t="str">
        <f t="shared" si="8"/>
        <v/>
      </c>
      <c r="AC27" s="40"/>
      <c r="AD27" s="43" t="str">
        <f t="shared" si="9"/>
        <v/>
      </c>
      <c r="AE27" s="40"/>
      <c r="AF27" s="43" t="str">
        <f t="shared" si="21"/>
        <v/>
      </c>
      <c r="AG27" s="40"/>
      <c r="AH27" s="43" t="str">
        <f t="shared" si="11"/>
        <v/>
      </c>
      <c r="AI27" s="86"/>
      <c r="AJ27" s="43" t="str">
        <f t="shared" si="12"/>
        <v/>
      </c>
      <c r="AK27" s="40">
        <v>3</v>
      </c>
      <c r="AL27" s="43">
        <f t="shared" si="13"/>
        <v>7.6923076923076925</v>
      </c>
      <c r="AM27" s="40"/>
      <c r="AN27" s="43" t="str">
        <f t="shared" si="14"/>
        <v/>
      </c>
      <c r="AO27" s="40"/>
      <c r="AP27" s="43" t="str">
        <f t="shared" si="15"/>
        <v/>
      </c>
      <c r="AQ27" s="40"/>
      <c r="AR27" s="43" t="str">
        <f t="shared" si="16"/>
        <v/>
      </c>
      <c r="AS27" s="40"/>
      <c r="AT27" s="43" t="str">
        <f t="shared" si="17"/>
        <v/>
      </c>
      <c r="AU27" s="40"/>
      <c r="AV27" s="43" t="str">
        <f t="shared" si="18"/>
        <v/>
      </c>
      <c r="AW27" s="40"/>
      <c r="AX27" s="43" t="str">
        <f t="shared" si="19"/>
        <v/>
      </c>
      <c r="AY27" s="40"/>
      <c r="AZ27" s="43" t="str">
        <f t="shared" si="20"/>
        <v/>
      </c>
      <c r="BA27" s="24" t="s">
        <v>390</v>
      </c>
    </row>
    <row r="28" spans="1:53" ht="20" customHeight="1" x14ac:dyDescent="0.2">
      <c r="A28" s="67"/>
      <c r="B28" s="25"/>
      <c r="C28" s="25" t="s">
        <v>86</v>
      </c>
      <c r="D28" s="24" t="s">
        <v>313</v>
      </c>
      <c r="E28" s="24" t="s">
        <v>314</v>
      </c>
      <c r="F28" s="25">
        <v>2015</v>
      </c>
      <c r="H28" s="29">
        <v>8</v>
      </c>
      <c r="I28" s="28" t="s">
        <v>238</v>
      </c>
      <c r="J28" s="39" t="s">
        <v>391</v>
      </c>
      <c r="K28" s="40"/>
      <c r="L28" s="43" t="str">
        <f t="shared" si="0"/>
        <v/>
      </c>
      <c r="M28" s="40"/>
      <c r="N28" s="43" t="str">
        <f t="shared" si="1"/>
        <v/>
      </c>
      <c r="O28" s="40"/>
      <c r="P28" s="43" t="str">
        <f t="shared" si="2"/>
        <v/>
      </c>
      <c r="Q28" s="40">
        <v>2</v>
      </c>
      <c r="R28" s="43">
        <f t="shared" si="3"/>
        <v>25</v>
      </c>
      <c r="S28" s="40"/>
      <c r="T28" s="43" t="str">
        <f t="shared" si="4"/>
        <v/>
      </c>
      <c r="U28" s="86"/>
      <c r="V28" s="43" t="str">
        <f t="shared" si="5"/>
        <v/>
      </c>
      <c r="W28" s="40"/>
      <c r="X28" s="43" t="str">
        <f t="shared" si="6"/>
        <v/>
      </c>
      <c r="Y28" s="40"/>
      <c r="Z28" s="43" t="str">
        <f t="shared" si="7"/>
        <v/>
      </c>
      <c r="AA28" s="40"/>
      <c r="AB28" s="43" t="str">
        <f t="shared" si="8"/>
        <v/>
      </c>
      <c r="AC28" s="40"/>
      <c r="AD28" s="43" t="str">
        <f t="shared" si="9"/>
        <v/>
      </c>
      <c r="AE28" s="40"/>
      <c r="AF28" s="43" t="str">
        <f t="shared" si="21"/>
        <v/>
      </c>
      <c r="AG28" s="40"/>
      <c r="AH28" s="43" t="str">
        <f t="shared" si="11"/>
        <v/>
      </c>
      <c r="AI28" s="86"/>
      <c r="AJ28" s="43" t="str">
        <f t="shared" si="12"/>
        <v/>
      </c>
      <c r="AK28" s="40"/>
      <c r="AL28" s="43" t="str">
        <f t="shared" si="13"/>
        <v/>
      </c>
      <c r="AM28" s="40"/>
      <c r="AN28" s="43" t="str">
        <f t="shared" si="14"/>
        <v/>
      </c>
      <c r="AO28" s="40"/>
      <c r="AP28" s="43" t="str">
        <f t="shared" si="15"/>
        <v/>
      </c>
      <c r="AQ28" s="40"/>
      <c r="AR28" s="43" t="str">
        <f t="shared" si="16"/>
        <v/>
      </c>
      <c r="AS28" s="40"/>
      <c r="AT28" s="43" t="str">
        <f t="shared" si="17"/>
        <v/>
      </c>
      <c r="AU28" s="40"/>
      <c r="AV28" s="43" t="str">
        <f t="shared" si="18"/>
        <v/>
      </c>
      <c r="AW28" s="40"/>
      <c r="AX28" s="43" t="str">
        <f t="shared" si="19"/>
        <v/>
      </c>
      <c r="AY28" s="40"/>
      <c r="AZ28" s="43" t="str">
        <f t="shared" si="20"/>
        <v/>
      </c>
      <c r="BA28" s="24" t="s">
        <v>392</v>
      </c>
    </row>
    <row r="29" spans="1:53" ht="20" customHeight="1" x14ac:dyDescent="0.2">
      <c r="A29" s="68"/>
      <c r="B29" s="95"/>
      <c r="C29" s="25" t="s">
        <v>86</v>
      </c>
      <c r="D29" s="24" t="s">
        <v>315</v>
      </c>
      <c r="E29" s="24" t="s">
        <v>316</v>
      </c>
      <c r="F29" s="25">
        <v>2001</v>
      </c>
      <c r="H29" s="29">
        <v>9</v>
      </c>
      <c r="I29" s="28"/>
      <c r="J29" s="39" t="s">
        <v>393</v>
      </c>
      <c r="K29" s="40"/>
      <c r="L29" s="43" t="str">
        <f t="shared" si="0"/>
        <v/>
      </c>
      <c r="M29" s="40"/>
      <c r="N29" s="43" t="str">
        <f t="shared" si="1"/>
        <v/>
      </c>
      <c r="O29" s="40"/>
      <c r="P29" s="43" t="str">
        <f t="shared" si="2"/>
        <v/>
      </c>
      <c r="Q29" s="40"/>
      <c r="R29" s="43" t="str">
        <f t="shared" si="3"/>
        <v/>
      </c>
      <c r="S29" s="40"/>
      <c r="T29" s="43" t="str">
        <f t="shared" si="4"/>
        <v/>
      </c>
      <c r="U29" s="47"/>
      <c r="V29" s="46" t="str">
        <f t="shared" si="5"/>
        <v/>
      </c>
      <c r="W29" s="40"/>
      <c r="X29" s="43" t="str">
        <f t="shared" si="6"/>
        <v/>
      </c>
      <c r="Y29" s="40"/>
      <c r="Z29" s="43" t="str">
        <f t="shared" si="7"/>
        <v/>
      </c>
      <c r="AA29" s="40"/>
      <c r="AB29" s="43" t="str">
        <f t="shared" si="8"/>
        <v/>
      </c>
      <c r="AC29" s="40"/>
      <c r="AD29" s="43" t="str">
        <f t="shared" si="9"/>
        <v/>
      </c>
      <c r="AE29" s="40"/>
      <c r="AF29" s="43" t="str">
        <f t="shared" si="21"/>
        <v/>
      </c>
      <c r="AG29" s="40"/>
      <c r="AH29" s="43" t="str">
        <f t="shared" si="11"/>
        <v/>
      </c>
      <c r="AI29" s="86"/>
      <c r="AJ29" s="43" t="str">
        <f t="shared" si="12"/>
        <v/>
      </c>
      <c r="AK29" s="40"/>
      <c r="AL29" s="43" t="str">
        <f t="shared" si="13"/>
        <v/>
      </c>
      <c r="AM29" s="40"/>
      <c r="AN29" s="43" t="str">
        <f t="shared" si="14"/>
        <v/>
      </c>
      <c r="AO29" s="40"/>
      <c r="AP29" s="43" t="str">
        <f t="shared" si="15"/>
        <v/>
      </c>
      <c r="AQ29" s="40"/>
      <c r="AR29" s="43" t="str">
        <f t="shared" si="16"/>
        <v/>
      </c>
      <c r="AS29" s="40"/>
      <c r="AT29" s="43" t="str">
        <f t="shared" si="17"/>
        <v/>
      </c>
      <c r="AU29" s="40"/>
      <c r="AV29" s="43" t="str">
        <f t="shared" si="18"/>
        <v/>
      </c>
      <c r="AW29" s="40"/>
      <c r="AX29" s="43" t="str">
        <f t="shared" si="19"/>
        <v/>
      </c>
      <c r="AY29" s="40"/>
      <c r="AZ29" s="43" t="str">
        <f t="shared" si="20"/>
        <v/>
      </c>
      <c r="BA29" s="24" t="s">
        <v>394</v>
      </c>
    </row>
    <row r="30" spans="1:53" ht="20" customHeight="1" x14ac:dyDescent="0.2">
      <c r="A30" s="67"/>
      <c r="B30" s="95"/>
      <c r="C30" s="25" t="s">
        <v>86</v>
      </c>
      <c r="D30" s="24" t="s">
        <v>63</v>
      </c>
      <c r="E30" s="24" t="s">
        <v>64</v>
      </c>
      <c r="F30" s="25">
        <v>2012</v>
      </c>
      <c r="G30" s="25">
        <v>83</v>
      </c>
      <c r="H30" s="29">
        <v>146</v>
      </c>
      <c r="I30" s="28" t="s">
        <v>197</v>
      </c>
      <c r="J30" s="39" t="s">
        <v>211</v>
      </c>
      <c r="K30" s="40"/>
      <c r="L30" s="43" t="str">
        <f t="shared" si="0"/>
        <v/>
      </c>
      <c r="M30" s="40"/>
      <c r="N30" s="43" t="str">
        <f t="shared" si="1"/>
        <v/>
      </c>
      <c r="O30" s="40"/>
      <c r="P30" s="43" t="str">
        <f t="shared" si="2"/>
        <v/>
      </c>
      <c r="Q30" s="40"/>
      <c r="R30" s="43" t="str">
        <f t="shared" si="3"/>
        <v/>
      </c>
      <c r="S30" s="40"/>
      <c r="T30" s="43" t="str">
        <f t="shared" si="4"/>
        <v/>
      </c>
      <c r="U30" s="86"/>
      <c r="V30" s="43"/>
      <c r="W30" s="40"/>
      <c r="X30" s="43" t="str">
        <f t="shared" si="6"/>
        <v/>
      </c>
      <c r="Y30" s="40"/>
      <c r="Z30" s="43" t="str">
        <f t="shared" si="7"/>
        <v/>
      </c>
      <c r="AA30" s="40"/>
      <c r="AB30" s="43" t="str">
        <f t="shared" si="8"/>
        <v/>
      </c>
      <c r="AC30" s="40"/>
      <c r="AD30" s="43" t="str">
        <f t="shared" si="9"/>
        <v/>
      </c>
      <c r="AE30" s="40"/>
      <c r="AF30" s="43" t="str">
        <f t="shared" si="21"/>
        <v/>
      </c>
      <c r="AG30" s="40"/>
      <c r="AH30" s="43" t="str">
        <f t="shared" si="11"/>
        <v/>
      </c>
      <c r="AI30" s="86">
        <v>1</v>
      </c>
      <c r="AJ30" s="43">
        <f t="shared" si="12"/>
        <v>0.68493150684931503</v>
      </c>
      <c r="AK30" s="40"/>
      <c r="AL30" s="43" t="str">
        <f t="shared" si="13"/>
        <v/>
      </c>
      <c r="AM30" s="40"/>
      <c r="AN30" s="43" t="str">
        <f t="shared" si="14"/>
        <v/>
      </c>
      <c r="AO30" s="40"/>
      <c r="AP30" s="43" t="str">
        <f t="shared" si="15"/>
        <v/>
      </c>
      <c r="AQ30" s="40"/>
      <c r="AR30" s="43" t="str">
        <f t="shared" si="16"/>
        <v/>
      </c>
      <c r="AS30" s="40"/>
      <c r="AT30" s="43" t="str">
        <f t="shared" si="17"/>
        <v/>
      </c>
      <c r="AU30" s="40"/>
      <c r="AV30" s="43" t="str">
        <f t="shared" si="18"/>
        <v/>
      </c>
      <c r="AW30" s="40"/>
      <c r="AX30" s="43" t="str">
        <f t="shared" si="19"/>
        <v/>
      </c>
      <c r="AY30" s="40"/>
      <c r="AZ30" s="43" t="str">
        <f t="shared" si="20"/>
        <v/>
      </c>
      <c r="BA30" s="24" t="s">
        <v>199</v>
      </c>
    </row>
    <row r="31" spans="1:53" ht="20" customHeight="1" x14ac:dyDescent="0.2">
      <c r="A31" s="67"/>
      <c r="B31" s="97"/>
      <c r="C31" s="25" t="s">
        <v>86</v>
      </c>
      <c r="D31" s="24" t="s">
        <v>69</v>
      </c>
      <c r="E31" s="24" t="s">
        <v>70</v>
      </c>
      <c r="F31" s="25">
        <v>2004</v>
      </c>
      <c r="G31" s="25">
        <v>61</v>
      </c>
      <c r="H31" s="29">
        <v>16</v>
      </c>
      <c r="I31" s="28" t="s">
        <v>201</v>
      </c>
      <c r="J31" s="39" t="s">
        <v>212</v>
      </c>
      <c r="K31" s="40"/>
      <c r="L31" s="43" t="str">
        <f t="shared" si="0"/>
        <v/>
      </c>
      <c r="M31" s="40"/>
      <c r="N31" s="43" t="str">
        <f t="shared" si="1"/>
        <v/>
      </c>
      <c r="O31" s="40"/>
      <c r="P31" s="43" t="str">
        <f t="shared" si="2"/>
        <v/>
      </c>
      <c r="Q31" s="40"/>
      <c r="R31" s="43" t="str">
        <f t="shared" si="3"/>
        <v/>
      </c>
      <c r="S31" s="40"/>
      <c r="T31" s="43" t="str">
        <f t="shared" si="4"/>
        <v/>
      </c>
      <c r="U31" s="86"/>
      <c r="V31" s="43" t="str">
        <f t="shared" ref="V31:V64" si="22">IF((ISERROR((U31/$H31)*100)), "", IF(AND(NOT(ISERROR((U31/$H31)*100)),((U31/$H31)*100) &lt;&gt; 0), (U31/$H31)*100, ""))</f>
        <v/>
      </c>
      <c r="W31" s="40"/>
      <c r="X31" s="43" t="str">
        <f t="shared" si="6"/>
        <v/>
      </c>
      <c r="Y31" s="40"/>
      <c r="Z31" s="43" t="str">
        <f t="shared" si="7"/>
        <v/>
      </c>
      <c r="AA31" s="40"/>
      <c r="AB31" s="43" t="str">
        <f t="shared" si="8"/>
        <v/>
      </c>
      <c r="AC31" s="40"/>
      <c r="AD31" s="43" t="str">
        <f t="shared" si="9"/>
        <v/>
      </c>
      <c r="AE31" s="40"/>
      <c r="AF31" s="43" t="str">
        <f t="shared" si="21"/>
        <v/>
      </c>
      <c r="AG31" s="40"/>
      <c r="AH31" s="43" t="str">
        <f t="shared" si="11"/>
        <v/>
      </c>
      <c r="AI31" s="86"/>
      <c r="AJ31" s="43" t="str">
        <f t="shared" si="12"/>
        <v/>
      </c>
      <c r="AK31" s="40"/>
      <c r="AL31" s="43" t="str">
        <f t="shared" si="13"/>
        <v/>
      </c>
      <c r="AM31" s="40"/>
      <c r="AN31" s="43" t="str">
        <f t="shared" si="14"/>
        <v/>
      </c>
      <c r="AO31" s="40"/>
      <c r="AP31" s="43" t="str">
        <f t="shared" si="15"/>
        <v/>
      </c>
      <c r="AQ31" s="40"/>
      <c r="AR31" s="43" t="str">
        <f t="shared" si="16"/>
        <v/>
      </c>
      <c r="AS31" s="40"/>
      <c r="AT31" s="43" t="str">
        <f t="shared" si="17"/>
        <v/>
      </c>
      <c r="AU31" s="40"/>
      <c r="AV31" s="43" t="str">
        <f t="shared" si="18"/>
        <v/>
      </c>
      <c r="AW31" s="40"/>
      <c r="AX31" s="43" t="str">
        <f t="shared" si="19"/>
        <v/>
      </c>
      <c r="AY31" s="40"/>
      <c r="AZ31" s="43" t="str">
        <f t="shared" si="20"/>
        <v/>
      </c>
      <c r="BA31" s="24" t="s">
        <v>202</v>
      </c>
    </row>
    <row r="32" spans="1:53" ht="20" customHeight="1" x14ac:dyDescent="0.2">
      <c r="A32" s="67"/>
      <c r="B32" s="96"/>
      <c r="C32" s="25" t="s">
        <v>86</v>
      </c>
      <c r="D32" s="24" t="s">
        <v>71</v>
      </c>
      <c r="E32" s="24" t="s">
        <v>70</v>
      </c>
      <c r="F32" s="25">
        <v>2004</v>
      </c>
      <c r="G32" s="25">
        <v>45</v>
      </c>
      <c r="H32" s="29">
        <v>16</v>
      </c>
      <c r="I32" s="28" t="s">
        <v>201</v>
      </c>
      <c r="J32" s="39" t="s">
        <v>212</v>
      </c>
      <c r="K32" s="40"/>
      <c r="L32" s="43" t="str">
        <f t="shared" si="0"/>
        <v/>
      </c>
      <c r="M32" s="40"/>
      <c r="N32" s="43" t="str">
        <f t="shared" si="1"/>
        <v/>
      </c>
      <c r="O32" s="40"/>
      <c r="P32" s="43" t="str">
        <f t="shared" si="2"/>
        <v/>
      </c>
      <c r="Q32" s="40"/>
      <c r="R32" s="43" t="str">
        <f t="shared" si="3"/>
        <v/>
      </c>
      <c r="S32" s="40"/>
      <c r="T32" s="43" t="str">
        <f t="shared" si="4"/>
        <v/>
      </c>
      <c r="U32" s="86"/>
      <c r="V32" s="43" t="str">
        <f t="shared" si="22"/>
        <v/>
      </c>
      <c r="W32" s="40"/>
      <c r="X32" s="43" t="str">
        <f t="shared" si="6"/>
        <v/>
      </c>
      <c r="Y32" s="40"/>
      <c r="Z32" s="43" t="str">
        <f t="shared" si="7"/>
        <v/>
      </c>
      <c r="AA32" s="40"/>
      <c r="AB32" s="43" t="str">
        <f t="shared" si="8"/>
        <v/>
      </c>
      <c r="AC32" s="40"/>
      <c r="AD32" s="43" t="str">
        <f t="shared" si="9"/>
        <v/>
      </c>
      <c r="AE32" s="40"/>
      <c r="AF32" s="43" t="str">
        <f t="shared" si="21"/>
        <v/>
      </c>
      <c r="AG32" s="40"/>
      <c r="AH32" s="43" t="str">
        <f t="shared" si="11"/>
        <v/>
      </c>
      <c r="AI32" s="86"/>
      <c r="AJ32" s="43" t="str">
        <f t="shared" si="12"/>
        <v/>
      </c>
      <c r="AK32" s="40"/>
      <c r="AL32" s="43" t="str">
        <f t="shared" si="13"/>
        <v/>
      </c>
      <c r="AM32" s="40"/>
      <c r="AN32" s="43" t="str">
        <f t="shared" si="14"/>
        <v/>
      </c>
      <c r="AO32" s="40"/>
      <c r="AP32" s="43" t="str">
        <f t="shared" si="15"/>
        <v/>
      </c>
      <c r="AQ32" s="40"/>
      <c r="AR32" s="43" t="str">
        <f t="shared" si="16"/>
        <v/>
      </c>
      <c r="AS32" s="40"/>
      <c r="AT32" s="43" t="str">
        <f t="shared" si="17"/>
        <v/>
      </c>
      <c r="AU32" s="40"/>
      <c r="AV32" s="43" t="str">
        <f t="shared" si="18"/>
        <v/>
      </c>
      <c r="AW32" s="40"/>
      <c r="AX32" s="43" t="str">
        <f t="shared" si="19"/>
        <v/>
      </c>
      <c r="AY32" s="40"/>
      <c r="AZ32" s="43" t="str">
        <f t="shared" si="20"/>
        <v/>
      </c>
      <c r="BA32" s="24" t="s">
        <v>196</v>
      </c>
    </row>
    <row r="33" spans="1:53" ht="20" customHeight="1" x14ac:dyDescent="0.2">
      <c r="A33" s="67"/>
      <c r="B33" s="96"/>
      <c r="C33" s="25" t="s">
        <v>86</v>
      </c>
      <c r="D33" s="24" t="s">
        <v>318</v>
      </c>
      <c r="E33" s="24" t="s">
        <v>319</v>
      </c>
      <c r="F33" s="25">
        <v>2013</v>
      </c>
      <c r="H33" s="29">
        <v>54</v>
      </c>
      <c r="I33" s="28"/>
      <c r="J33" s="39"/>
      <c r="K33" s="40"/>
      <c r="L33" s="43" t="str">
        <f t="shared" si="0"/>
        <v/>
      </c>
      <c r="M33" s="40"/>
      <c r="N33" s="43" t="str">
        <f t="shared" si="1"/>
        <v/>
      </c>
      <c r="O33" s="40"/>
      <c r="P33" s="43" t="str">
        <f t="shared" si="2"/>
        <v/>
      </c>
      <c r="Q33" s="40"/>
      <c r="R33" s="43" t="str">
        <f t="shared" si="3"/>
        <v/>
      </c>
      <c r="S33" s="40"/>
      <c r="T33" s="43" t="str">
        <f t="shared" si="4"/>
        <v/>
      </c>
      <c r="U33" s="86"/>
      <c r="V33" s="43" t="str">
        <f t="shared" si="22"/>
        <v/>
      </c>
      <c r="W33" s="40"/>
      <c r="X33" s="43" t="str">
        <f t="shared" si="6"/>
        <v/>
      </c>
      <c r="Y33" s="40"/>
      <c r="Z33" s="43" t="str">
        <f t="shared" si="7"/>
        <v/>
      </c>
      <c r="AA33" s="40"/>
      <c r="AB33" s="43" t="str">
        <f t="shared" si="8"/>
        <v/>
      </c>
      <c r="AC33" s="40"/>
      <c r="AD33" s="43" t="str">
        <f t="shared" si="9"/>
        <v/>
      </c>
      <c r="AE33" s="40"/>
      <c r="AF33" s="43" t="str">
        <f t="shared" si="21"/>
        <v/>
      </c>
      <c r="AG33" s="40"/>
      <c r="AH33" s="43" t="str">
        <f t="shared" si="11"/>
        <v/>
      </c>
      <c r="AI33" s="86"/>
      <c r="AJ33" s="43" t="str">
        <f t="shared" si="12"/>
        <v/>
      </c>
      <c r="AK33" s="40"/>
      <c r="AL33" s="43" t="str">
        <f t="shared" si="13"/>
        <v/>
      </c>
      <c r="AM33" s="40"/>
      <c r="AN33" s="43" t="str">
        <f t="shared" si="14"/>
        <v/>
      </c>
      <c r="AO33" s="40"/>
      <c r="AP33" s="43" t="str">
        <f t="shared" si="15"/>
        <v/>
      </c>
      <c r="AQ33" s="40"/>
      <c r="AR33" s="43" t="str">
        <f t="shared" si="16"/>
        <v/>
      </c>
      <c r="AS33" s="40"/>
      <c r="AT33" s="43" t="str">
        <f t="shared" si="17"/>
        <v/>
      </c>
      <c r="AU33" s="40"/>
      <c r="AV33" s="43" t="str">
        <f t="shared" si="18"/>
        <v/>
      </c>
      <c r="AW33" s="40"/>
      <c r="AX33" s="43" t="str">
        <f t="shared" si="19"/>
        <v/>
      </c>
      <c r="AY33" s="40"/>
      <c r="AZ33" s="43" t="str">
        <f t="shared" si="20"/>
        <v/>
      </c>
      <c r="BA33" s="24" t="s">
        <v>396</v>
      </c>
    </row>
    <row r="34" spans="1:53" ht="20" customHeight="1" x14ac:dyDescent="0.2">
      <c r="A34" s="68"/>
      <c r="B34" s="25"/>
      <c r="C34" s="25" t="s">
        <v>86</v>
      </c>
      <c r="D34" s="24" t="s">
        <v>397</v>
      </c>
      <c r="E34" s="24" t="s">
        <v>73</v>
      </c>
      <c r="F34" s="25">
        <v>2014</v>
      </c>
      <c r="G34" s="25">
        <v>23</v>
      </c>
      <c r="H34" s="29">
        <v>28</v>
      </c>
      <c r="I34" s="28" t="s">
        <v>203</v>
      </c>
      <c r="J34" s="39" t="s">
        <v>213</v>
      </c>
      <c r="K34" s="40"/>
      <c r="L34" s="43" t="str">
        <f t="shared" si="0"/>
        <v/>
      </c>
      <c r="M34" s="40"/>
      <c r="N34" s="43" t="str">
        <f t="shared" si="1"/>
        <v/>
      </c>
      <c r="O34" s="40"/>
      <c r="P34" s="43" t="str">
        <f t="shared" si="2"/>
        <v/>
      </c>
      <c r="Q34" s="40"/>
      <c r="R34" s="43" t="str">
        <f t="shared" si="3"/>
        <v/>
      </c>
      <c r="S34" s="40"/>
      <c r="T34" s="43" t="str">
        <f t="shared" si="4"/>
        <v/>
      </c>
      <c r="U34" s="86"/>
      <c r="V34" s="43" t="str">
        <f t="shared" si="22"/>
        <v/>
      </c>
      <c r="W34" s="40"/>
      <c r="X34" s="43" t="str">
        <f t="shared" si="6"/>
        <v/>
      </c>
      <c r="Y34" s="40"/>
      <c r="Z34" s="43" t="str">
        <f t="shared" si="7"/>
        <v/>
      </c>
      <c r="AA34" s="40"/>
      <c r="AB34" s="43" t="str">
        <f t="shared" si="8"/>
        <v/>
      </c>
      <c r="AC34" s="40"/>
      <c r="AD34" s="43" t="str">
        <f t="shared" si="9"/>
        <v/>
      </c>
      <c r="AE34" s="40"/>
      <c r="AF34" s="43" t="str">
        <f t="shared" si="21"/>
        <v/>
      </c>
      <c r="AG34" s="40"/>
      <c r="AH34" s="43" t="str">
        <f t="shared" si="11"/>
        <v/>
      </c>
      <c r="AI34" s="86"/>
      <c r="AJ34" s="43" t="str">
        <f t="shared" si="12"/>
        <v/>
      </c>
      <c r="AK34" s="40"/>
      <c r="AL34" s="43" t="str">
        <f t="shared" si="13"/>
        <v/>
      </c>
      <c r="AM34" s="40"/>
      <c r="AN34" s="43" t="str">
        <f t="shared" si="14"/>
        <v/>
      </c>
      <c r="AO34" s="40"/>
      <c r="AP34" s="43" t="str">
        <f t="shared" si="15"/>
        <v/>
      </c>
      <c r="AQ34" s="40"/>
      <c r="AR34" s="43" t="str">
        <f t="shared" si="16"/>
        <v/>
      </c>
      <c r="AS34" s="40"/>
      <c r="AT34" s="43" t="str">
        <f t="shared" si="17"/>
        <v/>
      </c>
      <c r="AU34" s="40"/>
      <c r="AV34" s="43" t="str">
        <f t="shared" si="18"/>
        <v/>
      </c>
      <c r="AW34" s="40"/>
      <c r="AX34" s="43" t="str">
        <f t="shared" si="19"/>
        <v/>
      </c>
      <c r="AY34" s="40"/>
      <c r="AZ34" s="43" t="str">
        <f t="shared" si="20"/>
        <v/>
      </c>
      <c r="BA34" s="24" t="s">
        <v>204</v>
      </c>
    </row>
    <row r="35" spans="1:53" ht="20" customHeight="1" x14ac:dyDescent="0.2">
      <c r="A35" s="67"/>
      <c r="B35" s="95"/>
      <c r="C35" s="25" t="s">
        <v>86</v>
      </c>
      <c r="D35" s="24" t="s">
        <v>321</v>
      </c>
      <c r="E35" s="24" t="s">
        <v>322</v>
      </c>
      <c r="F35" s="25">
        <v>2014</v>
      </c>
      <c r="H35" s="29">
        <v>28</v>
      </c>
      <c r="I35" s="28" t="s">
        <v>203</v>
      </c>
      <c r="J35" s="39" t="s">
        <v>213</v>
      </c>
      <c r="K35" s="40"/>
      <c r="L35" s="43" t="str">
        <f t="shared" si="0"/>
        <v/>
      </c>
      <c r="M35" s="40"/>
      <c r="N35" s="43" t="str">
        <f t="shared" si="1"/>
        <v/>
      </c>
      <c r="O35" s="40"/>
      <c r="P35" s="43" t="str">
        <f t="shared" si="2"/>
        <v/>
      </c>
      <c r="Q35" s="40"/>
      <c r="R35" s="43" t="str">
        <f t="shared" si="3"/>
        <v/>
      </c>
      <c r="S35" s="40"/>
      <c r="T35" s="43" t="str">
        <f t="shared" si="4"/>
        <v/>
      </c>
      <c r="U35" s="86">
        <v>3</v>
      </c>
      <c r="V35" s="43">
        <f t="shared" si="22"/>
        <v>10.714285714285714</v>
      </c>
      <c r="W35" s="40">
        <v>4</v>
      </c>
      <c r="X35" s="43">
        <f t="shared" si="6"/>
        <v>14.285714285714285</v>
      </c>
      <c r="Y35" s="40"/>
      <c r="Z35" s="43" t="str">
        <f t="shared" si="7"/>
        <v/>
      </c>
      <c r="AA35" s="40"/>
      <c r="AB35" s="43" t="str">
        <f t="shared" si="8"/>
        <v/>
      </c>
      <c r="AC35" s="40"/>
      <c r="AD35" s="43" t="str">
        <f t="shared" si="9"/>
        <v/>
      </c>
      <c r="AE35" s="40">
        <v>3</v>
      </c>
      <c r="AF35" s="43">
        <f t="shared" si="21"/>
        <v>10.714285714285714</v>
      </c>
      <c r="AG35" s="40"/>
      <c r="AH35" s="43" t="str">
        <f t="shared" si="11"/>
        <v/>
      </c>
      <c r="AI35" s="86">
        <v>5</v>
      </c>
      <c r="AJ35" s="43">
        <f t="shared" si="12"/>
        <v>17.857142857142858</v>
      </c>
      <c r="AK35" s="40"/>
      <c r="AL35" s="43" t="str">
        <f t="shared" si="13"/>
        <v/>
      </c>
      <c r="AM35" s="40"/>
      <c r="AN35" s="43" t="str">
        <f t="shared" si="14"/>
        <v/>
      </c>
      <c r="AO35" s="40"/>
      <c r="AP35" s="43" t="str">
        <f t="shared" si="15"/>
        <v/>
      </c>
      <c r="AQ35" s="40"/>
      <c r="AR35" s="43" t="str">
        <f t="shared" si="16"/>
        <v/>
      </c>
      <c r="AS35" s="40"/>
      <c r="AT35" s="43" t="str">
        <f t="shared" si="17"/>
        <v/>
      </c>
      <c r="AU35" s="40"/>
      <c r="AV35" s="43" t="str">
        <f t="shared" si="18"/>
        <v/>
      </c>
      <c r="AW35" s="40"/>
      <c r="AX35" s="43" t="str">
        <f t="shared" si="19"/>
        <v/>
      </c>
      <c r="AY35" s="40"/>
      <c r="AZ35" s="43" t="str">
        <f t="shared" si="20"/>
        <v/>
      </c>
      <c r="BA35" s="24" t="s">
        <v>398</v>
      </c>
    </row>
    <row r="36" spans="1:53" ht="20" customHeight="1" x14ac:dyDescent="0.2">
      <c r="A36" s="68"/>
      <c r="B36" s="25"/>
      <c r="C36" s="25" t="s">
        <v>86</v>
      </c>
      <c r="D36" s="24" t="s">
        <v>78</v>
      </c>
      <c r="E36" s="24" t="s">
        <v>79</v>
      </c>
      <c r="F36" s="25">
        <v>2009</v>
      </c>
      <c r="G36" s="25">
        <v>134</v>
      </c>
      <c r="H36" s="29">
        <v>94</v>
      </c>
      <c r="I36" s="28"/>
      <c r="J36" s="39"/>
      <c r="K36" s="40"/>
      <c r="L36" s="43" t="str">
        <f t="shared" si="0"/>
        <v/>
      </c>
      <c r="M36" s="40"/>
      <c r="N36" s="43" t="str">
        <f t="shared" si="1"/>
        <v/>
      </c>
      <c r="O36" s="40"/>
      <c r="P36" s="43" t="str">
        <f t="shared" si="2"/>
        <v/>
      </c>
      <c r="Q36" s="40"/>
      <c r="R36" s="43" t="str">
        <f t="shared" si="3"/>
        <v/>
      </c>
      <c r="S36" s="40"/>
      <c r="T36" s="43" t="str">
        <f t="shared" si="4"/>
        <v/>
      </c>
      <c r="U36" s="86"/>
      <c r="V36" s="43" t="str">
        <f t="shared" si="22"/>
        <v/>
      </c>
      <c r="W36" s="40"/>
      <c r="X36" s="43" t="str">
        <f t="shared" si="6"/>
        <v/>
      </c>
      <c r="Y36" s="40"/>
      <c r="Z36" s="43" t="str">
        <f t="shared" si="7"/>
        <v/>
      </c>
      <c r="AA36" s="40"/>
      <c r="AB36" s="43" t="str">
        <f t="shared" si="8"/>
        <v/>
      </c>
      <c r="AC36" s="40"/>
      <c r="AD36" s="43" t="str">
        <f t="shared" si="9"/>
        <v/>
      </c>
      <c r="AE36" s="40"/>
      <c r="AF36" s="43" t="str">
        <f t="shared" si="21"/>
        <v/>
      </c>
      <c r="AG36" s="40"/>
      <c r="AH36" s="43" t="str">
        <f t="shared" si="11"/>
        <v/>
      </c>
      <c r="AI36" s="86"/>
      <c r="AJ36" s="43" t="str">
        <f t="shared" si="12"/>
        <v/>
      </c>
      <c r="AK36" s="40"/>
      <c r="AL36" s="43" t="str">
        <f t="shared" si="13"/>
        <v/>
      </c>
      <c r="AM36" s="40"/>
      <c r="AN36" s="43" t="str">
        <f t="shared" si="14"/>
        <v/>
      </c>
      <c r="AO36" s="40"/>
      <c r="AP36" s="43" t="str">
        <f t="shared" si="15"/>
        <v/>
      </c>
      <c r="AQ36" s="40"/>
      <c r="AR36" s="43" t="str">
        <f t="shared" si="16"/>
        <v/>
      </c>
      <c r="AS36" s="40"/>
      <c r="AT36" s="43" t="str">
        <f t="shared" si="17"/>
        <v/>
      </c>
      <c r="AU36" s="40"/>
      <c r="AV36" s="43" t="str">
        <f t="shared" si="18"/>
        <v/>
      </c>
      <c r="AW36" s="40"/>
      <c r="AX36" s="43" t="str">
        <f t="shared" si="19"/>
        <v/>
      </c>
      <c r="AY36" s="40"/>
      <c r="AZ36" s="43" t="str">
        <f t="shared" si="20"/>
        <v/>
      </c>
      <c r="BA36" s="24" t="s">
        <v>207</v>
      </c>
    </row>
    <row r="37" spans="1:53" ht="20" customHeight="1" x14ac:dyDescent="0.2">
      <c r="A37" s="67"/>
      <c r="B37" s="96"/>
      <c r="C37" s="25" t="s">
        <v>86</v>
      </c>
      <c r="D37" s="24" t="s">
        <v>325</v>
      </c>
      <c r="E37" s="24" t="s">
        <v>326</v>
      </c>
      <c r="F37" s="25">
        <v>2015</v>
      </c>
      <c r="H37" s="29">
        <v>10</v>
      </c>
      <c r="I37" s="28" t="s">
        <v>386</v>
      </c>
      <c r="J37" s="39" t="s">
        <v>399</v>
      </c>
      <c r="K37" s="40"/>
      <c r="L37" s="43" t="str">
        <f t="shared" si="0"/>
        <v/>
      </c>
      <c r="M37" s="40"/>
      <c r="N37" s="43" t="str">
        <f t="shared" si="1"/>
        <v/>
      </c>
      <c r="O37" s="40"/>
      <c r="P37" s="43" t="str">
        <f t="shared" si="2"/>
        <v/>
      </c>
      <c r="Q37" s="40"/>
      <c r="R37" s="43" t="str">
        <f t="shared" si="3"/>
        <v/>
      </c>
      <c r="S37" s="40"/>
      <c r="T37" s="43" t="str">
        <f t="shared" si="4"/>
        <v/>
      </c>
      <c r="U37" s="86"/>
      <c r="V37" s="43" t="str">
        <f t="shared" si="22"/>
        <v/>
      </c>
      <c r="W37" s="40"/>
      <c r="X37" s="43" t="str">
        <f t="shared" si="6"/>
        <v/>
      </c>
      <c r="Y37" s="40"/>
      <c r="Z37" s="43" t="str">
        <f t="shared" si="7"/>
        <v/>
      </c>
      <c r="AA37" s="40"/>
      <c r="AB37" s="43" t="str">
        <f t="shared" si="8"/>
        <v/>
      </c>
      <c r="AC37" s="40"/>
      <c r="AD37" s="43" t="str">
        <f t="shared" si="9"/>
        <v/>
      </c>
      <c r="AE37" s="40"/>
      <c r="AF37" s="43" t="str">
        <f t="shared" si="21"/>
        <v/>
      </c>
      <c r="AG37" s="40"/>
      <c r="AH37" s="43" t="str">
        <f t="shared" si="11"/>
        <v/>
      </c>
      <c r="AI37" s="86"/>
      <c r="AJ37" s="43" t="str">
        <f t="shared" si="12"/>
        <v/>
      </c>
      <c r="AK37" s="40"/>
      <c r="AL37" s="43" t="str">
        <f t="shared" si="13"/>
        <v/>
      </c>
      <c r="AM37" s="40"/>
      <c r="AN37" s="43" t="str">
        <f t="shared" si="14"/>
        <v/>
      </c>
      <c r="AO37" s="40"/>
      <c r="AP37" s="43" t="str">
        <f t="shared" si="15"/>
        <v/>
      </c>
      <c r="AQ37" s="40"/>
      <c r="AR37" s="43" t="str">
        <f t="shared" si="16"/>
        <v/>
      </c>
      <c r="AS37" s="40"/>
      <c r="AT37" s="43" t="str">
        <f t="shared" si="17"/>
        <v/>
      </c>
      <c r="AU37" s="40"/>
      <c r="AV37" s="43" t="str">
        <f t="shared" si="18"/>
        <v/>
      </c>
      <c r="AW37" s="40"/>
      <c r="AX37" s="43" t="str">
        <f t="shared" si="19"/>
        <v/>
      </c>
      <c r="AY37" s="40"/>
      <c r="AZ37" s="43" t="str">
        <f t="shared" si="20"/>
        <v/>
      </c>
    </row>
    <row r="38" spans="1:53" ht="20" customHeight="1" x14ac:dyDescent="0.2">
      <c r="A38" s="67"/>
      <c r="B38" s="95"/>
      <c r="C38" s="25" t="s">
        <v>86</v>
      </c>
      <c r="D38" s="24" t="s">
        <v>80</v>
      </c>
      <c r="E38" s="24" t="s">
        <v>81</v>
      </c>
      <c r="F38" s="25">
        <v>2015</v>
      </c>
      <c r="G38" s="25">
        <v>10</v>
      </c>
      <c r="H38" s="29">
        <v>11</v>
      </c>
      <c r="I38" s="28" t="s">
        <v>215</v>
      </c>
      <c r="J38" s="39" t="s">
        <v>176</v>
      </c>
      <c r="K38" s="40"/>
      <c r="L38" s="43" t="str">
        <f t="shared" si="0"/>
        <v/>
      </c>
      <c r="M38" s="40"/>
      <c r="N38" s="43" t="str">
        <f t="shared" si="1"/>
        <v/>
      </c>
      <c r="O38" s="40"/>
      <c r="P38" s="43" t="str">
        <f t="shared" si="2"/>
        <v/>
      </c>
      <c r="Q38" s="40"/>
      <c r="R38" s="43" t="str">
        <f t="shared" si="3"/>
        <v/>
      </c>
      <c r="S38" s="40"/>
      <c r="T38" s="43" t="str">
        <f t="shared" si="4"/>
        <v/>
      </c>
      <c r="U38" s="86"/>
      <c r="V38" s="43" t="str">
        <f t="shared" si="22"/>
        <v/>
      </c>
      <c r="W38" s="40"/>
      <c r="X38" s="43" t="str">
        <f t="shared" si="6"/>
        <v/>
      </c>
      <c r="Y38" s="40"/>
      <c r="Z38" s="43" t="str">
        <f t="shared" si="7"/>
        <v/>
      </c>
      <c r="AA38" s="40"/>
      <c r="AB38" s="43" t="str">
        <f t="shared" si="8"/>
        <v/>
      </c>
      <c r="AC38" s="40"/>
      <c r="AD38" s="43" t="str">
        <f t="shared" si="9"/>
        <v/>
      </c>
      <c r="AE38" s="45">
        <v>1</v>
      </c>
      <c r="AF38" s="46">
        <f t="shared" si="21"/>
        <v>9.0909090909090917</v>
      </c>
      <c r="AG38" s="40"/>
      <c r="AH38" s="43" t="str">
        <f t="shared" si="11"/>
        <v/>
      </c>
      <c r="AI38" s="86"/>
      <c r="AJ38" s="43" t="str">
        <f t="shared" si="12"/>
        <v/>
      </c>
      <c r="AK38" s="40"/>
      <c r="AL38" s="43" t="str">
        <f t="shared" si="13"/>
        <v/>
      </c>
      <c r="AM38" s="40"/>
      <c r="AN38" s="43" t="str">
        <f t="shared" si="14"/>
        <v/>
      </c>
      <c r="AO38" s="40"/>
      <c r="AP38" s="43" t="str">
        <f t="shared" si="15"/>
        <v/>
      </c>
      <c r="AQ38" s="40"/>
      <c r="AR38" s="43" t="str">
        <f t="shared" si="16"/>
        <v/>
      </c>
      <c r="AS38" s="40"/>
      <c r="AT38" s="43" t="str">
        <f t="shared" si="17"/>
        <v/>
      </c>
      <c r="AU38" s="40"/>
      <c r="AV38" s="43" t="str">
        <f t="shared" si="18"/>
        <v/>
      </c>
      <c r="AW38" s="40"/>
      <c r="AX38" s="43" t="str">
        <f t="shared" si="19"/>
        <v/>
      </c>
      <c r="AY38" s="40"/>
      <c r="AZ38" s="43" t="str">
        <f t="shared" si="20"/>
        <v/>
      </c>
      <c r="BA38" s="24" t="s">
        <v>214</v>
      </c>
    </row>
    <row r="39" spans="1:53" ht="20" customHeight="1" x14ac:dyDescent="0.2">
      <c r="A39" s="68"/>
      <c r="B39" s="25"/>
      <c r="C39" s="25" t="s">
        <v>86</v>
      </c>
      <c r="D39" s="24" t="s">
        <v>84</v>
      </c>
      <c r="E39" s="24" t="s">
        <v>85</v>
      </c>
      <c r="F39" s="25">
        <v>2000</v>
      </c>
      <c r="G39" s="25">
        <v>146</v>
      </c>
      <c r="H39" s="29">
        <v>42</v>
      </c>
      <c r="I39" s="28" t="s">
        <v>400</v>
      </c>
      <c r="J39" s="39"/>
      <c r="K39" s="40"/>
      <c r="L39" s="43" t="str">
        <f t="shared" si="0"/>
        <v/>
      </c>
      <c r="M39" s="40"/>
      <c r="N39" s="43" t="str">
        <f t="shared" si="1"/>
        <v/>
      </c>
      <c r="O39" s="40"/>
      <c r="P39" s="43" t="str">
        <f t="shared" si="2"/>
        <v/>
      </c>
      <c r="Q39" s="40"/>
      <c r="R39" s="43" t="str">
        <f t="shared" si="3"/>
        <v/>
      </c>
      <c r="S39" s="40"/>
      <c r="T39" s="43" t="str">
        <f t="shared" si="4"/>
        <v/>
      </c>
      <c r="U39" s="86"/>
      <c r="V39" s="43" t="str">
        <f t="shared" si="22"/>
        <v/>
      </c>
      <c r="W39" s="40"/>
      <c r="X39" s="43" t="str">
        <f t="shared" si="6"/>
        <v/>
      </c>
      <c r="Y39" s="40"/>
      <c r="Z39" s="43" t="str">
        <f t="shared" si="7"/>
        <v/>
      </c>
      <c r="AA39" s="40"/>
      <c r="AB39" s="43" t="str">
        <f t="shared" si="8"/>
        <v/>
      </c>
      <c r="AC39" s="40"/>
      <c r="AD39" s="43" t="str">
        <f t="shared" si="9"/>
        <v/>
      </c>
      <c r="AE39" s="40"/>
      <c r="AF39" s="43" t="str">
        <f t="shared" si="21"/>
        <v/>
      </c>
      <c r="AG39" s="40"/>
      <c r="AH39" s="43" t="str">
        <f t="shared" si="11"/>
        <v/>
      </c>
      <c r="AI39" s="86"/>
      <c r="AJ39" s="43" t="str">
        <f t="shared" si="12"/>
        <v/>
      </c>
      <c r="AK39" s="40"/>
      <c r="AL39" s="43" t="str">
        <f t="shared" si="13"/>
        <v/>
      </c>
      <c r="AM39" s="40"/>
      <c r="AN39" s="43" t="str">
        <f t="shared" si="14"/>
        <v/>
      </c>
      <c r="AO39" s="40"/>
      <c r="AP39" s="43" t="str">
        <f t="shared" si="15"/>
        <v/>
      </c>
      <c r="AQ39" s="40"/>
      <c r="AR39" s="43" t="str">
        <f t="shared" si="16"/>
        <v/>
      </c>
      <c r="AS39" s="40"/>
      <c r="AT39" s="43" t="str">
        <f t="shared" si="17"/>
        <v/>
      </c>
      <c r="AU39" s="40"/>
      <c r="AV39" s="43" t="str">
        <f t="shared" si="18"/>
        <v/>
      </c>
      <c r="AW39" s="40"/>
      <c r="AX39" s="43" t="str">
        <f t="shared" si="19"/>
        <v/>
      </c>
      <c r="AY39" s="40"/>
      <c r="AZ39" s="43" t="str">
        <f t="shared" si="20"/>
        <v/>
      </c>
    </row>
    <row r="40" spans="1:53" ht="20" customHeight="1" x14ac:dyDescent="0.2">
      <c r="A40" s="68"/>
      <c r="B40" s="96"/>
      <c r="C40" s="25" t="s">
        <v>86</v>
      </c>
      <c r="D40" s="24" t="s">
        <v>92</v>
      </c>
      <c r="E40" s="24" t="s">
        <v>93</v>
      </c>
      <c r="F40" s="25">
        <v>2001</v>
      </c>
      <c r="G40" s="25">
        <v>170</v>
      </c>
      <c r="H40" s="29">
        <v>22</v>
      </c>
      <c r="I40" s="28" t="s">
        <v>189</v>
      </c>
      <c r="J40" s="39" t="s">
        <v>176</v>
      </c>
      <c r="K40" s="40"/>
      <c r="L40" s="43" t="str">
        <f t="shared" si="0"/>
        <v/>
      </c>
      <c r="M40" s="40"/>
      <c r="N40" s="43" t="str">
        <f t="shared" si="1"/>
        <v/>
      </c>
      <c r="O40" s="40"/>
      <c r="P40" s="43" t="str">
        <f t="shared" si="2"/>
        <v/>
      </c>
      <c r="Q40" s="40"/>
      <c r="R40" s="43" t="str">
        <f t="shared" si="3"/>
        <v/>
      </c>
      <c r="S40" s="40"/>
      <c r="T40" s="43" t="str">
        <f t="shared" si="4"/>
        <v/>
      </c>
      <c r="U40" s="86"/>
      <c r="V40" s="43" t="str">
        <f t="shared" si="22"/>
        <v/>
      </c>
      <c r="W40" s="40"/>
      <c r="X40" s="43" t="str">
        <f t="shared" si="6"/>
        <v/>
      </c>
      <c r="Y40" s="40"/>
      <c r="Z40" s="43" t="str">
        <f t="shared" si="7"/>
        <v/>
      </c>
      <c r="AA40" s="40"/>
      <c r="AB40" s="43" t="str">
        <f t="shared" si="8"/>
        <v/>
      </c>
      <c r="AC40" s="40"/>
      <c r="AD40" s="43" t="str">
        <f t="shared" si="9"/>
        <v/>
      </c>
      <c r="AE40" s="40"/>
      <c r="AF40" s="43" t="str">
        <f t="shared" si="21"/>
        <v/>
      </c>
      <c r="AG40" s="40"/>
      <c r="AH40" s="43" t="str">
        <f t="shared" si="11"/>
        <v/>
      </c>
      <c r="AI40" s="86"/>
      <c r="AJ40" s="43" t="str">
        <f t="shared" si="12"/>
        <v/>
      </c>
      <c r="AK40" s="40"/>
      <c r="AL40" s="43" t="str">
        <f t="shared" si="13"/>
        <v/>
      </c>
      <c r="AM40" s="40"/>
      <c r="AN40" s="43" t="str">
        <f t="shared" si="14"/>
        <v/>
      </c>
      <c r="AO40" s="40"/>
      <c r="AP40" s="43" t="str">
        <f t="shared" si="15"/>
        <v/>
      </c>
      <c r="AQ40" s="40"/>
      <c r="AR40" s="43" t="str">
        <f t="shared" si="16"/>
        <v/>
      </c>
      <c r="AS40" s="40"/>
      <c r="AT40" s="43" t="str">
        <f t="shared" si="17"/>
        <v/>
      </c>
      <c r="AU40" s="40"/>
      <c r="AV40" s="43" t="str">
        <f t="shared" si="18"/>
        <v/>
      </c>
      <c r="AW40" s="40"/>
      <c r="AX40" s="43" t="str">
        <f t="shared" si="19"/>
        <v/>
      </c>
      <c r="AY40" s="40"/>
      <c r="AZ40" s="43" t="str">
        <f t="shared" si="20"/>
        <v/>
      </c>
      <c r="BA40" s="24" t="s">
        <v>196</v>
      </c>
    </row>
    <row r="41" spans="1:53" ht="20" customHeight="1" x14ac:dyDescent="0.2">
      <c r="A41" s="67"/>
      <c r="B41" s="96"/>
      <c r="C41" s="25" t="s">
        <v>86</v>
      </c>
      <c r="D41" s="24" t="s">
        <v>329</v>
      </c>
      <c r="E41" s="24" t="s">
        <v>330</v>
      </c>
      <c r="F41" s="25">
        <v>2009</v>
      </c>
      <c r="H41" s="29">
        <v>20</v>
      </c>
      <c r="I41" s="28" t="s">
        <v>238</v>
      </c>
      <c r="J41" s="39" t="s">
        <v>208</v>
      </c>
      <c r="K41" s="40"/>
      <c r="L41" s="43" t="str">
        <f t="shared" si="0"/>
        <v/>
      </c>
      <c r="M41" s="40"/>
      <c r="N41" s="43" t="str">
        <f t="shared" si="1"/>
        <v/>
      </c>
      <c r="O41" s="40"/>
      <c r="P41" s="43" t="str">
        <f t="shared" si="2"/>
        <v/>
      </c>
      <c r="Q41" s="40"/>
      <c r="R41" s="43" t="str">
        <f t="shared" si="3"/>
        <v/>
      </c>
      <c r="S41" s="40"/>
      <c r="T41" s="43" t="str">
        <f t="shared" si="4"/>
        <v/>
      </c>
      <c r="U41" s="86"/>
      <c r="V41" s="43" t="str">
        <f t="shared" si="22"/>
        <v/>
      </c>
      <c r="W41" s="40"/>
      <c r="X41" s="43" t="str">
        <f t="shared" si="6"/>
        <v/>
      </c>
      <c r="Y41" s="40"/>
      <c r="Z41" s="43" t="str">
        <f t="shared" si="7"/>
        <v/>
      </c>
      <c r="AA41" s="40"/>
      <c r="AB41" s="43" t="str">
        <f t="shared" si="8"/>
        <v/>
      </c>
      <c r="AC41" s="40"/>
      <c r="AD41" s="43" t="str">
        <f t="shared" si="9"/>
        <v/>
      </c>
      <c r="AE41" s="40"/>
      <c r="AF41" s="43" t="str">
        <f t="shared" si="21"/>
        <v/>
      </c>
      <c r="AG41" s="40"/>
      <c r="AH41" s="43" t="str">
        <f t="shared" si="11"/>
        <v/>
      </c>
      <c r="AI41" s="86"/>
      <c r="AJ41" s="43" t="str">
        <f t="shared" si="12"/>
        <v/>
      </c>
      <c r="AK41" s="40"/>
      <c r="AL41" s="43" t="str">
        <f t="shared" si="13"/>
        <v/>
      </c>
      <c r="AM41" s="40"/>
      <c r="AN41" s="43" t="str">
        <f t="shared" si="14"/>
        <v/>
      </c>
      <c r="AO41" s="40"/>
      <c r="AP41" s="43" t="str">
        <f t="shared" si="15"/>
        <v/>
      </c>
      <c r="AQ41" s="40"/>
      <c r="AR41" s="43" t="str">
        <f t="shared" si="16"/>
        <v/>
      </c>
      <c r="AS41" s="40"/>
      <c r="AT41" s="43" t="str">
        <f t="shared" si="17"/>
        <v/>
      </c>
      <c r="AU41" s="40"/>
      <c r="AV41" s="43" t="str">
        <f t="shared" si="18"/>
        <v/>
      </c>
      <c r="AW41" s="40"/>
      <c r="AX41" s="43" t="str">
        <f t="shared" si="19"/>
        <v/>
      </c>
      <c r="AY41" s="40"/>
      <c r="AZ41" s="43" t="str">
        <f t="shared" si="20"/>
        <v/>
      </c>
      <c r="BA41" s="24" t="s">
        <v>403</v>
      </c>
    </row>
    <row r="42" spans="1:53" ht="20" customHeight="1" x14ac:dyDescent="0.2">
      <c r="A42" s="67"/>
      <c r="B42" s="25"/>
      <c r="C42" s="25" t="s">
        <v>86</v>
      </c>
      <c r="D42" s="24" t="s">
        <v>331</v>
      </c>
      <c r="E42" s="24" t="s">
        <v>332</v>
      </c>
      <c r="F42" s="25">
        <v>2006</v>
      </c>
      <c r="H42" s="29">
        <v>20</v>
      </c>
      <c r="I42" s="28" t="s">
        <v>404</v>
      </c>
      <c r="J42" s="39" t="s">
        <v>176</v>
      </c>
      <c r="K42" s="40"/>
      <c r="L42" s="43" t="str">
        <f t="shared" si="0"/>
        <v/>
      </c>
      <c r="M42" s="40"/>
      <c r="N42" s="43" t="str">
        <f t="shared" si="1"/>
        <v/>
      </c>
      <c r="O42" s="40"/>
      <c r="P42" s="43" t="str">
        <f t="shared" si="2"/>
        <v/>
      </c>
      <c r="Q42" s="45"/>
      <c r="R42" s="46" t="str">
        <f t="shared" si="3"/>
        <v/>
      </c>
      <c r="S42" s="40"/>
      <c r="T42" s="43" t="str">
        <f t="shared" si="4"/>
        <v/>
      </c>
      <c r="U42" s="86"/>
      <c r="V42" s="43" t="str">
        <f t="shared" si="22"/>
        <v/>
      </c>
      <c r="W42" s="40"/>
      <c r="X42" s="43" t="str">
        <f t="shared" si="6"/>
        <v/>
      </c>
      <c r="Y42" s="40"/>
      <c r="Z42" s="43" t="str">
        <f t="shared" si="7"/>
        <v/>
      </c>
      <c r="AA42" s="40"/>
      <c r="AB42" s="43" t="str">
        <f t="shared" si="8"/>
        <v/>
      </c>
      <c r="AC42" s="40"/>
      <c r="AD42" s="43" t="str">
        <f t="shared" si="9"/>
        <v/>
      </c>
      <c r="AE42" s="40"/>
      <c r="AF42" s="43" t="str">
        <f t="shared" si="21"/>
        <v/>
      </c>
      <c r="AG42" s="40"/>
      <c r="AH42" s="43" t="str">
        <f t="shared" si="11"/>
        <v/>
      </c>
      <c r="AI42" s="86"/>
      <c r="AJ42" s="43" t="str">
        <f t="shared" si="12"/>
        <v/>
      </c>
      <c r="AK42" s="40"/>
      <c r="AL42" s="43" t="str">
        <f t="shared" si="13"/>
        <v/>
      </c>
      <c r="AM42" s="40"/>
      <c r="AN42" s="43" t="str">
        <f t="shared" si="14"/>
        <v/>
      </c>
      <c r="AO42" s="40"/>
      <c r="AP42" s="43" t="str">
        <f t="shared" si="15"/>
        <v/>
      </c>
      <c r="AQ42" s="40"/>
      <c r="AR42" s="43" t="str">
        <f t="shared" si="16"/>
        <v/>
      </c>
      <c r="AS42" s="40"/>
      <c r="AT42" s="43" t="str">
        <f t="shared" si="17"/>
        <v/>
      </c>
      <c r="AU42" s="40"/>
      <c r="AV42" s="43" t="str">
        <f t="shared" si="18"/>
        <v/>
      </c>
      <c r="AW42" s="40"/>
      <c r="AX42" s="43" t="str">
        <f t="shared" si="19"/>
        <v/>
      </c>
      <c r="AY42" s="40"/>
      <c r="AZ42" s="43" t="str">
        <f t="shared" si="20"/>
        <v/>
      </c>
      <c r="BA42" s="24" t="s">
        <v>405</v>
      </c>
    </row>
    <row r="43" spans="1:53" ht="20" customHeight="1" x14ac:dyDescent="0.2">
      <c r="A43" s="68"/>
      <c r="B43" s="25"/>
      <c r="C43" s="25" t="s">
        <v>86</v>
      </c>
      <c r="D43" s="24" t="s">
        <v>335</v>
      </c>
      <c r="E43" s="24" t="s">
        <v>336</v>
      </c>
      <c r="F43" s="25">
        <v>2016</v>
      </c>
      <c r="H43" s="29">
        <v>50</v>
      </c>
      <c r="I43" s="28" t="s">
        <v>238</v>
      </c>
      <c r="J43" s="39" t="s">
        <v>212</v>
      </c>
      <c r="K43" s="40"/>
      <c r="L43" s="43" t="str">
        <f t="shared" ref="L43:L64" si="23">IF((ISERROR((K43/$H43)*100)), "", IF(AND(NOT(ISERROR((K43/$H43)*100)),((K43/$H43)*100) &lt;&gt; 0), (K43/$H43)*100, ""))</f>
        <v/>
      </c>
      <c r="M43" s="40"/>
      <c r="N43" s="43" t="str">
        <f t="shared" ref="N43:N59" si="24">IF((ISERROR((M43/$H43)*100)), "", IF(AND(NOT(ISERROR((M43/$H43)*100)),((M43/$H43)*100) &lt;&gt; 0), (M43/$H43)*100, ""))</f>
        <v/>
      </c>
      <c r="O43" s="40"/>
      <c r="P43" s="43" t="str">
        <f t="shared" ref="P43:P64" si="25">IF((ISERROR((O43/$H43)*100)), "", IF(AND(NOT(ISERROR((O43/$H43)*100)),((O43/$H43)*100) &lt;&gt; 0), (O43/$H43)*100, ""))</f>
        <v/>
      </c>
      <c r="Q43" s="40"/>
      <c r="R43" s="43" t="str">
        <f t="shared" ref="R43:R64" si="26">IF((ISERROR((Q43/$H43)*100)), "", IF(AND(NOT(ISERROR((Q43/$H43)*100)),((Q43/$H43)*100) &lt;&gt; 0), (Q43/$H43)*100, ""))</f>
        <v/>
      </c>
      <c r="S43" s="40"/>
      <c r="T43" s="43" t="str">
        <f t="shared" ref="T43:T64" si="27">IF((ISERROR((S43/$H43)*100)), "", IF(AND(NOT(ISERROR((S43/$H43)*100)),((S43/$H43)*100) &lt;&gt; 0), (S43/$H43)*100, ""))</f>
        <v/>
      </c>
      <c r="U43" s="86"/>
      <c r="V43" s="43" t="str">
        <f t="shared" si="22"/>
        <v/>
      </c>
      <c r="W43" s="40"/>
      <c r="X43" s="43" t="str">
        <f t="shared" ref="X43:X64" si="28">IF((ISERROR((W43/$H43)*100)), "", IF(AND(NOT(ISERROR((W43/$H43)*100)),((W43/$H43)*100) &lt;&gt; 0), (W43/$H43)*100, ""))</f>
        <v/>
      </c>
      <c r="Y43" s="40"/>
      <c r="Z43" s="43" t="str">
        <f t="shared" ref="Z43:Z64" si="29">IF((ISERROR((Y43/$H43)*100)), "", IF(AND(NOT(ISERROR((Y43/$H43)*100)),((Y43/$H43)*100) &lt;&gt; 0), (Y43/$H43)*100, ""))</f>
        <v/>
      </c>
      <c r="AA43" s="40"/>
      <c r="AB43" s="43" t="str">
        <f t="shared" ref="AB43:AB64" si="30">IF((ISERROR((AA43/$H43)*100)), "", IF(AND(NOT(ISERROR((AA43/$H43)*100)),((AA43/$H43)*100) &lt;&gt; 0), (AA43/$H43)*100, ""))</f>
        <v/>
      </c>
      <c r="AC43" s="40"/>
      <c r="AD43" s="43" t="str">
        <f t="shared" ref="AD43:AD59" si="31">IF((ISERROR((AC43/$H43)*100)), "", IF(AND(NOT(ISERROR((AC43/$H43)*100)),((AC43/$H43)*100) &lt;&gt; 0), (AC43/$H43)*100, ""))</f>
        <v/>
      </c>
      <c r="AE43" s="40"/>
      <c r="AF43" s="43" t="str">
        <f t="shared" si="21"/>
        <v/>
      </c>
      <c r="AG43" s="40"/>
      <c r="AH43" s="43" t="str">
        <f t="shared" ref="AH43:AH64" si="32">IF((ISERROR((AG43/$H43)*100)), "", IF(AND(NOT(ISERROR((AG43/$H43)*100)),((AG43/$H43)*100) &lt;&gt; 0), (AG43/$H43)*100, ""))</f>
        <v/>
      </c>
      <c r="AI43" s="86"/>
      <c r="AJ43" s="43" t="str">
        <f t="shared" ref="AJ43:AJ64" si="33">IF((ISERROR((AI43/$H43)*100)), "", IF(AND(NOT(ISERROR((AI43/$H43)*100)),((AI43/$H43)*100) &lt;&gt; 0), (AI43/$H43)*100, ""))</f>
        <v/>
      </c>
      <c r="AK43" s="40"/>
      <c r="AL43" s="43" t="str">
        <f t="shared" ref="AL43:AL64" si="34">IF((ISERROR((AK43/$H43)*100)), "", IF(AND(NOT(ISERROR((AK43/$H43)*100)),((AK43/$H43)*100) &lt;&gt; 0), (AK43/$H43)*100, ""))</f>
        <v/>
      </c>
      <c r="AM43" s="40"/>
      <c r="AN43" s="43" t="str">
        <f t="shared" ref="AN43:AN64" si="35">IF((ISERROR((AM43/$H43)*100)), "", IF(AND(NOT(ISERROR((AM43/$H43)*100)),((AM43/$H43)*100) &lt;&gt; 0), (AM43/$H43)*100, ""))</f>
        <v/>
      </c>
      <c r="AO43" s="40"/>
      <c r="AP43" s="43" t="str">
        <f t="shared" ref="AP43:AP64" si="36">IF((ISERROR((AO43/$H43)*100)), "", IF(AND(NOT(ISERROR((AO43/$H43)*100)),((AO43/$H43)*100) &lt;&gt; 0), (AO43/$H43)*100, ""))</f>
        <v/>
      </c>
      <c r="AQ43" s="40"/>
      <c r="AR43" s="43" t="str">
        <f t="shared" ref="AR43:AR64" si="37">IF((ISERROR((AQ43/$H43)*100)), "", IF(AND(NOT(ISERROR((AQ43/$H43)*100)),((AQ43/$H43)*100) &lt;&gt; 0), (AQ43/$H43)*100, ""))</f>
        <v/>
      </c>
      <c r="AS43" s="40"/>
      <c r="AT43" s="43" t="str">
        <f t="shared" ref="AT43:AT64" si="38">IF((ISERROR((AS43/$H43)*100)), "", IF(AND(NOT(ISERROR((AS43/$H43)*100)),((AS43/$H43)*100) &lt;&gt; 0), (AS43/$H43)*100, ""))</f>
        <v/>
      </c>
      <c r="AU43" s="40"/>
      <c r="AV43" s="43" t="str">
        <f t="shared" si="18"/>
        <v/>
      </c>
      <c r="AW43" s="40"/>
      <c r="AX43" s="43" t="str">
        <f t="shared" si="19"/>
        <v/>
      </c>
      <c r="AY43" s="40"/>
      <c r="AZ43" s="43" t="str">
        <f t="shared" si="20"/>
        <v/>
      </c>
    </row>
    <row r="44" spans="1:53" ht="20" customHeight="1" x14ac:dyDescent="0.2">
      <c r="A44" s="67"/>
      <c r="B44" s="95"/>
      <c r="C44" s="25" t="s">
        <v>86</v>
      </c>
      <c r="D44" s="24" t="s">
        <v>100</v>
      </c>
      <c r="E44" s="24" t="s">
        <v>101</v>
      </c>
      <c r="F44" s="25">
        <v>2002</v>
      </c>
      <c r="G44" s="25">
        <v>103</v>
      </c>
      <c r="H44" s="29">
        <v>8</v>
      </c>
      <c r="I44" s="28"/>
      <c r="J44" s="39"/>
      <c r="K44" s="40"/>
      <c r="L44" s="43" t="str">
        <f t="shared" si="23"/>
        <v/>
      </c>
      <c r="M44" s="40"/>
      <c r="N44" s="43" t="str">
        <f t="shared" si="24"/>
        <v/>
      </c>
      <c r="O44" s="40"/>
      <c r="P44" s="43" t="str">
        <f t="shared" si="25"/>
        <v/>
      </c>
      <c r="Q44" s="40"/>
      <c r="R44" s="43" t="str">
        <f t="shared" si="26"/>
        <v/>
      </c>
      <c r="S44" s="40"/>
      <c r="T44" s="43" t="str">
        <f t="shared" si="27"/>
        <v/>
      </c>
      <c r="U44" s="86">
        <v>2</v>
      </c>
      <c r="V44" s="43">
        <f t="shared" si="22"/>
        <v>25</v>
      </c>
      <c r="W44" s="40"/>
      <c r="X44" s="43" t="str">
        <f t="shared" si="28"/>
        <v/>
      </c>
      <c r="Y44" s="40"/>
      <c r="Z44" s="43" t="str">
        <f t="shared" si="29"/>
        <v/>
      </c>
      <c r="AA44" s="40"/>
      <c r="AB44" s="43" t="str">
        <f t="shared" si="30"/>
        <v/>
      </c>
      <c r="AC44" s="40"/>
      <c r="AD44" s="43" t="str">
        <f t="shared" si="31"/>
        <v/>
      </c>
      <c r="AE44" s="40"/>
      <c r="AF44" s="43" t="str">
        <f t="shared" si="21"/>
        <v/>
      </c>
      <c r="AG44" s="40"/>
      <c r="AH44" s="43" t="str">
        <f t="shared" si="32"/>
        <v/>
      </c>
      <c r="AI44" s="86"/>
      <c r="AJ44" s="43" t="str">
        <f t="shared" si="33"/>
        <v/>
      </c>
      <c r="AK44" s="40"/>
      <c r="AL44" s="43" t="str">
        <f t="shared" si="34"/>
        <v/>
      </c>
      <c r="AM44" s="40"/>
      <c r="AN44" s="43" t="str">
        <f t="shared" si="35"/>
        <v/>
      </c>
      <c r="AO44" s="40"/>
      <c r="AP44" s="43" t="str">
        <f t="shared" si="36"/>
        <v/>
      </c>
      <c r="AQ44" s="40"/>
      <c r="AR44" s="43" t="str">
        <f t="shared" si="37"/>
        <v/>
      </c>
      <c r="AS44" s="40"/>
      <c r="AT44" s="43" t="str">
        <f t="shared" si="38"/>
        <v/>
      </c>
      <c r="AU44" s="40"/>
      <c r="AV44" s="43" t="str">
        <f t="shared" si="18"/>
        <v/>
      </c>
      <c r="AW44" s="40"/>
      <c r="AX44" s="43" t="str">
        <f t="shared" ref="AX44:AX64" si="39">IF((ISERROR((AW44/$H44)*100)), "", IF(AND(NOT(ISERROR((AW44/$H44)*100)),((AW44/$H44)*100) &lt;&gt; 0), (AW44/$H44)*100, ""))</f>
        <v/>
      </c>
      <c r="AY44" s="40"/>
      <c r="AZ44" s="43" t="str">
        <f t="shared" ref="AZ44:AZ64" si="40">IF((ISERROR((AY44/$H44)*100)), "", IF(AND(NOT(ISERROR((AY44/$H44)*100)),((AY44/$H44)*100) &lt;&gt; 0), (AY44/$H44)*100, ""))</f>
        <v/>
      </c>
      <c r="BA44" s="24" t="s">
        <v>222</v>
      </c>
    </row>
    <row r="45" spans="1:53" ht="20" customHeight="1" x14ac:dyDescent="0.2">
      <c r="A45" s="67"/>
      <c r="B45" s="96"/>
      <c r="C45" s="25" t="s">
        <v>86</v>
      </c>
      <c r="D45" s="24" t="s">
        <v>339</v>
      </c>
      <c r="E45" s="24" t="s">
        <v>340</v>
      </c>
      <c r="F45" s="25">
        <v>2015</v>
      </c>
      <c r="H45" s="29"/>
      <c r="I45" s="28"/>
      <c r="J45" s="39"/>
      <c r="K45" s="40"/>
      <c r="L45" s="43" t="str">
        <f t="shared" si="23"/>
        <v/>
      </c>
      <c r="M45" s="40"/>
      <c r="N45" s="43" t="str">
        <f t="shared" si="24"/>
        <v/>
      </c>
      <c r="O45" s="40"/>
      <c r="P45" s="43" t="str">
        <f t="shared" si="25"/>
        <v/>
      </c>
      <c r="Q45" s="40"/>
      <c r="R45" s="43" t="str">
        <f t="shared" si="26"/>
        <v/>
      </c>
      <c r="S45" s="40"/>
      <c r="T45" s="43" t="str">
        <f t="shared" si="27"/>
        <v/>
      </c>
      <c r="U45" s="86"/>
      <c r="V45" s="43" t="str">
        <f t="shared" si="22"/>
        <v/>
      </c>
      <c r="W45" s="40"/>
      <c r="X45" s="43" t="str">
        <f t="shared" si="28"/>
        <v/>
      </c>
      <c r="Y45" s="40"/>
      <c r="Z45" s="43" t="str">
        <f t="shared" si="29"/>
        <v/>
      </c>
      <c r="AA45" s="40"/>
      <c r="AB45" s="43" t="str">
        <f t="shared" si="30"/>
        <v/>
      </c>
      <c r="AC45" s="40"/>
      <c r="AD45" s="43" t="str">
        <f t="shared" si="31"/>
        <v/>
      </c>
      <c r="AE45" s="40"/>
      <c r="AF45" s="43" t="str">
        <f t="shared" ref="AF45:AF64" si="41">IF((ISERROR((AE45/$H45)*100)), "", IF(AND(NOT(ISERROR((AE45/$H45)*100)),((AE45/$H45)*100) &lt;&gt; 0), (AE45/$H45)*100, ""))</f>
        <v/>
      </c>
      <c r="AG45" s="40"/>
      <c r="AH45" s="43" t="str">
        <f t="shared" si="32"/>
        <v/>
      </c>
      <c r="AI45" s="86"/>
      <c r="AJ45" s="43" t="str">
        <f t="shared" si="33"/>
        <v/>
      </c>
      <c r="AK45" s="40"/>
      <c r="AL45" s="43" t="str">
        <f t="shared" si="34"/>
        <v/>
      </c>
      <c r="AM45" s="40"/>
      <c r="AN45" s="43" t="str">
        <f t="shared" si="35"/>
        <v/>
      </c>
      <c r="AO45" s="40"/>
      <c r="AP45" s="43" t="str">
        <f t="shared" si="36"/>
        <v/>
      </c>
      <c r="AQ45" s="40"/>
      <c r="AR45" s="43" t="str">
        <f t="shared" si="37"/>
        <v/>
      </c>
      <c r="AS45" s="40"/>
      <c r="AT45" s="43" t="str">
        <f t="shared" si="38"/>
        <v/>
      </c>
      <c r="AU45" s="40"/>
      <c r="AV45" s="43" t="str">
        <f t="shared" si="18"/>
        <v/>
      </c>
      <c r="AW45" s="40"/>
      <c r="AX45" s="43" t="str">
        <f t="shared" si="39"/>
        <v/>
      </c>
      <c r="AY45" s="40"/>
      <c r="AZ45" s="43" t="str">
        <f t="shared" si="40"/>
        <v/>
      </c>
      <c r="BA45" s="24" t="s">
        <v>407</v>
      </c>
    </row>
    <row r="46" spans="1:53" ht="20" customHeight="1" x14ac:dyDescent="0.2">
      <c r="A46" s="67"/>
      <c r="B46" s="96"/>
      <c r="C46" s="25" t="s">
        <v>86</v>
      </c>
      <c r="D46" s="24" t="s">
        <v>341</v>
      </c>
      <c r="E46" s="24" t="s">
        <v>342</v>
      </c>
      <c r="F46" s="25">
        <v>2009</v>
      </c>
      <c r="H46" s="29">
        <v>102</v>
      </c>
      <c r="I46" s="28" t="s">
        <v>238</v>
      </c>
      <c r="J46" s="39" t="s">
        <v>408</v>
      </c>
      <c r="K46" s="40"/>
      <c r="L46" s="43" t="str">
        <f t="shared" si="23"/>
        <v/>
      </c>
      <c r="M46" s="40"/>
      <c r="N46" s="43" t="str">
        <f t="shared" si="24"/>
        <v/>
      </c>
      <c r="O46" s="40"/>
      <c r="P46" s="43" t="str">
        <f t="shared" si="25"/>
        <v/>
      </c>
      <c r="Q46" s="40"/>
      <c r="R46" s="43" t="str">
        <f t="shared" si="26"/>
        <v/>
      </c>
      <c r="S46" s="40"/>
      <c r="T46" s="43" t="str">
        <f t="shared" si="27"/>
        <v/>
      </c>
      <c r="U46" s="86"/>
      <c r="V46" s="43" t="str">
        <f t="shared" si="22"/>
        <v/>
      </c>
      <c r="W46" s="40"/>
      <c r="X46" s="43" t="str">
        <f t="shared" si="28"/>
        <v/>
      </c>
      <c r="Y46" s="40"/>
      <c r="Z46" s="43" t="str">
        <f t="shared" si="29"/>
        <v/>
      </c>
      <c r="AA46" s="40"/>
      <c r="AB46" s="43" t="str">
        <f t="shared" si="30"/>
        <v/>
      </c>
      <c r="AC46" s="40"/>
      <c r="AD46" s="43" t="str">
        <f t="shared" si="31"/>
        <v/>
      </c>
      <c r="AE46" s="40"/>
      <c r="AF46" s="43" t="str">
        <f t="shared" si="41"/>
        <v/>
      </c>
      <c r="AG46" s="40"/>
      <c r="AH46" s="43" t="str">
        <f t="shared" si="32"/>
        <v/>
      </c>
      <c r="AI46" s="86"/>
      <c r="AJ46" s="43" t="str">
        <f t="shared" si="33"/>
        <v/>
      </c>
      <c r="AK46" s="40"/>
      <c r="AL46" s="43" t="str">
        <f t="shared" si="34"/>
        <v/>
      </c>
      <c r="AM46" s="40"/>
      <c r="AN46" s="43" t="str">
        <f t="shared" si="35"/>
        <v/>
      </c>
      <c r="AO46" s="40"/>
      <c r="AP46" s="43" t="str">
        <f t="shared" si="36"/>
        <v/>
      </c>
      <c r="AQ46" s="40"/>
      <c r="AR46" s="43" t="str">
        <f t="shared" si="37"/>
        <v/>
      </c>
      <c r="AS46" s="40"/>
      <c r="AT46" s="43" t="str">
        <f t="shared" si="38"/>
        <v/>
      </c>
      <c r="AU46" s="40"/>
      <c r="AV46" s="43" t="str">
        <f t="shared" si="18"/>
        <v/>
      </c>
      <c r="AW46" s="40"/>
      <c r="AX46" s="43" t="str">
        <f t="shared" si="39"/>
        <v/>
      </c>
      <c r="AY46" s="40"/>
      <c r="AZ46" s="43" t="str">
        <f t="shared" si="40"/>
        <v/>
      </c>
    </row>
    <row r="47" spans="1:53" ht="20" customHeight="1" x14ac:dyDescent="0.2">
      <c r="A47" s="68"/>
      <c r="B47" s="25"/>
      <c r="C47" s="25" t="s">
        <v>86</v>
      </c>
      <c r="D47" s="24" t="s">
        <v>106</v>
      </c>
      <c r="E47" s="24" t="s">
        <v>107</v>
      </c>
      <c r="F47" s="25">
        <v>1989</v>
      </c>
      <c r="G47" s="25">
        <v>27</v>
      </c>
      <c r="H47" s="29">
        <v>25</v>
      </c>
      <c r="I47" s="28" t="s">
        <v>232</v>
      </c>
      <c r="J47" s="39" t="s">
        <v>191</v>
      </c>
      <c r="K47" s="40"/>
      <c r="L47" s="43" t="str">
        <f t="shared" si="23"/>
        <v/>
      </c>
      <c r="M47" s="45"/>
      <c r="N47" s="46" t="str">
        <f t="shared" si="24"/>
        <v/>
      </c>
      <c r="O47" s="40"/>
      <c r="P47" s="43" t="str">
        <f t="shared" si="25"/>
        <v/>
      </c>
      <c r="Q47" s="40"/>
      <c r="R47" s="43" t="str">
        <f t="shared" si="26"/>
        <v/>
      </c>
      <c r="S47" s="40"/>
      <c r="T47" s="43" t="str">
        <f t="shared" si="27"/>
        <v/>
      </c>
      <c r="U47" s="86"/>
      <c r="V47" s="43" t="str">
        <f t="shared" si="22"/>
        <v/>
      </c>
      <c r="W47" s="40"/>
      <c r="X47" s="43" t="str">
        <f t="shared" si="28"/>
        <v/>
      </c>
      <c r="Y47" s="40"/>
      <c r="Z47" s="43" t="str">
        <f t="shared" si="29"/>
        <v/>
      </c>
      <c r="AA47" s="40"/>
      <c r="AB47" s="43" t="str">
        <f t="shared" si="30"/>
        <v/>
      </c>
      <c r="AC47" s="40"/>
      <c r="AD47" s="43" t="str">
        <f t="shared" si="31"/>
        <v/>
      </c>
      <c r="AE47" s="40"/>
      <c r="AF47" s="43" t="str">
        <f t="shared" si="41"/>
        <v/>
      </c>
      <c r="AG47" s="40"/>
      <c r="AH47" s="43" t="str">
        <f t="shared" si="32"/>
        <v/>
      </c>
      <c r="AI47" s="86"/>
      <c r="AJ47" s="43" t="str">
        <f t="shared" si="33"/>
        <v/>
      </c>
      <c r="AK47" s="40"/>
      <c r="AL47" s="43" t="str">
        <f t="shared" si="34"/>
        <v/>
      </c>
      <c r="AM47" s="40"/>
      <c r="AN47" s="43" t="str">
        <f t="shared" si="35"/>
        <v/>
      </c>
      <c r="AO47" s="40"/>
      <c r="AP47" s="43" t="str">
        <f t="shared" si="36"/>
        <v/>
      </c>
      <c r="AQ47" s="40"/>
      <c r="AR47" s="43" t="str">
        <f t="shared" si="37"/>
        <v/>
      </c>
      <c r="AS47" s="40"/>
      <c r="AT47" s="43" t="str">
        <f t="shared" si="38"/>
        <v/>
      </c>
      <c r="AU47" s="40"/>
      <c r="AV47" s="43" t="str">
        <f t="shared" si="18"/>
        <v/>
      </c>
      <c r="AW47" s="40"/>
      <c r="AX47" s="43" t="str">
        <f t="shared" si="39"/>
        <v/>
      </c>
      <c r="AY47" s="40"/>
      <c r="AZ47" s="43" t="str">
        <f t="shared" si="40"/>
        <v/>
      </c>
    </row>
    <row r="48" spans="1:53" ht="20" customHeight="1" x14ac:dyDescent="0.2">
      <c r="A48" s="68"/>
      <c r="B48" s="96"/>
      <c r="C48" s="25" t="s">
        <v>86</v>
      </c>
      <c r="D48" s="24" t="s">
        <v>343</v>
      </c>
      <c r="E48" s="24" t="s">
        <v>344</v>
      </c>
      <c r="F48" s="25">
        <v>2011</v>
      </c>
      <c r="H48" s="29"/>
      <c r="I48" s="28"/>
      <c r="J48" s="39"/>
      <c r="K48" s="40"/>
      <c r="L48" s="43" t="str">
        <f t="shared" si="23"/>
        <v/>
      </c>
      <c r="M48" s="40"/>
      <c r="N48" s="43" t="str">
        <f t="shared" si="24"/>
        <v/>
      </c>
      <c r="O48" s="40"/>
      <c r="P48" s="43" t="str">
        <f t="shared" si="25"/>
        <v/>
      </c>
      <c r="Q48" s="40"/>
      <c r="R48" s="43" t="str">
        <f t="shared" si="26"/>
        <v/>
      </c>
      <c r="S48" s="40"/>
      <c r="T48" s="43" t="str">
        <f t="shared" si="27"/>
        <v/>
      </c>
      <c r="U48" s="86"/>
      <c r="V48" s="43" t="str">
        <f t="shared" si="22"/>
        <v/>
      </c>
      <c r="W48" s="40"/>
      <c r="X48" s="43" t="str">
        <f t="shared" si="28"/>
        <v/>
      </c>
      <c r="Y48" s="40"/>
      <c r="Z48" s="43" t="str">
        <f t="shared" si="29"/>
        <v/>
      </c>
      <c r="AA48" s="40"/>
      <c r="AB48" s="43" t="str">
        <f t="shared" si="30"/>
        <v/>
      </c>
      <c r="AC48" s="40"/>
      <c r="AD48" s="43" t="str">
        <f t="shared" si="31"/>
        <v/>
      </c>
      <c r="AE48" s="40"/>
      <c r="AF48" s="43" t="str">
        <f t="shared" si="41"/>
        <v/>
      </c>
      <c r="AG48" s="40"/>
      <c r="AH48" s="43" t="str">
        <f t="shared" si="32"/>
        <v/>
      </c>
      <c r="AI48" s="86"/>
      <c r="AJ48" s="43" t="str">
        <f t="shared" si="33"/>
        <v/>
      </c>
      <c r="AK48" s="40"/>
      <c r="AL48" s="43" t="str">
        <f t="shared" si="34"/>
        <v/>
      </c>
      <c r="AM48" s="40"/>
      <c r="AN48" s="43" t="str">
        <f t="shared" si="35"/>
        <v/>
      </c>
      <c r="AO48" s="40"/>
      <c r="AP48" s="43" t="str">
        <f t="shared" si="36"/>
        <v/>
      </c>
      <c r="AQ48" s="40"/>
      <c r="AR48" s="43" t="str">
        <f t="shared" si="37"/>
        <v/>
      </c>
      <c r="AS48" s="40"/>
      <c r="AT48" s="43" t="str">
        <f t="shared" si="38"/>
        <v/>
      </c>
      <c r="AU48" s="40"/>
      <c r="AV48" s="43" t="str">
        <f t="shared" si="18"/>
        <v/>
      </c>
      <c r="AW48" s="40"/>
      <c r="AX48" s="43" t="str">
        <f t="shared" si="39"/>
        <v/>
      </c>
      <c r="AY48" s="40"/>
      <c r="AZ48" s="43" t="str">
        <f t="shared" si="40"/>
        <v/>
      </c>
      <c r="BA48" s="24" t="s">
        <v>409</v>
      </c>
    </row>
    <row r="49" spans="1:53" ht="20" customHeight="1" x14ac:dyDescent="0.2">
      <c r="A49" s="67"/>
      <c r="B49" s="95"/>
      <c r="C49" s="25" t="s">
        <v>86</v>
      </c>
      <c r="D49" s="24" t="s">
        <v>108</v>
      </c>
      <c r="E49" s="24" t="s">
        <v>109</v>
      </c>
      <c r="F49" s="25">
        <v>2008</v>
      </c>
      <c r="G49" s="25">
        <v>54</v>
      </c>
      <c r="H49" s="29">
        <v>30</v>
      </c>
      <c r="I49" s="28" t="s">
        <v>174</v>
      </c>
      <c r="J49" s="39" t="s">
        <v>233</v>
      </c>
      <c r="K49" s="40"/>
      <c r="L49" s="43" t="str">
        <f t="shared" si="23"/>
        <v/>
      </c>
      <c r="M49" s="40"/>
      <c r="N49" s="43" t="str">
        <f t="shared" si="24"/>
        <v/>
      </c>
      <c r="O49" s="40"/>
      <c r="P49" s="43" t="str">
        <f t="shared" si="25"/>
        <v/>
      </c>
      <c r="Q49" s="40"/>
      <c r="R49" s="43" t="str">
        <f t="shared" si="26"/>
        <v/>
      </c>
      <c r="S49" s="40"/>
      <c r="T49" s="43" t="str">
        <f t="shared" si="27"/>
        <v/>
      </c>
      <c r="U49" s="86"/>
      <c r="V49" s="43" t="str">
        <f t="shared" si="22"/>
        <v/>
      </c>
      <c r="W49" s="40"/>
      <c r="X49" s="43" t="str">
        <f t="shared" si="28"/>
        <v/>
      </c>
      <c r="Y49" s="40"/>
      <c r="Z49" s="43" t="str">
        <f t="shared" si="29"/>
        <v/>
      </c>
      <c r="AA49" s="40"/>
      <c r="AB49" s="43" t="str">
        <f t="shared" si="30"/>
        <v/>
      </c>
      <c r="AC49" s="40"/>
      <c r="AD49" s="43" t="str">
        <f t="shared" si="31"/>
        <v/>
      </c>
      <c r="AE49" s="40">
        <v>1</v>
      </c>
      <c r="AF49" s="43">
        <f t="shared" si="41"/>
        <v>3.3333333333333335</v>
      </c>
      <c r="AG49" s="40"/>
      <c r="AH49" s="43" t="str">
        <f t="shared" si="32"/>
        <v/>
      </c>
      <c r="AI49" s="86"/>
      <c r="AJ49" s="43" t="str">
        <f t="shared" si="33"/>
        <v/>
      </c>
      <c r="AK49" s="40"/>
      <c r="AL49" s="43" t="str">
        <f t="shared" si="34"/>
        <v/>
      </c>
      <c r="AM49" s="40">
        <v>1</v>
      </c>
      <c r="AN49" s="43">
        <f t="shared" si="35"/>
        <v>3.3333333333333335</v>
      </c>
      <c r="AO49" s="40"/>
      <c r="AP49" s="43" t="str">
        <f t="shared" si="36"/>
        <v/>
      </c>
      <c r="AQ49" s="40"/>
      <c r="AR49" s="43" t="str">
        <f t="shared" si="37"/>
        <v/>
      </c>
      <c r="AS49" s="40"/>
      <c r="AT49" s="43" t="str">
        <f t="shared" si="38"/>
        <v/>
      </c>
      <c r="AU49" s="40"/>
      <c r="AV49" s="43" t="str">
        <f t="shared" si="18"/>
        <v/>
      </c>
      <c r="AW49" s="40"/>
      <c r="AX49" s="43" t="str">
        <f t="shared" si="39"/>
        <v/>
      </c>
      <c r="AY49" s="40"/>
      <c r="AZ49" s="43" t="str">
        <f t="shared" si="40"/>
        <v/>
      </c>
    </row>
    <row r="50" spans="1:53" ht="20" customHeight="1" x14ac:dyDescent="0.2">
      <c r="A50" s="67"/>
      <c r="B50" s="96"/>
      <c r="C50" s="25" t="s">
        <v>86</v>
      </c>
      <c r="D50" s="24" t="s">
        <v>110</v>
      </c>
      <c r="E50" s="24" t="s">
        <v>111</v>
      </c>
      <c r="F50" s="25">
        <v>1999</v>
      </c>
      <c r="G50" s="25">
        <v>76</v>
      </c>
      <c r="H50" s="29">
        <v>7</v>
      </c>
      <c r="I50" s="28" t="s">
        <v>189</v>
      </c>
      <c r="J50" s="39" t="s">
        <v>212</v>
      </c>
      <c r="K50" s="40"/>
      <c r="L50" s="43" t="str">
        <f t="shared" si="23"/>
        <v/>
      </c>
      <c r="M50" s="40"/>
      <c r="N50" s="43" t="str">
        <f t="shared" si="24"/>
        <v/>
      </c>
      <c r="O50" s="40"/>
      <c r="P50" s="43" t="str">
        <f t="shared" si="25"/>
        <v/>
      </c>
      <c r="Q50" s="40"/>
      <c r="R50" s="43" t="str">
        <f t="shared" si="26"/>
        <v/>
      </c>
      <c r="S50" s="40"/>
      <c r="T50" s="43" t="str">
        <f t="shared" si="27"/>
        <v/>
      </c>
      <c r="U50" s="86"/>
      <c r="V50" s="43" t="str">
        <f t="shared" si="22"/>
        <v/>
      </c>
      <c r="W50" s="40"/>
      <c r="X50" s="43" t="str">
        <f t="shared" si="28"/>
        <v/>
      </c>
      <c r="Y50" s="40"/>
      <c r="Z50" s="43" t="str">
        <f t="shared" si="29"/>
        <v/>
      </c>
      <c r="AA50" s="40"/>
      <c r="AB50" s="43" t="str">
        <f t="shared" si="30"/>
        <v/>
      </c>
      <c r="AC50" s="40"/>
      <c r="AD50" s="43" t="str">
        <f t="shared" si="31"/>
        <v/>
      </c>
      <c r="AE50" s="40"/>
      <c r="AF50" s="43" t="str">
        <f t="shared" si="41"/>
        <v/>
      </c>
      <c r="AG50" s="40"/>
      <c r="AH50" s="43" t="str">
        <f t="shared" si="32"/>
        <v/>
      </c>
      <c r="AI50" s="86"/>
      <c r="AJ50" s="43" t="str">
        <f t="shared" si="33"/>
        <v/>
      </c>
      <c r="AK50" s="40"/>
      <c r="AL50" s="43" t="str">
        <f t="shared" si="34"/>
        <v/>
      </c>
      <c r="AM50" s="40"/>
      <c r="AN50" s="43" t="str">
        <f t="shared" si="35"/>
        <v/>
      </c>
      <c r="AO50" s="40"/>
      <c r="AP50" s="43" t="str">
        <f t="shared" si="36"/>
        <v/>
      </c>
      <c r="AQ50" s="40"/>
      <c r="AR50" s="43" t="str">
        <f t="shared" si="37"/>
        <v/>
      </c>
      <c r="AS50" s="40"/>
      <c r="AT50" s="43" t="str">
        <f t="shared" si="38"/>
        <v/>
      </c>
      <c r="AU50" s="40"/>
      <c r="AV50" s="43" t="str">
        <f t="shared" si="18"/>
        <v/>
      </c>
      <c r="AW50" s="40"/>
      <c r="AX50" s="43" t="str">
        <f t="shared" si="39"/>
        <v/>
      </c>
      <c r="AY50" s="40"/>
      <c r="AZ50" s="43" t="str">
        <f t="shared" si="40"/>
        <v/>
      </c>
      <c r="BA50" s="24" t="s">
        <v>196</v>
      </c>
    </row>
    <row r="51" spans="1:53" ht="20" customHeight="1" x14ac:dyDescent="0.2">
      <c r="A51" s="68"/>
      <c r="B51" s="96"/>
      <c r="C51" s="25" t="s">
        <v>86</v>
      </c>
      <c r="D51" s="24" t="s">
        <v>112</v>
      </c>
      <c r="E51" s="24" t="s">
        <v>113</v>
      </c>
      <c r="F51" s="25">
        <v>2008</v>
      </c>
      <c r="G51" s="25">
        <v>101</v>
      </c>
      <c r="H51" s="29">
        <v>16</v>
      </c>
      <c r="I51" s="28" t="s">
        <v>235</v>
      </c>
      <c r="J51" s="39"/>
      <c r="K51" s="40"/>
      <c r="L51" s="43" t="str">
        <f t="shared" si="23"/>
        <v/>
      </c>
      <c r="M51" s="40"/>
      <c r="N51" s="43" t="str">
        <f t="shared" si="24"/>
        <v/>
      </c>
      <c r="O51" s="40"/>
      <c r="P51" s="43" t="str">
        <f t="shared" si="25"/>
        <v/>
      </c>
      <c r="Q51" s="40"/>
      <c r="R51" s="43" t="str">
        <f t="shared" si="26"/>
        <v/>
      </c>
      <c r="S51" s="40"/>
      <c r="T51" s="43" t="str">
        <f t="shared" si="27"/>
        <v/>
      </c>
      <c r="U51" s="86"/>
      <c r="V51" s="43" t="str">
        <f t="shared" si="22"/>
        <v/>
      </c>
      <c r="W51" s="40"/>
      <c r="X51" s="43" t="str">
        <f t="shared" si="28"/>
        <v/>
      </c>
      <c r="Y51" s="40"/>
      <c r="Z51" s="43" t="str">
        <f t="shared" si="29"/>
        <v/>
      </c>
      <c r="AA51" s="40"/>
      <c r="AB51" s="43" t="str">
        <f t="shared" si="30"/>
        <v/>
      </c>
      <c r="AC51" s="40"/>
      <c r="AD51" s="43" t="str">
        <f t="shared" si="31"/>
        <v/>
      </c>
      <c r="AE51" s="40"/>
      <c r="AF51" s="43" t="str">
        <f t="shared" si="41"/>
        <v/>
      </c>
      <c r="AG51" s="40"/>
      <c r="AH51" s="43" t="str">
        <f t="shared" si="32"/>
        <v/>
      </c>
      <c r="AI51" s="86"/>
      <c r="AJ51" s="43" t="str">
        <f t="shared" si="33"/>
        <v/>
      </c>
      <c r="AK51" s="40"/>
      <c r="AL51" s="43" t="str">
        <f t="shared" si="34"/>
        <v/>
      </c>
      <c r="AM51" s="40"/>
      <c r="AN51" s="43" t="str">
        <f t="shared" si="35"/>
        <v/>
      </c>
      <c r="AO51" s="40"/>
      <c r="AP51" s="43" t="str">
        <f t="shared" si="36"/>
        <v/>
      </c>
      <c r="AQ51" s="40"/>
      <c r="AR51" s="43" t="str">
        <f t="shared" si="37"/>
        <v/>
      </c>
      <c r="AS51" s="40"/>
      <c r="AT51" s="43" t="str">
        <f t="shared" si="38"/>
        <v/>
      </c>
      <c r="AU51" s="40"/>
      <c r="AV51" s="43" t="str">
        <f t="shared" si="18"/>
        <v/>
      </c>
      <c r="AW51" s="40"/>
      <c r="AX51" s="43" t="str">
        <f t="shared" si="39"/>
        <v/>
      </c>
      <c r="AY51" s="40"/>
      <c r="AZ51" s="43" t="str">
        <f t="shared" si="40"/>
        <v/>
      </c>
      <c r="BA51" s="24" t="s">
        <v>432</v>
      </c>
    </row>
    <row r="52" spans="1:53" ht="20" customHeight="1" x14ac:dyDescent="0.2">
      <c r="A52" s="67"/>
      <c r="B52" s="95"/>
      <c r="C52" s="25" t="s">
        <v>86</v>
      </c>
      <c r="D52" s="24" t="s">
        <v>120</v>
      </c>
      <c r="E52" s="24" t="s">
        <v>121</v>
      </c>
      <c r="F52" s="25">
        <v>2003</v>
      </c>
      <c r="G52" s="25">
        <v>45</v>
      </c>
      <c r="H52" s="29">
        <v>16</v>
      </c>
      <c r="I52" s="28" t="s">
        <v>189</v>
      </c>
      <c r="J52" s="39" t="s">
        <v>377</v>
      </c>
      <c r="K52" s="40"/>
      <c r="L52" s="43" t="str">
        <f t="shared" si="23"/>
        <v/>
      </c>
      <c r="M52" s="40"/>
      <c r="N52" s="43" t="str">
        <f t="shared" si="24"/>
        <v/>
      </c>
      <c r="O52" s="40"/>
      <c r="P52" s="43" t="str">
        <f t="shared" si="25"/>
        <v/>
      </c>
      <c r="Q52" s="45"/>
      <c r="R52" s="46" t="str">
        <f t="shared" si="26"/>
        <v/>
      </c>
      <c r="S52" s="40"/>
      <c r="T52" s="43" t="str">
        <f t="shared" si="27"/>
        <v/>
      </c>
      <c r="U52" s="86"/>
      <c r="V52" s="43" t="str">
        <f t="shared" si="22"/>
        <v/>
      </c>
      <c r="W52" s="40"/>
      <c r="X52" s="43" t="str">
        <f t="shared" si="28"/>
        <v/>
      </c>
      <c r="Y52" s="40"/>
      <c r="Z52" s="43" t="str">
        <f t="shared" si="29"/>
        <v/>
      </c>
      <c r="AA52" s="40"/>
      <c r="AB52" s="43" t="str">
        <f t="shared" si="30"/>
        <v/>
      </c>
      <c r="AC52" s="40"/>
      <c r="AD52" s="43" t="str">
        <f t="shared" si="31"/>
        <v/>
      </c>
      <c r="AE52" s="40"/>
      <c r="AF52" s="43" t="str">
        <f t="shared" si="41"/>
        <v/>
      </c>
      <c r="AG52" s="40"/>
      <c r="AH52" s="43" t="str">
        <f t="shared" si="32"/>
        <v/>
      </c>
      <c r="AI52" s="86"/>
      <c r="AJ52" s="43" t="str">
        <f t="shared" si="33"/>
        <v/>
      </c>
      <c r="AK52" s="40"/>
      <c r="AL52" s="43" t="str">
        <f t="shared" si="34"/>
        <v/>
      </c>
      <c r="AM52" s="40"/>
      <c r="AN52" s="43" t="str">
        <f t="shared" si="35"/>
        <v/>
      </c>
      <c r="AO52" s="40"/>
      <c r="AP52" s="43" t="str">
        <f t="shared" si="36"/>
        <v/>
      </c>
      <c r="AQ52" s="40"/>
      <c r="AR52" s="43" t="str">
        <f t="shared" si="37"/>
        <v/>
      </c>
      <c r="AS52" s="40"/>
      <c r="AT52" s="43" t="str">
        <f t="shared" si="38"/>
        <v/>
      </c>
      <c r="AU52" s="40"/>
      <c r="AV52" s="43" t="str">
        <f t="shared" si="18"/>
        <v/>
      </c>
      <c r="AW52" s="40"/>
      <c r="AX52" s="43" t="str">
        <f t="shared" si="39"/>
        <v/>
      </c>
      <c r="AY52" s="40"/>
      <c r="AZ52" s="43" t="str">
        <f t="shared" si="40"/>
        <v/>
      </c>
      <c r="BA52" s="24" t="s">
        <v>244</v>
      </c>
    </row>
    <row r="53" spans="1:53" ht="20" customHeight="1" x14ac:dyDescent="0.2">
      <c r="A53" s="67"/>
      <c r="B53" s="95"/>
      <c r="C53" s="25" t="s">
        <v>86</v>
      </c>
      <c r="D53" s="24" t="s">
        <v>347</v>
      </c>
      <c r="E53" s="24" t="s">
        <v>348</v>
      </c>
      <c r="F53" s="25">
        <v>2015</v>
      </c>
      <c r="H53" s="29">
        <v>5</v>
      </c>
      <c r="I53" s="28" t="s">
        <v>235</v>
      </c>
      <c r="J53" s="39" t="s">
        <v>208</v>
      </c>
      <c r="K53" s="40"/>
      <c r="L53" s="43" t="str">
        <f t="shared" si="23"/>
        <v/>
      </c>
      <c r="M53" s="40"/>
      <c r="N53" s="43" t="str">
        <f t="shared" si="24"/>
        <v/>
      </c>
      <c r="O53" s="40"/>
      <c r="P53" s="43" t="str">
        <f t="shared" si="25"/>
        <v/>
      </c>
      <c r="Q53" s="40"/>
      <c r="R53" s="43" t="str">
        <f t="shared" si="26"/>
        <v/>
      </c>
      <c r="S53" s="40"/>
      <c r="T53" s="43" t="str">
        <f t="shared" si="27"/>
        <v/>
      </c>
      <c r="U53" s="86"/>
      <c r="V53" s="43" t="str">
        <f t="shared" si="22"/>
        <v/>
      </c>
      <c r="W53" s="40"/>
      <c r="X53" s="43" t="str">
        <f t="shared" si="28"/>
        <v/>
      </c>
      <c r="Y53" s="40"/>
      <c r="Z53" s="43" t="str">
        <f t="shared" si="29"/>
        <v/>
      </c>
      <c r="AA53" s="40"/>
      <c r="AB53" s="43" t="str">
        <f t="shared" si="30"/>
        <v/>
      </c>
      <c r="AC53" s="40"/>
      <c r="AD53" s="43" t="str">
        <f t="shared" si="31"/>
        <v/>
      </c>
      <c r="AE53" s="40"/>
      <c r="AF53" s="43" t="str">
        <f t="shared" si="41"/>
        <v/>
      </c>
      <c r="AG53" s="40"/>
      <c r="AH53" s="43" t="str">
        <f t="shared" si="32"/>
        <v/>
      </c>
      <c r="AI53" s="86">
        <v>1</v>
      </c>
      <c r="AJ53" s="43">
        <f t="shared" si="33"/>
        <v>20</v>
      </c>
      <c r="AK53" s="40"/>
      <c r="AL53" s="43" t="str">
        <f t="shared" si="34"/>
        <v/>
      </c>
      <c r="AM53" s="40"/>
      <c r="AN53" s="43" t="str">
        <f t="shared" si="35"/>
        <v/>
      </c>
      <c r="AO53" s="40"/>
      <c r="AP53" s="43" t="str">
        <f t="shared" si="36"/>
        <v/>
      </c>
      <c r="AQ53" s="40"/>
      <c r="AR53" s="43" t="str">
        <f t="shared" si="37"/>
        <v/>
      </c>
      <c r="AS53" s="40"/>
      <c r="AT53" s="43" t="str">
        <f t="shared" si="38"/>
        <v/>
      </c>
      <c r="AU53" s="40"/>
      <c r="AV53" s="43" t="str">
        <f t="shared" si="18"/>
        <v/>
      </c>
      <c r="AW53" s="40"/>
      <c r="AX53" s="43" t="str">
        <f t="shared" si="39"/>
        <v/>
      </c>
      <c r="AY53" s="40"/>
      <c r="AZ53" s="43" t="str">
        <f t="shared" si="40"/>
        <v/>
      </c>
    </row>
    <row r="54" spans="1:53" ht="20" customHeight="1" x14ac:dyDescent="0.2">
      <c r="A54" s="67"/>
      <c r="B54" s="96"/>
      <c r="C54" s="25" t="s">
        <v>86</v>
      </c>
      <c r="D54" s="24" t="s">
        <v>349</v>
      </c>
      <c r="E54" s="24" t="s">
        <v>350</v>
      </c>
      <c r="F54" s="25">
        <v>2008</v>
      </c>
      <c r="H54" s="29">
        <v>86</v>
      </c>
      <c r="I54" s="28" t="s">
        <v>189</v>
      </c>
      <c r="J54" s="39"/>
      <c r="K54" s="40"/>
      <c r="L54" s="43" t="str">
        <f t="shared" si="23"/>
        <v/>
      </c>
      <c r="M54" s="40"/>
      <c r="N54" s="43" t="str">
        <f t="shared" si="24"/>
        <v/>
      </c>
      <c r="O54" s="40"/>
      <c r="P54" s="43" t="str">
        <f t="shared" si="25"/>
        <v/>
      </c>
      <c r="Q54" s="40"/>
      <c r="R54" s="43" t="str">
        <f t="shared" si="26"/>
        <v/>
      </c>
      <c r="S54" s="40"/>
      <c r="T54" s="43" t="str">
        <f t="shared" si="27"/>
        <v/>
      </c>
      <c r="U54" s="86"/>
      <c r="V54" s="43" t="str">
        <f t="shared" si="22"/>
        <v/>
      </c>
      <c r="W54" s="40"/>
      <c r="X54" s="43" t="str">
        <f t="shared" si="28"/>
        <v/>
      </c>
      <c r="Y54" s="40"/>
      <c r="Z54" s="43" t="str">
        <f t="shared" si="29"/>
        <v/>
      </c>
      <c r="AA54" s="40"/>
      <c r="AB54" s="43" t="str">
        <f t="shared" si="30"/>
        <v/>
      </c>
      <c r="AC54" s="40"/>
      <c r="AD54" s="43" t="str">
        <f t="shared" si="31"/>
        <v/>
      </c>
      <c r="AE54" s="40"/>
      <c r="AF54" s="43" t="str">
        <f t="shared" si="41"/>
        <v/>
      </c>
      <c r="AG54" s="40"/>
      <c r="AH54" s="43" t="str">
        <f t="shared" si="32"/>
        <v/>
      </c>
      <c r="AI54" s="86"/>
      <c r="AJ54" s="43" t="str">
        <f t="shared" si="33"/>
        <v/>
      </c>
      <c r="AK54" s="40"/>
      <c r="AL54" s="43" t="str">
        <f t="shared" si="34"/>
        <v/>
      </c>
      <c r="AM54" s="40"/>
      <c r="AN54" s="43" t="str">
        <f t="shared" si="35"/>
        <v/>
      </c>
      <c r="AO54" s="40"/>
      <c r="AP54" s="43" t="str">
        <f t="shared" si="36"/>
        <v/>
      </c>
      <c r="AQ54" s="40"/>
      <c r="AR54" s="43" t="str">
        <f t="shared" si="37"/>
        <v/>
      </c>
      <c r="AS54" s="40"/>
      <c r="AT54" s="43" t="str">
        <f t="shared" si="38"/>
        <v/>
      </c>
      <c r="AU54" s="40"/>
      <c r="AV54" s="43" t="str">
        <f t="shared" si="18"/>
        <v/>
      </c>
      <c r="AW54" s="40"/>
      <c r="AX54" s="43" t="str">
        <f t="shared" si="39"/>
        <v/>
      </c>
      <c r="AY54" s="40"/>
      <c r="AZ54" s="43" t="str">
        <f t="shared" si="40"/>
        <v/>
      </c>
      <c r="BA54" s="24" t="s">
        <v>412</v>
      </c>
    </row>
    <row r="55" spans="1:53" ht="20" customHeight="1" x14ac:dyDescent="0.2">
      <c r="A55" s="67"/>
      <c r="B55" s="96"/>
      <c r="C55" s="25" t="s">
        <v>86</v>
      </c>
      <c r="D55" s="24" t="s">
        <v>351</v>
      </c>
      <c r="E55" s="24" t="s">
        <v>352</v>
      </c>
      <c r="F55" s="25">
        <v>2012</v>
      </c>
      <c r="H55" s="29">
        <v>16</v>
      </c>
      <c r="I55" s="28" t="s">
        <v>413</v>
      </c>
      <c r="J55" s="39" t="s">
        <v>233</v>
      </c>
      <c r="K55" s="40"/>
      <c r="L55" s="43" t="str">
        <f t="shared" si="23"/>
        <v/>
      </c>
      <c r="M55" s="40"/>
      <c r="N55" s="43" t="str">
        <f t="shared" si="24"/>
        <v/>
      </c>
      <c r="O55" s="40"/>
      <c r="P55" s="43" t="str">
        <f t="shared" si="25"/>
        <v/>
      </c>
      <c r="Q55" s="40"/>
      <c r="R55" s="43" t="str">
        <f t="shared" si="26"/>
        <v/>
      </c>
      <c r="S55" s="40"/>
      <c r="T55" s="43" t="str">
        <f t="shared" si="27"/>
        <v/>
      </c>
      <c r="U55" s="86"/>
      <c r="V55" s="43" t="str">
        <f t="shared" si="22"/>
        <v/>
      </c>
      <c r="W55" s="40"/>
      <c r="X55" s="43" t="str">
        <f t="shared" si="28"/>
        <v/>
      </c>
      <c r="Y55" s="40"/>
      <c r="Z55" s="43" t="str">
        <f t="shared" si="29"/>
        <v/>
      </c>
      <c r="AA55" s="40"/>
      <c r="AB55" s="43" t="str">
        <f t="shared" si="30"/>
        <v/>
      </c>
      <c r="AC55" s="40"/>
      <c r="AD55" s="43" t="str">
        <f t="shared" si="31"/>
        <v/>
      </c>
      <c r="AE55" s="40"/>
      <c r="AF55" s="43" t="str">
        <f t="shared" si="41"/>
        <v/>
      </c>
      <c r="AG55" s="40"/>
      <c r="AH55" s="43" t="str">
        <f t="shared" si="32"/>
        <v/>
      </c>
      <c r="AI55" s="86"/>
      <c r="AJ55" s="43" t="str">
        <f t="shared" si="33"/>
        <v/>
      </c>
      <c r="AK55" s="40"/>
      <c r="AL55" s="43" t="str">
        <f t="shared" si="34"/>
        <v/>
      </c>
      <c r="AM55" s="40"/>
      <c r="AN55" s="43" t="str">
        <f t="shared" si="35"/>
        <v/>
      </c>
      <c r="AO55" s="40"/>
      <c r="AP55" s="43" t="str">
        <f t="shared" si="36"/>
        <v/>
      </c>
      <c r="AQ55" s="40"/>
      <c r="AR55" s="43" t="str">
        <f t="shared" si="37"/>
        <v/>
      </c>
      <c r="AS55" s="40"/>
      <c r="AT55" s="43" t="str">
        <f t="shared" si="38"/>
        <v/>
      </c>
      <c r="AU55" s="40"/>
      <c r="AV55" s="43" t="str">
        <f t="shared" si="18"/>
        <v/>
      </c>
      <c r="AW55" s="40"/>
      <c r="AX55" s="43" t="str">
        <f t="shared" si="39"/>
        <v/>
      </c>
      <c r="AY55" s="40"/>
      <c r="AZ55" s="43" t="str">
        <f t="shared" si="40"/>
        <v/>
      </c>
    </row>
    <row r="56" spans="1:53" ht="20" customHeight="1" x14ac:dyDescent="0.2">
      <c r="A56" s="68"/>
      <c r="B56" s="25"/>
      <c r="C56" s="25" t="s">
        <v>86</v>
      </c>
      <c r="D56" s="24" t="s">
        <v>128</v>
      </c>
      <c r="E56" s="24" t="s">
        <v>129</v>
      </c>
      <c r="F56" s="25">
        <v>2000</v>
      </c>
      <c r="G56" s="25">
        <v>252</v>
      </c>
      <c r="H56" s="29">
        <v>40</v>
      </c>
      <c r="I56" s="28" t="s">
        <v>246</v>
      </c>
      <c r="J56" s="39" t="s">
        <v>176</v>
      </c>
      <c r="K56" s="40"/>
      <c r="L56" s="43" t="str">
        <f t="shared" si="23"/>
        <v/>
      </c>
      <c r="M56" s="40"/>
      <c r="N56" s="43" t="str">
        <f t="shared" si="24"/>
        <v/>
      </c>
      <c r="O56" s="40"/>
      <c r="P56" s="43" t="str">
        <f t="shared" si="25"/>
        <v/>
      </c>
      <c r="Q56" s="40"/>
      <c r="R56" s="43" t="str">
        <f t="shared" si="26"/>
        <v/>
      </c>
      <c r="S56" s="40"/>
      <c r="T56" s="43" t="str">
        <f t="shared" si="27"/>
        <v/>
      </c>
      <c r="U56" s="86"/>
      <c r="V56" s="43" t="str">
        <f t="shared" si="22"/>
        <v/>
      </c>
      <c r="W56" s="40"/>
      <c r="X56" s="43" t="str">
        <f t="shared" si="28"/>
        <v/>
      </c>
      <c r="Y56" s="40"/>
      <c r="Z56" s="43" t="str">
        <f t="shared" si="29"/>
        <v/>
      </c>
      <c r="AA56" s="40"/>
      <c r="AB56" s="43" t="str">
        <f t="shared" si="30"/>
        <v/>
      </c>
      <c r="AC56" s="40"/>
      <c r="AD56" s="43" t="str">
        <f t="shared" si="31"/>
        <v/>
      </c>
      <c r="AE56" s="40"/>
      <c r="AF56" s="43" t="str">
        <f t="shared" si="41"/>
        <v/>
      </c>
      <c r="AG56" s="40"/>
      <c r="AH56" s="43" t="str">
        <f t="shared" si="32"/>
        <v/>
      </c>
      <c r="AI56" s="86"/>
      <c r="AJ56" s="43" t="str">
        <f t="shared" si="33"/>
        <v/>
      </c>
      <c r="AK56" s="40"/>
      <c r="AL56" s="43" t="str">
        <f t="shared" si="34"/>
        <v/>
      </c>
      <c r="AM56" s="40"/>
      <c r="AN56" s="43" t="str">
        <f t="shared" si="35"/>
        <v/>
      </c>
      <c r="AO56" s="40"/>
      <c r="AP56" s="43" t="str">
        <f t="shared" si="36"/>
        <v/>
      </c>
      <c r="AQ56" s="40"/>
      <c r="AR56" s="43" t="str">
        <f t="shared" si="37"/>
        <v/>
      </c>
      <c r="AS56" s="40"/>
      <c r="AT56" s="43" t="str">
        <f t="shared" si="38"/>
        <v/>
      </c>
      <c r="AU56" s="40"/>
      <c r="AV56" s="43" t="str">
        <f t="shared" si="18"/>
        <v/>
      </c>
      <c r="AW56" s="40"/>
      <c r="AX56" s="43" t="str">
        <f t="shared" si="39"/>
        <v/>
      </c>
      <c r="AY56" s="40"/>
      <c r="AZ56" s="43" t="str">
        <f t="shared" si="40"/>
        <v/>
      </c>
      <c r="BA56" s="24" t="s">
        <v>247</v>
      </c>
    </row>
    <row r="57" spans="1:53" ht="20" customHeight="1" x14ac:dyDescent="0.2">
      <c r="A57" s="68"/>
      <c r="B57" s="95"/>
      <c r="C57" s="25" t="s">
        <v>86</v>
      </c>
      <c r="D57" s="24" t="s">
        <v>134</v>
      </c>
      <c r="E57" s="24" t="s">
        <v>135</v>
      </c>
      <c r="F57" s="25">
        <v>2001</v>
      </c>
      <c r="G57" s="25">
        <v>192</v>
      </c>
      <c r="H57" s="29">
        <v>40</v>
      </c>
      <c r="I57" s="28" t="s">
        <v>189</v>
      </c>
      <c r="J57" s="39" t="s">
        <v>176</v>
      </c>
      <c r="K57" s="40"/>
      <c r="L57" s="43" t="str">
        <f t="shared" si="23"/>
        <v/>
      </c>
      <c r="M57" s="40"/>
      <c r="N57" s="43" t="str">
        <f t="shared" si="24"/>
        <v/>
      </c>
      <c r="O57" s="40"/>
      <c r="P57" s="43" t="str">
        <f t="shared" si="25"/>
        <v/>
      </c>
      <c r="Q57" s="40"/>
      <c r="R57" s="43" t="str">
        <f t="shared" si="26"/>
        <v/>
      </c>
      <c r="S57" s="40"/>
      <c r="T57" s="43" t="str">
        <f t="shared" si="27"/>
        <v/>
      </c>
      <c r="U57" s="86"/>
      <c r="V57" s="43" t="str">
        <f t="shared" si="22"/>
        <v/>
      </c>
      <c r="W57" s="40"/>
      <c r="X57" s="43" t="str">
        <f t="shared" si="28"/>
        <v/>
      </c>
      <c r="Y57" s="40"/>
      <c r="Z57" s="43" t="str">
        <f t="shared" si="29"/>
        <v/>
      </c>
      <c r="AA57" s="40"/>
      <c r="AB57" s="43" t="str">
        <f t="shared" si="30"/>
        <v/>
      </c>
      <c r="AC57" s="40"/>
      <c r="AD57" s="43" t="str">
        <f t="shared" si="31"/>
        <v/>
      </c>
      <c r="AE57" s="40">
        <v>2</v>
      </c>
      <c r="AF57" s="43">
        <f t="shared" si="41"/>
        <v>5</v>
      </c>
      <c r="AG57" s="40"/>
      <c r="AH57" s="43" t="str">
        <f t="shared" si="32"/>
        <v/>
      </c>
      <c r="AI57" s="86"/>
      <c r="AJ57" s="43" t="str">
        <f t="shared" si="33"/>
        <v/>
      </c>
      <c r="AK57" s="40"/>
      <c r="AL57" s="43" t="str">
        <f t="shared" si="34"/>
        <v/>
      </c>
      <c r="AM57" s="40"/>
      <c r="AN57" s="43" t="str">
        <f t="shared" si="35"/>
        <v/>
      </c>
      <c r="AO57" s="45">
        <v>1</v>
      </c>
      <c r="AP57" s="46">
        <f t="shared" si="36"/>
        <v>2.5</v>
      </c>
      <c r="AQ57" s="40"/>
      <c r="AR57" s="43" t="str">
        <f t="shared" si="37"/>
        <v/>
      </c>
      <c r="AS57" s="40"/>
      <c r="AT57" s="43" t="str">
        <f t="shared" si="38"/>
        <v/>
      </c>
      <c r="AU57" s="40"/>
      <c r="AV57" s="43" t="str">
        <f t="shared" si="18"/>
        <v/>
      </c>
      <c r="AW57" s="40"/>
      <c r="AX57" s="43" t="str">
        <f t="shared" si="39"/>
        <v/>
      </c>
      <c r="AY57" s="40"/>
      <c r="AZ57" s="43" t="str">
        <f t="shared" si="40"/>
        <v/>
      </c>
      <c r="BA57" s="24" t="s">
        <v>436</v>
      </c>
    </row>
    <row r="58" spans="1:53" ht="20" customHeight="1" x14ac:dyDescent="0.2">
      <c r="A58" s="68"/>
      <c r="B58" s="25"/>
      <c r="C58" s="25" t="s">
        <v>86</v>
      </c>
      <c r="D58" s="24" t="s">
        <v>136</v>
      </c>
      <c r="E58" s="24" t="s">
        <v>137</v>
      </c>
      <c r="F58" s="25">
        <v>2007</v>
      </c>
      <c r="G58" s="25">
        <v>240</v>
      </c>
      <c r="H58" s="29">
        <v>105</v>
      </c>
      <c r="I58" s="28" t="s">
        <v>253</v>
      </c>
      <c r="J58" s="39" t="s">
        <v>176</v>
      </c>
      <c r="K58" s="40"/>
      <c r="L58" s="43" t="str">
        <f t="shared" si="23"/>
        <v/>
      </c>
      <c r="M58" s="40"/>
      <c r="N58" s="43" t="str">
        <f t="shared" si="24"/>
        <v/>
      </c>
      <c r="O58" s="40"/>
      <c r="P58" s="43" t="str">
        <f t="shared" si="25"/>
        <v/>
      </c>
      <c r="Q58" s="40"/>
      <c r="R58" s="43" t="str">
        <f t="shared" si="26"/>
        <v/>
      </c>
      <c r="S58" s="40"/>
      <c r="T58" s="43" t="str">
        <f t="shared" si="27"/>
        <v/>
      </c>
      <c r="U58" s="86"/>
      <c r="V58" s="43" t="str">
        <f t="shared" si="22"/>
        <v/>
      </c>
      <c r="W58" s="40"/>
      <c r="X58" s="43" t="str">
        <f t="shared" si="28"/>
        <v/>
      </c>
      <c r="Y58" s="40"/>
      <c r="Z58" s="43" t="str">
        <f t="shared" si="29"/>
        <v/>
      </c>
      <c r="AA58" s="40"/>
      <c r="AB58" s="43" t="str">
        <f t="shared" si="30"/>
        <v/>
      </c>
      <c r="AC58" s="40"/>
      <c r="AD58" s="43" t="str">
        <f t="shared" si="31"/>
        <v/>
      </c>
      <c r="AE58" s="40"/>
      <c r="AF58" s="43" t="str">
        <f t="shared" si="41"/>
        <v/>
      </c>
      <c r="AG58" s="40"/>
      <c r="AH58" s="43" t="str">
        <f t="shared" si="32"/>
        <v/>
      </c>
      <c r="AI58" s="86"/>
      <c r="AJ58" s="43" t="str">
        <f t="shared" si="33"/>
        <v/>
      </c>
      <c r="AK58" s="40"/>
      <c r="AL58" s="43" t="str">
        <f t="shared" si="34"/>
        <v/>
      </c>
      <c r="AM58" s="40"/>
      <c r="AN58" s="43" t="str">
        <f t="shared" si="35"/>
        <v/>
      </c>
      <c r="AO58" s="40"/>
      <c r="AP58" s="43" t="str">
        <f t="shared" si="36"/>
        <v/>
      </c>
      <c r="AQ58" s="40"/>
      <c r="AR58" s="43" t="str">
        <f t="shared" si="37"/>
        <v/>
      </c>
      <c r="AS58" s="40"/>
      <c r="AT58" s="43" t="str">
        <f t="shared" si="38"/>
        <v/>
      </c>
      <c r="AU58" s="40"/>
      <c r="AV58" s="43" t="str">
        <f t="shared" si="18"/>
        <v/>
      </c>
      <c r="AW58" s="40"/>
      <c r="AX58" s="43" t="str">
        <f t="shared" si="39"/>
        <v/>
      </c>
      <c r="AY58" s="40"/>
      <c r="AZ58" s="43" t="str">
        <f t="shared" si="40"/>
        <v/>
      </c>
      <c r="BA58" s="24" t="s">
        <v>254</v>
      </c>
    </row>
    <row r="59" spans="1:53" ht="20" customHeight="1" x14ac:dyDescent="0.2">
      <c r="A59" s="67"/>
      <c r="B59" s="95"/>
      <c r="C59" s="25" t="s">
        <v>86</v>
      </c>
      <c r="D59" s="24" t="s">
        <v>353</v>
      </c>
      <c r="E59" s="24" t="s">
        <v>354</v>
      </c>
      <c r="F59" s="25">
        <v>2010</v>
      </c>
      <c r="H59" s="29">
        <v>53</v>
      </c>
      <c r="I59" s="91" t="s">
        <v>415</v>
      </c>
      <c r="J59" s="39" t="s">
        <v>414</v>
      </c>
      <c r="K59" s="40"/>
      <c r="L59" s="43" t="str">
        <f t="shared" si="23"/>
        <v/>
      </c>
      <c r="M59" s="40"/>
      <c r="N59" s="43" t="str">
        <f t="shared" si="24"/>
        <v/>
      </c>
      <c r="O59" s="40"/>
      <c r="P59" s="43" t="str">
        <f t="shared" si="25"/>
        <v/>
      </c>
      <c r="Q59" s="40">
        <v>15</v>
      </c>
      <c r="R59" s="43">
        <f t="shared" si="26"/>
        <v>28.30188679245283</v>
      </c>
      <c r="S59" s="40"/>
      <c r="T59" s="43" t="str">
        <f t="shared" si="27"/>
        <v/>
      </c>
      <c r="U59" s="86">
        <v>15</v>
      </c>
      <c r="V59" s="43">
        <f t="shared" si="22"/>
        <v>28.30188679245283</v>
      </c>
      <c r="W59" s="40">
        <v>9</v>
      </c>
      <c r="X59" s="43">
        <f t="shared" si="28"/>
        <v>16.981132075471699</v>
      </c>
      <c r="Y59" s="40"/>
      <c r="Z59" s="43" t="str">
        <f t="shared" si="29"/>
        <v/>
      </c>
      <c r="AA59" s="40"/>
      <c r="AB59" s="43" t="str">
        <f t="shared" si="30"/>
        <v/>
      </c>
      <c r="AC59" s="40"/>
      <c r="AD59" s="43" t="str">
        <f t="shared" si="31"/>
        <v/>
      </c>
      <c r="AE59" s="40"/>
      <c r="AF59" s="43"/>
      <c r="AG59" s="40">
        <v>3</v>
      </c>
      <c r="AH59" s="43">
        <f t="shared" si="32"/>
        <v>5.6603773584905666</v>
      </c>
      <c r="AI59" s="86"/>
      <c r="AJ59" s="43" t="str">
        <f t="shared" si="33"/>
        <v/>
      </c>
      <c r="AK59" s="40">
        <v>2</v>
      </c>
      <c r="AL59" s="43">
        <f t="shared" si="34"/>
        <v>3.7735849056603774</v>
      </c>
      <c r="AM59" s="40"/>
      <c r="AN59" s="43" t="str">
        <f t="shared" si="35"/>
        <v/>
      </c>
      <c r="AO59" s="40"/>
      <c r="AP59" s="43" t="str">
        <f t="shared" si="36"/>
        <v/>
      </c>
      <c r="AQ59" s="40"/>
      <c r="AR59" s="43" t="str">
        <f t="shared" si="37"/>
        <v/>
      </c>
      <c r="AS59" s="40"/>
      <c r="AT59" s="43" t="str">
        <f t="shared" si="38"/>
        <v/>
      </c>
      <c r="AU59" s="40"/>
      <c r="AV59" s="43" t="str">
        <f t="shared" si="18"/>
        <v/>
      </c>
      <c r="AW59" s="40"/>
      <c r="AX59" s="43" t="str">
        <f t="shared" si="39"/>
        <v/>
      </c>
      <c r="AY59" s="40"/>
      <c r="AZ59" s="43" t="str">
        <f t="shared" si="40"/>
        <v/>
      </c>
      <c r="BA59" s="24" t="s">
        <v>416</v>
      </c>
    </row>
    <row r="60" spans="1:53" ht="20" customHeight="1" x14ac:dyDescent="0.2">
      <c r="A60" s="67"/>
      <c r="B60" s="95"/>
      <c r="C60" s="25" t="s">
        <v>86</v>
      </c>
      <c r="D60" s="24" t="s">
        <v>355</v>
      </c>
      <c r="E60" s="24" t="s">
        <v>356</v>
      </c>
      <c r="F60" s="25">
        <v>2014</v>
      </c>
      <c r="H60" s="29">
        <v>39</v>
      </c>
      <c r="I60" s="28" t="s">
        <v>235</v>
      </c>
      <c r="J60" s="39" t="s">
        <v>417</v>
      </c>
      <c r="K60" s="40"/>
      <c r="L60" s="43" t="str">
        <f t="shared" si="23"/>
        <v/>
      </c>
      <c r="M60" s="40"/>
      <c r="N60" s="43"/>
      <c r="O60" s="40"/>
      <c r="P60" s="43" t="str">
        <f t="shared" si="25"/>
        <v/>
      </c>
      <c r="Q60" s="40"/>
      <c r="R60" s="43" t="str">
        <f t="shared" si="26"/>
        <v/>
      </c>
      <c r="S60" s="40"/>
      <c r="T60" s="43" t="str">
        <f t="shared" si="27"/>
        <v/>
      </c>
      <c r="U60" s="86"/>
      <c r="V60" s="43" t="str">
        <f t="shared" si="22"/>
        <v/>
      </c>
      <c r="W60" s="40"/>
      <c r="X60" s="43" t="str">
        <f t="shared" si="28"/>
        <v/>
      </c>
      <c r="Y60" s="40"/>
      <c r="Z60" s="43" t="str">
        <f t="shared" si="29"/>
        <v/>
      </c>
      <c r="AA60" s="40"/>
      <c r="AB60" s="43" t="str">
        <f t="shared" si="30"/>
        <v/>
      </c>
      <c r="AC60" s="40"/>
      <c r="AD60" s="43"/>
      <c r="AE60" s="40"/>
      <c r="AF60" s="43" t="str">
        <f t="shared" si="41"/>
        <v/>
      </c>
      <c r="AG60" s="40"/>
      <c r="AH60" s="43" t="str">
        <f t="shared" si="32"/>
        <v/>
      </c>
      <c r="AI60" s="86">
        <v>8</v>
      </c>
      <c r="AJ60" s="43">
        <f t="shared" si="33"/>
        <v>20.512820512820511</v>
      </c>
      <c r="AK60" s="40"/>
      <c r="AL60" s="43" t="str">
        <f t="shared" si="34"/>
        <v/>
      </c>
      <c r="AM60" s="40"/>
      <c r="AN60" s="43" t="str">
        <f t="shared" si="35"/>
        <v/>
      </c>
      <c r="AO60" s="40"/>
      <c r="AP60" s="43" t="str">
        <f t="shared" si="36"/>
        <v/>
      </c>
      <c r="AQ60" s="40"/>
      <c r="AR60" s="43" t="str">
        <f t="shared" si="37"/>
        <v/>
      </c>
      <c r="AS60" s="40"/>
      <c r="AT60" s="43" t="str">
        <f t="shared" si="38"/>
        <v/>
      </c>
      <c r="AU60" s="40"/>
      <c r="AV60" s="43" t="str">
        <f t="shared" si="18"/>
        <v/>
      </c>
      <c r="AW60" s="40"/>
      <c r="AX60" s="43" t="str">
        <f t="shared" si="39"/>
        <v/>
      </c>
      <c r="AY60" s="40"/>
      <c r="AZ60" s="43" t="str">
        <f t="shared" si="40"/>
        <v/>
      </c>
      <c r="BA60" s="24" t="s">
        <v>439</v>
      </c>
    </row>
    <row r="61" spans="1:53" ht="20" customHeight="1" x14ac:dyDescent="0.2">
      <c r="A61" s="67"/>
      <c r="B61" s="95"/>
      <c r="C61" s="25" t="s">
        <v>86</v>
      </c>
      <c r="D61" s="24" t="s">
        <v>357</v>
      </c>
      <c r="E61" s="24" t="s">
        <v>358</v>
      </c>
      <c r="F61" s="25">
        <v>2010</v>
      </c>
      <c r="H61" s="29">
        <v>789</v>
      </c>
      <c r="I61" s="28" t="s">
        <v>235</v>
      </c>
      <c r="J61" s="39" t="s">
        <v>419</v>
      </c>
      <c r="K61" s="40"/>
      <c r="L61" s="43" t="str">
        <f t="shared" si="23"/>
        <v/>
      </c>
      <c r="M61" s="40"/>
      <c r="N61" s="43" t="str">
        <f>IF((ISERROR((M61/$H61)*100)), "", IF(AND(NOT(ISERROR((M61/$H61)*100)),((M61/$H61)*100) &lt;&gt; 0), (M61/$H61)*100, ""))</f>
        <v/>
      </c>
      <c r="O61" s="40"/>
      <c r="P61" s="43" t="str">
        <f t="shared" si="25"/>
        <v/>
      </c>
      <c r="Q61" s="40"/>
      <c r="R61" s="43" t="str">
        <f t="shared" si="26"/>
        <v/>
      </c>
      <c r="S61" s="40"/>
      <c r="T61" s="43" t="str">
        <f t="shared" si="27"/>
        <v/>
      </c>
      <c r="U61" s="86"/>
      <c r="V61" s="43" t="str">
        <f t="shared" si="22"/>
        <v/>
      </c>
      <c r="W61" s="40"/>
      <c r="X61" s="43" t="str">
        <f t="shared" si="28"/>
        <v/>
      </c>
      <c r="Y61" s="40"/>
      <c r="Z61" s="43" t="str">
        <f t="shared" si="29"/>
        <v/>
      </c>
      <c r="AA61" s="40"/>
      <c r="AB61" s="43" t="str">
        <f t="shared" si="30"/>
        <v/>
      </c>
      <c r="AC61" s="40"/>
      <c r="AD61" s="43" t="str">
        <f>IF((ISERROR((AC61/$H61)*100)), "", IF(AND(NOT(ISERROR((AC61/$H61)*100)),((AC61/$H61)*100) &lt;&gt; 0), (AC61/$H61)*100, ""))</f>
        <v/>
      </c>
      <c r="AE61" s="40"/>
      <c r="AF61" s="43" t="str">
        <f t="shared" si="41"/>
        <v/>
      </c>
      <c r="AG61" s="40"/>
      <c r="AH61" s="43" t="str">
        <f t="shared" si="32"/>
        <v/>
      </c>
      <c r="AI61" s="86">
        <v>43</v>
      </c>
      <c r="AJ61" s="43">
        <f t="shared" si="33"/>
        <v>5.4499366286438535</v>
      </c>
      <c r="AK61" s="40"/>
      <c r="AL61" s="43" t="str">
        <f t="shared" si="34"/>
        <v/>
      </c>
      <c r="AM61" s="40"/>
      <c r="AN61" s="43" t="str">
        <f t="shared" si="35"/>
        <v/>
      </c>
      <c r="AO61" s="40"/>
      <c r="AP61" s="43" t="str">
        <f t="shared" si="36"/>
        <v/>
      </c>
      <c r="AQ61" s="40"/>
      <c r="AR61" s="43" t="str">
        <f t="shared" si="37"/>
        <v/>
      </c>
      <c r="AS61" s="40"/>
      <c r="AT61" s="43" t="str">
        <f t="shared" si="38"/>
        <v/>
      </c>
      <c r="AU61" s="40"/>
      <c r="AV61" s="43" t="str">
        <f t="shared" si="18"/>
        <v/>
      </c>
      <c r="AW61" s="40"/>
      <c r="AX61" s="43" t="str">
        <f t="shared" si="39"/>
        <v/>
      </c>
      <c r="AY61" s="40"/>
      <c r="AZ61" s="43" t="str">
        <f t="shared" si="40"/>
        <v/>
      </c>
      <c r="BA61" s="24" t="s">
        <v>418</v>
      </c>
    </row>
    <row r="62" spans="1:53" ht="20" customHeight="1" x14ac:dyDescent="0.2">
      <c r="A62" s="68"/>
      <c r="B62" s="25"/>
      <c r="C62" s="25" t="s">
        <v>86</v>
      </c>
      <c r="D62" s="24" t="s">
        <v>144</v>
      </c>
      <c r="E62" s="24" t="s">
        <v>145</v>
      </c>
      <c r="F62" s="25">
        <v>2008</v>
      </c>
      <c r="G62" s="25">
        <v>156</v>
      </c>
      <c r="H62" s="29">
        <v>51</v>
      </c>
      <c r="I62" s="28" t="s">
        <v>189</v>
      </c>
      <c r="J62" s="39"/>
      <c r="K62" s="40"/>
      <c r="L62" s="43" t="str">
        <f t="shared" si="23"/>
        <v/>
      </c>
      <c r="M62" s="40"/>
      <c r="N62" s="43" t="str">
        <f>IF((ISERROR((M62/$H62)*100)), "", IF(AND(NOT(ISERROR((M62/$H62)*100)),((M62/$H62)*100) &lt;&gt; 0), (M62/$H62)*100, ""))</f>
        <v/>
      </c>
      <c r="O62" s="40"/>
      <c r="P62" s="43" t="str">
        <f t="shared" si="25"/>
        <v/>
      </c>
      <c r="Q62" s="40"/>
      <c r="R62" s="43" t="str">
        <f t="shared" si="26"/>
        <v/>
      </c>
      <c r="S62" s="40"/>
      <c r="T62" s="43" t="str">
        <f t="shared" si="27"/>
        <v/>
      </c>
      <c r="U62" s="86"/>
      <c r="V62" s="43" t="str">
        <f t="shared" si="22"/>
        <v/>
      </c>
      <c r="W62" s="40"/>
      <c r="X62" s="43" t="str">
        <f t="shared" si="28"/>
        <v/>
      </c>
      <c r="Y62" s="40"/>
      <c r="Z62" s="43" t="str">
        <f t="shared" si="29"/>
        <v/>
      </c>
      <c r="AA62" s="40"/>
      <c r="AB62" s="43" t="str">
        <f t="shared" si="30"/>
        <v/>
      </c>
      <c r="AC62" s="40"/>
      <c r="AD62" s="43" t="str">
        <f>IF((ISERROR((AC62/$H62)*100)), "", IF(AND(NOT(ISERROR((AC62/$H62)*100)),((AC62/$H62)*100) &lt;&gt; 0), (AC62/$H62)*100, ""))</f>
        <v/>
      </c>
      <c r="AE62" s="40"/>
      <c r="AF62" s="43" t="str">
        <f t="shared" si="41"/>
        <v/>
      </c>
      <c r="AG62" s="40"/>
      <c r="AH62" s="43" t="str">
        <f t="shared" si="32"/>
        <v/>
      </c>
      <c r="AI62" s="86"/>
      <c r="AJ62" s="43" t="str">
        <f t="shared" si="33"/>
        <v/>
      </c>
      <c r="AK62" s="40"/>
      <c r="AL62" s="43" t="str">
        <f t="shared" si="34"/>
        <v/>
      </c>
      <c r="AM62" s="40"/>
      <c r="AN62" s="43" t="str">
        <f t="shared" si="35"/>
        <v/>
      </c>
      <c r="AO62" s="40"/>
      <c r="AP62" s="43" t="str">
        <f t="shared" si="36"/>
        <v/>
      </c>
      <c r="AQ62" s="40"/>
      <c r="AR62" s="43" t="str">
        <f t="shared" si="37"/>
        <v/>
      </c>
      <c r="AS62" s="40"/>
      <c r="AT62" s="43" t="str">
        <f t="shared" si="38"/>
        <v/>
      </c>
      <c r="AU62" s="40"/>
      <c r="AV62" s="43" t="str">
        <f t="shared" si="18"/>
        <v/>
      </c>
      <c r="AW62" s="40"/>
      <c r="AX62" s="43" t="str">
        <f t="shared" si="39"/>
        <v/>
      </c>
      <c r="AY62" s="40"/>
      <c r="AZ62" s="43" t="str">
        <f t="shared" si="40"/>
        <v/>
      </c>
      <c r="BA62" s="24" t="s">
        <v>262</v>
      </c>
    </row>
    <row r="63" spans="1:53" ht="20" customHeight="1" x14ac:dyDescent="0.2">
      <c r="A63" s="67"/>
      <c r="B63" s="96"/>
      <c r="C63" s="25" t="s">
        <v>86</v>
      </c>
      <c r="D63" s="24" t="s">
        <v>361</v>
      </c>
      <c r="E63" s="24" t="s">
        <v>362</v>
      </c>
      <c r="F63" s="25">
        <v>2009</v>
      </c>
      <c r="H63" s="29">
        <v>12</v>
      </c>
      <c r="I63" s="28" t="s">
        <v>238</v>
      </c>
      <c r="J63" s="39" t="s">
        <v>212</v>
      </c>
      <c r="K63" s="82"/>
      <c r="L63" s="83" t="str">
        <f t="shared" si="23"/>
        <v/>
      </c>
      <c r="M63" s="82"/>
      <c r="N63" s="83" t="str">
        <f>IF((ISERROR((M63/$H63)*100)), "", IF(AND(NOT(ISERROR((M63/$H63)*100)),((M63/$H63)*100) &lt;&gt; 0), (M63/$H63)*100, ""))</f>
        <v/>
      </c>
      <c r="O63" s="82"/>
      <c r="P63" s="83" t="str">
        <f t="shared" si="25"/>
        <v/>
      </c>
      <c r="Q63" s="82"/>
      <c r="R63" s="83" t="str">
        <f t="shared" si="26"/>
        <v/>
      </c>
      <c r="S63" s="82"/>
      <c r="T63" s="83" t="str">
        <f t="shared" si="27"/>
        <v/>
      </c>
      <c r="U63" s="84"/>
      <c r="V63" s="83" t="str">
        <f t="shared" si="22"/>
        <v/>
      </c>
      <c r="W63" s="82"/>
      <c r="X63" s="83" t="str">
        <f t="shared" si="28"/>
        <v/>
      </c>
      <c r="Y63" s="82"/>
      <c r="Z63" s="83" t="str">
        <f t="shared" si="29"/>
        <v/>
      </c>
      <c r="AA63" s="82"/>
      <c r="AB63" s="83" t="str">
        <f t="shared" si="30"/>
        <v/>
      </c>
      <c r="AC63" s="82"/>
      <c r="AD63" s="83" t="str">
        <f>IF((ISERROR((AC63/$H63)*100)), "", IF(AND(NOT(ISERROR((AC63/$H63)*100)),((AC63/$H63)*100) &lt;&gt; 0), (AC63/$H63)*100, ""))</f>
        <v/>
      </c>
      <c r="AE63" s="82"/>
      <c r="AF63" s="83" t="str">
        <f t="shared" si="41"/>
        <v/>
      </c>
      <c r="AG63" s="82"/>
      <c r="AH63" s="83" t="str">
        <f t="shared" si="32"/>
        <v/>
      </c>
      <c r="AI63" s="84"/>
      <c r="AJ63" s="83" t="str">
        <f t="shared" si="33"/>
        <v/>
      </c>
      <c r="AK63" s="82"/>
      <c r="AL63" s="83" t="str">
        <f t="shared" si="34"/>
        <v/>
      </c>
      <c r="AM63" s="82"/>
      <c r="AN63" s="83" t="str">
        <f t="shared" si="35"/>
        <v/>
      </c>
      <c r="AO63" s="82"/>
      <c r="AP63" s="83" t="str">
        <f t="shared" si="36"/>
        <v/>
      </c>
      <c r="AQ63" s="82"/>
      <c r="AR63" s="83" t="str">
        <f t="shared" si="37"/>
        <v/>
      </c>
      <c r="AS63" s="82"/>
      <c r="AT63" s="83" t="str">
        <f t="shared" si="38"/>
        <v/>
      </c>
      <c r="AU63" s="82"/>
      <c r="AV63" s="83" t="str">
        <f t="shared" si="18"/>
        <v/>
      </c>
      <c r="AW63" s="82"/>
      <c r="AX63" s="83" t="str">
        <f t="shared" si="39"/>
        <v/>
      </c>
      <c r="AY63" s="82"/>
      <c r="AZ63" s="83" t="str">
        <f t="shared" si="40"/>
        <v/>
      </c>
      <c r="BA63" s="24" t="s">
        <v>195</v>
      </c>
    </row>
    <row r="64" spans="1:53" ht="20" customHeight="1" thickBot="1" x14ac:dyDescent="0.25">
      <c r="A64" s="68"/>
      <c r="B64" s="25"/>
      <c r="C64" s="25" t="s">
        <v>86</v>
      </c>
      <c r="D64" s="24" t="s">
        <v>150</v>
      </c>
      <c r="E64" s="24" t="s">
        <v>151</v>
      </c>
      <c r="F64" s="25">
        <v>2011</v>
      </c>
      <c r="G64" s="25">
        <v>112</v>
      </c>
      <c r="H64" s="29">
        <v>22</v>
      </c>
      <c r="I64" s="28" t="s">
        <v>246</v>
      </c>
      <c r="J64" s="39" t="s">
        <v>213</v>
      </c>
      <c r="K64" s="41"/>
      <c r="L64" s="44" t="str">
        <f t="shared" si="23"/>
        <v/>
      </c>
      <c r="M64" s="41"/>
      <c r="N64" s="44" t="str">
        <f>IF((ISERROR((M64/$H64)*100)), "", IF(AND(NOT(ISERROR((M64/$H64)*100)),((M64/$H64)*100) &lt;&gt; 0), (M64/$H64)*100, ""))</f>
        <v/>
      </c>
      <c r="O64" s="41"/>
      <c r="P64" s="44" t="str">
        <f t="shared" si="25"/>
        <v/>
      </c>
      <c r="Q64" s="41"/>
      <c r="R64" s="44" t="str">
        <f t="shared" si="26"/>
        <v/>
      </c>
      <c r="S64" s="41"/>
      <c r="T64" s="44" t="str">
        <f t="shared" si="27"/>
        <v/>
      </c>
      <c r="U64" s="42"/>
      <c r="V64" s="44" t="str">
        <f t="shared" si="22"/>
        <v/>
      </c>
      <c r="W64" s="41"/>
      <c r="X64" s="44" t="str">
        <f t="shared" si="28"/>
        <v/>
      </c>
      <c r="Y64" s="41"/>
      <c r="Z64" s="44" t="str">
        <f t="shared" si="29"/>
        <v/>
      </c>
      <c r="AA64" s="41"/>
      <c r="AB64" s="44" t="str">
        <f t="shared" si="30"/>
        <v/>
      </c>
      <c r="AC64" s="41"/>
      <c r="AD64" s="44" t="str">
        <f>IF((ISERROR((AC64/$H64)*100)), "", IF(AND(NOT(ISERROR((AC64/$H64)*100)),((AC64/$H64)*100) &lt;&gt; 0), (AC64/$H64)*100, ""))</f>
        <v/>
      </c>
      <c r="AE64" s="41"/>
      <c r="AF64" s="44" t="str">
        <f t="shared" si="41"/>
        <v/>
      </c>
      <c r="AG64" s="41"/>
      <c r="AH64" s="44" t="str">
        <f t="shared" si="32"/>
        <v/>
      </c>
      <c r="AI64" s="42"/>
      <c r="AJ64" s="44" t="str">
        <f t="shared" si="33"/>
        <v/>
      </c>
      <c r="AK64" s="41"/>
      <c r="AL64" s="44" t="str">
        <f t="shared" si="34"/>
        <v/>
      </c>
      <c r="AM64" s="41"/>
      <c r="AN64" s="44" t="str">
        <f t="shared" si="35"/>
        <v/>
      </c>
      <c r="AO64" s="41"/>
      <c r="AP64" s="44" t="str">
        <f t="shared" si="36"/>
        <v/>
      </c>
      <c r="AQ64" s="41"/>
      <c r="AR64" s="44" t="str">
        <f t="shared" si="37"/>
        <v/>
      </c>
      <c r="AS64" s="41"/>
      <c r="AT64" s="44" t="str">
        <f t="shared" si="38"/>
        <v/>
      </c>
      <c r="AU64" s="41"/>
      <c r="AV64" s="44" t="str">
        <f t="shared" si="18"/>
        <v/>
      </c>
      <c r="AW64" s="41"/>
      <c r="AX64" s="44" t="str">
        <f t="shared" si="39"/>
        <v/>
      </c>
      <c r="AY64" s="41"/>
      <c r="AZ64" s="44" t="str">
        <f t="shared" si="40"/>
        <v/>
      </c>
      <c r="BA64" s="24" t="s">
        <v>264</v>
      </c>
    </row>
    <row r="66" spans="3:52" ht="17" thickBot="1" x14ac:dyDescent="0.25"/>
    <row r="67" spans="3:52" s="23" customFormat="1" x14ac:dyDescent="0.2">
      <c r="C67" s="48"/>
      <c r="F67" s="25"/>
      <c r="G67" s="50" t="s">
        <v>280</v>
      </c>
      <c r="H67" s="51">
        <f>SUM(H11:H64)</f>
        <v>2665</v>
      </c>
      <c r="I67" s="52" t="s">
        <v>278</v>
      </c>
      <c r="J67" s="53" t="s">
        <v>277</v>
      </c>
      <c r="K67" s="58">
        <f>IF((SUM(K11:K64)&lt;&gt;0), SUMIF($H11:$H64, "&gt;0", K11:K64), "")</f>
        <v>5</v>
      </c>
      <c r="L67" s="59">
        <f>IF(ISERROR((K67/$H67)*100), "", IF(((K67/$H67)*100) &lt;&gt; 0, (K67/$H67)*100, ""))</f>
        <v>0.18761726078799248</v>
      </c>
      <c r="M67" s="58">
        <f>IF((SUM(M11:M64)&lt;&gt;0), SUMIF($H11:$H64, "&gt;0", M11:M64), "")</f>
        <v>24</v>
      </c>
      <c r="N67" s="59">
        <f>IF(ISERROR((M67/$H67)*100), "", IF(((M67/$H67)*100) &lt;&gt; 0, (M67/$H67)*100, ""))</f>
        <v>0.90056285178236395</v>
      </c>
      <c r="O67" s="58">
        <f>IF((SUM(O11:O64)&lt;&gt;0), SUMIF($H11:$H64, "&gt;0", O11:O64), "")</f>
        <v>25</v>
      </c>
      <c r="P67" s="59">
        <f>IF(ISERROR((O67/$H67)*100), "", IF(((O67/$H67)*100) &lt;&gt; 0, (O67/$H67)*100, ""))</f>
        <v>0.93808630393996251</v>
      </c>
      <c r="Q67" s="58">
        <f>IF((SUM(Q11:Q64)&lt;&gt;0), SUMIF($H11:$H64, "&gt;0", Q11:Q64), "")</f>
        <v>40</v>
      </c>
      <c r="R67" s="59">
        <f>IF(ISERROR((Q67/$H67)*100), "", IF(((Q67/$H67)*100) &lt;&gt; 0, (Q67/$H67)*100, ""))</f>
        <v>1.5009380863039399</v>
      </c>
      <c r="S67" s="58">
        <f>IF((SUM(S11:S64)&lt;&gt;0), SUMIF($H11:$H64, "&gt;0", S11:S64), "")</f>
        <v>2</v>
      </c>
      <c r="T67" s="59">
        <f>IF(ISERROR((S67/$H67)*100), "", IF(((S67/$H67)*100) &lt;&gt; 0, (S67/$H67)*100, ""))</f>
        <v>7.5046904315197005E-2</v>
      </c>
      <c r="U67" s="58">
        <f>IF((SUM(U11:U64)&lt;&gt;0), SUMIF($H11:$H64, "&gt;0", U11:U64), "")</f>
        <v>22</v>
      </c>
      <c r="V67" s="59">
        <f>IF(ISERROR((U67/$H67)*100), "", IF(((U67/$H67)*100) &lt;&gt; 0, (U67/$H67)*100, ""))</f>
        <v>0.82551594746716694</v>
      </c>
      <c r="W67" s="58">
        <f>IF((SUM(W11:W64)&lt;&gt;0), SUMIF($H11:$H64, "&gt;0", W11:W64), "")</f>
        <v>21</v>
      </c>
      <c r="X67" s="59">
        <f>IF(ISERROR((W67/$H67)*100), "", IF(((W67/$H67)*100) &lt;&gt; 0, (W67/$H67)*100, ""))</f>
        <v>0.78799249530956861</v>
      </c>
      <c r="Y67" s="58">
        <f>IF((SUM(Y11:Y64)&lt;&gt;0), SUMIF($H11:$H64, "&gt;0", Y11:Y64), "")</f>
        <v>1</v>
      </c>
      <c r="Z67" s="59">
        <f>IF(ISERROR((Y67/$H67)*100), "", IF(((Y67/$H67)*100) &lt;&gt; 0, (Y67/$H67)*100, ""))</f>
        <v>3.7523452157598502E-2</v>
      </c>
      <c r="AA67" s="58">
        <f>IF((SUM(AA11:AA64)&lt;&gt;0), SUMIF($H11:$H64, "&gt;0", AA11:AA64), "")</f>
        <v>1</v>
      </c>
      <c r="AB67" s="59">
        <f>IF(ISERROR((AA67/$H67)*100), "", IF(((AA67/$H67)*100) &lt;&gt; 0, (AA67/$H67)*100, ""))</f>
        <v>3.7523452157598502E-2</v>
      </c>
      <c r="AC67" s="58">
        <f>IF((SUM(AC11:AC64)&lt;&gt;0), SUMIF($H11:$H64, "&gt;0", AC11:AC64), "")</f>
        <v>1</v>
      </c>
      <c r="AD67" s="59">
        <f>IF(ISERROR((AC67/$H67)*100), "", IF(((AC67/$H67)*100) &lt;&gt; 0, (AC67/$H67)*100, ""))</f>
        <v>3.7523452157598502E-2</v>
      </c>
      <c r="AE67" s="58">
        <f>IF((SUM(AE11:AE64)&lt;&gt;0), SUMIF($H11:$H64, "&gt;0", AE11:AE64), "")</f>
        <v>16</v>
      </c>
      <c r="AF67" s="59">
        <f>IF(ISERROR((AE67/$H67)*100), "", IF(((AE67/$H67)*100) &lt;&gt; 0, (AE67/$H67)*100, ""))</f>
        <v>0.60037523452157604</v>
      </c>
      <c r="AG67" s="58">
        <f>IF((SUM(AG11:AG64)&lt;&gt;0), SUMIF($H11:$H64, "&gt;0", AG11:AG64), "")</f>
        <v>4</v>
      </c>
      <c r="AH67" s="59">
        <f>IF(ISERROR((AG67/$H67)*100), "", IF(((AG67/$H67)*100) &lt;&gt; 0, (AG67/$H67)*100, ""))</f>
        <v>0.15009380863039401</v>
      </c>
      <c r="AI67" s="58">
        <f>IF((SUM(AI11:AI64)&lt;&gt;0), SUMIF($H11:$H64, "&gt;0", AI11:AI64), "")</f>
        <v>58</v>
      </c>
      <c r="AJ67" s="59">
        <f>IF(ISERROR((AI67/$H67)*100), "", IF(((AI67/$H67)*100) &lt;&gt; 0, (AI67/$H67)*100, ""))</f>
        <v>2.176360225140713</v>
      </c>
      <c r="AK67" s="58">
        <f>IF((SUM(AK11:AK64)&lt;&gt;0), SUMIF($H11:$H64, "&gt;0", AK11:AK64), "")</f>
        <v>5</v>
      </c>
      <c r="AL67" s="59">
        <f>IF(ISERROR((AK67/$H67)*100), "", IF(((AK67/$H67)*100) &lt;&gt; 0, (AK67/$H67)*100, ""))</f>
        <v>0.18761726078799248</v>
      </c>
      <c r="AM67" s="58">
        <f>IF((SUM(AM11:AM64)&lt;&gt;0), SUMIF($H11:$H64, "&gt;0", AM11:AM64), "")</f>
        <v>2</v>
      </c>
      <c r="AN67" s="59">
        <f>IF(ISERROR((AM67/$H67)*100), "", IF(((AM67/$H67)*100) &lt;&gt; 0, (AM67/$H67)*100, ""))</f>
        <v>7.5046904315197005E-2</v>
      </c>
      <c r="AO67" s="58">
        <f>IF((SUM(AO11:AO64)&lt;&gt;0), SUMIF($H11:$H64, "&gt;0", AO11:AO64), "")</f>
        <v>1</v>
      </c>
      <c r="AP67" s="59">
        <f>IF(ISERROR((AO67/$H67)*100), "", IF(((AO67/$H67)*100) &lt;&gt; 0, (AO67/$H67)*100, ""))</f>
        <v>3.7523452157598502E-2</v>
      </c>
      <c r="AQ67" s="58" t="str">
        <f>IF((SUM(AQ11:AQ64)&lt;&gt;0), SUMIF($H11:$H64, "&gt;0", AQ11:AQ64), "")</f>
        <v/>
      </c>
      <c r="AR67" s="59" t="str">
        <f>IF(ISERROR((AQ67/$H67)*100), "", IF(((AQ67/$H67)*100) &lt;&gt; 0, (AQ67/$H67)*100, ""))</f>
        <v/>
      </c>
      <c r="AS67" s="58" t="str">
        <f>IF((SUM(AS11:AS64)&lt;&gt;0), SUMIF($H11:$H64, "&gt;0", AS11:AS64), "")</f>
        <v/>
      </c>
      <c r="AT67" s="59" t="str">
        <f>IF(ISERROR((AS67/$H67)*100), "", IF(((AS67/$H67)*100) &lt;&gt; 0, (AS67/$H67)*100, ""))</f>
        <v/>
      </c>
      <c r="AU67" s="58" t="str">
        <f>IF((SUM(AU11:AU64)&lt;&gt;0), SUMIF($H11:$H64, "&gt;0", AU11:AU64), "")</f>
        <v/>
      </c>
      <c r="AV67" s="59" t="str">
        <f>IF(ISERROR((AU67/$H67)*100), "", IF(((AU67/$H67)*100) &lt;&gt; 0, (AU67/$H67)*100, ""))</f>
        <v/>
      </c>
      <c r="AW67" s="58" t="str">
        <f>IF((SUM(AW11:AW64)&lt;&gt;0), SUMIF($H11:$H64, "&gt;0", AW11:AW64), "")</f>
        <v/>
      </c>
      <c r="AX67" s="59" t="str">
        <f>IF(ISERROR((AW67/$H67)*100), "", IF(((AW67/$H67)*100) &lt;&gt; 0, (AW67/$H67)*100, ""))</f>
        <v/>
      </c>
      <c r="AY67" s="58" t="str">
        <f>IF((SUM(AY11:AY64)&lt;&gt;0), SUMIF($H11:$H64, "&gt;0", AY11:AY64), "")</f>
        <v/>
      </c>
      <c r="AZ67" s="59" t="str">
        <f>IF(ISERROR((AY67/$H67)*100), "", IF(((AY67/$H67)*100) &lt;&gt; 0, (AY67/$H67)*100, ""))</f>
        <v/>
      </c>
    </row>
    <row r="68" spans="3:52" s="23" customFormat="1" ht="18" customHeight="1" x14ac:dyDescent="0.2">
      <c r="C68" s="48"/>
      <c r="F68" s="25"/>
      <c r="G68" s="50" t="s">
        <v>281</v>
      </c>
      <c r="H68" s="49" t="s">
        <v>279</v>
      </c>
      <c r="I68" s="54" t="s">
        <v>278</v>
      </c>
      <c r="J68" s="55" t="s">
        <v>277</v>
      </c>
      <c r="K68" s="60">
        <f>IF(SUMIF(K11:K64, "&gt; 0", $H11:$H64) &gt; 0, SUMIF(K11:K64, "&gt; 0", $H11:$H64), "")</f>
        <v>8</v>
      </c>
      <c r="L68" s="61">
        <f>(K67/K68)*100</f>
        <v>62.5</v>
      </c>
      <c r="M68" s="60">
        <f>IF(SUMIF(M11:M64, "&gt; 0", $H11:$H64) &gt; 0, SUMIF(M11:M64, "&gt; 0", $H11:$H64), "")</f>
        <v>47</v>
      </c>
      <c r="N68" s="61">
        <f>(M67/M68)*100</f>
        <v>51.063829787234042</v>
      </c>
      <c r="O68" s="60">
        <f>IF(SUMIF(O11:O64, "&gt; 0", $H11:$H64) &gt; 0, SUMIF(O11:O64, "&gt; 0", $H11:$H64), "")</f>
        <v>62</v>
      </c>
      <c r="P68" s="61">
        <f>(O67/O68)*100</f>
        <v>40.322580645161288</v>
      </c>
      <c r="Q68" s="60">
        <f>IF(SUMIF(Q11:Q64, "&gt; 0", $H11:$H64) &gt; 0, SUMIF(Q11:Q64, "&gt; 0", $H11:$H64), "")</f>
        <v>108</v>
      </c>
      <c r="R68" s="61">
        <f>(Q67/Q68)*100</f>
        <v>37.037037037037038</v>
      </c>
      <c r="S68" s="60">
        <f>IF(SUMIF(S11:S64, "&gt; 0", $H11:$H64) &gt; 0, SUMIF(S11:S64, "&gt; 0", $H11:$H64), "")</f>
        <v>8</v>
      </c>
      <c r="T68" s="61">
        <f>(S67/S68)*100</f>
        <v>25</v>
      </c>
      <c r="U68" s="60">
        <f>IF(SUMIF(U11:U64, "&gt; 0", $H11:$H64) &gt; 0, SUMIF(U11:U64, "&gt; 0", $H11:$H64), "")</f>
        <v>112</v>
      </c>
      <c r="V68" s="61">
        <f>(U67/U68)*100</f>
        <v>19.642857142857142</v>
      </c>
      <c r="W68" s="60">
        <f>IF(SUMIF(W11:W64, "&gt; 0", $H11:$H64) &gt; 0, SUMIF(W11:W64, "&gt; 0", $H11:$H64), "")</f>
        <v>120</v>
      </c>
      <c r="X68" s="61">
        <f>(W67/W68)*100</f>
        <v>17.5</v>
      </c>
      <c r="Y68" s="60">
        <f>IF(SUMIF(Y11:Y64, "&gt; 0", $H11:$H64) &gt; 0, SUMIF(Y11:Y64, "&gt; 0", $H11:$H64), "")</f>
        <v>8</v>
      </c>
      <c r="Z68" s="61">
        <f>(Y67/Y68)*100</f>
        <v>12.5</v>
      </c>
      <c r="AA68" s="60">
        <f>IF(SUMIF(AA11:AA64, "&gt; 0", $H11:$H64) &gt; 0, SUMIF(AA11:AA64, "&gt; 0", $H11:$H64), "")</f>
        <v>8</v>
      </c>
      <c r="AB68" s="61">
        <f>(AA67/AA68)*100</f>
        <v>12.5</v>
      </c>
      <c r="AC68" s="60">
        <f>IF(SUMIF(AC11:AC64, "&gt; 0", $H11:$H64) &gt; 0, SUMIF(AC11:AC64, "&gt; 0", $H11:$H64), "")</f>
        <v>8</v>
      </c>
      <c r="AD68" s="61">
        <f>(AC67/AC68)*100</f>
        <v>12.5</v>
      </c>
      <c r="AE68" s="60">
        <f>IF(SUMIF(AE11:AE64, "&gt; 0", $H11:$H64) &gt; 0, SUMIF(AE11:AE64, "&gt; 0", $H11:$H64), "")</f>
        <v>170</v>
      </c>
      <c r="AF68" s="61">
        <f>(AE67/AE68)*100</f>
        <v>9.4117647058823533</v>
      </c>
      <c r="AG68" s="60">
        <f>IF(SUMIF(AG11:AG64, "&gt; 0", $H11:$H64) &gt; 0, SUMIF(AG11:AG64, "&gt; 0", $H11:$H64), "")</f>
        <v>61</v>
      </c>
      <c r="AH68" s="61">
        <f>(AG67/AG68)*100</f>
        <v>6.557377049180328</v>
      </c>
      <c r="AI68" s="60">
        <f>IF(SUMIF(AI11:AI64, "&gt; 0", $H11:$H64) &gt; 0, SUMIF(AI11:AI64, "&gt; 0", $H11:$H64), "")</f>
        <v>1007</v>
      </c>
      <c r="AJ68" s="61">
        <f>(AI67/AI68)*100</f>
        <v>5.7596822244289969</v>
      </c>
      <c r="AK68" s="60">
        <f>IF(SUMIF(AK11:AK64, "&gt; 0", $H11:$H64) &gt; 0, SUMIF(AK11:AK64, "&gt; 0", $H11:$H64), "")</f>
        <v>92</v>
      </c>
      <c r="AL68" s="61">
        <f>(AK67/AK68)*100</f>
        <v>5.4347826086956523</v>
      </c>
      <c r="AM68" s="60">
        <f>IF(SUMIF(AM11:AM64, "&gt; 0", $H11:$H64) &gt; 0, SUMIF(AM11:AM64, "&gt; 0", $H11:$H64), "")</f>
        <v>45</v>
      </c>
      <c r="AN68" s="61">
        <f>(AM67/AM68)*100</f>
        <v>4.4444444444444446</v>
      </c>
      <c r="AO68" s="60">
        <f>IF(SUMIF(AO11:AO64, "&gt; 0", $H11:$H64) &gt; 0, SUMIF(AO11:AO64, "&gt; 0", $H11:$H64), "")</f>
        <v>40</v>
      </c>
      <c r="AP68" s="61">
        <f>(AO67/AO68)*100</f>
        <v>2.5</v>
      </c>
      <c r="AQ68" s="60" t="str">
        <f>IF(SUMIF(AQ11:AQ64, "&gt; 0", $H11:$H64) &gt; 0, SUMIF(AQ11:AQ64, "&gt; 0", $H11:$H64), "")</f>
        <v/>
      </c>
      <c r="AR68" s="61" t="str">
        <f>IF((ISERROR((AQ67/AQ68)*100)), "", (AQ67/AQ68)*100)</f>
        <v/>
      </c>
      <c r="AS68" s="60" t="str">
        <f>IF(SUMIF(AS11:AS64, "&gt; 0", $H11:$H64) &gt; 0, SUMIF(AS11:AS64, "&gt; 0", $H11:$H64), "")</f>
        <v/>
      </c>
      <c r="AT68" s="61" t="str">
        <f>IF((ISERROR((AS67/AS68)*100)), "", (AS67/AS68)*100)</f>
        <v/>
      </c>
      <c r="AU68" s="60" t="str">
        <f>IF(SUMIF(AU11:AU64, "&gt; 0", $H11:$H64) &gt; 0, SUMIF(AU11:AU64, "&gt; 0", $H11:$H64), "")</f>
        <v/>
      </c>
      <c r="AV68" s="61" t="str">
        <f>IF((ISERROR((AU67/AU68)*100)), "", (AU67/AU68)*100)</f>
        <v/>
      </c>
      <c r="AW68" s="60" t="str">
        <f>IF(SUMIF(AW11:AW64, "&gt; 0", $H11:$H64) &gt; 0, SUMIF(AW11:AW64, "&gt; 0", $H11:$H64), "")</f>
        <v/>
      </c>
      <c r="AX68" s="61" t="str">
        <f>IF((ISERROR((AW67/AW68)*100)), "", (AW67/AW68)*100)</f>
        <v/>
      </c>
      <c r="AY68" s="60" t="str">
        <f>IF(SUMIF(AY11:AY64, "&gt; 0", $H11:$H64) &gt; 0, SUMIF(AY11:AY64, "&gt; 0", $H11:$H64), "")</f>
        <v/>
      </c>
      <c r="AZ68" s="61" t="str">
        <f>IF((ISERROR((AY67/AY68)*100)), "", (AY67/AY68)*100)</f>
        <v/>
      </c>
    </row>
    <row r="69" spans="3:52" ht="18" customHeight="1" thickBot="1" x14ac:dyDescent="0.25">
      <c r="H69" s="180" t="s">
        <v>278</v>
      </c>
      <c r="I69" s="183"/>
      <c r="J69" s="184"/>
      <c r="K69" s="159" t="s">
        <v>276</v>
      </c>
      <c r="L69" s="161" t="s">
        <v>277</v>
      </c>
      <c r="M69" s="159" t="s">
        <v>276</v>
      </c>
      <c r="N69" s="161" t="s">
        <v>277</v>
      </c>
      <c r="O69" s="159" t="s">
        <v>276</v>
      </c>
      <c r="P69" s="161" t="s">
        <v>277</v>
      </c>
      <c r="Q69" s="159" t="s">
        <v>276</v>
      </c>
      <c r="R69" s="161" t="s">
        <v>277</v>
      </c>
      <c r="S69" s="159" t="s">
        <v>276</v>
      </c>
      <c r="T69" s="161" t="s">
        <v>277</v>
      </c>
      <c r="U69" s="159" t="s">
        <v>276</v>
      </c>
      <c r="V69" s="161" t="s">
        <v>277</v>
      </c>
      <c r="W69" s="159" t="s">
        <v>276</v>
      </c>
      <c r="X69" s="161" t="s">
        <v>277</v>
      </c>
      <c r="Y69" s="159" t="s">
        <v>276</v>
      </c>
      <c r="Z69" s="161" t="s">
        <v>277</v>
      </c>
      <c r="AA69" s="159" t="s">
        <v>276</v>
      </c>
      <c r="AB69" s="161" t="s">
        <v>277</v>
      </c>
      <c r="AC69" s="159" t="s">
        <v>276</v>
      </c>
      <c r="AD69" s="161" t="s">
        <v>277</v>
      </c>
      <c r="AE69" s="163" t="s">
        <v>276</v>
      </c>
      <c r="AF69" s="162" t="s">
        <v>277</v>
      </c>
      <c r="AG69" s="159" t="s">
        <v>276</v>
      </c>
      <c r="AH69" s="161" t="s">
        <v>277</v>
      </c>
      <c r="AI69" s="159" t="s">
        <v>276</v>
      </c>
      <c r="AJ69" s="161" t="s">
        <v>277</v>
      </c>
      <c r="AK69" s="159" t="s">
        <v>276</v>
      </c>
      <c r="AL69" s="161" t="s">
        <v>277</v>
      </c>
      <c r="AM69" s="159" t="s">
        <v>276</v>
      </c>
      <c r="AN69" s="161" t="s">
        <v>277</v>
      </c>
      <c r="AO69" s="159" t="s">
        <v>276</v>
      </c>
      <c r="AP69" s="161" t="s">
        <v>277</v>
      </c>
      <c r="AQ69" s="159" t="s">
        <v>276</v>
      </c>
      <c r="AR69" s="161" t="s">
        <v>277</v>
      </c>
      <c r="AS69" s="159" t="s">
        <v>276</v>
      </c>
      <c r="AT69" s="161" t="s">
        <v>277</v>
      </c>
      <c r="AU69" s="159" t="s">
        <v>276</v>
      </c>
      <c r="AV69" s="161" t="s">
        <v>277</v>
      </c>
      <c r="AW69" s="159" t="s">
        <v>276</v>
      </c>
      <c r="AX69" s="161" t="s">
        <v>277</v>
      </c>
      <c r="AY69" s="159" t="s">
        <v>276</v>
      </c>
      <c r="AZ69" s="161" t="s">
        <v>277</v>
      </c>
    </row>
    <row r="70" spans="3:52" ht="18" customHeight="1" x14ac:dyDescent="0.2">
      <c r="E70" s="62" t="s">
        <v>283</v>
      </c>
      <c r="F70" s="65">
        <v>1</v>
      </c>
      <c r="H70" s="181"/>
      <c r="I70" s="185"/>
      <c r="J70" s="186"/>
      <c r="K70" s="159"/>
      <c r="L70" s="162"/>
      <c r="M70" s="159"/>
      <c r="N70" s="162"/>
      <c r="O70" s="159"/>
      <c r="P70" s="162"/>
      <c r="Q70" s="159"/>
      <c r="R70" s="162"/>
      <c r="S70" s="159"/>
      <c r="T70" s="162"/>
      <c r="U70" s="159"/>
      <c r="V70" s="162"/>
      <c r="W70" s="159"/>
      <c r="X70" s="162"/>
      <c r="Y70" s="159"/>
      <c r="Z70" s="162"/>
      <c r="AA70" s="159"/>
      <c r="AB70" s="162"/>
      <c r="AC70" s="159"/>
      <c r="AD70" s="162"/>
      <c r="AE70" s="159"/>
      <c r="AF70" s="162"/>
      <c r="AG70" s="159"/>
      <c r="AH70" s="162"/>
      <c r="AI70" s="159"/>
      <c r="AJ70" s="162"/>
      <c r="AK70" s="159"/>
      <c r="AL70" s="162"/>
      <c r="AM70" s="159"/>
      <c r="AN70" s="162"/>
      <c r="AO70" s="159"/>
      <c r="AP70" s="162"/>
      <c r="AQ70" s="159"/>
      <c r="AR70" s="162"/>
      <c r="AS70" s="159"/>
      <c r="AT70" s="162"/>
      <c r="AU70" s="159"/>
      <c r="AV70" s="162"/>
      <c r="AW70" s="159"/>
      <c r="AX70" s="162"/>
      <c r="AY70" s="159"/>
      <c r="AZ70" s="162"/>
    </row>
    <row r="71" spans="3:52" ht="18" customHeight="1" x14ac:dyDescent="0.2">
      <c r="E71" s="63"/>
      <c r="F71" s="64"/>
      <c r="H71" s="181"/>
      <c r="I71" s="185"/>
      <c r="J71" s="186"/>
      <c r="K71" s="159"/>
      <c r="L71" s="162"/>
      <c r="M71" s="159"/>
      <c r="N71" s="162"/>
      <c r="O71" s="159"/>
      <c r="P71" s="162"/>
      <c r="Q71" s="159"/>
      <c r="R71" s="162"/>
      <c r="S71" s="159"/>
      <c r="T71" s="162"/>
      <c r="U71" s="159"/>
      <c r="V71" s="162"/>
      <c r="W71" s="159"/>
      <c r="X71" s="162"/>
      <c r="Y71" s="159"/>
      <c r="Z71" s="162"/>
      <c r="AA71" s="159"/>
      <c r="AB71" s="162"/>
      <c r="AC71" s="159"/>
      <c r="AD71" s="162"/>
      <c r="AE71" s="159"/>
      <c r="AF71" s="162"/>
      <c r="AG71" s="159"/>
      <c r="AH71" s="162"/>
      <c r="AI71" s="159"/>
      <c r="AJ71" s="162"/>
      <c r="AK71" s="159"/>
      <c r="AL71" s="162"/>
      <c r="AM71" s="159"/>
      <c r="AN71" s="162"/>
      <c r="AO71" s="159"/>
      <c r="AP71" s="162"/>
      <c r="AQ71" s="159"/>
      <c r="AR71" s="162"/>
      <c r="AS71" s="159"/>
      <c r="AT71" s="162"/>
      <c r="AU71" s="159"/>
      <c r="AV71" s="162"/>
      <c r="AW71" s="159"/>
      <c r="AX71" s="162"/>
      <c r="AY71" s="159"/>
      <c r="AZ71" s="162"/>
    </row>
    <row r="72" spans="3:52" ht="18" customHeight="1" x14ac:dyDescent="0.2">
      <c r="E72" s="194" t="s">
        <v>284</v>
      </c>
      <c r="F72" s="195"/>
      <c r="H72" s="181"/>
      <c r="I72" s="185"/>
      <c r="J72" s="186"/>
      <c r="K72" s="159"/>
      <c r="L72" s="162"/>
      <c r="M72" s="159"/>
      <c r="N72" s="162"/>
      <c r="O72" s="159"/>
      <c r="P72" s="162"/>
      <c r="Q72" s="159"/>
      <c r="R72" s="162"/>
      <c r="S72" s="159"/>
      <c r="T72" s="162"/>
      <c r="U72" s="159"/>
      <c r="V72" s="162"/>
      <c r="W72" s="159"/>
      <c r="X72" s="162"/>
      <c r="Y72" s="159"/>
      <c r="Z72" s="162"/>
      <c r="AA72" s="159"/>
      <c r="AB72" s="162"/>
      <c r="AC72" s="159"/>
      <c r="AD72" s="162"/>
      <c r="AE72" s="159"/>
      <c r="AF72" s="162"/>
      <c r="AG72" s="159"/>
      <c r="AH72" s="162"/>
      <c r="AI72" s="159"/>
      <c r="AJ72" s="162"/>
      <c r="AK72" s="159"/>
      <c r="AL72" s="162"/>
      <c r="AM72" s="159"/>
      <c r="AN72" s="162"/>
      <c r="AO72" s="159"/>
      <c r="AP72" s="162"/>
      <c r="AQ72" s="159"/>
      <c r="AR72" s="162"/>
      <c r="AS72" s="159"/>
      <c r="AT72" s="162"/>
      <c r="AU72" s="159"/>
      <c r="AV72" s="162"/>
      <c r="AW72" s="159"/>
      <c r="AX72" s="162"/>
      <c r="AY72" s="159"/>
      <c r="AZ72" s="162"/>
    </row>
    <row r="73" spans="3:52" ht="18" customHeight="1" x14ac:dyDescent="0.2">
      <c r="E73" s="194"/>
      <c r="F73" s="195"/>
      <c r="H73" s="181"/>
      <c r="I73" s="185"/>
      <c r="J73" s="186"/>
      <c r="K73" s="160"/>
      <c r="L73" s="162"/>
      <c r="M73" s="160"/>
      <c r="N73" s="162"/>
      <c r="O73" s="160"/>
      <c r="P73" s="162"/>
      <c r="Q73" s="160"/>
      <c r="R73" s="162"/>
      <c r="S73" s="160"/>
      <c r="T73" s="162"/>
      <c r="U73" s="160"/>
      <c r="V73" s="162"/>
      <c r="W73" s="160"/>
      <c r="X73" s="162"/>
      <c r="Y73" s="160"/>
      <c r="Z73" s="162"/>
      <c r="AA73" s="160"/>
      <c r="AB73" s="162"/>
      <c r="AC73" s="160"/>
      <c r="AD73" s="162"/>
      <c r="AE73" s="160"/>
      <c r="AF73" s="162"/>
      <c r="AG73" s="160"/>
      <c r="AH73" s="162"/>
      <c r="AI73" s="160"/>
      <c r="AJ73" s="162"/>
      <c r="AK73" s="160"/>
      <c r="AL73" s="162"/>
      <c r="AM73" s="160"/>
      <c r="AN73" s="162"/>
      <c r="AO73" s="160"/>
      <c r="AP73" s="162"/>
      <c r="AQ73" s="160"/>
      <c r="AR73" s="162"/>
      <c r="AS73" s="160"/>
      <c r="AT73" s="162"/>
      <c r="AU73" s="160"/>
      <c r="AV73" s="162"/>
      <c r="AW73" s="160"/>
      <c r="AX73" s="162"/>
      <c r="AY73" s="160"/>
      <c r="AZ73" s="162"/>
    </row>
    <row r="74" spans="3:52" ht="18" customHeight="1" x14ac:dyDescent="0.2">
      <c r="E74" s="194"/>
      <c r="F74" s="195"/>
      <c r="H74" s="181"/>
      <c r="I74" s="185"/>
      <c r="J74" s="186"/>
      <c r="K74" s="193" t="s">
        <v>275</v>
      </c>
      <c r="L74" s="190"/>
      <c r="M74" s="189" t="s">
        <v>186</v>
      </c>
      <c r="N74" s="190"/>
      <c r="O74" s="193" t="s">
        <v>273</v>
      </c>
      <c r="P74" s="190"/>
      <c r="Q74" s="189" t="s">
        <v>169</v>
      </c>
      <c r="R74" s="190"/>
      <c r="S74" s="189" t="s">
        <v>184</v>
      </c>
      <c r="T74" s="190"/>
      <c r="U74" s="209" t="s">
        <v>230</v>
      </c>
      <c r="V74" s="190"/>
      <c r="W74" s="189" t="s">
        <v>162</v>
      </c>
      <c r="X74" s="190"/>
      <c r="Y74" s="193" t="s">
        <v>274</v>
      </c>
      <c r="Z74" s="190"/>
      <c r="AA74" s="189" t="s">
        <v>183</v>
      </c>
      <c r="AB74" s="190"/>
      <c r="AC74" s="189" t="s">
        <v>187</v>
      </c>
      <c r="AD74" s="190"/>
      <c r="AE74" s="189" t="s">
        <v>161</v>
      </c>
      <c r="AF74" s="190"/>
      <c r="AG74" s="189" t="s">
        <v>168</v>
      </c>
      <c r="AH74" s="190"/>
      <c r="AI74" s="209" t="s">
        <v>420</v>
      </c>
      <c r="AJ74" s="190"/>
      <c r="AK74" s="189" t="s">
        <v>163</v>
      </c>
      <c r="AL74" s="190"/>
      <c r="AM74" s="193" t="s">
        <v>272</v>
      </c>
      <c r="AN74" s="190"/>
      <c r="AO74" s="189" t="s">
        <v>164</v>
      </c>
      <c r="AP74" s="190"/>
      <c r="AQ74" s="189" t="s">
        <v>228</v>
      </c>
      <c r="AR74" s="190"/>
      <c r="AS74" s="189" t="s">
        <v>227</v>
      </c>
      <c r="AT74" s="190"/>
      <c r="AU74" s="189" t="s">
        <v>229</v>
      </c>
      <c r="AV74" s="190"/>
      <c r="AW74" s="189" t="s">
        <v>223</v>
      </c>
      <c r="AX74" s="190"/>
      <c r="AY74" s="189" t="s">
        <v>165</v>
      </c>
      <c r="AZ74" s="190"/>
    </row>
    <row r="75" spans="3:52" ht="18" customHeight="1" x14ac:dyDescent="0.2">
      <c r="E75" s="194"/>
      <c r="F75" s="195"/>
      <c r="H75" s="181"/>
      <c r="I75" s="185"/>
      <c r="J75" s="186"/>
      <c r="K75" s="166"/>
      <c r="L75" s="167"/>
      <c r="M75" s="166"/>
      <c r="N75" s="167"/>
      <c r="O75" s="166"/>
      <c r="P75" s="167"/>
      <c r="Q75" s="166"/>
      <c r="R75" s="167"/>
      <c r="S75" s="166"/>
      <c r="T75" s="167"/>
      <c r="U75" s="210"/>
      <c r="V75" s="167"/>
      <c r="W75" s="166"/>
      <c r="X75" s="167"/>
      <c r="Y75" s="166"/>
      <c r="Z75" s="167"/>
      <c r="AA75" s="166"/>
      <c r="AB75" s="167"/>
      <c r="AC75" s="166"/>
      <c r="AD75" s="167"/>
      <c r="AE75" s="166"/>
      <c r="AF75" s="167"/>
      <c r="AG75" s="166"/>
      <c r="AH75" s="167"/>
      <c r="AI75" s="210"/>
      <c r="AJ75" s="167"/>
      <c r="AK75" s="166"/>
      <c r="AL75" s="167"/>
      <c r="AM75" s="166"/>
      <c r="AN75" s="167"/>
      <c r="AO75" s="166"/>
      <c r="AP75" s="167"/>
      <c r="AQ75" s="166"/>
      <c r="AR75" s="167"/>
      <c r="AS75" s="166"/>
      <c r="AT75" s="167"/>
      <c r="AU75" s="166"/>
      <c r="AV75" s="167"/>
      <c r="AW75" s="166"/>
      <c r="AX75" s="167"/>
      <c r="AY75" s="166"/>
      <c r="AZ75" s="167"/>
    </row>
    <row r="76" spans="3:52" ht="18" customHeight="1" thickBot="1" x14ac:dyDescent="0.25">
      <c r="E76" s="194"/>
      <c r="F76" s="195"/>
      <c r="H76" s="181"/>
      <c r="I76" s="185"/>
      <c r="J76" s="186"/>
      <c r="K76" s="191"/>
      <c r="L76" s="192"/>
      <c r="M76" s="191"/>
      <c r="N76" s="192"/>
      <c r="O76" s="191"/>
      <c r="P76" s="192"/>
      <c r="Q76" s="191"/>
      <c r="R76" s="192"/>
      <c r="S76" s="191"/>
      <c r="T76" s="192"/>
      <c r="U76" s="211"/>
      <c r="V76" s="192"/>
      <c r="W76" s="191"/>
      <c r="X76" s="192"/>
      <c r="Y76" s="191"/>
      <c r="Z76" s="192"/>
      <c r="AA76" s="191"/>
      <c r="AB76" s="192"/>
      <c r="AC76" s="191"/>
      <c r="AD76" s="192"/>
      <c r="AE76" s="191"/>
      <c r="AF76" s="192"/>
      <c r="AG76" s="191"/>
      <c r="AH76" s="192"/>
      <c r="AI76" s="211"/>
      <c r="AJ76" s="192"/>
      <c r="AK76" s="191"/>
      <c r="AL76" s="192"/>
      <c r="AM76" s="191"/>
      <c r="AN76" s="192"/>
      <c r="AO76" s="191"/>
      <c r="AP76" s="192"/>
      <c r="AQ76" s="191"/>
      <c r="AR76" s="192"/>
      <c r="AS76" s="191"/>
      <c r="AT76" s="192"/>
      <c r="AU76" s="191"/>
      <c r="AV76" s="192"/>
      <c r="AW76" s="191"/>
      <c r="AX76" s="192"/>
      <c r="AY76" s="191"/>
      <c r="AZ76" s="192"/>
    </row>
    <row r="77" spans="3:52" ht="20" customHeight="1" thickBot="1" x14ac:dyDescent="0.3">
      <c r="E77" s="196"/>
      <c r="F77" s="197"/>
      <c r="H77" s="182"/>
      <c r="I77" s="187"/>
      <c r="J77" s="188"/>
      <c r="K77" s="201" t="s">
        <v>167</v>
      </c>
      <c r="L77" s="202"/>
      <c r="M77" s="202"/>
      <c r="N77" s="202"/>
      <c r="O77" s="202"/>
      <c r="P77" s="202"/>
      <c r="Q77" s="202"/>
      <c r="R77" s="202"/>
      <c r="S77" s="202"/>
      <c r="T77" s="202"/>
      <c r="U77" s="202"/>
      <c r="V77" s="202"/>
      <c r="W77" s="202"/>
      <c r="X77" s="202"/>
      <c r="Y77" s="202"/>
      <c r="Z77" s="202"/>
      <c r="AA77" s="202"/>
      <c r="AB77" s="202"/>
      <c r="AC77" s="202"/>
      <c r="AD77" s="202"/>
      <c r="AE77" s="202"/>
      <c r="AF77" s="202"/>
      <c r="AG77" s="202"/>
      <c r="AH77" s="202"/>
      <c r="AI77" s="202"/>
      <c r="AJ77" s="202"/>
      <c r="AK77" s="202"/>
      <c r="AL77" s="202"/>
      <c r="AM77" s="202"/>
      <c r="AN77" s="202"/>
      <c r="AO77" s="202"/>
      <c r="AP77" s="202"/>
      <c r="AQ77" s="202"/>
      <c r="AR77" s="202"/>
      <c r="AS77" s="202"/>
      <c r="AT77" s="202"/>
      <c r="AU77" s="202"/>
      <c r="AV77" s="202"/>
      <c r="AW77" s="202"/>
      <c r="AX77" s="202"/>
      <c r="AY77" s="202"/>
      <c r="AZ77" s="203"/>
    </row>
  </sheetData>
  <mergeCells count="139">
    <mergeCell ref="K2:AZ2"/>
    <mergeCell ref="D3:D4"/>
    <mergeCell ref="AE3:AF5"/>
    <mergeCell ref="AU3:AV5"/>
    <mergeCell ref="AK3:AL5"/>
    <mergeCell ref="W3:X5"/>
    <mergeCell ref="AW3:AX5"/>
    <mergeCell ref="Q3:R5"/>
    <mergeCell ref="O3:P5"/>
    <mergeCell ref="M3:N5"/>
    <mergeCell ref="AI3:AJ5"/>
    <mergeCell ref="D5:D7"/>
    <mergeCell ref="G6:G10"/>
    <mergeCell ref="H6:H10"/>
    <mergeCell ref="I6:I10"/>
    <mergeCell ref="J6:J10"/>
    <mergeCell ref="AE6:AE10"/>
    <mergeCell ref="AF6:AF10"/>
    <mergeCell ref="AU6:AU10"/>
    <mergeCell ref="AV6:AV10"/>
    <mergeCell ref="AM3:AN5"/>
    <mergeCell ref="AC3:AD5"/>
    <mergeCell ref="S3:T5"/>
    <mergeCell ref="AO3:AP5"/>
    <mergeCell ref="K6:K10"/>
    <mergeCell ref="L6:L10"/>
    <mergeCell ref="AI6:AI10"/>
    <mergeCell ref="AJ6:AJ10"/>
    <mergeCell ref="A7:A10"/>
    <mergeCell ref="B7:B10"/>
    <mergeCell ref="AY3:AZ5"/>
    <mergeCell ref="U3:V5"/>
    <mergeCell ref="Y3:Z5"/>
    <mergeCell ref="AQ3:AR5"/>
    <mergeCell ref="K3:L5"/>
    <mergeCell ref="AA3:AB5"/>
    <mergeCell ref="AS3:AT5"/>
    <mergeCell ref="AG3:AH5"/>
    <mergeCell ref="Q6:Q10"/>
    <mergeCell ref="R6:R10"/>
    <mergeCell ref="O6:O10"/>
    <mergeCell ref="P6:P10"/>
    <mergeCell ref="M6:M10"/>
    <mergeCell ref="N6:N10"/>
    <mergeCell ref="AK6:AK10"/>
    <mergeCell ref="AL6:AL10"/>
    <mergeCell ref="W6:W10"/>
    <mergeCell ref="X6:X10"/>
    <mergeCell ref="H69:H77"/>
    <mergeCell ref="I69:J77"/>
    <mergeCell ref="AE69:AE73"/>
    <mergeCell ref="AF69:AF73"/>
    <mergeCell ref="AU69:AU73"/>
    <mergeCell ref="AV69:AV73"/>
    <mergeCell ref="AO6:AO10"/>
    <mergeCell ref="AP6:AP10"/>
    <mergeCell ref="AY6:AY10"/>
    <mergeCell ref="Q69:Q73"/>
    <mergeCell ref="R69:R73"/>
    <mergeCell ref="O69:O73"/>
    <mergeCell ref="P69:P73"/>
    <mergeCell ref="M69:M73"/>
    <mergeCell ref="N69:N73"/>
    <mergeCell ref="AK69:AK73"/>
    <mergeCell ref="AL69:AL73"/>
    <mergeCell ref="W69:W73"/>
    <mergeCell ref="X69:X73"/>
    <mergeCell ref="AW69:AW73"/>
    <mergeCell ref="AX69:AX73"/>
    <mergeCell ref="AS69:AS73"/>
    <mergeCell ref="AT69:AT73"/>
    <mergeCell ref="AG69:AG73"/>
    <mergeCell ref="AZ6:AZ10"/>
    <mergeCell ref="U6:U10"/>
    <mergeCell ref="V6:V10"/>
    <mergeCell ref="AM6:AM10"/>
    <mergeCell ref="AN6:AN10"/>
    <mergeCell ref="AC6:AC10"/>
    <mergeCell ref="AD6:AD10"/>
    <mergeCell ref="S6:S10"/>
    <mergeCell ref="T6:T10"/>
    <mergeCell ref="AA6:AA10"/>
    <mergeCell ref="AB6:AB10"/>
    <mergeCell ref="Y6:Y10"/>
    <mergeCell ref="Z6:Z10"/>
    <mergeCell ref="AQ6:AQ10"/>
    <mergeCell ref="AR6:AR10"/>
    <mergeCell ref="AW6:AW10"/>
    <mergeCell ref="AX6:AX10"/>
    <mergeCell ref="AS6:AS10"/>
    <mergeCell ref="AT6:AT10"/>
    <mergeCell ref="AG6:AG10"/>
    <mergeCell ref="AH6:AH10"/>
    <mergeCell ref="K74:L76"/>
    <mergeCell ref="AA74:AB76"/>
    <mergeCell ref="AH69:AH73"/>
    <mergeCell ref="Y69:Y73"/>
    <mergeCell ref="Z69:Z73"/>
    <mergeCell ref="AQ69:AQ73"/>
    <mergeCell ref="AR69:AR73"/>
    <mergeCell ref="K69:K73"/>
    <mergeCell ref="L69:L73"/>
    <mergeCell ref="AI69:AI73"/>
    <mergeCell ref="AJ69:AJ73"/>
    <mergeCell ref="S69:S73"/>
    <mergeCell ref="T69:T73"/>
    <mergeCell ref="AA69:AA73"/>
    <mergeCell ref="AB69:AB73"/>
    <mergeCell ref="E72:F77"/>
    <mergeCell ref="AE74:AF76"/>
    <mergeCell ref="AU74:AV76"/>
    <mergeCell ref="AK74:AL76"/>
    <mergeCell ref="W74:X76"/>
    <mergeCell ref="Q74:R76"/>
    <mergeCell ref="O74:P76"/>
    <mergeCell ref="AO69:AO73"/>
    <mergeCell ref="AP69:AP73"/>
    <mergeCell ref="U74:V76"/>
    <mergeCell ref="AI74:AJ76"/>
    <mergeCell ref="K77:AZ77"/>
    <mergeCell ref="AG74:AH76"/>
    <mergeCell ref="AM74:AN76"/>
    <mergeCell ref="AC74:AD76"/>
    <mergeCell ref="S74:T76"/>
    <mergeCell ref="AO74:AP76"/>
    <mergeCell ref="AY74:AZ76"/>
    <mergeCell ref="M74:N76"/>
    <mergeCell ref="Y74:Z76"/>
    <mergeCell ref="AS74:AT76"/>
    <mergeCell ref="AY69:AY73"/>
    <mergeCell ref="AZ69:AZ73"/>
    <mergeCell ref="U69:U73"/>
    <mergeCell ref="V69:V73"/>
    <mergeCell ref="AM69:AM73"/>
    <mergeCell ref="AN69:AN73"/>
    <mergeCell ref="AC69:AC73"/>
    <mergeCell ref="AD69:AD73"/>
    <mergeCell ref="AW74:AX76"/>
    <mergeCell ref="AQ74:AR7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5"/>
  <sheetViews>
    <sheetView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98" t="s">
        <v>167</v>
      </c>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199"/>
      <c r="AS2" s="199"/>
      <c r="AT2" s="199"/>
      <c r="AU2" s="199"/>
      <c r="AV2" s="199"/>
      <c r="AW2" s="199"/>
      <c r="AX2" s="199"/>
      <c r="AY2" s="199"/>
      <c r="AZ2" s="200"/>
    </row>
    <row r="3" spans="1:53" ht="16" customHeight="1" x14ac:dyDescent="0.2">
      <c r="D3" s="142" t="s">
        <v>265</v>
      </c>
      <c r="K3" s="164" t="s">
        <v>186</v>
      </c>
      <c r="L3" s="165"/>
      <c r="M3" s="170" t="s">
        <v>273</v>
      </c>
      <c r="N3" s="165"/>
      <c r="O3" s="164" t="s">
        <v>169</v>
      </c>
      <c r="P3" s="165"/>
      <c r="Q3" s="170" t="s">
        <v>275</v>
      </c>
      <c r="R3" s="165"/>
      <c r="S3" s="164" t="s">
        <v>184</v>
      </c>
      <c r="T3" s="165"/>
      <c r="U3" s="212" t="s">
        <v>230</v>
      </c>
      <c r="V3" s="165"/>
      <c r="W3" s="164" t="s">
        <v>164</v>
      </c>
      <c r="X3" s="165"/>
      <c r="Y3" s="164" t="s">
        <v>183</v>
      </c>
      <c r="Z3" s="165"/>
      <c r="AA3" s="164" t="s">
        <v>187</v>
      </c>
      <c r="AB3" s="165"/>
      <c r="AC3" s="164" t="s">
        <v>165</v>
      </c>
      <c r="AD3" s="165"/>
      <c r="AE3" s="170" t="s">
        <v>274</v>
      </c>
      <c r="AF3" s="165"/>
      <c r="AG3" s="164" t="s">
        <v>161</v>
      </c>
      <c r="AH3" s="165"/>
      <c r="AI3" s="164" t="s">
        <v>168</v>
      </c>
      <c r="AJ3" s="165"/>
      <c r="AK3" s="164" t="s">
        <v>162</v>
      </c>
      <c r="AL3" s="165"/>
      <c r="AM3" s="164" t="s">
        <v>229</v>
      </c>
      <c r="AN3" s="165"/>
      <c r="AO3" s="170" t="s">
        <v>420</v>
      </c>
      <c r="AP3" s="204"/>
      <c r="AQ3" s="170" t="s">
        <v>272</v>
      </c>
      <c r="AR3" s="165"/>
      <c r="AS3" s="164" t="s">
        <v>163</v>
      </c>
      <c r="AT3" s="165"/>
      <c r="AU3" s="164" t="s">
        <v>228</v>
      </c>
      <c r="AV3" s="165"/>
      <c r="AW3" s="164" t="s">
        <v>227</v>
      </c>
      <c r="AX3" s="165"/>
      <c r="AY3" s="164" t="s">
        <v>223</v>
      </c>
      <c r="AZ3" s="165"/>
    </row>
    <row r="4" spans="1:53" ht="20" customHeight="1" x14ac:dyDescent="0.2">
      <c r="B4" s="97"/>
      <c r="D4" s="143"/>
      <c r="K4" s="166"/>
      <c r="L4" s="167"/>
      <c r="M4" s="166"/>
      <c r="N4" s="167"/>
      <c r="O4" s="166"/>
      <c r="P4" s="167"/>
      <c r="Q4" s="166"/>
      <c r="R4" s="167"/>
      <c r="S4" s="166"/>
      <c r="T4" s="167"/>
      <c r="U4" s="210"/>
      <c r="V4" s="167"/>
      <c r="W4" s="166"/>
      <c r="X4" s="167"/>
      <c r="Y4" s="166"/>
      <c r="Z4" s="167"/>
      <c r="AA4" s="166"/>
      <c r="AB4" s="167"/>
      <c r="AC4" s="166"/>
      <c r="AD4" s="167"/>
      <c r="AE4" s="166"/>
      <c r="AF4" s="167"/>
      <c r="AG4" s="166"/>
      <c r="AH4" s="167"/>
      <c r="AI4" s="166"/>
      <c r="AJ4" s="167"/>
      <c r="AK4" s="166"/>
      <c r="AL4" s="167"/>
      <c r="AM4" s="166"/>
      <c r="AN4" s="167"/>
      <c r="AO4" s="205"/>
      <c r="AP4" s="206"/>
      <c r="AQ4" s="166"/>
      <c r="AR4" s="167"/>
      <c r="AS4" s="166"/>
      <c r="AT4" s="167"/>
      <c r="AU4" s="166"/>
      <c r="AV4" s="167"/>
      <c r="AW4" s="166"/>
      <c r="AX4" s="167"/>
      <c r="AY4" s="166"/>
      <c r="AZ4" s="167"/>
    </row>
    <row r="5" spans="1:53" ht="20" customHeight="1" x14ac:dyDescent="0.2">
      <c r="A5" s="68"/>
      <c r="B5" s="96"/>
      <c r="D5" s="140" t="s">
        <v>282</v>
      </c>
      <c r="I5" s="25"/>
      <c r="J5" s="25"/>
      <c r="K5" s="168"/>
      <c r="L5" s="169"/>
      <c r="M5" s="168"/>
      <c r="N5" s="169"/>
      <c r="O5" s="168"/>
      <c r="P5" s="169"/>
      <c r="Q5" s="168"/>
      <c r="R5" s="169"/>
      <c r="S5" s="168"/>
      <c r="T5" s="169"/>
      <c r="U5" s="213"/>
      <c r="V5" s="169"/>
      <c r="W5" s="168"/>
      <c r="X5" s="169"/>
      <c r="Y5" s="168"/>
      <c r="Z5" s="169"/>
      <c r="AA5" s="168"/>
      <c r="AB5" s="169"/>
      <c r="AC5" s="168"/>
      <c r="AD5" s="169"/>
      <c r="AE5" s="168"/>
      <c r="AF5" s="169"/>
      <c r="AG5" s="168"/>
      <c r="AH5" s="169"/>
      <c r="AI5" s="168"/>
      <c r="AJ5" s="169"/>
      <c r="AK5" s="168"/>
      <c r="AL5" s="169"/>
      <c r="AM5" s="168"/>
      <c r="AN5" s="169"/>
      <c r="AO5" s="207"/>
      <c r="AP5" s="208"/>
      <c r="AQ5" s="168"/>
      <c r="AR5" s="169"/>
      <c r="AS5" s="168"/>
      <c r="AT5" s="169"/>
      <c r="AU5" s="168"/>
      <c r="AV5" s="169"/>
      <c r="AW5" s="168"/>
      <c r="AX5" s="169"/>
      <c r="AY5" s="168"/>
      <c r="AZ5" s="169"/>
    </row>
    <row r="6" spans="1:53" ht="20" customHeight="1" x14ac:dyDescent="0.2">
      <c r="A6" s="67"/>
      <c r="B6" s="95"/>
      <c r="D6" s="140"/>
      <c r="G6" s="136" t="s">
        <v>24</v>
      </c>
      <c r="H6" s="147" t="s">
        <v>365</v>
      </c>
      <c r="I6" s="150" t="s">
        <v>363</v>
      </c>
      <c r="J6" s="153" t="s">
        <v>364</v>
      </c>
      <c r="K6" s="177" t="s">
        <v>276</v>
      </c>
      <c r="L6" s="172" t="s">
        <v>277</v>
      </c>
      <c r="M6" s="171" t="s">
        <v>276</v>
      </c>
      <c r="N6" s="172" t="s">
        <v>277</v>
      </c>
      <c r="O6" s="144" t="s">
        <v>276</v>
      </c>
      <c r="P6" s="172" t="s">
        <v>277</v>
      </c>
      <c r="Q6" s="144" t="s">
        <v>276</v>
      </c>
      <c r="R6" s="172" t="s">
        <v>277</v>
      </c>
      <c r="S6" s="144" t="s">
        <v>276</v>
      </c>
      <c r="T6" s="172" t="s">
        <v>277</v>
      </c>
      <c r="U6" s="174" t="s">
        <v>276</v>
      </c>
      <c r="V6" s="172" t="s">
        <v>277</v>
      </c>
      <c r="W6" s="144" t="s">
        <v>276</v>
      </c>
      <c r="X6" s="172" t="s">
        <v>277</v>
      </c>
      <c r="Y6" s="144" t="s">
        <v>276</v>
      </c>
      <c r="Z6" s="172" t="s">
        <v>277</v>
      </c>
      <c r="AA6" s="144" t="s">
        <v>276</v>
      </c>
      <c r="AB6" s="172" t="s">
        <v>277</v>
      </c>
      <c r="AC6" s="156" t="s">
        <v>276</v>
      </c>
      <c r="AD6" s="172" t="s">
        <v>277</v>
      </c>
      <c r="AE6" s="171" t="s">
        <v>276</v>
      </c>
      <c r="AF6" s="172" t="s">
        <v>277</v>
      </c>
      <c r="AG6" s="156" t="s">
        <v>276</v>
      </c>
      <c r="AH6" s="214" t="s">
        <v>277</v>
      </c>
      <c r="AI6" s="144" t="s">
        <v>276</v>
      </c>
      <c r="AJ6" s="172" t="s">
        <v>277</v>
      </c>
      <c r="AK6" s="144" t="s">
        <v>276</v>
      </c>
      <c r="AL6" s="172" t="s">
        <v>277</v>
      </c>
      <c r="AM6" s="144" t="s">
        <v>276</v>
      </c>
      <c r="AN6" s="172" t="s">
        <v>277</v>
      </c>
      <c r="AO6" s="174" t="s">
        <v>276</v>
      </c>
      <c r="AP6" s="172" t="s">
        <v>277</v>
      </c>
      <c r="AQ6" s="171" t="s">
        <v>276</v>
      </c>
      <c r="AR6" s="172" t="s">
        <v>277</v>
      </c>
      <c r="AS6" s="144" t="s">
        <v>276</v>
      </c>
      <c r="AT6" s="172" t="s">
        <v>277</v>
      </c>
      <c r="AU6" s="144" t="s">
        <v>276</v>
      </c>
      <c r="AV6" s="172" t="s">
        <v>277</v>
      </c>
      <c r="AW6" s="144" t="s">
        <v>276</v>
      </c>
      <c r="AX6" s="172" t="s">
        <v>277</v>
      </c>
      <c r="AY6" s="144" t="s">
        <v>276</v>
      </c>
      <c r="AZ6" s="172" t="s">
        <v>277</v>
      </c>
    </row>
    <row r="7" spans="1:53" ht="20" customHeight="1" thickBot="1" x14ac:dyDescent="0.25">
      <c r="A7" s="136" t="s">
        <v>285</v>
      </c>
      <c r="B7" s="138" t="s">
        <v>369</v>
      </c>
      <c r="D7" s="141"/>
      <c r="G7" s="136"/>
      <c r="H7" s="148"/>
      <c r="I7" s="151"/>
      <c r="J7" s="154"/>
      <c r="K7" s="178"/>
      <c r="L7" s="172"/>
      <c r="M7" s="171"/>
      <c r="N7" s="172"/>
      <c r="O7" s="144"/>
      <c r="P7" s="172"/>
      <c r="Q7" s="144"/>
      <c r="R7" s="172"/>
      <c r="S7" s="144"/>
      <c r="T7" s="172"/>
      <c r="U7" s="174"/>
      <c r="V7" s="172"/>
      <c r="W7" s="144"/>
      <c r="X7" s="172"/>
      <c r="Y7" s="144"/>
      <c r="Z7" s="172"/>
      <c r="AA7" s="144"/>
      <c r="AB7" s="172"/>
      <c r="AC7" s="157"/>
      <c r="AD7" s="172"/>
      <c r="AE7" s="171"/>
      <c r="AF7" s="172"/>
      <c r="AG7" s="157"/>
      <c r="AH7" s="215"/>
      <c r="AI7" s="144"/>
      <c r="AJ7" s="172"/>
      <c r="AK7" s="144"/>
      <c r="AL7" s="172"/>
      <c r="AM7" s="144"/>
      <c r="AN7" s="172"/>
      <c r="AO7" s="174"/>
      <c r="AP7" s="172"/>
      <c r="AQ7" s="144"/>
      <c r="AR7" s="172"/>
      <c r="AS7" s="144"/>
      <c r="AT7" s="172"/>
      <c r="AU7" s="144"/>
      <c r="AV7" s="172"/>
      <c r="AW7" s="144"/>
      <c r="AX7" s="172"/>
      <c r="AY7" s="144"/>
      <c r="AZ7" s="172"/>
    </row>
    <row r="8" spans="1:53" ht="20" customHeight="1" x14ac:dyDescent="0.2">
      <c r="A8" s="136"/>
      <c r="B8" s="138"/>
      <c r="G8" s="136"/>
      <c r="H8" s="148"/>
      <c r="I8" s="151"/>
      <c r="J8" s="154"/>
      <c r="K8" s="178"/>
      <c r="L8" s="172"/>
      <c r="M8" s="171"/>
      <c r="N8" s="172"/>
      <c r="O8" s="144"/>
      <c r="P8" s="172"/>
      <c r="Q8" s="144"/>
      <c r="R8" s="172"/>
      <c r="S8" s="144"/>
      <c r="T8" s="172"/>
      <c r="U8" s="174"/>
      <c r="V8" s="172"/>
      <c r="W8" s="144"/>
      <c r="X8" s="172"/>
      <c r="Y8" s="144"/>
      <c r="Z8" s="172"/>
      <c r="AA8" s="144"/>
      <c r="AB8" s="172"/>
      <c r="AC8" s="157"/>
      <c r="AD8" s="172"/>
      <c r="AE8" s="171"/>
      <c r="AF8" s="172"/>
      <c r="AG8" s="157"/>
      <c r="AH8" s="215"/>
      <c r="AI8" s="144"/>
      <c r="AJ8" s="172"/>
      <c r="AK8" s="144"/>
      <c r="AL8" s="172"/>
      <c r="AM8" s="144"/>
      <c r="AN8" s="172"/>
      <c r="AO8" s="174"/>
      <c r="AP8" s="172"/>
      <c r="AQ8" s="144"/>
      <c r="AR8" s="172"/>
      <c r="AS8" s="144"/>
      <c r="AT8" s="172"/>
      <c r="AU8" s="144"/>
      <c r="AV8" s="172"/>
      <c r="AW8" s="144"/>
      <c r="AX8" s="172"/>
      <c r="AY8" s="144"/>
      <c r="AZ8" s="172"/>
    </row>
    <row r="9" spans="1:53" ht="20" customHeight="1" x14ac:dyDescent="0.2">
      <c r="A9" s="136"/>
      <c r="B9" s="138"/>
      <c r="G9" s="136"/>
      <c r="H9" s="148"/>
      <c r="I9" s="151"/>
      <c r="J9" s="154"/>
      <c r="K9" s="178"/>
      <c r="L9" s="172"/>
      <c r="M9" s="171"/>
      <c r="N9" s="172"/>
      <c r="O9" s="144"/>
      <c r="P9" s="172"/>
      <c r="Q9" s="144"/>
      <c r="R9" s="172"/>
      <c r="S9" s="144"/>
      <c r="T9" s="172"/>
      <c r="U9" s="174"/>
      <c r="V9" s="172"/>
      <c r="W9" s="144"/>
      <c r="X9" s="172"/>
      <c r="Y9" s="144"/>
      <c r="Z9" s="172"/>
      <c r="AA9" s="144"/>
      <c r="AB9" s="172"/>
      <c r="AC9" s="157"/>
      <c r="AD9" s="172"/>
      <c r="AE9" s="171"/>
      <c r="AF9" s="172"/>
      <c r="AG9" s="157"/>
      <c r="AH9" s="215"/>
      <c r="AI9" s="144"/>
      <c r="AJ9" s="172"/>
      <c r="AK9" s="144"/>
      <c r="AL9" s="172"/>
      <c r="AM9" s="144"/>
      <c r="AN9" s="172"/>
      <c r="AO9" s="174"/>
      <c r="AP9" s="172"/>
      <c r="AQ9" s="144"/>
      <c r="AR9" s="172"/>
      <c r="AS9" s="144"/>
      <c r="AT9" s="172"/>
      <c r="AU9" s="144"/>
      <c r="AV9" s="172"/>
      <c r="AW9" s="144"/>
      <c r="AX9" s="172"/>
      <c r="AY9" s="144"/>
      <c r="AZ9" s="172"/>
    </row>
    <row r="10" spans="1:53" s="23" customFormat="1" ht="20" customHeight="1" thickBot="1" x14ac:dyDescent="0.25">
      <c r="A10" s="137"/>
      <c r="B10" s="139"/>
      <c r="C10" s="22" t="s">
        <v>20</v>
      </c>
      <c r="D10" s="21" t="s">
        <v>21</v>
      </c>
      <c r="E10" s="21" t="s">
        <v>22</v>
      </c>
      <c r="F10" s="22" t="s">
        <v>23</v>
      </c>
      <c r="G10" s="146"/>
      <c r="H10" s="149"/>
      <c r="I10" s="152"/>
      <c r="J10" s="155"/>
      <c r="K10" s="179"/>
      <c r="L10" s="173"/>
      <c r="M10" s="176"/>
      <c r="N10" s="173"/>
      <c r="O10" s="145"/>
      <c r="P10" s="173"/>
      <c r="Q10" s="145"/>
      <c r="R10" s="173"/>
      <c r="S10" s="145"/>
      <c r="T10" s="173"/>
      <c r="U10" s="175"/>
      <c r="V10" s="173"/>
      <c r="W10" s="145"/>
      <c r="X10" s="173"/>
      <c r="Y10" s="145"/>
      <c r="Z10" s="173"/>
      <c r="AA10" s="145"/>
      <c r="AB10" s="173"/>
      <c r="AC10" s="158"/>
      <c r="AD10" s="173"/>
      <c r="AE10" s="176"/>
      <c r="AF10" s="173"/>
      <c r="AG10" s="158"/>
      <c r="AH10" s="216"/>
      <c r="AI10" s="145"/>
      <c r="AJ10" s="173"/>
      <c r="AK10" s="145"/>
      <c r="AL10" s="173"/>
      <c r="AM10" s="145"/>
      <c r="AN10" s="173"/>
      <c r="AO10" s="175"/>
      <c r="AP10" s="173"/>
      <c r="AQ10" s="145"/>
      <c r="AR10" s="173"/>
      <c r="AS10" s="145"/>
      <c r="AT10" s="173"/>
      <c r="AU10" s="145"/>
      <c r="AV10" s="173"/>
      <c r="AW10" s="145"/>
      <c r="AX10" s="173"/>
      <c r="AY10" s="145"/>
      <c r="AZ10" s="173"/>
      <c r="BA10" s="21" t="s">
        <v>25</v>
      </c>
    </row>
    <row r="11" spans="1:53" ht="20" customHeight="1" x14ac:dyDescent="0.2">
      <c r="A11" s="68"/>
      <c r="B11" s="95"/>
      <c r="C11" s="25" t="s">
        <v>86</v>
      </c>
      <c r="D11" s="24" t="s">
        <v>26</v>
      </c>
      <c r="E11" s="24" t="s">
        <v>27</v>
      </c>
      <c r="F11" s="25">
        <v>2008</v>
      </c>
      <c r="G11" s="25">
        <v>165</v>
      </c>
      <c r="H11" s="71">
        <v>107</v>
      </c>
      <c r="I11" s="72" t="s">
        <v>171</v>
      </c>
      <c r="J11" s="73"/>
      <c r="K11" s="74"/>
      <c r="L11" s="75" t="str">
        <f t="shared" ref="L11:L39" si="0">IF((ISERROR((K11/$H11)*100)), "", IF(AND(NOT(ISERROR((K11/$H11)*100)),((K11/$H11)*100) &lt;&gt; 0), (K11/$H11)*100, ""))</f>
        <v/>
      </c>
      <c r="M11" s="74"/>
      <c r="N11" s="75" t="str">
        <f t="shared" ref="N11:N42" si="1">IF((ISERROR((M11/$H11)*100)), "", IF(AND(NOT(ISERROR((M11/$H11)*100)),((M11/$H11)*100) &lt;&gt; 0), (M11/$H11)*100, ""))</f>
        <v/>
      </c>
      <c r="O11" s="74"/>
      <c r="P11" s="75" t="str">
        <f t="shared" ref="P11:P42" si="2">IF((ISERROR((O11/$H11)*100)), "", IF(AND(NOT(ISERROR((O11/$H11)*100)),((O11/$H11)*100) &lt;&gt; 0), (O11/$H11)*100, ""))</f>
        <v/>
      </c>
      <c r="Q11" s="76"/>
      <c r="R11" s="77" t="str">
        <f t="shared" ref="R11:R42" si="3">IF((ISERROR((Q11/$H11)*100)), "", IF(AND(NOT(ISERROR((Q11/$H11)*100)),((Q11/$H11)*100) &lt;&gt; 0), (Q11/$H11)*100, ""))</f>
        <v/>
      </c>
      <c r="S11" s="76"/>
      <c r="T11" s="77" t="str">
        <f t="shared" ref="T11:T42" si="4">IF((ISERROR((S11/$H11)*100)), "", IF(AND(NOT(ISERROR((S11/$H11)*100)),((S11/$H11)*100) &lt;&gt; 0), (S11/$H11)*100, ""))</f>
        <v/>
      </c>
      <c r="U11" s="78"/>
      <c r="V11" s="43" t="str">
        <f t="shared" ref="V11:V22" si="5">IF((ISERROR((U11/$H11)*100)), "", IF(AND(NOT(ISERROR((U11/$H11)*100)),((U11/$H11)*100) &lt;&gt; 0), (U11/$H11)*100, ""))</f>
        <v/>
      </c>
      <c r="W11" s="76"/>
      <c r="X11" s="77" t="str">
        <f t="shared" ref="X11:X42" si="6">IF((ISERROR((W11/$H11)*100)), "", IF(AND(NOT(ISERROR((W11/$H11)*100)),((W11/$H11)*100) &lt;&gt; 0), (W11/$H11)*100, ""))</f>
        <v/>
      </c>
      <c r="Y11" s="76"/>
      <c r="Z11" s="77" t="str">
        <f t="shared" ref="Z11:Z42" si="7">IF((ISERROR((Y11/$H11)*100)), "", IF(AND(NOT(ISERROR((Y11/$H11)*100)),((Y11/$H11)*100) &lt;&gt; 0), (Y11/$H11)*100, ""))</f>
        <v/>
      </c>
      <c r="AA11" s="76"/>
      <c r="AB11" s="77" t="str">
        <f t="shared" ref="AB11:AB39" si="8">IF((ISERROR((AA11/$H11)*100)), "", IF(AND(NOT(ISERROR((AA11/$H11)*100)),((AA11/$H11)*100) &lt;&gt; 0), (AA11/$H11)*100, ""))</f>
        <v/>
      </c>
      <c r="AC11" s="76"/>
      <c r="AD11" s="77" t="str">
        <f t="shared" ref="AD11:AD42" si="9">IF((ISERROR((AC11/$H11)*100)), "", IF(AND(NOT(ISERROR((AC11/$H11)*100)),((AC11/$H11)*100) &lt;&gt; 0), (AC11/$H11)*100, ""))</f>
        <v/>
      </c>
      <c r="AE11" s="76"/>
      <c r="AF11" s="77" t="str">
        <f t="shared" ref="AF11:AF42" si="10">IF((ISERROR((AE11/$H11)*100)), "", IF(AND(NOT(ISERROR((AE11/$H11)*100)),((AE11/$H11)*100) &lt;&gt; 0), (AE11/$H11)*100, ""))</f>
        <v/>
      </c>
      <c r="AG11" s="74"/>
      <c r="AH11" s="75" t="str">
        <f>IF((ISERROR((AG11/$H11)*100)), "", IF(AND(NOT(ISERROR((AG11/$H11)*100)),((AG11/$H11)*100) &lt;&gt; 0), (AG11/$H11)*100, ""))</f>
        <v/>
      </c>
      <c r="AI11" s="76"/>
      <c r="AJ11" s="77" t="str">
        <f t="shared" ref="AJ11:AJ42" si="11">IF((ISERROR((AI11/$H11)*100)), "", IF(AND(NOT(ISERROR((AI11/$H11)*100)),((AI11/$H11)*100) &lt;&gt; 0), (AI11/$H11)*100, ""))</f>
        <v/>
      </c>
      <c r="AK11" s="76"/>
      <c r="AL11" s="77" t="str">
        <f t="shared" ref="AL11:AL42" si="12">IF((ISERROR((AK11/$H11)*100)), "", IF(AND(NOT(ISERROR((AK11/$H11)*100)),((AK11/$H11)*100) &lt;&gt; 0), (AK11/$H11)*100, ""))</f>
        <v/>
      </c>
      <c r="AM11" s="74"/>
      <c r="AN11" s="75" t="str">
        <f t="shared" ref="AN11:AT42" si="13">IF((ISERROR((AM11/$H11)*100)), "", IF(AND(NOT(ISERROR((AM11/$H11)*100)),((AM11/$H11)*100) &lt;&gt; 0), (AM11/$H11)*100, ""))</f>
        <v/>
      </c>
      <c r="AO11" s="78"/>
      <c r="AP11" s="43" t="str">
        <f t="shared" ref="AP11:AP42" si="14">IF((ISERROR((AO11/$H11)*100)), "", IF(AND(NOT(ISERROR((AO11/$H11)*100)),((AO11/$H11)*100) &lt;&gt; 0), (AO11/$H11)*100, ""))</f>
        <v/>
      </c>
      <c r="AQ11" s="76"/>
      <c r="AR11" s="77" t="str">
        <f t="shared" ref="AR11:AR42" si="15">IF((ISERROR((AQ11/$H11)*100)), "", IF(AND(NOT(ISERROR((AQ11/$H11)*100)),((AQ11/$H11)*100) &lt;&gt; 0), (AQ11/$H11)*100, ""))</f>
        <v/>
      </c>
      <c r="AS11" s="76"/>
      <c r="AT11" s="77" t="str">
        <f t="shared" si="13"/>
        <v/>
      </c>
      <c r="AU11" s="76"/>
      <c r="AV11" s="77" t="str">
        <f t="shared" ref="AV11:AV28" si="16">IF((ISERROR((AU11/$H11)*100)), "", IF(AND(NOT(ISERROR((AU11/$H11)*100)),((AU11/$H11)*100) &lt;&gt; 0), (AU11/$H11)*100, ""))</f>
        <v/>
      </c>
      <c r="AW11" s="76"/>
      <c r="AX11" s="77" t="str">
        <f t="shared" ref="AX11:AX42" si="17">IF((ISERROR((AW11/$H11)*100)), "", IF(AND(NOT(ISERROR((AW11/$H11)*100)),((AW11/$H11)*100) &lt;&gt; 0), (AW11/$H11)*100, ""))</f>
        <v/>
      </c>
      <c r="AY11" s="76"/>
      <c r="AZ11" s="77" t="str">
        <f t="shared" ref="AZ11:AZ42" si="18">IF((ISERROR((AY11/$H11)*100)), "", IF(AND(NOT(ISERROR((AY11/$H11)*100)),((AY11/$H11)*100) &lt;&gt; 0), (AY11/$H11)*100, ""))</f>
        <v/>
      </c>
      <c r="BA11" s="24" t="s">
        <v>170</v>
      </c>
    </row>
    <row r="12" spans="1:53" ht="20" customHeight="1" x14ac:dyDescent="0.2">
      <c r="A12" s="68"/>
      <c r="B12" s="95"/>
      <c r="C12" s="25" t="s">
        <v>86</v>
      </c>
      <c r="D12" s="24" t="s">
        <v>33</v>
      </c>
      <c r="E12" s="24" t="s">
        <v>34</v>
      </c>
      <c r="F12" s="25">
        <v>2003</v>
      </c>
      <c r="G12" s="25">
        <v>291</v>
      </c>
      <c r="H12" s="29">
        <v>14</v>
      </c>
      <c r="I12" s="28" t="s">
        <v>172</v>
      </c>
      <c r="J12" s="39"/>
      <c r="K12" s="40"/>
      <c r="L12" s="43" t="str">
        <f t="shared" si="0"/>
        <v/>
      </c>
      <c r="M12" s="40"/>
      <c r="N12" s="43" t="str">
        <f t="shared" si="1"/>
        <v/>
      </c>
      <c r="O12" s="40">
        <v>2</v>
      </c>
      <c r="P12" s="43">
        <f t="shared" si="2"/>
        <v>14.285714285714285</v>
      </c>
      <c r="Q12" s="40"/>
      <c r="R12" s="43" t="str">
        <f t="shared" si="3"/>
        <v/>
      </c>
      <c r="S12" s="40"/>
      <c r="T12" s="43" t="str">
        <f t="shared" si="4"/>
        <v/>
      </c>
      <c r="U12" s="86"/>
      <c r="V12" s="43" t="str">
        <f t="shared" si="5"/>
        <v/>
      </c>
      <c r="W12" s="40"/>
      <c r="X12" s="43" t="str">
        <f t="shared" si="6"/>
        <v/>
      </c>
      <c r="Y12" s="40"/>
      <c r="Z12" s="43" t="str">
        <f t="shared" si="7"/>
        <v/>
      </c>
      <c r="AA12" s="40"/>
      <c r="AB12" s="43" t="str">
        <f t="shared" si="8"/>
        <v/>
      </c>
      <c r="AC12" s="40"/>
      <c r="AD12" s="43" t="str">
        <f t="shared" si="9"/>
        <v/>
      </c>
      <c r="AE12" s="40">
        <v>1</v>
      </c>
      <c r="AF12" s="43">
        <f t="shared" si="10"/>
        <v>7.1428571428571423</v>
      </c>
      <c r="AG12" s="40">
        <v>2</v>
      </c>
      <c r="AH12" s="43">
        <f t="shared" ref="AH12:AH29" si="19">IF((ISERROR((AG12/$H12)*100)), "", IF(AND(NOT(ISERROR((AG12/$H12)*100)),((AG12/$H12)*100) &lt;&gt; 0), (AG12/$H12)*100, ""))</f>
        <v>14.285714285714285</v>
      </c>
      <c r="AI12" s="40"/>
      <c r="AJ12" s="43" t="str">
        <f t="shared" si="11"/>
        <v/>
      </c>
      <c r="AK12" s="40"/>
      <c r="AL12" s="43" t="str">
        <f t="shared" si="12"/>
        <v/>
      </c>
      <c r="AM12" s="40"/>
      <c r="AN12" s="43" t="str">
        <f t="shared" si="13"/>
        <v/>
      </c>
      <c r="AO12" s="86"/>
      <c r="AP12" s="43" t="str">
        <f t="shared" si="14"/>
        <v/>
      </c>
      <c r="AQ12" s="40"/>
      <c r="AR12" s="43" t="str">
        <f t="shared" si="15"/>
        <v/>
      </c>
      <c r="AS12" s="40"/>
      <c r="AT12" s="43" t="str">
        <f t="shared" si="13"/>
        <v/>
      </c>
      <c r="AU12" s="40"/>
      <c r="AV12" s="43" t="str">
        <f t="shared" si="16"/>
        <v/>
      </c>
      <c r="AW12" s="40"/>
      <c r="AX12" s="43" t="str">
        <f t="shared" si="17"/>
        <v/>
      </c>
      <c r="AY12" s="40"/>
      <c r="AZ12" s="43" t="str">
        <f t="shared" si="18"/>
        <v/>
      </c>
      <c r="BA12" s="24" t="s">
        <v>372</v>
      </c>
    </row>
    <row r="13" spans="1:53" ht="20" customHeight="1" x14ac:dyDescent="0.2">
      <c r="A13" s="67"/>
      <c r="B13" s="95"/>
      <c r="C13" s="25" t="s">
        <v>86</v>
      </c>
      <c r="D13" s="24" t="s">
        <v>291</v>
      </c>
      <c r="E13" s="24" t="s">
        <v>292</v>
      </c>
      <c r="F13" s="25">
        <v>2008</v>
      </c>
      <c r="H13" s="29">
        <v>24</v>
      </c>
      <c r="I13" s="28" t="s">
        <v>246</v>
      </c>
      <c r="J13" s="39" t="s">
        <v>373</v>
      </c>
      <c r="K13" s="40"/>
      <c r="L13" s="43" t="str">
        <f t="shared" si="0"/>
        <v/>
      </c>
      <c r="M13" s="40"/>
      <c r="N13" s="43" t="str">
        <f t="shared" si="1"/>
        <v/>
      </c>
      <c r="O13" s="40"/>
      <c r="P13" s="43" t="str">
        <f t="shared" si="2"/>
        <v/>
      </c>
      <c r="Q13" s="40"/>
      <c r="R13" s="43" t="str">
        <f t="shared" si="3"/>
        <v/>
      </c>
      <c r="S13" s="40"/>
      <c r="T13" s="43" t="str">
        <f t="shared" si="4"/>
        <v/>
      </c>
      <c r="U13" s="86"/>
      <c r="V13" s="43" t="str">
        <f t="shared" si="5"/>
        <v/>
      </c>
      <c r="W13" s="40"/>
      <c r="X13" s="43" t="str">
        <f t="shared" si="6"/>
        <v/>
      </c>
      <c r="Y13" s="40"/>
      <c r="Z13" s="43" t="str">
        <f t="shared" si="7"/>
        <v/>
      </c>
      <c r="AA13" s="40"/>
      <c r="AB13" s="43" t="str">
        <f t="shared" si="8"/>
        <v/>
      </c>
      <c r="AC13" s="40"/>
      <c r="AD13" s="43" t="str">
        <f t="shared" si="9"/>
        <v/>
      </c>
      <c r="AE13" s="40"/>
      <c r="AF13" s="43" t="str">
        <f t="shared" si="10"/>
        <v/>
      </c>
      <c r="AG13" s="40">
        <v>1</v>
      </c>
      <c r="AH13" s="43">
        <f t="shared" si="19"/>
        <v>4.1666666666666661</v>
      </c>
      <c r="AI13" s="40"/>
      <c r="AJ13" s="43" t="str">
        <f t="shared" si="11"/>
        <v/>
      </c>
      <c r="AK13" s="40"/>
      <c r="AL13" s="43" t="str">
        <f t="shared" si="12"/>
        <v/>
      </c>
      <c r="AM13" s="40"/>
      <c r="AN13" s="43" t="str">
        <f t="shared" si="13"/>
        <v/>
      </c>
      <c r="AO13" s="86"/>
      <c r="AP13" s="43" t="str">
        <f t="shared" si="14"/>
        <v/>
      </c>
      <c r="AQ13" s="40"/>
      <c r="AR13" s="43" t="str">
        <f t="shared" si="15"/>
        <v/>
      </c>
      <c r="AS13" s="40"/>
      <c r="AT13" s="43" t="str">
        <f t="shared" si="13"/>
        <v/>
      </c>
      <c r="AU13" s="40"/>
      <c r="AV13" s="43" t="str">
        <f t="shared" si="16"/>
        <v/>
      </c>
      <c r="AW13" s="40"/>
      <c r="AX13" s="43" t="str">
        <f t="shared" si="17"/>
        <v/>
      </c>
      <c r="AY13" s="40"/>
      <c r="AZ13" s="43" t="str">
        <f t="shared" si="18"/>
        <v/>
      </c>
    </row>
    <row r="14" spans="1:53" ht="20" customHeight="1" x14ac:dyDescent="0.2">
      <c r="A14" s="68"/>
      <c r="B14" s="95"/>
      <c r="C14" s="25" t="s">
        <v>86</v>
      </c>
      <c r="D14" s="24" t="s">
        <v>36</v>
      </c>
      <c r="E14" s="24" t="s">
        <v>37</v>
      </c>
      <c r="F14" s="25">
        <v>2008</v>
      </c>
      <c r="G14" s="25">
        <v>40</v>
      </c>
      <c r="H14" s="29">
        <v>51</v>
      </c>
      <c r="I14" s="28"/>
      <c r="J14" s="39" t="s">
        <v>176</v>
      </c>
      <c r="K14" s="40"/>
      <c r="L14" s="43" t="str">
        <f t="shared" si="0"/>
        <v/>
      </c>
      <c r="M14" s="40"/>
      <c r="N14" s="43" t="str">
        <f t="shared" si="1"/>
        <v/>
      </c>
      <c r="O14" s="40"/>
      <c r="P14" s="43" t="str">
        <f t="shared" si="2"/>
        <v/>
      </c>
      <c r="Q14" s="40"/>
      <c r="R14" s="43" t="str">
        <f t="shared" si="3"/>
        <v/>
      </c>
      <c r="S14" s="40"/>
      <c r="T14" s="43" t="str">
        <f t="shared" si="4"/>
        <v/>
      </c>
      <c r="U14" s="86"/>
      <c r="V14" s="43" t="str">
        <f t="shared" si="5"/>
        <v/>
      </c>
      <c r="W14" s="40"/>
      <c r="X14" s="43" t="str">
        <f t="shared" si="6"/>
        <v/>
      </c>
      <c r="Y14" s="40"/>
      <c r="Z14" s="43" t="str">
        <f t="shared" si="7"/>
        <v/>
      </c>
      <c r="AA14" s="40"/>
      <c r="AB14" s="43" t="str">
        <f t="shared" si="8"/>
        <v/>
      </c>
      <c r="AC14" s="40"/>
      <c r="AD14" s="43" t="str">
        <f t="shared" si="9"/>
        <v/>
      </c>
      <c r="AE14" s="40"/>
      <c r="AF14" s="43" t="str">
        <f t="shared" si="10"/>
        <v/>
      </c>
      <c r="AG14" s="40"/>
      <c r="AH14" s="43" t="str">
        <f t="shared" si="19"/>
        <v/>
      </c>
      <c r="AI14" s="40"/>
      <c r="AJ14" s="43" t="str">
        <f t="shared" si="11"/>
        <v/>
      </c>
      <c r="AK14" s="40"/>
      <c r="AL14" s="43" t="str">
        <f t="shared" si="12"/>
        <v/>
      </c>
      <c r="AM14" s="40"/>
      <c r="AN14" s="43" t="str">
        <f t="shared" si="13"/>
        <v/>
      </c>
      <c r="AO14" s="47"/>
      <c r="AP14" s="46" t="str">
        <f t="shared" si="14"/>
        <v/>
      </c>
      <c r="AQ14" s="40"/>
      <c r="AR14" s="43" t="str">
        <f t="shared" si="15"/>
        <v/>
      </c>
      <c r="AS14" s="40"/>
      <c r="AT14" s="43" t="str">
        <f t="shared" si="13"/>
        <v/>
      </c>
      <c r="AU14" s="40"/>
      <c r="AV14" s="43" t="str">
        <f t="shared" si="16"/>
        <v/>
      </c>
      <c r="AW14" s="40"/>
      <c r="AX14" s="43" t="str">
        <f t="shared" si="17"/>
        <v/>
      </c>
      <c r="AY14" s="40"/>
      <c r="AZ14" s="43" t="str">
        <f t="shared" si="18"/>
        <v/>
      </c>
      <c r="BA14" s="24" t="s">
        <v>179</v>
      </c>
    </row>
    <row r="15" spans="1:53" ht="20" customHeight="1" x14ac:dyDescent="0.2">
      <c r="A15" s="67"/>
      <c r="B15" s="95"/>
      <c r="C15" s="25" t="s">
        <v>86</v>
      </c>
      <c r="D15" s="24" t="s">
        <v>41</v>
      </c>
      <c r="E15" s="24" t="s">
        <v>42</v>
      </c>
      <c r="F15" s="25">
        <v>2004</v>
      </c>
      <c r="G15" s="25">
        <v>79</v>
      </c>
      <c r="H15" s="29">
        <v>22</v>
      </c>
      <c r="I15" s="28" t="s">
        <v>174</v>
      </c>
      <c r="J15" s="39" t="s">
        <v>176</v>
      </c>
      <c r="K15" s="40"/>
      <c r="L15" s="43" t="str">
        <f t="shared" si="0"/>
        <v/>
      </c>
      <c r="M15" s="40"/>
      <c r="N15" s="43" t="str">
        <f t="shared" si="1"/>
        <v/>
      </c>
      <c r="O15" s="40"/>
      <c r="P15" s="43" t="str">
        <f t="shared" si="2"/>
        <v/>
      </c>
      <c r="Q15" s="40"/>
      <c r="R15" s="43" t="str">
        <f t="shared" si="3"/>
        <v/>
      </c>
      <c r="S15" s="40"/>
      <c r="T15" s="43" t="str">
        <f t="shared" si="4"/>
        <v/>
      </c>
      <c r="U15" s="86"/>
      <c r="V15" s="43" t="str">
        <f t="shared" si="5"/>
        <v/>
      </c>
      <c r="W15" s="40"/>
      <c r="X15" s="43" t="str">
        <f t="shared" si="6"/>
        <v/>
      </c>
      <c r="Y15" s="40"/>
      <c r="Z15" s="43" t="str">
        <f t="shared" si="7"/>
        <v/>
      </c>
      <c r="AA15" s="40"/>
      <c r="AB15" s="43" t="str">
        <f t="shared" si="8"/>
        <v/>
      </c>
      <c r="AC15" s="40"/>
      <c r="AD15" s="43" t="str">
        <f t="shared" si="9"/>
        <v/>
      </c>
      <c r="AE15" s="40"/>
      <c r="AF15" s="43" t="str">
        <f t="shared" si="10"/>
        <v/>
      </c>
      <c r="AG15" s="40">
        <v>5</v>
      </c>
      <c r="AH15" s="43">
        <f t="shared" si="19"/>
        <v>22.727272727272727</v>
      </c>
      <c r="AI15" s="40"/>
      <c r="AJ15" s="43" t="str">
        <f t="shared" si="11"/>
        <v/>
      </c>
      <c r="AK15" s="40"/>
      <c r="AL15" s="43" t="str">
        <f t="shared" si="12"/>
        <v/>
      </c>
      <c r="AM15" s="40"/>
      <c r="AN15" s="43" t="str">
        <f t="shared" si="13"/>
        <v/>
      </c>
      <c r="AO15" s="86"/>
      <c r="AP15" s="43" t="str">
        <f t="shared" si="14"/>
        <v/>
      </c>
      <c r="AQ15" s="40"/>
      <c r="AR15" s="43" t="str">
        <f t="shared" si="15"/>
        <v/>
      </c>
      <c r="AS15" s="40"/>
      <c r="AT15" s="43" t="str">
        <f t="shared" si="13"/>
        <v/>
      </c>
      <c r="AU15" s="40"/>
      <c r="AV15" s="43" t="str">
        <f t="shared" si="16"/>
        <v/>
      </c>
      <c r="AW15" s="40"/>
      <c r="AX15" s="43" t="str">
        <f t="shared" si="17"/>
        <v/>
      </c>
      <c r="AY15" s="40"/>
      <c r="AZ15" s="43" t="str">
        <f t="shared" si="18"/>
        <v/>
      </c>
      <c r="BA15" s="24" t="s">
        <v>177</v>
      </c>
    </row>
    <row r="16" spans="1:53" ht="20" customHeight="1" x14ac:dyDescent="0.2">
      <c r="A16" s="67"/>
      <c r="B16" s="95"/>
      <c r="C16" s="25" t="s">
        <v>86</v>
      </c>
      <c r="D16" s="24" t="s">
        <v>43</v>
      </c>
      <c r="E16" s="24" t="s">
        <v>44</v>
      </c>
      <c r="F16" s="25">
        <v>1976</v>
      </c>
      <c r="G16" s="25">
        <v>179</v>
      </c>
      <c r="H16" s="29">
        <v>8</v>
      </c>
      <c r="I16" s="91" t="s">
        <v>374</v>
      </c>
      <c r="J16" s="39"/>
      <c r="K16" s="45">
        <v>1</v>
      </c>
      <c r="L16" s="46">
        <f t="shared" si="0"/>
        <v>12.5</v>
      </c>
      <c r="M16" s="45">
        <v>2</v>
      </c>
      <c r="N16" s="46">
        <f t="shared" si="1"/>
        <v>25</v>
      </c>
      <c r="O16" s="45">
        <v>1</v>
      </c>
      <c r="P16" s="46">
        <f t="shared" si="2"/>
        <v>12.5</v>
      </c>
      <c r="Q16" s="45">
        <v>5</v>
      </c>
      <c r="R16" s="46">
        <f t="shared" si="3"/>
        <v>62.5</v>
      </c>
      <c r="S16" s="45">
        <v>2</v>
      </c>
      <c r="T16" s="46">
        <f t="shared" si="4"/>
        <v>25</v>
      </c>
      <c r="U16" s="86">
        <v>1</v>
      </c>
      <c r="V16" s="43">
        <f t="shared" si="5"/>
        <v>12.5</v>
      </c>
      <c r="W16" s="40"/>
      <c r="X16" s="43" t="str">
        <f t="shared" si="6"/>
        <v/>
      </c>
      <c r="Y16" s="45">
        <v>1</v>
      </c>
      <c r="Z16" s="46">
        <f t="shared" si="7"/>
        <v>12.5</v>
      </c>
      <c r="AA16" s="45">
        <v>1</v>
      </c>
      <c r="AB16" s="46">
        <f t="shared" si="8"/>
        <v>12.5</v>
      </c>
      <c r="AC16" s="40"/>
      <c r="AD16" s="43" t="str">
        <f t="shared" si="9"/>
        <v/>
      </c>
      <c r="AE16" s="45">
        <v>1</v>
      </c>
      <c r="AF16" s="46">
        <f t="shared" si="10"/>
        <v>12.5</v>
      </c>
      <c r="AG16" s="40"/>
      <c r="AH16" s="43" t="str">
        <f t="shared" si="19"/>
        <v/>
      </c>
      <c r="AI16" s="45">
        <v>1</v>
      </c>
      <c r="AJ16" s="46">
        <f t="shared" si="11"/>
        <v>12.5</v>
      </c>
      <c r="AK16" s="40"/>
      <c r="AL16" s="43" t="str">
        <f t="shared" si="12"/>
        <v/>
      </c>
      <c r="AM16" s="40"/>
      <c r="AN16" s="43" t="str">
        <f t="shared" si="13"/>
        <v/>
      </c>
      <c r="AO16" s="86"/>
      <c r="AP16" s="43" t="str">
        <f t="shared" si="14"/>
        <v/>
      </c>
      <c r="AQ16" s="40"/>
      <c r="AR16" s="43" t="str">
        <f t="shared" si="15"/>
        <v/>
      </c>
      <c r="AS16" s="40"/>
      <c r="AT16" s="43" t="str">
        <f t="shared" si="13"/>
        <v/>
      </c>
      <c r="AU16" s="45"/>
      <c r="AV16" s="46" t="str">
        <f t="shared" si="16"/>
        <v/>
      </c>
      <c r="AW16" s="45"/>
      <c r="AX16" s="46" t="str">
        <f t="shared" si="17"/>
        <v/>
      </c>
      <c r="AY16" s="40"/>
      <c r="AZ16" s="43" t="str">
        <f t="shared" si="18"/>
        <v/>
      </c>
      <c r="BA16" s="24" t="s">
        <v>198</v>
      </c>
    </row>
    <row r="17" spans="1:53" ht="20" customHeight="1" x14ac:dyDescent="0.2">
      <c r="A17" s="67"/>
      <c r="B17" s="95"/>
      <c r="C17" s="25" t="s">
        <v>86</v>
      </c>
      <c r="D17" s="24" t="s">
        <v>299</v>
      </c>
      <c r="E17" s="24" t="s">
        <v>300</v>
      </c>
      <c r="F17" s="25">
        <v>2013</v>
      </c>
      <c r="H17" s="29">
        <v>12</v>
      </c>
      <c r="I17" s="28" t="s">
        <v>238</v>
      </c>
      <c r="J17" s="39" t="s">
        <v>377</v>
      </c>
      <c r="K17" s="40"/>
      <c r="L17" s="43" t="str">
        <f t="shared" si="0"/>
        <v/>
      </c>
      <c r="M17" s="40"/>
      <c r="N17" s="43" t="str">
        <f t="shared" si="1"/>
        <v/>
      </c>
      <c r="O17" s="45"/>
      <c r="P17" s="46" t="str">
        <f t="shared" si="2"/>
        <v/>
      </c>
      <c r="Q17" s="40"/>
      <c r="R17" s="43" t="str">
        <f t="shared" si="3"/>
        <v/>
      </c>
      <c r="S17" s="40"/>
      <c r="T17" s="43" t="str">
        <f t="shared" si="4"/>
        <v/>
      </c>
      <c r="U17" s="47"/>
      <c r="V17" s="46" t="str">
        <f t="shared" si="5"/>
        <v/>
      </c>
      <c r="W17" s="40"/>
      <c r="X17" s="43" t="str">
        <f t="shared" si="6"/>
        <v/>
      </c>
      <c r="Y17" s="40"/>
      <c r="Z17" s="43" t="str">
        <f t="shared" si="7"/>
        <v/>
      </c>
      <c r="AA17" s="40"/>
      <c r="AB17" s="43" t="str">
        <f t="shared" si="8"/>
        <v/>
      </c>
      <c r="AC17" s="40"/>
      <c r="AD17" s="43" t="str">
        <f t="shared" si="9"/>
        <v/>
      </c>
      <c r="AE17" s="40"/>
      <c r="AF17" s="43" t="str">
        <f t="shared" si="10"/>
        <v/>
      </c>
      <c r="AG17" s="40"/>
      <c r="AH17" s="43" t="str">
        <f t="shared" si="19"/>
        <v/>
      </c>
      <c r="AI17" s="40"/>
      <c r="AJ17" s="43" t="str">
        <f t="shared" si="11"/>
        <v/>
      </c>
      <c r="AK17" s="40"/>
      <c r="AL17" s="43" t="str">
        <f t="shared" si="12"/>
        <v/>
      </c>
      <c r="AM17" s="40"/>
      <c r="AN17" s="43" t="str">
        <f t="shared" si="13"/>
        <v/>
      </c>
      <c r="AO17" s="86"/>
      <c r="AP17" s="43" t="str">
        <f t="shared" si="14"/>
        <v/>
      </c>
      <c r="AQ17" s="40"/>
      <c r="AR17" s="43" t="str">
        <f t="shared" si="15"/>
        <v/>
      </c>
      <c r="AS17" s="40"/>
      <c r="AT17" s="43" t="str">
        <f t="shared" si="13"/>
        <v/>
      </c>
      <c r="AU17" s="40"/>
      <c r="AV17" s="43" t="str">
        <f t="shared" si="16"/>
        <v/>
      </c>
      <c r="AW17" s="40"/>
      <c r="AX17" s="43" t="str">
        <f t="shared" si="17"/>
        <v/>
      </c>
      <c r="AY17" s="40"/>
      <c r="AZ17" s="43" t="str">
        <f t="shared" si="18"/>
        <v/>
      </c>
      <c r="BA17" s="24" t="s">
        <v>378</v>
      </c>
    </row>
    <row r="18" spans="1:53" ht="20" customHeight="1" x14ac:dyDescent="0.2">
      <c r="A18" s="67"/>
      <c r="B18" s="95"/>
      <c r="C18" s="25" t="s">
        <v>86</v>
      </c>
      <c r="D18" s="24" t="s">
        <v>301</v>
      </c>
      <c r="E18" s="24" t="s">
        <v>302</v>
      </c>
      <c r="F18" s="25">
        <v>2000</v>
      </c>
      <c r="H18" s="29">
        <v>9</v>
      </c>
      <c r="I18" s="28" t="s">
        <v>246</v>
      </c>
      <c r="J18" s="39" t="s">
        <v>176</v>
      </c>
      <c r="K18" s="40"/>
      <c r="L18" s="43" t="str">
        <f t="shared" si="0"/>
        <v/>
      </c>
      <c r="M18" s="40"/>
      <c r="N18" s="43" t="str">
        <f t="shared" si="1"/>
        <v/>
      </c>
      <c r="O18" s="40">
        <v>1</v>
      </c>
      <c r="P18" s="43">
        <f t="shared" si="2"/>
        <v>11.111111111111111</v>
      </c>
      <c r="Q18" s="40">
        <v>1</v>
      </c>
      <c r="R18" s="43">
        <f t="shared" si="3"/>
        <v>11.111111111111111</v>
      </c>
      <c r="S18" s="40"/>
      <c r="T18" s="43" t="str">
        <f t="shared" si="4"/>
        <v/>
      </c>
      <c r="U18" s="86">
        <v>1</v>
      </c>
      <c r="V18" s="43">
        <f t="shared" si="5"/>
        <v>11.111111111111111</v>
      </c>
      <c r="W18" s="40"/>
      <c r="X18" s="43" t="str">
        <f t="shared" si="6"/>
        <v/>
      </c>
      <c r="Y18" s="40"/>
      <c r="Z18" s="43" t="str">
        <f t="shared" si="7"/>
        <v/>
      </c>
      <c r="AA18" s="40"/>
      <c r="AB18" s="43" t="str">
        <f t="shared" si="8"/>
        <v/>
      </c>
      <c r="AC18" s="40"/>
      <c r="AD18" s="43" t="str">
        <f t="shared" si="9"/>
        <v/>
      </c>
      <c r="AE18" s="40"/>
      <c r="AF18" s="43" t="str">
        <f t="shared" si="10"/>
        <v/>
      </c>
      <c r="AG18" s="40"/>
      <c r="AH18" s="43" t="str">
        <f t="shared" si="19"/>
        <v/>
      </c>
      <c r="AI18" s="40"/>
      <c r="AJ18" s="43" t="str">
        <f t="shared" si="11"/>
        <v/>
      </c>
      <c r="AK18" s="40"/>
      <c r="AL18" s="43" t="str">
        <f t="shared" si="12"/>
        <v/>
      </c>
      <c r="AM18" s="40"/>
      <c r="AN18" s="43" t="str">
        <f t="shared" si="13"/>
        <v/>
      </c>
      <c r="AO18" s="86"/>
      <c r="AP18" s="43" t="str">
        <f t="shared" si="14"/>
        <v/>
      </c>
      <c r="AQ18" s="40"/>
      <c r="AR18" s="43" t="str">
        <f t="shared" si="15"/>
        <v/>
      </c>
      <c r="AS18" s="40"/>
      <c r="AT18" s="43" t="str">
        <f t="shared" si="13"/>
        <v/>
      </c>
      <c r="AU18" s="40"/>
      <c r="AV18" s="43" t="str">
        <f t="shared" si="16"/>
        <v/>
      </c>
      <c r="AW18" s="40"/>
      <c r="AX18" s="43" t="str">
        <f t="shared" si="17"/>
        <v/>
      </c>
      <c r="AY18" s="40"/>
      <c r="AZ18" s="43" t="str">
        <f t="shared" si="18"/>
        <v/>
      </c>
      <c r="BA18" s="24" t="s">
        <v>379</v>
      </c>
    </row>
    <row r="19" spans="1:53" ht="20" customHeight="1" x14ac:dyDescent="0.2">
      <c r="A19" s="67"/>
      <c r="B19" s="95"/>
      <c r="C19" s="25" t="s">
        <v>86</v>
      </c>
      <c r="D19" s="24" t="s">
        <v>305</v>
      </c>
      <c r="E19" s="24" t="s">
        <v>306</v>
      </c>
      <c r="F19" s="25">
        <v>1994</v>
      </c>
      <c r="H19" s="29">
        <v>20</v>
      </c>
      <c r="I19" s="28" t="s">
        <v>380</v>
      </c>
      <c r="J19" s="39"/>
      <c r="K19" s="45"/>
      <c r="L19" s="46" t="str">
        <f t="shared" si="0"/>
        <v/>
      </c>
      <c r="M19" s="40"/>
      <c r="N19" s="43" t="str">
        <f t="shared" si="1"/>
        <v/>
      </c>
      <c r="O19" s="45"/>
      <c r="P19" s="46" t="str">
        <f t="shared" si="2"/>
        <v/>
      </c>
      <c r="Q19" s="40"/>
      <c r="R19" s="43" t="str">
        <f t="shared" si="3"/>
        <v/>
      </c>
      <c r="S19" s="40"/>
      <c r="T19" s="43" t="str">
        <f t="shared" si="4"/>
        <v/>
      </c>
      <c r="U19" s="47"/>
      <c r="V19" s="46" t="str">
        <f t="shared" si="5"/>
        <v/>
      </c>
      <c r="W19" s="40"/>
      <c r="X19" s="43" t="str">
        <f t="shared" si="6"/>
        <v/>
      </c>
      <c r="Y19" s="40"/>
      <c r="Z19" s="43" t="str">
        <f t="shared" si="7"/>
        <v/>
      </c>
      <c r="AA19" s="40"/>
      <c r="AB19" s="43" t="str">
        <f t="shared" si="8"/>
        <v/>
      </c>
      <c r="AC19" s="40"/>
      <c r="AD19" s="43" t="str">
        <f t="shared" si="9"/>
        <v/>
      </c>
      <c r="AE19" s="40"/>
      <c r="AF19" s="43" t="str">
        <f t="shared" si="10"/>
        <v/>
      </c>
      <c r="AG19" s="40"/>
      <c r="AH19" s="43" t="str">
        <f t="shared" si="19"/>
        <v/>
      </c>
      <c r="AI19" s="40"/>
      <c r="AJ19" s="43" t="str">
        <f t="shared" si="11"/>
        <v/>
      </c>
      <c r="AK19" s="40"/>
      <c r="AL19" s="43" t="str">
        <f t="shared" si="12"/>
        <v/>
      </c>
      <c r="AM19" s="40"/>
      <c r="AN19" s="43" t="str">
        <f t="shared" si="13"/>
        <v/>
      </c>
      <c r="AO19" s="86"/>
      <c r="AP19" s="43" t="str">
        <f t="shared" si="14"/>
        <v/>
      </c>
      <c r="AQ19" s="40"/>
      <c r="AR19" s="43" t="str">
        <f t="shared" si="15"/>
        <v/>
      </c>
      <c r="AS19" s="40"/>
      <c r="AT19" s="43" t="str">
        <f t="shared" si="13"/>
        <v/>
      </c>
      <c r="AU19" s="40"/>
      <c r="AV19" s="43" t="str">
        <f t="shared" si="16"/>
        <v/>
      </c>
      <c r="AW19" s="40"/>
      <c r="AX19" s="43" t="str">
        <f t="shared" si="17"/>
        <v/>
      </c>
      <c r="AY19" s="40"/>
      <c r="AZ19" s="43" t="str">
        <f t="shared" si="18"/>
        <v/>
      </c>
      <c r="BA19" s="24" t="s">
        <v>381</v>
      </c>
    </row>
    <row r="20" spans="1:53" ht="20" customHeight="1" x14ac:dyDescent="0.2">
      <c r="A20" s="67"/>
      <c r="B20" s="95"/>
      <c r="C20" s="25" t="s">
        <v>86</v>
      </c>
      <c r="D20" s="24" t="s">
        <v>54</v>
      </c>
      <c r="E20" s="24" t="s">
        <v>55</v>
      </c>
      <c r="F20" s="25">
        <v>1996</v>
      </c>
      <c r="G20" s="25">
        <v>82</v>
      </c>
      <c r="H20" s="29">
        <v>15</v>
      </c>
      <c r="I20" s="28" t="s">
        <v>189</v>
      </c>
      <c r="J20" s="39" t="s">
        <v>191</v>
      </c>
      <c r="K20" s="40"/>
      <c r="L20" s="43" t="str">
        <f t="shared" si="0"/>
        <v/>
      </c>
      <c r="M20" s="40">
        <v>1</v>
      </c>
      <c r="N20" s="43">
        <f t="shared" si="1"/>
        <v>6.666666666666667</v>
      </c>
      <c r="O20" s="40"/>
      <c r="P20" s="43" t="str">
        <f t="shared" si="2"/>
        <v/>
      </c>
      <c r="Q20" s="40"/>
      <c r="R20" s="43" t="str">
        <f t="shared" si="3"/>
        <v/>
      </c>
      <c r="S20" s="40"/>
      <c r="T20" s="43" t="str">
        <f t="shared" si="4"/>
        <v/>
      </c>
      <c r="U20" s="86">
        <v>1</v>
      </c>
      <c r="V20" s="43">
        <f t="shared" si="5"/>
        <v>6.666666666666667</v>
      </c>
      <c r="W20" s="40"/>
      <c r="X20" s="43" t="str">
        <f t="shared" si="6"/>
        <v/>
      </c>
      <c r="Y20" s="40"/>
      <c r="Z20" s="43" t="str">
        <f t="shared" si="7"/>
        <v/>
      </c>
      <c r="AA20" s="40"/>
      <c r="AB20" s="43" t="str">
        <f t="shared" si="8"/>
        <v/>
      </c>
      <c r="AC20" s="40"/>
      <c r="AD20" s="43" t="str">
        <f t="shared" si="9"/>
        <v/>
      </c>
      <c r="AE20" s="40"/>
      <c r="AF20" s="43" t="str">
        <f t="shared" si="10"/>
        <v/>
      </c>
      <c r="AG20" s="40">
        <v>3</v>
      </c>
      <c r="AH20" s="43">
        <f t="shared" si="19"/>
        <v>20</v>
      </c>
      <c r="AI20" s="40"/>
      <c r="AJ20" s="43" t="str">
        <f t="shared" si="11"/>
        <v/>
      </c>
      <c r="AK20" s="40"/>
      <c r="AL20" s="43" t="str">
        <f t="shared" si="12"/>
        <v/>
      </c>
      <c r="AM20" s="40"/>
      <c r="AN20" s="43" t="str">
        <f t="shared" si="13"/>
        <v/>
      </c>
      <c r="AO20" s="86"/>
      <c r="AP20" s="43" t="str">
        <f t="shared" si="14"/>
        <v/>
      </c>
      <c r="AQ20" s="40">
        <v>1</v>
      </c>
      <c r="AR20" s="43">
        <f t="shared" si="15"/>
        <v>6.666666666666667</v>
      </c>
      <c r="AS20" s="40"/>
      <c r="AT20" s="43" t="str">
        <f t="shared" si="13"/>
        <v/>
      </c>
      <c r="AU20" s="40"/>
      <c r="AV20" s="43" t="str">
        <f t="shared" si="16"/>
        <v/>
      </c>
      <c r="AW20" s="40"/>
      <c r="AX20" s="43" t="str">
        <f t="shared" si="17"/>
        <v/>
      </c>
      <c r="AY20" s="40"/>
      <c r="AZ20" s="43" t="str">
        <f t="shared" si="18"/>
        <v/>
      </c>
      <c r="BA20" s="24" t="s">
        <v>385</v>
      </c>
    </row>
    <row r="21" spans="1:53" ht="20" customHeight="1" x14ac:dyDescent="0.2">
      <c r="A21" s="67"/>
      <c r="B21" s="95"/>
      <c r="C21" s="25" t="s">
        <v>86</v>
      </c>
      <c r="D21" s="24" t="s">
        <v>311</v>
      </c>
      <c r="E21" s="24" t="s">
        <v>312</v>
      </c>
      <c r="F21" s="25">
        <v>2014</v>
      </c>
      <c r="H21" s="29">
        <v>39</v>
      </c>
      <c r="I21" s="28"/>
      <c r="J21" s="39" t="s">
        <v>384</v>
      </c>
      <c r="K21" s="40">
        <v>23</v>
      </c>
      <c r="L21" s="43">
        <f t="shared" si="0"/>
        <v>58.974358974358978</v>
      </c>
      <c r="M21" s="40">
        <v>22</v>
      </c>
      <c r="N21" s="43">
        <f t="shared" si="1"/>
        <v>56.410256410256409</v>
      </c>
      <c r="O21" s="40">
        <v>22</v>
      </c>
      <c r="P21" s="43">
        <f t="shared" si="2"/>
        <v>56.410256410256409</v>
      </c>
      <c r="Q21" s="40"/>
      <c r="R21" s="43" t="str">
        <f t="shared" si="3"/>
        <v/>
      </c>
      <c r="S21" s="40"/>
      <c r="T21" s="43" t="str">
        <f t="shared" si="4"/>
        <v/>
      </c>
      <c r="U21" s="86"/>
      <c r="V21" s="43" t="str">
        <f t="shared" si="5"/>
        <v/>
      </c>
      <c r="W21" s="40"/>
      <c r="X21" s="43" t="str">
        <f t="shared" si="6"/>
        <v/>
      </c>
      <c r="Y21" s="40"/>
      <c r="Z21" s="43" t="str">
        <f t="shared" si="7"/>
        <v/>
      </c>
      <c r="AA21" s="40"/>
      <c r="AB21" s="43" t="str">
        <f t="shared" si="8"/>
        <v/>
      </c>
      <c r="AC21" s="40"/>
      <c r="AD21" s="43" t="str">
        <f t="shared" si="9"/>
        <v/>
      </c>
      <c r="AE21" s="40"/>
      <c r="AF21" s="43" t="str">
        <f t="shared" si="10"/>
        <v/>
      </c>
      <c r="AG21" s="40"/>
      <c r="AH21" s="43" t="str">
        <f t="shared" si="19"/>
        <v/>
      </c>
      <c r="AI21" s="40"/>
      <c r="AJ21" s="43" t="str">
        <f t="shared" si="11"/>
        <v/>
      </c>
      <c r="AK21" s="40">
        <v>8</v>
      </c>
      <c r="AL21" s="43">
        <f t="shared" si="12"/>
        <v>20.512820512820511</v>
      </c>
      <c r="AM21" s="40"/>
      <c r="AN21" s="43" t="str">
        <f t="shared" si="13"/>
        <v/>
      </c>
      <c r="AO21" s="86"/>
      <c r="AP21" s="43" t="str">
        <f t="shared" si="14"/>
        <v/>
      </c>
      <c r="AQ21" s="40"/>
      <c r="AR21" s="43" t="str">
        <f t="shared" si="15"/>
        <v/>
      </c>
      <c r="AS21" s="40">
        <v>3</v>
      </c>
      <c r="AT21" s="43">
        <f t="shared" si="13"/>
        <v>7.6923076923076925</v>
      </c>
      <c r="AU21" s="40"/>
      <c r="AV21" s="43" t="str">
        <f t="shared" si="16"/>
        <v/>
      </c>
      <c r="AW21" s="40"/>
      <c r="AX21" s="43" t="str">
        <f t="shared" si="17"/>
        <v/>
      </c>
      <c r="AY21" s="40"/>
      <c r="AZ21" s="43" t="str">
        <f t="shared" si="18"/>
        <v/>
      </c>
      <c r="BA21" s="24" t="s">
        <v>390</v>
      </c>
    </row>
    <row r="22" spans="1:53" ht="20" customHeight="1" x14ac:dyDescent="0.2">
      <c r="A22" s="68"/>
      <c r="B22" s="95"/>
      <c r="C22" s="25" t="s">
        <v>86</v>
      </c>
      <c r="D22" s="24" t="s">
        <v>315</v>
      </c>
      <c r="E22" s="24" t="s">
        <v>316</v>
      </c>
      <c r="F22" s="25">
        <v>2001</v>
      </c>
      <c r="H22" s="29">
        <v>9</v>
      </c>
      <c r="I22" s="28"/>
      <c r="J22" s="39" t="s">
        <v>393</v>
      </c>
      <c r="K22" s="40"/>
      <c r="L22" s="43" t="str">
        <f t="shared" si="0"/>
        <v/>
      </c>
      <c r="M22" s="40"/>
      <c r="N22" s="43" t="str">
        <f t="shared" si="1"/>
        <v/>
      </c>
      <c r="O22" s="40"/>
      <c r="P22" s="43" t="str">
        <f t="shared" si="2"/>
        <v/>
      </c>
      <c r="Q22" s="40"/>
      <c r="R22" s="43" t="str">
        <f t="shared" si="3"/>
        <v/>
      </c>
      <c r="S22" s="40"/>
      <c r="T22" s="43" t="str">
        <f t="shared" si="4"/>
        <v/>
      </c>
      <c r="U22" s="47"/>
      <c r="V22" s="46" t="str">
        <f t="shared" si="5"/>
        <v/>
      </c>
      <c r="W22" s="40"/>
      <c r="X22" s="43" t="str">
        <f t="shared" si="6"/>
        <v/>
      </c>
      <c r="Y22" s="40"/>
      <c r="Z22" s="43" t="str">
        <f t="shared" si="7"/>
        <v/>
      </c>
      <c r="AA22" s="40"/>
      <c r="AB22" s="43" t="str">
        <f t="shared" si="8"/>
        <v/>
      </c>
      <c r="AC22" s="40"/>
      <c r="AD22" s="43" t="str">
        <f t="shared" si="9"/>
        <v/>
      </c>
      <c r="AE22" s="40"/>
      <c r="AF22" s="43" t="str">
        <f t="shared" si="10"/>
        <v/>
      </c>
      <c r="AG22" s="40"/>
      <c r="AH22" s="43" t="str">
        <f t="shared" si="19"/>
        <v/>
      </c>
      <c r="AI22" s="40"/>
      <c r="AJ22" s="43" t="str">
        <f t="shared" si="11"/>
        <v/>
      </c>
      <c r="AK22" s="40"/>
      <c r="AL22" s="43" t="str">
        <f t="shared" si="12"/>
        <v/>
      </c>
      <c r="AM22" s="40"/>
      <c r="AN22" s="43" t="str">
        <f t="shared" si="13"/>
        <v/>
      </c>
      <c r="AO22" s="86"/>
      <c r="AP22" s="43" t="str">
        <f t="shared" si="14"/>
        <v/>
      </c>
      <c r="AQ22" s="40"/>
      <c r="AR22" s="43" t="str">
        <f t="shared" si="15"/>
        <v/>
      </c>
      <c r="AS22" s="40"/>
      <c r="AT22" s="43" t="str">
        <f t="shared" si="13"/>
        <v/>
      </c>
      <c r="AU22" s="40"/>
      <c r="AV22" s="43" t="str">
        <f t="shared" si="16"/>
        <v/>
      </c>
      <c r="AW22" s="40"/>
      <c r="AX22" s="43" t="str">
        <f t="shared" si="17"/>
        <v/>
      </c>
      <c r="AY22" s="40"/>
      <c r="AZ22" s="43" t="str">
        <f t="shared" si="18"/>
        <v/>
      </c>
      <c r="BA22" s="24" t="s">
        <v>394</v>
      </c>
    </row>
    <row r="23" spans="1:53" ht="20" customHeight="1" x14ac:dyDescent="0.2">
      <c r="A23" s="67"/>
      <c r="B23" s="95"/>
      <c r="C23" s="25" t="s">
        <v>86</v>
      </c>
      <c r="D23" s="24" t="s">
        <v>63</v>
      </c>
      <c r="E23" s="24" t="s">
        <v>64</v>
      </c>
      <c r="F23" s="25">
        <v>2012</v>
      </c>
      <c r="G23" s="25">
        <v>83</v>
      </c>
      <c r="H23" s="29">
        <v>146</v>
      </c>
      <c r="I23" s="28" t="s">
        <v>197</v>
      </c>
      <c r="J23" s="39" t="s">
        <v>211</v>
      </c>
      <c r="K23" s="40"/>
      <c r="L23" s="43" t="str">
        <f t="shared" si="0"/>
        <v/>
      </c>
      <c r="M23" s="40"/>
      <c r="N23" s="43" t="str">
        <f t="shared" si="1"/>
        <v/>
      </c>
      <c r="O23" s="40"/>
      <c r="P23" s="43" t="str">
        <f t="shared" si="2"/>
        <v/>
      </c>
      <c r="Q23" s="40"/>
      <c r="R23" s="43" t="str">
        <f t="shared" si="3"/>
        <v/>
      </c>
      <c r="S23" s="40"/>
      <c r="T23" s="43" t="str">
        <f t="shared" si="4"/>
        <v/>
      </c>
      <c r="U23" s="86"/>
      <c r="V23" s="43"/>
      <c r="W23" s="40"/>
      <c r="X23" s="43" t="str">
        <f t="shared" si="6"/>
        <v/>
      </c>
      <c r="Y23" s="40"/>
      <c r="Z23" s="43" t="str">
        <f t="shared" si="7"/>
        <v/>
      </c>
      <c r="AA23" s="40"/>
      <c r="AB23" s="43" t="str">
        <f t="shared" si="8"/>
        <v/>
      </c>
      <c r="AC23" s="40"/>
      <c r="AD23" s="43" t="str">
        <f t="shared" si="9"/>
        <v/>
      </c>
      <c r="AE23" s="40"/>
      <c r="AF23" s="43" t="str">
        <f t="shared" si="10"/>
        <v/>
      </c>
      <c r="AG23" s="40"/>
      <c r="AH23" s="43" t="str">
        <f t="shared" si="19"/>
        <v/>
      </c>
      <c r="AI23" s="40"/>
      <c r="AJ23" s="43" t="str">
        <f t="shared" si="11"/>
        <v/>
      </c>
      <c r="AK23" s="40"/>
      <c r="AL23" s="43" t="str">
        <f t="shared" si="12"/>
        <v/>
      </c>
      <c r="AM23" s="40"/>
      <c r="AN23" s="43" t="str">
        <f t="shared" si="13"/>
        <v/>
      </c>
      <c r="AO23" s="86">
        <v>1</v>
      </c>
      <c r="AP23" s="43">
        <f t="shared" si="14"/>
        <v>0.68493150684931503</v>
      </c>
      <c r="AQ23" s="40"/>
      <c r="AR23" s="43" t="str">
        <f t="shared" si="15"/>
        <v/>
      </c>
      <c r="AS23" s="40"/>
      <c r="AT23" s="43" t="str">
        <f t="shared" si="13"/>
        <v/>
      </c>
      <c r="AU23" s="40"/>
      <c r="AV23" s="43" t="str">
        <f t="shared" si="16"/>
        <v/>
      </c>
      <c r="AW23" s="40"/>
      <c r="AX23" s="43" t="str">
        <f t="shared" si="17"/>
        <v/>
      </c>
      <c r="AY23" s="40"/>
      <c r="AZ23" s="43" t="str">
        <f t="shared" si="18"/>
        <v/>
      </c>
      <c r="BA23" s="24" t="s">
        <v>199</v>
      </c>
    </row>
    <row r="24" spans="1:53" ht="20" customHeight="1" x14ac:dyDescent="0.2">
      <c r="A24" s="67"/>
      <c r="B24" s="95"/>
      <c r="D24" s="24" t="s">
        <v>317</v>
      </c>
      <c r="E24" s="24" t="s">
        <v>320</v>
      </c>
      <c r="F24" s="25">
        <v>2008</v>
      </c>
      <c r="H24" s="29"/>
      <c r="I24" s="28"/>
      <c r="J24" s="39" t="s">
        <v>395</v>
      </c>
      <c r="K24" s="40"/>
      <c r="L24" s="43" t="str">
        <f t="shared" si="0"/>
        <v/>
      </c>
      <c r="M24" s="40"/>
      <c r="N24" s="43" t="str">
        <f t="shared" si="1"/>
        <v/>
      </c>
      <c r="O24" s="40">
        <v>2</v>
      </c>
      <c r="P24" s="43" t="str">
        <f t="shared" si="2"/>
        <v/>
      </c>
      <c r="Q24" s="40"/>
      <c r="R24" s="43" t="str">
        <f t="shared" si="3"/>
        <v/>
      </c>
      <c r="S24" s="40"/>
      <c r="T24" s="43" t="str">
        <f t="shared" si="4"/>
        <v/>
      </c>
      <c r="U24" s="86"/>
      <c r="V24" s="43" t="str">
        <f t="shared" ref="V24:V42" si="20">IF((ISERROR((U24/$H24)*100)), "", IF(AND(NOT(ISERROR((U24/$H24)*100)),((U24/$H24)*100) &lt;&gt; 0), (U24/$H24)*100, ""))</f>
        <v/>
      </c>
      <c r="W24" s="40"/>
      <c r="X24" s="43" t="str">
        <f t="shared" si="6"/>
        <v/>
      </c>
      <c r="Y24" s="40"/>
      <c r="Z24" s="43" t="str">
        <f t="shared" si="7"/>
        <v/>
      </c>
      <c r="AA24" s="40"/>
      <c r="AB24" s="43" t="str">
        <f t="shared" si="8"/>
        <v/>
      </c>
      <c r="AC24" s="40"/>
      <c r="AD24" s="43" t="str">
        <f t="shared" si="9"/>
        <v/>
      </c>
      <c r="AE24" s="40"/>
      <c r="AF24" s="43" t="str">
        <f t="shared" si="10"/>
        <v/>
      </c>
      <c r="AG24" s="40"/>
      <c r="AH24" s="43" t="str">
        <f t="shared" si="19"/>
        <v/>
      </c>
      <c r="AI24" s="40"/>
      <c r="AJ24" s="43" t="str">
        <f t="shared" si="11"/>
        <v/>
      </c>
      <c r="AK24" s="40"/>
      <c r="AL24" s="43" t="str">
        <f t="shared" si="12"/>
        <v/>
      </c>
      <c r="AM24" s="40"/>
      <c r="AN24" s="43" t="str">
        <f t="shared" si="13"/>
        <v/>
      </c>
      <c r="AO24" s="86"/>
      <c r="AP24" s="43" t="str">
        <f t="shared" si="14"/>
        <v/>
      </c>
      <c r="AQ24" s="40"/>
      <c r="AR24" s="43" t="str">
        <f t="shared" si="15"/>
        <v/>
      </c>
      <c r="AS24" s="40"/>
      <c r="AT24" s="43" t="str">
        <f t="shared" si="13"/>
        <v/>
      </c>
      <c r="AU24" s="40"/>
      <c r="AV24" s="43" t="str">
        <f t="shared" si="16"/>
        <v/>
      </c>
      <c r="AW24" s="40"/>
      <c r="AX24" s="43" t="str">
        <f t="shared" si="17"/>
        <v/>
      </c>
      <c r="AY24" s="40"/>
      <c r="AZ24" s="43" t="str">
        <f t="shared" si="18"/>
        <v/>
      </c>
    </row>
    <row r="25" spans="1:53" ht="20" customHeight="1" x14ac:dyDescent="0.2">
      <c r="A25" s="67"/>
      <c r="B25" s="95"/>
      <c r="C25" s="25" t="s">
        <v>86</v>
      </c>
      <c r="D25" s="24" t="s">
        <v>321</v>
      </c>
      <c r="E25" s="24" t="s">
        <v>322</v>
      </c>
      <c r="F25" s="25">
        <v>2014</v>
      </c>
      <c r="H25" s="29">
        <v>28</v>
      </c>
      <c r="I25" s="28" t="s">
        <v>203</v>
      </c>
      <c r="J25" s="39" t="s">
        <v>213</v>
      </c>
      <c r="K25" s="40"/>
      <c r="L25" s="43" t="str">
        <f t="shared" si="0"/>
        <v/>
      </c>
      <c r="M25" s="40"/>
      <c r="N25" s="43" t="str">
        <f t="shared" si="1"/>
        <v/>
      </c>
      <c r="O25" s="40"/>
      <c r="P25" s="43" t="str">
        <f t="shared" si="2"/>
        <v/>
      </c>
      <c r="Q25" s="40"/>
      <c r="R25" s="43" t="str">
        <f t="shared" si="3"/>
        <v/>
      </c>
      <c r="S25" s="40"/>
      <c r="T25" s="43" t="str">
        <f t="shared" si="4"/>
        <v/>
      </c>
      <c r="U25" s="86">
        <v>3</v>
      </c>
      <c r="V25" s="43">
        <f t="shared" si="20"/>
        <v>10.714285714285714</v>
      </c>
      <c r="W25" s="40"/>
      <c r="X25" s="43" t="str">
        <f t="shared" si="6"/>
        <v/>
      </c>
      <c r="Y25" s="40"/>
      <c r="Z25" s="43" t="str">
        <f t="shared" si="7"/>
        <v/>
      </c>
      <c r="AA25" s="40"/>
      <c r="AB25" s="43" t="str">
        <f t="shared" si="8"/>
        <v/>
      </c>
      <c r="AC25" s="40"/>
      <c r="AD25" s="43" t="str">
        <f t="shared" si="9"/>
        <v/>
      </c>
      <c r="AE25" s="40"/>
      <c r="AF25" s="43" t="str">
        <f t="shared" si="10"/>
        <v/>
      </c>
      <c r="AG25" s="40">
        <v>3</v>
      </c>
      <c r="AH25" s="43">
        <f t="shared" si="19"/>
        <v>10.714285714285714</v>
      </c>
      <c r="AI25" s="40"/>
      <c r="AJ25" s="43" t="str">
        <f t="shared" si="11"/>
        <v/>
      </c>
      <c r="AK25" s="40">
        <v>4</v>
      </c>
      <c r="AL25" s="43">
        <f t="shared" si="12"/>
        <v>14.285714285714285</v>
      </c>
      <c r="AM25" s="40"/>
      <c r="AN25" s="43" t="str">
        <f t="shared" si="13"/>
        <v/>
      </c>
      <c r="AO25" s="86">
        <v>5</v>
      </c>
      <c r="AP25" s="43">
        <f t="shared" si="14"/>
        <v>17.857142857142858</v>
      </c>
      <c r="AQ25" s="40"/>
      <c r="AR25" s="43" t="str">
        <f t="shared" si="15"/>
        <v/>
      </c>
      <c r="AS25" s="40"/>
      <c r="AT25" s="43" t="str">
        <f t="shared" si="13"/>
        <v/>
      </c>
      <c r="AU25" s="40"/>
      <c r="AV25" s="43" t="str">
        <f t="shared" si="16"/>
        <v/>
      </c>
      <c r="AW25" s="40"/>
      <c r="AX25" s="43" t="str">
        <f t="shared" si="17"/>
        <v/>
      </c>
      <c r="AY25" s="40"/>
      <c r="AZ25" s="43" t="str">
        <f t="shared" si="18"/>
        <v/>
      </c>
      <c r="BA25" s="24" t="s">
        <v>398</v>
      </c>
    </row>
    <row r="26" spans="1:53" ht="20" customHeight="1" x14ac:dyDescent="0.2">
      <c r="A26" s="67"/>
      <c r="B26" s="95"/>
      <c r="C26" s="25" t="s">
        <v>86</v>
      </c>
      <c r="D26" s="24" t="s">
        <v>80</v>
      </c>
      <c r="E26" s="24" t="s">
        <v>81</v>
      </c>
      <c r="F26" s="25">
        <v>2015</v>
      </c>
      <c r="G26" s="25">
        <v>10</v>
      </c>
      <c r="H26" s="29">
        <v>11</v>
      </c>
      <c r="I26" s="28" t="s">
        <v>215</v>
      </c>
      <c r="J26" s="39" t="s">
        <v>176</v>
      </c>
      <c r="K26" s="40"/>
      <c r="L26" s="43" t="str">
        <f t="shared" si="0"/>
        <v/>
      </c>
      <c r="M26" s="40"/>
      <c r="N26" s="43" t="str">
        <f t="shared" si="1"/>
        <v/>
      </c>
      <c r="O26" s="40"/>
      <c r="P26" s="43" t="str">
        <f t="shared" si="2"/>
        <v/>
      </c>
      <c r="Q26" s="40"/>
      <c r="R26" s="43" t="str">
        <f t="shared" si="3"/>
        <v/>
      </c>
      <c r="S26" s="40"/>
      <c r="T26" s="43" t="str">
        <f t="shared" si="4"/>
        <v/>
      </c>
      <c r="U26" s="86"/>
      <c r="V26" s="43" t="str">
        <f t="shared" si="20"/>
        <v/>
      </c>
      <c r="W26" s="40"/>
      <c r="X26" s="43" t="str">
        <f t="shared" si="6"/>
        <v/>
      </c>
      <c r="Y26" s="40"/>
      <c r="Z26" s="43" t="str">
        <f t="shared" si="7"/>
        <v/>
      </c>
      <c r="AA26" s="40"/>
      <c r="AB26" s="43" t="str">
        <f t="shared" si="8"/>
        <v/>
      </c>
      <c r="AC26" s="40"/>
      <c r="AD26" s="43" t="str">
        <f t="shared" si="9"/>
        <v/>
      </c>
      <c r="AE26" s="40"/>
      <c r="AF26" s="43" t="str">
        <f t="shared" si="10"/>
        <v/>
      </c>
      <c r="AG26" s="45">
        <v>1</v>
      </c>
      <c r="AH26" s="46">
        <f t="shared" si="19"/>
        <v>9.0909090909090917</v>
      </c>
      <c r="AI26" s="40"/>
      <c r="AJ26" s="43" t="str">
        <f t="shared" si="11"/>
        <v/>
      </c>
      <c r="AK26" s="40"/>
      <c r="AL26" s="43" t="str">
        <f t="shared" si="12"/>
        <v/>
      </c>
      <c r="AM26" s="40"/>
      <c r="AN26" s="43" t="str">
        <f t="shared" si="13"/>
        <v/>
      </c>
      <c r="AO26" s="86"/>
      <c r="AP26" s="43" t="str">
        <f t="shared" si="14"/>
        <v/>
      </c>
      <c r="AQ26" s="40"/>
      <c r="AR26" s="43" t="str">
        <f t="shared" si="15"/>
        <v/>
      </c>
      <c r="AS26" s="40"/>
      <c r="AT26" s="43" t="str">
        <f t="shared" si="13"/>
        <v/>
      </c>
      <c r="AU26" s="40"/>
      <c r="AV26" s="43" t="str">
        <f t="shared" si="16"/>
        <v/>
      </c>
      <c r="AW26" s="40"/>
      <c r="AX26" s="43" t="str">
        <f t="shared" si="17"/>
        <v/>
      </c>
      <c r="AY26" s="40"/>
      <c r="AZ26" s="43" t="str">
        <f t="shared" si="18"/>
        <v/>
      </c>
      <c r="BA26" s="24" t="s">
        <v>214</v>
      </c>
    </row>
    <row r="27" spans="1:53" ht="20" customHeight="1" x14ac:dyDescent="0.2">
      <c r="A27" s="67"/>
      <c r="B27" s="95"/>
      <c r="D27" s="24" t="s">
        <v>327</v>
      </c>
      <c r="E27" s="24" t="s">
        <v>328</v>
      </c>
      <c r="F27" s="25">
        <v>2005</v>
      </c>
      <c r="H27" s="29">
        <v>13</v>
      </c>
      <c r="I27" s="28" t="s">
        <v>401</v>
      </c>
      <c r="J27" s="39"/>
      <c r="K27" s="40"/>
      <c r="L27" s="43" t="str">
        <f t="shared" si="0"/>
        <v/>
      </c>
      <c r="M27" s="40"/>
      <c r="N27" s="43" t="str">
        <f t="shared" si="1"/>
        <v/>
      </c>
      <c r="O27" s="40"/>
      <c r="P27" s="43" t="str">
        <f t="shared" si="2"/>
        <v/>
      </c>
      <c r="Q27" s="40"/>
      <c r="R27" s="43" t="str">
        <f t="shared" si="3"/>
        <v/>
      </c>
      <c r="S27" s="40"/>
      <c r="T27" s="43" t="str">
        <f t="shared" si="4"/>
        <v/>
      </c>
      <c r="U27" s="86">
        <v>1</v>
      </c>
      <c r="V27" s="43">
        <f t="shared" si="20"/>
        <v>7.6923076923076925</v>
      </c>
      <c r="W27" s="40">
        <v>3</v>
      </c>
      <c r="X27" s="43">
        <f t="shared" si="6"/>
        <v>23.076923076923077</v>
      </c>
      <c r="Y27" s="40"/>
      <c r="Z27" s="43" t="str">
        <f t="shared" si="7"/>
        <v/>
      </c>
      <c r="AA27" s="40"/>
      <c r="AB27" s="43" t="str">
        <f t="shared" si="8"/>
        <v/>
      </c>
      <c r="AC27" s="40"/>
      <c r="AD27" s="43" t="str">
        <f t="shared" si="9"/>
        <v/>
      </c>
      <c r="AE27" s="40"/>
      <c r="AF27" s="43" t="str">
        <f t="shared" si="10"/>
        <v/>
      </c>
      <c r="AG27" s="40"/>
      <c r="AH27" s="43" t="str">
        <f t="shared" si="19"/>
        <v/>
      </c>
      <c r="AI27" s="40"/>
      <c r="AJ27" s="43" t="str">
        <f t="shared" si="11"/>
        <v/>
      </c>
      <c r="AK27" s="40"/>
      <c r="AL27" s="43" t="str">
        <f t="shared" si="12"/>
        <v/>
      </c>
      <c r="AM27" s="40"/>
      <c r="AN27" s="43" t="str">
        <f t="shared" si="13"/>
        <v/>
      </c>
      <c r="AO27" s="86"/>
      <c r="AP27" s="43" t="str">
        <f t="shared" si="14"/>
        <v/>
      </c>
      <c r="AQ27" s="40"/>
      <c r="AR27" s="43" t="str">
        <f t="shared" si="15"/>
        <v/>
      </c>
      <c r="AS27" s="40"/>
      <c r="AT27" s="43" t="str">
        <f t="shared" si="13"/>
        <v/>
      </c>
      <c r="AU27" s="40"/>
      <c r="AV27" s="43" t="str">
        <f t="shared" si="16"/>
        <v/>
      </c>
      <c r="AW27" s="40"/>
      <c r="AX27" s="43" t="str">
        <f t="shared" si="17"/>
        <v/>
      </c>
      <c r="AY27" s="40"/>
      <c r="AZ27" s="43" t="str">
        <f t="shared" si="18"/>
        <v/>
      </c>
      <c r="BA27" s="24" t="s">
        <v>402</v>
      </c>
    </row>
    <row r="28" spans="1:53" ht="20" customHeight="1" x14ac:dyDescent="0.2">
      <c r="A28" s="67"/>
      <c r="B28" s="95"/>
      <c r="C28" s="25" t="s">
        <v>86</v>
      </c>
      <c r="D28" s="24" t="s">
        <v>333</v>
      </c>
      <c r="E28" s="24" t="s">
        <v>334</v>
      </c>
      <c r="F28" s="25">
        <v>2011</v>
      </c>
      <c r="H28" s="29">
        <v>244</v>
      </c>
      <c r="I28" s="28" t="s">
        <v>235</v>
      </c>
      <c r="J28" s="39" t="s">
        <v>210</v>
      </c>
      <c r="K28" s="40"/>
      <c r="L28" s="43" t="str">
        <f t="shared" si="0"/>
        <v/>
      </c>
      <c r="M28" s="40"/>
      <c r="N28" s="43" t="str">
        <f t="shared" si="1"/>
        <v/>
      </c>
      <c r="O28" s="40"/>
      <c r="P28" s="43" t="str">
        <f t="shared" si="2"/>
        <v/>
      </c>
      <c r="Q28" s="40"/>
      <c r="R28" s="43" t="str">
        <f t="shared" si="3"/>
        <v/>
      </c>
      <c r="S28" s="40"/>
      <c r="T28" s="43" t="str">
        <f t="shared" si="4"/>
        <v/>
      </c>
      <c r="U28" s="86"/>
      <c r="V28" s="43" t="str">
        <f t="shared" si="20"/>
        <v/>
      </c>
      <c r="W28" s="40"/>
      <c r="X28" s="43" t="str">
        <f t="shared" si="6"/>
        <v/>
      </c>
      <c r="Y28" s="40"/>
      <c r="Z28" s="43" t="str">
        <f t="shared" si="7"/>
        <v/>
      </c>
      <c r="AA28" s="40"/>
      <c r="AB28" s="43" t="str">
        <f t="shared" si="8"/>
        <v/>
      </c>
      <c r="AC28" s="40"/>
      <c r="AD28" s="43" t="str">
        <f t="shared" si="9"/>
        <v/>
      </c>
      <c r="AE28" s="40"/>
      <c r="AF28" s="43" t="str">
        <f t="shared" si="10"/>
        <v/>
      </c>
      <c r="AG28" s="40">
        <v>3</v>
      </c>
      <c r="AH28" s="43">
        <f t="shared" si="19"/>
        <v>1.2295081967213115</v>
      </c>
      <c r="AI28" s="40"/>
      <c r="AJ28" s="43" t="str">
        <f t="shared" si="11"/>
        <v/>
      </c>
      <c r="AK28" s="40">
        <v>4</v>
      </c>
      <c r="AL28" s="43">
        <f t="shared" si="12"/>
        <v>1.639344262295082</v>
      </c>
      <c r="AM28" s="40"/>
      <c r="AN28" s="43" t="str">
        <f t="shared" si="13"/>
        <v/>
      </c>
      <c r="AO28" s="86"/>
      <c r="AP28" s="43" t="str">
        <f t="shared" si="14"/>
        <v/>
      </c>
      <c r="AQ28" s="40"/>
      <c r="AR28" s="43" t="str">
        <f t="shared" si="15"/>
        <v/>
      </c>
      <c r="AS28" s="40"/>
      <c r="AT28" s="43" t="str">
        <f t="shared" si="13"/>
        <v/>
      </c>
      <c r="AU28" s="40"/>
      <c r="AV28" s="43" t="str">
        <f t="shared" si="16"/>
        <v/>
      </c>
      <c r="AW28" s="40"/>
      <c r="AX28" s="43" t="str">
        <f t="shared" si="17"/>
        <v/>
      </c>
      <c r="AY28" s="40"/>
      <c r="AZ28" s="43" t="str">
        <f t="shared" si="18"/>
        <v/>
      </c>
    </row>
    <row r="29" spans="1:53" ht="20" customHeight="1" x14ac:dyDescent="0.2">
      <c r="A29" s="67"/>
      <c r="B29" s="95"/>
      <c r="C29" s="25" t="s">
        <v>86</v>
      </c>
      <c r="D29" s="24" t="s">
        <v>100</v>
      </c>
      <c r="E29" s="24" t="s">
        <v>101</v>
      </c>
      <c r="F29" s="25">
        <v>2002</v>
      </c>
      <c r="G29" s="25">
        <v>103</v>
      </c>
      <c r="H29" s="29">
        <v>8</v>
      </c>
      <c r="I29" s="28"/>
      <c r="J29" s="39"/>
      <c r="K29" s="40"/>
      <c r="L29" s="43" t="str">
        <f t="shared" si="0"/>
        <v/>
      </c>
      <c r="M29" s="40"/>
      <c r="N29" s="43" t="str">
        <f t="shared" si="1"/>
        <v/>
      </c>
      <c r="O29" s="40"/>
      <c r="P29" s="43" t="str">
        <f t="shared" si="2"/>
        <v/>
      </c>
      <c r="Q29" s="40"/>
      <c r="R29" s="43" t="str">
        <f t="shared" si="3"/>
        <v/>
      </c>
      <c r="S29" s="40"/>
      <c r="T29" s="43" t="str">
        <f t="shared" si="4"/>
        <v/>
      </c>
      <c r="U29" s="86">
        <v>2</v>
      </c>
      <c r="V29" s="43">
        <f t="shared" si="20"/>
        <v>25</v>
      </c>
      <c r="W29" s="40"/>
      <c r="X29" s="43" t="str">
        <f t="shared" si="6"/>
        <v/>
      </c>
      <c r="Y29" s="40"/>
      <c r="Z29" s="43" t="str">
        <f t="shared" si="7"/>
        <v/>
      </c>
      <c r="AA29" s="40"/>
      <c r="AB29" s="43" t="str">
        <f t="shared" si="8"/>
        <v/>
      </c>
      <c r="AC29" s="40"/>
      <c r="AD29" s="43" t="str">
        <f t="shared" si="9"/>
        <v/>
      </c>
      <c r="AE29" s="40"/>
      <c r="AF29" s="43" t="str">
        <f t="shared" si="10"/>
        <v/>
      </c>
      <c r="AG29" s="40"/>
      <c r="AH29" s="43" t="str">
        <f t="shared" si="19"/>
        <v/>
      </c>
      <c r="AI29" s="40"/>
      <c r="AJ29" s="43" t="str">
        <f t="shared" si="11"/>
        <v/>
      </c>
      <c r="AK29" s="40"/>
      <c r="AL29" s="43" t="str">
        <f t="shared" si="12"/>
        <v/>
      </c>
      <c r="AM29" s="40"/>
      <c r="AN29" s="43" t="str">
        <f t="shared" si="13"/>
        <v/>
      </c>
      <c r="AO29" s="86"/>
      <c r="AP29" s="43" t="str">
        <f t="shared" si="14"/>
        <v/>
      </c>
      <c r="AQ29" s="40"/>
      <c r="AR29" s="43" t="str">
        <f t="shared" si="15"/>
        <v/>
      </c>
      <c r="AS29" s="40"/>
      <c r="AT29" s="43" t="str">
        <f t="shared" si="13"/>
        <v/>
      </c>
      <c r="AU29" s="40"/>
      <c r="AV29" s="43" t="str">
        <f t="shared" ref="AV29:AV42" si="21">IF((ISERROR((AU29/$H29)*100)), "", IF(AND(NOT(ISERROR((AU29/$H29)*100)),((AU29/$H29)*100) &lt;&gt; 0), (AU29/$H29)*100, ""))</f>
        <v/>
      </c>
      <c r="AW29" s="40"/>
      <c r="AX29" s="43" t="str">
        <f t="shared" si="17"/>
        <v/>
      </c>
      <c r="AY29" s="40"/>
      <c r="AZ29" s="43" t="str">
        <f t="shared" si="18"/>
        <v/>
      </c>
      <c r="BA29" s="24" t="s">
        <v>222</v>
      </c>
    </row>
    <row r="30" spans="1:53" ht="20" customHeight="1" x14ac:dyDescent="0.2">
      <c r="A30" s="67"/>
      <c r="B30" s="95"/>
      <c r="C30" s="25" t="s">
        <v>86</v>
      </c>
      <c r="D30" s="24" t="s">
        <v>104</v>
      </c>
      <c r="E30" s="24" t="s">
        <v>105</v>
      </c>
      <c r="F30" s="25">
        <v>1996</v>
      </c>
      <c r="G30" s="25">
        <v>12</v>
      </c>
      <c r="H30" s="29">
        <v>97</v>
      </c>
      <c r="I30" s="28" t="s">
        <v>225</v>
      </c>
      <c r="J30" s="39" t="s">
        <v>226</v>
      </c>
      <c r="K30" s="40"/>
      <c r="L30" s="43" t="str">
        <f t="shared" si="0"/>
        <v/>
      </c>
      <c r="M30" s="40"/>
      <c r="N30" s="43" t="str">
        <f t="shared" si="1"/>
        <v/>
      </c>
      <c r="O30" s="40"/>
      <c r="P30" s="43" t="str">
        <f t="shared" si="2"/>
        <v/>
      </c>
      <c r="Q30" s="40"/>
      <c r="R30" s="43" t="str">
        <f t="shared" si="3"/>
        <v/>
      </c>
      <c r="S30" s="40"/>
      <c r="T30" s="43" t="str">
        <f t="shared" si="4"/>
        <v/>
      </c>
      <c r="U30" s="86">
        <v>16</v>
      </c>
      <c r="V30" s="43">
        <f t="shared" si="20"/>
        <v>16.494845360824741</v>
      </c>
      <c r="W30" s="40"/>
      <c r="X30" s="43" t="str">
        <f t="shared" si="6"/>
        <v/>
      </c>
      <c r="Y30" s="40"/>
      <c r="Z30" s="43" t="str">
        <f t="shared" si="7"/>
        <v/>
      </c>
      <c r="AA30" s="40"/>
      <c r="AB30" s="43" t="str">
        <f t="shared" si="8"/>
        <v/>
      </c>
      <c r="AC30" s="40"/>
      <c r="AD30" s="43" t="str">
        <f t="shared" si="9"/>
        <v/>
      </c>
      <c r="AE30" s="40"/>
      <c r="AF30" s="43" t="str">
        <f t="shared" si="10"/>
        <v/>
      </c>
      <c r="AG30" s="40">
        <v>3</v>
      </c>
      <c r="AH30" s="43">
        <f t="shared" ref="AH30:AH42" si="22">IF((ISERROR((AG30/$H30)*100)), "", IF(AND(NOT(ISERROR((AG30/$H30)*100)),((AG30/$H30)*100) &lt;&gt; 0), (AG30/$H30)*100, ""))</f>
        <v>3.0927835051546393</v>
      </c>
      <c r="AI30" s="40"/>
      <c r="AJ30" s="43" t="str">
        <f t="shared" si="11"/>
        <v/>
      </c>
      <c r="AK30" s="40">
        <v>4</v>
      </c>
      <c r="AL30" s="43">
        <f t="shared" si="12"/>
        <v>4.1237113402061851</v>
      </c>
      <c r="AM30" s="40">
        <v>6</v>
      </c>
      <c r="AN30" s="43">
        <f t="shared" si="13"/>
        <v>6.1855670103092786</v>
      </c>
      <c r="AO30" s="86"/>
      <c r="AP30" s="43" t="str">
        <f t="shared" si="14"/>
        <v/>
      </c>
      <c r="AQ30" s="40"/>
      <c r="AR30" s="43" t="str">
        <f t="shared" si="15"/>
        <v/>
      </c>
      <c r="AS30" s="40"/>
      <c r="AT30" s="43" t="str">
        <f t="shared" si="13"/>
        <v/>
      </c>
      <c r="AU30" s="40">
        <v>1</v>
      </c>
      <c r="AV30" s="43">
        <f t="shared" si="21"/>
        <v>1.0309278350515463</v>
      </c>
      <c r="AW30" s="40">
        <v>1</v>
      </c>
      <c r="AX30" s="43">
        <f t="shared" si="17"/>
        <v>1.0309278350515463</v>
      </c>
      <c r="AY30" s="40"/>
      <c r="AZ30" s="43" t="str">
        <f t="shared" si="18"/>
        <v/>
      </c>
      <c r="BA30" s="24" t="s">
        <v>431</v>
      </c>
    </row>
    <row r="31" spans="1:53" ht="20" customHeight="1" x14ac:dyDescent="0.2">
      <c r="A31" s="68"/>
      <c r="B31" s="95"/>
      <c r="C31" s="25" t="s">
        <v>86</v>
      </c>
      <c r="D31" s="24" t="s">
        <v>345</v>
      </c>
      <c r="E31" s="24" t="s">
        <v>346</v>
      </c>
      <c r="F31" s="25">
        <v>1977</v>
      </c>
      <c r="H31" s="29">
        <v>5</v>
      </c>
      <c r="I31" s="28" t="s">
        <v>410</v>
      </c>
      <c r="J31" s="39"/>
      <c r="K31" s="40"/>
      <c r="L31" s="43" t="str">
        <f t="shared" si="0"/>
        <v/>
      </c>
      <c r="M31" s="40"/>
      <c r="N31" s="43" t="str">
        <f t="shared" si="1"/>
        <v/>
      </c>
      <c r="O31" s="40">
        <v>5</v>
      </c>
      <c r="P31" s="43">
        <f t="shared" si="2"/>
        <v>100</v>
      </c>
      <c r="Q31" s="40"/>
      <c r="R31" s="43" t="str">
        <f t="shared" si="3"/>
        <v/>
      </c>
      <c r="S31" s="40"/>
      <c r="T31" s="43" t="str">
        <f t="shared" si="4"/>
        <v/>
      </c>
      <c r="U31" s="86"/>
      <c r="V31" s="43" t="str">
        <f t="shared" si="20"/>
        <v/>
      </c>
      <c r="W31" s="40"/>
      <c r="X31" s="43" t="str">
        <f t="shared" si="6"/>
        <v/>
      </c>
      <c r="Y31" s="40"/>
      <c r="Z31" s="43" t="str">
        <f t="shared" si="7"/>
        <v/>
      </c>
      <c r="AA31" s="40"/>
      <c r="AB31" s="43" t="str">
        <f t="shared" si="8"/>
        <v/>
      </c>
      <c r="AC31" s="40"/>
      <c r="AD31" s="43" t="str">
        <f t="shared" si="9"/>
        <v/>
      </c>
      <c r="AE31" s="40"/>
      <c r="AF31" s="43" t="str">
        <f t="shared" si="10"/>
        <v/>
      </c>
      <c r="AG31" s="40"/>
      <c r="AH31" s="43" t="str">
        <f t="shared" si="22"/>
        <v/>
      </c>
      <c r="AI31" s="40"/>
      <c r="AJ31" s="43" t="str">
        <f t="shared" si="11"/>
        <v/>
      </c>
      <c r="AK31" s="40"/>
      <c r="AL31" s="43" t="str">
        <f t="shared" si="12"/>
        <v/>
      </c>
      <c r="AM31" s="40"/>
      <c r="AN31" s="43" t="str">
        <f t="shared" si="13"/>
        <v/>
      </c>
      <c r="AO31" s="86"/>
      <c r="AP31" s="43" t="str">
        <f t="shared" si="14"/>
        <v/>
      </c>
      <c r="AQ31" s="40"/>
      <c r="AR31" s="43" t="str">
        <f t="shared" si="15"/>
        <v/>
      </c>
      <c r="AS31" s="40"/>
      <c r="AT31" s="43" t="str">
        <f t="shared" si="13"/>
        <v/>
      </c>
      <c r="AU31" s="40"/>
      <c r="AV31" s="43" t="str">
        <f t="shared" si="21"/>
        <v/>
      </c>
      <c r="AW31" s="40"/>
      <c r="AX31" s="43" t="str">
        <f t="shared" si="17"/>
        <v/>
      </c>
      <c r="AY31" s="40"/>
      <c r="AZ31" s="43" t="str">
        <f t="shared" si="18"/>
        <v/>
      </c>
      <c r="BA31" s="24" t="s">
        <v>411</v>
      </c>
    </row>
    <row r="32" spans="1:53" ht="20" customHeight="1" x14ac:dyDescent="0.2">
      <c r="A32" s="67"/>
      <c r="B32" s="95"/>
      <c r="C32" s="25" t="s">
        <v>86</v>
      </c>
      <c r="D32" s="24" t="s">
        <v>108</v>
      </c>
      <c r="E32" s="24" t="s">
        <v>109</v>
      </c>
      <c r="F32" s="25">
        <v>2008</v>
      </c>
      <c r="G32" s="25">
        <v>54</v>
      </c>
      <c r="H32" s="29">
        <v>30</v>
      </c>
      <c r="I32" s="28" t="s">
        <v>174</v>
      </c>
      <c r="J32" s="39" t="s">
        <v>233</v>
      </c>
      <c r="K32" s="40"/>
      <c r="L32" s="43" t="str">
        <f t="shared" si="0"/>
        <v/>
      </c>
      <c r="M32" s="40"/>
      <c r="N32" s="43" t="str">
        <f t="shared" si="1"/>
        <v/>
      </c>
      <c r="O32" s="40"/>
      <c r="P32" s="43" t="str">
        <f t="shared" si="2"/>
        <v/>
      </c>
      <c r="Q32" s="40"/>
      <c r="R32" s="43" t="str">
        <f t="shared" si="3"/>
        <v/>
      </c>
      <c r="S32" s="40"/>
      <c r="T32" s="43" t="str">
        <f t="shared" si="4"/>
        <v/>
      </c>
      <c r="U32" s="86"/>
      <c r="V32" s="43" t="str">
        <f t="shared" si="20"/>
        <v/>
      </c>
      <c r="W32" s="40"/>
      <c r="X32" s="43" t="str">
        <f t="shared" si="6"/>
        <v/>
      </c>
      <c r="Y32" s="40"/>
      <c r="Z32" s="43" t="str">
        <f t="shared" si="7"/>
        <v/>
      </c>
      <c r="AA32" s="40"/>
      <c r="AB32" s="43" t="str">
        <f t="shared" si="8"/>
        <v/>
      </c>
      <c r="AC32" s="40"/>
      <c r="AD32" s="43" t="str">
        <f t="shared" si="9"/>
        <v/>
      </c>
      <c r="AE32" s="40"/>
      <c r="AF32" s="43" t="str">
        <f t="shared" si="10"/>
        <v/>
      </c>
      <c r="AG32" s="40">
        <v>1</v>
      </c>
      <c r="AH32" s="43">
        <f t="shared" si="22"/>
        <v>3.3333333333333335</v>
      </c>
      <c r="AI32" s="40"/>
      <c r="AJ32" s="43" t="str">
        <f t="shared" si="11"/>
        <v/>
      </c>
      <c r="AK32" s="40"/>
      <c r="AL32" s="43" t="str">
        <f t="shared" si="12"/>
        <v/>
      </c>
      <c r="AM32" s="40"/>
      <c r="AN32" s="43" t="str">
        <f t="shared" si="13"/>
        <v/>
      </c>
      <c r="AO32" s="86"/>
      <c r="AP32" s="43" t="str">
        <f t="shared" si="14"/>
        <v/>
      </c>
      <c r="AQ32" s="40">
        <v>1</v>
      </c>
      <c r="AR32" s="43">
        <f t="shared" si="15"/>
        <v>3.3333333333333335</v>
      </c>
      <c r="AS32" s="40"/>
      <c r="AT32" s="43" t="str">
        <f t="shared" si="13"/>
        <v/>
      </c>
      <c r="AU32" s="40"/>
      <c r="AV32" s="43" t="str">
        <f t="shared" si="21"/>
        <v/>
      </c>
      <c r="AW32" s="40"/>
      <c r="AX32" s="43" t="str">
        <f t="shared" si="17"/>
        <v/>
      </c>
      <c r="AY32" s="40"/>
      <c r="AZ32" s="43" t="str">
        <f t="shared" si="18"/>
        <v/>
      </c>
    </row>
    <row r="33" spans="1:53" ht="20" customHeight="1" x14ac:dyDescent="0.2">
      <c r="A33" s="67"/>
      <c r="B33" s="95"/>
      <c r="C33" s="25" t="s">
        <v>86</v>
      </c>
      <c r="D33" s="24" t="s">
        <v>114</v>
      </c>
      <c r="E33" s="24" t="s">
        <v>115</v>
      </c>
      <c r="F33" s="25">
        <v>1997</v>
      </c>
      <c r="G33" s="25">
        <v>127</v>
      </c>
      <c r="H33" s="29">
        <v>8</v>
      </c>
      <c r="I33" s="28" t="s">
        <v>236</v>
      </c>
      <c r="J33" s="39" t="s">
        <v>237</v>
      </c>
      <c r="K33" s="40"/>
      <c r="L33" s="43" t="str">
        <f t="shared" si="0"/>
        <v/>
      </c>
      <c r="M33" s="40"/>
      <c r="N33" s="43" t="str">
        <f t="shared" si="1"/>
        <v/>
      </c>
      <c r="O33" s="40"/>
      <c r="P33" s="43" t="str">
        <f t="shared" si="2"/>
        <v/>
      </c>
      <c r="Q33" s="40"/>
      <c r="R33" s="43" t="str">
        <f t="shared" si="3"/>
        <v/>
      </c>
      <c r="S33" s="40"/>
      <c r="T33" s="43" t="str">
        <f t="shared" si="4"/>
        <v/>
      </c>
      <c r="U33" s="86">
        <v>1</v>
      </c>
      <c r="V33" s="43">
        <f t="shared" si="20"/>
        <v>12.5</v>
      </c>
      <c r="W33" s="40"/>
      <c r="X33" s="43" t="str">
        <f t="shared" si="6"/>
        <v/>
      </c>
      <c r="Y33" s="40"/>
      <c r="Z33" s="43" t="str">
        <f t="shared" si="7"/>
        <v/>
      </c>
      <c r="AA33" s="40"/>
      <c r="AB33" s="43" t="str">
        <f t="shared" si="8"/>
        <v/>
      </c>
      <c r="AC33" s="40">
        <v>1</v>
      </c>
      <c r="AD33" s="43">
        <f t="shared" si="9"/>
        <v>12.5</v>
      </c>
      <c r="AE33" s="40"/>
      <c r="AF33" s="43" t="str">
        <f t="shared" si="10"/>
        <v/>
      </c>
      <c r="AG33" s="40"/>
      <c r="AH33" s="43" t="str">
        <f t="shared" si="22"/>
        <v/>
      </c>
      <c r="AI33" s="40"/>
      <c r="AJ33" s="43" t="str">
        <f t="shared" si="11"/>
        <v/>
      </c>
      <c r="AK33" s="40"/>
      <c r="AL33" s="43" t="str">
        <f t="shared" si="12"/>
        <v/>
      </c>
      <c r="AM33" s="40"/>
      <c r="AN33" s="43" t="str">
        <f t="shared" si="13"/>
        <v/>
      </c>
      <c r="AO33" s="86"/>
      <c r="AP33" s="43" t="str">
        <f t="shared" si="14"/>
        <v/>
      </c>
      <c r="AQ33" s="40"/>
      <c r="AR33" s="43" t="str">
        <f t="shared" si="15"/>
        <v/>
      </c>
      <c r="AS33" s="40"/>
      <c r="AT33" s="43" t="str">
        <f t="shared" si="13"/>
        <v/>
      </c>
      <c r="AU33" s="40"/>
      <c r="AV33" s="43" t="str">
        <f t="shared" si="21"/>
        <v/>
      </c>
      <c r="AW33" s="40"/>
      <c r="AX33" s="43" t="str">
        <f t="shared" si="17"/>
        <v/>
      </c>
      <c r="AY33" s="40"/>
      <c r="AZ33" s="43" t="str">
        <f t="shared" si="18"/>
        <v/>
      </c>
      <c r="BA33" s="24" t="s">
        <v>433</v>
      </c>
    </row>
    <row r="34" spans="1:53" ht="20" customHeight="1" x14ac:dyDescent="0.2">
      <c r="A34" s="67"/>
      <c r="B34" s="95"/>
      <c r="C34" s="25" t="s">
        <v>86</v>
      </c>
      <c r="D34" s="24" t="s">
        <v>120</v>
      </c>
      <c r="E34" s="24" t="s">
        <v>121</v>
      </c>
      <c r="F34" s="25">
        <v>2003</v>
      </c>
      <c r="G34" s="25">
        <v>45</v>
      </c>
      <c r="H34" s="29">
        <v>16</v>
      </c>
      <c r="I34" s="28" t="s">
        <v>189</v>
      </c>
      <c r="J34" s="39" t="s">
        <v>377</v>
      </c>
      <c r="K34" s="40"/>
      <c r="L34" s="43" t="str">
        <f t="shared" si="0"/>
        <v/>
      </c>
      <c r="M34" s="40"/>
      <c r="N34" s="43" t="str">
        <f t="shared" si="1"/>
        <v/>
      </c>
      <c r="O34" s="45"/>
      <c r="P34" s="46" t="str">
        <f t="shared" si="2"/>
        <v/>
      </c>
      <c r="Q34" s="40"/>
      <c r="R34" s="43" t="str">
        <f t="shared" si="3"/>
        <v/>
      </c>
      <c r="S34" s="40"/>
      <c r="T34" s="43" t="str">
        <f t="shared" si="4"/>
        <v/>
      </c>
      <c r="U34" s="86"/>
      <c r="V34" s="43" t="str">
        <f t="shared" si="20"/>
        <v/>
      </c>
      <c r="W34" s="40"/>
      <c r="X34" s="43" t="str">
        <f t="shared" si="6"/>
        <v/>
      </c>
      <c r="Y34" s="40"/>
      <c r="Z34" s="43" t="str">
        <f t="shared" si="7"/>
        <v/>
      </c>
      <c r="AA34" s="40"/>
      <c r="AB34" s="43" t="str">
        <f t="shared" si="8"/>
        <v/>
      </c>
      <c r="AC34" s="40"/>
      <c r="AD34" s="43" t="str">
        <f t="shared" si="9"/>
        <v/>
      </c>
      <c r="AE34" s="40"/>
      <c r="AF34" s="43" t="str">
        <f t="shared" si="10"/>
        <v/>
      </c>
      <c r="AG34" s="40"/>
      <c r="AH34" s="43" t="str">
        <f t="shared" si="22"/>
        <v/>
      </c>
      <c r="AI34" s="40"/>
      <c r="AJ34" s="43" t="str">
        <f t="shared" si="11"/>
        <v/>
      </c>
      <c r="AK34" s="40"/>
      <c r="AL34" s="43" t="str">
        <f t="shared" si="12"/>
        <v/>
      </c>
      <c r="AM34" s="40"/>
      <c r="AN34" s="43" t="str">
        <f t="shared" si="13"/>
        <v/>
      </c>
      <c r="AO34" s="86"/>
      <c r="AP34" s="43" t="str">
        <f t="shared" si="14"/>
        <v/>
      </c>
      <c r="AQ34" s="40"/>
      <c r="AR34" s="43" t="str">
        <f t="shared" si="15"/>
        <v/>
      </c>
      <c r="AS34" s="40"/>
      <c r="AT34" s="43" t="str">
        <f t="shared" si="13"/>
        <v/>
      </c>
      <c r="AU34" s="40"/>
      <c r="AV34" s="43" t="str">
        <f t="shared" si="21"/>
        <v/>
      </c>
      <c r="AW34" s="40"/>
      <c r="AX34" s="43" t="str">
        <f t="shared" si="17"/>
        <v/>
      </c>
      <c r="AY34" s="40"/>
      <c r="AZ34" s="43" t="str">
        <f t="shared" si="18"/>
        <v/>
      </c>
      <c r="BA34" s="24" t="s">
        <v>244</v>
      </c>
    </row>
    <row r="35" spans="1:53" ht="20" customHeight="1" x14ac:dyDescent="0.2">
      <c r="A35" s="67"/>
      <c r="B35" s="95"/>
      <c r="C35" s="25" t="s">
        <v>86</v>
      </c>
      <c r="D35" s="24" t="s">
        <v>347</v>
      </c>
      <c r="E35" s="24" t="s">
        <v>348</v>
      </c>
      <c r="F35" s="25">
        <v>2015</v>
      </c>
      <c r="H35" s="29">
        <v>5</v>
      </c>
      <c r="I35" s="28" t="s">
        <v>235</v>
      </c>
      <c r="J35" s="39" t="s">
        <v>208</v>
      </c>
      <c r="K35" s="40"/>
      <c r="L35" s="43" t="str">
        <f t="shared" si="0"/>
        <v/>
      </c>
      <c r="M35" s="40"/>
      <c r="N35" s="43" t="str">
        <f t="shared" si="1"/>
        <v/>
      </c>
      <c r="O35" s="40"/>
      <c r="P35" s="43" t="str">
        <f t="shared" si="2"/>
        <v/>
      </c>
      <c r="Q35" s="40"/>
      <c r="R35" s="43" t="str">
        <f t="shared" si="3"/>
        <v/>
      </c>
      <c r="S35" s="40"/>
      <c r="T35" s="43" t="str">
        <f t="shared" si="4"/>
        <v/>
      </c>
      <c r="U35" s="86"/>
      <c r="V35" s="43" t="str">
        <f t="shared" si="20"/>
        <v/>
      </c>
      <c r="W35" s="40"/>
      <c r="X35" s="43" t="str">
        <f t="shared" si="6"/>
        <v/>
      </c>
      <c r="Y35" s="40"/>
      <c r="Z35" s="43" t="str">
        <f t="shared" si="7"/>
        <v/>
      </c>
      <c r="AA35" s="40"/>
      <c r="AB35" s="43" t="str">
        <f t="shared" si="8"/>
        <v/>
      </c>
      <c r="AC35" s="40"/>
      <c r="AD35" s="43" t="str">
        <f t="shared" si="9"/>
        <v/>
      </c>
      <c r="AE35" s="40"/>
      <c r="AF35" s="43" t="str">
        <f t="shared" si="10"/>
        <v/>
      </c>
      <c r="AG35" s="40"/>
      <c r="AH35" s="43" t="str">
        <f t="shared" si="22"/>
        <v/>
      </c>
      <c r="AI35" s="40"/>
      <c r="AJ35" s="43" t="str">
        <f t="shared" si="11"/>
        <v/>
      </c>
      <c r="AK35" s="40"/>
      <c r="AL35" s="43" t="str">
        <f t="shared" si="12"/>
        <v/>
      </c>
      <c r="AM35" s="40"/>
      <c r="AN35" s="43" t="str">
        <f t="shared" si="13"/>
        <v/>
      </c>
      <c r="AO35" s="86">
        <v>1</v>
      </c>
      <c r="AP35" s="43">
        <f t="shared" si="14"/>
        <v>20</v>
      </c>
      <c r="AQ35" s="40"/>
      <c r="AR35" s="43" t="str">
        <f t="shared" si="15"/>
        <v/>
      </c>
      <c r="AS35" s="40"/>
      <c r="AT35" s="43" t="str">
        <f t="shared" si="13"/>
        <v/>
      </c>
      <c r="AU35" s="40"/>
      <c r="AV35" s="43" t="str">
        <f t="shared" si="21"/>
        <v/>
      </c>
      <c r="AW35" s="40"/>
      <c r="AX35" s="43" t="str">
        <f t="shared" si="17"/>
        <v/>
      </c>
      <c r="AY35" s="40"/>
      <c r="AZ35" s="43" t="str">
        <f t="shared" si="18"/>
        <v/>
      </c>
    </row>
    <row r="36" spans="1:53" ht="20" customHeight="1" x14ac:dyDescent="0.2">
      <c r="A36" s="67"/>
      <c r="B36" s="95"/>
      <c r="C36" s="25" t="s">
        <v>86</v>
      </c>
      <c r="D36" s="24" t="s">
        <v>132</v>
      </c>
      <c r="E36" s="24" t="s">
        <v>133</v>
      </c>
      <c r="F36" s="25">
        <v>1998</v>
      </c>
      <c r="G36" s="25">
        <v>213</v>
      </c>
      <c r="H36" s="29">
        <v>6</v>
      </c>
      <c r="I36" s="28" t="s">
        <v>189</v>
      </c>
      <c r="J36" s="39"/>
      <c r="K36" s="40"/>
      <c r="L36" s="43" t="str">
        <f t="shared" si="0"/>
        <v/>
      </c>
      <c r="M36" s="40"/>
      <c r="N36" s="43" t="str">
        <f t="shared" si="1"/>
        <v/>
      </c>
      <c r="O36" s="40"/>
      <c r="P36" s="43" t="str">
        <f t="shared" si="2"/>
        <v/>
      </c>
      <c r="Q36" s="40"/>
      <c r="R36" s="43" t="str">
        <f t="shared" si="3"/>
        <v/>
      </c>
      <c r="S36" s="40"/>
      <c r="T36" s="43" t="str">
        <f t="shared" si="4"/>
        <v/>
      </c>
      <c r="U36" s="86"/>
      <c r="V36" s="43" t="str">
        <f t="shared" si="20"/>
        <v/>
      </c>
      <c r="W36" s="45">
        <v>4</v>
      </c>
      <c r="X36" s="46">
        <f t="shared" si="6"/>
        <v>66.666666666666657</v>
      </c>
      <c r="Y36" s="40"/>
      <c r="Z36" s="43" t="str">
        <f t="shared" si="7"/>
        <v/>
      </c>
      <c r="AA36" s="40"/>
      <c r="AB36" s="43" t="str">
        <f t="shared" si="8"/>
        <v/>
      </c>
      <c r="AC36" s="40"/>
      <c r="AD36" s="43" t="str">
        <f t="shared" si="9"/>
        <v/>
      </c>
      <c r="AE36" s="40"/>
      <c r="AF36" s="43" t="str">
        <f t="shared" si="10"/>
        <v/>
      </c>
      <c r="AG36" s="40"/>
      <c r="AH36" s="43" t="str">
        <f t="shared" si="22"/>
        <v/>
      </c>
      <c r="AI36" s="40"/>
      <c r="AJ36" s="43" t="str">
        <f t="shared" si="11"/>
        <v/>
      </c>
      <c r="AK36" s="40"/>
      <c r="AL36" s="43" t="str">
        <f t="shared" si="12"/>
        <v/>
      </c>
      <c r="AM36" s="40"/>
      <c r="AN36" s="43" t="str">
        <f t="shared" si="13"/>
        <v/>
      </c>
      <c r="AO36" s="86"/>
      <c r="AP36" s="43" t="str">
        <f t="shared" si="14"/>
        <v/>
      </c>
      <c r="AQ36" s="40"/>
      <c r="AR36" s="43" t="str">
        <f t="shared" si="15"/>
        <v/>
      </c>
      <c r="AS36" s="40"/>
      <c r="AT36" s="43" t="str">
        <f t="shared" si="13"/>
        <v/>
      </c>
      <c r="AU36" s="40"/>
      <c r="AV36" s="43" t="str">
        <f t="shared" si="21"/>
        <v/>
      </c>
      <c r="AW36" s="40"/>
      <c r="AX36" s="43" t="str">
        <f t="shared" si="17"/>
        <v/>
      </c>
      <c r="AY36" s="40"/>
      <c r="AZ36" s="43" t="str">
        <f t="shared" si="18"/>
        <v/>
      </c>
      <c r="BA36" s="24" t="s">
        <v>248</v>
      </c>
    </row>
    <row r="37" spans="1:53" ht="20" customHeight="1" x14ac:dyDescent="0.2">
      <c r="A37" s="68"/>
      <c r="B37" s="95"/>
      <c r="C37" s="25" t="s">
        <v>86</v>
      </c>
      <c r="D37" s="24" t="s">
        <v>134</v>
      </c>
      <c r="E37" s="24" t="s">
        <v>135</v>
      </c>
      <c r="F37" s="25">
        <v>2001</v>
      </c>
      <c r="G37" s="25">
        <v>192</v>
      </c>
      <c r="H37" s="29">
        <v>40</v>
      </c>
      <c r="I37" s="28" t="s">
        <v>189</v>
      </c>
      <c r="J37" s="39" t="s">
        <v>176</v>
      </c>
      <c r="K37" s="40"/>
      <c r="L37" s="43" t="str">
        <f t="shared" si="0"/>
        <v/>
      </c>
      <c r="M37" s="40"/>
      <c r="N37" s="43" t="str">
        <f t="shared" si="1"/>
        <v/>
      </c>
      <c r="O37" s="40"/>
      <c r="P37" s="43" t="str">
        <f t="shared" si="2"/>
        <v/>
      </c>
      <c r="Q37" s="40"/>
      <c r="R37" s="43" t="str">
        <f t="shared" si="3"/>
        <v/>
      </c>
      <c r="S37" s="40"/>
      <c r="T37" s="43" t="str">
        <f t="shared" si="4"/>
        <v/>
      </c>
      <c r="U37" s="86"/>
      <c r="V37" s="43" t="str">
        <f t="shared" si="20"/>
        <v/>
      </c>
      <c r="W37" s="45">
        <v>1</v>
      </c>
      <c r="X37" s="46">
        <f t="shared" si="6"/>
        <v>2.5</v>
      </c>
      <c r="Y37" s="40"/>
      <c r="Z37" s="43" t="str">
        <f t="shared" si="7"/>
        <v/>
      </c>
      <c r="AA37" s="40"/>
      <c r="AB37" s="43" t="str">
        <f t="shared" si="8"/>
        <v/>
      </c>
      <c r="AC37" s="40"/>
      <c r="AD37" s="43" t="str">
        <f t="shared" si="9"/>
        <v/>
      </c>
      <c r="AE37" s="40"/>
      <c r="AF37" s="43" t="str">
        <f t="shared" si="10"/>
        <v/>
      </c>
      <c r="AG37" s="40">
        <v>2</v>
      </c>
      <c r="AH37" s="43">
        <f t="shared" si="22"/>
        <v>5</v>
      </c>
      <c r="AI37" s="40"/>
      <c r="AJ37" s="43" t="str">
        <f t="shared" si="11"/>
        <v/>
      </c>
      <c r="AK37" s="40"/>
      <c r="AL37" s="43" t="str">
        <f t="shared" si="12"/>
        <v/>
      </c>
      <c r="AM37" s="40"/>
      <c r="AN37" s="43" t="str">
        <f t="shared" si="13"/>
        <v/>
      </c>
      <c r="AO37" s="86"/>
      <c r="AP37" s="43" t="str">
        <f t="shared" si="14"/>
        <v/>
      </c>
      <c r="AQ37" s="40"/>
      <c r="AR37" s="43" t="str">
        <f t="shared" si="15"/>
        <v/>
      </c>
      <c r="AS37" s="40"/>
      <c r="AT37" s="43" t="str">
        <f t="shared" si="13"/>
        <v/>
      </c>
      <c r="AU37" s="40"/>
      <c r="AV37" s="43" t="str">
        <f t="shared" si="21"/>
        <v/>
      </c>
      <c r="AW37" s="40"/>
      <c r="AX37" s="43" t="str">
        <f t="shared" si="17"/>
        <v/>
      </c>
      <c r="AY37" s="40"/>
      <c r="AZ37" s="43" t="str">
        <f t="shared" si="18"/>
        <v/>
      </c>
      <c r="BA37" s="24" t="s">
        <v>436</v>
      </c>
    </row>
    <row r="38" spans="1:53" ht="20" customHeight="1" x14ac:dyDescent="0.2">
      <c r="A38" s="67"/>
      <c r="B38" s="95"/>
      <c r="C38" s="25" t="s">
        <v>86</v>
      </c>
      <c r="D38" s="24" t="s">
        <v>138</v>
      </c>
      <c r="E38" s="24" t="s">
        <v>139</v>
      </c>
      <c r="F38" s="25">
        <v>2011</v>
      </c>
      <c r="G38" s="25">
        <v>42</v>
      </c>
      <c r="H38" s="29">
        <v>51</v>
      </c>
      <c r="I38" s="28" t="s">
        <v>255</v>
      </c>
      <c r="J38" s="39" t="s">
        <v>256</v>
      </c>
      <c r="K38" s="40"/>
      <c r="L38" s="43" t="str">
        <f t="shared" si="0"/>
        <v/>
      </c>
      <c r="M38" s="40"/>
      <c r="N38" s="43" t="str">
        <f t="shared" si="1"/>
        <v/>
      </c>
      <c r="O38" s="40"/>
      <c r="P38" s="43" t="str">
        <f t="shared" si="2"/>
        <v/>
      </c>
      <c r="Q38" s="40"/>
      <c r="R38" s="43" t="str">
        <f t="shared" si="3"/>
        <v/>
      </c>
      <c r="S38" s="40"/>
      <c r="T38" s="43" t="str">
        <f t="shared" si="4"/>
        <v/>
      </c>
      <c r="U38" s="47">
        <v>4</v>
      </c>
      <c r="V38" s="46">
        <f t="shared" si="20"/>
        <v>7.8431372549019605</v>
      </c>
      <c r="W38" s="40"/>
      <c r="X38" s="43" t="str">
        <f t="shared" si="6"/>
        <v/>
      </c>
      <c r="Y38" s="40"/>
      <c r="Z38" s="43" t="str">
        <f t="shared" si="7"/>
        <v/>
      </c>
      <c r="AA38" s="40"/>
      <c r="AB38" s="43" t="str">
        <f t="shared" si="8"/>
        <v/>
      </c>
      <c r="AC38" s="45" t="s">
        <v>257</v>
      </c>
      <c r="AD38" s="46" t="str">
        <f t="shared" si="9"/>
        <v/>
      </c>
      <c r="AE38" s="40"/>
      <c r="AF38" s="43" t="str">
        <f t="shared" si="10"/>
        <v/>
      </c>
      <c r="AG38" s="45">
        <v>21</v>
      </c>
      <c r="AH38" s="46">
        <f t="shared" si="22"/>
        <v>41.17647058823529</v>
      </c>
      <c r="AI38" s="40"/>
      <c r="AJ38" s="43" t="str">
        <f t="shared" si="11"/>
        <v/>
      </c>
      <c r="AK38" s="40"/>
      <c r="AL38" s="43" t="str">
        <f t="shared" si="12"/>
        <v/>
      </c>
      <c r="AM38" s="40"/>
      <c r="AN38" s="43" t="str">
        <f t="shared" si="13"/>
        <v/>
      </c>
      <c r="AO38" s="86"/>
      <c r="AP38" s="43" t="str">
        <f t="shared" si="14"/>
        <v/>
      </c>
      <c r="AQ38" s="40"/>
      <c r="AR38" s="43" t="str">
        <f t="shared" si="15"/>
        <v/>
      </c>
      <c r="AS38" s="45">
        <v>1</v>
      </c>
      <c r="AT38" s="46">
        <f t="shared" si="13"/>
        <v>1.9607843137254901</v>
      </c>
      <c r="AU38" s="40"/>
      <c r="AV38" s="43" t="str">
        <f t="shared" si="21"/>
        <v/>
      </c>
      <c r="AW38" s="40"/>
      <c r="AX38" s="43" t="str">
        <f t="shared" si="17"/>
        <v/>
      </c>
      <c r="AY38" s="40"/>
      <c r="AZ38" s="43" t="str">
        <f t="shared" si="18"/>
        <v/>
      </c>
      <c r="BA38" s="24" t="s">
        <v>438</v>
      </c>
    </row>
    <row r="39" spans="1:53" ht="20" customHeight="1" x14ac:dyDescent="0.2">
      <c r="A39" s="67"/>
      <c r="B39" s="95"/>
      <c r="C39" s="25" t="s">
        <v>86</v>
      </c>
      <c r="D39" s="24" t="s">
        <v>353</v>
      </c>
      <c r="E39" s="24" t="s">
        <v>354</v>
      </c>
      <c r="F39" s="25">
        <v>2010</v>
      </c>
      <c r="H39" s="29">
        <v>53</v>
      </c>
      <c r="I39" s="91" t="s">
        <v>415</v>
      </c>
      <c r="J39" s="39" t="s">
        <v>414</v>
      </c>
      <c r="K39" s="40"/>
      <c r="L39" s="43" t="str">
        <f t="shared" si="0"/>
        <v/>
      </c>
      <c r="M39" s="40"/>
      <c r="N39" s="43" t="str">
        <f t="shared" si="1"/>
        <v/>
      </c>
      <c r="O39" s="40">
        <v>15</v>
      </c>
      <c r="P39" s="43">
        <f t="shared" si="2"/>
        <v>28.30188679245283</v>
      </c>
      <c r="Q39" s="40"/>
      <c r="R39" s="43" t="str">
        <f t="shared" si="3"/>
        <v/>
      </c>
      <c r="S39" s="40"/>
      <c r="T39" s="43" t="str">
        <f t="shared" si="4"/>
        <v/>
      </c>
      <c r="U39" s="86">
        <v>15</v>
      </c>
      <c r="V39" s="43">
        <f t="shared" si="20"/>
        <v>28.30188679245283</v>
      </c>
      <c r="W39" s="40"/>
      <c r="X39" s="43" t="str">
        <f t="shared" si="6"/>
        <v/>
      </c>
      <c r="Y39" s="40"/>
      <c r="Z39" s="43" t="str">
        <f t="shared" si="7"/>
        <v/>
      </c>
      <c r="AA39" s="40"/>
      <c r="AB39" s="43" t="str">
        <f t="shared" si="8"/>
        <v/>
      </c>
      <c r="AC39" s="40"/>
      <c r="AD39" s="43" t="str">
        <f t="shared" si="9"/>
        <v/>
      </c>
      <c r="AE39" s="40"/>
      <c r="AF39" s="43" t="str">
        <f t="shared" si="10"/>
        <v/>
      </c>
      <c r="AG39" s="40"/>
      <c r="AH39" s="43"/>
      <c r="AI39" s="40">
        <v>3</v>
      </c>
      <c r="AJ39" s="43">
        <f t="shared" si="11"/>
        <v>5.6603773584905666</v>
      </c>
      <c r="AK39" s="40">
        <v>9</v>
      </c>
      <c r="AL39" s="43">
        <f t="shared" si="12"/>
        <v>16.981132075471699</v>
      </c>
      <c r="AM39" s="40"/>
      <c r="AN39" s="43" t="str">
        <f t="shared" si="13"/>
        <v/>
      </c>
      <c r="AO39" s="86"/>
      <c r="AP39" s="43" t="str">
        <f t="shared" si="14"/>
        <v/>
      </c>
      <c r="AQ39" s="40"/>
      <c r="AR39" s="43" t="str">
        <f t="shared" si="15"/>
        <v/>
      </c>
      <c r="AS39" s="40">
        <v>2</v>
      </c>
      <c r="AT39" s="43">
        <f t="shared" si="13"/>
        <v>3.7735849056603774</v>
      </c>
      <c r="AU39" s="40"/>
      <c r="AV39" s="43" t="str">
        <f t="shared" si="21"/>
        <v/>
      </c>
      <c r="AW39" s="40"/>
      <c r="AX39" s="43" t="str">
        <f t="shared" si="17"/>
        <v/>
      </c>
      <c r="AY39" s="40"/>
      <c r="AZ39" s="43" t="str">
        <f t="shared" si="18"/>
        <v/>
      </c>
      <c r="BA39" s="24" t="s">
        <v>416</v>
      </c>
    </row>
    <row r="40" spans="1:53" ht="20" customHeight="1" x14ac:dyDescent="0.2">
      <c r="A40" s="67"/>
      <c r="B40" s="95"/>
      <c r="C40" s="25" t="s">
        <v>86</v>
      </c>
      <c r="D40" s="24" t="s">
        <v>355</v>
      </c>
      <c r="E40" s="24" t="s">
        <v>356</v>
      </c>
      <c r="F40" s="25">
        <v>2014</v>
      </c>
      <c r="H40" s="29">
        <v>39</v>
      </c>
      <c r="I40" s="28" t="s">
        <v>235</v>
      </c>
      <c r="J40" s="39" t="s">
        <v>417</v>
      </c>
      <c r="K40" s="40"/>
      <c r="L40" s="43"/>
      <c r="M40" s="40"/>
      <c r="N40" s="43" t="str">
        <f t="shared" si="1"/>
        <v/>
      </c>
      <c r="O40" s="40"/>
      <c r="P40" s="43" t="str">
        <f t="shared" si="2"/>
        <v/>
      </c>
      <c r="Q40" s="40"/>
      <c r="R40" s="43" t="str">
        <f t="shared" si="3"/>
        <v/>
      </c>
      <c r="S40" s="40"/>
      <c r="T40" s="43" t="str">
        <f t="shared" si="4"/>
        <v/>
      </c>
      <c r="U40" s="86"/>
      <c r="V40" s="43" t="str">
        <f t="shared" si="20"/>
        <v/>
      </c>
      <c r="W40" s="40"/>
      <c r="X40" s="43" t="str">
        <f t="shared" si="6"/>
        <v/>
      </c>
      <c r="Y40" s="40"/>
      <c r="Z40" s="43" t="str">
        <f t="shared" si="7"/>
        <v/>
      </c>
      <c r="AA40" s="40"/>
      <c r="AB40" s="43"/>
      <c r="AC40" s="40"/>
      <c r="AD40" s="43" t="str">
        <f t="shared" si="9"/>
        <v/>
      </c>
      <c r="AE40" s="40"/>
      <c r="AF40" s="43" t="str">
        <f t="shared" si="10"/>
        <v/>
      </c>
      <c r="AG40" s="40"/>
      <c r="AH40" s="43" t="str">
        <f t="shared" si="22"/>
        <v/>
      </c>
      <c r="AI40" s="40"/>
      <c r="AJ40" s="43" t="str">
        <f t="shared" si="11"/>
        <v/>
      </c>
      <c r="AK40" s="40"/>
      <c r="AL40" s="43" t="str">
        <f t="shared" si="12"/>
        <v/>
      </c>
      <c r="AM40" s="40"/>
      <c r="AN40" s="43" t="str">
        <f t="shared" si="13"/>
        <v/>
      </c>
      <c r="AO40" s="86">
        <v>8</v>
      </c>
      <c r="AP40" s="43">
        <f t="shared" si="14"/>
        <v>20.512820512820511</v>
      </c>
      <c r="AQ40" s="40"/>
      <c r="AR40" s="43" t="str">
        <f t="shared" si="15"/>
        <v/>
      </c>
      <c r="AS40" s="40"/>
      <c r="AT40" s="43" t="str">
        <f t="shared" si="13"/>
        <v/>
      </c>
      <c r="AU40" s="40"/>
      <c r="AV40" s="43" t="str">
        <f t="shared" si="21"/>
        <v/>
      </c>
      <c r="AW40" s="40"/>
      <c r="AX40" s="43" t="str">
        <f t="shared" si="17"/>
        <v/>
      </c>
      <c r="AY40" s="40"/>
      <c r="AZ40" s="43" t="str">
        <f t="shared" si="18"/>
        <v/>
      </c>
      <c r="BA40" s="24" t="s">
        <v>439</v>
      </c>
    </row>
    <row r="41" spans="1:53" ht="20" customHeight="1" x14ac:dyDescent="0.2">
      <c r="A41" s="67"/>
      <c r="B41" s="95"/>
      <c r="C41" s="25" t="s">
        <v>86</v>
      </c>
      <c r="D41" s="24" t="s">
        <v>357</v>
      </c>
      <c r="E41" s="24" t="s">
        <v>358</v>
      </c>
      <c r="F41" s="25">
        <v>2010</v>
      </c>
      <c r="H41" s="29">
        <v>789</v>
      </c>
      <c r="I41" s="28" t="s">
        <v>235</v>
      </c>
      <c r="J41" s="39" t="s">
        <v>419</v>
      </c>
      <c r="K41" s="40"/>
      <c r="L41" s="43" t="str">
        <f>IF((ISERROR((K41/$H41)*100)), "", IF(AND(NOT(ISERROR((K41/$H41)*100)),((K41/$H41)*100) &lt;&gt; 0), (K41/$H41)*100, ""))</f>
        <v/>
      </c>
      <c r="M41" s="40"/>
      <c r="N41" s="43" t="str">
        <f t="shared" si="1"/>
        <v/>
      </c>
      <c r="O41" s="40"/>
      <c r="P41" s="43" t="str">
        <f t="shared" si="2"/>
        <v/>
      </c>
      <c r="Q41" s="40"/>
      <c r="R41" s="43" t="str">
        <f t="shared" si="3"/>
        <v/>
      </c>
      <c r="S41" s="40"/>
      <c r="T41" s="43" t="str">
        <f t="shared" si="4"/>
        <v/>
      </c>
      <c r="U41" s="86"/>
      <c r="V41" s="43" t="str">
        <f t="shared" si="20"/>
        <v/>
      </c>
      <c r="W41" s="40"/>
      <c r="X41" s="43" t="str">
        <f t="shared" si="6"/>
        <v/>
      </c>
      <c r="Y41" s="40"/>
      <c r="Z41" s="43" t="str">
        <f t="shared" si="7"/>
        <v/>
      </c>
      <c r="AA41" s="40"/>
      <c r="AB41" s="43" t="str">
        <f>IF((ISERROR((AA41/$H41)*100)), "", IF(AND(NOT(ISERROR((AA41/$H41)*100)),((AA41/$H41)*100) &lt;&gt; 0), (AA41/$H41)*100, ""))</f>
        <v/>
      </c>
      <c r="AC41" s="40"/>
      <c r="AD41" s="43" t="str">
        <f t="shared" si="9"/>
        <v/>
      </c>
      <c r="AE41" s="40"/>
      <c r="AF41" s="43" t="str">
        <f t="shared" si="10"/>
        <v/>
      </c>
      <c r="AG41" s="40"/>
      <c r="AH41" s="43" t="str">
        <f t="shared" si="22"/>
        <v/>
      </c>
      <c r="AI41" s="40"/>
      <c r="AJ41" s="43" t="str">
        <f t="shared" si="11"/>
        <v/>
      </c>
      <c r="AK41" s="40"/>
      <c r="AL41" s="43" t="str">
        <f t="shared" si="12"/>
        <v/>
      </c>
      <c r="AM41" s="40"/>
      <c r="AN41" s="43" t="str">
        <f t="shared" si="13"/>
        <v/>
      </c>
      <c r="AO41" s="86">
        <v>43</v>
      </c>
      <c r="AP41" s="43">
        <f t="shared" si="14"/>
        <v>5.4499366286438535</v>
      </c>
      <c r="AQ41" s="40"/>
      <c r="AR41" s="43" t="str">
        <f t="shared" si="15"/>
        <v/>
      </c>
      <c r="AS41" s="40"/>
      <c r="AT41" s="43" t="str">
        <f t="shared" si="13"/>
        <v/>
      </c>
      <c r="AU41" s="40"/>
      <c r="AV41" s="43" t="str">
        <f t="shared" si="21"/>
        <v/>
      </c>
      <c r="AW41" s="40"/>
      <c r="AX41" s="43" t="str">
        <f t="shared" si="17"/>
        <v/>
      </c>
      <c r="AY41" s="40"/>
      <c r="AZ41" s="43" t="str">
        <f t="shared" si="18"/>
        <v/>
      </c>
      <c r="BA41" s="24" t="s">
        <v>418</v>
      </c>
    </row>
    <row r="42" spans="1:53" ht="20" customHeight="1" x14ac:dyDescent="0.2">
      <c r="A42" s="67"/>
      <c r="B42" s="95"/>
      <c r="C42" s="94" t="s">
        <v>425</v>
      </c>
      <c r="D42" s="56" t="s">
        <v>140</v>
      </c>
      <c r="E42" s="56" t="s">
        <v>141</v>
      </c>
      <c r="F42" s="57">
        <v>2005</v>
      </c>
      <c r="G42" s="57">
        <v>21</v>
      </c>
      <c r="H42" s="29"/>
      <c r="I42" s="28" t="s">
        <v>259</v>
      </c>
      <c r="J42" s="39"/>
      <c r="K42" s="40"/>
      <c r="L42" s="43" t="str">
        <f>IF((ISERROR((K42/$H42)*100)), "", IF(AND(NOT(ISERROR((K42/$H42)*100)),((K42/$H42)*100) &lt;&gt; 0), (K42/$H42)*100, ""))</f>
        <v/>
      </c>
      <c r="M42" s="40"/>
      <c r="N42" s="43" t="str">
        <f t="shared" si="1"/>
        <v/>
      </c>
      <c r="O42" s="40"/>
      <c r="P42" s="43" t="str">
        <f t="shared" si="2"/>
        <v/>
      </c>
      <c r="Q42" s="40"/>
      <c r="R42" s="43" t="str">
        <f t="shared" si="3"/>
        <v/>
      </c>
      <c r="S42" s="40"/>
      <c r="T42" s="43" t="str">
        <f t="shared" si="4"/>
        <v/>
      </c>
      <c r="U42" s="47">
        <v>16</v>
      </c>
      <c r="V42" s="46" t="str">
        <f t="shared" si="20"/>
        <v/>
      </c>
      <c r="W42" s="45">
        <v>5</v>
      </c>
      <c r="X42" s="46" t="str">
        <f t="shared" si="6"/>
        <v/>
      </c>
      <c r="Y42" s="40"/>
      <c r="Z42" s="43" t="str">
        <f t="shared" si="7"/>
        <v/>
      </c>
      <c r="AA42" s="40"/>
      <c r="AB42" s="43" t="str">
        <f>IF((ISERROR((AA42/$H42)*100)), "", IF(AND(NOT(ISERROR((AA42/$H42)*100)),((AA42/$H42)*100) &lt;&gt; 0), (AA42/$H42)*100, ""))</f>
        <v/>
      </c>
      <c r="AC42" s="40"/>
      <c r="AD42" s="43" t="str">
        <f t="shared" si="9"/>
        <v/>
      </c>
      <c r="AE42" s="40"/>
      <c r="AF42" s="43" t="str">
        <f t="shared" si="10"/>
        <v/>
      </c>
      <c r="AG42" s="40"/>
      <c r="AH42" s="43" t="str">
        <f t="shared" si="22"/>
        <v/>
      </c>
      <c r="AI42" s="40"/>
      <c r="AJ42" s="43" t="str">
        <f t="shared" si="11"/>
        <v/>
      </c>
      <c r="AK42" s="40"/>
      <c r="AL42" s="43" t="str">
        <f t="shared" si="12"/>
        <v/>
      </c>
      <c r="AM42" s="40"/>
      <c r="AN42" s="43" t="str">
        <f t="shared" si="13"/>
        <v/>
      </c>
      <c r="AO42" s="86"/>
      <c r="AP42" s="43" t="str">
        <f t="shared" si="14"/>
        <v/>
      </c>
      <c r="AQ42" s="40"/>
      <c r="AR42" s="43" t="str">
        <f t="shared" si="15"/>
        <v/>
      </c>
      <c r="AS42" s="40"/>
      <c r="AT42" s="43" t="str">
        <f t="shared" si="13"/>
        <v/>
      </c>
      <c r="AU42" s="40"/>
      <c r="AV42" s="43" t="str">
        <f t="shared" si="21"/>
        <v/>
      </c>
      <c r="AW42" s="45">
        <v>5</v>
      </c>
      <c r="AX42" s="46" t="str">
        <f t="shared" si="17"/>
        <v/>
      </c>
      <c r="AY42" s="40"/>
      <c r="AZ42" s="43" t="str">
        <f t="shared" si="18"/>
        <v/>
      </c>
      <c r="BA42" s="24" t="s">
        <v>260</v>
      </c>
    </row>
    <row r="44" spans="1:53" ht="17" thickBot="1" x14ac:dyDescent="0.25"/>
    <row r="45" spans="1:53" s="23" customFormat="1" x14ac:dyDescent="0.2">
      <c r="C45" s="48"/>
      <c r="F45" s="25"/>
      <c r="G45" s="50" t="s">
        <v>280</v>
      </c>
      <c r="H45" s="51">
        <f>SUM(H11:H42)</f>
        <v>1919</v>
      </c>
      <c r="I45" s="52" t="s">
        <v>278</v>
      </c>
      <c r="J45" s="53" t="s">
        <v>277</v>
      </c>
      <c r="K45" s="58">
        <f>IF((SUM(K11:K42)&lt;&gt;0), SUMIF($H11:$H42, "&gt;0", K11:K42), "")</f>
        <v>24</v>
      </c>
      <c r="L45" s="59">
        <f>IF(ISERROR((K45/$H45)*100), "", IF(((K45/$H45)*100) &lt;&gt; 0, (K45/$H45)*100, ""))</f>
        <v>1.2506513809275663</v>
      </c>
      <c r="M45" s="58">
        <f>IF((SUM(M11:M42)&lt;&gt;0), SUMIF($H11:$H42, "&gt;0", M11:M42), "")</f>
        <v>25</v>
      </c>
      <c r="N45" s="59">
        <f>IF(ISERROR((M45/$H45)*100), "", IF(((M45/$H45)*100) &lt;&gt; 0, (M45/$H45)*100, ""))</f>
        <v>1.3027618551328817</v>
      </c>
      <c r="O45" s="58">
        <f>IF((SUM(O11:O42)&lt;&gt;0), SUMIF($H11:$H42, "&gt;0", O11:O42), "")</f>
        <v>46</v>
      </c>
      <c r="P45" s="59">
        <f>IF(ISERROR((O45/$H45)*100), "", IF(((O45/$H45)*100) &lt;&gt; 0, (O45/$H45)*100, ""))</f>
        <v>2.3970818134445024</v>
      </c>
      <c r="Q45" s="58">
        <f>IF((SUM(Q11:Q42)&lt;&gt;0), SUMIF($H11:$H42, "&gt;0", Q11:Q42), "")</f>
        <v>6</v>
      </c>
      <c r="R45" s="59">
        <f>IF(ISERROR((Q45/$H45)*100), "", IF(((Q45/$H45)*100) &lt;&gt; 0, (Q45/$H45)*100, ""))</f>
        <v>0.31266284523189158</v>
      </c>
      <c r="S45" s="58">
        <f>IF((SUM(S11:S42)&lt;&gt;0), SUMIF($H11:$H42, "&gt;0", S11:S42), "")</f>
        <v>2</v>
      </c>
      <c r="T45" s="59">
        <f>IF(ISERROR((S45/$H45)*100), "", IF(((S45/$H45)*100) &lt;&gt; 0, (S45/$H45)*100, ""))</f>
        <v>0.10422094841063052</v>
      </c>
      <c r="U45" s="58">
        <f>IF((SUM(U11:U42)&lt;&gt;0), SUMIF($H11:$H42, "&gt;0", U11:U42), "")</f>
        <v>45</v>
      </c>
      <c r="V45" s="59">
        <f>IF(ISERROR((U45/$H45)*100), "", IF(((U45/$H45)*100) &lt;&gt; 0, (U45/$H45)*100, ""))</f>
        <v>2.3449713392391871</v>
      </c>
      <c r="W45" s="58">
        <f>IF((SUM(W11:W42)&lt;&gt;0), SUMIF($H11:$H42, "&gt;0", W11:W42), "")</f>
        <v>8</v>
      </c>
      <c r="X45" s="59">
        <f>IF(ISERROR((W45/$H45)*100), "", IF(((W45/$H45)*100) &lt;&gt; 0, (W45/$H45)*100, ""))</f>
        <v>0.41688379364252209</v>
      </c>
      <c r="Y45" s="58">
        <f>IF((SUM(Y11:Y42)&lt;&gt;0), SUMIF($H11:$H42, "&gt;0", Y11:Y42), "")</f>
        <v>1</v>
      </c>
      <c r="Z45" s="59">
        <f>IF(ISERROR((Y45/$H45)*100), "", IF(((Y45/$H45)*100) &lt;&gt; 0, (Y45/$H45)*100, ""))</f>
        <v>5.2110474205315262E-2</v>
      </c>
      <c r="AA45" s="58">
        <f>IF((SUM(AA11:AA42)&lt;&gt;0), SUMIF($H11:$H42, "&gt;0", AA11:AA42), "")</f>
        <v>1</v>
      </c>
      <c r="AB45" s="59">
        <f>IF(ISERROR((AA45/$H45)*100), "", IF(((AA45/$H45)*100) &lt;&gt; 0, (AA45/$H45)*100, ""))</f>
        <v>5.2110474205315262E-2</v>
      </c>
      <c r="AC45" s="58">
        <f>IF((SUM(AC11:AC42)&lt;&gt;0), SUMIF($H11:$H42, "&gt;0", AC11:AC42), "")</f>
        <v>1</v>
      </c>
      <c r="AD45" s="59">
        <f>IF(ISERROR((AC45/$H45)*100), "", IF(((AC45/$H45)*100) &lt;&gt; 0, (AC45/$H45)*100, ""))</f>
        <v>5.2110474205315262E-2</v>
      </c>
      <c r="AE45" s="58">
        <f>IF((SUM(AE11:AE42)&lt;&gt;0), SUMIF($H11:$H42, "&gt;0", AE11:AE42), "")</f>
        <v>2</v>
      </c>
      <c r="AF45" s="59">
        <f>IF(ISERROR((AE45/$H45)*100), "", IF(((AE45/$H45)*100) &lt;&gt; 0, (AE45/$H45)*100, ""))</f>
        <v>0.10422094841063052</v>
      </c>
      <c r="AG45" s="58">
        <f>IF((SUM(AG11:AG42)&lt;&gt;0), SUMIF($H11:$H42, "&gt;0", AG11:AG42), "")</f>
        <v>45</v>
      </c>
      <c r="AH45" s="59">
        <f>IF(ISERROR((AG45/$H45)*100), "", IF(((AG45/$H45)*100) &lt;&gt; 0, (AG45/$H45)*100, ""))</f>
        <v>2.3449713392391871</v>
      </c>
      <c r="AI45" s="58">
        <f>IF((SUM(AI11:AI42)&lt;&gt;0), SUMIF($H11:$H42, "&gt;0", AI11:AI42), "")</f>
        <v>4</v>
      </c>
      <c r="AJ45" s="59">
        <f>IF(ISERROR((AI45/$H45)*100), "", IF(((AI45/$H45)*100) &lt;&gt; 0, (AI45/$H45)*100, ""))</f>
        <v>0.20844189682126105</v>
      </c>
      <c r="AK45" s="58">
        <f>IF((SUM(AK11:AK42)&lt;&gt;0), SUMIF($H11:$H42, "&gt;0", AK11:AK42), "")</f>
        <v>29</v>
      </c>
      <c r="AL45" s="59">
        <f>IF(ISERROR((AK45/$H45)*100), "", IF(((AK45/$H45)*100) &lt;&gt; 0, (AK45/$H45)*100, ""))</f>
        <v>1.5112037519541428</v>
      </c>
      <c r="AM45" s="58">
        <f>IF((SUM(AM11:AM42)&lt;&gt;0), SUMIF($H11:$H42, "&gt;0", AM11:AM42), "")</f>
        <v>6</v>
      </c>
      <c r="AN45" s="59">
        <f>IF(ISERROR((AM45/$H45)*100), "", IF(((AM45/$H45)*100) &lt;&gt; 0, (AM45/$H45)*100, ""))</f>
        <v>0.31266284523189158</v>
      </c>
      <c r="AO45" s="58">
        <f>IF((SUM(AO11:AO42)&lt;&gt;0), SUMIF($H11:$H42, "&gt;0", AO11:AO42), "")</f>
        <v>58</v>
      </c>
      <c r="AP45" s="59">
        <f>IF(ISERROR((AO45/$H45)*100), "", IF(((AO45/$H45)*100) &lt;&gt; 0, (AO45/$H45)*100, ""))</f>
        <v>3.0224075039082856</v>
      </c>
      <c r="AQ45" s="58">
        <f>IF((SUM(AQ11:AQ42)&lt;&gt;0), SUMIF($H11:$H42, "&gt;0", AQ11:AQ42), "")</f>
        <v>2</v>
      </c>
      <c r="AR45" s="59">
        <f>IF(ISERROR((AQ45/$H45)*100), "", IF(((AQ45/$H45)*100) &lt;&gt; 0, (AQ45/$H45)*100, ""))</f>
        <v>0.10422094841063052</v>
      </c>
      <c r="AS45" s="58">
        <f>IF((SUM(AS11:AS42)&lt;&gt;0), SUMIF($H11:$H42, "&gt;0", AS11:AS42), "")</f>
        <v>6</v>
      </c>
      <c r="AT45" s="59">
        <f>IF(ISERROR((AS45/$H45)*100), "", IF(((AS45/$H45)*100) &lt;&gt; 0, (AS45/$H45)*100, ""))</f>
        <v>0.31266284523189158</v>
      </c>
      <c r="AU45" s="58">
        <f>IF((SUM(AU11:AU42)&lt;&gt;0), SUMIF($H11:$H42, "&gt;0", AU11:AU42), "")</f>
        <v>1</v>
      </c>
      <c r="AV45" s="59">
        <f>IF(ISERROR((AU45/$H45)*100), "", IF(((AU45/$H45)*100) &lt;&gt; 0, (AU45/$H45)*100, ""))</f>
        <v>5.2110474205315262E-2</v>
      </c>
      <c r="AW45" s="58">
        <f>IF((SUM(AW11:AW42)&lt;&gt;0), SUMIF($H11:$H42, "&gt;0", AW11:AW42), "")</f>
        <v>1</v>
      </c>
      <c r="AX45" s="59">
        <f>IF(ISERROR((AW45/$H45)*100), "", IF(((AW45/$H45)*100) &lt;&gt; 0, (AW45/$H45)*100, ""))</f>
        <v>5.2110474205315262E-2</v>
      </c>
      <c r="AY45" s="58" t="str">
        <f>IF((SUM(AY11:AY42)&lt;&gt;0), SUMIF($H11:$H42, "&gt;0", AY11:AY42), "")</f>
        <v/>
      </c>
      <c r="AZ45" s="59" t="str">
        <f>IF(ISERROR((AY45/$H45)*100), "", IF(((AY45/$H45)*100) &lt;&gt; 0, (AY45/$H45)*100, ""))</f>
        <v/>
      </c>
    </row>
    <row r="46" spans="1:53" s="23" customFormat="1" ht="18" customHeight="1" x14ac:dyDescent="0.2">
      <c r="C46" s="48"/>
      <c r="F46" s="25"/>
      <c r="G46" s="50" t="s">
        <v>281</v>
      </c>
      <c r="H46" s="49" t="s">
        <v>279</v>
      </c>
      <c r="I46" s="54" t="s">
        <v>278</v>
      </c>
      <c r="J46" s="55" t="s">
        <v>277</v>
      </c>
      <c r="K46" s="60">
        <f>IF(SUMIF(K11:K42, "&gt; 0", $H11:$H42) &gt; 0, SUMIF(K11:K42, "&gt; 0", $H11:$H42), "")</f>
        <v>47</v>
      </c>
      <c r="L46" s="61">
        <f>(K45/K46)*100</f>
        <v>51.063829787234042</v>
      </c>
      <c r="M46" s="60">
        <f>IF(SUMIF(M11:M42, "&gt; 0", $H11:$H42) &gt; 0, SUMIF(M11:M42, "&gt; 0", $H11:$H42), "")</f>
        <v>62</v>
      </c>
      <c r="N46" s="61">
        <f>(M45/M46)*100</f>
        <v>40.322580645161288</v>
      </c>
      <c r="O46" s="60">
        <f>IF(SUMIF(O11:O42, "&gt; 0", $H11:$H42) &gt; 0, SUMIF(O11:O42, "&gt; 0", $H11:$H42), "")</f>
        <v>128</v>
      </c>
      <c r="P46" s="61">
        <f>(O45/O46)*100</f>
        <v>35.9375</v>
      </c>
      <c r="Q46" s="60">
        <f>IF(SUMIF(Q11:Q42, "&gt; 0", $H11:$H42) &gt; 0, SUMIF(Q11:Q42, "&gt; 0", $H11:$H42), "")</f>
        <v>17</v>
      </c>
      <c r="R46" s="61">
        <f>(Q45/Q46)*100</f>
        <v>35.294117647058826</v>
      </c>
      <c r="S46" s="60">
        <f>IF(SUMIF(S11:S42, "&gt; 0", $H11:$H42) &gt; 0, SUMIF(S11:S42, "&gt; 0", $H11:$H42), "")</f>
        <v>8</v>
      </c>
      <c r="T46" s="61">
        <f>(S45/S46)*100</f>
        <v>25</v>
      </c>
      <c r="U46" s="60">
        <f>IF(SUMIF(U11:U42, "&gt; 0", $H11:$H42) &gt; 0, SUMIF(U11:U42, "&gt; 0", $H11:$H42), "")</f>
        <v>290</v>
      </c>
      <c r="V46" s="61">
        <f>(U45/U46)*100</f>
        <v>15.517241379310345</v>
      </c>
      <c r="W46" s="60">
        <f>IF(SUMIF(W11:W42, "&gt; 0", $H11:$H42) &gt; 0, SUMIF(W11:W42, "&gt; 0", $H11:$H42), "")</f>
        <v>59</v>
      </c>
      <c r="X46" s="61">
        <f>(W45/W46)*100</f>
        <v>13.559322033898304</v>
      </c>
      <c r="Y46" s="60">
        <f>IF(SUMIF(Y11:Y42, "&gt; 0", $H11:$H42) &gt; 0, SUMIF(Y11:Y42, "&gt; 0", $H11:$H42), "")</f>
        <v>8</v>
      </c>
      <c r="Z46" s="61">
        <f>(Y45/Y46)*100</f>
        <v>12.5</v>
      </c>
      <c r="AA46" s="60">
        <f>IF(SUMIF(AA11:AA42, "&gt; 0", $H11:$H42) &gt; 0, SUMIF(AA11:AA42, "&gt; 0", $H11:$H42), "")</f>
        <v>8</v>
      </c>
      <c r="AB46" s="61">
        <f>(AA45/AA46)*100</f>
        <v>12.5</v>
      </c>
      <c r="AC46" s="60">
        <f>IF(SUMIF(AC11:AC42, "&gt; 0", $H11:$H42) &gt; 0, SUMIF(AC11:AC42, "&gt; 0", $H11:$H42), "")</f>
        <v>8</v>
      </c>
      <c r="AD46" s="61">
        <f>(AC45/AC46)*100</f>
        <v>12.5</v>
      </c>
      <c r="AE46" s="60">
        <f>IF(SUMIF(AE11:AE42, "&gt; 0", $H11:$H42) &gt; 0, SUMIF(AE11:AE42, "&gt; 0", $H11:$H42), "")</f>
        <v>22</v>
      </c>
      <c r="AF46" s="61">
        <f>(AE45/AE46)*100</f>
        <v>9.0909090909090917</v>
      </c>
      <c r="AG46" s="60">
        <f>IF(SUMIF(AG11:AG42, "&gt; 0", $H11:$H42) &gt; 0, SUMIF(AG11:AG42, "&gt; 0", $H11:$H42), "")</f>
        <v>576</v>
      </c>
      <c r="AH46" s="61">
        <f>(AG45/AG46)*100</f>
        <v>7.8125</v>
      </c>
      <c r="AI46" s="60">
        <f>IF(SUMIF(AI11:AI42, "&gt; 0", $H11:$H42) &gt; 0, SUMIF(AI11:AI42, "&gt; 0", $H11:$H42), "")</f>
        <v>61</v>
      </c>
      <c r="AJ46" s="61">
        <f>(AI45/AI46)*100</f>
        <v>6.557377049180328</v>
      </c>
      <c r="AK46" s="60">
        <f>IF(SUMIF(AK11:AK42, "&gt; 0", $H11:$H42) &gt; 0, SUMIF(AK11:AK42, "&gt; 0", $H11:$H42), "")</f>
        <v>461</v>
      </c>
      <c r="AL46" s="61">
        <f>(AK45/AK46)*100</f>
        <v>6.2906724511930596</v>
      </c>
      <c r="AM46" s="60">
        <f>IF(SUMIF(AM11:AM42, "&gt; 0", $H11:$H42) &gt; 0, SUMIF(AM11:AM42, "&gt; 0", $H11:$H42), "")</f>
        <v>97</v>
      </c>
      <c r="AN46" s="61">
        <f>(AM45/AM46)*100</f>
        <v>6.1855670103092786</v>
      </c>
      <c r="AO46" s="60">
        <f>IF(SUMIF(AO11:AO42, "&gt; 0", $H11:$H42) &gt; 0, SUMIF(AO11:AO42, "&gt; 0", $H11:$H42), "")</f>
        <v>1007</v>
      </c>
      <c r="AP46" s="61">
        <f>IF(ISERROR((AO45/AO46)*100),"",IF((AO45/AO46)*100&lt;&gt;0,(AO45/AO46)*100,""))</f>
        <v>5.7596822244289969</v>
      </c>
      <c r="AQ46" s="60">
        <f>IF(SUMIF(AQ11:AQ42, "&gt; 0", $H11:$H42) &gt; 0, SUMIF(AQ11:AQ42, "&gt; 0", $H11:$H42), "")</f>
        <v>45</v>
      </c>
      <c r="AR46" s="61">
        <f>(AQ45/AQ46)*100</f>
        <v>4.4444444444444446</v>
      </c>
      <c r="AS46" s="60">
        <f>IF(SUMIF(AS11:AS42, "&gt; 0", $H11:$H42) &gt; 0, SUMIF(AS11:AS42, "&gt; 0", $H11:$H42), "")</f>
        <v>143</v>
      </c>
      <c r="AT46" s="61">
        <f>(AS45/AS46)*100</f>
        <v>4.1958041958041958</v>
      </c>
      <c r="AU46" s="60">
        <f>IF(SUMIF(AU11:AU42, "&gt; 0", $H11:$H42) &gt; 0, SUMIF(AU11:AU42, "&gt; 0", $H11:$H42), "")</f>
        <v>97</v>
      </c>
      <c r="AV46" s="61">
        <f>(AU45/AU46)*100</f>
        <v>1.0309278350515463</v>
      </c>
      <c r="AW46" s="60">
        <f>IF(SUMIF(AW11:AW42, "&gt; 0", $H11:$H42) &gt; 0, SUMIF(AW11:AW42, "&gt; 0", $H11:$H42), "")</f>
        <v>97</v>
      </c>
      <c r="AX46" s="61">
        <f>(AW45/AW46)*100</f>
        <v>1.0309278350515463</v>
      </c>
      <c r="AY46" s="60" t="str">
        <f>IF(SUMIF(AY11:AY42, "&gt; 0", $H11:$H42) &gt; 0, SUMIF(AY11:AY42, "&gt; 0", $H11:$H42), "")</f>
        <v/>
      </c>
      <c r="AZ46" s="61"/>
    </row>
    <row r="47" spans="1:53" ht="18" customHeight="1" thickBot="1" x14ac:dyDescent="0.25">
      <c r="H47" s="180" t="s">
        <v>278</v>
      </c>
      <c r="I47" s="183"/>
      <c r="J47" s="184"/>
      <c r="K47" s="159" t="s">
        <v>276</v>
      </c>
      <c r="L47" s="161" t="s">
        <v>277</v>
      </c>
      <c r="M47" s="159" t="s">
        <v>276</v>
      </c>
      <c r="N47" s="161" t="s">
        <v>277</v>
      </c>
      <c r="O47" s="159" t="s">
        <v>276</v>
      </c>
      <c r="P47" s="161" t="s">
        <v>277</v>
      </c>
      <c r="Q47" s="159" t="s">
        <v>276</v>
      </c>
      <c r="R47" s="161" t="s">
        <v>277</v>
      </c>
      <c r="S47" s="159" t="s">
        <v>276</v>
      </c>
      <c r="T47" s="161" t="s">
        <v>277</v>
      </c>
      <c r="U47" s="159" t="s">
        <v>276</v>
      </c>
      <c r="V47" s="161" t="s">
        <v>277</v>
      </c>
      <c r="W47" s="159" t="s">
        <v>276</v>
      </c>
      <c r="X47" s="161" t="s">
        <v>277</v>
      </c>
      <c r="Y47" s="159" t="s">
        <v>276</v>
      </c>
      <c r="Z47" s="161" t="s">
        <v>277</v>
      </c>
      <c r="AA47" s="159" t="s">
        <v>276</v>
      </c>
      <c r="AB47" s="161" t="s">
        <v>277</v>
      </c>
      <c r="AC47" s="159" t="s">
        <v>276</v>
      </c>
      <c r="AD47" s="161" t="s">
        <v>277</v>
      </c>
      <c r="AE47" s="159" t="s">
        <v>276</v>
      </c>
      <c r="AF47" s="161" t="s">
        <v>277</v>
      </c>
      <c r="AG47" s="163" t="s">
        <v>276</v>
      </c>
      <c r="AH47" s="162" t="s">
        <v>277</v>
      </c>
      <c r="AI47" s="159" t="s">
        <v>276</v>
      </c>
      <c r="AJ47" s="161" t="s">
        <v>277</v>
      </c>
      <c r="AK47" s="159" t="s">
        <v>276</v>
      </c>
      <c r="AL47" s="161" t="s">
        <v>277</v>
      </c>
      <c r="AM47" s="159" t="s">
        <v>276</v>
      </c>
      <c r="AN47" s="161" t="s">
        <v>277</v>
      </c>
      <c r="AO47" s="159" t="s">
        <v>276</v>
      </c>
      <c r="AP47" s="161" t="s">
        <v>277</v>
      </c>
      <c r="AQ47" s="159" t="s">
        <v>276</v>
      </c>
      <c r="AR47" s="161" t="s">
        <v>277</v>
      </c>
      <c r="AS47" s="159" t="s">
        <v>276</v>
      </c>
      <c r="AT47" s="161" t="s">
        <v>277</v>
      </c>
      <c r="AU47" s="159" t="s">
        <v>276</v>
      </c>
      <c r="AV47" s="161" t="s">
        <v>277</v>
      </c>
      <c r="AW47" s="159" t="s">
        <v>276</v>
      </c>
      <c r="AX47" s="161" t="s">
        <v>277</v>
      </c>
      <c r="AY47" s="159" t="s">
        <v>276</v>
      </c>
      <c r="AZ47" s="161" t="s">
        <v>277</v>
      </c>
    </row>
    <row r="48" spans="1:53" ht="18" customHeight="1" x14ac:dyDescent="0.2">
      <c r="E48" s="62" t="s">
        <v>283</v>
      </c>
      <c r="F48" s="65">
        <v>1</v>
      </c>
      <c r="H48" s="181"/>
      <c r="I48" s="185"/>
      <c r="J48" s="186"/>
      <c r="K48" s="159"/>
      <c r="L48" s="162"/>
      <c r="M48" s="159"/>
      <c r="N48" s="162"/>
      <c r="O48" s="159"/>
      <c r="P48" s="162"/>
      <c r="Q48" s="159"/>
      <c r="R48" s="162"/>
      <c r="S48" s="159"/>
      <c r="T48" s="162"/>
      <c r="U48" s="159"/>
      <c r="V48" s="162"/>
      <c r="W48" s="159"/>
      <c r="X48" s="162"/>
      <c r="Y48" s="159"/>
      <c r="Z48" s="162"/>
      <c r="AA48" s="159"/>
      <c r="AB48" s="162"/>
      <c r="AC48" s="159"/>
      <c r="AD48" s="162"/>
      <c r="AE48" s="159"/>
      <c r="AF48" s="162"/>
      <c r="AG48" s="159"/>
      <c r="AH48" s="162"/>
      <c r="AI48" s="159"/>
      <c r="AJ48" s="162"/>
      <c r="AK48" s="159"/>
      <c r="AL48" s="162"/>
      <c r="AM48" s="159"/>
      <c r="AN48" s="162"/>
      <c r="AO48" s="159"/>
      <c r="AP48" s="162"/>
      <c r="AQ48" s="159"/>
      <c r="AR48" s="162"/>
      <c r="AS48" s="159"/>
      <c r="AT48" s="162"/>
      <c r="AU48" s="159"/>
      <c r="AV48" s="162"/>
      <c r="AW48" s="159"/>
      <c r="AX48" s="162"/>
      <c r="AY48" s="159"/>
      <c r="AZ48" s="162"/>
    </row>
    <row r="49" spans="5:52" ht="18" customHeight="1" x14ac:dyDescent="0.2">
      <c r="E49" s="63"/>
      <c r="F49" s="64"/>
      <c r="H49" s="181"/>
      <c r="I49" s="185"/>
      <c r="J49" s="186"/>
      <c r="K49" s="159"/>
      <c r="L49" s="162"/>
      <c r="M49" s="159"/>
      <c r="N49" s="162"/>
      <c r="O49" s="159"/>
      <c r="P49" s="162"/>
      <c r="Q49" s="159"/>
      <c r="R49" s="162"/>
      <c r="S49" s="159"/>
      <c r="T49" s="162"/>
      <c r="U49" s="159"/>
      <c r="V49" s="162"/>
      <c r="W49" s="159"/>
      <c r="X49" s="162"/>
      <c r="Y49" s="159"/>
      <c r="Z49" s="162"/>
      <c r="AA49" s="159"/>
      <c r="AB49" s="162"/>
      <c r="AC49" s="159"/>
      <c r="AD49" s="162"/>
      <c r="AE49" s="159"/>
      <c r="AF49" s="162"/>
      <c r="AG49" s="159"/>
      <c r="AH49" s="162"/>
      <c r="AI49" s="159"/>
      <c r="AJ49" s="162"/>
      <c r="AK49" s="159"/>
      <c r="AL49" s="162"/>
      <c r="AM49" s="159"/>
      <c r="AN49" s="162"/>
      <c r="AO49" s="159"/>
      <c r="AP49" s="162"/>
      <c r="AQ49" s="159"/>
      <c r="AR49" s="162"/>
      <c r="AS49" s="159"/>
      <c r="AT49" s="162"/>
      <c r="AU49" s="159"/>
      <c r="AV49" s="162"/>
      <c r="AW49" s="159"/>
      <c r="AX49" s="162"/>
      <c r="AY49" s="159"/>
      <c r="AZ49" s="162"/>
    </row>
    <row r="50" spans="5:52" ht="18" customHeight="1" x14ac:dyDescent="0.2">
      <c r="E50" s="194" t="s">
        <v>284</v>
      </c>
      <c r="F50" s="195"/>
      <c r="H50" s="181"/>
      <c r="I50" s="185"/>
      <c r="J50" s="186"/>
      <c r="K50" s="159"/>
      <c r="L50" s="162"/>
      <c r="M50" s="159"/>
      <c r="N50" s="162"/>
      <c r="O50" s="159"/>
      <c r="P50" s="162"/>
      <c r="Q50" s="159"/>
      <c r="R50" s="162"/>
      <c r="S50" s="159"/>
      <c r="T50" s="162"/>
      <c r="U50" s="159"/>
      <c r="V50" s="162"/>
      <c r="W50" s="159"/>
      <c r="X50" s="162"/>
      <c r="Y50" s="159"/>
      <c r="Z50" s="162"/>
      <c r="AA50" s="159"/>
      <c r="AB50" s="162"/>
      <c r="AC50" s="159"/>
      <c r="AD50" s="162"/>
      <c r="AE50" s="159"/>
      <c r="AF50" s="162"/>
      <c r="AG50" s="159"/>
      <c r="AH50" s="162"/>
      <c r="AI50" s="159"/>
      <c r="AJ50" s="162"/>
      <c r="AK50" s="159"/>
      <c r="AL50" s="162"/>
      <c r="AM50" s="159"/>
      <c r="AN50" s="162"/>
      <c r="AO50" s="159"/>
      <c r="AP50" s="162"/>
      <c r="AQ50" s="159"/>
      <c r="AR50" s="162"/>
      <c r="AS50" s="159"/>
      <c r="AT50" s="162"/>
      <c r="AU50" s="159"/>
      <c r="AV50" s="162"/>
      <c r="AW50" s="159"/>
      <c r="AX50" s="162"/>
      <c r="AY50" s="159"/>
      <c r="AZ50" s="162"/>
    </row>
    <row r="51" spans="5:52" ht="18" customHeight="1" x14ac:dyDescent="0.2">
      <c r="E51" s="194"/>
      <c r="F51" s="195"/>
      <c r="H51" s="181"/>
      <c r="I51" s="185"/>
      <c r="J51" s="186"/>
      <c r="K51" s="160"/>
      <c r="L51" s="162"/>
      <c r="M51" s="160"/>
      <c r="N51" s="162"/>
      <c r="O51" s="160"/>
      <c r="P51" s="162"/>
      <c r="Q51" s="160"/>
      <c r="R51" s="162"/>
      <c r="S51" s="160"/>
      <c r="T51" s="162"/>
      <c r="U51" s="160"/>
      <c r="V51" s="162"/>
      <c r="W51" s="160"/>
      <c r="X51" s="162"/>
      <c r="Y51" s="160"/>
      <c r="Z51" s="162"/>
      <c r="AA51" s="160"/>
      <c r="AB51" s="162"/>
      <c r="AC51" s="160"/>
      <c r="AD51" s="162"/>
      <c r="AE51" s="160"/>
      <c r="AF51" s="162"/>
      <c r="AG51" s="160"/>
      <c r="AH51" s="162"/>
      <c r="AI51" s="160"/>
      <c r="AJ51" s="162"/>
      <c r="AK51" s="160"/>
      <c r="AL51" s="162"/>
      <c r="AM51" s="160"/>
      <c r="AN51" s="162"/>
      <c r="AO51" s="160"/>
      <c r="AP51" s="162"/>
      <c r="AQ51" s="160"/>
      <c r="AR51" s="162"/>
      <c r="AS51" s="160"/>
      <c r="AT51" s="162"/>
      <c r="AU51" s="160"/>
      <c r="AV51" s="162"/>
      <c r="AW51" s="160"/>
      <c r="AX51" s="162"/>
      <c r="AY51" s="160"/>
      <c r="AZ51" s="162"/>
    </row>
    <row r="52" spans="5:52" ht="18" customHeight="1" x14ac:dyDescent="0.2">
      <c r="E52" s="194"/>
      <c r="F52" s="195"/>
      <c r="H52" s="181"/>
      <c r="I52" s="185"/>
      <c r="J52" s="186"/>
      <c r="K52" s="189" t="s">
        <v>186</v>
      </c>
      <c r="L52" s="190"/>
      <c r="M52" s="193" t="s">
        <v>273</v>
      </c>
      <c r="N52" s="190"/>
      <c r="O52" s="189" t="s">
        <v>169</v>
      </c>
      <c r="P52" s="190"/>
      <c r="Q52" s="193" t="s">
        <v>275</v>
      </c>
      <c r="R52" s="190"/>
      <c r="S52" s="189" t="s">
        <v>184</v>
      </c>
      <c r="T52" s="190"/>
      <c r="U52" s="209" t="s">
        <v>230</v>
      </c>
      <c r="V52" s="190"/>
      <c r="W52" s="189" t="s">
        <v>164</v>
      </c>
      <c r="X52" s="190"/>
      <c r="Y52" s="189" t="s">
        <v>183</v>
      </c>
      <c r="Z52" s="190"/>
      <c r="AA52" s="189" t="s">
        <v>187</v>
      </c>
      <c r="AB52" s="190"/>
      <c r="AC52" s="189" t="s">
        <v>165</v>
      </c>
      <c r="AD52" s="190"/>
      <c r="AE52" s="193" t="s">
        <v>274</v>
      </c>
      <c r="AF52" s="190"/>
      <c r="AG52" s="189" t="s">
        <v>161</v>
      </c>
      <c r="AH52" s="190"/>
      <c r="AI52" s="189" t="s">
        <v>168</v>
      </c>
      <c r="AJ52" s="190"/>
      <c r="AK52" s="189" t="s">
        <v>162</v>
      </c>
      <c r="AL52" s="190"/>
      <c r="AM52" s="189" t="s">
        <v>229</v>
      </c>
      <c r="AN52" s="190"/>
      <c r="AO52" s="209" t="s">
        <v>420</v>
      </c>
      <c r="AP52" s="190"/>
      <c r="AQ52" s="193" t="s">
        <v>272</v>
      </c>
      <c r="AR52" s="190"/>
      <c r="AS52" s="189" t="s">
        <v>163</v>
      </c>
      <c r="AT52" s="190"/>
      <c r="AU52" s="189" t="s">
        <v>228</v>
      </c>
      <c r="AV52" s="190"/>
      <c r="AW52" s="189" t="s">
        <v>227</v>
      </c>
      <c r="AX52" s="190"/>
      <c r="AY52" s="189" t="s">
        <v>223</v>
      </c>
      <c r="AZ52" s="190"/>
    </row>
    <row r="53" spans="5:52" ht="18" customHeight="1" x14ac:dyDescent="0.2">
      <c r="E53" s="194"/>
      <c r="F53" s="195"/>
      <c r="H53" s="181"/>
      <c r="I53" s="185"/>
      <c r="J53" s="186"/>
      <c r="K53" s="166"/>
      <c r="L53" s="167"/>
      <c r="M53" s="166"/>
      <c r="N53" s="167"/>
      <c r="O53" s="166"/>
      <c r="P53" s="167"/>
      <c r="Q53" s="166"/>
      <c r="R53" s="167"/>
      <c r="S53" s="166"/>
      <c r="T53" s="167"/>
      <c r="U53" s="210"/>
      <c r="V53" s="167"/>
      <c r="W53" s="166"/>
      <c r="X53" s="167"/>
      <c r="Y53" s="166"/>
      <c r="Z53" s="167"/>
      <c r="AA53" s="166"/>
      <c r="AB53" s="167"/>
      <c r="AC53" s="166"/>
      <c r="AD53" s="167"/>
      <c r="AE53" s="166"/>
      <c r="AF53" s="167"/>
      <c r="AG53" s="166"/>
      <c r="AH53" s="167"/>
      <c r="AI53" s="166"/>
      <c r="AJ53" s="167"/>
      <c r="AK53" s="166"/>
      <c r="AL53" s="167"/>
      <c r="AM53" s="166"/>
      <c r="AN53" s="167"/>
      <c r="AO53" s="210"/>
      <c r="AP53" s="167"/>
      <c r="AQ53" s="166"/>
      <c r="AR53" s="167"/>
      <c r="AS53" s="166"/>
      <c r="AT53" s="167"/>
      <c r="AU53" s="166"/>
      <c r="AV53" s="167"/>
      <c r="AW53" s="166"/>
      <c r="AX53" s="167"/>
      <c r="AY53" s="166"/>
      <c r="AZ53" s="167"/>
    </row>
    <row r="54" spans="5:52" ht="18" customHeight="1" thickBot="1" x14ac:dyDescent="0.25">
      <c r="E54" s="194"/>
      <c r="F54" s="195"/>
      <c r="H54" s="181"/>
      <c r="I54" s="185"/>
      <c r="J54" s="186"/>
      <c r="K54" s="191"/>
      <c r="L54" s="192"/>
      <c r="M54" s="191"/>
      <c r="N54" s="192"/>
      <c r="O54" s="191"/>
      <c r="P54" s="192"/>
      <c r="Q54" s="191"/>
      <c r="R54" s="192"/>
      <c r="S54" s="191"/>
      <c r="T54" s="192"/>
      <c r="U54" s="211"/>
      <c r="V54" s="192"/>
      <c r="W54" s="191"/>
      <c r="X54" s="192"/>
      <c r="Y54" s="191"/>
      <c r="Z54" s="192"/>
      <c r="AA54" s="191"/>
      <c r="AB54" s="192"/>
      <c r="AC54" s="191"/>
      <c r="AD54" s="192"/>
      <c r="AE54" s="191"/>
      <c r="AF54" s="192"/>
      <c r="AG54" s="191"/>
      <c r="AH54" s="192"/>
      <c r="AI54" s="191"/>
      <c r="AJ54" s="192"/>
      <c r="AK54" s="191"/>
      <c r="AL54" s="192"/>
      <c r="AM54" s="191"/>
      <c r="AN54" s="192"/>
      <c r="AO54" s="211"/>
      <c r="AP54" s="192"/>
      <c r="AQ54" s="191"/>
      <c r="AR54" s="192"/>
      <c r="AS54" s="191"/>
      <c r="AT54" s="192"/>
      <c r="AU54" s="191"/>
      <c r="AV54" s="192"/>
      <c r="AW54" s="191"/>
      <c r="AX54" s="192"/>
      <c r="AY54" s="191"/>
      <c r="AZ54" s="192"/>
    </row>
    <row r="55" spans="5:52" ht="20" customHeight="1" thickBot="1" x14ac:dyDescent="0.3">
      <c r="E55" s="196"/>
      <c r="F55" s="197"/>
      <c r="H55" s="182"/>
      <c r="I55" s="187"/>
      <c r="J55" s="188"/>
      <c r="K55" s="201" t="s">
        <v>167</v>
      </c>
      <c r="L55" s="202"/>
      <c r="M55" s="202"/>
      <c r="N55" s="202"/>
      <c r="O55" s="202"/>
      <c r="P55" s="202"/>
      <c r="Q55" s="202"/>
      <c r="R55" s="202"/>
      <c r="S55" s="202"/>
      <c r="T55" s="202"/>
      <c r="U55" s="202"/>
      <c r="V55" s="202"/>
      <c r="W55" s="202"/>
      <c r="X55" s="202"/>
      <c r="Y55" s="202"/>
      <c r="Z55" s="202"/>
      <c r="AA55" s="202"/>
      <c r="AB55" s="202"/>
      <c r="AC55" s="202"/>
      <c r="AD55" s="202"/>
      <c r="AE55" s="202"/>
      <c r="AF55" s="202"/>
      <c r="AG55" s="202"/>
      <c r="AH55" s="202"/>
      <c r="AI55" s="202"/>
      <c r="AJ55" s="202"/>
      <c r="AK55" s="202"/>
      <c r="AL55" s="202"/>
      <c r="AM55" s="202"/>
      <c r="AN55" s="202"/>
      <c r="AO55" s="202"/>
      <c r="AP55" s="202"/>
      <c r="AQ55" s="202"/>
      <c r="AR55" s="202"/>
      <c r="AS55" s="202"/>
      <c r="AT55" s="202"/>
      <c r="AU55" s="202"/>
      <c r="AV55" s="202"/>
      <c r="AW55" s="202"/>
      <c r="AX55" s="202"/>
      <c r="AY55" s="202"/>
      <c r="AZ55" s="203"/>
    </row>
  </sheetData>
  <mergeCells count="139">
    <mergeCell ref="K2:AZ2"/>
    <mergeCell ref="D3:D4"/>
    <mergeCell ref="AG3:AH5"/>
    <mergeCell ref="AM3:AN5"/>
    <mergeCell ref="AS3:AT5"/>
    <mergeCell ref="AK3:AL5"/>
    <mergeCell ref="AY3:AZ5"/>
    <mergeCell ref="O3:P5"/>
    <mergeCell ref="M3:N5"/>
    <mergeCell ref="K3:L5"/>
    <mergeCell ref="AY6:AY10"/>
    <mergeCell ref="AZ6:AZ10"/>
    <mergeCell ref="AO3:AP5"/>
    <mergeCell ref="D5:D7"/>
    <mergeCell ref="G6:G10"/>
    <mergeCell ref="H6:H10"/>
    <mergeCell ref="I6:I10"/>
    <mergeCell ref="J6:J10"/>
    <mergeCell ref="AG6:AG10"/>
    <mergeCell ref="AH6:AH10"/>
    <mergeCell ref="AM6:AM10"/>
    <mergeCell ref="AN6:AN10"/>
    <mergeCell ref="AQ3:AR5"/>
    <mergeCell ref="AA3:AB5"/>
    <mergeCell ref="S3:T5"/>
    <mergeCell ref="W3:X5"/>
    <mergeCell ref="AC3:AD5"/>
    <mergeCell ref="U3:V5"/>
    <mergeCell ref="AE3:AF5"/>
    <mergeCell ref="AU3:AV5"/>
    <mergeCell ref="Q3:R5"/>
    <mergeCell ref="Y3:Z5"/>
    <mergeCell ref="AW3:AX5"/>
    <mergeCell ref="AI3:AJ5"/>
    <mergeCell ref="Q6:Q10"/>
    <mergeCell ref="R6:R10"/>
    <mergeCell ref="O6:O10"/>
    <mergeCell ref="P6:P10"/>
    <mergeCell ref="M6:M10"/>
    <mergeCell ref="N6:N10"/>
    <mergeCell ref="K6:K10"/>
    <mergeCell ref="L6:L10"/>
    <mergeCell ref="AS6:AS10"/>
    <mergeCell ref="AK6:AK10"/>
    <mergeCell ref="AL6:AL10"/>
    <mergeCell ref="Y6:Y10"/>
    <mergeCell ref="Z6:Z10"/>
    <mergeCell ref="AW6:AW10"/>
    <mergeCell ref="AX6:AX10"/>
    <mergeCell ref="AI6:AI10"/>
    <mergeCell ref="AJ6:AJ10"/>
    <mergeCell ref="AE6:AE10"/>
    <mergeCell ref="AF6:AF10"/>
    <mergeCell ref="AU6:AU10"/>
    <mergeCell ref="AV6:AV10"/>
    <mergeCell ref="AT6:AT10"/>
    <mergeCell ref="AY47:AY51"/>
    <mergeCell ref="AZ47:AZ51"/>
    <mergeCell ref="AO6:AO10"/>
    <mergeCell ref="AP6:AP10"/>
    <mergeCell ref="A7:A10"/>
    <mergeCell ref="B7:B10"/>
    <mergeCell ref="H47:H55"/>
    <mergeCell ref="I47:J55"/>
    <mergeCell ref="AG47:AG51"/>
    <mergeCell ref="AH47:AH51"/>
    <mergeCell ref="AM47:AM51"/>
    <mergeCell ref="AN47:AN51"/>
    <mergeCell ref="W6:W10"/>
    <mergeCell ref="X6:X10"/>
    <mergeCell ref="AC6:AC10"/>
    <mergeCell ref="AD6:AD10"/>
    <mergeCell ref="U6:U10"/>
    <mergeCell ref="V6:V10"/>
    <mergeCell ref="AQ6:AQ10"/>
    <mergeCell ref="AR6:AR10"/>
    <mergeCell ref="AA6:AA10"/>
    <mergeCell ref="AB6:AB10"/>
    <mergeCell ref="S6:S10"/>
    <mergeCell ref="T6:T10"/>
    <mergeCell ref="O47:O51"/>
    <mergeCell ref="P47:P51"/>
    <mergeCell ref="M47:M51"/>
    <mergeCell ref="N47:N51"/>
    <mergeCell ref="K47:K51"/>
    <mergeCell ref="L47:L51"/>
    <mergeCell ref="AS47:AS51"/>
    <mergeCell ref="AT47:AT51"/>
    <mergeCell ref="AK47:AK51"/>
    <mergeCell ref="AL47:AL51"/>
    <mergeCell ref="AW47:AW51"/>
    <mergeCell ref="AX47:AX51"/>
    <mergeCell ref="AI47:AI51"/>
    <mergeCell ref="AJ47:AJ51"/>
    <mergeCell ref="AE47:AE51"/>
    <mergeCell ref="AF47:AF51"/>
    <mergeCell ref="AU47:AU51"/>
    <mergeCell ref="AV47:AV51"/>
    <mergeCell ref="Q47:Q51"/>
    <mergeCell ref="R47:R51"/>
    <mergeCell ref="AO47:AO51"/>
    <mergeCell ref="AP47:AP51"/>
    <mergeCell ref="E50:F55"/>
    <mergeCell ref="AG52:AH54"/>
    <mergeCell ref="AM52:AN54"/>
    <mergeCell ref="AS52:AT54"/>
    <mergeCell ref="AK52:AL54"/>
    <mergeCell ref="AY52:AZ54"/>
    <mergeCell ref="O52:P54"/>
    <mergeCell ref="M52:N54"/>
    <mergeCell ref="W47:W51"/>
    <mergeCell ref="X47:X51"/>
    <mergeCell ref="AC47:AC51"/>
    <mergeCell ref="AD47:AD51"/>
    <mergeCell ref="U47:U51"/>
    <mergeCell ref="V47:V51"/>
    <mergeCell ref="AQ47:AQ51"/>
    <mergeCell ref="AR47:AR51"/>
    <mergeCell ref="AA47:AA51"/>
    <mergeCell ref="AB47:AB51"/>
    <mergeCell ref="S47:S51"/>
    <mergeCell ref="T47:T51"/>
    <mergeCell ref="Y47:Y51"/>
    <mergeCell ref="Z47:Z51"/>
    <mergeCell ref="U52:V54"/>
    <mergeCell ref="AO52:AP54"/>
    <mergeCell ref="K55:AZ55"/>
    <mergeCell ref="AI52:AJ54"/>
    <mergeCell ref="AQ52:AR54"/>
    <mergeCell ref="AA52:AB54"/>
    <mergeCell ref="S52:T54"/>
    <mergeCell ref="W52:X54"/>
    <mergeCell ref="AC52:AD54"/>
    <mergeCell ref="K52:L54"/>
    <mergeCell ref="AE52:AF54"/>
    <mergeCell ref="AU52:AV54"/>
    <mergeCell ref="Q52:R54"/>
    <mergeCell ref="Y52:Z54"/>
    <mergeCell ref="AW52:AX5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D82"/>
  <sheetViews>
    <sheetView showRuler="0" topLeftCell="R5" workbookViewId="0"/>
  </sheetViews>
  <sheetFormatPr baseColWidth="10" defaultRowHeight="16" x14ac:dyDescent="0.2"/>
  <cols>
    <col min="1" max="1" width="6.6640625" style="24" customWidth="1"/>
    <col min="2" max="2" width="14.1640625" style="24" customWidth="1"/>
    <col min="3" max="3" width="75.83203125" style="24" customWidth="1"/>
    <col min="4" max="4" width="22.6640625" style="24" customWidth="1"/>
    <col min="5" max="5" width="10.83203125" style="25"/>
    <col min="6" max="7" width="6.6640625" style="25" customWidth="1"/>
    <col min="8" max="8" width="8.33203125" style="26" customWidth="1"/>
    <col min="9" max="9" width="9.5" style="26" customWidth="1"/>
    <col min="10" max="29" width="5.6640625" style="25" customWidth="1"/>
    <col min="30" max="30" width="113.83203125" style="24" customWidth="1"/>
    <col min="31" max="16384" width="10.83203125" style="24"/>
  </cols>
  <sheetData>
    <row r="1" spans="1:30" ht="17" thickBot="1" x14ac:dyDescent="0.25"/>
    <row r="2" spans="1:30" x14ac:dyDescent="0.2">
      <c r="C2" s="243" t="s">
        <v>265</v>
      </c>
    </row>
    <row r="3" spans="1:30" ht="20" customHeight="1" thickBot="1" x14ac:dyDescent="0.25">
      <c r="C3" s="244"/>
      <c r="J3" s="123"/>
      <c r="K3" s="123"/>
      <c r="L3" s="123"/>
      <c r="M3" s="123"/>
      <c r="N3" s="123"/>
      <c r="O3" s="123"/>
      <c r="P3" s="123"/>
      <c r="Q3" s="123"/>
      <c r="R3" s="123"/>
      <c r="S3" s="123"/>
      <c r="T3" s="123"/>
      <c r="U3" s="123"/>
      <c r="V3" s="123"/>
      <c r="W3" s="123"/>
      <c r="X3" s="123"/>
      <c r="Y3" s="123"/>
      <c r="Z3" s="123"/>
      <c r="AA3" s="123"/>
      <c r="AB3" s="123"/>
      <c r="AC3" s="123"/>
    </row>
    <row r="4" spans="1:30" ht="20" customHeight="1" thickBot="1" x14ac:dyDescent="0.25">
      <c r="A4" s="68"/>
      <c r="C4" s="245" t="s">
        <v>266</v>
      </c>
      <c r="H4" s="25"/>
      <c r="I4" s="25"/>
      <c r="J4" s="257" t="s">
        <v>167</v>
      </c>
      <c r="K4" s="258"/>
      <c r="L4" s="258"/>
      <c r="M4" s="258"/>
      <c r="N4" s="258"/>
      <c r="O4" s="258"/>
      <c r="P4" s="258"/>
      <c r="Q4" s="258"/>
      <c r="R4" s="258"/>
      <c r="S4" s="258"/>
      <c r="T4" s="258"/>
      <c r="U4" s="258"/>
      <c r="V4" s="258"/>
      <c r="W4" s="258"/>
      <c r="X4" s="258"/>
      <c r="Y4" s="258"/>
      <c r="Z4" s="258"/>
      <c r="AA4" s="258"/>
      <c r="AB4" s="258"/>
      <c r="AC4" s="259"/>
    </row>
    <row r="5" spans="1:30" ht="20" customHeight="1" x14ac:dyDescent="0.2">
      <c r="A5" s="67"/>
      <c r="C5" s="245"/>
      <c r="F5" s="136" t="s">
        <v>24</v>
      </c>
      <c r="G5" s="273" t="s">
        <v>166</v>
      </c>
      <c r="H5" s="276" t="s">
        <v>193</v>
      </c>
      <c r="I5" s="252" t="s">
        <v>175</v>
      </c>
      <c r="J5" s="260" t="s">
        <v>161</v>
      </c>
      <c r="K5" s="250" t="s">
        <v>229</v>
      </c>
      <c r="L5" s="250" t="s">
        <v>163</v>
      </c>
      <c r="M5" s="250" t="s">
        <v>162</v>
      </c>
      <c r="N5" s="250" t="s">
        <v>223</v>
      </c>
      <c r="O5" s="250" t="s">
        <v>169</v>
      </c>
      <c r="P5" s="247" t="s">
        <v>185</v>
      </c>
      <c r="Q5" s="268" t="s">
        <v>186</v>
      </c>
      <c r="R5" s="247" t="s">
        <v>173</v>
      </c>
      <c r="S5" s="250" t="s">
        <v>228</v>
      </c>
      <c r="T5" s="250" t="s">
        <v>182</v>
      </c>
      <c r="U5" s="250" t="s">
        <v>183</v>
      </c>
      <c r="V5" s="250" t="s">
        <v>227</v>
      </c>
      <c r="W5" s="250" t="s">
        <v>168</v>
      </c>
      <c r="X5" s="247" t="s">
        <v>234</v>
      </c>
      <c r="Y5" s="250" t="s">
        <v>187</v>
      </c>
      <c r="Z5" s="250" t="s">
        <v>184</v>
      </c>
      <c r="AA5" s="250" t="s">
        <v>164</v>
      </c>
      <c r="AB5" s="263" t="s">
        <v>165</v>
      </c>
      <c r="AC5" s="265" t="s">
        <v>230</v>
      </c>
    </row>
    <row r="6" spans="1:30" ht="20" customHeight="1" x14ac:dyDescent="0.2">
      <c r="A6" s="136" t="s">
        <v>285</v>
      </c>
      <c r="C6" s="245"/>
      <c r="F6" s="136"/>
      <c r="G6" s="274"/>
      <c r="H6" s="277"/>
      <c r="I6" s="253"/>
      <c r="J6" s="261"/>
      <c r="K6" s="248"/>
      <c r="L6" s="248"/>
      <c r="M6" s="248"/>
      <c r="N6" s="248"/>
      <c r="O6" s="248"/>
      <c r="P6" s="255"/>
      <c r="Q6" s="268"/>
      <c r="R6" s="255"/>
      <c r="S6" s="248"/>
      <c r="T6" s="248"/>
      <c r="U6" s="248"/>
      <c r="V6" s="248"/>
      <c r="W6" s="248"/>
      <c r="X6" s="248"/>
      <c r="Y6" s="248"/>
      <c r="Z6" s="248"/>
      <c r="AA6" s="248"/>
      <c r="AB6" s="263"/>
      <c r="AC6" s="266"/>
    </row>
    <row r="7" spans="1:30" ht="20" customHeight="1" thickBot="1" x14ac:dyDescent="0.25">
      <c r="A7" s="136"/>
      <c r="C7" s="246"/>
      <c r="F7" s="136"/>
      <c r="G7" s="274"/>
      <c r="H7" s="277"/>
      <c r="I7" s="253"/>
      <c r="J7" s="261"/>
      <c r="K7" s="248"/>
      <c r="L7" s="248"/>
      <c r="M7" s="248"/>
      <c r="N7" s="248"/>
      <c r="O7" s="248"/>
      <c r="P7" s="255"/>
      <c r="Q7" s="268"/>
      <c r="R7" s="255"/>
      <c r="S7" s="248"/>
      <c r="T7" s="248"/>
      <c r="U7" s="248"/>
      <c r="V7" s="248"/>
      <c r="W7" s="248"/>
      <c r="X7" s="248"/>
      <c r="Y7" s="248"/>
      <c r="Z7" s="248"/>
      <c r="AA7" s="248"/>
      <c r="AB7" s="263"/>
      <c r="AC7" s="266"/>
    </row>
    <row r="8" spans="1:30" ht="20" customHeight="1" x14ac:dyDescent="0.2">
      <c r="A8" s="136"/>
      <c r="F8" s="136"/>
      <c r="G8" s="274"/>
      <c r="H8" s="277"/>
      <c r="I8" s="253"/>
      <c r="J8" s="261"/>
      <c r="K8" s="248"/>
      <c r="L8" s="248"/>
      <c r="M8" s="248"/>
      <c r="N8" s="248"/>
      <c r="O8" s="248"/>
      <c r="P8" s="255"/>
      <c r="Q8" s="268"/>
      <c r="R8" s="255"/>
      <c r="S8" s="248"/>
      <c r="T8" s="248"/>
      <c r="U8" s="248"/>
      <c r="V8" s="248"/>
      <c r="W8" s="248"/>
      <c r="X8" s="248"/>
      <c r="Y8" s="248"/>
      <c r="Z8" s="248"/>
      <c r="AA8" s="248"/>
      <c r="AB8" s="263"/>
      <c r="AC8" s="266"/>
    </row>
    <row r="9" spans="1:30" s="23" customFormat="1" ht="20" customHeight="1" thickBot="1" x14ac:dyDescent="0.25">
      <c r="A9" s="137"/>
      <c r="B9" s="21" t="s">
        <v>20</v>
      </c>
      <c r="C9" s="21" t="s">
        <v>21</v>
      </c>
      <c r="D9" s="21" t="s">
        <v>22</v>
      </c>
      <c r="E9" s="22" t="s">
        <v>23</v>
      </c>
      <c r="F9" s="146"/>
      <c r="G9" s="275"/>
      <c r="H9" s="278"/>
      <c r="I9" s="254"/>
      <c r="J9" s="262"/>
      <c r="K9" s="249"/>
      <c r="L9" s="249"/>
      <c r="M9" s="249"/>
      <c r="N9" s="249"/>
      <c r="O9" s="249"/>
      <c r="P9" s="256"/>
      <c r="Q9" s="269"/>
      <c r="R9" s="256"/>
      <c r="S9" s="249"/>
      <c r="T9" s="249"/>
      <c r="U9" s="249"/>
      <c r="V9" s="249"/>
      <c r="W9" s="249"/>
      <c r="X9" s="249"/>
      <c r="Y9" s="249"/>
      <c r="Z9" s="249"/>
      <c r="AA9" s="249"/>
      <c r="AB9" s="264"/>
      <c r="AC9" s="267"/>
      <c r="AD9" s="21" t="s">
        <v>25</v>
      </c>
    </row>
    <row r="10" spans="1:30" ht="20" customHeight="1" x14ac:dyDescent="0.2">
      <c r="A10" s="68"/>
      <c r="B10" s="24" t="s">
        <v>86</v>
      </c>
      <c r="C10" s="24" t="s">
        <v>26</v>
      </c>
      <c r="D10" s="24" t="s">
        <v>27</v>
      </c>
      <c r="E10" s="25">
        <v>2008</v>
      </c>
      <c r="F10" s="25">
        <v>165</v>
      </c>
      <c r="G10" s="111">
        <v>107</v>
      </c>
      <c r="H10" s="105" t="s">
        <v>171</v>
      </c>
      <c r="I10" s="106"/>
      <c r="J10" s="98"/>
      <c r="K10" s="30"/>
      <c r="L10" s="27"/>
      <c r="M10" s="27"/>
      <c r="N10" s="27"/>
      <c r="O10" s="30"/>
      <c r="P10" s="30"/>
      <c r="Q10" s="30"/>
      <c r="R10" s="27"/>
      <c r="S10" s="27"/>
      <c r="T10" s="27"/>
      <c r="U10" s="27"/>
      <c r="V10" s="27"/>
      <c r="W10" s="27"/>
      <c r="X10" s="27"/>
      <c r="Y10" s="27"/>
      <c r="Z10" s="27"/>
      <c r="AA10" s="27"/>
      <c r="AB10" s="27"/>
      <c r="AC10" s="99"/>
      <c r="AD10" s="24" t="s">
        <v>170</v>
      </c>
    </row>
    <row r="11" spans="1:30" ht="20" customHeight="1" x14ac:dyDescent="0.2">
      <c r="A11" s="67"/>
      <c r="B11" s="24" t="s">
        <v>30</v>
      </c>
      <c r="C11" s="24" t="s">
        <v>28</v>
      </c>
      <c r="D11" s="24" t="s">
        <v>29</v>
      </c>
      <c r="E11" s="25">
        <v>2016</v>
      </c>
      <c r="F11" s="25">
        <v>22</v>
      </c>
      <c r="G11" s="112"/>
      <c r="H11" s="107"/>
      <c r="I11" s="108"/>
      <c r="J11" s="40"/>
      <c r="K11" s="85"/>
      <c r="L11" s="85"/>
      <c r="M11" s="85"/>
      <c r="N11" s="85"/>
      <c r="O11" s="85"/>
      <c r="P11" s="85"/>
      <c r="Q11" s="85"/>
      <c r="R11" s="85"/>
      <c r="S11" s="85"/>
      <c r="T11" s="85"/>
      <c r="U11" s="85"/>
      <c r="V11" s="85"/>
      <c r="W11" s="85"/>
      <c r="X11" s="85"/>
      <c r="Y11" s="85"/>
      <c r="Z11" s="85"/>
      <c r="AA11" s="85"/>
      <c r="AB11" s="85"/>
      <c r="AC11" s="100"/>
    </row>
    <row r="12" spans="1:30" ht="20" customHeight="1" x14ac:dyDescent="0.2">
      <c r="A12" s="68"/>
      <c r="C12" s="24" t="s">
        <v>159</v>
      </c>
      <c r="D12" s="24" t="s">
        <v>160</v>
      </c>
      <c r="E12" s="25">
        <v>1997</v>
      </c>
      <c r="G12" s="112"/>
      <c r="H12" s="107"/>
      <c r="I12" s="108"/>
      <c r="J12" s="40"/>
      <c r="K12" s="85"/>
      <c r="L12" s="85"/>
      <c r="M12" s="85"/>
      <c r="N12" s="85"/>
      <c r="O12" s="85"/>
      <c r="P12" s="85"/>
      <c r="Q12" s="85"/>
      <c r="R12" s="85"/>
      <c r="S12" s="85"/>
      <c r="T12" s="85"/>
      <c r="U12" s="85"/>
      <c r="V12" s="85"/>
      <c r="W12" s="85"/>
      <c r="X12" s="85"/>
      <c r="Y12" s="85"/>
      <c r="Z12" s="85"/>
      <c r="AA12" s="85"/>
      <c r="AB12" s="85"/>
      <c r="AC12" s="100"/>
    </row>
    <row r="13" spans="1:30" ht="20" customHeight="1" x14ac:dyDescent="0.2">
      <c r="A13" s="67"/>
      <c r="B13" s="24" t="s">
        <v>30</v>
      </c>
      <c r="C13" s="24" t="s">
        <v>31</v>
      </c>
      <c r="D13" s="24" t="s">
        <v>32</v>
      </c>
      <c r="E13" s="25">
        <v>2004</v>
      </c>
      <c r="F13" s="25">
        <v>21</v>
      </c>
      <c r="G13" s="112"/>
      <c r="H13" s="107"/>
      <c r="I13" s="108"/>
      <c r="J13" s="40"/>
      <c r="K13" s="85"/>
      <c r="L13" s="85"/>
      <c r="M13" s="85"/>
      <c r="N13" s="85"/>
      <c r="O13" s="85"/>
      <c r="P13" s="85"/>
      <c r="Q13" s="85"/>
      <c r="R13" s="85"/>
      <c r="S13" s="85"/>
      <c r="T13" s="85"/>
      <c r="U13" s="85"/>
      <c r="V13" s="85"/>
      <c r="W13" s="85"/>
      <c r="X13" s="85"/>
      <c r="Y13" s="85"/>
      <c r="Z13" s="85"/>
      <c r="AA13" s="85"/>
      <c r="AB13" s="85"/>
      <c r="AC13" s="100"/>
    </row>
    <row r="14" spans="1:30" ht="20" customHeight="1" x14ac:dyDescent="0.2">
      <c r="A14" s="68"/>
      <c r="B14" s="24" t="s">
        <v>35</v>
      </c>
      <c r="C14" s="24" t="s">
        <v>33</v>
      </c>
      <c r="D14" s="24" t="s">
        <v>34</v>
      </c>
      <c r="E14" s="25">
        <v>2003</v>
      </c>
      <c r="F14" s="25">
        <v>291</v>
      </c>
      <c r="G14" s="112">
        <v>14</v>
      </c>
      <c r="H14" s="107" t="s">
        <v>172</v>
      </c>
      <c r="I14" s="108"/>
      <c r="J14" s="40">
        <v>2</v>
      </c>
      <c r="K14" s="85"/>
      <c r="L14" s="85"/>
      <c r="M14" s="85"/>
      <c r="N14" s="85"/>
      <c r="O14" s="85">
        <v>2</v>
      </c>
      <c r="P14" s="85"/>
      <c r="Q14" s="85"/>
      <c r="R14" s="85">
        <v>1</v>
      </c>
      <c r="S14" s="85"/>
      <c r="T14" s="85"/>
      <c r="U14" s="85"/>
      <c r="V14" s="85"/>
      <c r="W14" s="85"/>
      <c r="X14" s="85"/>
      <c r="Y14" s="85"/>
      <c r="Z14" s="85"/>
      <c r="AA14" s="85"/>
      <c r="AB14" s="85"/>
      <c r="AC14" s="100"/>
      <c r="AD14" s="24" t="s">
        <v>178</v>
      </c>
    </row>
    <row r="15" spans="1:30" ht="20" customHeight="1" x14ac:dyDescent="0.2">
      <c r="A15" s="68"/>
      <c r="B15" s="24" t="s">
        <v>86</v>
      </c>
      <c r="C15" s="24" t="s">
        <v>36</v>
      </c>
      <c r="D15" s="24" t="s">
        <v>37</v>
      </c>
      <c r="E15" s="25">
        <v>2008</v>
      </c>
      <c r="F15" s="25">
        <v>40</v>
      </c>
      <c r="G15" s="112">
        <v>51</v>
      </c>
      <c r="H15" s="107"/>
      <c r="I15" s="108"/>
      <c r="J15" s="40"/>
      <c r="K15" s="85"/>
      <c r="L15" s="85"/>
      <c r="M15" s="85"/>
      <c r="N15" s="85"/>
      <c r="O15" s="85"/>
      <c r="P15" s="85"/>
      <c r="Q15" s="85"/>
      <c r="R15" s="85"/>
      <c r="S15" s="85"/>
      <c r="T15" s="85"/>
      <c r="U15" s="85"/>
      <c r="V15" s="85"/>
      <c r="W15" s="85"/>
      <c r="X15" s="85"/>
      <c r="Y15" s="85"/>
      <c r="Z15" s="85"/>
      <c r="AA15" s="85"/>
      <c r="AB15" s="85"/>
      <c r="AC15" s="100"/>
      <c r="AD15" s="24" t="s">
        <v>179</v>
      </c>
    </row>
    <row r="16" spans="1:30" ht="20" customHeight="1" x14ac:dyDescent="0.2">
      <c r="A16" s="67"/>
      <c r="B16" s="24" t="s">
        <v>30</v>
      </c>
      <c r="C16" s="24" t="s">
        <v>38</v>
      </c>
      <c r="D16" s="24" t="s">
        <v>39</v>
      </c>
      <c r="E16" s="25">
        <v>2005</v>
      </c>
      <c r="F16" s="25">
        <v>282</v>
      </c>
      <c r="G16" s="112"/>
      <c r="H16" s="107"/>
      <c r="I16" s="108"/>
      <c r="J16" s="40"/>
      <c r="K16" s="85"/>
      <c r="L16" s="85"/>
      <c r="M16" s="85"/>
      <c r="N16" s="85"/>
      <c r="O16" s="85"/>
      <c r="P16" s="85"/>
      <c r="Q16" s="85"/>
      <c r="R16" s="85"/>
      <c r="S16" s="85"/>
      <c r="T16" s="85"/>
      <c r="U16" s="85"/>
      <c r="V16" s="85"/>
      <c r="W16" s="85"/>
      <c r="X16" s="85"/>
      <c r="Y16" s="85"/>
      <c r="Z16" s="85"/>
      <c r="AA16" s="85"/>
      <c r="AB16" s="85"/>
      <c r="AC16" s="100"/>
      <c r="AD16" s="24" t="s">
        <v>180</v>
      </c>
    </row>
    <row r="17" spans="1:30" ht="20" customHeight="1" x14ac:dyDescent="0.2">
      <c r="A17" s="67"/>
      <c r="B17" s="24" t="s">
        <v>30</v>
      </c>
      <c r="C17" s="24" t="s">
        <v>40</v>
      </c>
      <c r="D17" s="24" t="s">
        <v>39</v>
      </c>
      <c r="E17" s="25">
        <v>2006</v>
      </c>
      <c r="F17" s="25">
        <v>380</v>
      </c>
      <c r="G17" s="112"/>
      <c r="H17" s="107"/>
      <c r="I17" s="108"/>
      <c r="J17" s="101"/>
      <c r="K17" s="31"/>
      <c r="L17" s="31"/>
      <c r="M17" s="31"/>
      <c r="N17" s="31"/>
      <c r="O17" s="31"/>
      <c r="P17" s="31"/>
      <c r="Q17" s="31"/>
      <c r="R17" s="85"/>
      <c r="S17" s="85"/>
      <c r="T17" s="85"/>
      <c r="U17" s="85"/>
      <c r="V17" s="85"/>
      <c r="W17" s="85"/>
      <c r="X17" s="85"/>
      <c r="Y17" s="85"/>
      <c r="Z17" s="85"/>
      <c r="AA17" s="85"/>
      <c r="AB17" s="85"/>
      <c r="AC17" s="100"/>
      <c r="AD17" s="24" t="s">
        <v>181</v>
      </c>
    </row>
    <row r="18" spans="1:30" ht="20" customHeight="1" x14ac:dyDescent="0.2">
      <c r="A18" s="67"/>
      <c r="B18" s="24" t="s">
        <v>86</v>
      </c>
      <c r="C18" s="24" t="s">
        <v>41</v>
      </c>
      <c r="D18" s="24" t="s">
        <v>42</v>
      </c>
      <c r="E18" s="25">
        <v>2004</v>
      </c>
      <c r="F18" s="25">
        <v>79</v>
      </c>
      <c r="G18" s="112">
        <v>22</v>
      </c>
      <c r="H18" s="107" t="s">
        <v>174</v>
      </c>
      <c r="I18" s="108" t="s">
        <v>176</v>
      </c>
      <c r="J18" s="40"/>
      <c r="K18" s="85"/>
      <c r="L18" s="85"/>
      <c r="M18" s="85"/>
      <c r="N18" s="85"/>
      <c r="O18" s="85"/>
      <c r="P18" s="85"/>
      <c r="Q18" s="85"/>
      <c r="R18" s="85"/>
      <c r="S18" s="85"/>
      <c r="T18" s="85"/>
      <c r="U18" s="85"/>
      <c r="V18" s="85"/>
      <c r="W18" s="85"/>
      <c r="X18" s="85"/>
      <c r="Y18" s="85"/>
      <c r="Z18" s="85"/>
      <c r="AA18" s="85"/>
      <c r="AB18" s="85"/>
      <c r="AC18" s="100"/>
      <c r="AD18" s="24" t="s">
        <v>177</v>
      </c>
    </row>
    <row r="19" spans="1:30" ht="20" customHeight="1" x14ac:dyDescent="0.2">
      <c r="A19" s="67"/>
      <c r="B19" s="24" t="s">
        <v>86</v>
      </c>
      <c r="C19" s="24" t="s">
        <v>43</v>
      </c>
      <c r="D19" s="24" t="s">
        <v>44</v>
      </c>
      <c r="E19" s="25">
        <v>1976</v>
      </c>
      <c r="F19" s="25">
        <v>179</v>
      </c>
      <c r="G19" s="112">
        <v>8</v>
      </c>
      <c r="H19" s="107"/>
      <c r="I19" s="108"/>
      <c r="J19" s="40"/>
      <c r="K19" s="85"/>
      <c r="L19" s="85"/>
      <c r="M19" s="85"/>
      <c r="N19" s="85"/>
      <c r="O19" s="31">
        <v>1</v>
      </c>
      <c r="P19" s="31">
        <v>2</v>
      </c>
      <c r="Q19" s="31">
        <v>1</v>
      </c>
      <c r="R19" s="31">
        <v>1</v>
      </c>
      <c r="S19" s="31"/>
      <c r="T19" s="31">
        <v>5</v>
      </c>
      <c r="U19" s="31">
        <v>1</v>
      </c>
      <c r="V19" s="31"/>
      <c r="W19" s="31">
        <v>1</v>
      </c>
      <c r="X19" s="85"/>
      <c r="Y19" s="31">
        <v>1</v>
      </c>
      <c r="Z19" s="31">
        <v>2</v>
      </c>
      <c r="AA19" s="85"/>
      <c r="AB19" s="85"/>
      <c r="AC19" s="100"/>
      <c r="AD19" s="24" t="s">
        <v>198</v>
      </c>
    </row>
    <row r="20" spans="1:30" ht="20" customHeight="1" x14ac:dyDescent="0.2">
      <c r="A20" s="68"/>
      <c r="B20" s="24" t="s">
        <v>86</v>
      </c>
      <c r="C20" s="24" t="s">
        <v>155</v>
      </c>
      <c r="D20" s="24" t="s">
        <v>156</v>
      </c>
      <c r="E20" s="25">
        <v>2007</v>
      </c>
      <c r="G20" s="112">
        <v>44</v>
      </c>
      <c r="H20" s="107"/>
      <c r="I20" s="108"/>
      <c r="J20" s="40"/>
      <c r="K20" s="85"/>
      <c r="L20" s="85"/>
      <c r="M20" s="85"/>
      <c r="N20" s="85"/>
      <c r="O20" s="85"/>
      <c r="P20" s="85"/>
      <c r="Q20" s="85"/>
      <c r="R20" s="85"/>
      <c r="S20" s="85"/>
      <c r="T20" s="85"/>
      <c r="U20" s="85"/>
      <c r="V20" s="85"/>
      <c r="W20" s="85"/>
      <c r="X20" s="85"/>
      <c r="Y20" s="85"/>
      <c r="Z20" s="85"/>
      <c r="AA20" s="85"/>
      <c r="AB20" s="85"/>
      <c r="AC20" s="100"/>
      <c r="AD20" s="24" t="s">
        <v>188</v>
      </c>
    </row>
    <row r="21" spans="1:30" ht="20" customHeight="1" x14ac:dyDescent="0.2">
      <c r="A21" s="68"/>
      <c r="B21" s="24" t="s">
        <v>86</v>
      </c>
      <c r="C21" s="24" t="s">
        <v>45</v>
      </c>
      <c r="D21" s="24" t="s">
        <v>46</v>
      </c>
      <c r="E21" s="25">
        <v>1998</v>
      </c>
      <c r="F21" s="25">
        <v>96</v>
      </c>
      <c r="G21" s="112">
        <v>61</v>
      </c>
      <c r="H21" s="107" t="s">
        <v>189</v>
      </c>
      <c r="I21" s="108" t="s">
        <v>208</v>
      </c>
      <c r="J21" s="40"/>
      <c r="K21" s="85"/>
      <c r="L21" s="85"/>
      <c r="M21" s="85"/>
      <c r="N21" s="85"/>
      <c r="O21" s="85"/>
      <c r="P21" s="85"/>
      <c r="Q21" s="85"/>
      <c r="R21" s="85"/>
      <c r="S21" s="85"/>
      <c r="T21" s="85"/>
      <c r="U21" s="85"/>
      <c r="V21" s="85"/>
      <c r="W21" s="85"/>
      <c r="X21" s="85"/>
      <c r="Y21" s="85"/>
      <c r="Z21" s="85"/>
      <c r="AA21" s="85"/>
      <c r="AB21" s="85"/>
      <c r="AC21" s="100"/>
      <c r="AD21" s="24" t="s">
        <v>190</v>
      </c>
    </row>
    <row r="22" spans="1:30" ht="20" customHeight="1" x14ac:dyDescent="0.2">
      <c r="A22" s="68"/>
      <c r="B22" s="24" t="s">
        <v>49</v>
      </c>
      <c r="C22" s="24" t="s">
        <v>47</v>
      </c>
      <c r="D22" s="24" t="s">
        <v>48</v>
      </c>
      <c r="E22" s="25">
        <v>1997</v>
      </c>
      <c r="F22" s="25">
        <v>91</v>
      </c>
      <c r="G22" s="112"/>
      <c r="H22" s="107"/>
      <c r="I22" s="108"/>
      <c r="J22" s="40"/>
      <c r="K22" s="85"/>
      <c r="L22" s="85"/>
      <c r="M22" s="85"/>
      <c r="N22" s="85"/>
      <c r="O22" s="85"/>
      <c r="P22" s="85"/>
      <c r="Q22" s="85"/>
      <c r="R22" s="85"/>
      <c r="S22" s="85"/>
      <c r="T22" s="85"/>
      <c r="U22" s="85"/>
      <c r="V22" s="85"/>
      <c r="W22" s="85"/>
      <c r="X22" s="85"/>
      <c r="Y22" s="85"/>
      <c r="Z22" s="85"/>
      <c r="AA22" s="85"/>
      <c r="AB22" s="85"/>
      <c r="AC22" s="100"/>
    </row>
    <row r="23" spans="1:30" ht="20" customHeight="1" x14ac:dyDescent="0.2">
      <c r="A23" s="67"/>
      <c r="B23" s="24" t="s">
        <v>35</v>
      </c>
      <c r="C23" s="24" t="s">
        <v>50</v>
      </c>
      <c r="D23" s="24" t="s">
        <v>51</v>
      </c>
      <c r="E23" s="25">
        <v>1993</v>
      </c>
      <c r="F23" s="25">
        <v>306</v>
      </c>
      <c r="G23" s="112"/>
      <c r="H23" s="107"/>
      <c r="I23" s="108"/>
      <c r="J23" s="40"/>
      <c r="K23" s="85"/>
      <c r="L23" s="85"/>
      <c r="M23" s="85"/>
      <c r="N23" s="85"/>
      <c r="O23" s="85"/>
      <c r="P23" s="85"/>
      <c r="Q23" s="85"/>
      <c r="R23" s="85"/>
      <c r="S23" s="85"/>
      <c r="T23" s="85"/>
      <c r="U23" s="85"/>
      <c r="V23" s="85"/>
      <c r="W23" s="85"/>
      <c r="X23" s="85"/>
      <c r="Y23" s="85"/>
      <c r="Z23" s="85"/>
      <c r="AA23" s="85"/>
      <c r="AB23" s="85"/>
      <c r="AC23" s="100"/>
    </row>
    <row r="24" spans="1:30" ht="20" customHeight="1" x14ac:dyDescent="0.2">
      <c r="A24" s="68"/>
      <c r="B24" s="24" t="s">
        <v>86</v>
      </c>
      <c r="C24" s="24" t="s">
        <v>52</v>
      </c>
      <c r="D24" s="24" t="s">
        <v>53</v>
      </c>
      <c r="E24" s="25">
        <v>2001</v>
      </c>
      <c r="F24" s="25">
        <v>118</v>
      </c>
      <c r="G24" s="112">
        <v>20</v>
      </c>
      <c r="H24" s="107"/>
      <c r="I24" s="108"/>
      <c r="J24" s="40"/>
      <c r="K24" s="85"/>
      <c r="L24" s="85"/>
      <c r="M24" s="85"/>
      <c r="N24" s="85"/>
      <c r="O24" s="85"/>
      <c r="P24" s="85"/>
      <c r="Q24" s="85"/>
      <c r="R24" s="85"/>
      <c r="S24" s="85"/>
      <c r="T24" s="85"/>
      <c r="U24" s="85"/>
      <c r="V24" s="85"/>
      <c r="W24" s="85"/>
      <c r="X24" s="85"/>
      <c r="Y24" s="85"/>
      <c r="Z24" s="85"/>
      <c r="AA24" s="85"/>
      <c r="AB24" s="85"/>
      <c r="AC24" s="100"/>
      <c r="AD24" s="24" t="s">
        <v>195</v>
      </c>
    </row>
    <row r="25" spans="1:30" ht="20" customHeight="1" x14ac:dyDescent="0.2">
      <c r="A25" s="67"/>
      <c r="B25" s="24" t="s">
        <v>86</v>
      </c>
      <c r="C25" s="24" t="s">
        <v>54</v>
      </c>
      <c r="D25" s="24" t="s">
        <v>55</v>
      </c>
      <c r="E25" s="25">
        <v>1996</v>
      </c>
      <c r="F25" s="25">
        <v>82</v>
      </c>
      <c r="G25" s="112">
        <v>15</v>
      </c>
      <c r="H25" s="107" t="s">
        <v>189</v>
      </c>
      <c r="I25" s="108" t="s">
        <v>191</v>
      </c>
      <c r="J25" s="101"/>
      <c r="K25" s="31"/>
      <c r="L25" s="85"/>
      <c r="M25" s="85"/>
      <c r="N25" s="85"/>
      <c r="O25" s="85"/>
      <c r="P25" s="85"/>
      <c r="Q25" s="85"/>
      <c r="R25" s="85"/>
      <c r="S25" s="85"/>
      <c r="T25" s="85"/>
      <c r="U25" s="85"/>
      <c r="V25" s="85"/>
      <c r="W25" s="85"/>
      <c r="X25" s="31"/>
      <c r="Y25" s="85"/>
      <c r="Z25" s="85"/>
      <c r="AA25" s="85"/>
      <c r="AB25" s="85"/>
      <c r="AC25" s="100"/>
    </row>
    <row r="26" spans="1:30" ht="20" customHeight="1" x14ac:dyDescent="0.2">
      <c r="A26" s="68"/>
      <c r="B26" s="24" t="s">
        <v>86</v>
      </c>
      <c r="C26" s="24" t="s">
        <v>87</v>
      </c>
      <c r="D26" s="24" t="s">
        <v>56</v>
      </c>
      <c r="E26" s="25">
        <v>2014</v>
      </c>
      <c r="F26" s="25">
        <v>41</v>
      </c>
      <c r="G26" s="112">
        <v>20</v>
      </c>
      <c r="H26" s="107" t="s">
        <v>192</v>
      </c>
      <c r="I26" s="108"/>
      <c r="J26" s="40"/>
      <c r="K26" s="85"/>
      <c r="L26" s="85"/>
      <c r="M26" s="85"/>
      <c r="N26" s="85"/>
      <c r="O26" s="31"/>
      <c r="P26" s="85"/>
      <c r="Q26" s="85"/>
      <c r="R26" s="85"/>
      <c r="S26" s="85"/>
      <c r="T26" s="85"/>
      <c r="U26" s="85"/>
      <c r="V26" s="85"/>
      <c r="W26" s="85"/>
      <c r="X26" s="85"/>
      <c r="Y26" s="85"/>
      <c r="Z26" s="85"/>
      <c r="AA26" s="85"/>
      <c r="AB26" s="85"/>
      <c r="AC26" s="100"/>
    </row>
    <row r="27" spans="1:30" ht="20" customHeight="1" x14ac:dyDescent="0.2">
      <c r="A27" s="68"/>
      <c r="B27" s="24" t="s">
        <v>86</v>
      </c>
      <c r="C27" s="24" t="s">
        <v>57</v>
      </c>
      <c r="D27" s="24" t="s">
        <v>58</v>
      </c>
      <c r="E27" s="25">
        <v>2006</v>
      </c>
      <c r="F27" s="25">
        <v>132</v>
      </c>
      <c r="G27" s="112">
        <v>11</v>
      </c>
      <c r="H27" s="107"/>
      <c r="I27" s="108"/>
      <c r="J27" s="40"/>
      <c r="K27" s="85"/>
      <c r="L27" s="85"/>
      <c r="M27" s="85"/>
      <c r="N27" s="85"/>
      <c r="O27" s="85"/>
      <c r="P27" s="85"/>
      <c r="Q27" s="85"/>
      <c r="R27" s="85"/>
      <c r="S27" s="85"/>
      <c r="T27" s="85"/>
      <c r="U27" s="85"/>
      <c r="V27" s="85"/>
      <c r="W27" s="85"/>
      <c r="X27" s="85"/>
      <c r="Y27" s="85"/>
      <c r="Z27" s="85"/>
      <c r="AA27" s="85"/>
      <c r="AB27" s="85"/>
      <c r="AC27" s="100"/>
    </row>
    <row r="28" spans="1:30" ht="20" customHeight="1" x14ac:dyDescent="0.2">
      <c r="A28" s="67"/>
      <c r="B28" s="24" t="s">
        <v>86</v>
      </c>
      <c r="C28" s="24" t="s">
        <v>59</v>
      </c>
      <c r="D28" s="24" t="s">
        <v>60</v>
      </c>
      <c r="E28" s="25">
        <v>2009</v>
      </c>
      <c r="F28" s="25">
        <v>49</v>
      </c>
      <c r="G28" s="112">
        <v>22</v>
      </c>
      <c r="H28" s="107" t="s">
        <v>189</v>
      </c>
      <c r="I28" s="108" t="s">
        <v>209</v>
      </c>
      <c r="J28" s="40"/>
      <c r="K28" s="85"/>
      <c r="L28" s="85"/>
      <c r="M28" s="85"/>
      <c r="N28" s="85"/>
      <c r="O28" s="85"/>
      <c r="P28" s="85"/>
      <c r="Q28" s="85"/>
      <c r="R28" s="85"/>
      <c r="S28" s="85"/>
      <c r="T28" s="85"/>
      <c r="U28" s="85"/>
      <c r="V28" s="85"/>
      <c r="W28" s="85"/>
      <c r="X28" s="85"/>
      <c r="Y28" s="85"/>
      <c r="Z28" s="85"/>
      <c r="AA28" s="85"/>
      <c r="AB28" s="85"/>
      <c r="AC28" s="100"/>
      <c r="AD28" s="24" t="s">
        <v>194</v>
      </c>
    </row>
    <row r="29" spans="1:30" ht="20" customHeight="1" x14ac:dyDescent="0.2">
      <c r="A29" s="68"/>
      <c r="B29" s="24" t="s">
        <v>86</v>
      </c>
      <c r="C29" s="24" t="s">
        <v>61</v>
      </c>
      <c r="D29" s="24" t="s">
        <v>62</v>
      </c>
      <c r="E29" s="25">
        <v>2006</v>
      </c>
      <c r="F29" s="25">
        <v>144</v>
      </c>
      <c r="G29" s="112">
        <v>25</v>
      </c>
      <c r="H29" s="107"/>
      <c r="I29" s="108" t="s">
        <v>210</v>
      </c>
      <c r="J29" s="40"/>
      <c r="K29" s="85"/>
      <c r="L29" s="85"/>
      <c r="M29" s="85"/>
      <c r="N29" s="85"/>
      <c r="O29" s="85"/>
      <c r="P29" s="85"/>
      <c r="Q29" s="85"/>
      <c r="R29" s="85"/>
      <c r="S29" s="85"/>
      <c r="T29" s="85"/>
      <c r="U29" s="85"/>
      <c r="V29" s="85"/>
      <c r="W29" s="85"/>
      <c r="X29" s="85"/>
      <c r="Y29" s="85"/>
      <c r="Z29" s="85"/>
      <c r="AA29" s="85"/>
      <c r="AB29" s="85"/>
      <c r="AC29" s="100"/>
      <c r="AD29" s="24" t="s">
        <v>196</v>
      </c>
    </row>
    <row r="30" spans="1:30" ht="20" customHeight="1" x14ac:dyDescent="0.2">
      <c r="A30" s="67"/>
      <c r="B30" s="24" t="s">
        <v>86</v>
      </c>
      <c r="C30" s="24" t="s">
        <v>63</v>
      </c>
      <c r="D30" s="24" t="s">
        <v>64</v>
      </c>
      <c r="E30" s="25">
        <v>2012</v>
      </c>
      <c r="F30" s="25">
        <v>83</v>
      </c>
      <c r="G30" s="112">
        <v>146</v>
      </c>
      <c r="H30" s="107" t="s">
        <v>197</v>
      </c>
      <c r="I30" s="108" t="s">
        <v>211</v>
      </c>
      <c r="J30" s="40"/>
      <c r="K30" s="85"/>
      <c r="L30" s="85"/>
      <c r="M30" s="85"/>
      <c r="N30" s="85"/>
      <c r="O30" s="85"/>
      <c r="P30" s="85"/>
      <c r="Q30" s="85"/>
      <c r="R30" s="85"/>
      <c r="S30" s="85"/>
      <c r="T30" s="85"/>
      <c r="U30" s="85"/>
      <c r="V30" s="85"/>
      <c r="W30" s="85"/>
      <c r="X30" s="85"/>
      <c r="Y30" s="85"/>
      <c r="Z30" s="85"/>
      <c r="AA30" s="85"/>
      <c r="AB30" s="85"/>
      <c r="AC30" s="100"/>
      <c r="AD30" s="24" t="s">
        <v>199</v>
      </c>
    </row>
    <row r="31" spans="1:30" ht="20" customHeight="1" x14ac:dyDescent="0.2">
      <c r="A31" s="68"/>
      <c r="B31" s="24" t="s">
        <v>49</v>
      </c>
      <c r="C31" s="24" t="s">
        <v>65</v>
      </c>
      <c r="D31" s="24" t="s">
        <v>286</v>
      </c>
      <c r="E31" s="25">
        <v>1997</v>
      </c>
      <c r="G31" s="112"/>
      <c r="H31" s="107"/>
      <c r="I31" s="108"/>
      <c r="J31" s="40"/>
      <c r="K31" s="85"/>
      <c r="L31" s="85"/>
      <c r="M31" s="85"/>
      <c r="N31" s="85"/>
      <c r="O31" s="85"/>
      <c r="P31" s="85"/>
      <c r="Q31" s="85"/>
      <c r="R31" s="85"/>
      <c r="S31" s="85"/>
      <c r="T31" s="85"/>
      <c r="U31" s="85"/>
      <c r="V31" s="85"/>
      <c r="W31" s="85"/>
      <c r="X31" s="85"/>
      <c r="Y31" s="85"/>
      <c r="Z31" s="85"/>
      <c r="AA31" s="85"/>
      <c r="AB31" s="85"/>
      <c r="AC31" s="100"/>
    </row>
    <row r="32" spans="1:30" ht="20" customHeight="1" x14ac:dyDescent="0.2">
      <c r="A32" s="68"/>
      <c r="B32" s="24" t="s">
        <v>30</v>
      </c>
      <c r="C32" s="24" t="s">
        <v>67</v>
      </c>
      <c r="D32" s="24" t="s">
        <v>68</v>
      </c>
      <c r="E32" s="25">
        <v>2011</v>
      </c>
      <c r="F32" s="25">
        <v>54</v>
      </c>
      <c r="G32" s="112"/>
      <c r="H32" s="107"/>
      <c r="I32" s="108"/>
      <c r="J32" s="40"/>
      <c r="K32" s="85"/>
      <c r="L32" s="85"/>
      <c r="M32" s="85"/>
      <c r="N32" s="85"/>
      <c r="O32" s="85"/>
      <c r="P32" s="85"/>
      <c r="Q32" s="85"/>
      <c r="R32" s="85"/>
      <c r="S32" s="85"/>
      <c r="T32" s="85"/>
      <c r="U32" s="85"/>
      <c r="V32" s="85"/>
      <c r="W32" s="85"/>
      <c r="X32" s="85"/>
      <c r="Y32" s="85"/>
      <c r="Z32" s="85"/>
      <c r="AA32" s="85"/>
      <c r="AB32" s="85"/>
      <c r="AC32" s="100"/>
      <c r="AD32" s="24" t="s">
        <v>200</v>
      </c>
    </row>
    <row r="33" spans="1:30" ht="20" customHeight="1" x14ac:dyDescent="0.2">
      <c r="A33" s="67"/>
      <c r="B33" s="24" t="s">
        <v>86</v>
      </c>
      <c r="C33" s="24" t="s">
        <v>69</v>
      </c>
      <c r="D33" s="24" t="s">
        <v>70</v>
      </c>
      <c r="E33" s="25">
        <v>2004</v>
      </c>
      <c r="F33" s="25">
        <v>61</v>
      </c>
      <c r="G33" s="112">
        <v>16</v>
      </c>
      <c r="H33" s="107" t="s">
        <v>201</v>
      </c>
      <c r="I33" s="108" t="s">
        <v>212</v>
      </c>
      <c r="J33" s="40"/>
      <c r="K33" s="85"/>
      <c r="L33" s="85"/>
      <c r="M33" s="85"/>
      <c r="N33" s="85"/>
      <c r="O33" s="85"/>
      <c r="P33" s="85"/>
      <c r="Q33" s="85"/>
      <c r="R33" s="85"/>
      <c r="S33" s="85"/>
      <c r="T33" s="85"/>
      <c r="U33" s="85"/>
      <c r="V33" s="85"/>
      <c r="W33" s="85"/>
      <c r="X33" s="85"/>
      <c r="Y33" s="85"/>
      <c r="Z33" s="85"/>
      <c r="AA33" s="85"/>
      <c r="AB33" s="85"/>
      <c r="AC33" s="100"/>
      <c r="AD33" s="24" t="s">
        <v>202</v>
      </c>
    </row>
    <row r="34" spans="1:30" ht="20" customHeight="1" x14ac:dyDescent="0.2">
      <c r="A34" s="67"/>
      <c r="B34" s="24" t="s">
        <v>86</v>
      </c>
      <c r="C34" s="24" t="s">
        <v>71</v>
      </c>
      <c r="D34" s="24" t="s">
        <v>70</v>
      </c>
      <c r="E34" s="25">
        <v>2004</v>
      </c>
      <c r="F34" s="25">
        <v>45</v>
      </c>
      <c r="G34" s="112">
        <v>16</v>
      </c>
      <c r="H34" s="107" t="s">
        <v>201</v>
      </c>
      <c r="I34" s="108" t="s">
        <v>212</v>
      </c>
      <c r="J34" s="40"/>
      <c r="K34" s="85"/>
      <c r="L34" s="85"/>
      <c r="M34" s="85"/>
      <c r="N34" s="85"/>
      <c r="O34" s="85"/>
      <c r="P34" s="85"/>
      <c r="Q34" s="85"/>
      <c r="R34" s="85"/>
      <c r="S34" s="85"/>
      <c r="T34" s="85"/>
      <c r="U34" s="85"/>
      <c r="V34" s="85"/>
      <c r="W34" s="85"/>
      <c r="X34" s="85"/>
      <c r="Y34" s="85"/>
      <c r="Z34" s="85"/>
      <c r="AA34" s="85"/>
      <c r="AB34" s="85"/>
      <c r="AC34" s="100"/>
      <c r="AD34" s="24" t="s">
        <v>196</v>
      </c>
    </row>
    <row r="35" spans="1:30" ht="20" customHeight="1" x14ac:dyDescent="0.2">
      <c r="A35" s="68"/>
      <c r="B35" s="24" t="s">
        <v>86</v>
      </c>
      <c r="C35" s="24" t="s">
        <v>72</v>
      </c>
      <c r="D35" s="24" t="s">
        <v>73</v>
      </c>
      <c r="E35" s="25">
        <v>2014</v>
      </c>
      <c r="F35" s="25">
        <v>23</v>
      </c>
      <c r="G35" s="112">
        <v>28</v>
      </c>
      <c r="H35" s="107" t="s">
        <v>203</v>
      </c>
      <c r="I35" s="108" t="s">
        <v>213</v>
      </c>
      <c r="J35" s="40"/>
      <c r="K35" s="85"/>
      <c r="L35" s="85"/>
      <c r="M35" s="85"/>
      <c r="N35" s="85"/>
      <c r="O35" s="85"/>
      <c r="P35" s="85"/>
      <c r="Q35" s="85"/>
      <c r="R35" s="85"/>
      <c r="S35" s="85"/>
      <c r="T35" s="85"/>
      <c r="U35" s="85"/>
      <c r="V35" s="85"/>
      <c r="W35" s="85"/>
      <c r="X35" s="85"/>
      <c r="Y35" s="85"/>
      <c r="Z35" s="85"/>
      <c r="AA35" s="85"/>
      <c r="AB35" s="85"/>
      <c r="AC35" s="100"/>
      <c r="AD35" s="24" t="s">
        <v>204</v>
      </c>
    </row>
    <row r="36" spans="1:30" ht="20" customHeight="1" x14ac:dyDescent="0.2">
      <c r="A36" s="67"/>
      <c r="B36" s="24" t="s">
        <v>35</v>
      </c>
      <c r="C36" s="24" t="s">
        <v>74</v>
      </c>
      <c r="D36" s="24" t="s">
        <v>75</v>
      </c>
      <c r="E36" s="25">
        <v>2015</v>
      </c>
      <c r="F36" s="25">
        <v>6</v>
      </c>
      <c r="G36" s="112"/>
      <c r="H36" s="107"/>
      <c r="I36" s="108"/>
      <c r="J36" s="40"/>
      <c r="K36" s="85"/>
      <c r="L36" s="85"/>
      <c r="M36" s="85"/>
      <c r="N36" s="85"/>
      <c r="O36" s="85"/>
      <c r="P36" s="85"/>
      <c r="Q36" s="85"/>
      <c r="R36" s="85"/>
      <c r="S36" s="85"/>
      <c r="T36" s="85"/>
      <c r="U36" s="85"/>
      <c r="V36" s="85"/>
      <c r="W36" s="85"/>
      <c r="X36" s="85"/>
      <c r="Y36" s="85"/>
      <c r="Z36" s="85"/>
      <c r="AA36" s="85"/>
      <c r="AB36" s="85"/>
      <c r="AC36" s="100"/>
    </row>
    <row r="37" spans="1:30" ht="20" customHeight="1" x14ac:dyDescent="0.2">
      <c r="A37" s="67"/>
      <c r="B37" s="24" t="s">
        <v>30</v>
      </c>
      <c r="C37" s="24" t="s">
        <v>76</v>
      </c>
      <c r="D37" s="24" t="s">
        <v>77</v>
      </c>
      <c r="E37" s="25">
        <v>2002</v>
      </c>
      <c r="F37" s="25">
        <v>434</v>
      </c>
      <c r="G37" s="112"/>
      <c r="H37" s="107" t="s">
        <v>205</v>
      </c>
      <c r="I37" s="108"/>
      <c r="J37" s="40"/>
      <c r="K37" s="85"/>
      <c r="L37" s="85"/>
      <c r="M37" s="85"/>
      <c r="N37" s="85"/>
      <c r="O37" s="31"/>
      <c r="P37" s="85"/>
      <c r="Q37" s="85"/>
      <c r="R37" s="85"/>
      <c r="S37" s="85"/>
      <c r="T37" s="85"/>
      <c r="U37" s="85"/>
      <c r="V37" s="85"/>
      <c r="W37" s="85"/>
      <c r="X37" s="85"/>
      <c r="Y37" s="85"/>
      <c r="Z37" s="85"/>
      <c r="AA37" s="85"/>
      <c r="AB37" s="85"/>
      <c r="AC37" s="100"/>
      <c r="AD37" s="24" t="s">
        <v>206</v>
      </c>
    </row>
    <row r="38" spans="1:30" ht="20" customHeight="1" x14ac:dyDescent="0.2">
      <c r="A38" s="68"/>
      <c r="B38" s="24" t="s">
        <v>86</v>
      </c>
      <c r="C38" s="24" t="s">
        <v>78</v>
      </c>
      <c r="D38" s="24" t="s">
        <v>79</v>
      </c>
      <c r="E38" s="25">
        <v>2009</v>
      </c>
      <c r="F38" s="25">
        <v>134</v>
      </c>
      <c r="G38" s="112">
        <v>94</v>
      </c>
      <c r="H38" s="107"/>
      <c r="I38" s="108"/>
      <c r="J38" s="40"/>
      <c r="K38" s="85"/>
      <c r="L38" s="85"/>
      <c r="M38" s="85"/>
      <c r="N38" s="85"/>
      <c r="O38" s="85"/>
      <c r="P38" s="85"/>
      <c r="Q38" s="85"/>
      <c r="R38" s="85"/>
      <c r="S38" s="85"/>
      <c r="T38" s="85"/>
      <c r="U38" s="85"/>
      <c r="V38" s="85"/>
      <c r="W38" s="85"/>
      <c r="X38" s="85"/>
      <c r="Y38" s="85"/>
      <c r="Z38" s="85"/>
      <c r="AA38" s="85"/>
      <c r="AB38" s="85"/>
      <c r="AC38" s="100"/>
      <c r="AD38" s="24" t="s">
        <v>207</v>
      </c>
    </row>
    <row r="39" spans="1:30" ht="20" customHeight="1" x14ac:dyDescent="0.2">
      <c r="A39" s="67"/>
      <c r="B39" s="24" t="s">
        <v>86</v>
      </c>
      <c r="C39" s="24" t="s">
        <v>80</v>
      </c>
      <c r="D39" s="24" t="s">
        <v>81</v>
      </c>
      <c r="E39" s="25">
        <v>2015</v>
      </c>
      <c r="F39" s="25">
        <v>10</v>
      </c>
      <c r="G39" s="112">
        <v>11</v>
      </c>
      <c r="H39" s="107" t="s">
        <v>215</v>
      </c>
      <c r="I39" s="108" t="s">
        <v>176</v>
      </c>
      <c r="J39" s="101"/>
      <c r="K39" s="31"/>
      <c r="L39" s="85"/>
      <c r="M39" s="85"/>
      <c r="N39" s="85"/>
      <c r="O39" s="85"/>
      <c r="P39" s="85"/>
      <c r="Q39" s="85"/>
      <c r="R39" s="85"/>
      <c r="S39" s="85"/>
      <c r="T39" s="85"/>
      <c r="U39" s="85"/>
      <c r="V39" s="85"/>
      <c r="W39" s="85"/>
      <c r="X39" s="85"/>
      <c r="Y39" s="85"/>
      <c r="Z39" s="85"/>
      <c r="AA39" s="85"/>
      <c r="AB39" s="85"/>
      <c r="AC39" s="100"/>
      <c r="AD39" s="24" t="s">
        <v>214</v>
      </c>
    </row>
    <row r="40" spans="1:30" ht="20" customHeight="1" x14ac:dyDescent="0.2">
      <c r="A40" s="68"/>
      <c r="B40" s="24" t="s">
        <v>86</v>
      </c>
      <c r="C40" s="24" t="s">
        <v>82</v>
      </c>
      <c r="D40" s="24" t="s">
        <v>83</v>
      </c>
      <c r="E40" s="25">
        <v>1994</v>
      </c>
      <c r="F40" s="25">
        <v>292</v>
      </c>
      <c r="G40" s="112">
        <v>15</v>
      </c>
      <c r="H40" s="107" t="s">
        <v>216</v>
      </c>
      <c r="I40" s="108"/>
      <c r="J40" s="40"/>
      <c r="K40" s="85"/>
      <c r="L40" s="85"/>
      <c r="M40" s="85"/>
      <c r="N40" s="85"/>
      <c r="O40" s="85"/>
      <c r="P40" s="85"/>
      <c r="Q40" s="85"/>
      <c r="R40" s="85"/>
      <c r="S40" s="85"/>
      <c r="T40" s="85"/>
      <c r="U40" s="85"/>
      <c r="V40" s="85"/>
      <c r="W40" s="85"/>
      <c r="X40" s="85"/>
      <c r="Y40" s="85"/>
      <c r="Z40" s="85"/>
      <c r="AA40" s="85"/>
      <c r="AB40" s="85"/>
      <c r="AC40" s="100"/>
      <c r="AD40" s="24" t="s">
        <v>217</v>
      </c>
    </row>
    <row r="41" spans="1:30" ht="20" customHeight="1" x14ac:dyDescent="0.2">
      <c r="A41" s="68"/>
      <c r="B41" s="24" t="s">
        <v>86</v>
      </c>
      <c r="C41" s="24" t="s">
        <v>84</v>
      </c>
      <c r="D41" s="24" t="s">
        <v>85</v>
      </c>
      <c r="E41" s="25">
        <v>2000</v>
      </c>
      <c r="F41" s="25">
        <v>146</v>
      </c>
      <c r="G41" s="112"/>
      <c r="H41" s="107"/>
      <c r="I41" s="108"/>
      <c r="J41" s="40"/>
      <c r="K41" s="85"/>
      <c r="L41" s="85"/>
      <c r="M41" s="85"/>
      <c r="N41" s="85"/>
      <c r="O41" s="85"/>
      <c r="P41" s="85"/>
      <c r="Q41" s="85"/>
      <c r="R41" s="85"/>
      <c r="S41" s="85"/>
      <c r="T41" s="85"/>
      <c r="U41" s="85"/>
      <c r="V41" s="85"/>
      <c r="W41" s="85"/>
      <c r="X41" s="85"/>
      <c r="Y41" s="85"/>
      <c r="Z41" s="85"/>
      <c r="AA41" s="85"/>
      <c r="AB41" s="85"/>
      <c r="AC41" s="100"/>
    </row>
    <row r="42" spans="1:30" ht="20" customHeight="1" x14ac:dyDescent="0.2">
      <c r="A42" s="68"/>
      <c r="B42" s="24" t="s">
        <v>35</v>
      </c>
      <c r="C42" s="24" t="s">
        <v>88</v>
      </c>
      <c r="D42" s="24" t="s">
        <v>89</v>
      </c>
      <c r="E42" s="25">
        <v>1996</v>
      </c>
      <c r="F42" s="25">
        <v>187</v>
      </c>
      <c r="G42" s="112">
        <v>100</v>
      </c>
      <c r="H42" s="107" t="s">
        <v>218</v>
      </c>
      <c r="I42" s="108"/>
      <c r="J42" s="40"/>
      <c r="K42" s="85"/>
      <c r="L42" s="85"/>
      <c r="M42" s="85"/>
      <c r="N42" s="85"/>
      <c r="O42" s="85"/>
      <c r="P42" s="85"/>
      <c r="Q42" s="85"/>
      <c r="R42" s="85"/>
      <c r="S42" s="85"/>
      <c r="T42" s="85"/>
      <c r="U42" s="85"/>
      <c r="V42" s="85"/>
      <c r="W42" s="85"/>
      <c r="X42" s="85"/>
      <c r="Y42" s="85"/>
      <c r="Z42" s="85"/>
      <c r="AA42" s="85"/>
      <c r="AB42" s="85"/>
      <c r="AC42" s="100"/>
      <c r="AD42" s="24" t="s">
        <v>219</v>
      </c>
    </row>
    <row r="43" spans="1:30" ht="20" customHeight="1" x14ac:dyDescent="0.2">
      <c r="A43" s="68"/>
      <c r="B43" s="24" t="s">
        <v>86</v>
      </c>
      <c r="C43" s="24" t="s">
        <v>90</v>
      </c>
      <c r="D43" s="24" t="s">
        <v>91</v>
      </c>
      <c r="E43" s="25">
        <v>2000</v>
      </c>
      <c r="F43" s="25">
        <v>79</v>
      </c>
      <c r="G43" s="112">
        <v>10</v>
      </c>
      <c r="H43" s="107" t="s">
        <v>174</v>
      </c>
      <c r="I43" s="108"/>
      <c r="J43" s="40"/>
      <c r="K43" s="85"/>
      <c r="L43" s="85"/>
      <c r="M43" s="85"/>
      <c r="N43" s="85"/>
      <c r="O43" s="85"/>
      <c r="P43" s="85"/>
      <c r="Q43" s="85"/>
      <c r="R43" s="85"/>
      <c r="S43" s="85"/>
      <c r="T43" s="85"/>
      <c r="U43" s="85"/>
      <c r="V43" s="85"/>
      <c r="W43" s="85"/>
      <c r="X43" s="85"/>
      <c r="Y43" s="85"/>
      <c r="Z43" s="85"/>
      <c r="AA43" s="85"/>
      <c r="AB43" s="85"/>
      <c r="AC43" s="100"/>
      <c r="AD43" s="24" t="s">
        <v>220</v>
      </c>
    </row>
    <row r="44" spans="1:30" ht="20" customHeight="1" x14ac:dyDescent="0.2">
      <c r="A44" s="68"/>
      <c r="B44" s="24" t="s">
        <v>86</v>
      </c>
      <c r="C44" s="24" t="s">
        <v>92</v>
      </c>
      <c r="D44" s="24" t="s">
        <v>93</v>
      </c>
      <c r="E44" s="25">
        <v>2001</v>
      </c>
      <c r="F44" s="25">
        <v>170</v>
      </c>
      <c r="G44" s="112">
        <v>22</v>
      </c>
      <c r="H44" s="107" t="s">
        <v>189</v>
      </c>
      <c r="I44" s="108" t="s">
        <v>176</v>
      </c>
      <c r="J44" s="40"/>
      <c r="K44" s="85"/>
      <c r="L44" s="85"/>
      <c r="M44" s="85"/>
      <c r="N44" s="85"/>
      <c r="O44" s="85"/>
      <c r="P44" s="85"/>
      <c r="Q44" s="85"/>
      <c r="R44" s="85"/>
      <c r="S44" s="85"/>
      <c r="T44" s="85"/>
      <c r="U44" s="85"/>
      <c r="V44" s="85"/>
      <c r="W44" s="85"/>
      <c r="X44" s="85"/>
      <c r="Y44" s="85"/>
      <c r="Z44" s="85"/>
      <c r="AA44" s="85"/>
      <c r="AB44" s="85"/>
      <c r="AC44" s="100"/>
      <c r="AD44" s="24" t="s">
        <v>196</v>
      </c>
    </row>
    <row r="45" spans="1:30" ht="20" customHeight="1" x14ac:dyDescent="0.2">
      <c r="A45" s="68"/>
      <c r="B45" s="24" t="s">
        <v>49</v>
      </c>
      <c r="C45" s="24" t="s">
        <v>94</v>
      </c>
      <c r="D45" s="24" t="s">
        <v>95</v>
      </c>
      <c r="E45" s="25">
        <v>2015</v>
      </c>
      <c r="F45" s="25">
        <v>22</v>
      </c>
      <c r="G45" s="112"/>
      <c r="H45" s="107"/>
      <c r="I45" s="108"/>
      <c r="J45" s="40"/>
      <c r="K45" s="85"/>
      <c r="L45" s="85"/>
      <c r="M45" s="85"/>
      <c r="N45" s="85"/>
      <c r="O45" s="85"/>
      <c r="P45" s="85"/>
      <c r="Q45" s="85"/>
      <c r="R45" s="85"/>
      <c r="S45" s="85"/>
      <c r="T45" s="85"/>
      <c r="U45" s="85"/>
      <c r="V45" s="85"/>
      <c r="W45" s="85"/>
      <c r="X45" s="85"/>
      <c r="Y45" s="85"/>
      <c r="Z45" s="85"/>
      <c r="AA45" s="85"/>
      <c r="AB45" s="85"/>
      <c r="AC45" s="100"/>
    </row>
    <row r="46" spans="1:30" ht="20" customHeight="1" x14ac:dyDescent="0.2">
      <c r="A46" s="68"/>
      <c r="B46" s="24" t="s">
        <v>49</v>
      </c>
      <c r="C46" s="24" t="s">
        <v>96</v>
      </c>
      <c r="D46" s="24" t="s">
        <v>97</v>
      </c>
      <c r="E46" s="25">
        <v>1996</v>
      </c>
      <c r="F46" s="25">
        <v>71</v>
      </c>
      <c r="G46" s="112"/>
      <c r="H46" s="107"/>
      <c r="I46" s="108"/>
      <c r="J46" s="40"/>
      <c r="K46" s="85"/>
      <c r="L46" s="85"/>
      <c r="M46" s="85"/>
      <c r="N46" s="85"/>
      <c r="O46" s="85"/>
      <c r="P46" s="85"/>
      <c r="Q46" s="85"/>
      <c r="R46" s="85"/>
      <c r="S46" s="85"/>
      <c r="T46" s="85"/>
      <c r="U46" s="85"/>
      <c r="V46" s="85"/>
      <c r="W46" s="85"/>
      <c r="X46" s="85"/>
      <c r="Y46" s="85"/>
      <c r="Z46" s="85"/>
      <c r="AA46" s="85"/>
      <c r="AB46" s="85"/>
      <c r="AC46" s="100"/>
    </row>
    <row r="47" spans="1:30" ht="20" customHeight="1" x14ac:dyDescent="0.2">
      <c r="A47" s="67"/>
      <c r="B47" s="24" t="s">
        <v>86</v>
      </c>
      <c r="C47" s="24" t="s">
        <v>98</v>
      </c>
      <c r="D47" s="24" t="s">
        <v>99</v>
      </c>
      <c r="E47" s="25">
        <v>2011</v>
      </c>
      <c r="F47" s="25">
        <v>74</v>
      </c>
      <c r="G47" s="112">
        <v>221</v>
      </c>
      <c r="H47" s="107"/>
      <c r="I47" s="108"/>
      <c r="J47" s="40"/>
      <c r="K47" s="85"/>
      <c r="L47" s="85"/>
      <c r="M47" s="85"/>
      <c r="N47" s="85"/>
      <c r="O47" s="85"/>
      <c r="P47" s="85"/>
      <c r="Q47" s="85"/>
      <c r="R47" s="85"/>
      <c r="S47" s="85"/>
      <c r="T47" s="85"/>
      <c r="U47" s="85"/>
      <c r="V47" s="85"/>
      <c r="W47" s="85"/>
      <c r="X47" s="85"/>
      <c r="Y47" s="85"/>
      <c r="Z47" s="85"/>
      <c r="AA47" s="85"/>
      <c r="AB47" s="85"/>
      <c r="AC47" s="100"/>
      <c r="AD47" s="24" t="s">
        <v>221</v>
      </c>
    </row>
    <row r="48" spans="1:30" ht="20" customHeight="1" x14ac:dyDescent="0.2">
      <c r="A48" s="67"/>
      <c r="B48" s="24" t="s">
        <v>86</v>
      </c>
      <c r="C48" s="24" t="s">
        <v>100</v>
      </c>
      <c r="D48" s="24" t="s">
        <v>101</v>
      </c>
      <c r="E48" s="25">
        <v>2002</v>
      </c>
      <c r="F48" s="25">
        <v>103</v>
      </c>
      <c r="G48" s="112">
        <v>8</v>
      </c>
      <c r="H48" s="107"/>
      <c r="I48" s="108"/>
      <c r="J48" s="40"/>
      <c r="K48" s="85"/>
      <c r="L48" s="85"/>
      <c r="M48" s="85"/>
      <c r="N48" s="85"/>
      <c r="O48" s="85"/>
      <c r="P48" s="85"/>
      <c r="Q48" s="85"/>
      <c r="R48" s="85"/>
      <c r="S48" s="85"/>
      <c r="T48" s="85"/>
      <c r="U48" s="85"/>
      <c r="V48" s="85"/>
      <c r="W48" s="85"/>
      <c r="X48" s="85"/>
      <c r="Y48" s="85"/>
      <c r="Z48" s="85"/>
      <c r="AA48" s="85"/>
      <c r="AB48" s="85"/>
      <c r="AC48" s="100"/>
      <c r="AD48" s="24" t="s">
        <v>222</v>
      </c>
    </row>
    <row r="49" spans="1:30" ht="20" customHeight="1" x14ac:dyDescent="0.2">
      <c r="A49" s="67"/>
      <c r="B49" s="24" t="s">
        <v>30</v>
      </c>
      <c r="C49" s="24" t="s">
        <v>102</v>
      </c>
      <c r="D49" s="24" t="s">
        <v>103</v>
      </c>
      <c r="E49" s="25">
        <v>2014</v>
      </c>
      <c r="F49" s="25">
        <v>30</v>
      </c>
      <c r="G49" s="112"/>
      <c r="H49" s="107"/>
      <c r="I49" s="108"/>
      <c r="J49" s="40">
        <v>2</v>
      </c>
      <c r="K49" s="85"/>
      <c r="L49" s="85"/>
      <c r="M49" s="31"/>
      <c r="N49" s="31"/>
      <c r="O49" s="85">
        <v>2</v>
      </c>
      <c r="P49" s="85"/>
      <c r="Q49" s="85"/>
      <c r="R49" s="85">
        <v>1</v>
      </c>
      <c r="S49" s="85"/>
      <c r="T49" s="85"/>
      <c r="U49" s="85"/>
      <c r="V49" s="85"/>
      <c r="W49" s="85"/>
      <c r="X49" s="85"/>
      <c r="Y49" s="85"/>
      <c r="Z49" s="85"/>
      <c r="AA49" s="85"/>
      <c r="AB49" s="85"/>
      <c r="AC49" s="100"/>
      <c r="AD49" s="24" t="s">
        <v>224</v>
      </c>
    </row>
    <row r="50" spans="1:30" ht="20" customHeight="1" x14ac:dyDescent="0.2">
      <c r="A50" s="67"/>
      <c r="B50" s="24" t="s">
        <v>86</v>
      </c>
      <c r="C50" s="24" t="s">
        <v>104</v>
      </c>
      <c r="D50" s="24" t="s">
        <v>105</v>
      </c>
      <c r="E50" s="25">
        <v>1996</v>
      </c>
      <c r="F50" s="25">
        <v>12</v>
      </c>
      <c r="G50" s="112">
        <v>97</v>
      </c>
      <c r="H50" s="107" t="s">
        <v>225</v>
      </c>
      <c r="I50" s="108" t="s">
        <v>226</v>
      </c>
      <c r="J50" s="40">
        <v>3</v>
      </c>
      <c r="K50" s="85">
        <v>6</v>
      </c>
      <c r="L50" s="85"/>
      <c r="M50" s="85">
        <v>4</v>
      </c>
      <c r="N50" s="85"/>
      <c r="O50" s="85"/>
      <c r="P50" s="85"/>
      <c r="Q50" s="85"/>
      <c r="R50" s="85"/>
      <c r="S50" s="85">
        <v>1</v>
      </c>
      <c r="T50" s="85"/>
      <c r="U50" s="85"/>
      <c r="V50" s="85">
        <v>1</v>
      </c>
      <c r="W50" s="85"/>
      <c r="X50" s="85"/>
      <c r="Y50" s="85"/>
      <c r="Z50" s="85"/>
      <c r="AA50" s="85"/>
      <c r="AB50" s="85"/>
      <c r="AC50" s="100">
        <v>16</v>
      </c>
      <c r="AD50" s="24" t="s">
        <v>231</v>
      </c>
    </row>
    <row r="51" spans="1:30" ht="20" customHeight="1" x14ac:dyDescent="0.2">
      <c r="A51" s="68"/>
      <c r="B51" s="24" t="s">
        <v>86</v>
      </c>
      <c r="C51" s="24" t="s">
        <v>106</v>
      </c>
      <c r="D51" s="24" t="s">
        <v>107</v>
      </c>
      <c r="E51" s="25">
        <v>1989</v>
      </c>
      <c r="F51" s="25">
        <v>27</v>
      </c>
      <c r="G51" s="112">
        <v>25</v>
      </c>
      <c r="H51" s="107" t="s">
        <v>232</v>
      </c>
      <c r="I51" s="108" t="s">
        <v>191</v>
      </c>
      <c r="J51" s="40"/>
      <c r="K51" s="85"/>
      <c r="L51" s="85"/>
      <c r="M51" s="85"/>
      <c r="N51" s="85"/>
      <c r="O51" s="85"/>
      <c r="P51" s="85"/>
      <c r="Q51" s="85"/>
      <c r="R51" s="85"/>
      <c r="S51" s="85"/>
      <c r="T51" s="85"/>
      <c r="U51" s="85"/>
      <c r="V51" s="85"/>
      <c r="W51" s="85"/>
      <c r="X51" s="85"/>
      <c r="Y51" s="85"/>
      <c r="Z51" s="85"/>
      <c r="AA51" s="85"/>
      <c r="AB51" s="85"/>
      <c r="AC51" s="100"/>
    </row>
    <row r="52" spans="1:30" ht="20" customHeight="1" x14ac:dyDescent="0.2">
      <c r="A52" s="67"/>
      <c r="B52" s="24" t="s">
        <v>86</v>
      </c>
      <c r="C52" s="24" t="s">
        <v>108</v>
      </c>
      <c r="D52" s="24" t="s">
        <v>109</v>
      </c>
      <c r="E52" s="25">
        <v>2008</v>
      </c>
      <c r="F52" s="25">
        <v>54</v>
      </c>
      <c r="G52" s="112">
        <v>30</v>
      </c>
      <c r="H52" s="107" t="s">
        <v>174</v>
      </c>
      <c r="I52" s="108" t="s">
        <v>233</v>
      </c>
      <c r="J52" s="40">
        <v>1</v>
      </c>
      <c r="K52" s="85"/>
      <c r="L52" s="85"/>
      <c r="M52" s="85"/>
      <c r="N52" s="85"/>
      <c r="O52" s="85"/>
      <c r="P52" s="85"/>
      <c r="Q52" s="85"/>
      <c r="R52" s="85"/>
      <c r="S52" s="85"/>
      <c r="T52" s="85"/>
      <c r="U52" s="85"/>
      <c r="V52" s="85"/>
      <c r="W52" s="85"/>
      <c r="X52" s="85">
        <v>1</v>
      </c>
      <c r="Y52" s="85"/>
      <c r="Z52" s="85"/>
      <c r="AA52" s="85"/>
      <c r="AB52" s="85"/>
      <c r="AC52" s="100"/>
    </row>
    <row r="53" spans="1:30" ht="20" customHeight="1" x14ac:dyDescent="0.2">
      <c r="A53" s="67"/>
      <c r="B53" s="24" t="s">
        <v>86</v>
      </c>
      <c r="C53" s="24" t="s">
        <v>110</v>
      </c>
      <c r="D53" s="24" t="s">
        <v>111</v>
      </c>
      <c r="E53" s="25">
        <v>1999</v>
      </c>
      <c r="F53" s="25">
        <v>76</v>
      </c>
      <c r="G53" s="112">
        <v>7</v>
      </c>
      <c r="H53" s="107" t="s">
        <v>189</v>
      </c>
      <c r="I53" s="108" t="s">
        <v>212</v>
      </c>
      <c r="J53" s="40"/>
      <c r="K53" s="85"/>
      <c r="L53" s="85"/>
      <c r="M53" s="85"/>
      <c r="N53" s="85"/>
      <c r="O53" s="85"/>
      <c r="P53" s="85"/>
      <c r="Q53" s="85"/>
      <c r="R53" s="85"/>
      <c r="S53" s="85"/>
      <c r="T53" s="85"/>
      <c r="U53" s="85"/>
      <c r="V53" s="85"/>
      <c r="W53" s="85"/>
      <c r="X53" s="85"/>
      <c r="Y53" s="85"/>
      <c r="Z53" s="85"/>
      <c r="AA53" s="85"/>
      <c r="AB53" s="85"/>
      <c r="AC53" s="100"/>
      <c r="AD53" s="24" t="s">
        <v>196</v>
      </c>
    </row>
    <row r="54" spans="1:30" ht="20" customHeight="1" x14ac:dyDescent="0.2">
      <c r="A54" s="68"/>
      <c r="B54" s="24" t="s">
        <v>86</v>
      </c>
      <c r="C54" s="24" t="s">
        <v>112</v>
      </c>
      <c r="D54" s="24" t="s">
        <v>113</v>
      </c>
      <c r="E54" s="25">
        <v>2008</v>
      </c>
      <c r="F54" s="25">
        <v>101</v>
      </c>
      <c r="G54" s="112">
        <v>16</v>
      </c>
      <c r="H54" s="107" t="s">
        <v>235</v>
      </c>
      <c r="I54" s="108"/>
      <c r="J54" s="40"/>
      <c r="K54" s="85"/>
      <c r="L54" s="85"/>
      <c r="M54" s="85"/>
      <c r="N54" s="85"/>
      <c r="O54" s="85"/>
      <c r="P54" s="85"/>
      <c r="Q54" s="85"/>
      <c r="R54" s="85"/>
      <c r="S54" s="85"/>
      <c r="T54" s="85"/>
      <c r="U54" s="85"/>
      <c r="V54" s="85"/>
      <c r="W54" s="85"/>
      <c r="X54" s="85"/>
      <c r="Y54" s="85"/>
      <c r="Z54" s="85"/>
      <c r="AA54" s="85"/>
      <c r="AB54" s="85"/>
      <c r="AC54" s="100"/>
    </row>
    <row r="55" spans="1:30" ht="20" customHeight="1" x14ac:dyDescent="0.2">
      <c r="A55" s="67"/>
      <c r="B55" s="24" t="s">
        <v>86</v>
      </c>
      <c r="C55" s="24" t="s">
        <v>114</v>
      </c>
      <c r="D55" s="24" t="s">
        <v>115</v>
      </c>
      <c r="E55" s="25">
        <v>1997</v>
      </c>
      <c r="F55" s="25">
        <v>127</v>
      </c>
      <c r="G55" s="112">
        <v>8</v>
      </c>
      <c r="H55" s="107" t="s">
        <v>236</v>
      </c>
      <c r="I55" s="108" t="s">
        <v>237</v>
      </c>
      <c r="J55" s="40"/>
      <c r="K55" s="85"/>
      <c r="L55" s="85"/>
      <c r="M55" s="85"/>
      <c r="N55" s="85"/>
      <c r="O55" s="85"/>
      <c r="P55" s="85"/>
      <c r="Q55" s="85"/>
      <c r="R55" s="85"/>
      <c r="S55" s="85"/>
      <c r="T55" s="85"/>
      <c r="U55" s="85"/>
      <c r="V55" s="85"/>
      <c r="W55" s="85"/>
      <c r="X55" s="85"/>
      <c r="Y55" s="85"/>
      <c r="Z55" s="85"/>
      <c r="AA55" s="85"/>
      <c r="AB55" s="85">
        <v>1</v>
      </c>
      <c r="AC55" s="100">
        <v>1</v>
      </c>
      <c r="AD55" s="24" t="s">
        <v>267</v>
      </c>
    </row>
    <row r="56" spans="1:30" ht="20" customHeight="1" x14ac:dyDescent="0.2">
      <c r="A56" s="67"/>
      <c r="B56" s="24" t="s">
        <v>86</v>
      </c>
      <c r="C56" s="24" t="s">
        <v>116</v>
      </c>
      <c r="D56" s="24" t="s">
        <v>117</v>
      </c>
      <c r="E56" s="25">
        <v>2001</v>
      </c>
      <c r="F56" s="25">
        <v>143</v>
      </c>
      <c r="G56" s="112">
        <v>6</v>
      </c>
      <c r="H56" s="107" t="s">
        <v>238</v>
      </c>
      <c r="I56" s="108" t="s">
        <v>213</v>
      </c>
      <c r="J56" s="40"/>
      <c r="K56" s="85"/>
      <c r="L56" s="85"/>
      <c r="M56" s="85"/>
      <c r="N56" s="85"/>
      <c r="O56" s="85"/>
      <c r="P56" s="85"/>
      <c r="Q56" s="85"/>
      <c r="R56" s="85"/>
      <c r="S56" s="85"/>
      <c r="T56" s="85"/>
      <c r="U56" s="85"/>
      <c r="V56" s="85"/>
      <c r="W56" s="85"/>
      <c r="X56" s="85"/>
      <c r="Y56" s="85"/>
      <c r="Z56" s="85"/>
      <c r="AA56" s="85"/>
      <c r="AB56" s="85"/>
      <c r="AC56" s="100"/>
      <c r="AD56" s="24" t="s">
        <v>239</v>
      </c>
    </row>
    <row r="57" spans="1:30" ht="20" customHeight="1" x14ac:dyDescent="0.2">
      <c r="A57" s="67"/>
      <c r="B57" s="24" t="s">
        <v>30</v>
      </c>
      <c r="C57" s="24" t="s">
        <v>118</v>
      </c>
      <c r="D57" s="24" t="s">
        <v>119</v>
      </c>
      <c r="E57" s="25">
        <v>2004</v>
      </c>
      <c r="F57" s="25">
        <v>100</v>
      </c>
      <c r="G57" s="112" t="s">
        <v>240</v>
      </c>
      <c r="H57" s="107" t="s">
        <v>241</v>
      </c>
      <c r="I57" s="108"/>
      <c r="J57" s="40"/>
      <c r="K57" s="85"/>
      <c r="L57" s="85"/>
      <c r="M57" s="85"/>
      <c r="N57" s="85"/>
      <c r="O57" s="85"/>
      <c r="P57" s="85"/>
      <c r="Q57" s="85"/>
      <c r="R57" s="85"/>
      <c r="S57" s="85"/>
      <c r="T57" s="85"/>
      <c r="U57" s="85"/>
      <c r="V57" s="85"/>
      <c r="W57" s="85"/>
      <c r="X57" s="85"/>
      <c r="Y57" s="85"/>
      <c r="Z57" s="85"/>
      <c r="AA57" s="85"/>
      <c r="AB57" s="85"/>
      <c r="AC57" s="100">
        <v>1</v>
      </c>
      <c r="AD57" s="24" t="s">
        <v>242</v>
      </c>
    </row>
    <row r="58" spans="1:30" ht="20" customHeight="1" x14ac:dyDescent="0.2">
      <c r="A58" s="67"/>
      <c r="B58" s="24" t="s">
        <v>86</v>
      </c>
      <c r="C58" s="24" t="s">
        <v>120</v>
      </c>
      <c r="D58" s="24" t="s">
        <v>121</v>
      </c>
      <c r="E58" s="25">
        <v>2003</v>
      </c>
      <c r="F58" s="25">
        <v>45</v>
      </c>
      <c r="G58" s="112">
        <v>16</v>
      </c>
      <c r="H58" s="107" t="s">
        <v>189</v>
      </c>
      <c r="I58" s="108" t="s">
        <v>243</v>
      </c>
      <c r="J58" s="40"/>
      <c r="K58" s="85"/>
      <c r="L58" s="85"/>
      <c r="M58" s="85"/>
      <c r="N58" s="85"/>
      <c r="O58" s="31"/>
      <c r="P58" s="85"/>
      <c r="Q58" s="85"/>
      <c r="R58" s="85"/>
      <c r="S58" s="85"/>
      <c r="T58" s="85"/>
      <c r="U58" s="85"/>
      <c r="V58" s="85"/>
      <c r="W58" s="85"/>
      <c r="X58" s="85"/>
      <c r="Y58" s="85"/>
      <c r="Z58" s="85"/>
      <c r="AA58" s="85"/>
      <c r="AB58" s="85"/>
      <c r="AC58" s="100"/>
      <c r="AD58" s="24" t="s">
        <v>244</v>
      </c>
    </row>
    <row r="59" spans="1:30" ht="20" customHeight="1" x14ac:dyDescent="0.2">
      <c r="A59" s="67"/>
      <c r="B59" s="24" t="s">
        <v>86</v>
      </c>
      <c r="C59" s="24" t="s">
        <v>122</v>
      </c>
      <c r="D59" s="24" t="s">
        <v>123</v>
      </c>
      <c r="E59" s="25">
        <v>2002</v>
      </c>
      <c r="F59" s="25">
        <v>73</v>
      </c>
      <c r="G59" s="112">
        <v>49</v>
      </c>
      <c r="H59" s="107" t="s">
        <v>218</v>
      </c>
      <c r="I59" s="108"/>
      <c r="J59" s="40"/>
      <c r="K59" s="85"/>
      <c r="L59" s="85"/>
      <c r="M59" s="85"/>
      <c r="N59" s="85"/>
      <c r="O59" s="85"/>
      <c r="P59" s="85"/>
      <c r="Q59" s="85"/>
      <c r="R59" s="85"/>
      <c r="S59" s="85"/>
      <c r="T59" s="85"/>
      <c r="U59" s="85"/>
      <c r="V59" s="85"/>
      <c r="W59" s="85"/>
      <c r="X59" s="85"/>
      <c r="Y59" s="85"/>
      <c r="Z59" s="85"/>
      <c r="AA59" s="85"/>
      <c r="AB59" s="85"/>
      <c r="AC59" s="100"/>
      <c r="AD59" s="24" t="s">
        <v>196</v>
      </c>
    </row>
    <row r="60" spans="1:30" ht="20" customHeight="1" x14ac:dyDescent="0.2">
      <c r="A60" s="68"/>
      <c r="B60" s="24" t="s">
        <v>35</v>
      </c>
      <c r="C60" s="24" t="s">
        <v>124</v>
      </c>
      <c r="D60" s="24" t="s">
        <v>125</v>
      </c>
      <c r="E60" s="25">
        <v>2007</v>
      </c>
      <c r="F60" s="25">
        <v>60</v>
      </c>
      <c r="G60" s="112"/>
      <c r="H60" s="107"/>
      <c r="I60" s="108"/>
      <c r="J60" s="40"/>
      <c r="K60" s="85"/>
      <c r="L60" s="85"/>
      <c r="M60" s="85"/>
      <c r="N60" s="85"/>
      <c r="O60" s="85"/>
      <c r="P60" s="85"/>
      <c r="Q60" s="85"/>
      <c r="R60" s="85"/>
      <c r="S60" s="85"/>
      <c r="T60" s="85"/>
      <c r="U60" s="85"/>
      <c r="V60" s="85"/>
      <c r="W60" s="85"/>
      <c r="X60" s="85"/>
      <c r="Y60" s="85"/>
      <c r="Z60" s="85"/>
      <c r="AA60" s="85"/>
      <c r="AB60" s="85"/>
      <c r="AC60" s="100"/>
      <c r="AD60" s="24" t="s">
        <v>245</v>
      </c>
    </row>
    <row r="61" spans="1:30" ht="20" customHeight="1" x14ac:dyDescent="0.2">
      <c r="A61" s="68"/>
      <c r="B61" s="24" t="s">
        <v>30</v>
      </c>
      <c r="C61" s="24" t="s">
        <v>126</v>
      </c>
      <c r="D61" s="24" t="s">
        <v>127</v>
      </c>
      <c r="E61" s="25">
        <v>2014</v>
      </c>
      <c r="G61" s="112"/>
      <c r="H61" s="107"/>
      <c r="I61" s="108"/>
      <c r="J61" s="40"/>
      <c r="K61" s="85"/>
      <c r="L61" s="85"/>
      <c r="M61" s="85"/>
      <c r="N61" s="85"/>
      <c r="O61" s="85"/>
      <c r="P61" s="85"/>
      <c r="Q61" s="85"/>
      <c r="R61" s="85"/>
      <c r="S61" s="85"/>
      <c r="T61" s="85"/>
      <c r="U61" s="85"/>
      <c r="V61" s="85"/>
      <c r="W61" s="85"/>
      <c r="X61" s="85"/>
      <c r="Y61" s="85"/>
      <c r="Z61" s="85"/>
      <c r="AA61" s="85"/>
      <c r="AB61" s="85"/>
      <c r="AC61" s="100"/>
    </row>
    <row r="62" spans="1:30" ht="20" customHeight="1" x14ac:dyDescent="0.2">
      <c r="A62" s="68"/>
      <c r="B62" s="24" t="s">
        <v>86</v>
      </c>
      <c r="C62" s="24" t="s">
        <v>128</v>
      </c>
      <c r="D62" s="24" t="s">
        <v>129</v>
      </c>
      <c r="E62" s="25">
        <v>2000</v>
      </c>
      <c r="F62" s="25">
        <v>252</v>
      </c>
      <c r="G62" s="112">
        <v>40</v>
      </c>
      <c r="H62" s="107" t="s">
        <v>246</v>
      </c>
      <c r="I62" s="108" t="s">
        <v>176</v>
      </c>
      <c r="J62" s="40"/>
      <c r="K62" s="85"/>
      <c r="L62" s="85"/>
      <c r="M62" s="85"/>
      <c r="N62" s="85"/>
      <c r="O62" s="85"/>
      <c r="P62" s="85"/>
      <c r="Q62" s="85"/>
      <c r="R62" s="85"/>
      <c r="S62" s="85"/>
      <c r="T62" s="85"/>
      <c r="U62" s="85"/>
      <c r="V62" s="85"/>
      <c r="W62" s="85"/>
      <c r="X62" s="85"/>
      <c r="Y62" s="85"/>
      <c r="Z62" s="85"/>
      <c r="AA62" s="85"/>
      <c r="AB62" s="85"/>
      <c r="AC62" s="100"/>
      <c r="AD62" s="24" t="s">
        <v>247</v>
      </c>
    </row>
    <row r="63" spans="1:30" ht="20" customHeight="1" x14ac:dyDescent="0.2">
      <c r="A63" s="67"/>
      <c r="B63" s="24" t="s">
        <v>30</v>
      </c>
      <c r="C63" s="24" t="s">
        <v>130</v>
      </c>
      <c r="D63" s="24" t="s">
        <v>131</v>
      </c>
      <c r="E63" s="25">
        <v>2009</v>
      </c>
      <c r="F63" s="25">
        <v>13</v>
      </c>
      <c r="G63" s="112"/>
      <c r="H63" s="107"/>
      <c r="I63" s="108"/>
      <c r="J63" s="40"/>
      <c r="K63" s="85"/>
      <c r="L63" s="85"/>
      <c r="M63" s="85"/>
      <c r="N63" s="85"/>
      <c r="O63" s="85"/>
      <c r="P63" s="85"/>
      <c r="Q63" s="85"/>
      <c r="R63" s="85"/>
      <c r="S63" s="85"/>
      <c r="T63" s="85"/>
      <c r="U63" s="85"/>
      <c r="V63" s="85"/>
      <c r="W63" s="85"/>
      <c r="X63" s="85"/>
      <c r="Y63" s="85"/>
      <c r="Z63" s="85"/>
      <c r="AA63" s="85"/>
      <c r="AB63" s="85"/>
      <c r="AC63" s="100"/>
    </row>
    <row r="64" spans="1:30" ht="20" customHeight="1" x14ac:dyDescent="0.2">
      <c r="A64" s="67"/>
      <c r="B64" s="24" t="s">
        <v>86</v>
      </c>
      <c r="C64" s="24" t="s">
        <v>132</v>
      </c>
      <c r="D64" s="24" t="s">
        <v>133</v>
      </c>
      <c r="E64" s="25">
        <v>1998</v>
      </c>
      <c r="F64" s="25">
        <v>213</v>
      </c>
      <c r="G64" s="112">
        <v>6</v>
      </c>
      <c r="H64" s="107" t="s">
        <v>189</v>
      </c>
      <c r="I64" s="108"/>
      <c r="J64" s="40"/>
      <c r="K64" s="85"/>
      <c r="L64" s="85"/>
      <c r="M64" s="85"/>
      <c r="N64" s="85"/>
      <c r="O64" s="85"/>
      <c r="P64" s="85"/>
      <c r="Q64" s="85"/>
      <c r="R64" s="85"/>
      <c r="S64" s="85"/>
      <c r="T64" s="85"/>
      <c r="U64" s="85"/>
      <c r="V64" s="85"/>
      <c r="W64" s="85"/>
      <c r="X64" s="85"/>
      <c r="Y64" s="85"/>
      <c r="Z64" s="85"/>
      <c r="AA64" s="31">
        <v>4</v>
      </c>
      <c r="AB64" s="85"/>
      <c r="AC64" s="100"/>
      <c r="AD64" s="24" t="s">
        <v>248</v>
      </c>
    </row>
    <row r="65" spans="1:30" ht="20" customHeight="1" x14ac:dyDescent="0.2">
      <c r="A65" s="68"/>
      <c r="B65" s="24" t="s">
        <v>86</v>
      </c>
      <c r="C65" s="24" t="s">
        <v>134</v>
      </c>
      <c r="D65" s="24" t="s">
        <v>135</v>
      </c>
      <c r="E65" s="25">
        <v>2001</v>
      </c>
      <c r="F65" s="25">
        <v>192</v>
      </c>
      <c r="G65" s="112">
        <v>40</v>
      </c>
      <c r="H65" s="107" t="s">
        <v>189</v>
      </c>
      <c r="I65" s="108" t="s">
        <v>176</v>
      </c>
      <c r="J65" s="40">
        <v>2</v>
      </c>
      <c r="K65" s="85"/>
      <c r="L65" s="85"/>
      <c r="M65" s="85"/>
      <c r="N65" s="85"/>
      <c r="O65" s="85"/>
      <c r="P65" s="85"/>
      <c r="Q65" s="85"/>
      <c r="R65" s="85"/>
      <c r="S65" s="85"/>
      <c r="T65" s="85"/>
      <c r="U65" s="85"/>
      <c r="V65" s="85"/>
      <c r="W65" s="85"/>
      <c r="X65" s="85"/>
      <c r="Y65" s="85"/>
      <c r="Z65" s="85"/>
      <c r="AA65" s="31">
        <v>1</v>
      </c>
      <c r="AB65" s="85"/>
      <c r="AC65" s="100"/>
      <c r="AD65" s="24" t="s">
        <v>249</v>
      </c>
    </row>
    <row r="66" spans="1:30" ht="20" customHeight="1" x14ac:dyDescent="0.2">
      <c r="A66" s="67"/>
      <c r="B66" s="24" t="s">
        <v>86</v>
      </c>
      <c r="C66" s="24" t="s">
        <v>154</v>
      </c>
      <c r="D66" s="24" t="s">
        <v>153</v>
      </c>
      <c r="E66" s="25">
        <v>1999</v>
      </c>
      <c r="F66" s="25">
        <v>9</v>
      </c>
      <c r="G66" s="112">
        <v>30</v>
      </c>
      <c r="H66" s="107" t="s">
        <v>250</v>
      </c>
      <c r="I66" s="108" t="s">
        <v>251</v>
      </c>
      <c r="J66" s="40"/>
      <c r="K66" s="85"/>
      <c r="L66" s="85"/>
      <c r="M66" s="85"/>
      <c r="N66" s="85"/>
      <c r="O66" s="85"/>
      <c r="P66" s="85"/>
      <c r="Q66" s="85"/>
      <c r="R66" s="85"/>
      <c r="S66" s="85"/>
      <c r="T66" s="85"/>
      <c r="U66" s="85"/>
      <c r="V66" s="85"/>
      <c r="W66" s="85"/>
      <c r="X66" s="85"/>
      <c r="Y66" s="85"/>
      <c r="Z66" s="85"/>
      <c r="AA66" s="85"/>
      <c r="AB66" s="85"/>
      <c r="AC66" s="102">
        <v>3</v>
      </c>
      <c r="AD66" s="24" t="s">
        <v>252</v>
      </c>
    </row>
    <row r="67" spans="1:30" ht="20" customHeight="1" x14ac:dyDescent="0.2">
      <c r="A67" s="68"/>
      <c r="B67" s="24" t="s">
        <v>86</v>
      </c>
      <c r="C67" s="24" t="s">
        <v>136</v>
      </c>
      <c r="D67" s="24" t="s">
        <v>137</v>
      </c>
      <c r="E67" s="25">
        <v>2007</v>
      </c>
      <c r="F67" s="25">
        <v>240</v>
      </c>
      <c r="G67" s="112">
        <v>105</v>
      </c>
      <c r="H67" s="107" t="s">
        <v>253</v>
      </c>
      <c r="I67" s="108" t="s">
        <v>176</v>
      </c>
      <c r="J67" s="40"/>
      <c r="K67" s="85"/>
      <c r="L67" s="85"/>
      <c r="M67" s="85"/>
      <c r="N67" s="85"/>
      <c r="O67" s="85"/>
      <c r="P67" s="85"/>
      <c r="Q67" s="85"/>
      <c r="R67" s="85"/>
      <c r="S67" s="85"/>
      <c r="T67" s="85"/>
      <c r="U67" s="85"/>
      <c r="V67" s="85"/>
      <c r="W67" s="85"/>
      <c r="X67" s="85"/>
      <c r="Y67" s="85"/>
      <c r="Z67" s="85"/>
      <c r="AA67" s="85"/>
      <c r="AB67" s="85"/>
      <c r="AC67" s="100"/>
      <c r="AD67" s="24" t="s">
        <v>254</v>
      </c>
    </row>
    <row r="68" spans="1:30" ht="20" customHeight="1" x14ac:dyDescent="0.2">
      <c r="A68" s="67"/>
      <c r="B68" s="24" t="s">
        <v>86</v>
      </c>
      <c r="C68" s="24" t="s">
        <v>138</v>
      </c>
      <c r="D68" s="24" t="s">
        <v>139</v>
      </c>
      <c r="E68" s="25">
        <v>2011</v>
      </c>
      <c r="F68" s="25">
        <v>42</v>
      </c>
      <c r="G68" s="112">
        <v>51</v>
      </c>
      <c r="H68" s="107" t="s">
        <v>255</v>
      </c>
      <c r="I68" s="108" t="s">
        <v>256</v>
      </c>
      <c r="J68" s="101">
        <v>21</v>
      </c>
      <c r="K68" s="85"/>
      <c r="L68" s="31">
        <v>1</v>
      </c>
      <c r="M68" s="85"/>
      <c r="N68" s="85"/>
      <c r="O68" s="85"/>
      <c r="P68" s="85"/>
      <c r="Q68" s="85"/>
      <c r="R68" s="85"/>
      <c r="S68" s="85"/>
      <c r="T68" s="85"/>
      <c r="U68" s="85"/>
      <c r="V68" s="85"/>
      <c r="W68" s="85"/>
      <c r="X68" s="85"/>
      <c r="Y68" s="85"/>
      <c r="Z68" s="85"/>
      <c r="AA68" s="85"/>
      <c r="AB68" s="31" t="s">
        <v>257</v>
      </c>
      <c r="AC68" s="102">
        <v>4</v>
      </c>
      <c r="AD68" s="24" t="s">
        <v>258</v>
      </c>
    </row>
    <row r="69" spans="1:30" ht="20" customHeight="1" x14ac:dyDescent="0.2">
      <c r="A69" s="67"/>
      <c r="B69" s="24" t="s">
        <v>30</v>
      </c>
      <c r="C69" s="24" t="s">
        <v>140</v>
      </c>
      <c r="D69" s="24" t="s">
        <v>141</v>
      </c>
      <c r="E69" s="25">
        <v>2005</v>
      </c>
      <c r="F69" s="25">
        <v>21</v>
      </c>
      <c r="G69" s="112"/>
      <c r="H69" s="107" t="s">
        <v>259</v>
      </c>
      <c r="I69" s="108"/>
      <c r="J69" s="40"/>
      <c r="K69" s="85"/>
      <c r="L69" s="85"/>
      <c r="M69" s="85"/>
      <c r="N69" s="85"/>
      <c r="O69" s="85"/>
      <c r="P69" s="85"/>
      <c r="Q69" s="85"/>
      <c r="R69" s="85"/>
      <c r="S69" s="85"/>
      <c r="T69" s="85"/>
      <c r="U69" s="85"/>
      <c r="V69" s="31">
        <v>5</v>
      </c>
      <c r="W69" s="85"/>
      <c r="X69" s="85"/>
      <c r="Y69" s="85"/>
      <c r="Z69" s="85"/>
      <c r="AA69" s="31">
        <v>5</v>
      </c>
      <c r="AB69" s="85"/>
      <c r="AC69" s="102">
        <v>16</v>
      </c>
      <c r="AD69" s="24" t="s">
        <v>260</v>
      </c>
    </row>
    <row r="70" spans="1:30" ht="20" customHeight="1" x14ac:dyDescent="0.2">
      <c r="A70" s="68"/>
      <c r="B70" s="24" t="s">
        <v>35</v>
      </c>
      <c r="C70" s="24" t="s">
        <v>142</v>
      </c>
      <c r="D70" s="24" t="s">
        <v>143</v>
      </c>
      <c r="E70" s="25">
        <v>2015</v>
      </c>
      <c r="F70" s="25">
        <v>1</v>
      </c>
      <c r="G70" s="112">
        <v>119</v>
      </c>
      <c r="H70" s="107"/>
      <c r="I70" s="108"/>
      <c r="J70" s="40"/>
      <c r="K70" s="85"/>
      <c r="L70" s="85"/>
      <c r="M70" s="85"/>
      <c r="N70" s="85"/>
      <c r="O70" s="85"/>
      <c r="P70" s="85"/>
      <c r="Q70" s="85"/>
      <c r="R70" s="85"/>
      <c r="S70" s="85"/>
      <c r="T70" s="85"/>
      <c r="U70" s="85"/>
      <c r="V70" s="85"/>
      <c r="W70" s="85"/>
      <c r="X70" s="85"/>
      <c r="Y70" s="85"/>
      <c r="Z70" s="85"/>
      <c r="AA70" s="85"/>
      <c r="AB70" s="85"/>
      <c r="AC70" s="100"/>
      <c r="AD70" s="24" t="s">
        <v>261</v>
      </c>
    </row>
    <row r="71" spans="1:30" ht="20" customHeight="1" x14ac:dyDescent="0.2">
      <c r="A71" s="68"/>
      <c r="B71" s="24" t="s">
        <v>86</v>
      </c>
      <c r="C71" s="24" t="s">
        <v>144</v>
      </c>
      <c r="D71" s="24" t="s">
        <v>145</v>
      </c>
      <c r="E71" s="25">
        <v>2008</v>
      </c>
      <c r="F71" s="25">
        <v>156</v>
      </c>
      <c r="G71" s="112">
        <v>51</v>
      </c>
      <c r="H71" s="107"/>
      <c r="I71" s="108"/>
      <c r="J71" s="40"/>
      <c r="K71" s="85"/>
      <c r="L71" s="85"/>
      <c r="M71" s="85"/>
      <c r="N71" s="85"/>
      <c r="O71" s="85"/>
      <c r="P71" s="85"/>
      <c r="Q71" s="85"/>
      <c r="R71" s="85"/>
      <c r="S71" s="85"/>
      <c r="T71" s="85"/>
      <c r="U71" s="85"/>
      <c r="V71" s="85"/>
      <c r="W71" s="85"/>
      <c r="X71" s="85"/>
      <c r="Y71" s="85"/>
      <c r="Z71" s="85"/>
      <c r="AA71" s="85"/>
      <c r="AB71" s="85"/>
      <c r="AC71" s="100"/>
      <c r="AD71" s="24" t="s">
        <v>262</v>
      </c>
    </row>
    <row r="72" spans="1:30" ht="20" customHeight="1" x14ac:dyDescent="0.2">
      <c r="A72" s="68"/>
      <c r="B72" s="24" t="s">
        <v>49</v>
      </c>
      <c r="C72" s="24" t="s">
        <v>146</v>
      </c>
      <c r="D72" s="24" t="s">
        <v>147</v>
      </c>
      <c r="E72" s="25">
        <v>1997</v>
      </c>
      <c r="F72" s="25">
        <v>47</v>
      </c>
      <c r="G72" s="112"/>
      <c r="H72" s="107"/>
      <c r="I72" s="108"/>
      <c r="J72" s="40"/>
      <c r="K72" s="85"/>
      <c r="L72" s="85"/>
      <c r="M72" s="85"/>
      <c r="N72" s="85"/>
      <c r="O72" s="85"/>
      <c r="P72" s="85"/>
      <c r="Q72" s="85"/>
      <c r="R72" s="85"/>
      <c r="S72" s="85"/>
      <c r="T72" s="85"/>
      <c r="U72" s="85"/>
      <c r="V72" s="85"/>
      <c r="W72" s="85"/>
      <c r="X72" s="85"/>
      <c r="Y72" s="85"/>
      <c r="Z72" s="85"/>
      <c r="AA72" s="85"/>
      <c r="AB72" s="85"/>
      <c r="AC72" s="100"/>
      <c r="AD72" s="24" t="s">
        <v>263</v>
      </c>
    </row>
    <row r="73" spans="1:30" ht="20" customHeight="1" thickBot="1" x14ac:dyDescent="0.25">
      <c r="A73" s="68"/>
      <c r="B73" s="24" t="s">
        <v>86</v>
      </c>
      <c r="C73" s="24" t="s">
        <v>150</v>
      </c>
      <c r="D73" s="24" t="s">
        <v>151</v>
      </c>
      <c r="E73" s="25">
        <v>2011</v>
      </c>
      <c r="F73" s="25">
        <v>112</v>
      </c>
      <c r="G73" s="113">
        <v>22</v>
      </c>
      <c r="H73" s="109" t="s">
        <v>246</v>
      </c>
      <c r="I73" s="110" t="s">
        <v>213</v>
      </c>
      <c r="J73" s="41"/>
      <c r="K73" s="103"/>
      <c r="L73" s="103"/>
      <c r="M73" s="103"/>
      <c r="N73" s="103"/>
      <c r="O73" s="103"/>
      <c r="P73" s="103"/>
      <c r="Q73" s="103"/>
      <c r="R73" s="103"/>
      <c r="S73" s="103"/>
      <c r="T73" s="103"/>
      <c r="U73" s="103"/>
      <c r="V73" s="103"/>
      <c r="W73" s="103"/>
      <c r="X73" s="103"/>
      <c r="Y73" s="103"/>
      <c r="Z73" s="103"/>
      <c r="AA73" s="103"/>
      <c r="AB73" s="103"/>
      <c r="AC73" s="104"/>
      <c r="AD73" s="24" t="s">
        <v>264</v>
      </c>
    </row>
    <row r="75" spans="1:30" ht="17" thickBot="1" x14ac:dyDescent="0.25"/>
    <row r="76" spans="1:30" ht="18" customHeight="1" thickBot="1" x14ac:dyDescent="0.25">
      <c r="F76" s="270" t="s">
        <v>440</v>
      </c>
      <c r="G76" s="271"/>
      <c r="H76" s="271"/>
      <c r="I76" s="272"/>
      <c r="J76" s="120">
        <f>IF(SUM(J10:J73) &lt;&gt; 0, SUM(J10:J73), "")</f>
        <v>31</v>
      </c>
      <c r="K76" s="121">
        <f t="shared" ref="K76:AB76" si="0">IF(SUM(K10:K73) &lt;&gt; 0, SUM(K10:K73), "")</f>
        <v>6</v>
      </c>
      <c r="L76" s="121">
        <f t="shared" si="0"/>
        <v>1</v>
      </c>
      <c r="M76" s="121">
        <f t="shared" si="0"/>
        <v>4</v>
      </c>
      <c r="N76" s="121" t="str">
        <f t="shared" si="0"/>
        <v/>
      </c>
      <c r="O76" s="121">
        <f t="shared" si="0"/>
        <v>5</v>
      </c>
      <c r="P76" s="121">
        <f t="shared" si="0"/>
        <v>2</v>
      </c>
      <c r="Q76" s="121">
        <f t="shared" si="0"/>
        <v>1</v>
      </c>
      <c r="R76" s="121">
        <f t="shared" si="0"/>
        <v>3</v>
      </c>
      <c r="S76" s="121">
        <f t="shared" si="0"/>
        <v>1</v>
      </c>
      <c r="T76" s="121">
        <f t="shared" si="0"/>
        <v>5</v>
      </c>
      <c r="U76" s="121">
        <f t="shared" si="0"/>
        <v>1</v>
      </c>
      <c r="V76" s="121">
        <f t="shared" si="0"/>
        <v>6</v>
      </c>
      <c r="W76" s="121">
        <f t="shared" si="0"/>
        <v>1</v>
      </c>
      <c r="X76" s="121">
        <f t="shared" si="0"/>
        <v>1</v>
      </c>
      <c r="Y76" s="121">
        <f t="shared" si="0"/>
        <v>1</v>
      </c>
      <c r="Z76" s="121">
        <f t="shared" si="0"/>
        <v>2</v>
      </c>
      <c r="AA76" s="121">
        <f t="shared" si="0"/>
        <v>10</v>
      </c>
      <c r="AB76" s="121">
        <f t="shared" si="0"/>
        <v>1</v>
      </c>
      <c r="AC76" s="122">
        <f>IF(SUM(AC10:AC73) &lt;&gt; 0, SUM(AC10:AC73), "")</f>
        <v>41</v>
      </c>
    </row>
    <row r="77" spans="1:30" ht="18" customHeight="1" x14ac:dyDescent="0.2">
      <c r="F77" s="117"/>
      <c r="G77" s="87"/>
      <c r="H77" s="32"/>
      <c r="I77" s="115"/>
      <c r="J77" s="280" t="s">
        <v>161</v>
      </c>
      <c r="K77" s="250" t="s">
        <v>229</v>
      </c>
      <c r="L77" s="250" t="s">
        <v>163</v>
      </c>
      <c r="M77" s="250" t="s">
        <v>162</v>
      </c>
      <c r="N77" s="250" t="s">
        <v>223</v>
      </c>
      <c r="O77" s="250" t="s">
        <v>169</v>
      </c>
      <c r="P77" s="247" t="s">
        <v>185</v>
      </c>
      <c r="Q77" s="268" t="s">
        <v>186</v>
      </c>
      <c r="R77" s="247" t="s">
        <v>173</v>
      </c>
      <c r="S77" s="250" t="s">
        <v>228</v>
      </c>
      <c r="T77" s="250" t="s">
        <v>182</v>
      </c>
      <c r="U77" s="250" t="s">
        <v>183</v>
      </c>
      <c r="V77" s="250" t="s">
        <v>227</v>
      </c>
      <c r="W77" s="250" t="s">
        <v>168</v>
      </c>
      <c r="X77" s="247" t="s">
        <v>234</v>
      </c>
      <c r="Y77" s="250" t="s">
        <v>187</v>
      </c>
      <c r="Z77" s="250" t="s">
        <v>184</v>
      </c>
      <c r="AA77" s="250" t="s">
        <v>164</v>
      </c>
      <c r="AB77" s="263" t="s">
        <v>165</v>
      </c>
      <c r="AC77" s="265" t="s">
        <v>230</v>
      </c>
    </row>
    <row r="78" spans="1:30" ht="18" customHeight="1" x14ac:dyDescent="0.2">
      <c r="F78" s="118"/>
      <c r="G78" s="87"/>
      <c r="H78" s="32"/>
      <c r="I78" s="115"/>
      <c r="J78" s="281"/>
      <c r="K78" s="248"/>
      <c r="L78" s="248"/>
      <c r="M78" s="248"/>
      <c r="N78" s="248"/>
      <c r="O78" s="248"/>
      <c r="P78" s="255"/>
      <c r="Q78" s="268"/>
      <c r="R78" s="255"/>
      <c r="S78" s="248"/>
      <c r="T78" s="248"/>
      <c r="U78" s="248"/>
      <c r="V78" s="248"/>
      <c r="W78" s="248"/>
      <c r="X78" s="248"/>
      <c r="Y78" s="248"/>
      <c r="Z78" s="248"/>
      <c r="AA78" s="248"/>
      <c r="AB78" s="263"/>
      <c r="AC78" s="266"/>
    </row>
    <row r="79" spans="1:30" ht="18" customHeight="1" x14ac:dyDescent="0.2">
      <c r="F79" s="118"/>
      <c r="G79" s="87"/>
      <c r="H79" s="32"/>
      <c r="I79" s="115"/>
      <c r="J79" s="281"/>
      <c r="K79" s="248"/>
      <c r="L79" s="248"/>
      <c r="M79" s="248"/>
      <c r="N79" s="248"/>
      <c r="O79" s="248"/>
      <c r="P79" s="255"/>
      <c r="Q79" s="268"/>
      <c r="R79" s="255"/>
      <c r="S79" s="248"/>
      <c r="T79" s="248"/>
      <c r="U79" s="248"/>
      <c r="V79" s="248"/>
      <c r="W79" s="248"/>
      <c r="X79" s="248"/>
      <c r="Y79" s="248"/>
      <c r="Z79" s="248"/>
      <c r="AA79" s="248"/>
      <c r="AB79" s="263"/>
      <c r="AC79" s="266"/>
    </row>
    <row r="80" spans="1:30" ht="18" customHeight="1" x14ac:dyDescent="0.2">
      <c r="F80" s="118"/>
      <c r="G80" s="87"/>
      <c r="H80" s="32"/>
      <c r="I80" s="115"/>
      <c r="J80" s="281"/>
      <c r="K80" s="248"/>
      <c r="L80" s="248"/>
      <c r="M80" s="248"/>
      <c r="N80" s="248"/>
      <c r="O80" s="248"/>
      <c r="P80" s="255"/>
      <c r="Q80" s="268"/>
      <c r="R80" s="255"/>
      <c r="S80" s="248"/>
      <c r="T80" s="248"/>
      <c r="U80" s="248"/>
      <c r="V80" s="248"/>
      <c r="W80" s="248"/>
      <c r="X80" s="248"/>
      <c r="Y80" s="248"/>
      <c r="Z80" s="248"/>
      <c r="AA80" s="248"/>
      <c r="AB80" s="263"/>
      <c r="AC80" s="266"/>
    </row>
    <row r="81" spans="6:29" ht="18" customHeight="1" thickBot="1" x14ac:dyDescent="0.25">
      <c r="F81" s="118"/>
      <c r="G81" s="87"/>
      <c r="H81" s="32"/>
      <c r="I81" s="115"/>
      <c r="J81" s="282"/>
      <c r="K81" s="251"/>
      <c r="L81" s="251"/>
      <c r="M81" s="251"/>
      <c r="N81" s="251"/>
      <c r="O81" s="251"/>
      <c r="P81" s="279"/>
      <c r="Q81" s="268"/>
      <c r="R81" s="279"/>
      <c r="S81" s="251"/>
      <c r="T81" s="251"/>
      <c r="U81" s="251"/>
      <c r="V81" s="251"/>
      <c r="W81" s="251"/>
      <c r="X81" s="251"/>
      <c r="Y81" s="251"/>
      <c r="Z81" s="251"/>
      <c r="AA81" s="251"/>
      <c r="AB81" s="263"/>
      <c r="AC81" s="283"/>
    </row>
    <row r="82" spans="6:29" ht="18" customHeight="1" thickBot="1" x14ac:dyDescent="0.25">
      <c r="F82" s="119"/>
      <c r="G82" s="88"/>
      <c r="H82" s="114"/>
      <c r="I82" s="116"/>
      <c r="J82" s="258" t="s">
        <v>167</v>
      </c>
      <c r="K82" s="258"/>
      <c r="L82" s="258"/>
      <c r="M82" s="258"/>
      <c r="N82" s="258"/>
      <c r="O82" s="258"/>
      <c r="P82" s="258"/>
      <c r="Q82" s="258"/>
      <c r="R82" s="258"/>
      <c r="S82" s="258"/>
      <c r="T82" s="258"/>
      <c r="U82" s="258"/>
      <c r="V82" s="258"/>
      <c r="W82" s="258"/>
      <c r="X82" s="258"/>
      <c r="Y82" s="258"/>
      <c r="Z82" s="258"/>
      <c r="AA82" s="258"/>
      <c r="AB82" s="258"/>
      <c r="AC82" s="259"/>
    </row>
  </sheetData>
  <mergeCells count="50">
    <mergeCell ref="J82:AC82"/>
    <mergeCell ref="N77:N81"/>
    <mergeCell ref="O77:O81"/>
    <mergeCell ref="P77:P81"/>
    <mergeCell ref="Q77:Q81"/>
    <mergeCell ref="R77:R81"/>
    <mergeCell ref="S77:S81"/>
    <mergeCell ref="T77:T81"/>
    <mergeCell ref="J77:J81"/>
    <mergeCell ref="K77:K81"/>
    <mergeCell ref="L77:L81"/>
    <mergeCell ref="M77:M81"/>
    <mergeCell ref="AC77:AC81"/>
    <mergeCell ref="Z77:Z81"/>
    <mergeCell ref="AB77:AB81"/>
    <mergeCell ref="F76:I76"/>
    <mergeCell ref="F5:F9"/>
    <mergeCell ref="G5:G9"/>
    <mergeCell ref="H5:H9"/>
    <mergeCell ref="L5:L9"/>
    <mergeCell ref="M5:M9"/>
    <mergeCell ref="Q5:Q9"/>
    <mergeCell ref="Y5:Y9"/>
    <mergeCell ref="V77:V81"/>
    <mergeCell ref="N5:N9"/>
    <mergeCell ref="X77:X81"/>
    <mergeCell ref="Y77:Y81"/>
    <mergeCell ref="U77:U81"/>
    <mergeCell ref="W77:W81"/>
    <mergeCell ref="AC5:AC9"/>
    <mergeCell ref="V5:V9"/>
    <mergeCell ref="S5:S9"/>
    <mergeCell ref="W5:W9"/>
    <mergeCell ref="AA5:AA9"/>
    <mergeCell ref="C2:C3"/>
    <mergeCell ref="C4:C7"/>
    <mergeCell ref="A6:A9"/>
    <mergeCell ref="X5:X9"/>
    <mergeCell ref="AA77:AA81"/>
    <mergeCell ref="I5:I9"/>
    <mergeCell ref="T5:T9"/>
    <mergeCell ref="U5:U9"/>
    <mergeCell ref="Z5:Z9"/>
    <mergeCell ref="P5:P9"/>
    <mergeCell ref="J4:AC4"/>
    <mergeCell ref="J5:J9"/>
    <mergeCell ref="O5:O9"/>
    <mergeCell ref="R5:R9"/>
    <mergeCell ref="K5:K9"/>
    <mergeCell ref="AB5:AB9"/>
  </mergeCells>
  <pageMargins left="0.7" right="0.7" top="0.75" bottom="0.75" header="0.3" footer="0.3"/>
  <ignoredErrors>
    <ignoredError sqref="H18 H21 H51:H54 H43:H44 H39 H35 H25 H28"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3:F68"/>
  <sheetViews>
    <sheetView showRuler="0" workbookViewId="0"/>
  </sheetViews>
  <sheetFormatPr baseColWidth="10" defaultRowHeight="20" customHeight="1" x14ac:dyDescent="0.2"/>
  <cols>
    <col min="1" max="1" width="14.1640625" style="24" customWidth="1"/>
    <col min="2" max="2" width="75.83203125" style="24" customWidth="1"/>
    <col min="3" max="3" width="22.6640625" style="24" customWidth="1"/>
    <col min="4" max="5" width="10.83203125" style="25"/>
    <col min="6" max="6" width="73.5" style="24" customWidth="1"/>
    <col min="7" max="16384" width="10.83203125" style="24"/>
  </cols>
  <sheetData>
    <row r="3" spans="1:6" s="23" customFormat="1" ht="20" customHeight="1" thickBot="1" x14ac:dyDescent="0.25">
      <c r="A3" s="21" t="s">
        <v>20</v>
      </c>
      <c r="B3" s="21" t="s">
        <v>21</v>
      </c>
      <c r="C3" s="21" t="s">
        <v>22</v>
      </c>
      <c r="D3" s="22" t="s">
        <v>23</v>
      </c>
      <c r="E3" s="22" t="s">
        <v>24</v>
      </c>
      <c r="F3" s="21" t="s">
        <v>25</v>
      </c>
    </row>
    <row r="4" spans="1:6" ht="20" customHeight="1" x14ac:dyDescent="0.2">
      <c r="A4" s="24" t="s">
        <v>86</v>
      </c>
      <c r="B4" s="24" t="s">
        <v>26</v>
      </c>
      <c r="C4" s="24" t="s">
        <v>27</v>
      </c>
      <c r="D4" s="25">
        <v>2008</v>
      </c>
      <c r="E4" s="25">
        <v>165</v>
      </c>
    </row>
    <row r="5" spans="1:6" ht="20" customHeight="1" x14ac:dyDescent="0.2">
      <c r="A5" s="24" t="s">
        <v>30</v>
      </c>
      <c r="B5" s="24" t="s">
        <v>28</v>
      </c>
      <c r="C5" s="24" t="s">
        <v>29</v>
      </c>
      <c r="D5" s="25">
        <v>2016</v>
      </c>
      <c r="E5" s="25">
        <v>22</v>
      </c>
    </row>
    <row r="6" spans="1:6" ht="20" customHeight="1" x14ac:dyDescent="0.2">
      <c r="B6" s="24" t="s">
        <v>159</v>
      </c>
      <c r="C6" s="24" t="s">
        <v>160</v>
      </c>
      <c r="D6" s="25">
        <v>1997</v>
      </c>
    </row>
    <row r="7" spans="1:6" ht="20" customHeight="1" x14ac:dyDescent="0.2">
      <c r="A7" s="24" t="s">
        <v>30</v>
      </c>
      <c r="B7" s="24" t="s">
        <v>31</v>
      </c>
      <c r="C7" s="24" t="s">
        <v>32</v>
      </c>
      <c r="D7" s="25">
        <v>2004</v>
      </c>
      <c r="E7" s="25">
        <v>21</v>
      </c>
    </row>
    <row r="8" spans="1:6" ht="20" customHeight="1" x14ac:dyDescent="0.2">
      <c r="A8" s="24" t="s">
        <v>35</v>
      </c>
      <c r="B8" s="24" t="s">
        <v>33</v>
      </c>
      <c r="C8" s="24" t="s">
        <v>34</v>
      </c>
      <c r="D8" s="25">
        <v>2003</v>
      </c>
      <c r="E8" s="25">
        <v>291</v>
      </c>
    </row>
    <row r="9" spans="1:6" ht="20" customHeight="1" x14ac:dyDescent="0.2">
      <c r="A9" s="24" t="s">
        <v>86</v>
      </c>
      <c r="B9" s="24" t="s">
        <v>36</v>
      </c>
      <c r="C9" s="24" t="s">
        <v>37</v>
      </c>
      <c r="D9" s="25">
        <v>2008</v>
      </c>
      <c r="E9" s="25">
        <v>40</v>
      </c>
    </row>
    <row r="10" spans="1:6" ht="20" customHeight="1" x14ac:dyDescent="0.2">
      <c r="A10" s="24" t="s">
        <v>30</v>
      </c>
      <c r="B10" s="24" t="s">
        <v>38</v>
      </c>
      <c r="C10" s="24" t="s">
        <v>39</v>
      </c>
      <c r="D10" s="25">
        <v>2005</v>
      </c>
      <c r="E10" s="25">
        <v>282</v>
      </c>
    </row>
    <row r="11" spans="1:6" ht="20" customHeight="1" x14ac:dyDescent="0.2">
      <c r="A11" s="24" t="s">
        <v>30</v>
      </c>
      <c r="B11" s="24" t="s">
        <v>40</v>
      </c>
      <c r="C11" s="24" t="s">
        <v>39</v>
      </c>
      <c r="D11" s="25">
        <v>2006</v>
      </c>
      <c r="E11" s="25">
        <v>380</v>
      </c>
    </row>
    <row r="12" spans="1:6" ht="20" customHeight="1" x14ac:dyDescent="0.2">
      <c r="A12" s="24" t="s">
        <v>86</v>
      </c>
      <c r="B12" s="24" t="s">
        <v>41</v>
      </c>
      <c r="C12" s="24" t="s">
        <v>42</v>
      </c>
      <c r="D12" s="25">
        <v>2004</v>
      </c>
      <c r="E12" s="25">
        <v>79</v>
      </c>
    </row>
    <row r="13" spans="1:6" ht="20" customHeight="1" x14ac:dyDescent="0.2">
      <c r="A13" s="24" t="s">
        <v>86</v>
      </c>
      <c r="B13" s="24" t="s">
        <v>43</v>
      </c>
      <c r="C13" s="24" t="s">
        <v>44</v>
      </c>
      <c r="D13" s="25">
        <v>1976</v>
      </c>
      <c r="E13" s="25">
        <v>179</v>
      </c>
    </row>
    <row r="14" spans="1:6" ht="20" customHeight="1" x14ac:dyDescent="0.2">
      <c r="A14" s="24" t="s">
        <v>86</v>
      </c>
      <c r="B14" s="24" t="s">
        <v>155</v>
      </c>
      <c r="C14" s="24" t="s">
        <v>156</v>
      </c>
      <c r="D14" s="25">
        <v>2007</v>
      </c>
    </row>
    <row r="15" spans="1:6" ht="20" customHeight="1" x14ac:dyDescent="0.2">
      <c r="A15" s="24" t="s">
        <v>86</v>
      </c>
      <c r="B15" s="24" t="s">
        <v>45</v>
      </c>
      <c r="C15" s="24" t="s">
        <v>46</v>
      </c>
      <c r="D15" s="25">
        <v>1998</v>
      </c>
      <c r="E15" s="25">
        <v>96</v>
      </c>
    </row>
    <row r="16" spans="1:6" ht="20" customHeight="1" x14ac:dyDescent="0.2">
      <c r="A16" s="24" t="s">
        <v>49</v>
      </c>
      <c r="B16" s="24" t="s">
        <v>47</v>
      </c>
      <c r="C16" s="24" t="s">
        <v>48</v>
      </c>
      <c r="D16" s="25">
        <v>1997</v>
      </c>
      <c r="E16" s="25">
        <v>91</v>
      </c>
    </row>
    <row r="17" spans="1:5" ht="20" customHeight="1" x14ac:dyDescent="0.2">
      <c r="A17" s="24" t="s">
        <v>35</v>
      </c>
      <c r="B17" s="24" t="s">
        <v>50</v>
      </c>
      <c r="C17" s="24" t="s">
        <v>51</v>
      </c>
      <c r="D17" s="25">
        <v>1993</v>
      </c>
      <c r="E17" s="25">
        <v>306</v>
      </c>
    </row>
    <row r="18" spans="1:5" ht="20" customHeight="1" x14ac:dyDescent="0.2">
      <c r="A18" s="24" t="s">
        <v>86</v>
      </c>
      <c r="B18" s="24" t="s">
        <v>52</v>
      </c>
      <c r="C18" s="24" t="s">
        <v>53</v>
      </c>
      <c r="D18" s="25">
        <v>2001</v>
      </c>
      <c r="E18" s="25">
        <v>118</v>
      </c>
    </row>
    <row r="19" spans="1:5" ht="20" customHeight="1" x14ac:dyDescent="0.2">
      <c r="A19" s="24" t="s">
        <v>86</v>
      </c>
      <c r="B19" s="24" t="s">
        <v>54</v>
      </c>
      <c r="C19" s="24" t="s">
        <v>55</v>
      </c>
      <c r="D19" s="25">
        <v>1996</v>
      </c>
      <c r="E19" s="25">
        <v>82</v>
      </c>
    </row>
    <row r="20" spans="1:5" ht="20" customHeight="1" x14ac:dyDescent="0.2">
      <c r="A20" s="24" t="s">
        <v>86</v>
      </c>
      <c r="B20" s="24" t="s">
        <v>87</v>
      </c>
      <c r="C20" s="24" t="s">
        <v>56</v>
      </c>
      <c r="D20" s="25">
        <v>2014</v>
      </c>
      <c r="E20" s="25">
        <v>41</v>
      </c>
    </row>
    <row r="21" spans="1:5" ht="20" customHeight="1" x14ac:dyDescent="0.2">
      <c r="A21" s="24" t="s">
        <v>86</v>
      </c>
      <c r="B21" s="24" t="s">
        <v>57</v>
      </c>
      <c r="C21" s="24" t="s">
        <v>58</v>
      </c>
      <c r="D21" s="25">
        <v>2006</v>
      </c>
      <c r="E21" s="25">
        <v>132</v>
      </c>
    </row>
    <row r="22" spans="1:5" ht="20" customHeight="1" x14ac:dyDescent="0.2">
      <c r="A22" s="24" t="s">
        <v>86</v>
      </c>
      <c r="B22" s="24" t="s">
        <v>59</v>
      </c>
      <c r="C22" s="24" t="s">
        <v>60</v>
      </c>
      <c r="D22" s="25">
        <v>2009</v>
      </c>
      <c r="E22" s="25">
        <v>49</v>
      </c>
    </row>
    <row r="23" spans="1:5" ht="20" customHeight="1" x14ac:dyDescent="0.2">
      <c r="A23" s="24" t="s">
        <v>86</v>
      </c>
      <c r="B23" s="24" t="s">
        <v>61</v>
      </c>
      <c r="C23" s="24" t="s">
        <v>62</v>
      </c>
      <c r="D23" s="25">
        <v>2006</v>
      </c>
      <c r="E23" s="25">
        <v>144</v>
      </c>
    </row>
    <row r="24" spans="1:5" ht="20" customHeight="1" x14ac:dyDescent="0.2">
      <c r="A24" s="24" t="s">
        <v>86</v>
      </c>
      <c r="B24" s="24" t="s">
        <v>63</v>
      </c>
      <c r="C24" s="24" t="s">
        <v>64</v>
      </c>
      <c r="D24" s="25">
        <v>2012</v>
      </c>
      <c r="E24" s="25">
        <v>83</v>
      </c>
    </row>
    <row r="25" spans="1:5" ht="20" customHeight="1" x14ac:dyDescent="0.2">
      <c r="A25" s="24" t="s">
        <v>49</v>
      </c>
      <c r="B25" s="24" t="s">
        <v>65</v>
      </c>
      <c r="C25" s="24" t="s">
        <v>66</v>
      </c>
      <c r="D25" s="25">
        <v>1997</v>
      </c>
    </row>
    <row r="26" spans="1:5" ht="20" customHeight="1" x14ac:dyDescent="0.2">
      <c r="A26" s="24" t="s">
        <v>30</v>
      </c>
      <c r="B26" s="24" t="s">
        <v>67</v>
      </c>
      <c r="C26" s="24" t="s">
        <v>68</v>
      </c>
      <c r="D26" s="25">
        <v>2011</v>
      </c>
      <c r="E26" s="25">
        <v>54</v>
      </c>
    </row>
    <row r="27" spans="1:5" ht="20" customHeight="1" x14ac:dyDescent="0.2">
      <c r="A27" s="24" t="s">
        <v>86</v>
      </c>
      <c r="B27" s="24" t="s">
        <v>69</v>
      </c>
      <c r="C27" s="24" t="s">
        <v>70</v>
      </c>
      <c r="D27" s="25">
        <v>2004</v>
      </c>
      <c r="E27" s="25">
        <v>61</v>
      </c>
    </row>
    <row r="28" spans="1:5" ht="20" customHeight="1" x14ac:dyDescent="0.2">
      <c r="A28" s="24" t="s">
        <v>86</v>
      </c>
      <c r="B28" s="24" t="s">
        <v>71</v>
      </c>
      <c r="C28" s="24" t="s">
        <v>70</v>
      </c>
      <c r="D28" s="25">
        <v>2004</v>
      </c>
      <c r="E28" s="25">
        <v>45</v>
      </c>
    </row>
    <row r="29" spans="1:5" ht="20" customHeight="1" x14ac:dyDescent="0.2">
      <c r="A29" s="24" t="s">
        <v>86</v>
      </c>
      <c r="B29" s="24" t="s">
        <v>72</v>
      </c>
      <c r="C29" s="24" t="s">
        <v>73</v>
      </c>
      <c r="D29" s="25">
        <v>2014</v>
      </c>
      <c r="E29" s="25">
        <v>23</v>
      </c>
    </row>
    <row r="30" spans="1:5" ht="20" customHeight="1" x14ac:dyDescent="0.2">
      <c r="A30" s="24" t="s">
        <v>35</v>
      </c>
      <c r="B30" s="24" t="s">
        <v>74</v>
      </c>
      <c r="C30" s="24" t="s">
        <v>75</v>
      </c>
      <c r="D30" s="25">
        <v>2015</v>
      </c>
      <c r="E30" s="25">
        <v>6</v>
      </c>
    </row>
    <row r="31" spans="1:5" ht="20" customHeight="1" x14ac:dyDescent="0.2">
      <c r="A31" s="24" t="s">
        <v>30</v>
      </c>
      <c r="B31" s="24" t="s">
        <v>76</v>
      </c>
      <c r="C31" s="24" t="s">
        <v>77</v>
      </c>
      <c r="D31" s="25">
        <v>2002</v>
      </c>
      <c r="E31" s="25">
        <v>434</v>
      </c>
    </row>
    <row r="32" spans="1:5" ht="20" customHeight="1" x14ac:dyDescent="0.2">
      <c r="A32" s="24" t="s">
        <v>86</v>
      </c>
      <c r="B32" s="24" t="s">
        <v>78</v>
      </c>
      <c r="C32" s="24" t="s">
        <v>79</v>
      </c>
      <c r="D32" s="25">
        <v>2009</v>
      </c>
      <c r="E32" s="25">
        <v>134</v>
      </c>
    </row>
    <row r="33" spans="1:5" ht="20" customHeight="1" x14ac:dyDescent="0.2">
      <c r="A33" s="24" t="s">
        <v>86</v>
      </c>
      <c r="B33" s="24" t="s">
        <v>80</v>
      </c>
      <c r="C33" s="24" t="s">
        <v>81</v>
      </c>
      <c r="D33" s="25">
        <v>2015</v>
      </c>
      <c r="E33" s="25">
        <v>10</v>
      </c>
    </row>
    <row r="34" spans="1:5" ht="20" customHeight="1" x14ac:dyDescent="0.2">
      <c r="A34" s="24" t="s">
        <v>86</v>
      </c>
      <c r="B34" s="24" t="s">
        <v>82</v>
      </c>
      <c r="C34" s="24" t="s">
        <v>83</v>
      </c>
      <c r="D34" s="25">
        <v>1994</v>
      </c>
      <c r="E34" s="25">
        <v>292</v>
      </c>
    </row>
    <row r="35" spans="1:5" ht="20" customHeight="1" x14ac:dyDescent="0.2">
      <c r="A35" s="24" t="s">
        <v>86</v>
      </c>
      <c r="B35" s="24" t="s">
        <v>84</v>
      </c>
      <c r="C35" s="24" t="s">
        <v>85</v>
      </c>
      <c r="D35" s="25">
        <v>2000</v>
      </c>
      <c r="E35" s="25">
        <v>146</v>
      </c>
    </row>
    <row r="36" spans="1:5" ht="20" customHeight="1" x14ac:dyDescent="0.2">
      <c r="A36" s="24" t="s">
        <v>35</v>
      </c>
      <c r="B36" s="24" t="s">
        <v>88</v>
      </c>
      <c r="C36" s="24" t="s">
        <v>89</v>
      </c>
      <c r="D36" s="25">
        <v>1996</v>
      </c>
      <c r="E36" s="25">
        <v>187</v>
      </c>
    </row>
    <row r="37" spans="1:5" ht="20" customHeight="1" x14ac:dyDescent="0.2">
      <c r="A37" s="24" t="s">
        <v>86</v>
      </c>
      <c r="B37" s="24" t="s">
        <v>90</v>
      </c>
      <c r="C37" s="24" t="s">
        <v>91</v>
      </c>
      <c r="D37" s="25">
        <v>2000</v>
      </c>
      <c r="E37" s="25">
        <v>79</v>
      </c>
    </row>
    <row r="38" spans="1:5" ht="20" customHeight="1" x14ac:dyDescent="0.2">
      <c r="A38" s="24" t="s">
        <v>86</v>
      </c>
      <c r="B38" s="24" t="s">
        <v>92</v>
      </c>
      <c r="C38" s="24" t="s">
        <v>93</v>
      </c>
      <c r="D38" s="25">
        <v>2001</v>
      </c>
      <c r="E38" s="25">
        <v>170</v>
      </c>
    </row>
    <row r="39" spans="1:5" ht="20" customHeight="1" x14ac:dyDescent="0.2">
      <c r="A39" s="24" t="s">
        <v>49</v>
      </c>
      <c r="B39" s="24" t="s">
        <v>94</v>
      </c>
      <c r="C39" s="24" t="s">
        <v>95</v>
      </c>
      <c r="D39" s="25">
        <v>2015</v>
      </c>
      <c r="E39" s="25">
        <v>22</v>
      </c>
    </row>
    <row r="40" spans="1:5" ht="20" customHeight="1" x14ac:dyDescent="0.2">
      <c r="A40" s="24" t="s">
        <v>49</v>
      </c>
      <c r="B40" s="24" t="s">
        <v>96</v>
      </c>
      <c r="C40" s="24" t="s">
        <v>97</v>
      </c>
      <c r="D40" s="25">
        <v>1996</v>
      </c>
      <c r="E40" s="25">
        <v>71</v>
      </c>
    </row>
    <row r="41" spans="1:5" ht="20" customHeight="1" x14ac:dyDescent="0.2">
      <c r="A41" s="24" t="s">
        <v>86</v>
      </c>
      <c r="B41" s="24" t="s">
        <v>98</v>
      </c>
      <c r="C41" s="24" t="s">
        <v>99</v>
      </c>
      <c r="D41" s="25">
        <v>2011</v>
      </c>
      <c r="E41" s="25">
        <v>74</v>
      </c>
    </row>
    <row r="42" spans="1:5" ht="20" customHeight="1" x14ac:dyDescent="0.2">
      <c r="A42" s="24" t="s">
        <v>86</v>
      </c>
      <c r="B42" s="24" t="s">
        <v>100</v>
      </c>
      <c r="C42" s="24" t="s">
        <v>101</v>
      </c>
      <c r="D42" s="25">
        <v>2002</v>
      </c>
      <c r="E42" s="25">
        <v>103</v>
      </c>
    </row>
    <row r="43" spans="1:5" ht="20" customHeight="1" x14ac:dyDescent="0.2">
      <c r="A43" s="24" t="s">
        <v>30</v>
      </c>
      <c r="B43" s="24" t="s">
        <v>102</v>
      </c>
      <c r="C43" s="24" t="s">
        <v>103</v>
      </c>
      <c r="D43" s="25">
        <v>2014</v>
      </c>
      <c r="E43" s="25">
        <v>30</v>
      </c>
    </row>
    <row r="44" spans="1:5" ht="20" customHeight="1" x14ac:dyDescent="0.2">
      <c r="A44" s="24" t="s">
        <v>86</v>
      </c>
      <c r="B44" s="24" t="s">
        <v>104</v>
      </c>
      <c r="C44" s="24" t="s">
        <v>105</v>
      </c>
      <c r="D44" s="25">
        <v>1996</v>
      </c>
      <c r="E44" s="25">
        <v>12</v>
      </c>
    </row>
    <row r="45" spans="1:5" ht="20" customHeight="1" x14ac:dyDescent="0.2">
      <c r="A45" s="24" t="s">
        <v>86</v>
      </c>
      <c r="B45" s="24" t="s">
        <v>106</v>
      </c>
      <c r="C45" s="24" t="s">
        <v>107</v>
      </c>
      <c r="D45" s="25">
        <v>1989</v>
      </c>
      <c r="E45" s="25">
        <v>27</v>
      </c>
    </row>
    <row r="46" spans="1:5" ht="20" customHeight="1" x14ac:dyDescent="0.2">
      <c r="A46" s="24" t="s">
        <v>86</v>
      </c>
      <c r="B46" s="24" t="s">
        <v>108</v>
      </c>
      <c r="C46" s="24" t="s">
        <v>109</v>
      </c>
      <c r="D46" s="25">
        <v>2008</v>
      </c>
      <c r="E46" s="25">
        <v>54</v>
      </c>
    </row>
    <row r="47" spans="1:5" ht="20" customHeight="1" x14ac:dyDescent="0.2">
      <c r="A47" s="24" t="s">
        <v>86</v>
      </c>
      <c r="B47" s="24" t="s">
        <v>110</v>
      </c>
      <c r="C47" s="24" t="s">
        <v>111</v>
      </c>
      <c r="D47" s="25">
        <v>1999</v>
      </c>
      <c r="E47" s="25">
        <v>76</v>
      </c>
    </row>
    <row r="48" spans="1:5" ht="20" customHeight="1" x14ac:dyDescent="0.2">
      <c r="A48" s="24" t="s">
        <v>86</v>
      </c>
      <c r="B48" s="24" t="s">
        <v>112</v>
      </c>
      <c r="C48" s="24" t="s">
        <v>113</v>
      </c>
      <c r="D48" s="25">
        <v>2008</v>
      </c>
      <c r="E48" s="25">
        <v>101</v>
      </c>
    </row>
    <row r="49" spans="1:5" ht="20" customHeight="1" x14ac:dyDescent="0.2">
      <c r="A49" s="24" t="s">
        <v>86</v>
      </c>
      <c r="B49" s="24" t="s">
        <v>114</v>
      </c>
      <c r="C49" s="24" t="s">
        <v>115</v>
      </c>
      <c r="D49" s="25">
        <v>1997</v>
      </c>
      <c r="E49" s="25">
        <v>127</v>
      </c>
    </row>
    <row r="50" spans="1:5" ht="20" customHeight="1" x14ac:dyDescent="0.2">
      <c r="A50" s="24" t="s">
        <v>86</v>
      </c>
      <c r="B50" s="24" t="s">
        <v>116</v>
      </c>
      <c r="C50" s="24" t="s">
        <v>117</v>
      </c>
      <c r="D50" s="25">
        <v>2001</v>
      </c>
      <c r="E50" s="25">
        <v>143</v>
      </c>
    </row>
    <row r="51" spans="1:5" ht="20" customHeight="1" x14ac:dyDescent="0.2">
      <c r="A51" s="24" t="s">
        <v>30</v>
      </c>
      <c r="B51" s="24" t="s">
        <v>118</v>
      </c>
      <c r="C51" s="24" t="s">
        <v>119</v>
      </c>
      <c r="D51" s="25">
        <v>2004</v>
      </c>
      <c r="E51" s="25">
        <v>100</v>
      </c>
    </row>
    <row r="52" spans="1:5" ht="20" customHeight="1" x14ac:dyDescent="0.2">
      <c r="A52" s="24" t="s">
        <v>86</v>
      </c>
      <c r="B52" s="24" t="s">
        <v>120</v>
      </c>
      <c r="C52" s="24" t="s">
        <v>121</v>
      </c>
      <c r="D52" s="25">
        <v>2003</v>
      </c>
      <c r="E52" s="25">
        <v>45</v>
      </c>
    </row>
    <row r="53" spans="1:5" ht="20" customHeight="1" x14ac:dyDescent="0.2">
      <c r="A53" s="24" t="s">
        <v>86</v>
      </c>
      <c r="B53" s="24" t="s">
        <v>122</v>
      </c>
      <c r="C53" s="24" t="s">
        <v>123</v>
      </c>
      <c r="D53" s="25">
        <v>2002</v>
      </c>
      <c r="E53" s="25">
        <v>73</v>
      </c>
    </row>
    <row r="54" spans="1:5" ht="20" customHeight="1" x14ac:dyDescent="0.2">
      <c r="A54" s="24" t="s">
        <v>35</v>
      </c>
      <c r="B54" s="24" t="s">
        <v>124</v>
      </c>
      <c r="C54" s="24" t="s">
        <v>125</v>
      </c>
      <c r="D54" s="25">
        <v>2007</v>
      </c>
      <c r="E54" s="25">
        <v>60</v>
      </c>
    </row>
    <row r="55" spans="1:5" ht="20" customHeight="1" x14ac:dyDescent="0.2">
      <c r="A55" s="24" t="s">
        <v>30</v>
      </c>
      <c r="B55" s="24" t="s">
        <v>126</v>
      </c>
      <c r="C55" s="24" t="s">
        <v>127</v>
      </c>
      <c r="D55" s="25">
        <v>2014</v>
      </c>
    </row>
    <row r="56" spans="1:5" ht="20" customHeight="1" x14ac:dyDescent="0.2">
      <c r="A56" s="24" t="s">
        <v>86</v>
      </c>
      <c r="B56" s="24" t="s">
        <v>128</v>
      </c>
      <c r="C56" s="24" t="s">
        <v>129</v>
      </c>
      <c r="D56" s="25">
        <v>2000</v>
      </c>
      <c r="E56" s="25">
        <v>252</v>
      </c>
    </row>
    <row r="57" spans="1:5" ht="20" customHeight="1" x14ac:dyDescent="0.2">
      <c r="A57" s="24" t="s">
        <v>30</v>
      </c>
      <c r="B57" s="24" t="s">
        <v>130</v>
      </c>
      <c r="C57" s="24" t="s">
        <v>131</v>
      </c>
      <c r="D57" s="25">
        <v>2009</v>
      </c>
      <c r="E57" s="25">
        <v>13</v>
      </c>
    </row>
    <row r="58" spans="1:5" ht="20" customHeight="1" x14ac:dyDescent="0.2">
      <c r="A58" s="24" t="s">
        <v>86</v>
      </c>
      <c r="B58" s="24" t="s">
        <v>132</v>
      </c>
      <c r="C58" s="24" t="s">
        <v>133</v>
      </c>
      <c r="D58" s="25">
        <v>1998</v>
      </c>
      <c r="E58" s="25">
        <v>213</v>
      </c>
    </row>
    <row r="59" spans="1:5" ht="20" customHeight="1" x14ac:dyDescent="0.2">
      <c r="A59" s="24" t="s">
        <v>86</v>
      </c>
      <c r="B59" s="24" t="s">
        <v>134</v>
      </c>
      <c r="C59" s="24" t="s">
        <v>135</v>
      </c>
      <c r="D59" s="25">
        <v>2001</v>
      </c>
      <c r="E59" s="25">
        <v>192</v>
      </c>
    </row>
    <row r="60" spans="1:5" ht="20" customHeight="1" x14ac:dyDescent="0.2">
      <c r="A60" s="24" t="s">
        <v>86</v>
      </c>
      <c r="B60" s="24" t="s">
        <v>154</v>
      </c>
      <c r="C60" s="24" t="s">
        <v>153</v>
      </c>
      <c r="D60" s="25">
        <v>1999</v>
      </c>
      <c r="E60" s="25">
        <v>9</v>
      </c>
    </row>
    <row r="61" spans="1:5" ht="20" customHeight="1" x14ac:dyDescent="0.2">
      <c r="A61" s="24" t="s">
        <v>86</v>
      </c>
      <c r="B61" s="24" t="s">
        <v>136</v>
      </c>
      <c r="C61" s="24" t="s">
        <v>137</v>
      </c>
      <c r="D61" s="25">
        <v>2007</v>
      </c>
      <c r="E61" s="25">
        <v>240</v>
      </c>
    </row>
    <row r="62" spans="1:5" ht="20" customHeight="1" x14ac:dyDescent="0.2">
      <c r="A62" s="24" t="s">
        <v>86</v>
      </c>
      <c r="B62" s="24" t="s">
        <v>138</v>
      </c>
      <c r="C62" s="24" t="s">
        <v>139</v>
      </c>
      <c r="D62" s="25">
        <v>2011</v>
      </c>
      <c r="E62" s="25">
        <v>42</v>
      </c>
    </row>
    <row r="63" spans="1:5" ht="20" customHeight="1" x14ac:dyDescent="0.2">
      <c r="A63" s="24" t="s">
        <v>30</v>
      </c>
      <c r="B63" s="24" t="s">
        <v>140</v>
      </c>
      <c r="C63" s="24" t="s">
        <v>141</v>
      </c>
      <c r="D63" s="25">
        <v>2005</v>
      </c>
      <c r="E63" s="25">
        <v>21</v>
      </c>
    </row>
    <row r="64" spans="1:5" ht="20" customHeight="1" x14ac:dyDescent="0.2">
      <c r="A64" s="24" t="s">
        <v>35</v>
      </c>
      <c r="B64" s="24" t="s">
        <v>142</v>
      </c>
      <c r="C64" s="24" t="s">
        <v>143</v>
      </c>
      <c r="D64" s="25">
        <v>2015</v>
      </c>
      <c r="E64" s="25">
        <v>1</v>
      </c>
    </row>
    <row r="65" spans="1:5" ht="20" customHeight="1" x14ac:dyDescent="0.2">
      <c r="A65" s="24" t="s">
        <v>86</v>
      </c>
      <c r="B65" s="24" t="s">
        <v>144</v>
      </c>
      <c r="C65" s="24" t="s">
        <v>145</v>
      </c>
      <c r="D65" s="25">
        <v>2008</v>
      </c>
      <c r="E65" s="25">
        <v>156</v>
      </c>
    </row>
    <row r="66" spans="1:5" ht="20" customHeight="1" x14ac:dyDescent="0.2">
      <c r="A66" s="24" t="s">
        <v>49</v>
      </c>
      <c r="B66" s="24" t="s">
        <v>146</v>
      </c>
      <c r="C66" s="24" t="s">
        <v>147</v>
      </c>
      <c r="D66" s="25">
        <v>1997</v>
      </c>
      <c r="E66" s="25">
        <v>47</v>
      </c>
    </row>
    <row r="67" spans="1:5" ht="20" customHeight="1" x14ac:dyDescent="0.2">
      <c r="A67" s="24" t="s">
        <v>30</v>
      </c>
      <c r="B67" s="24" t="s">
        <v>148</v>
      </c>
      <c r="C67" s="24" t="s">
        <v>149</v>
      </c>
      <c r="D67" s="25">
        <v>2016</v>
      </c>
      <c r="E67" s="25">
        <v>5</v>
      </c>
    </row>
    <row r="68" spans="1:5" ht="20" customHeight="1" x14ac:dyDescent="0.2">
      <c r="A68" s="24" t="s">
        <v>86</v>
      </c>
      <c r="B68" s="24" t="s">
        <v>150</v>
      </c>
      <c r="C68" s="24" t="s">
        <v>151</v>
      </c>
      <c r="D68" s="25">
        <v>2011</v>
      </c>
      <c r="E68" s="25">
        <v>112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60"/>
  <sheetViews>
    <sheetView showRuler="0" workbookViewId="0">
      <selection activeCell="A2" sqref="A2"/>
    </sheetView>
  </sheetViews>
  <sheetFormatPr baseColWidth="10" defaultRowHeight="16" x14ac:dyDescent="0.2"/>
  <cols>
    <col min="1" max="1" width="16.33203125" style="2" customWidth="1"/>
    <col min="2" max="2" width="14.6640625" customWidth="1"/>
    <col min="3" max="3" width="37.6640625" customWidth="1"/>
    <col min="4" max="4" width="73.5" customWidth="1"/>
    <col min="5" max="6" width="9.1640625" style="2" customWidth="1"/>
    <col min="7" max="7" width="10" customWidth="1"/>
    <col min="8" max="8" width="10" style="1" customWidth="1"/>
    <col min="9" max="12" width="9.1640625" style="2" customWidth="1"/>
    <col min="15" max="15" width="10.83203125" style="20"/>
  </cols>
  <sheetData>
    <row r="1" spans="1:13" ht="26" x14ac:dyDescent="0.3">
      <c r="A1" s="33" t="s">
        <v>17</v>
      </c>
      <c r="B1" s="34"/>
      <c r="C1" s="34"/>
      <c r="D1" s="34"/>
      <c r="E1" s="35"/>
      <c r="F1" s="35"/>
      <c r="G1" s="34"/>
      <c r="H1" s="36"/>
      <c r="I1" s="35"/>
      <c r="J1" s="35"/>
      <c r="K1" s="35"/>
      <c r="L1" s="35"/>
    </row>
    <row r="2" spans="1:13" ht="20" customHeight="1" x14ac:dyDescent="0.2">
      <c r="A2" s="8"/>
      <c r="B2" s="9"/>
      <c r="C2" s="9"/>
      <c r="D2" s="9"/>
      <c r="E2" s="8"/>
      <c r="F2" s="8"/>
      <c r="G2" s="9"/>
      <c r="H2" s="7"/>
      <c r="I2" s="284" t="s">
        <v>0</v>
      </c>
      <c r="J2" s="284"/>
      <c r="K2" s="284" t="s">
        <v>1</v>
      </c>
      <c r="L2" s="284"/>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152</v>
      </c>
      <c r="E6" s="6"/>
      <c r="F6" s="6"/>
      <c r="G6" s="5" t="s">
        <v>16</v>
      </c>
      <c r="H6" s="7">
        <v>294</v>
      </c>
      <c r="I6" s="6">
        <v>1</v>
      </c>
      <c r="J6" s="19">
        <v>100</v>
      </c>
      <c r="K6" s="7"/>
      <c r="L6" s="7"/>
      <c r="M6" s="18"/>
    </row>
    <row r="7" spans="1:13" ht="20" customHeight="1" x14ac:dyDescent="0.2">
      <c r="A7" s="13"/>
      <c r="B7" s="5"/>
      <c r="C7" s="5"/>
      <c r="D7" s="5" t="s">
        <v>158</v>
      </c>
      <c r="E7" s="6"/>
      <c r="F7" s="6"/>
      <c r="G7" s="5" t="s">
        <v>157</v>
      </c>
      <c r="H7" s="7">
        <v>149</v>
      </c>
      <c r="I7" s="6"/>
      <c r="J7" s="19"/>
      <c r="K7" s="7"/>
      <c r="L7" s="7"/>
      <c r="M7" s="18"/>
    </row>
    <row r="8" spans="1:13" ht="20" customHeight="1" x14ac:dyDescent="0.2">
      <c r="A8" s="13">
        <v>42887</v>
      </c>
      <c r="B8" s="5" t="s">
        <v>268</v>
      </c>
      <c r="C8" s="5" t="s">
        <v>269</v>
      </c>
      <c r="D8" s="5" t="s">
        <v>270</v>
      </c>
      <c r="E8" s="6"/>
      <c r="F8" s="6"/>
      <c r="G8" s="5" t="s">
        <v>271</v>
      </c>
      <c r="H8" s="7">
        <v>731</v>
      </c>
      <c r="I8" s="17">
        <v>1</v>
      </c>
      <c r="J8" s="19">
        <v>100</v>
      </c>
      <c r="K8" s="7"/>
      <c r="L8" s="7"/>
      <c r="M8" s="18"/>
    </row>
    <row r="9" spans="1:13" ht="20" customHeight="1" x14ac:dyDescent="0.2">
      <c r="A9" s="13"/>
      <c r="B9" s="5"/>
      <c r="C9" s="5"/>
      <c r="D9" s="5"/>
      <c r="E9" s="6"/>
      <c r="F9" s="6"/>
      <c r="G9" s="5"/>
      <c r="H9" s="7"/>
      <c r="I9" s="6"/>
      <c r="J9" s="19"/>
      <c r="K9" s="16"/>
      <c r="L9" s="17"/>
      <c r="M9" s="18"/>
    </row>
    <row r="10" spans="1:13" ht="20" customHeight="1" x14ac:dyDescent="0.2">
      <c r="A10" s="13"/>
      <c r="B10" s="5"/>
      <c r="C10" s="5"/>
      <c r="D10" s="5"/>
      <c r="E10" s="6"/>
      <c r="F10" s="6"/>
      <c r="G10" s="5"/>
      <c r="H10" s="7"/>
      <c r="I10" s="6"/>
      <c r="J10" s="15"/>
      <c r="K10" s="7"/>
      <c r="L10" s="6"/>
    </row>
    <row r="11" spans="1:13" ht="20" customHeight="1" x14ac:dyDescent="0.2">
      <c r="A11" s="13"/>
      <c r="B11" s="5"/>
      <c r="C11" s="5"/>
      <c r="D11" s="5"/>
      <c r="E11" s="6"/>
      <c r="F11" s="6"/>
      <c r="G11" s="5"/>
      <c r="H11" s="7"/>
      <c r="I11" s="6"/>
      <c r="J11" s="15"/>
      <c r="K11" s="7"/>
      <c r="L11" s="6"/>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6"/>
      <c r="B24" s="5"/>
      <c r="C24" s="5"/>
      <c r="D24" s="5"/>
      <c r="E24" s="6"/>
      <c r="F24" s="6"/>
      <c r="G24" s="5"/>
      <c r="H24" s="7"/>
      <c r="I24" s="6"/>
      <c r="J24" s="6"/>
      <c r="K24" s="6"/>
      <c r="L24" s="6"/>
    </row>
    <row r="25" spans="1:12" x14ac:dyDescent="0.2">
      <c r="A25" s="6"/>
      <c r="B25" s="5"/>
      <c r="C25" s="5"/>
      <c r="D25" s="5"/>
      <c r="E25" s="6"/>
      <c r="F25" s="6"/>
      <c r="G25" s="5"/>
      <c r="H25" s="7"/>
      <c r="I25" s="6"/>
      <c r="J25" s="6"/>
      <c r="K25" s="6"/>
      <c r="L25" s="6"/>
    </row>
    <row r="26" spans="1:12" x14ac:dyDescent="0.2">
      <c r="A26" s="4"/>
      <c r="B26" s="3"/>
      <c r="C26" s="3"/>
      <c r="D26" s="3"/>
      <c r="E26" s="4"/>
      <c r="F26" s="4"/>
      <c r="G26" s="3"/>
      <c r="I26" s="4"/>
      <c r="J26" s="4"/>
      <c r="K26" s="4"/>
    </row>
    <row r="27" spans="1:12" x14ac:dyDescent="0.2">
      <c r="A27" s="4"/>
      <c r="B27" s="3"/>
      <c r="C27" s="3"/>
      <c r="D27" s="3"/>
      <c r="E27" s="4"/>
      <c r="F27" s="4"/>
      <c r="G27" s="3"/>
      <c r="I27" s="4"/>
      <c r="J27" s="4"/>
      <c r="K27" s="4"/>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c r="L33"/>
    </row>
    <row r="34" spans="1:12" x14ac:dyDescent="0.2">
      <c r="A34" s="4"/>
      <c r="B34" s="3"/>
      <c r="C34" s="3"/>
      <c r="D34" s="3"/>
      <c r="E34" s="4"/>
      <c r="F34" s="4"/>
      <c r="G34" s="3"/>
      <c r="I34" s="4"/>
      <c r="J34" s="4"/>
      <c r="K34" s="4"/>
      <c r="L3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L40"/>
    </row>
    <row r="41" spans="1:12" x14ac:dyDescent="0.2">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5:15" customFormat="1" x14ac:dyDescent="0.2">
      <c r="O49" s="20"/>
    </row>
    <row r="50" spans="15:15" customFormat="1" x14ac:dyDescent="0.2">
      <c r="O50" s="20"/>
    </row>
    <row r="51" spans="15:15" customFormat="1" x14ac:dyDescent="0.2">
      <c r="O51" s="20"/>
    </row>
    <row r="52" spans="15:15" customFormat="1" x14ac:dyDescent="0.2">
      <c r="O52" s="20"/>
    </row>
    <row r="53" spans="15:15" customFormat="1" x14ac:dyDescent="0.2">
      <c r="O53" s="20"/>
    </row>
    <row r="54" spans="15:15" customFormat="1" x14ac:dyDescent="0.2">
      <c r="O54" s="20"/>
    </row>
    <row r="55" spans="15:15" customFormat="1" x14ac:dyDescent="0.2">
      <c r="O55" s="20"/>
    </row>
    <row r="56" spans="15:15" customFormat="1" x14ac:dyDescent="0.2">
      <c r="O56" s="20"/>
    </row>
    <row r="57" spans="15:15" customFormat="1" x14ac:dyDescent="0.2">
      <c r="O57" s="20"/>
    </row>
    <row r="58" spans="15:15" customFormat="1" x14ac:dyDescent="0.2">
      <c r="O58" s="20"/>
    </row>
    <row r="59" spans="15:15" customFormat="1" x14ac:dyDescent="0.2">
      <c r="O59" s="20"/>
    </row>
    <row r="60" spans="15:15" customFormat="1" x14ac:dyDescent="0.2">
      <c r="O60" s="20"/>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Adverse effects (%)</vt:lpstr>
      <vt:lpstr>Random-Controlled Abs. AE (%)</vt:lpstr>
      <vt:lpstr>Adverse effects (%) High - Low</vt:lpstr>
      <vt:lpstr>AE (%) Split (10%)</vt:lpstr>
      <vt:lpstr>Random-Controlled Only</vt:lpstr>
      <vt:lpstr>AE+ Only</vt:lpstr>
      <vt:lpstr>Adverse effects</vt:lpstr>
      <vt:lpstr>Summaries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2017-06-13T21:25:42Z</dcterms:modified>
</cp:coreProperties>
</file>