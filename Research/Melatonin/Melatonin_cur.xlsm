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Besag/Research/Melatonin/"/>
    </mc:Choice>
  </mc:AlternateContent>
  <bookViews>
    <workbookView xWindow="0" yWindow="460" windowWidth="25600" windowHeight="15460" tabRatio="500"/>
  </bookViews>
  <sheets>
    <sheet name="All Studies Summary" sheetId="16" r:id="rId1"/>
    <sheet name="Adverse effects (%)" sheetId="5" r:id="rId2"/>
    <sheet name="Random-Controlled" sheetId="12" r:id="rId3"/>
    <sheet name="RC Efficacy (Sleep studies)" sheetId="13" r:id="rId4"/>
    <sheet name="Random-Controlled (MLT - PLB)" sheetId="11" r:id="rId5"/>
    <sheet name="RC (MLT - PLB) Summary" sheetId="14" r:id="rId6"/>
    <sheet name="Adverse effects (%) High - Low" sheetId="10" r:id="rId7"/>
    <sheet name="AE (%) Split (10%)" sheetId="9" r:id="rId8"/>
    <sheet name="AE+ Only" sheetId="7" r:id="rId9"/>
    <sheet name="Long-term studies" sheetId="15" r:id="rId10"/>
    <sheet name="Search" sheetId="1" r:id="rId1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98" i="12" l="1"/>
  <c r="I98" i="11"/>
  <c r="I288" i="9"/>
  <c r="I137" i="9"/>
  <c r="AZ98" i="11"/>
  <c r="AZ99" i="11"/>
  <c r="BA99" i="11"/>
  <c r="B87" i="14"/>
  <c r="C87" i="14"/>
  <c r="BA98" i="11"/>
  <c r="D87" i="14"/>
  <c r="E87" i="14"/>
  <c r="F87" i="14"/>
  <c r="T98" i="11"/>
  <c r="T99" i="11"/>
  <c r="U99" i="11"/>
  <c r="B86" i="14"/>
  <c r="C86" i="14"/>
  <c r="U98" i="11"/>
  <c r="D86" i="14"/>
  <c r="E86" i="14"/>
  <c r="F86" i="14"/>
  <c r="CN98" i="11"/>
  <c r="CN99" i="11"/>
  <c r="CO99" i="11"/>
  <c r="B85" i="14"/>
  <c r="C85" i="14"/>
  <c r="CO98" i="11"/>
  <c r="D85" i="14"/>
  <c r="E85" i="14"/>
  <c r="F85" i="14"/>
  <c r="CJ98" i="11"/>
  <c r="CJ99" i="11"/>
  <c r="CK99" i="11"/>
  <c r="B84" i="14"/>
  <c r="C84" i="14"/>
  <c r="CK98" i="11"/>
  <c r="D84" i="14"/>
  <c r="E84" i="14"/>
  <c r="F84" i="14"/>
  <c r="CF98" i="11"/>
  <c r="CF99" i="11"/>
  <c r="CG99" i="11"/>
  <c r="B83" i="14"/>
  <c r="C83" i="14"/>
  <c r="CG98" i="11"/>
  <c r="D83" i="14"/>
  <c r="E83" i="14"/>
  <c r="F83" i="14"/>
  <c r="CB98" i="11"/>
  <c r="CB99" i="11"/>
  <c r="CC99" i="11"/>
  <c r="B82" i="14"/>
  <c r="C82" i="14"/>
  <c r="CC98" i="11"/>
  <c r="D82" i="14"/>
  <c r="E82" i="14"/>
  <c r="F82" i="14"/>
  <c r="BX98" i="11"/>
  <c r="BX99" i="11"/>
  <c r="BY99" i="11"/>
  <c r="B81" i="14"/>
  <c r="C81" i="14"/>
  <c r="BY98" i="11"/>
  <c r="D81" i="14"/>
  <c r="E81" i="14"/>
  <c r="F81" i="14"/>
  <c r="BT98" i="11"/>
  <c r="BT99" i="11"/>
  <c r="BU99" i="11"/>
  <c r="B80" i="14"/>
  <c r="C80" i="14"/>
  <c r="BU98" i="11"/>
  <c r="D80" i="14"/>
  <c r="E80" i="14"/>
  <c r="F80" i="14"/>
  <c r="BP98" i="11"/>
  <c r="BP99" i="11"/>
  <c r="BQ99" i="11"/>
  <c r="B79" i="14"/>
  <c r="C79" i="14"/>
  <c r="BQ98" i="11"/>
  <c r="D79" i="14"/>
  <c r="E79" i="14"/>
  <c r="F79" i="14"/>
  <c r="BL98" i="11"/>
  <c r="BL99" i="11"/>
  <c r="BM99" i="11"/>
  <c r="B78" i="14"/>
  <c r="C78" i="14"/>
  <c r="BM98" i="11"/>
  <c r="D78" i="14"/>
  <c r="E78" i="14"/>
  <c r="F78" i="14"/>
  <c r="BH98" i="11"/>
  <c r="BH99" i="11"/>
  <c r="BI99" i="11"/>
  <c r="B77" i="14"/>
  <c r="C77" i="14"/>
  <c r="BI98" i="11"/>
  <c r="D77" i="14"/>
  <c r="E77" i="14"/>
  <c r="F77" i="14"/>
  <c r="BD98" i="11"/>
  <c r="BD99" i="11"/>
  <c r="BE99" i="11"/>
  <c r="B76" i="14"/>
  <c r="C76" i="14"/>
  <c r="BE98" i="11"/>
  <c r="D76" i="14"/>
  <c r="E76" i="14"/>
  <c r="F76" i="14"/>
  <c r="AV98" i="11"/>
  <c r="AV99" i="11"/>
  <c r="AW99" i="11"/>
  <c r="B75" i="14"/>
  <c r="C75" i="14"/>
  <c r="AW98" i="11"/>
  <c r="D75" i="14"/>
  <c r="E75" i="14"/>
  <c r="F75" i="14"/>
  <c r="AR98" i="11"/>
  <c r="AR99" i="11"/>
  <c r="AS99" i="11"/>
  <c r="B74" i="14"/>
  <c r="C74" i="14"/>
  <c r="AS98" i="11"/>
  <c r="D74" i="14"/>
  <c r="E74" i="14"/>
  <c r="F74" i="14"/>
  <c r="AN98" i="11"/>
  <c r="AN99" i="11"/>
  <c r="AO99" i="11"/>
  <c r="B73" i="14"/>
  <c r="C73" i="14"/>
  <c r="AO98" i="11"/>
  <c r="D73" i="14"/>
  <c r="E73" i="14"/>
  <c r="F73" i="14"/>
  <c r="AJ98" i="11"/>
  <c r="AJ99" i="11"/>
  <c r="AK99" i="11"/>
  <c r="B72" i="14"/>
  <c r="C72" i="14"/>
  <c r="AK98" i="11"/>
  <c r="D72" i="14"/>
  <c r="E72" i="14"/>
  <c r="F72" i="14"/>
  <c r="AF98" i="11"/>
  <c r="AF99" i="11"/>
  <c r="AG99" i="11"/>
  <c r="B71" i="14"/>
  <c r="C71" i="14"/>
  <c r="AG98" i="11"/>
  <c r="D71" i="14"/>
  <c r="E71" i="14"/>
  <c r="F71" i="14"/>
  <c r="B70" i="14"/>
  <c r="AB98" i="11"/>
  <c r="AB99" i="11"/>
  <c r="C70" i="14"/>
  <c r="AC98" i="11"/>
  <c r="D70" i="14"/>
  <c r="E70" i="14"/>
  <c r="F70" i="14"/>
  <c r="B69" i="14"/>
  <c r="X98" i="11"/>
  <c r="X99" i="11"/>
  <c r="C69" i="14"/>
  <c r="Y98" i="11"/>
  <c r="D69" i="14"/>
  <c r="E69" i="14"/>
  <c r="F69" i="14"/>
  <c r="B68" i="14"/>
  <c r="P98" i="11"/>
  <c r="P99" i="11"/>
  <c r="C68" i="14"/>
  <c r="Q98" i="11"/>
  <c r="D68" i="14"/>
  <c r="E68" i="14"/>
  <c r="F68" i="14"/>
  <c r="B67" i="14"/>
  <c r="L98" i="11"/>
  <c r="L99" i="11"/>
  <c r="C67" i="14"/>
  <c r="M98" i="11"/>
  <c r="D67" i="14"/>
  <c r="E67" i="14"/>
  <c r="F67" i="14"/>
  <c r="B57" i="14"/>
  <c r="C57" i="14"/>
  <c r="D57" i="14"/>
  <c r="E57" i="14"/>
  <c r="F57" i="14"/>
  <c r="B56" i="14"/>
  <c r="C56" i="14"/>
  <c r="D56" i="14"/>
  <c r="E56" i="14"/>
  <c r="F56" i="14"/>
  <c r="B55" i="14"/>
  <c r="C55" i="14"/>
  <c r="D55" i="14"/>
  <c r="E55" i="14"/>
  <c r="F55" i="14"/>
  <c r="B54" i="14"/>
  <c r="C54" i="14"/>
  <c r="D54" i="14"/>
  <c r="E54" i="14"/>
  <c r="F54" i="14"/>
  <c r="B53" i="14"/>
  <c r="C53" i="14"/>
  <c r="D53" i="14"/>
  <c r="E53" i="14"/>
  <c r="F53" i="14"/>
  <c r="B52" i="14"/>
  <c r="C52" i="14"/>
  <c r="D52" i="14"/>
  <c r="E52" i="14"/>
  <c r="F52" i="14"/>
  <c r="B51" i="14"/>
  <c r="C51" i="14"/>
  <c r="D51" i="14"/>
  <c r="E51" i="14"/>
  <c r="F51" i="14"/>
  <c r="B50" i="14"/>
  <c r="C50" i="14"/>
  <c r="D50" i="14"/>
  <c r="E50" i="14"/>
  <c r="F50" i="14"/>
  <c r="B49" i="14"/>
  <c r="C49" i="14"/>
  <c r="D49" i="14"/>
  <c r="E49" i="14"/>
  <c r="F49" i="14"/>
  <c r="B48" i="14"/>
  <c r="C48" i="14"/>
  <c r="D48" i="14"/>
  <c r="E48" i="14"/>
  <c r="F48" i="14"/>
  <c r="B47" i="14"/>
  <c r="C47" i="14"/>
  <c r="D47" i="14"/>
  <c r="E47" i="14"/>
  <c r="F47" i="14"/>
  <c r="B46" i="14"/>
  <c r="C46" i="14"/>
  <c r="D46" i="14"/>
  <c r="E46" i="14"/>
  <c r="F46" i="14"/>
  <c r="B45" i="14"/>
  <c r="C45" i="14"/>
  <c r="D45" i="14"/>
  <c r="E45" i="14"/>
  <c r="F45" i="14"/>
  <c r="B44" i="14"/>
  <c r="C44" i="14"/>
  <c r="D44" i="14"/>
  <c r="E44" i="14"/>
  <c r="F44" i="14"/>
  <c r="B43" i="14"/>
  <c r="C43" i="14"/>
  <c r="D43" i="14"/>
  <c r="E43" i="14"/>
  <c r="F43" i="14"/>
  <c r="B42" i="14"/>
  <c r="C42" i="14"/>
  <c r="D42" i="14"/>
  <c r="E42" i="14"/>
  <c r="F42" i="14"/>
  <c r="B41" i="14"/>
  <c r="C41" i="14"/>
  <c r="D41" i="14"/>
  <c r="E41" i="14"/>
  <c r="F41" i="14"/>
  <c r="B40" i="14"/>
  <c r="C40" i="14"/>
  <c r="D40" i="14"/>
  <c r="E40" i="14"/>
  <c r="F40" i="14"/>
  <c r="B39" i="14"/>
  <c r="C39" i="14"/>
  <c r="D39" i="14"/>
  <c r="E39" i="14"/>
  <c r="F39" i="14"/>
  <c r="B38" i="14"/>
  <c r="C38" i="14"/>
  <c r="D38" i="14"/>
  <c r="E38" i="14"/>
  <c r="F38" i="14"/>
  <c r="B37" i="14"/>
  <c r="C37" i="14"/>
  <c r="D37" i="14"/>
  <c r="E37" i="14"/>
  <c r="F37" i="14"/>
  <c r="B27" i="14"/>
  <c r="C27" i="14"/>
  <c r="D27" i="14"/>
  <c r="E27" i="14"/>
  <c r="F27" i="14"/>
  <c r="B26" i="14"/>
  <c r="C26" i="14"/>
  <c r="D26" i="14"/>
  <c r="E26" i="14"/>
  <c r="F26" i="14"/>
  <c r="B25" i="14"/>
  <c r="C25" i="14"/>
  <c r="D25" i="14"/>
  <c r="E25" i="14"/>
  <c r="F25" i="14"/>
  <c r="B24" i="14"/>
  <c r="C24" i="14"/>
  <c r="D24" i="14"/>
  <c r="E24" i="14"/>
  <c r="F24" i="14"/>
  <c r="B23" i="14"/>
  <c r="C23" i="14"/>
  <c r="D23" i="14"/>
  <c r="E23" i="14"/>
  <c r="F23" i="14"/>
  <c r="B22" i="14"/>
  <c r="C22" i="14"/>
  <c r="D22" i="14"/>
  <c r="E22" i="14"/>
  <c r="F22" i="14"/>
  <c r="B21" i="14"/>
  <c r="C21" i="14"/>
  <c r="D21" i="14"/>
  <c r="E21" i="14"/>
  <c r="F21" i="14"/>
  <c r="B20" i="14"/>
  <c r="C20" i="14"/>
  <c r="D20" i="14"/>
  <c r="E20" i="14"/>
  <c r="F20" i="14"/>
  <c r="B19" i="14"/>
  <c r="C19" i="14"/>
  <c r="D19" i="14"/>
  <c r="E19" i="14"/>
  <c r="F19" i="14"/>
  <c r="B18" i="14"/>
  <c r="C18" i="14"/>
  <c r="D18" i="14"/>
  <c r="E18" i="14"/>
  <c r="F18" i="14"/>
  <c r="B17" i="14"/>
  <c r="C17" i="14"/>
  <c r="D17" i="14"/>
  <c r="E17" i="14"/>
  <c r="F17" i="14"/>
  <c r="B16" i="14"/>
  <c r="C16" i="14"/>
  <c r="D16" i="14"/>
  <c r="E16" i="14"/>
  <c r="F16" i="14"/>
  <c r="B15" i="14"/>
  <c r="C15" i="14"/>
  <c r="D15" i="14"/>
  <c r="E15" i="14"/>
  <c r="F15" i="14"/>
  <c r="B14" i="14"/>
  <c r="C14" i="14"/>
  <c r="D14" i="14"/>
  <c r="E14" i="14"/>
  <c r="F14" i="14"/>
  <c r="B13" i="14"/>
  <c r="C13" i="14"/>
  <c r="D13" i="14"/>
  <c r="E13" i="14"/>
  <c r="F13" i="14"/>
  <c r="B12" i="14"/>
  <c r="C12" i="14"/>
  <c r="D12" i="14"/>
  <c r="E12" i="14"/>
  <c r="F12" i="14"/>
  <c r="B11" i="14"/>
  <c r="C11" i="14"/>
  <c r="D11" i="14"/>
  <c r="E11" i="14"/>
  <c r="F11" i="14"/>
  <c r="AC99" i="11"/>
  <c r="B10" i="14"/>
  <c r="C10" i="14"/>
  <c r="D10" i="14"/>
  <c r="E10" i="14"/>
  <c r="F10" i="14"/>
  <c r="Y99" i="11"/>
  <c r="B9" i="14"/>
  <c r="C9" i="14"/>
  <c r="D9" i="14"/>
  <c r="E9" i="14"/>
  <c r="F9" i="14"/>
  <c r="Q99" i="11"/>
  <c r="B8" i="14"/>
  <c r="C8" i="14"/>
  <c r="D8" i="14"/>
  <c r="E8" i="14"/>
  <c r="F8" i="14"/>
  <c r="M99" i="11"/>
  <c r="B7" i="14"/>
  <c r="C7" i="14"/>
  <c r="D7" i="14"/>
  <c r="E7" i="14"/>
  <c r="F7" i="14"/>
  <c r="AN152" i="13"/>
  <c r="AN150" i="13"/>
  <c r="BH150" i="13"/>
  <c r="BD150" i="13"/>
  <c r="BG150" i="13"/>
  <c r="BC150" i="13"/>
  <c r="AC143" i="13"/>
  <c r="BR45" i="13"/>
  <c r="BN45" i="13"/>
  <c r="Y47" i="7"/>
  <c r="U47" i="7"/>
  <c r="M47" i="7"/>
  <c r="W266" i="9"/>
  <c r="U266" i="9"/>
  <c r="M266" i="9"/>
  <c r="W131" i="10"/>
  <c r="U131" i="10"/>
  <c r="M131" i="10"/>
  <c r="AE84" i="11"/>
  <c r="AC84" i="11"/>
  <c r="W84" i="11"/>
  <c r="U84" i="11"/>
  <c r="S84" i="11"/>
  <c r="Q84" i="11"/>
  <c r="Q84" i="12"/>
  <c r="U84" i="12"/>
  <c r="O84" i="12"/>
  <c r="AY134" i="5"/>
  <c r="Y134" i="5"/>
  <c r="W134" i="5"/>
  <c r="BY51" i="13"/>
  <c r="CC51" i="13"/>
  <c r="CE51" i="13"/>
  <c r="BY50" i="13"/>
  <c r="CC50" i="13"/>
  <c r="CE50" i="13"/>
  <c r="BY49" i="13"/>
  <c r="CC49" i="13"/>
  <c r="CE49" i="13"/>
  <c r="BY48" i="13"/>
  <c r="CC48" i="13"/>
  <c r="CE48" i="13"/>
  <c r="BY47" i="13"/>
  <c r="CC47" i="13"/>
  <c r="CE47" i="13"/>
  <c r="BY45" i="13"/>
  <c r="CC45" i="13"/>
  <c r="CE45" i="13"/>
  <c r="BY44" i="13"/>
  <c r="CC44" i="13"/>
  <c r="CE44" i="13"/>
  <c r="BY43" i="13"/>
  <c r="CC43" i="13"/>
  <c r="CE43" i="13"/>
  <c r="BY42" i="13"/>
  <c r="CC42" i="13"/>
  <c r="CE42" i="13"/>
  <c r="BY39" i="13"/>
  <c r="CC39" i="13"/>
  <c r="CE39" i="13"/>
  <c r="BY36" i="13"/>
  <c r="CC36" i="13"/>
  <c r="CE36" i="13"/>
  <c r="BY34" i="13"/>
  <c r="CC34" i="13"/>
  <c r="CE34" i="13"/>
  <c r="BY33" i="13"/>
  <c r="CC33" i="13"/>
  <c r="CE33" i="13"/>
  <c r="BY32" i="13"/>
  <c r="CC32" i="13"/>
  <c r="CE32" i="13"/>
  <c r="BY31" i="13"/>
  <c r="CC31" i="13"/>
  <c r="CE31" i="13"/>
  <c r="BY30" i="13"/>
  <c r="CC30" i="13"/>
  <c r="CE30" i="13"/>
  <c r="BY29" i="13"/>
  <c r="CC29" i="13"/>
  <c r="CE29" i="13"/>
  <c r="BY28" i="13"/>
  <c r="CC28" i="13"/>
  <c r="CE28" i="13"/>
  <c r="BY27" i="13"/>
  <c r="CC27" i="13"/>
  <c r="CE27" i="13"/>
  <c r="BY26" i="13"/>
  <c r="CC26" i="13"/>
  <c r="CE26" i="13"/>
  <c r="BY25" i="13"/>
  <c r="CC25" i="13"/>
  <c r="CE25" i="13"/>
  <c r="BY24" i="13"/>
  <c r="CC24" i="13"/>
  <c r="CE24" i="13"/>
  <c r="BY23" i="13"/>
  <c r="CC23" i="13"/>
  <c r="CE23" i="13"/>
  <c r="BY22" i="13"/>
  <c r="CC22" i="13"/>
  <c r="CE22" i="13"/>
  <c r="BY21" i="13"/>
  <c r="CC21" i="13"/>
  <c r="CE21" i="13"/>
  <c r="BY20" i="13"/>
  <c r="CC20" i="13"/>
  <c r="CE20" i="13"/>
  <c r="BY19" i="13"/>
  <c r="CC19" i="13"/>
  <c r="CE19" i="13"/>
  <c r="BY18" i="13"/>
  <c r="CC18" i="13"/>
  <c r="CE18" i="13"/>
  <c r="BY16" i="13"/>
  <c r="CC16" i="13"/>
  <c r="CE16" i="13"/>
  <c r="BY15" i="13"/>
  <c r="CC15" i="13"/>
  <c r="CE15" i="13"/>
  <c r="BY14" i="13"/>
  <c r="CC14" i="13"/>
  <c r="CE14" i="13"/>
  <c r="AR44" i="13"/>
  <c r="AV44" i="13"/>
  <c r="AX44" i="13"/>
  <c r="AR34" i="13"/>
  <c r="AV34" i="13"/>
  <c r="AX34" i="13"/>
  <c r="AR31" i="13"/>
  <c r="AV31" i="13"/>
  <c r="AX31" i="13"/>
  <c r="AR29" i="13"/>
  <c r="AV29" i="13"/>
  <c r="AX29" i="13"/>
  <c r="AH51" i="13"/>
  <c r="AL51" i="13"/>
  <c r="AN51" i="13"/>
  <c r="AH50" i="13"/>
  <c r="AL50" i="13"/>
  <c r="AN50" i="13"/>
  <c r="AH49" i="13"/>
  <c r="AL49" i="13"/>
  <c r="AN49" i="13"/>
  <c r="AH48" i="13"/>
  <c r="AL48" i="13"/>
  <c r="AN48" i="13"/>
  <c r="AH47" i="13"/>
  <c r="AL47" i="13"/>
  <c r="AN47" i="13"/>
  <c r="AH45" i="13"/>
  <c r="AL45" i="13"/>
  <c r="AN45" i="13"/>
  <c r="AH44" i="13"/>
  <c r="AL44" i="13"/>
  <c r="AN44" i="13"/>
  <c r="AH43" i="13"/>
  <c r="AL43" i="13"/>
  <c r="AN43" i="13"/>
  <c r="AH42" i="13"/>
  <c r="AL42" i="13"/>
  <c r="AN42" i="13"/>
  <c r="AH39" i="13"/>
  <c r="AL39" i="13"/>
  <c r="AN39" i="13"/>
  <c r="AH36" i="13"/>
  <c r="AL36" i="13"/>
  <c r="AN36" i="13"/>
  <c r="AH34" i="13"/>
  <c r="AL34" i="13"/>
  <c r="AN34" i="13"/>
  <c r="AH33" i="13"/>
  <c r="AL33" i="13"/>
  <c r="AN33" i="13"/>
  <c r="AH32" i="13"/>
  <c r="AL32" i="13"/>
  <c r="AN32" i="13"/>
  <c r="AH31" i="13"/>
  <c r="AL31" i="13"/>
  <c r="AN31" i="13"/>
  <c r="AH30" i="13"/>
  <c r="AL30" i="13"/>
  <c r="AN30" i="13"/>
  <c r="AH29" i="13"/>
  <c r="AL29" i="13"/>
  <c r="AN29" i="13"/>
  <c r="AH28" i="13"/>
  <c r="AL28" i="13"/>
  <c r="AN28" i="13"/>
  <c r="AH27" i="13"/>
  <c r="AL27" i="13"/>
  <c r="AN27" i="13"/>
  <c r="AH26" i="13"/>
  <c r="AL26" i="13"/>
  <c r="AN26" i="13"/>
  <c r="AH25" i="13"/>
  <c r="AL25" i="13"/>
  <c r="AN25" i="13"/>
  <c r="AH24" i="13"/>
  <c r="AL24" i="13"/>
  <c r="AN24" i="13"/>
  <c r="AH23" i="13"/>
  <c r="AL23" i="13"/>
  <c r="AN23" i="13"/>
  <c r="AH22" i="13"/>
  <c r="AL22" i="13"/>
  <c r="AN22" i="13"/>
  <c r="AH21" i="13"/>
  <c r="AL21" i="13"/>
  <c r="AN21" i="13"/>
  <c r="AH20" i="13"/>
  <c r="AL20" i="13"/>
  <c r="AN20" i="13"/>
  <c r="AH19" i="13"/>
  <c r="AL19" i="13"/>
  <c r="AN19" i="13"/>
  <c r="AH18" i="13"/>
  <c r="AL18" i="13"/>
  <c r="AN18" i="13"/>
  <c r="AH16" i="13"/>
  <c r="AL16" i="13"/>
  <c r="AN16" i="13"/>
  <c r="AH15" i="13"/>
  <c r="AL15" i="13"/>
  <c r="AN15" i="13"/>
  <c r="AH14" i="13"/>
  <c r="AL14" i="13"/>
  <c r="AN14" i="13"/>
  <c r="AH13" i="13"/>
  <c r="AL13" i="13"/>
  <c r="AN13" i="13"/>
  <c r="AH145" i="13"/>
  <c r="AL145" i="13"/>
  <c r="AN145" i="13"/>
  <c r="AH143" i="13"/>
  <c r="AL143" i="13"/>
  <c r="AN143" i="13"/>
  <c r="AU33" i="7"/>
  <c r="AM33" i="7"/>
  <c r="AI33" i="7"/>
  <c r="M33" i="7"/>
  <c r="Y33" i="7"/>
  <c r="W33" i="7"/>
  <c r="W32" i="7"/>
  <c r="W31" i="7"/>
  <c r="U35" i="7"/>
  <c r="U34" i="7"/>
  <c r="U33" i="7"/>
  <c r="U66" i="9"/>
  <c r="U76" i="10"/>
  <c r="AE51" i="11"/>
  <c r="AC51" i="11"/>
  <c r="U51" i="12"/>
  <c r="N135" i="13"/>
  <c r="O135" i="13"/>
  <c r="R135" i="13"/>
  <c r="S135" i="13"/>
  <c r="T135" i="13"/>
  <c r="X135" i="13"/>
  <c r="Y135" i="13"/>
  <c r="AB135" i="13"/>
  <c r="AC135" i="13"/>
  <c r="AD135" i="13"/>
  <c r="AH135" i="13"/>
  <c r="AL135" i="13"/>
  <c r="AR135" i="13"/>
  <c r="AV135" i="13"/>
  <c r="O78" i="5"/>
  <c r="Q78" i="5"/>
  <c r="S78" i="5"/>
  <c r="U78" i="5"/>
  <c r="W78" i="5"/>
  <c r="Y78" i="5"/>
  <c r="AA78" i="5"/>
  <c r="AC78" i="5"/>
  <c r="AE78" i="5"/>
  <c r="AG78" i="5"/>
  <c r="AI78" i="5"/>
  <c r="AK78" i="5"/>
  <c r="AM78" i="5"/>
  <c r="AO78" i="5"/>
  <c r="AQ78" i="5"/>
  <c r="AS78" i="5"/>
  <c r="AU78" i="5"/>
  <c r="AW78" i="5"/>
  <c r="AY78" i="5"/>
  <c r="AH129" i="13"/>
  <c r="AL129" i="13"/>
  <c r="AN129" i="13"/>
  <c r="AH127" i="13"/>
  <c r="AL127" i="13"/>
  <c r="AN127" i="13"/>
  <c r="AU12" i="7"/>
  <c r="AQ12" i="7"/>
  <c r="AI12" i="7"/>
  <c r="AG12" i="7"/>
  <c r="Y12" i="7"/>
  <c r="W12" i="7"/>
  <c r="U12" i="7"/>
  <c r="Y14" i="9"/>
  <c r="W14" i="9"/>
  <c r="U14" i="9"/>
  <c r="AA165" i="9"/>
  <c r="W165" i="9"/>
  <c r="O165" i="9"/>
  <c r="M165" i="9"/>
  <c r="BC13" i="11"/>
  <c r="BA13" i="11"/>
  <c r="AU15" i="10"/>
  <c r="AQ15" i="10"/>
  <c r="AI15" i="10"/>
  <c r="AG15" i="10"/>
  <c r="Y15" i="10"/>
  <c r="W15" i="10"/>
  <c r="U15" i="10"/>
  <c r="BA15" i="5"/>
  <c r="AU13" i="11"/>
  <c r="AS13" i="11"/>
  <c r="AI13" i="11"/>
  <c r="AG13" i="11"/>
  <c r="AC13" i="12"/>
  <c r="W13" i="12"/>
  <c r="M15" i="5"/>
  <c r="AA15" i="5"/>
  <c r="W13" i="11"/>
  <c r="BO13" i="11"/>
  <c r="BM13" i="11"/>
  <c r="AY13" i="11"/>
  <c r="AW13" i="11"/>
  <c r="AE13" i="11"/>
  <c r="AC13" i="11"/>
  <c r="U13" i="11"/>
  <c r="U11" i="11"/>
  <c r="AE13" i="12"/>
  <c r="Q15" i="5"/>
  <c r="U13" i="12"/>
  <c r="AM13" i="12"/>
  <c r="Q13" i="12"/>
  <c r="AY15" i="5"/>
  <c r="S15" i="5"/>
  <c r="W15" i="5"/>
  <c r="BY13" i="13"/>
  <c r="CC13" i="13"/>
  <c r="CE13" i="13"/>
  <c r="AV152" i="13"/>
  <c r="AV151" i="13"/>
  <c r="AV150" i="13"/>
  <c r="AV149" i="13"/>
  <c r="AV148" i="13"/>
  <c r="AV147" i="13"/>
  <c r="AV146" i="13"/>
  <c r="AV145" i="13"/>
  <c r="AV144" i="13"/>
  <c r="AV143" i="13"/>
  <c r="AV142" i="13"/>
  <c r="AV141" i="13"/>
  <c r="AV140" i="13"/>
  <c r="AV138" i="13"/>
  <c r="AV136" i="13"/>
  <c r="AV134" i="13"/>
  <c r="AV133" i="13"/>
  <c r="AV131" i="13"/>
  <c r="AV130" i="13"/>
  <c r="AV129" i="13"/>
  <c r="AV128" i="13"/>
  <c r="AV127" i="13"/>
  <c r="AV126" i="13"/>
  <c r="AV125" i="13"/>
  <c r="AR152" i="13"/>
  <c r="AR151" i="13"/>
  <c r="AR150" i="13"/>
  <c r="AR149" i="13"/>
  <c r="AR148" i="13"/>
  <c r="AR147" i="13"/>
  <c r="AR146" i="13"/>
  <c r="AR145" i="13"/>
  <c r="AR144" i="13"/>
  <c r="AR143" i="13"/>
  <c r="AR142" i="13"/>
  <c r="AR141" i="13"/>
  <c r="AR140" i="13"/>
  <c r="AR138" i="13"/>
  <c r="AR136" i="13"/>
  <c r="AR134" i="13"/>
  <c r="AR133" i="13"/>
  <c r="AR131" i="13"/>
  <c r="AR130" i="13"/>
  <c r="AR129" i="13"/>
  <c r="AR128" i="13"/>
  <c r="AR127" i="13"/>
  <c r="AR126" i="13"/>
  <c r="AR125" i="13"/>
  <c r="AL152" i="13"/>
  <c r="AL151" i="13"/>
  <c r="AL150" i="13"/>
  <c r="AL149" i="13"/>
  <c r="AL148" i="13"/>
  <c r="AL147" i="13"/>
  <c r="AL146" i="13"/>
  <c r="AL144" i="13"/>
  <c r="AL142" i="13"/>
  <c r="AL141" i="13"/>
  <c r="AL140" i="13"/>
  <c r="AL138" i="13"/>
  <c r="AL136" i="13"/>
  <c r="AL134" i="13"/>
  <c r="AL133" i="13"/>
  <c r="AL131" i="13"/>
  <c r="AL130" i="13"/>
  <c r="AL128" i="13"/>
  <c r="AL126" i="13"/>
  <c r="AL125" i="13"/>
  <c r="AH152" i="13"/>
  <c r="AH151" i="13"/>
  <c r="AH150" i="13"/>
  <c r="AH149" i="13"/>
  <c r="AH148" i="13"/>
  <c r="AH147" i="13"/>
  <c r="AH146" i="13"/>
  <c r="AH144" i="13"/>
  <c r="AH142" i="13"/>
  <c r="AH141" i="13"/>
  <c r="AH140" i="13"/>
  <c r="AH138" i="13"/>
  <c r="AH136" i="13"/>
  <c r="AH134" i="13"/>
  <c r="AH133" i="13"/>
  <c r="AH131" i="13"/>
  <c r="AH130" i="13"/>
  <c r="AH128" i="13"/>
  <c r="AH126" i="13"/>
  <c r="AH125" i="13"/>
  <c r="X152" i="13"/>
  <c r="AB152" i="13"/>
  <c r="AD152" i="13"/>
  <c r="X151" i="13"/>
  <c r="AB151" i="13"/>
  <c r="AD151" i="13"/>
  <c r="X150" i="13"/>
  <c r="AB150" i="13"/>
  <c r="AD150" i="13"/>
  <c r="X149" i="13"/>
  <c r="AB149" i="13"/>
  <c r="AD149" i="13"/>
  <c r="X148" i="13"/>
  <c r="AB148" i="13"/>
  <c r="AD148" i="13"/>
  <c r="X147" i="13"/>
  <c r="AB147" i="13"/>
  <c r="AD147" i="13"/>
  <c r="X146" i="13"/>
  <c r="AB146" i="13"/>
  <c r="AD146" i="13"/>
  <c r="X145" i="13"/>
  <c r="AB145" i="13"/>
  <c r="AD145" i="13"/>
  <c r="X144" i="13"/>
  <c r="AB144" i="13"/>
  <c r="AD144" i="13"/>
  <c r="X143" i="13"/>
  <c r="AB143" i="13"/>
  <c r="AD143" i="13"/>
  <c r="AD142" i="13"/>
  <c r="AB141" i="13"/>
  <c r="AD141" i="13"/>
  <c r="X140" i="13"/>
  <c r="AB140" i="13"/>
  <c r="AD140" i="13"/>
  <c r="X138" i="13"/>
  <c r="AB138" i="13"/>
  <c r="AD138" i="13"/>
  <c r="X136" i="13"/>
  <c r="AB136" i="13"/>
  <c r="AD136" i="13"/>
  <c r="X134" i="13"/>
  <c r="AB134" i="13"/>
  <c r="AD134" i="13"/>
  <c r="X133" i="13"/>
  <c r="AB133" i="13"/>
  <c r="AD133" i="13"/>
  <c r="X131" i="13"/>
  <c r="AB131" i="13"/>
  <c r="AD131" i="13"/>
  <c r="X130" i="13"/>
  <c r="AB130" i="13"/>
  <c r="AD130" i="13"/>
  <c r="AB129" i="13"/>
  <c r="X129" i="13"/>
  <c r="AD129" i="13"/>
  <c r="X128" i="13"/>
  <c r="AB128" i="13"/>
  <c r="AD128" i="13"/>
  <c r="X127" i="13"/>
  <c r="AB127" i="13"/>
  <c r="AD127" i="13"/>
  <c r="X126" i="13"/>
  <c r="AB126" i="13"/>
  <c r="AD126" i="13"/>
  <c r="X125" i="13"/>
  <c r="AB125" i="13"/>
  <c r="AD125" i="13"/>
  <c r="AC152" i="13"/>
  <c r="AC151" i="13"/>
  <c r="AC150" i="13"/>
  <c r="AC149" i="13"/>
  <c r="AC148" i="13"/>
  <c r="AC147" i="13"/>
  <c r="AC146" i="13"/>
  <c r="AC145" i="13"/>
  <c r="AC144" i="13"/>
  <c r="AC141" i="13"/>
  <c r="AC140" i="13"/>
  <c r="AC138" i="13"/>
  <c r="AC136" i="13"/>
  <c r="AC134" i="13"/>
  <c r="AC133" i="13"/>
  <c r="AC131" i="13"/>
  <c r="AC130" i="13"/>
  <c r="AC129" i="13"/>
  <c r="AC128" i="13"/>
  <c r="AC127" i="13"/>
  <c r="AC126" i="13"/>
  <c r="AC125" i="13"/>
  <c r="Y152" i="13"/>
  <c r="Y151" i="13"/>
  <c r="Y150" i="13"/>
  <c r="Y149" i="13"/>
  <c r="Y148" i="13"/>
  <c r="Y147" i="13"/>
  <c r="Y146" i="13"/>
  <c r="Y145" i="13"/>
  <c r="Y144" i="13"/>
  <c r="Y143" i="13"/>
  <c r="Y140" i="13"/>
  <c r="Y138" i="13"/>
  <c r="Y136" i="13"/>
  <c r="Y134" i="13"/>
  <c r="Y133" i="13"/>
  <c r="Y131" i="13"/>
  <c r="Y130" i="13"/>
  <c r="Y129" i="13"/>
  <c r="Y128" i="13"/>
  <c r="Y127" i="13"/>
  <c r="Y126" i="13"/>
  <c r="Y125" i="13"/>
  <c r="N152" i="13"/>
  <c r="R152" i="13"/>
  <c r="T152" i="13"/>
  <c r="N151" i="13"/>
  <c r="R151" i="13"/>
  <c r="T151" i="13"/>
  <c r="N150" i="13"/>
  <c r="R150" i="13"/>
  <c r="T150" i="13"/>
  <c r="N149" i="13"/>
  <c r="R149" i="13"/>
  <c r="T149" i="13"/>
  <c r="N148" i="13"/>
  <c r="R148" i="13"/>
  <c r="T148" i="13"/>
  <c r="N147" i="13"/>
  <c r="R147" i="13"/>
  <c r="T147" i="13"/>
  <c r="N146" i="13"/>
  <c r="R146" i="13"/>
  <c r="T146" i="13"/>
  <c r="N145" i="13"/>
  <c r="R145" i="13"/>
  <c r="T145" i="13"/>
  <c r="N144" i="13"/>
  <c r="R144" i="13"/>
  <c r="T144" i="13"/>
  <c r="N143" i="13"/>
  <c r="R143" i="13"/>
  <c r="T143" i="13"/>
  <c r="N142" i="13"/>
  <c r="R142" i="13"/>
  <c r="T142" i="13"/>
  <c r="N141" i="13"/>
  <c r="R141" i="13"/>
  <c r="T141" i="13"/>
  <c r="N140" i="13"/>
  <c r="R140" i="13"/>
  <c r="T140" i="13"/>
  <c r="N138" i="13"/>
  <c r="R138" i="13"/>
  <c r="T138" i="13"/>
  <c r="N136" i="13"/>
  <c r="R136" i="13"/>
  <c r="T136" i="13"/>
  <c r="N134" i="13"/>
  <c r="R134" i="13"/>
  <c r="T134" i="13"/>
  <c r="N131" i="13"/>
  <c r="R131" i="13"/>
  <c r="T131" i="13"/>
  <c r="N130" i="13"/>
  <c r="R130" i="13"/>
  <c r="T130" i="13"/>
  <c r="R129" i="13"/>
  <c r="N129" i="13"/>
  <c r="T129" i="13"/>
  <c r="N128" i="13"/>
  <c r="R128" i="13"/>
  <c r="T128" i="13"/>
  <c r="N127" i="13"/>
  <c r="R127" i="13"/>
  <c r="T127" i="13"/>
  <c r="N126" i="13"/>
  <c r="R126" i="13"/>
  <c r="T126" i="13"/>
  <c r="S152" i="13"/>
  <c r="S151" i="13"/>
  <c r="S150" i="13"/>
  <c r="S149" i="13"/>
  <c r="S148" i="13"/>
  <c r="S147" i="13"/>
  <c r="S146" i="13"/>
  <c r="S145" i="13"/>
  <c r="S144" i="13"/>
  <c r="S143" i="13"/>
  <c r="S142" i="13"/>
  <c r="S141" i="13"/>
  <c r="S140" i="13"/>
  <c r="S138" i="13"/>
  <c r="S136" i="13"/>
  <c r="S134" i="13"/>
  <c r="S133" i="13"/>
  <c r="R133" i="13"/>
  <c r="S131" i="13"/>
  <c r="S130" i="13"/>
  <c r="S129" i="13"/>
  <c r="S128" i="13"/>
  <c r="S127" i="13"/>
  <c r="S126" i="13"/>
  <c r="S125" i="13"/>
  <c r="R125" i="13"/>
  <c r="O152" i="13"/>
  <c r="O151" i="13"/>
  <c r="O150" i="13"/>
  <c r="O149" i="13"/>
  <c r="O148" i="13"/>
  <c r="O147" i="13"/>
  <c r="O146" i="13"/>
  <c r="O145" i="13"/>
  <c r="O144" i="13"/>
  <c r="O143" i="13"/>
  <c r="O142" i="13"/>
  <c r="O141" i="13"/>
  <c r="O140" i="13"/>
  <c r="O138" i="13"/>
  <c r="O136" i="13"/>
  <c r="O134" i="13"/>
  <c r="O133" i="13"/>
  <c r="N133" i="13"/>
  <c r="O131" i="13"/>
  <c r="O130" i="13"/>
  <c r="O129" i="13"/>
  <c r="O128" i="13"/>
  <c r="O127" i="13"/>
  <c r="O126" i="13"/>
  <c r="O125" i="13"/>
  <c r="N125" i="13"/>
  <c r="BQ84" i="13"/>
  <c r="BP84" i="13"/>
  <c r="BM84" i="13"/>
  <c r="BL84" i="13"/>
  <c r="BG80" i="13"/>
  <c r="BF80" i="13"/>
  <c r="BC80" i="13"/>
  <c r="BB80" i="13"/>
  <c r="AW85" i="13"/>
  <c r="AV85" i="13"/>
  <c r="AS85" i="13"/>
  <c r="AR85" i="13"/>
  <c r="AC103" i="13"/>
  <c r="AC101" i="13"/>
  <c r="AC100" i="13"/>
  <c r="AC99" i="13"/>
  <c r="AC97" i="13"/>
  <c r="AC95" i="13"/>
  <c r="AC92" i="13"/>
  <c r="AC91" i="13"/>
  <c r="AC87" i="13"/>
  <c r="AC85" i="13"/>
  <c r="AC84" i="13"/>
  <c r="AC82" i="13"/>
  <c r="AC81" i="13"/>
  <c r="AC80" i="13"/>
  <c r="AC79" i="13"/>
  <c r="AC78" i="13"/>
  <c r="AC77" i="13"/>
  <c r="AC76" i="13"/>
  <c r="AC75" i="13"/>
  <c r="AC74" i="13"/>
  <c r="AC73" i="13"/>
  <c r="Y103" i="13"/>
  <c r="Y101" i="13"/>
  <c r="Y100" i="13"/>
  <c r="Y99" i="13"/>
  <c r="Y97" i="13"/>
  <c r="Y95" i="13"/>
  <c r="Y92" i="13"/>
  <c r="Y91" i="13"/>
  <c r="Y87" i="13"/>
  <c r="Y85" i="13"/>
  <c r="Y84" i="13"/>
  <c r="Y82" i="13"/>
  <c r="Y81" i="13"/>
  <c r="Y80" i="13"/>
  <c r="Y79" i="13"/>
  <c r="Y78" i="13"/>
  <c r="Y77" i="13"/>
  <c r="Y76" i="13"/>
  <c r="Y75" i="13"/>
  <c r="Y74" i="13"/>
  <c r="Y73" i="13"/>
  <c r="S103" i="13"/>
  <c r="S101" i="13"/>
  <c r="S99" i="13"/>
  <c r="S97" i="13"/>
  <c r="S95" i="13"/>
  <c r="S92" i="13"/>
  <c r="S91" i="13"/>
  <c r="S87" i="13"/>
  <c r="S85" i="13"/>
  <c r="S84" i="13"/>
  <c r="S83" i="13"/>
  <c r="S82" i="13"/>
  <c r="S81" i="13"/>
  <c r="S80" i="13"/>
  <c r="S79" i="13"/>
  <c r="S78" i="13"/>
  <c r="S77" i="13"/>
  <c r="S76" i="13"/>
  <c r="S75" i="13"/>
  <c r="S74" i="13"/>
  <c r="O103" i="13"/>
  <c r="O101" i="13"/>
  <c r="O99" i="13"/>
  <c r="O97" i="13"/>
  <c r="O95" i="13"/>
  <c r="O92" i="13"/>
  <c r="O91" i="13"/>
  <c r="O87" i="13"/>
  <c r="O85" i="13"/>
  <c r="O84" i="13"/>
  <c r="O83" i="13"/>
  <c r="O82" i="13"/>
  <c r="O81" i="13"/>
  <c r="O80" i="13"/>
  <c r="O79" i="13"/>
  <c r="O78" i="13"/>
  <c r="O77" i="13"/>
  <c r="O76" i="13"/>
  <c r="O75" i="13"/>
  <c r="O74" i="13"/>
  <c r="AM77" i="13"/>
  <c r="AI77" i="13"/>
  <c r="AL103" i="13"/>
  <c r="AL101" i="13"/>
  <c r="AL100" i="13"/>
  <c r="AL99" i="13"/>
  <c r="AL97" i="13"/>
  <c r="AL95" i="13"/>
  <c r="AL92" i="13"/>
  <c r="AL91" i="13"/>
  <c r="AL87" i="13"/>
  <c r="AL85" i="13"/>
  <c r="AL84" i="13"/>
  <c r="AL83" i="13"/>
  <c r="AL82" i="13"/>
  <c r="AL81" i="13"/>
  <c r="AL80" i="13"/>
  <c r="AL79" i="13"/>
  <c r="AL78" i="13"/>
  <c r="AL77" i="13"/>
  <c r="AL76" i="13"/>
  <c r="AL75" i="13"/>
  <c r="AL74" i="13"/>
  <c r="AL73" i="13"/>
  <c r="AH103" i="13"/>
  <c r="AH101" i="13"/>
  <c r="AH100" i="13"/>
  <c r="AH99" i="13"/>
  <c r="AH97" i="13"/>
  <c r="AH95" i="13"/>
  <c r="AH92" i="13"/>
  <c r="AH91" i="13"/>
  <c r="AH87" i="13"/>
  <c r="AH85" i="13"/>
  <c r="AH84" i="13"/>
  <c r="AH83" i="13"/>
  <c r="AH82" i="13"/>
  <c r="AH81" i="13"/>
  <c r="AH80" i="13"/>
  <c r="AH79" i="13"/>
  <c r="AH78" i="13"/>
  <c r="AH77" i="13"/>
  <c r="AH76" i="13"/>
  <c r="AH75" i="13"/>
  <c r="AH74" i="13"/>
  <c r="AH73" i="13"/>
  <c r="AB103" i="13"/>
  <c r="AB101" i="13"/>
  <c r="AB100" i="13"/>
  <c r="AB99" i="13"/>
  <c r="AB97" i="13"/>
  <c r="AB95" i="13"/>
  <c r="AB92" i="13"/>
  <c r="AB91" i="13"/>
  <c r="AB87" i="13"/>
  <c r="AB85" i="13"/>
  <c r="AB84" i="13"/>
  <c r="AB83" i="13"/>
  <c r="AB82" i="13"/>
  <c r="AB81" i="13"/>
  <c r="AB80" i="13"/>
  <c r="AB79" i="13"/>
  <c r="AB78" i="13"/>
  <c r="AB77" i="13"/>
  <c r="AB76" i="13"/>
  <c r="AB75" i="13"/>
  <c r="AB74" i="13"/>
  <c r="AB73" i="13"/>
  <c r="X103" i="13"/>
  <c r="X101" i="13"/>
  <c r="X100" i="13"/>
  <c r="X99" i="13"/>
  <c r="X97" i="13"/>
  <c r="X95" i="13"/>
  <c r="X92" i="13"/>
  <c r="X91" i="13"/>
  <c r="X87" i="13"/>
  <c r="X85" i="13"/>
  <c r="X84" i="13"/>
  <c r="X83" i="13"/>
  <c r="X82" i="13"/>
  <c r="X81" i="13"/>
  <c r="X80" i="13"/>
  <c r="X79" i="13"/>
  <c r="X78" i="13"/>
  <c r="X77" i="13"/>
  <c r="X76" i="13"/>
  <c r="X75" i="13"/>
  <c r="X74" i="13"/>
  <c r="X73" i="13"/>
  <c r="R103" i="13"/>
  <c r="R101" i="13"/>
  <c r="R100" i="13"/>
  <c r="R99" i="13"/>
  <c r="R97" i="13"/>
  <c r="R95" i="13"/>
  <c r="R92" i="13"/>
  <c r="R91" i="13"/>
  <c r="R87" i="13"/>
  <c r="R85" i="13"/>
  <c r="R84" i="13"/>
  <c r="R83" i="13"/>
  <c r="R82" i="13"/>
  <c r="R81" i="13"/>
  <c r="R80" i="13"/>
  <c r="R79" i="13"/>
  <c r="R73" i="13"/>
  <c r="R78" i="13"/>
  <c r="R77" i="13"/>
  <c r="R76" i="13"/>
  <c r="R75" i="13"/>
  <c r="R74" i="13"/>
  <c r="N103" i="13"/>
  <c r="N101" i="13"/>
  <c r="N100" i="13"/>
  <c r="N99" i="13"/>
  <c r="N97" i="13"/>
  <c r="N95" i="13"/>
  <c r="N92" i="13"/>
  <c r="N91" i="13"/>
  <c r="N87" i="13"/>
  <c r="N85" i="13"/>
  <c r="N84" i="13"/>
  <c r="N83" i="13"/>
  <c r="N82" i="13"/>
  <c r="N81" i="13"/>
  <c r="N80" i="13"/>
  <c r="N79" i="13"/>
  <c r="N78" i="13"/>
  <c r="N77" i="13"/>
  <c r="N76" i="13"/>
  <c r="N74" i="13"/>
  <c r="N73" i="13"/>
  <c r="N75" i="13"/>
  <c r="X51" i="13"/>
  <c r="AB51" i="13"/>
  <c r="AD51" i="13"/>
  <c r="X50" i="13"/>
  <c r="AB50" i="13"/>
  <c r="AD50" i="13"/>
  <c r="X49" i="13"/>
  <c r="AB49" i="13"/>
  <c r="AD49" i="13"/>
  <c r="X48" i="13"/>
  <c r="AB48" i="13"/>
  <c r="AD48" i="13"/>
  <c r="X47" i="13"/>
  <c r="AB47" i="13"/>
  <c r="AD47" i="13"/>
  <c r="X45" i="13"/>
  <c r="AB45" i="13"/>
  <c r="AD45" i="13"/>
  <c r="X44" i="13"/>
  <c r="AB44" i="13"/>
  <c r="AD44" i="13"/>
  <c r="X43" i="13"/>
  <c r="AB43" i="13"/>
  <c r="AD43" i="13"/>
  <c r="X42" i="13"/>
  <c r="AB42" i="13"/>
  <c r="AD42" i="13"/>
  <c r="X39" i="13"/>
  <c r="AB39" i="13"/>
  <c r="AD39" i="13"/>
  <c r="X36" i="13"/>
  <c r="AB36" i="13"/>
  <c r="AD36" i="13"/>
  <c r="X34" i="13"/>
  <c r="AB34" i="13"/>
  <c r="AD34" i="13"/>
  <c r="X33" i="13"/>
  <c r="AB33" i="13"/>
  <c r="AD33" i="13"/>
  <c r="X32" i="13"/>
  <c r="AB32" i="13"/>
  <c r="AD32" i="13"/>
  <c r="X31" i="13"/>
  <c r="AB31" i="13"/>
  <c r="AD31" i="13"/>
  <c r="X30" i="13"/>
  <c r="AB30" i="13"/>
  <c r="AD30" i="13"/>
  <c r="X29" i="13"/>
  <c r="AB29" i="13"/>
  <c r="AD29" i="13"/>
  <c r="X28" i="13"/>
  <c r="AB28" i="13"/>
  <c r="AD28" i="13"/>
  <c r="X27" i="13"/>
  <c r="AB27" i="13"/>
  <c r="AD27" i="13"/>
  <c r="X26" i="13"/>
  <c r="AB26" i="13"/>
  <c r="AD26" i="13"/>
  <c r="X25" i="13"/>
  <c r="AB25" i="13"/>
  <c r="AD25" i="13"/>
  <c r="X24" i="13"/>
  <c r="AB24" i="13"/>
  <c r="AD24" i="13"/>
  <c r="X23" i="13"/>
  <c r="AB23" i="13"/>
  <c r="AD23" i="13"/>
  <c r="X22" i="13"/>
  <c r="AB22" i="13"/>
  <c r="AD22" i="13"/>
  <c r="X21" i="13"/>
  <c r="AB21" i="13"/>
  <c r="AD21" i="13"/>
  <c r="X20" i="13"/>
  <c r="AB20" i="13"/>
  <c r="AD20" i="13"/>
  <c r="X19" i="13"/>
  <c r="AB19" i="13"/>
  <c r="AD19" i="13"/>
  <c r="X18" i="13"/>
  <c r="AB18" i="13"/>
  <c r="AD18" i="13"/>
  <c r="X16" i="13"/>
  <c r="AB16" i="13"/>
  <c r="AD16" i="13"/>
  <c r="X15" i="13"/>
  <c r="AB15" i="13"/>
  <c r="AD15" i="13"/>
  <c r="X14" i="13"/>
  <c r="AB14" i="13"/>
  <c r="AD14" i="13"/>
  <c r="X13" i="13"/>
  <c r="AB13" i="13"/>
  <c r="AD13" i="13"/>
  <c r="AC51" i="13"/>
  <c r="AC50" i="13"/>
  <c r="AC49" i="13"/>
  <c r="AC48" i="13"/>
  <c r="AC47" i="13"/>
  <c r="AC45" i="13"/>
  <c r="AC44" i="13"/>
  <c r="AC43" i="13"/>
  <c r="AC42" i="13"/>
  <c r="AC39" i="13"/>
  <c r="AC36" i="13"/>
  <c r="AC34" i="13"/>
  <c r="AC33" i="13"/>
  <c r="AC32" i="13"/>
  <c r="AC31" i="13"/>
  <c r="AC30" i="13"/>
  <c r="AC29" i="13"/>
  <c r="AC28" i="13"/>
  <c r="AC27" i="13"/>
  <c r="AC26" i="13"/>
  <c r="AC25" i="13"/>
  <c r="AC24" i="13"/>
  <c r="AC23" i="13"/>
  <c r="AC22" i="13"/>
  <c r="AC21" i="13"/>
  <c r="AC20" i="13"/>
  <c r="AC19" i="13"/>
  <c r="AC18" i="13"/>
  <c r="AC16" i="13"/>
  <c r="AC15" i="13"/>
  <c r="AC14" i="13"/>
  <c r="AC13" i="13"/>
  <c r="Y51" i="13"/>
  <c r="Y50" i="13"/>
  <c r="Y49" i="13"/>
  <c r="Y48" i="13"/>
  <c r="Y47" i="13"/>
  <c r="Y45" i="13"/>
  <c r="Y44" i="13"/>
  <c r="Y43" i="13"/>
  <c r="Y42" i="13"/>
  <c r="Y39" i="13"/>
  <c r="Y36" i="13"/>
  <c r="Y34" i="13"/>
  <c r="Y33" i="13"/>
  <c r="Y32" i="13"/>
  <c r="Y31" i="13"/>
  <c r="Y30" i="13"/>
  <c r="Y29" i="13"/>
  <c r="Y28" i="13"/>
  <c r="Y27" i="13"/>
  <c r="Y26" i="13"/>
  <c r="Y25" i="13"/>
  <c r="Y24" i="13"/>
  <c r="Y23" i="13"/>
  <c r="Y22" i="13"/>
  <c r="Y21" i="13"/>
  <c r="Y20" i="13"/>
  <c r="Y19" i="13"/>
  <c r="Y18" i="13"/>
  <c r="Y15" i="13"/>
  <c r="Y14" i="13"/>
  <c r="Y13" i="13"/>
  <c r="Y16" i="13"/>
  <c r="N51" i="13"/>
  <c r="R51" i="13"/>
  <c r="T51" i="13"/>
  <c r="N50" i="13"/>
  <c r="R50" i="13"/>
  <c r="T50" i="13"/>
  <c r="N49" i="13"/>
  <c r="R49" i="13"/>
  <c r="T49" i="13"/>
  <c r="N48" i="13"/>
  <c r="R48" i="13"/>
  <c r="T48" i="13"/>
  <c r="N47" i="13"/>
  <c r="R47" i="13"/>
  <c r="T47" i="13"/>
  <c r="N45" i="13"/>
  <c r="R45" i="13"/>
  <c r="T45" i="13"/>
  <c r="N44" i="13"/>
  <c r="R44" i="13"/>
  <c r="T44" i="13"/>
  <c r="N43" i="13"/>
  <c r="R43" i="13"/>
  <c r="T43" i="13"/>
  <c r="N42" i="13"/>
  <c r="R42" i="13"/>
  <c r="T42" i="13"/>
  <c r="N39" i="13"/>
  <c r="R39" i="13"/>
  <c r="T39" i="13"/>
  <c r="N36" i="13"/>
  <c r="R36" i="13"/>
  <c r="T36" i="13"/>
  <c r="N34" i="13"/>
  <c r="R34" i="13"/>
  <c r="T34" i="13"/>
  <c r="N33" i="13"/>
  <c r="R33" i="13"/>
  <c r="T33" i="13"/>
  <c r="N32" i="13"/>
  <c r="R32" i="13"/>
  <c r="T32" i="13"/>
  <c r="N31" i="13"/>
  <c r="R31" i="13"/>
  <c r="T31" i="13"/>
  <c r="N30" i="13"/>
  <c r="R30" i="13"/>
  <c r="T30" i="13"/>
  <c r="N29" i="13"/>
  <c r="R29" i="13"/>
  <c r="T29" i="13"/>
  <c r="N28" i="13"/>
  <c r="R28" i="13"/>
  <c r="T28" i="13"/>
  <c r="N27" i="13"/>
  <c r="R27" i="13"/>
  <c r="T27" i="13"/>
  <c r="N26" i="13"/>
  <c r="R26" i="13"/>
  <c r="T26" i="13"/>
  <c r="N25" i="13"/>
  <c r="R25" i="13"/>
  <c r="T25" i="13"/>
  <c r="N24" i="13"/>
  <c r="R24" i="13"/>
  <c r="T24" i="13"/>
  <c r="N23" i="13"/>
  <c r="R23" i="13"/>
  <c r="T23" i="13"/>
  <c r="N22" i="13"/>
  <c r="R22" i="13"/>
  <c r="T22" i="13"/>
  <c r="N21" i="13"/>
  <c r="R21" i="13"/>
  <c r="T21" i="13"/>
  <c r="N20" i="13"/>
  <c r="R20" i="13"/>
  <c r="T20" i="13"/>
  <c r="N19" i="13"/>
  <c r="R19" i="13"/>
  <c r="T19" i="13"/>
  <c r="N16" i="13"/>
  <c r="R16" i="13"/>
  <c r="T16" i="13"/>
  <c r="N15" i="13"/>
  <c r="R15" i="13"/>
  <c r="T15" i="13"/>
  <c r="N14" i="13"/>
  <c r="R14" i="13"/>
  <c r="T14" i="13"/>
  <c r="N13" i="13"/>
  <c r="R13" i="13"/>
  <c r="T13" i="13"/>
  <c r="N18" i="13"/>
  <c r="R18" i="13"/>
  <c r="T18" i="13"/>
  <c r="S51" i="13"/>
  <c r="S50" i="13"/>
  <c r="S49" i="13"/>
  <c r="S48" i="13"/>
  <c r="S47" i="13"/>
  <c r="S45" i="13"/>
  <c r="S44" i="13"/>
  <c r="S43" i="13"/>
  <c r="S42" i="13"/>
  <c r="S39" i="13"/>
  <c r="S36" i="13"/>
  <c r="S34" i="13"/>
  <c r="S33" i="13"/>
  <c r="S32" i="13"/>
  <c r="S31" i="13"/>
  <c r="S30" i="13"/>
  <c r="S29" i="13"/>
  <c r="S28" i="13"/>
  <c r="S27" i="13"/>
  <c r="S26" i="13"/>
  <c r="S25" i="13"/>
  <c r="S24" i="13"/>
  <c r="S23" i="13"/>
  <c r="S22" i="13"/>
  <c r="S21" i="13"/>
  <c r="S20" i="13"/>
  <c r="S19" i="13"/>
  <c r="S18" i="13"/>
  <c r="S16" i="13"/>
  <c r="S15" i="13"/>
  <c r="S14" i="13"/>
  <c r="S13" i="13"/>
  <c r="O51" i="13"/>
  <c r="O50" i="13"/>
  <c r="O49" i="13"/>
  <c r="O48" i="13"/>
  <c r="O47" i="13"/>
  <c r="O45" i="13"/>
  <c r="O44" i="13"/>
  <c r="O43" i="13"/>
  <c r="O42" i="13"/>
  <c r="O39" i="13"/>
  <c r="O36" i="13"/>
  <c r="O34" i="13"/>
  <c r="O33" i="13"/>
  <c r="O32" i="13"/>
  <c r="O31" i="13"/>
  <c r="O30" i="13"/>
  <c r="O29" i="13"/>
  <c r="O28" i="13"/>
  <c r="O27" i="13"/>
  <c r="O26" i="13"/>
  <c r="O25" i="13"/>
  <c r="O24" i="13"/>
  <c r="O23" i="13"/>
  <c r="O22" i="13"/>
  <c r="O21" i="13"/>
  <c r="O20" i="13"/>
  <c r="O19" i="13"/>
  <c r="O18" i="13"/>
  <c r="O16" i="13"/>
  <c r="O15" i="13"/>
  <c r="O14" i="13"/>
  <c r="O13" i="13"/>
  <c r="AQ33" i="7"/>
  <c r="CQ11" i="11"/>
  <c r="CQ12" i="11"/>
  <c r="CQ17" i="11"/>
  <c r="CQ18" i="11"/>
  <c r="CQ19" i="11"/>
  <c r="CQ20" i="11"/>
  <c r="CQ21" i="11"/>
  <c r="CQ23" i="11"/>
  <c r="CQ24" i="11"/>
  <c r="CQ28" i="11"/>
  <c r="CQ30" i="11"/>
  <c r="CQ31" i="11"/>
  <c r="CQ32" i="11"/>
  <c r="CQ36" i="11"/>
  <c r="CQ37" i="11"/>
  <c r="CQ39" i="11"/>
  <c r="CQ40" i="11"/>
  <c r="CQ41" i="11"/>
  <c r="CQ42" i="11"/>
  <c r="CQ43" i="11"/>
  <c r="CQ44" i="11"/>
  <c r="CQ45" i="11"/>
  <c r="CQ47" i="11"/>
  <c r="CQ48" i="11"/>
  <c r="CQ49" i="11"/>
  <c r="CQ50" i="11"/>
  <c r="CQ53" i="11"/>
  <c r="CQ54" i="11"/>
  <c r="CQ55" i="11"/>
  <c r="CQ57" i="11"/>
  <c r="CQ59" i="11"/>
  <c r="CQ64" i="11"/>
  <c r="CQ68" i="11"/>
  <c r="CQ69" i="11"/>
  <c r="CQ70" i="11"/>
  <c r="CQ72" i="11"/>
  <c r="CQ74" i="11"/>
  <c r="CQ75" i="11"/>
  <c r="CQ76" i="11"/>
  <c r="CQ77" i="11"/>
  <c r="CQ79" i="11"/>
  <c r="CQ80" i="11"/>
  <c r="CQ82" i="11"/>
  <c r="CQ85" i="11"/>
  <c r="CQ88" i="11"/>
  <c r="CQ89" i="11"/>
  <c r="CQ90" i="11"/>
  <c r="CQ91" i="11"/>
  <c r="CQ93" i="11"/>
  <c r="CQ95" i="11"/>
  <c r="CQ96" i="11"/>
  <c r="CP98" i="11"/>
  <c r="CQ99" i="11"/>
  <c r="CP99" i="11"/>
  <c r="CM11" i="11"/>
  <c r="CM12" i="11"/>
  <c r="CM17" i="11"/>
  <c r="CM18" i="11"/>
  <c r="CM19" i="11"/>
  <c r="CM20" i="11"/>
  <c r="CM21" i="11"/>
  <c r="CM23" i="11"/>
  <c r="CM24" i="11"/>
  <c r="CM28" i="11"/>
  <c r="CM30" i="11"/>
  <c r="CM31" i="11"/>
  <c r="CM32" i="11"/>
  <c r="CM36" i="11"/>
  <c r="CM37" i="11"/>
  <c r="CM39" i="11"/>
  <c r="CM40" i="11"/>
  <c r="CM41" i="11"/>
  <c r="CM42" i="11"/>
  <c r="CM43" i="11"/>
  <c r="CM44" i="11"/>
  <c r="CM45" i="11"/>
  <c r="CM47" i="11"/>
  <c r="CM48" i="11"/>
  <c r="CM49" i="11"/>
  <c r="CM50" i="11"/>
  <c r="CM53" i="11"/>
  <c r="CM54" i="11"/>
  <c r="CM55" i="11"/>
  <c r="CM57" i="11"/>
  <c r="CM59" i="11"/>
  <c r="CM64" i="11"/>
  <c r="CM68" i="11"/>
  <c r="CM69" i="11"/>
  <c r="CM70" i="11"/>
  <c r="CM72" i="11"/>
  <c r="CM74" i="11"/>
  <c r="CM75" i="11"/>
  <c r="CM76" i="11"/>
  <c r="CM77" i="11"/>
  <c r="CM79" i="11"/>
  <c r="CM80" i="11"/>
  <c r="CM82" i="11"/>
  <c r="CM85" i="11"/>
  <c r="CM88" i="11"/>
  <c r="CM89" i="11"/>
  <c r="CM90" i="11"/>
  <c r="CM91" i="11"/>
  <c r="CM93" i="11"/>
  <c r="CM95" i="11"/>
  <c r="CM96" i="11"/>
  <c r="CL98" i="11"/>
  <c r="CM99" i="11"/>
  <c r="CL99" i="11"/>
  <c r="CI11" i="11"/>
  <c r="CI12" i="11"/>
  <c r="CI17" i="11"/>
  <c r="CI18" i="11"/>
  <c r="CI19" i="11"/>
  <c r="CI20" i="11"/>
  <c r="CI21" i="11"/>
  <c r="CI23" i="11"/>
  <c r="CI24" i="11"/>
  <c r="CI28" i="11"/>
  <c r="CI30" i="11"/>
  <c r="CI31" i="11"/>
  <c r="CI32" i="11"/>
  <c r="CI36" i="11"/>
  <c r="CI37" i="11"/>
  <c r="CI39" i="11"/>
  <c r="CI40" i="11"/>
  <c r="CI41" i="11"/>
  <c r="CI42" i="11"/>
  <c r="CI43" i="11"/>
  <c r="CI44" i="11"/>
  <c r="CI45" i="11"/>
  <c r="CI47" i="11"/>
  <c r="CI48" i="11"/>
  <c r="CI49" i="11"/>
  <c r="CI50" i="11"/>
  <c r="CI53" i="11"/>
  <c r="CI54" i="11"/>
  <c r="CI55" i="11"/>
  <c r="CI57" i="11"/>
  <c r="CI59" i="11"/>
  <c r="CI64" i="11"/>
  <c r="CI68" i="11"/>
  <c r="CI69" i="11"/>
  <c r="CI70" i="11"/>
  <c r="CI72" i="11"/>
  <c r="CI74" i="11"/>
  <c r="CI75" i="11"/>
  <c r="CI76" i="11"/>
  <c r="CI77" i="11"/>
  <c r="CI79" i="11"/>
  <c r="CI80" i="11"/>
  <c r="CI82" i="11"/>
  <c r="CI85" i="11"/>
  <c r="CI88" i="11"/>
  <c r="CI89" i="11"/>
  <c r="CI90" i="11"/>
  <c r="CI91" i="11"/>
  <c r="CI93" i="11"/>
  <c r="CI95" i="11"/>
  <c r="CI96" i="11"/>
  <c r="CH98" i="11"/>
  <c r="CI99" i="11"/>
  <c r="CH99" i="11"/>
  <c r="CE11" i="11"/>
  <c r="CE12" i="11"/>
  <c r="CE17" i="11"/>
  <c r="CE18" i="11"/>
  <c r="CE19" i="11"/>
  <c r="CE20" i="11"/>
  <c r="CE21" i="11"/>
  <c r="CE23" i="11"/>
  <c r="CE24" i="11"/>
  <c r="CE28" i="11"/>
  <c r="CE30" i="11"/>
  <c r="CE31" i="11"/>
  <c r="CE32" i="11"/>
  <c r="CE36" i="11"/>
  <c r="CE37" i="11"/>
  <c r="CE39" i="11"/>
  <c r="CE40" i="11"/>
  <c r="CE41" i="11"/>
  <c r="CE42" i="11"/>
  <c r="CE43" i="11"/>
  <c r="CE44" i="11"/>
  <c r="CE45" i="11"/>
  <c r="CE47" i="11"/>
  <c r="CE48" i="11"/>
  <c r="CE49" i="11"/>
  <c r="CE50" i="11"/>
  <c r="CE53" i="11"/>
  <c r="CE54" i="11"/>
  <c r="CE55" i="11"/>
  <c r="CE57" i="11"/>
  <c r="CE59" i="11"/>
  <c r="CE64" i="11"/>
  <c r="CE68" i="11"/>
  <c r="CE69" i="11"/>
  <c r="CE70" i="11"/>
  <c r="CE72" i="11"/>
  <c r="CE74" i="11"/>
  <c r="CE75" i="11"/>
  <c r="CE76" i="11"/>
  <c r="CE77" i="11"/>
  <c r="CE79" i="11"/>
  <c r="CE80" i="11"/>
  <c r="CE82" i="11"/>
  <c r="CE85" i="11"/>
  <c r="CE88" i="11"/>
  <c r="CE89" i="11"/>
  <c r="CE90" i="11"/>
  <c r="CE91" i="11"/>
  <c r="CE93" i="11"/>
  <c r="CE95" i="11"/>
  <c r="CE96" i="11"/>
  <c r="CD98" i="11"/>
  <c r="CE99" i="11"/>
  <c r="CD99" i="11"/>
  <c r="CA11" i="11"/>
  <c r="CA12" i="11"/>
  <c r="CA17" i="11"/>
  <c r="CA18" i="11"/>
  <c r="CA19" i="11"/>
  <c r="CA20" i="11"/>
  <c r="CA21" i="11"/>
  <c r="CA23" i="11"/>
  <c r="CA24" i="11"/>
  <c r="CA28" i="11"/>
  <c r="CA30" i="11"/>
  <c r="CA31" i="11"/>
  <c r="CA32" i="11"/>
  <c r="CA36" i="11"/>
  <c r="CA37" i="11"/>
  <c r="CA39" i="11"/>
  <c r="CA40" i="11"/>
  <c r="CA41" i="11"/>
  <c r="CA42" i="11"/>
  <c r="CA43" i="11"/>
  <c r="CA44" i="11"/>
  <c r="CA45" i="11"/>
  <c r="CA47" i="11"/>
  <c r="CA48" i="11"/>
  <c r="CA49" i="11"/>
  <c r="CA50" i="11"/>
  <c r="CA53" i="11"/>
  <c r="CA54" i="11"/>
  <c r="CA55" i="11"/>
  <c r="CA57" i="11"/>
  <c r="CA59" i="11"/>
  <c r="CA64" i="11"/>
  <c r="CA68" i="11"/>
  <c r="CA69" i="11"/>
  <c r="CA70" i="11"/>
  <c r="CA72" i="11"/>
  <c r="CA74" i="11"/>
  <c r="CA75" i="11"/>
  <c r="CA76" i="11"/>
  <c r="CA77" i="11"/>
  <c r="CA79" i="11"/>
  <c r="CA80" i="11"/>
  <c r="CA82" i="11"/>
  <c r="CA85" i="11"/>
  <c r="CA88" i="11"/>
  <c r="CA89" i="11"/>
  <c r="CA90" i="11"/>
  <c r="CA91" i="11"/>
  <c r="CA93" i="11"/>
  <c r="CA95" i="11"/>
  <c r="CA96" i="11"/>
  <c r="BZ98" i="11"/>
  <c r="CA99" i="11"/>
  <c r="BZ99" i="11"/>
  <c r="BW11" i="11"/>
  <c r="BW12" i="11"/>
  <c r="BW17" i="11"/>
  <c r="BW18" i="11"/>
  <c r="BW19" i="11"/>
  <c r="BW20" i="11"/>
  <c r="BW21" i="11"/>
  <c r="BW23" i="11"/>
  <c r="BW24" i="11"/>
  <c r="BW28" i="11"/>
  <c r="BW30" i="11"/>
  <c r="BW31" i="11"/>
  <c r="BW32" i="11"/>
  <c r="BW36" i="11"/>
  <c r="BW37" i="11"/>
  <c r="BW39" i="11"/>
  <c r="BW40" i="11"/>
  <c r="BW41" i="11"/>
  <c r="BW42" i="11"/>
  <c r="BW43" i="11"/>
  <c r="BW44" i="11"/>
  <c r="BW45" i="11"/>
  <c r="BW47" i="11"/>
  <c r="BW48" i="11"/>
  <c r="BW49" i="11"/>
  <c r="BW50" i="11"/>
  <c r="BW53" i="11"/>
  <c r="BW54" i="11"/>
  <c r="BW55" i="11"/>
  <c r="BW57" i="11"/>
  <c r="BW59" i="11"/>
  <c r="BW64" i="11"/>
  <c r="BW68" i="11"/>
  <c r="BW69" i="11"/>
  <c r="BW70" i="11"/>
  <c r="BW72" i="11"/>
  <c r="BW74" i="11"/>
  <c r="BW75" i="11"/>
  <c r="BW76" i="11"/>
  <c r="BW77" i="11"/>
  <c r="BW79" i="11"/>
  <c r="BW80" i="11"/>
  <c r="BW82" i="11"/>
  <c r="BW85" i="11"/>
  <c r="BW88" i="11"/>
  <c r="BW89" i="11"/>
  <c r="BW90" i="11"/>
  <c r="BW91" i="11"/>
  <c r="BW93" i="11"/>
  <c r="BW95" i="11"/>
  <c r="BW96" i="11"/>
  <c r="BV98" i="11"/>
  <c r="BW99" i="11"/>
  <c r="BV99" i="11"/>
  <c r="BS11" i="11"/>
  <c r="BS12" i="11"/>
  <c r="BS17" i="11"/>
  <c r="BS18" i="11"/>
  <c r="BS19" i="11"/>
  <c r="BS20" i="11"/>
  <c r="BS21" i="11"/>
  <c r="BS23" i="11"/>
  <c r="BS24" i="11"/>
  <c r="BS28" i="11"/>
  <c r="BS30" i="11"/>
  <c r="BS31" i="11"/>
  <c r="BS32" i="11"/>
  <c r="BS36" i="11"/>
  <c r="BS37" i="11"/>
  <c r="BS39" i="11"/>
  <c r="BS40" i="11"/>
  <c r="BS41" i="11"/>
  <c r="BS42" i="11"/>
  <c r="BS43" i="11"/>
  <c r="BS44" i="11"/>
  <c r="BS45" i="11"/>
  <c r="BS47" i="11"/>
  <c r="BS48" i="11"/>
  <c r="BS49" i="11"/>
  <c r="BS50" i="11"/>
  <c r="BS53" i="11"/>
  <c r="BS54" i="11"/>
  <c r="BS55" i="11"/>
  <c r="BS57" i="11"/>
  <c r="BS59" i="11"/>
  <c r="BS64" i="11"/>
  <c r="BS68" i="11"/>
  <c r="BS69" i="11"/>
  <c r="BS70" i="11"/>
  <c r="BS72" i="11"/>
  <c r="BS74" i="11"/>
  <c r="BS75" i="11"/>
  <c r="BS76" i="11"/>
  <c r="BS77" i="11"/>
  <c r="BS79" i="11"/>
  <c r="BS80" i="11"/>
  <c r="BS82" i="11"/>
  <c r="BS85" i="11"/>
  <c r="BS88" i="11"/>
  <c r="BS89" i="11"/>
  <c r="BS90" i="11"/>
  <c r="BS91" i="11"/>
  <c r="BS93" i="11"/>
  <c r="BS95" i="11"/>
  <c r="BS96" i="11"/>
  <c r="BR98" i="11"/>
  <c r="BS99" i="11"/>
  <c r="BR99" i="11"/>
  <c r="BO11" i="11"/>
  <c r="BO12" i="11"/>
  <c r="BO17" i="11"/>
  <c r="BO18" i="11"/>
  <c r="BO19" i="11"/>
  <c r="BO20" i="11"/>
  <c r="BO21" i="11"/>
  <c r="BO23" i="11"/>
  <c r="BO24" i="11"/>
  <c r="BO28" i="11"/>
  <c r="BO30" i="11"/>
  <c r="BO31" i="11"/>
  <c r="BO32" i="11"/>
  <c r="BO36" i="11"/>
  <c r="BO37" i="11"/>
  <c r="BO39" i="11"/>
  <c r="BO40" i="11"/>
  <c r="BO41" i="11"/>
  <c r="BO42" i="11"/>
  <c r="BO43" i="11"/>
  <c r="BO44" i="11"/>
  <c r="BO45" i="11"/>
  <c r="BO47" i="11"/>
  <c r="BO48" i="11"/>
  <c r="BO49" i="11"/>
  <c r="BO50" i="11"/>
  <c r="BO53" i="11"/>
  <c r="BO54" i="11"/>
  <c r="BO55" i="11"/>
  <c r="BO57" i="11"/>
  <c r="BO59" i="11"/>
  <c r="BO64" i="11"/>
  <c r="BO68" i="11"/>
  <c r="BO69" i="11"/>
  <c r="BO70" i="11"/>
  <c r="BO72" i="11"/>
  <c r="BO74" i="11"/>
  <c r="BO75" i="11"/>
  <c r="BO76" i="11"/>
  <c r="BO77" i="11"/>
  <c r="BO79" i="11"/>
  <c r="BO80" i="11"/>
  <c r="BO82" i="11"/>
  <c r="BO85" i="11"/>
  <c r="BO88" i="11"/>
  <c r="BO89" i="11"/>
  <c r="BO90" i="11"/>
  <c r="BO91" i="11"/>
  <c r="BO93" i="11"/>
  <c r="BO95" i="11"/>
  <c r="BO96" i="11"/>
  <c r="BN98" i="11"/>
  <c r="BO99" i="11"/>
  <c r="BN99" i="11"/>
  <c r="BK11" i="11"/>
  <c r="BK12" i="11"/>
  <c r="BK17" i="11"/>
  <c r="BK18" i="11"/>
  <c r="BK19" i="11"/>
  <c r="BK20" i="11"/>
  <c r="BK21" i="11"/>
  <c r="BK23" i="11"/>
  <c r="BK24" i="11"/>
  <c r="BK28" i="11"/>
  <c r="BK30" i="11"/>
  <c r="BK31" i="11"/>
  <c r="BK32" i="11"/>
  <c r="BK36" i="11"/>
  <c r="BK37" i="11"/>
  <c r="BK39" i="11"/>
  <c r="BK40" i="11"/>
  <c r="BK41" i="11"/>
  <c r="BK42" i="11"/>
  <c r="BK43" i="11"/>
  <c r="BK44" i="11"/>
  <c r="BK45" i="11"/>
  <c r="BK47" i="11"/>
  <c r="BK48" i="11"/>
  <c r="BK49" i="11"/>
  <c r="BK50" i="11"/>
  <c r="BK53" i="11"/>
  <c r="BK54" i="11"/>
  <c r="BK55" i="11"/>
  <c r="BK57" i="11"/>
  <c r="BK59" i="11"/>
  <c r="BK64" i="11"/>
  <c r="BK68" i="11"/>
  <c r="BK69" i="11"/>
  <c r="BK70" i="11"/>
  <c r="BK72" i="11"/>
  <c r="BK74" i="11"/>
  <c r="BK75" i="11"/>
  <c r="BK76" i="11"/>
  <c r="BK77" i="11"/>
  <c r="BK79" i="11"/>
  <c r="BK80" i="11"/>
  <c r="BK82" i="11"/>
  <c r="BK85" i="11"/>
  <c r="BK88" i="11"/>
  <c r="BK89" i="11"/>
  <c r="BK90" i="11"/>
  <c r="BK91" i="11"/>
  <c r="BK93" i="11"/>
  <c r="BK95" i="11"/>
  <c r="BK96" i="11"/>
  <c r="BJ98" i="11"/>
  <c r="BK99" i="11"/>
  <c r="BJ99" i="11"/>
  <c r="BG11" i="11"/>
  <c r="BG12" i="11"/>
  <c r="BG17" i="11"/>
  <c r="BG18" i="11"/>
  <c r="BG19" i="11"/>
  <c r="BG20" i="11"/>
  <c r="BG21" i="11"/>
  <c r="BG23" i="11"/>
  <c r="BG24" i="11"/>
  <c r="BG28" i="11"/>
  <c r="BG30" i="11"/>
  <c r="BG31" i="11"/>
  <c r="BG32" i="11"/>
  <c r="BG36" i="11"/>
  <c r="BG37" i="11"/>
  <c r="BG39" i="11"/>
  <c r="BG40" i="11"/>
  <c r="BG41" i="11"/>
  <c r="BG42" i="11"/>
  <c r="BG43" i="11"/>
  <c r="BG44" i="11"/>
  <c r="BG45" i="11"/>
  <c r="BG47" i="11"/>
  <c r="BG48" i="11"/>
  <c r="BG49" i="11"/>
  <c r="BG50" i="11"/>
  <c r="BG53" i="11"/>
  <c r="BG54" i="11"/>
  <c r="BG55" i="11"/>
  <c r="BG57" i="11"/>
  <c r="BG59" i="11"/>
  <c r="BG64" i="11"/>
  <c r="BG68" i="11"/>
  <c r="BG69" i="11"/>
  <c r="BG70" i="11"/>
  <c r="BG72" i="11"/>
  <c r="BG74" i="11"/>
  <c r="BG75" i="11"/>
  <c r="BG76" i="11"/>
  <c r="BG77" i="11"/>
  <c r="BG79" i="11"/>
  <c r="BG80" i="11"/>
  <c r="BG82" i="11"/>
  <c r="BG85" i="11"/>
  <c r="BG88" i="11"/>
  <c r="BG89" i="11"/>
  <c r="BG90" i="11"/>
  <c r="BG91" i="11"/>
  <c r="BG93" i="11"/>
  <c r="BG95" i="11"/>
  <c r="BG96" i="11"/>
  <c r="BF98" i="11"/>
  <c r="BG99" i="11"/>
  <c r="BF99" i="11"/>
  <c r="BC18" i="11"/>
  <c r="BC11" i="11"/>
  <c r="BC12" i="11"/>
  <c r="BC17" i="11"/>
  <c r="BC19" i="11"/>
  <c r="BC20" i="11"/>
  <c r="BC21" i="11"/>
  <c r="BC23" i="11"/>
  <c r="BC24" i="11"/>
  <c r="BC26" i="11"/>
  <c r="BC28" i="11"/>
  <c r="BC30" i="11"/>
  <c r="BC31" i="11"/>
  <c r="BC32" i="11"/>
  <c r="BC36" i="11"/>
  <c r="BC37" i="11"/>
  <c r="BC39" i="11"/>
  <c r="BC40" i="11"/>
  <c r="BC41" i="11"/>
  <c r="BC42" i="11"/>
  <c r="BC43" i="11"/>
  <c r="BC44" i="11"/>
  <c r="BC45" i="11"/>
  <c r="BC47" i="11"/>
  <c r="BC48" i="11"/>
  <c r="BC49" i="11"/>
  <c r="BC50" i="11"/>
  <c r="BC53" i="11"/>
  <c r="BC54" i="11"/>
  <c r="BC55" i="11"/>
  <c r="BC57" i="11"/>
  <c r="BC59" i="11"/>
  <c r="BC64" i="11"/>
  <c r="BC68" i="11"/>
  <c r="BC69" i="11"/>
  <c r="BC70" i="11"/>
  <c r="BC72" i="11"/>
  <c r="BC74" i="11"/>
  <c r="BC75" i="11"/>
  <c r="BC76" i="11"/>
  <c r="BC77" i="11"/>
  <c r="BC79" i="11"/>
  <c r="BC80" i="11"/>
  <c r="BC82" i="11"/>
  <c r="BC85" i="11"/>
  <c r="BC88" i="11"/>
  <c r="BC89" i="11"/>
  <c r="BC90" i="11"/>
  <c r="BC91" i="11"/>
  <c r="BC93" i="11"/>
  <c r="BC95" i="11"/>
  <c r="BC96" i="11"/>
  <c r="BB98" i="11"/>
  <c r="BC99" i="11"/>
  <c r="BB99" i="11"/>
  <c r="AY11" i="11"/>
  <c r="AY12" i="11"/>
  <c r="AY17" i="11"/>
  <c r="AY18" i="11"/>
  <c r="AY19" i="11"/>
  <c r="AY20" i="11"/>
  <c r="AY21" i="11"/>
  <c r="AY23" i="11"/>
  <c r="AY24" i="11"/>
  <c r="AY28" i="11"/>
  <c r="AY30" i="11"/>
  <c r="AY31" i="11"/>
  <c r="AY32" i="11"/>
  <c r="AY36" i="11"/>
  <c r="AY37" i="11"/>
  <c r="AY39" i="11"/>
  <c r="AY40" i="11"/>
  <c r="AY41" i="11"/>
  <c r="AY42" i="11"/>
  <c r="AY43" i="11"/>
  <c r="AY44" i="11"/>
  <c r="AY45" i="11"/>
  <c r="AY47" i="11"/>
  <c r="AY48" i="11"/>
  <c r="AY49" i="11"/>
  <c r="AY50" i="11"/>
  <c r="AY53" i="11"/>
  <c r="AY54" i="11"/>
  <c r="AY55" i="11"/>
  <c r="AY57" i="11"/>
  <c r="AY59" i="11"/>
  <c r="AY64" i="11"/>
  <c r="AY68" i="11"/>
  <c r="AY69" i="11"/>
  <c r="AY70" i="11"/>
  <c r="AY72" i="11"/>
  <c r="AY74" i="11"/>
  <c r="AY75" i="11"/>
  <c r="AY76" i="11"/>
  <c r="AY77" i="11"/>
  <c r="AY79" i="11"/>
  <c r="AY80" i="11"/>
  <c r="AY82" i="11"/>
  <c r="AY85" i="11"/>
  <c r="AY88" i="11"/>
  <c r="AY89" i="11"/>
  <c r="AY90" i="11"/>
  <c r="AY91" i="11"/>
  <c r="AY93" i="11"/>
  <c r="AY95" i="11"/>
  <c r="AY96" i="11"/>
  <c r="AX98" i="11"/>
  <c r="AY99" i="11"/>
  <c r="AX99" i="11"/>
  <c r="AU11" i="11"/>
  <c r="AU12" i="11"/>
  <c r="AU17" i="11"/>
  <c r="AU18" i="11"/>
  <c r="AU19" i="11"/>
  <c r="AU20" i="11"/>
  <c r="AU21" i="11"/>
  <c r="AU23" i="11"/>
  <c r="AU24" i="11"/>
  <c r="AU28" i="11"/>
  <c r="AU30" i="11"/>
  <c r="AU31" i="11"/>
  <c r="AU32" i="11"/>
  <c r="AU36" i="11"/>
  <c r="AU37" i="11"/>
  <c r="AU39" i="11"/>
  <c r="AU40" i="11"/>
  <c r="AU41" i="11"/>
  <c r="AU42" i="11"/>
  <c r="AU43" i="11"/>
  <c r="AU44" i="11"/>
  <c r="AU45" i="11"/>
  <c r="AU47" i="11"/>
  <c r="AU48" i="11"/>
  <c r="AU49" i="11"/>
  <c r="AU50" i="11"/>
  <c r="AU53" i="11"/>
  <c r="AU54" i="11"/>
  <c r="AU55" i="11"/>
  <c r="AU57" i="11"/>
  <c r="AU59" i="11"/>
  <c r="AU64" i="11"/>
  <c r="AU68" i="11"/>
  <c r="AU69" i="11"/>
  <c r="AU70" i="11"/>
  <c r="AU72" i="11"/>
  <c r="AU74" i="11"/>
  <c r="AU75" i="11"/>
  <c r="AU76" i="11"/>
  <c r="AU77" i="11"/>
  <c r="AU79" i="11"/>
  <c r="AU80" i="11"/>
  <c r="AU82" i="11"/>
  <c r="AU85" i="11"/>
  <c r="AU88" i="11"/>
  <c r="AU89" i="11"/>
  <c r="AU90" i="11"/>
  <c r="AU91" i="11"/>
  <c r="AU93" i="11"/>
  <c r="AU95" i="11"/>
  <c r="AU96" i="11"/>
  <c r="AT98" i="11"/>
  <c r="AU99" i="11"/>
  <c r="AT99" i="11"/>
  <c r="AQ18" i="11"/>
  <c r="AQ11" i="11"/>
  <c r="AQ12" i="11"/>
  <c r="AQ17" i="11"/>
  <c r="AQ19" i="11"/>
  <c r="AQ20" i="11"/>
  <c r="AQ21" i="11"/>
  <c r="AQ23" i="11"/>
  <c r="AQ24" i="11"/>
  <c r="AQ28" i="11"/>
  <c r="AQ30" i="11"/>
  <c r="AQ31" i="11"/>
  <c r="AQ32" i="11"/>
  <c r="AQ36" i="11"/>
  <c r="AQ37" i="11"/>
  <c r="AQ39" i="11"/>
  <c r="AQ40" i="11"/>
  <c r="AQ41" i="11"/>
  <c r="AQ42" i="11"/>
  <c r="AQ43" i="11"/>
  <c r="AQ44" i="11"/>
  <c r="AQ45" i="11"/>
  <c r="AQ47" i="11"/>
  <c r="AQ48" i="11"/>
  <c r="AQ49" i="11"/>
  <c r="AQ50" i="11"/>
  <c r="AQ53" i="11"/>
  <c r="AQ54" i="11"/>
  <c r="AQ55" i="11"/>
  <c r="AQ57" i="11"/>
  <c r="AQ59" i="11"/>
  <c r="AQ64" i="11"/>
  <c r="AQ68" i="11"/>
  <c r="AQ69" i="11"/>
  <c r="AQ70" i="11"/>
  <c r="AQ72" i="11"/>
  <c r="AQ74" i="11"/>
  <c r="AQ75" i="11"/>
  <c r="AQ76" i="11"/>
  <c r="AQ77" i="11"/>
  <c r="AQ79" i="11"/>
  <c r="AQ80" i="11"/>
  <c r="AQ82" i="11"/>
  <c r="AQ85" i="11"/>
  <c r="AQ88" i="11"/>
  <c r="AQ89" i="11"/>
  <c r="AQ90" i="11"/>
  <c r="AQ91" i="11"/>
  <c r="AQ93" i="11"/>
  <c r="AQ95" i="11"/>
  <c r="AQ96" i="11"/>
  <c r="AP98" i="11"/>
  <c r="AQ99" i="11"/>
  <c r="AP99" i="11"/>
  <c r="AM11" i="11"/>
  <c r="AM12" i="11"/>
  <c r="AM17" i="11"/>
  <c r="AM18" i="11"/>
  <c r="AM19" i="11"/>
  <c r="AM20" i="11"/>
  <c r="AM21" i="11"/>
  <c r="AM23" i="11"/>
  <c r="AM24" i="11"/>
  <c r="AM28" i="11"/>
  <c r="AM30" i="11"/>
  <c r="AM31" i="11"/>
  <c r="AM32" i="11"/>
  <c r="AM36" i="11"/>
  <c r="AM37" i="11"/>
  <c r="AM39" i="11"/>
  <c r="AM40" i="11"/>
  <c r="AM41" i="11"/>
  <c r="AM42" i="11"/>
  <c r="AM43" i="11"/>
  <c r="AM44" i="11"/>
  <c r="AM45" i="11"/>
  <c r="AM47" i="11"/>
  <c r="AM48" i="11"/>
  <c r="AM49" i="11"/>
  <c r="AM50" i="11"/>
  <c r="AM53" i="11"/>
  <c r="AM54" i="11"/>
  <c r="AM55" i="11"/>
  <c r="AM57" i="11"/>
  <c r="AM59" i="11"/>
  <c r="AM64" i="11"/>
  <c r="AM68" i="11"/>
  <c r="AM69" i="11"/>
  <c r="AM70" i="11"/>
  <c r="AM72" i="11"/>
  <c r="AM74" i="11"/>
  <c r="AM75" i="11"/>
  <c r="AM76" i="11"/>
  <c r="AM77" i="11"/>
  <c r="AM79" i="11"/>
  <c r="AM80" i="11"/>
  <c r="AM82" i="11"/>
  <c r="AM85" i="11"/>
  <c r="AM88" i="11"/>
  <c r="AM89" i="11"/>
  <c r="AM90" i="11"/>
  <c r="AM91" i="11"/>
  <c r="AM93" i="11"/>
  <c r="AM95" i="11"/>
  <c r="AM96" i="11"/>
  <c r="AL98" i="11"/>
  <c r="AM99" i="11"/>
  <c r="AL99" i="11"/>
  <c r="AI11" i="11"/>
  <c r="AI12" i="11"/>
  <c r="AI17" i="11"/>
  <c r="AI18" i="11"/>
  <c r="AI19" i="11"/>
  <c r="AI20" i="11"/>
  <c r="AI21" i="11"/>
  <c r="AI23" i="11"/>
  <c r="AI24" i="11"/>
  <c r="AI28" i="11"/>
  <c r="AI30" i="11"/>
  <c r="AI31" i="11"/>
  <c r="AI32" i="11"/>
  <c r="AI36" i="11"/>
  <c r="AI37" i="11"/>
  <c r="AI39" i="11"/>
  <c r="AI40" i="11"/>
  <c r="AI41" i="11"/>
  <c r="AI42" i="11"/>
  <c r="AI43" i="11"/>
  <c r="AI44" i="11"/>
  <c r="AI45" i="11"/>
  <c r="AI47" i="11"/>
  <c r="AI48" i="11"/>
  <c r="AI49" i="11"/>
  <c r="AI50" i="11"/>
  <c r="AI53" i="11"/>
  <c r="AI54" i="11"/>
  <c r="AI55" i="11"/>
  <c r="AI57" i="11"/>
  <c r="AI59" i="11"/>
  <c r="AI64" i="11"/>
  <c r="AI68" i="11"/>
  <c r="AI69" i="11"/>
  <c r="AI70" i="11"/>
  <c r="AI72" i="11"/>
  <c r="AI74" i="11"/>
  <c r="AI75" i="11"/>
  <c r="AI76" i="11"/>
  <c r="AI77" i="11"/>
  <c r="AI79" i="11"/>
  <c r="AI80" i="11"/>
  <c r="AI82" i="11"/>
  <c r="AI85" i="11"/>
  <c r="AI88" i="11"/>
  <c r="AI89" i="11"/>
  <c r="AI90" i="11"/>
  <c r="AI91" i="11"/>
  <c r="AI93" i="11"/>
  <c r="AI95" i="11"/>
  <c r="AI96" i="11"/>
  <c r="AH98" i="11"/>
  <c r="AI99" i="11"/>
  <c r="AH99" i="11"/>
  <c r="AE11" i="11"/>
  <c r="AE12" i="11"/>
  <c r="AE17" i="11"/>
  <c r="AE18" i="11"/>
  <c r="AE19" i="11"/>
  <c r="AE20" i="11"/>
  <c r="AE21" i="11"/>
  <c r="AE23" i="11"/>
  <c r="AE24" i="11"/>
  <c r="AE28" i="11"/>
  <c r="AE30" i="11"/>
  <c r="AE31" i="11"/>
  <c r="AE32" i="11"/>
  <c r="AE36" i="11"/>
  <c r="AE37" i="11"/>
  <c r="AE39" i="11"/>
  <c r="AE40" i="11"/>
  <c r="AE41" i="11"/>
  <c r="AE42" i="11"/>
  <c r="AE43" i="11"/>
  <c r="AE44" i="11"/>
  <c r="AE45" i="11"/>
  <c r="AE47" i="11"/>
  <c r="AE48" i="11"/>
  <c r="AE49" i="11"/>
  <c r="AE50" i="11"/>
  <c r="AE53" i="11"/>
  <c r="AE54" i="11"/>
  <c r="AE55" i="11"/>
  <c r="AE57" i="11"/>
  <c r="AE59" i="11"/>
  <c r="AE64" i="11"/>
  <c r="AE68" i="11"/>
  <c r="AE69" i="11"/>
  <c r="AE70" i="11"/>
  <c r="AE72" i="11"/>
  <c r="AE74" i="11"/>
  <c r="AE75" i="11"/>
  <c r="AE76" i="11"/>
  <c r="AE77" i="11"/>
  <c r="AE79" i="11"/>
  <c r="AE80" i="11"/>
  <c r="AE82" i="11"/>
  <c r="AE85" i="11"/>
  <c r="AE88" i="11"/>
  <c r="AE89" i="11"/>
  <c r="AE90" i="11"/>
  <c r="AE91" i="11"/>
  <c r="AE93" i="11"/>
  <c r="AE95" i="11"/>
  <c r="AE96" i="11"/>
  <c r="AD98" i="11"/>
  <c r="AE99" i="11"/>
  <c r="AD99" i="11"/>
  <c r="AA11" i="11"/>
  <c r="AA12" i="11"/>
  <c r="AA17" i="11"/>
  <c r="AA18" i="11"/>
  <c r="AA19" i="11"/>
  <c r="AA20" i="11"/>
  <c r="AA21" i="11"/>
  <c r="AA23" i="11"/>
  <c r="AA24" i="11"/>
  <c r="AA28" i="11"/>
  <c r="AA30" i="11"/>
  <c r="AA31" i="11"/>
  <c r="AA32" i="11"/>
  <c r="AA36" i="11"/>
  <c r="AA37" i="11"/>
  <c r="AA39" i="11"/>
  <c r="AA40" i="11"/>
  <c r="AA41" i="11"/>
  <c r="AA42" i="11"/>
  <c r="AA43" i="11"/>
  <c r="AA44" i="11"/>
  <c r="AA45" i="11"/>
  <c r="AA47" i="11"/>
  <c r="AA48" i="11"/>
  <c r="AA49" i="11"/>
  <c r="AA50" i="11"/>
  <c r="AA53" i="11"/>
  <c r="AA54" i="11"/>
  <c r="AA55" i="11"/>
  <c r="AA57" i="11"/>
  <c r="AA59" i="11"/>
  <c r="AA64" i="11"/>
  <c r="AA68" i="11"/>
  <c r="AA69" i="11"/>
  <c r="AA70" i="11"/>
  <c r="AA72" i="11"/>
  <c r="AA74" i="11"/>
  <c r="AA75" i="11"/>
  <c r="AA76" i="11"/>
  <c r="AA77" i="11"/>
  <c r="AA79" i="11"/>
  <c r="AA80" i="11"/>
  <c r="AA82" i="11"/>
  <c r="AA85" i="11"/>
  <c r="AA88" i="11"/>
  <c r="AA89" i="11"/>
  <c r="AA90" i="11"/>
  <c r="AA91" i="11"/>
  <c r="AA93" i="11"/>
  <c r="AA95" i="11"/>
  <c r="AA96" i="11"/>
  <c r="Z98" i="11"/>
  <c r="AA99" i="11"/>
  <c r="Z99" i="11"/>
  <c r="W18" i="11"/>
  <c r="W11" i="11"/>
  <c r="W12" i="11"/>
  <c r="W17" i="11"/>
  <c r="W19" i="11"/>
  <c r="W20" i="11"/>
  <c r="W21" i="11"/>
  <c r="W23" i="11"/>
  <c r="W24" i="11"/>
  <c r="W28" i="11"/>
  <c r="W30" i="11"/>
  <c r="W31" i="11"/>
  <c r="W32" i="11"/>
  <c r="W36" i="11"/>
  <c r="W37" i="11"/>
  <c r="W39" i="11"/>
  <c r="W40" i="11"/>
  <c r="W41" i="11"/>
  <c r="W42" i="11"/>
  <c r="W43" i="11"/>
  <c r="W44" i="11"/>
  <c r="W45" i="11"/>
  <c r="W47" i="11"/>
  <c r="W48" i="11"/>
  <c r="W49" i="11"/>
  <c r="W50" i="11"/>
  <c r="W53" i="11"/>
  <c r="W54" i="11"/>
  <c r="W55" i="11"/>
  <c r="W57" i="11"/>
  <c r="W59" i="11"/>
  <c r="W64" i="11"/>
  <c r="W69" i="11"/>
  <c r="W70" i="11"/>
  <c r="W72" i="11"/>
  <c r="W74" i="11"/>
  <c r="W75" i="11"/>
  <c r="W76" i="11"/>
  <c r="W77" i="11"/>
  <c r="W79" i="11"/>
  <c r="W80" i="11"/>
  <c r="W82" i="11"/>
  <c r="W85" i="11"/>
  <c r="W88" i="11"/>
  <c r="W89" i="11"/>
  <c r="W90" i="11"/>
  <c r="W91" i="11"/>
  <c r="W93" i="11"/>
  <c r="W95" i="11"/>
  <c r="W96" i="11"/>
  <c r="V98" i="11"/>
  <c r="W99" i="11"/>
  <c r="V99" i="11"/>
  <c r="S11" i="11"/>
  <c r="S12" i="11"/>
  <c r="S17" i="11"/>
  <c r="S18" i="11"/>
  <c r="S19" i="11"/>
  <c r="S20" i="11"/>
  <c r="S21" i="11"/>
  <c r="S23" i="11"/>
  <c r="S24" i="11"/>
  <c r="S28" i="11"/>
  <c r="S30" i="11"/>
  <c r="S31" i="11"/>
  <c r="S32" i="11"/>
  <c r="S36" i="11"/>
  <c r="S37" i="11"/>
  <c r="S39" i="11"/>
  <c r="S40" i="11"/>
  <c r="S41" i="11"/>
  <c r="S42" i="11"/>
  <c r="S43" i="11"/>
  <c r="S44" i="11"/>
  <c r="S45" i="11"/>
  <c r="S47" i="11"/>
  <c r="S48" i="11"/>
  <c r="S49" i="11"/>
  <c r="S50" i="11"/>
  <c r="S53" i="11"/>
  <c r="S54" i="11"/>
  <c r="S55" i="11"/>
  <c r="S57" i="11"/>
  <c r="S59" i="11"/>
  <c r="S64" i="11"/>
  <c r="S68" i="11"/>
  <c r="S69" i="11"/>
  <c r="S70" i="11"/>
  <c r="S72" i="11"/>
  <c r="S74" i="11"/>
  <c r="S75" i="11"/>
  <c r="S76" i="11"/>
  <c r="S77" i="11"/>
  <c r="S79" i="11"/>
  <c r="S80" i="11"/>
  <c r="S82" i="11"/>
  <c r="S85" i="11"/>
  <c r="S88" i="11"/>
  <c r="S89" i="11"/>
  <c r="S90" i="11"/>
  <c r="S91" i="11"/>
  <c r="S93" i="11"/>
  <c r="S95" i="11"/>
  <c r="S96" i="11"/>
  <c r="R98" i="11"/>
  <c r="S99" i="11"/>
  <c r="R99" i="11"/>
  <c r="O11" i="11"/>
  <c r="O12" i="11"/>
  <c r="O17" i="11"/>
  <c r="O18" i="11"/>
  <c r="O19" i="11"/>
  <c r="O20" i="11"/>
  <c r="O21" i="11"/>
  <c r="O23" i="11"/>
  <c r="O24" i="11"/>
  <c r="O28" i="11"/>
  <c r="O30" i="11"/>
  <c r="O31" i="11"/>
  <c r="O32" i="11"/>
  <c r="O36" i="11"/>
  <c r="O37" i="11"/>
  <c r="O39" i="11"/>
  <c r="O40" i="11"/>
  <c r="O41" i="11"/>
  <c r="O42" i="11"/>
  <c r="O43" i="11"/>
  <c r="O44" i="11"/>
  <c r="O45" i="11"/>
  <c r="O47" i="11"/>
  <c r="O48" i="11"/>
  <c r="O49" i="11"/>
  <c r="O50" i="11"/>
  <c r="O53" i="11"/>
  <c r="O54" i="11"/>
  <c r="O55" i="11"/>
  <c r="O57" i="11"/>
  <c r="O59" i="11"/>
  <c r="O64" i="11"/>
  <c r="O68" i="11"/>
  <c r="O69" i="11"/>
  <c r="O70" i="11"/>
  <c r="O72" i="11"/>
  <c r="O74" i="11"/>
  <c r="O75" i="11"/>
  <c r="O76" i="11"/>
  <c r="O77" i="11"/>
  <c r="O79" i="11"/>
  <c r="O80" i="11"/>
  <c r="O82" i="11"/>
  <c r="O85" i="11"/>
  <c r="O88" i="11"/>
  <c r="O89" i="11"/>
  <c r="O90" i="11"/>
  <c r="O91" i="11"/>
  <c r="O93" i="11"/>
  <c r="O95" i="11"/>
  <c r="O96" i="11"/>
  <c r="N98" i="11"/>
  <c r="O99" i="11"/>
  <c r="N99" i="11"/>
  <c r="CQ98" i="11"/>
  <c r="CM98" i="11"/>
  <c r="CI98" i="11"/>
  <c r="CE98" i="11"/>
  <c r="CA98" i="11"/>
  <c r="BW98" i="11"/>
  <c r="BS98" i="11"/>
  <c r="BO98" i="11"/>
  <c r="BK98" i="11"/>
  <c r="BG98" i="11"/>
  <c r="BC98" i="11"/>
  <c r="AY98" i="11"/>
  <c r="AU98" i="11"/>
  <c r="AQ98" i="11"/>
  <c r="AM98" i="11"/>
  <c r="AI98" i="11"/>
  <c r="AE98" i="11"/>
  <c r="AA98" i="11"/>
  <c r="W98" i="11"/>
  <c r="S98" i="11"/>
  <c r="O98" i="11"/>
  <c r="Y11" i="9"/>
  <c r="Y12" i="9"/>
  <c r="Y13" i="9"/>
  <c r="Y19" i="9"/>
  <c r="Y20" i="9"/>
  <c r="Y21" i="9"/>
  <c r="Y22" i="9"/>
  <c r="Y23" i="9"/>
  <c r="Y24" i="9"/>
  <c r="Y25" i="9"/>
  <c r="Y27" i="9"/>
  <c r="Y28" i="9"/>
  <c r="Y29" i="9"/>
  <c r="Y30" i="9"/>
  <c r="Y31" i="9"/>
  <c r="Y34" i="9"/>
  <c r="Y36" i="9"/>
  <c r="Y38" i="9"/>
  <c r="Y40" i="9"/>
  <c r="Y41" i="9"/>
  <c r="Y42" i="9"/>
  <c r="Y43" i="9"/>
  <c r="Y47" i="9"/>
  <c r="Y48" i="9"/>
  <c r="Y49" i="9"/>
  <c r="Y50" i="9"/>
  <c r="Y52" i="9"/>
  <c r="Y53" i="9"/>
  <c r="Y54" i="9"/>
  <c r="Y55" i="9"/>
  <c r="Y56" i="9"/>
  <c r="Y57" i="9"/>
  <c r="Y58" i="9"/>
  <c r="Y59" i="9"/>
  <c r="Y61" i="9"/>
  <c r="Y62" i="9"/>
  <c r="Y63" i="9"/>
  <c r="Y64" i="9"/>
  <c r="Y65" i="9"/>
  <c r="Y67" i="9"/>
  <c r="Y68" i="9"/>
  <c r="Y70" i="9"/>
  <c r="Y71" i="9"/>
  <c r="Y73" i="9"/>
  <c r="Y75" i="9"/>
  <c r="Y76" i="9"/>
  <c r="Y77" i="9"/>
  <c r="Y79" i="9"/>
  <c r="Y80" i="9"/>
  <c r="Y82" i="9"/>
  <c r="Y86" i="9"/>
  <c r="Y88" i="9"/>
  <c r="Y91" i="9"/>
  <c r="Y93" i="9"/>
  <c r="Y94" i="9"/>
  <c r="Y95" i="9"/>
  <c r="Y97" i="9"/>
  <c r="Y98" i="9"/>
  <c r="Y99" i="9"/>
  <c r="Y100" i="9"/>
  <c r="Y102" i="9"/>
  <c r="Y104" i="9"/>
  <c r="Y105" i="9"/>
  <c r="Y106" i="9"/>
  <c r="Y107" i="9"/>
  <c r="Y109" i="9"/>
  <c r="Y110" i="9"/>
  <c r="Y112" i="9"/>
  <c r="Y113" i="9"/>
  <c r="Y116" i="9"/>
  <c r="Y117" i="9"/>
  <c r="Y122" i="9"/>
  <c r="Y123" i="9"/>
  <c r="Y124" i="9"/>
  <c r="Y125" i="9"/>
  <c r="Y126" i="9"/>
  <c r="Y128" i="9"/>
  <c r="Y129" i="9"/>
  <c r="Y130" i="9"/>
  <c r="Y131" i="9"/>
  <c r="Y133" i="9"/>
  <c r="Y134" i="9"/>
  <c r="X137" i="9"/>
  <c r="Y137" i="9"/>
  <c r="X138" i="9"/>
  <c r="Y138" i="9"/>
  <c r="BA155" i="5"/>
  <c r="AY155" i="5"/>
  <c r="AW155" i="5"/>
  <c r="AU155" i="5"/>
  <c r="AS155" i="5"/>
  <c r="AQ155" i="5"/>
  <c r="AO155" i="5"/>
  <c r="AM155" i="5"/>
  <c r="AK155" i="5"/>
  <c r="AI155" i="5"/>
  <c r="AG155" i="5"/>
  <c r="AE155" i="5"/>
  <c r="AC155" i="5"/>
  <c r="AA155" i="5"/>
  <c r="Y155" i="5"/>
  <c r="W155" i="5"/>
  <c r="U155" i="5"/>
  <c r="S155" i="5"/>
  <c r="Q155" i="5"/>
  <c r="O155" i="5"/>
  <c r="M155" i="5"/>
  <c r="BA154" i="5"/>
  <c r="AY154" i="5"/>
  <c r="AW154" i="5"/>
  <c r="AU154" i="5"/>
  <c r="AS154" i="5"/>
  <c r="AQ154" i="5"/>
  <c r="AO154" i="5"/>
  <c r="AM154" i="5"/>
  <c r="AK154" i="5"/>
  <c r="AI154" i="5"/>
  <c r="AG154" i="5"/>
  <c r="AE154" i="5"/>
  <c r="AC154" i="5"/>
  <c r="AA154" i="5"/>
  <c r="Y154" i="5"/>
  <c r="W154" i="5"/>
  <c r="U154" i="5"/>
  <c r="S154" i="5"/>
  <c r="Q154" i="5"/>
  <c r="O154" i="5"/>
  <c r="M154" i="5"/>
  <c r="BA151" i="5"/>
  <c r="AY151" i="5"/>
  <c r="AW151" i="5"/>
  <c r="AU151" i="5"/>
  <c r="AS151" i="5"/>
  <c r="AQ151" i="5"/>
  <c r="AO151" i="5"/>
  <c r="AM151" i="5"/>
  <c r="AK151" i="5"/>
  <c r="AI151" i="5"/>
  <c r="AG151" i="5"/>
  <c r="AE151" i="5"/>
  <c r="AC151" i="5"/>
  <c r="AA151" i="5"/>
  <c r="Y151" i="5"/>
  <c r="W151" i="5"/>
  <c r="U151" i="5"/>
  <c r="S151" i="5"/>
  <c r="Q151" i="5"/>
  <c r="O151" i="5"/>
  <c r="M151" i="5"/>
  <c r="BA146" i="5"/>
  <c r="AY146" i="5"/>
  <c r="AW146" i="5"/>
  <c r="AU146" i="5"/>
  <c r="AS146" i="5"/>
  <c r="AQ146" i="5"/>
  <c r="AO146" i="5"/>
  <c r="AM146" i="5"/>
  <c r="AK146" i="5"/>
  <c r="AI146" i="5"/>
  <c r="AG146" i="5"/>
  <c r="AE146" i="5"/>
  <c r="AC146" i="5"/>
  <c r="AA146" i="5"/>
  <c r="Y146" i="5"/>
  <c r="W146" i="5"/>
  <c r="U146" i="5"/>
  <c r="S146" i="5"/>
  <c r="Q146" i="5"/>
  <c r="O146" i="5"/>
  <c r="M146" i="5"/>
  <c r="BA145" i="5"/>
  <c r="AY145" i="5"/>
  <c r="AW145" i="5"/>
  <c r="AU145" i="5"/>
  <c r="AS145" i="5"/>
  <c r="AO145" i="5"/>
  <c r="AM145" i="5"/>
  <c r="AK145" i="5"/>
  <c r="AI145" i="5"/>
  <c r="AG145" i="5"/>
  <c r="AE145" i="5"/>
  <c r="AC145" i="5"/>
  <c r="AA145" i="5"/>
  <c r="Y145" i="5"/>
  <c r="W145" i="5"/>
  <c r="U145" i="5"/>
  <c r="S145" i="5"/>
  <c r="Q145" i="5"/>
  <c r="O145" i="5"/>
  <c r="M145" i="5"/>
  <c r="BA144" i="5"/>
  <c r="AY144" i="5"/>
  <c r="AW144" i="5"/>
  <c r="AU144" i="5"/>
  <c r="AS144" i="5"/>
  <c r="AQ144" i="5"/>
  <c r="AO144" i="5"/>
  <c r="AM144" i="5"/>
  <c r="AK144" i="5"/>
  <c r="AI144" i="5"/>
  <c r="AG144" i="5"/>
  <c r="AE144" i="5"/>
  <c r="AC144" i="5"/>
  <c r="AA144" i="5"/>
  <c r="Y144" i="5"/>
  <c r="W144" i="5"/>
  <c r="U144" i="5"/>
  <c r="S144" i="5"/>
  <c r="Q144" i="5"/>
  <c r="O144" i="5"/>
  <c r="M144" i="5"/>
  <c r="BA142" i="5"/>
  <c r="AY142" i="5"/>
  <c r="AW142" i="5"/>
  <c r="AU142" i="5"/>
  <c r="AS142" i="5"/>
  <c r="AQ142" i="5"/>
  <c r="AO142" i="5"/>
  <c r="AM142" i="5"/>
  <c r="AK142" i="5"/>
  <c r="AI142" i="5"/>
  <c r="AG142" i="5"/>
  <c r="AE142" i="5"/>
  <c r="AC142" i="5"/>
  <c r="AA142" i="5"/>
  <c r="Y142" i="5"/>
  <c r="W142" i="5"/>
  <c r="U142" i="5"/>
  <c r="S142" i="5"/>
  <c r="Q142" i="5"/>
  <c r="O142" i="5"/>
  <c r="M142" i="5"/>
  <c r="BA137" i="5"/>
  <c r="AY137" i="5"/>
  <c r="AW137" i="5"/>
  <c r="AU137" i="5"/>
  <c r="AS137" i="5"/>
  <c r="AQ137" i="5"/>
  <c r="AO137" i="5"/>
  <c r="AM137" i="5"/>
  <c r="AK137" i="5"/>
  <c r="AI137" i="5"/>
  <c r="AG137" i="5"/>
  <c r="AE137" i="5"/>
  <c r="AC137" i="5"/>
  <c r="AA137" i="5"/>
  <c r="Y137" i="5"/>
  <c r="W137" i="5"/>
  <c r="U137" i="5"/>
  <c r="S137" i="5"/>
  <c r="Q137" i="5"/>
  <c r="O137" i="5"/>
  <c r="M137" i="5"/>
  <c r="BA132" i="5"/>
  <c r="AY132" i="5"/>
  <c r="AW132" i="5"/>
  <c r="AU132" i="5"/>
  <c r="AS132" i="5"/>
  <c r="AQ132" i="5"/>
  <c r="AO132" i="5"/>
  <c r="AM132" i="5"/>
  <c r="AK132" i="5"/>
  <c r="AI132" i="5"/>
  <c r="AG132" i="5"/>
  <c r="AE132" i="5"/>
  <c r="AC132" i="5"/>
  <c r="AA132" i="5"/>
  <c r="Y132" i="5"/>
  <c r="W132" i="5"/>
  <c r="U132" i="5"/>
  <c r="S132" i="5"/>
  <c r="Q132" i="5"/>
  <c r="O132" i="5"/>
  <c r="M132" i="5"/>
  <c r="BA130" i="5"/>
  <c r="AY130" i="5"/>
  <c r="AW130" i="5"/>
  <c r="AU130" i="5"/>
  <c r="AS130" i="5"/>
  <c r="AQ130" i="5"/>
  <c r="AO130" i="5"/>
  <c r="AM130" i="5"/>
  <c r="AK130" i="5"/>
  <c r="AI130" i="5"/>
  <c r="AG130" i="5"/>
  <c r="AE130" i="5"/>
  <c r="AC130" i="5"/>
  <c r="AA130" i="5"/>
  <c r="Y130" i="5"/>
  <c r="W130" i="5"/>
  <c r="U130" i="5"/>
  <c r="S130" i="5"/>
  <c r="Q130" i="5"/>
  <c r="O130" i="5"/>
  <c r="M130" i="5"/>
  <c r="BA127" i="5"/>
  <c r="AY127" i="5"/>
  <c r="AW127" i="5"/>
  <c r="AU127" i="5"/>
  <c r="AS127" i="5"/>
  <c r="AQ127" i="5"/>
  <c r="AO127" i="5"/>
  <c r="AM127" i="5"/>
  <c r="AK127" i="5"/>
  <c r="AI127" i="5"/>
  <c r="AG127" i="5"/>
  <c r="AE127" i="5"/>
  <c r="AC127" i="5"/>
  <c r="AA127" i="5"/>
  <c r="Y127" i="5"/>
  <c r="W127" i="5"/>
  <c r="U127" i="5"/>
  <c r="S127" i="5"/>
  <c r="Q127" i="5"/>
  <c r="O127" i="5"/>
  <c r="M127" i="5"/>
  <c r="BA125" i="5"/>
  <c r="AY125" i="5"/>
  <c r="AW125" i="5"/>
  <c r="AU125" i="5"/>
  <c r="AS125" i="5"/>
  <c r="AQ125" i="5"/>
  <c r="AO125" i="5"/>
  <c r="AM125" i="5"/>
  <c r="AK125" i="5"/>
  <c r="AI125" i="5"/>
  <c r="AG125" i="5"/>
  <c r="AE125" i="5"/>
  <c r="AC125" i="5"/>
  <c r="AA125" i="5"/>
  <c r="Y125" i="5"/>
  <c r="W125" i="5"/>
  <c r="U125" i="5"/>
  <c r="S125" i="5"/>
  <c r="Q125" i="5"/>
  <c r="O125" i="5"/>
  <c r="M125" i="5"/>
  <c r="BA123" i="5"/>
  <c r="AY123" i="5"/>
  <c r="AW123" i="5"/>
  <c r="AU123" i="5"/>
  <c r="AS123" i="5"/>
  <c r="AQ123" i="5"/>
  <c r="AO123" i="5"/>
  <c r="AM123" i="5"/>
  <c r="AK123" i="5"/>
  <c r="AI123" i="5"/>
  <c r="AG123" i="5"/>
  <c r="AE123" i="5"/>
  <c r="AC123" i="5"/>
  <c r="AA123" i="5"/>
  <c r="Y123" i="5"/>
  <c r="W123" i="5"/>
  <c r="U123" i="5"/>
  <c r="S123" i="5"/>
  <c r="Q123" i="5"/>
  <c r="O123" i="5"/>
  <c r="M123" i="5"/>
  <c r="BA117" i="5"/>
  <c r="AY117" i="5"/>
  <c r="AW117" i="5"/>
  <c r="AU117" i="5"/>
  <c r="AS117" i="5"/>
  <c r="AQ117" i="5"/>
  <c r="AO117" i="5"/>
  <c r="AM117" i="5"/>
  <c r="AK117" i="5"/>
  <c r="AI117" i="5"/>
  <c r="AG117" i="5"/>
  <c r="AE117" i="5"/>
  <c r="AC117" i="5"/>
  <c r="AA117" i="5"/>
  <c r="Y117" i="5"/>
  <c r="W117" i="5"/>
  <c r="U117" i="5"/>
  <c r="S117" i="5"/>
  <c r="Q117" i="5"/>
  <c r="O117" i="5"/>
  <c r="M117" i="5"/>
  <c r="BA116" i="5"/>
  <c r="AY116" i="5"/>
  <c r="AW116" i="5"/>
  <c r="AU116" i="5"/>
  <c r="AS116" i="5"/>
  <c r="AQ116" i="5"/>
  <c r="AO116" i="5"/>
  <c r="AM116" i="5"/>
  <c r="AK116" i="5"/>
  <c r="AI116" i="5"/>
  <c r="AG116" i="5"/>
  <c r="AE116" i="5"/>
  <c r="AC116" i="5"/>
  <c r="AA116" i="5"/>
  <c r="Y116" i="5"/>
  <c r="W116" i="5"/>
  <c r="U116" i="5"/>
  <c r="S116" i="5"/>
  <c r="Q116" i="5"/>
  <c r="O116" i="5"/>
  <c r="M116" i="5"/>
  <c r="BA115" i="5"/>
  <c r="AY115" i="5"/>
  <c r="AW115" i="5"/>
  <c r="AU115" i="5"/>
  <c r="AS115" i="5"/>
  <c r="AQ115" i="5"/>
  <c r="AO115" i="5"/>
  <c r="AM115" i="5"/>
  <c r="AK115" i="5"/>
  <c r="AI115" i="5"/>
  <c r="AG115" i="5"/>
  <c r="AE115" i="5"/>
  <c r="AC115" i="5"/>
  <c r="AA115" i="5"/>
  <c r="Y115" i="5"/>
  <c r="W115" i="5"/>
  <c r="U115" i="5"/>
  <c r="S115" i="5"/>
  <c r="Q115" i="5"/>
  <c r="O115" i="5"/>
  <c r="M115" i="5"/>
  <c r="BA112" i="5"/>
  <c r="AY112" i="5"/>
  <c r="AW112" i="5"/>
  <c r="AU112" i="5"/>
  <c r="AS112" i="5"/>
  <c r="AQ112" i="5"/>
  <c r="AO112" i="5"/>
  <c r="AM112" i="5"/>
  <c r="AK112" i="5"/>
  <c r="AI112" i="5"/>
  <c r="AG112" i="5"/>
  <c r="AE112" i="5"/>
  <c r="AC112" i="5"/>
  <c r="AA112" i="5"/>
  <c r="Y112" i="5"/>
  <c r="W112" i="5"/>
  <c r="U112" i="5"/>
  <c r="S112" i="5"/>
  <c r="Q112" i="5"/>
  <c r="O112" i="5"/>
  <c r="M112" i="5"/>
  <c r="BA111" i="5"/>
  <c r="AY111" i="5"/>
  <c r="AW111" i="5"/>
  <c r="AU111" i="5"/>
  <c r="AS111" i="5"/>
  <c r="AQ111" i="5"/>
  <c r="AO111" i="5"/>
  <c r="AM111" i="5"/>
  <c r="AK111" i="5"/>
  <c r="AI111" i="5"/>
  <c r="AG111" i="5"/>
  <c r="AE111" i="5"/>
  <c r="AC111" i="5"/>
  <c r="AA111" i="5"/>
  <c r="Y111" i="5"/>
  <c r="W111" i="5"/>
  <c r="U111" i="5"/>
  <c r="S111" i="5"/>
  <c r="Q111" i="5"/>
  <c r="O111" i="5"/>
  <c r="M111" i="5"/>
  <c r="BA110" i="5"/>
  <c r="AW110" i="5"/>
  <c r="AU110" i="5"/>
  <c r="AS110" i="5"/>
  <c r="AQ110" i="5"/>
  <c r="AO110" i="5"/>
  <c r="AM110" i="5"/>
  <c r="AK110" i="5"/>
  <c r="AI110" i="5"/>
  <c r="AG110" i="5"/>
  <c r="AE110" i="5"/>
  <c r="AC110" i="5"/>
  <c r="AA110" i="5"/>
  <c r="Y110" i="5"/>
  <c r="W110" i="5"/>
  <c r="U110" i="5"/>
  <c r="S110" i="5"/>
  <c r="Q110" i="5"/>
  <c r="O110" i="5"/>
  <c r="M110" i="5"/>
  <c r="BA105" i="5"/>
  <c r="AY105" i="5"/>
  <c r="AW105" i="5"/>
  <c r="AU105" i="5"/>
  <c r="AS105" i="5"/>
  <c r="AQ105" i="5"/>
  <c r="AO105" i="5"/>
  <c r="AM105" i="5"/>
  <c r="AK105" i="5"/>
  <c r="AI105" i="5"/>
  <c r="AG105" i="5"/>
  <c r="AE105" i="5"/>
  <c r="AC105" i="5"/>
  <c r="AA105" i="5"/>
  <c r="Y105" i="5"/>
  <c r="W105" i="5"/>
  <c r="U105" i="5"/>
  <c r="S105" i="5"/>
  <c r="Q105" i="5"/>
  <c r="O105" i="5"/>
  <c r="M105" i="5"/>
  <c r="BA98" i="5"/>
  <c r="AY98" i="5"/>
  <c r="AW98" i="5"/>
  <c r="AU98" i="5"/>
  <c r="AS98" i="5"/>
  <c r="AQ98" i="5"/>
  <c r="AO98" i="5"/>
  <c r="AM98" i="5"/>
  <c r="AK98" i="5"/>
  <c r="AI98" i="5"/>
  <c r="AG98" i="5"/>
  <c r="AE98" i="5"/>
  <c r="AC98" i="5"/>
  <c r="AA98" i="5"/>
  <c r="Y98" i="5"/>
  <c r="W98" i="5"/>
  <c r="U98" i="5"/>
  <c r="S98" i="5"/>
  <c r="Q98" i="5"/>
  <c r="O98" i="5"/>
  <c r="M98" i="5"/>
  <c r="BA93" i="5"/>
  <c r="AY93" i="5"/>
  <c r="AW93" i="5"/>
  <c r="AU93" i="5"/>
  <c r="AS93" i="5"/>
  <c r="AQ93" i="5"/>
  <c r="AO93" i="5"/>
  <c r="AM93" i="5"/>
  <c r="AK93" i="5"/>
  <c r="AI93" i="5"/>
  <c r="AG93" i="5"/>
  <c r="AE93" i="5"/>
  <c r="AC93" i="5"/>
  <c r="AA93" i="5"/>
  <c r="Y93" i="5"/>
  <c r="W93" i="5"/>
  <c r="U93" i="5"/>
  <c r="S93" i="5"/>
  <c r="Q93" i="5"/>
  <c r="O93" i="5"/>
  <c r="M93" i="5"/>
  <c r="BA91" i="5"/>
  <c r="AY91" i="5"/>
  <c r="AW91" i="5"/>
  <c r="AU91" i="5"/>
  <c r="AS91" i="5"/>
  <c r="AQ91" i="5"/>
  <c r="AO91" i="5"/>
  <c r="AM91" i="5"/>
  <c r="AK91" i="5"/>
  <c r="AI91" i="5"/>
  <c r="AG91" i="5"/>
  <c r="AE91" i="5"/>
  <c r="AC91" i="5"/>
  <c r="AA91" i="5"/>
  <c r="Y91" i="5"/>
  <c r="W91" i="5"/>
  <c r="U91" i="5"/>
  <c r="S91" i="5"/>
  <c r="Q91" i="5"/>
  <c r="O91" i="5"/>
  <c r="M91" i="5"/>
  <c r="BA90" i="5"/>
  <c r="AY90" i="5"/>
  <c r="AW90" i="5"/>
  <c r="AU90" i="5"/>
  <c r="AS90" i="5"/>
  <c r="AQ90" i="5"/>
  <c r="AO90" i="5"/>
  <c r="AM90" i="5"/>
  <c r="AK90" i="5"/>
  <c r="AI90" i="5"/>
  <c r="AG90" i="5"/>
  <c r="AE90" i="5"/>
  <c r="AC90" i="5"/>
  <c r="AA90" i="5"/>
  <c r="Y90" i="5"/>
  <c r="W90" i="5"/>
  <c r="U90" i="5"/>
  <c r="S90" i="5"/>
  <c r="Q90" i="5"/>
  <c r="O90" i="5"/>
  <c r="M90" i="5"/>
  <c r="BA88" i="5"/>
  <c r="AY88" i="5"/>
  <c r="AW88" i="5"/>
  <c r="AU88" i="5"/>
  <c r="AS88" i="5"/>
  <c r="AQ88" i="5"/>
  <c r="AO88" i="5"/>
  <c r="AM88" i="5"/>
  <c r="AK88" i="5"/>
  <c r="AI88" i="5"/>
  <c r="AG88" i="5"/>
  <c r="AE88" i="5"/>
  <c r="AC88" i="5"/>
  <c r="AA88" i="5"/>
  <c r="Y88" i="5"/>
  <c r="W88" i="5"/>
  <c r="U88" i="5"/>
  <c r="S88" i="5"/>
  <c r="Q88" i="5"/>
  <c r="O88" i="5"/>
  <c r="M88" i="5"/>
  <c r="BA77" i="5"/>
  <c r="AY77" i="5"/>
  <c r="AW77" i="5"/>
  <c r="AU77" i="5"/>
  <c r="AS77" i="5"/>
  <c r="AQ77" i="5"/>
  <c r="AO77" i="5"/>
  <c r="AM77" i="5"/>
  <c r="AK77" i="5"/>
  <c r="AI77" i="5"/>
  <c r="AG77" i="5"/>
  <c r="AE77" i="5"/>
  <c r="AC77" i="5"/>
  <c r="AA77" i="5"/>
  <c r="Y77" i="5"/>
  <c r="W77" i="5"/>
  <c r="U77" i="5"/>
  <c r="S77" i="5"/>
  <c r="Q77" i="5"/>
  <c r="O77" i="5"/>
  <c r="M77" i="5"/>
  <c r="BA76" i="5"/>
  <c r="AY76" i="5"/>
  <c r="AW76" i="5"/>
  <c r="AU76" i="5"/>
  <c r="AS76" i="5"/>
  <c r="AQ76" i="5"/>
  <c r="AO76" i="5"/>
  <c r="AM76" i="5"/>
  <c r="AK76" i="5"/>
  <c r="AI76" i="5"/>
  <c r="AG76" i="5"/>
  <c r="AE76" i="5"/>
  <c r="AC76" i="5"/>
  <c r="AA76" i="5"/>
  <c r="Y76" i="5"/>
  <c r="W76" i="5"/>
  <c r="U76" i="5"/>
  <c r="S76" i="5"/>
  <c r="Q76" i="5"/>
  <c r="O76" i="5"/>
  <c r="M76" i="5"/>
  <c r="BA72" i="5"/>
  <c r="AY72" i="5"/>
  <c r="AW72" i="5"/>
  <c r="AU72" i="5"/>
  <c r="AS72" i="5"/>
  <c r="AQ72" i="5"/>
  <c r="AO72" i="5"/>
  <c r="AM72" i="5"/>
  <c r="AK72" i="5"/>
  <c r="AI72" i="5"/>
  <c r="AG72" i="5"/>
  <c r="AE72" i="5"/>
  <c r="AC72" i="5"/>
  <c r="AA72" i="5"/>
  <c r="Y72" i="5"/>
  <c r="W72" i="5"/>
  <c r="U72" i="5"/>
  <c r="S72" i="5"/>
  <c r="Q72" i="5"/>
  <c r="O72" i="5"/>
  <c r="M72" i="5"/>
  <c r="BA71" i="5"/>
  <c r="AY71" i="5"/>
  <c r="AW71" i="5"/>
  <c r="AU71" i="5"/>
  <c r="AS71" i="5"/>
  <c r="AQ71" i="5"/>
  <c r="AO71" i="5"/>
  <c r="AM71" i="5"/>
  <c r="AK71" i="5"/>
  <c r="AI71" i="5"/>
  <c r="AG71" i="5"/>
  <c r="AE71" i="5"/>
  <c r="AC71" i="5"/>
  <c r="AA71" i="5"/>
  <c r="Y71" i="5"/>
  <c r="W71" i="5"/>
  <c r="U71" i="5"/>
  <c r="S71" i="5"/>
  <c r="Q71" i="5"/>
  <c r="O71" i="5"/>
  <c r="M71" i="5"/>
  <c r="BA69" i="5"/>
  <c r="AY69" i="5"/>
  <c r="AW69" i="5"/>
  <c r="AU69" i="5"/>
  <c r="AS69" i="5"/>
  <c r="AQ69" i="5"/>
  <c r="AO69" i="5"/>
  <c r="AM69" i="5"/>
  <c r="AK69" i="5"/>
  <c r="AI69" i="5"/>
  <c r="AG69" i="5"/>
  <c r="AE69" i="5"/>
  <c r="AC69" i="5"/>
  <c r="AA69" i="5"/>
  <c r="Y69" i="5"/>
  <c r="W69" i="5"/>
  <c r="U69" i="5"/>
  <c r="S69" i="5"/>
  <c r="Q69" i="5"/>
  <c r="O69" i="5"/>
  <c r="M69" i="5"/>
  <c r="BA67" i="5"/>
  <c r="AY67" i="5"/>
  <c r="AW67" i="5"/>
  <c r="AU67" i="5"/>
  <c r="AS67" i="5"/>
  <c r="AQ67" i="5"/>
  <c r="AO67" i="5"/>
  <c r="AM67" i="5"/>
  <c r="AK67" i="5"/>
  <c r="AI67" i="5"/>
  <c r="AG67" i="5"/>
  <c r="AE67" i="5"/>
  <c r="AC67" i="5"/>
  <c r="AA67" i="5"/>
  <c r="Y67" i="5"/>
  <c r="W67" i="5"/>
  <c r="U67" i="5"/>
  <c r="S67" i="5"/>
  <c r="Q67" i="5"/>
  <c r="O67" i="5"/>
  <c r="M67" i="5"/>
  <c r="BA66" i="5"/>
  <c r="AY66" i="5"/>
  <c r="AW66" i="5"/>
  <c r="AU66" i="5"/>
  <c r="AS66" i="5"/>
  <c r="AQ66" i="5"/>
  <c r="AO66" i="5"/>
  <c r="AM66" i="5"/>
  <c r="AK66" i="5"/>
  <c r="AI66" i="5"/>
  <c r="AG66" i="5"/>
  <c r="AE66" i="5"/>
  <c r="AC66" i="5"/>
  <c r="AA66" i="5"/>
  <c r="Y66" i="5"/>
  <c r="W66" i="5"/>
  <c r="U66" i="5"/>
  <c r="S66" i="5"/>
  <c r="Q66" i="5"/>
  <c r="O66" i="5"/>
  <c r="M66" i="5"/>
  <c r="BA64" i="5"/>
  <c r="AY64" i="5"/>
  <c r="AW64" i="5"/>
  <c r="AU64" i="5"/>
  <c r="AS64" i="5"/>
  <c r="AQ64" i="5"/>
  <c r="AO64" i="5"/>
  <c r="AM64" i="5"/>
  <c r="AK64" i="5"/>
  <c r="AI64" i="5"/>
  <c r="AG64" i="5"/>
  <c r="AE64" i="5"/>
  <c r="AC64" i="5"/>
  <c r="AA64" i="5"/>
  <c r="Y64" i="5"/>
  <c r="W64" i="5"/>
  <c r="U64" i="5"/>
  <c r="S64" i="5"/>
  <c r="Q64" i="5"/>
  <c r="O64" i="5"/>
  <c r="M64" i="5"/>
  <c r="BA63" i="5"/>
  <c r="AY63" i="5"/>
  <c r="AW63" i="5"/>
  <c r="AU63" i="5"/>
  <c r="AS63" i="5"/>
  <c r="AQ63" i="5"/>
  <c r="AO63" i="5"/>
  <c r="AM63" i="5"/>
  <c r="AK63" i="5"/>
  <c r="AI63" i="5"/>
  <c r="AG63" i="5"/>
  <c r="AE63" i="5"/>
  <c r="AC63" i="5"/>
  <c r="AA63" i="5"/>
  <c r="Y63" i="5"/>
  <c r="W63" i="5"/>
  <c r="U63" i="5"/>
  <c r="S63" i="5"/>
  <c r="Q63" i="5"/>
  <c r="O63" i="5"/>
  <c r="M63" i="5"/>
  <c r="BA62" i="5"/>
  <c r="AY62" i="5"/>
  <c r="AW62" i="5"/>
  <c r="AU62" i="5"/>
  <c r="AS62" i="5"/>
  <c r="AQ62" i="5"/>
  <c r="AO62" i="5"/>
  <c r="AM62" i="5"/>
  <c r="AK62" i="5"/>
  <c r="AI62" i="5"/>
  <c r="AG62" i="5"/>
  <c r="AE62" i="5"/>
  <c r="AC62" i="5"/>
  <c r="AA62" i="5"/>
  <c r="Y62" i="5"/>
  <c r="W62" i="5"/>
  <c r="U62" i="5"/>
  <c r="S62" i="5"/>
  <c r="Q62" i="5"/>
  <c r="O62" i="5"/>
  <c r="M62" i="5"/>
  <c r="BA61" i="5"/>
  <c r="AY61" i="5"/>
  <c r="AW61" i="5"/>
  <c r="AU61" i="5"/>
  <c r="AS61" i="5"/>
  <c r="AQ61" i="5"/>
  <c r="AO61" i="5"/>
  <c r="AM61" i="5"/>
  <c r="AK61" i="5"/>
  <c r="AI61" i="5"/>
  <c r="AG61" i="5"/>
  <c r="AE61" i="5"/>
  <c r="AC61" i="5"/>
  <c r="AA61" i="5"/>
  <c r="Y61" i="5"/>
  <c r="W61" i="5"/>
  <c r="U61" i="5"/>
  <c r="S61" i="5"/>
  <c r="Q61" i="5"/>
  <c r="O61" i="5"/>
  <c r="M61" i="5"/>
  <c r="BA57" i="5"/>
  <c r="AY57" i="5"/>
  <c r="AW57" i="5"/>
  <c r="AU57" i="5"/>
  <c r="AS57" i="5"/>
  <c r="AQ57" i="5"/>
  <c r="AO57" i="5"/>
  <c r="AM57" i="5"/>
  <c r="AK57" i="5"/>
  <c r="AI57" i="5"/>
  <c r="AG57" i="5"/>
  <c r="AE57" i="5"/>
  <c r="AC57" i="5"/>
  <c r="AA57" i="5"/>
  <c r="Y57" i="5"/>
  <c r="W57" i="5"/>
  <c r="U57" i="5"/>
  <c r="S57" i="5"/>
  <c r="Q57" i="5"/>
  <c r="O57" i="5"/>
  <c r="M57" i="5"/>
  <c r="BA56" i="5"/>
  <c r="AY56" i="5"/>
  <c r="AW56" i="5"/>
  <c r="AU56" i="5"/>
  <c r="AS56" i="5"/>
  <c r="AQ56" i="5"/>
  <c r="AO56" i="5"/>
  <c r="AM56" i="5"/>
  <c r="AK56" i="5"/>
  <c r="AI56" i="5"/>
  <c r="AG56" i="5"/>
  <c r="AE56" i="5"/>
  <c r="AC56" i="5"/>
  <c r="AA56" i="5"/>
  <c r="Y56" i="5"/>
  <c r="W56" i="5"/>
  <c r="U56" i="5"/>
  <c r="S56" i="5"/>
  <c r="Q56" i="5"/>
  <c r="O56" i="5"/>
  <c r="M56" i="5"/>
  <c r="BA49" i="5"/>
  <c r="AY49" i="5"/>
  <c r="AW49" i="5"/>
  <c r="AU49" i="5"/>
  <c r="AS49" i="5"/>
  <c r="AQ49" i="5"/>
  <c r="AO49" i="5"/>
  <c r="AM49" i="5"/>
  <c r="AK49" i="5"/>
  <c r="AI49" i="5"/>
  <c r="AG49" i="5"/>
  <c r="AE49" i="5"/>
  <c r="AC49" i="5"/>
  <c r="AA49" i="5"/>
  <c r="Y49" i="5"/>
  <c r="W49" i="5"/>
  <c r="U49" i="5"/>
  <c r="S49" i="5"/>
  <c r="Q49" i="5"/>
  <c r="O49" i="5"/>
  <c r="M49" i="5"/>
  <c r="BA48" i="5"/>
  <c r="AY48" i="5"/>
  <c r="AW48" i="5"/>
  <c r="AU48" i="5"/>
  <c r="AS48" i="5"/>
  <c r="AQ48" i="5"/>
  <c r="AO48" i="5"/>
  <c r="AM48" i="5"/>
  <c r="AK48" i="5"/>
  <c r="AI48" i="5"/>
  <c r="AG48" i="5"/>
  <c r="AE48" i="5"/>
  <c r="AC48" i="5"/>
  <c r="AA48" i="5"/>
  <c r="Y48" i="5"/>
  <c r="W48" i="5"/>
  <c r="U48" i="5"/>
  <c r="S48" i="5"/>
  <c r="Q48" i="5"/>
  <c r="O48" i="5"/>
  <c r="M48" i="5"/>
  <c r="BA46" i="5"/>
  <c r="AY46" i="5"/>
  <c r="AW46" i="5"/>
  <c r="AU46" i="5"/>
  <c r="AS46" i="5"/>
  <c r="AQ46" i="5"/>
  <c r="AO46" i="5"/>
  <c r="AM46" i="5"/>
  <c r="AK46" i="5"/>
  <c r="AI46" i="5"/>
  <c r="AG46" i="5"/>
  <c r="AE46" i="5"/>
  <c r="AC46" i="5"/>
  <c r="AA46" i="5"/>
  <c r="Y46" i="5"/>
  <c r="W46" i="5"/>
  <c r="U46" i="5"/>
  <c r="S46" i="5"/>
  <c r="Q46" i="5"/>
  <c r="O46" i="5"/>
  <c r="M46" i="5"/>
  <c r="BA44" i="5"/>
  <c r="AY44" i="5"/>
  <c r="AW44" i="5"/>
  <c r="AU44" i="5"/>
  <c r="AS44" i="5"/>
  <c r="AQ44" i="5"/>
  <c r="AO44" i="5"/>
  <c r="AM44" i="5"/>
  <c r="AK44" i="5"/>
  <c r="AI44" i="5"/>
  <c r="AG44" i="5"/>
  <c r="AE44" i="5"/>
  <c r="AC44" i="5"/>
  <c r="AA44" i="5"/>
  <c r="Y44" i="5"/>
  <c r="W44" i="5"/>
  <c r="U44" i="5"/>
  <c r="S44" i="5"/>
  <c r="Q44" i="5"/>
  <c r="O44" i="5"/>
  <c r="M44" i="5"/>
  <c r="BA42" i="5"/>
  <c r="AY42" i="5"/>
  <c r="AW42" i="5"/>
  <c r="AU42" i="5"/>
  <c r="AS42" i="5"/>
  <c r="AQ42" i="5"/>
  <c r="AO42" i="5"/>
  <c r="AM42" i="5"/>
  <c r="AK42" i="5"/>
  <c r="AI42" i="5"/>
  <c r="AG42" i="5"/>
  <c r="AE42" i="5"/>
  <c r="AC42" i="5"/>
  <c r="AA42" i="5"/>
  <c r="Y42" i="5"/>
  <c r="W42" i="5"/>
  <c r="U42" i="5"/>
  <c r="S42" i="5"/>
  <c r="Q42" i="5"/>
  <c r="O42" i="5"/>
  <c r="M42" i="5"/>
  <c r="BA34" i="5"/>
  <c r="AY34" i="5"/>
  <c r="AW34" i="5"/>
  <c r="AU34" i="5"/>
  <c r="AS34" i="5"/>
  <c r="AQ34" i="5"/>
  <c r="AO34" i="5"/>
  <c r="AM34" i="5"/>
  <c r="AK34" i="5"/>
  <c r="AI34" i="5"/>
  <c r="AG34" i="5"/>
  <c r="AE34" i="5"/>
  <c r="AC34" i="5"/>
  <c r="AA34" i="5"/>
  <c r="Y34" i="5"/>
  <c r="W34" i="5"/>
  <c r="U34" i="5"/>
  <c r="S34" i="5"/>
  <c r="Q34" i="5"/>
  <c r="O34" i="5"/>
  <c r="M34" i="5"/>
  <c r="BA33" i="5"/>
  <c r="AY33" i="5"/>
  <c r="AW33" i="5"/>
  <c r="AU33" i="5"/>
  <c r="AS33" i="5"/>
  <c r="AQ33" i="5"/>
  <c r="AO33" i="5"/>
  <c r="AM33" i="5"/>
  <c r="AK33" i="5"/>
  <c r="AI33" i="5"/>
  <c r="AG33" i="5"/>
  <c r="AE33" i="5"/>
  <c r="AC33" i="5"/>
  <c r="AA33" i="5"/>
  <c r="Y33" i="5"/>
  <c r="W33" i="5"/>
  <c r="U33" i="5"/>
  <c r="S33" i="5"/>
  <c r="Q33" i="5"/>
  <c r="O33" i="5"/>
  <c r="M33" i="5"/>
  <c r="BA31" i="5"/>
  <c r="AY31" i="5"/>
  <c r="AW31" i="5"/>
  <c r="AU31" i="5"/>
  <c r="AS31" i="5"/>
  <c r="AQ31" i="5"/>
  <c r="AO31" i="5"/>
  <c r="AM31" i="5"/>
  <c r="AK31" i="5"/>
  <c r="AI31" i="5"/>
  <c r="AG31" i="5"/>
  <c r="AE31" i="5"/>
  <c r="AC31" i="5"/>
  <c r="AA31" i="5"/>
  <c r="Y31" i="5"/>
  <c r="W31" i="5"/>
  <c r="U31" i="5"/>
  <c r="S31" i="5"/>
  <c r="Q31" i="5"/>
  <c r="O31" i="5"/>
  <c r="M31" i="5"/>
  <c r="BA30" i="5"/>
  <c r="AY30" i="5"/>
  <c r="AW30" i="5"/>
  <c r="AU30" i="5"/>
  <c r="AS30" i="5"/>
  <c r="AQ30" i="5"/>
  <c r="AO30" i="5"/>
  <c r="AM30" i="5"/>
  <c r="AK30" i="5"/>
  <c r="AI30" i="5"/>
  <c r="AG30" i="5"/>
  <c r="AE30" i="5"/>
  <c r="AC30" i="5"/>
  <c r="AA30" i="5"/>
  <c r="Y30" i="5"/>
  <c r="W30" i="5"/>
  <c r="U30" i="5"/>
  <c r="S30" i="5"/>
  <c r="Q30" i="5"/>
  <c r="O30" i="5"/>
  <c r="M30" i="5"/>
  <c r="BA28" i="5"/>
  <c r="AY28" i="5"/>
  <c r="AW28" i="5"/>
  <c r="AU28" i="5"/>
  <c r="AS28" i="5"/>
  <c r="AQ28" i="5"/>
  <c r="AO28" i="5"/>
  <c r="AM28" i="5"/>
  <c r="AK28" i="5"/>
  <c r="AI28" i="5"/>
  <c r="AG28" i="5"/>
  <c r="AE28" i="5"/>
  <c r="AC28" i="5"/>
  <c r="AA28" i="5"/>
  <c r="Y28" i="5"/>
  <c r="W28" i="5"/>
  <c r="U28" i="5"/>
  <c r="S28" i="5"/>
  <c r="Q28" i="5"/>
  <c r="O28" i="5"/>
  <c r="M28" i="5"/>
  <c r="BA51" i="5"/>
  <c r="AY51" i="5"/>
  <c r="AW51" i="5"/>
  <c r="AU51" i="5"/>
  <c r="AS51" i="5"/>
  <c r="AQ51" i="5"/>
  <c r="AO51" i="5"/>
  <c r="AM51" i="5"/>
  <c r="AK51" i="5"/>
  <c r="AI51" i="5"/>
  <c r="AG51" i="5"/>
  <c r="AE51" i="5"/>
  <c r="AC51" i="5"/>
  <c r="AA51" i="5"/>
  <c r="Y51" i="5"/>
  <c r="W51" i="5"/>
  <c r="U51" i="5"/>
  <c r="S51" i="5"/>
  <c r="Q51" i="5"/>
  <c r="O51" i="5"/>
  <c r="M51" i="5"/>
  <c r="BA24" i="5"/>
  <c r="AY24" i="5"/>
  <c r="AW24" i="5"/>
  <c r="AU24" i="5"/>
  <c r="AS24" i="5"/>
  <c r="AQ24" i="5"/>
  <c r="AO24" i="5"/>
  <c r="AM24" i="5"/>
  <c r="AK24" i="5"/>
  <c r="AI24" i="5"/>
  <c r="AG24" i="5"/>
  <c r="AE24" i="5"/>
  <c r="AC24" i="5"/>
  <c r="AA24" i="5"/>
  <c r="Y24" i="5"/>
  <c r="W24" i="5"/>
  <c r="U24" i="5"/>
  <c r="S24" i="5"/>
  <c r="Q24" i="5"/>
  <c r="O24" i="5"/>
  <c r="M24" i="5"/>
  <c r="BA23" i="5"/>
  <c r="AY23" i="5"/>
  <c r="AW23" i="5"/>
  <c r="AU23" i="5"/>
  <c r="AS23" i="5"/>
  <c r="AQ23" i="5"/>
  <c r="AO23" i="5"/>
  <c r="AM23" i="5"/>
  <c r="AK23" i="5"/>
  <c r="AI23" i="5"/>
  <c r="AG23" i="5"/>
  <c r="AE23" i="5"/>
  <c r="AC23" i="5"/>
  <c r="AA23" i="5"/>
  <c r="Y23" i="5"/>
  <c r="W23" i="5"/>
  <c r="U23" i="5"/>
  <c r="S23" i="5"/>
  <c r="Q23" i="5"/>
  <c r="O23" i="5"/>
  <c r="M23" i="5"/>
  <c r="BA13" i="5"/>
  <c r="AY13" i="5"/>
  <c r="AW13" i="5"/>
  <c r="AU13" i="5"/>
  <c r="AS13" i="5"/>
  <c r="AQ13" i="5"/>
  <c r="AO13" i="5"/>
  <c r="AM13" i="5"/>
  <c r="AK13" i="5"/>
  <c r="AI13" i="5"/>
  <c r="AG13" i="5"/>
  <c r="AE13" i="5"/>
  <c r="AC13" i="5"/>
  <c r="AA13" i="5"/>
  <c r="Y13" i="5"/>
  <c r="W13" i="5"/>
  <c r="U13" i="5"/>
  <c r="S13" i="5"/>
  <c r="Q13" i="5"/>
  <c r="O13" i="5"/>
  <c r="M13" i="5"/>
  <c r="BA11" i="5"/>
  <c r="AY11" i="5"/>
  <c r="AW11" i="5"/>
  <c r="AU11" i="5"/>
  <c r="AS11" i="5"/>
  <c r="AQ11" i="5"/>
  <c r="AO11" i="5"/>
  <c r="AM11" i="5"/>
  <c r="AK11" i="5"/>
  <c r="AI11" i="5"/>
  <c r="AG11" i="5"/>
  <c r="AE11" i="5"/>
  <c r="AC11" i="5"/>
  <c r="AA11" i="5"/>
  <c r="Y11" i="5"/>
  <c r="W11" i="5"/>
  <c r="U11" i="5"/>
  <c r="S11" i="5"/>
  <c r="Q11" i="5"/>
  <c r="O11" i="5"/>
  <c r="M11" i="5"/>
  <c r="BA55" i="7"/>
  <c r="AY55" i="7"/>
  <c r="AW55" i="7"/>
  <c r="AU55" i="7"/>
  <c r="AK55" i="7"/>
  <c r="AG55" i="7"/>
  <c r="AO55" i="7"/>
  <c r="AQ55" i="7"/>
  <c r="AM55" i="7"/>
  <c r="AI55" i="7"/>
  <c r="AS55" i="7"/>
  <c r="AE55" i="7"/>
  <c r="AC55" i="7"/>
  <c r="AA55" i="7"/>
  <c r="O55" i="7"/>
  <c r="Y55" i="7"/>
  <c r="S55" i="7"/>
  <c r="Q55" i="7"/>
  <c r="U55" i="7"/>
  <c r="M55" i="7"/>
  <c r="W55" i="7"/>
  <c r="BA54" i="7"/>
  <c r="AY54" i="7"/>
  <c r="AW54" i="7"/>
  <c r="AU54" i="7"/>
  <c r="AK54" i="7"/>
  <c r="AG54" i="7"/>
  <c r="AO54" i="7"/>
  <c r="AQ54" i="7"/>
  <c r="AM54" i="7"/>
  <c r="AI54" i="7"/>
  <c r="AS54" i="7"/>
  <c r="AE54" i="7"/>
  <c r="AA54" i="7"/>
  <c r="O54" i="7"/>
  <c r="Y54" i="7"/>
  <c r="S54" i="7"/>
  <c r="Q54" i="7"/>
  <c r="U54" i="7"/>
  <c r="M54" i="7"/>
  <c r="W54" i="7"/>
  <c r="BA53" i="7"/>
  <c r="AY53" i="7"/>
  <c r="AW53" i="7"/>
  <c r="AU53" i="7"/>
  <c r="AK53" i="7"/>
  <c r="AG53" i="7"/>
  <c r="AO53" i="7"/>
  <c r="AQ53" i="7"/>
  <c r="AM53" i="7"/>
  <c r="AI53" i="7"/>
  <c r="AS53" i="7"/>
  <c r="AE53" i="7"/>
  <c r="AC53" i="7"/>
  <c r="AA53" i="7"/>
  <c r="O53" i="7"/>
  <c r="Y53" i="7"/>
  <c r="S53" i="7"/>
  <c r="Q53" i="7"/>
  <c r="U53" i="7"/>
  <c r="M53" i="7"/>
  <c r="W53" i="7"/>
  <c r="BA52" i="7"/>
  <c r="AY52" i="7"/>
  <c r="AW52" i="7"/>
  <c r="AU52" i="7"/>
  <c r="AK52" i="7"/>
  <c r="AG52" i="7"/>
  <c r="AO52" i="7"/>
  <c r="AQ52" i="7"/>
  <c r="AM52" i="7"/>
  <c r="AI52" i="7"/>
  <c r="AS52" i="7"/>
  <c r="AE52" i="7"/>
  <c r="AC52" i="7"/>
  <c r="AA52" i="7"/>
  <c r="O52" i="7"/>
  <c r="Y52" i="7"/>
  <c r="S52" i="7"/>
  <c r="Q52" i="7"/>
  <c r="U52" i="7"/>
  <c r="M52" i="7"/>
  <c r="W52" i="7"/>
  <c r="BA49" i="7"/>
  <c r="AY49" i="7"/>
  <c r="AW49" i="7"/>
  <c r="AU49" i="7"/>
  <c r="AK49" i="7"/>
  <c r="AG49" i="7"/>
  <c r="AO49" i="7"/>
  <c r="AQ49" i="7"/>
  <c r="AM49" i="7"/>
  <c r="AI49" i="7"/>
  <c r="AS49" i="7"/>
  <c r="AE49" i="7"/>
  <c r="AC49" i="7"/>
  <c r="AA49" i="7"/>
  <c r="O49" i="7"/>
  <c r="Y49" i="7"/>
  <c r="S49" i="7"/>
  <c r="Q49" i="7"/>
  <c r="U49" i="7"/>
  <c r="M49" i="7"/>
  <c r="W49" i="7"/>
  <c r="BA48" i="7"/>
  <c r="AY48" i="7"/>
  <c r="AW48" i="7"/>
  <c r="AU48" i="7"/>
  <c r="AK48" i="7"/>
  <c r="AG48" i="7"/>
  <c r="AO48" i="7"/>
  <c r="AQ48" i="7"/>
  <c r="AM48" i="7"/>
  <c r="AI48" i="7"/>
  <c r="AS48" i="7"/>
  <c r="AE48" i="7"/>
  <c r="AC48" i="7"/>
  <c r="AA48" i="7"/>
  <c r="O48" i="7"/>
  <c r="Y48" i="7"/>
  <c r="S48" i="7"/>
  <c r="Q48" i="7"/>
  <c r="U48" i="7"/>
  <c r="M48" i="7"/>
  <c r="W48" i="7"/>
  <c r="BA46" i="7"/>
  <c r="AY46" i="7"/>
  <c r="AW46" i="7"/>
  <c r="AU46" i="7"/>
  <c r="AK46" i="7"/>
  <c r="AG46" i="7"/>
  <c r="AO46" i="7"/>
  <c r="AQ46" i="7"/>
  <c r="AM46" i="7"/>
  <c r="AI46" i="7"/>
  <c r="AS46" i="7"/>
  <c r="AE46" i="7"/>
  <c r="AC46" i="7"/>
  <c r="AA46" i="7"/>
  <c r="O46" i="7"/>
  <c r="Y46" i="7"/>
  <c r="S46" i="7"/>
  <c r="Q46" i="7"/>
  <c r="U46" i="7"/>
  <c r="M46" i="7"/>
  <c r="W46" i="7"/>
  <c r="BA45" i="7"/>
  <c r="AY45" i="7"/>
  <c r="AW45" i="7"/>
  <c r="AU45" i="7"/>
  <c r="AK45" i="7"/>
  <c r="AG45" i="7"/>
  <c r="AO45" i="7"/>
  <c r="AQ45" i="7"/>
  <c r="AM45" i="7"/>
  <c r="AI45" i="7"/>
  <c r="AS45" i="7"/>
  <c r="AE45" i="7"/>
  <c r="AC45" i="7"/>
  <c r="AA45" i="7"/>
  <c r="O45" i="7"/>
  <c r="Y45" i="7"/>
  <c r="S45" i="7"/>
  <c r="Q45" i="7"/>
  <c r="U45" i="7"/>
  <c r="M45" i="7"/>
  <c r="W45" i="7"/>
  <c r="BA44" i="7"/>
  <c r="AY44" i="7"/>
  <c r="AW44" i="7"/>
  <c r="AU44" i="7"/>
  <c r="AK44" i="7"/>
  <c r="AG44" i="7"/>
  <c r="AO44" i="7"/>
  <c r="AQ44" i="7"/>
  <c r="AM44" i="7"/>
  <c r="AI44" i="7"/>
  <c r="AS44" i="7"/>
  <c r="AE44" i="7"/>
  <c r="AC44" i="7"/>
  <c r="AA44" i="7"/>
  <c r="O44" i="7"/>
  <c r="Y44" i="7"/>
  <c r="S44" i="7"/>
  <c r="Q44" i="7"/>
  <c r="U44" i="7"/>
  <c r="M44" i="7"/>
  <c r="W44" i="7"/>
  <c r="BA43" i="7"/>
  <c r="AY43" i="7"/>
  <c r="AW43" i="7"/>
  <c r="AU43" i="7"/>
  <c r="AK43" i="7"/>
  <c r="AG43" i="7"/>
  <c r="AO43" i="7"/>
  <c r="AQ43" i="7"/>
  <c r="AM43" i="7"/>
  <c r="AI43" i="7"/>
  <c r="AS43" i="7"/>
  <c r="AE43" i="7"/>
  <c r="AC43" i="7"/>
  <c r="AA43" i="7"/>
  <c r="O43" i="7"/>
  <c r="Y43" i="7"/>
  <c r="S43" i="7"/>
  <c r="Q43" i="7"/>
  <c r="U43" i="7"/>
  <c r="M43" i="7"/>
  <c r="W43" i="7"/>
  <c r="BA42" i="7"/>
  <c r="AY42" i="7"/>
  <c r="AW42" i="7"/>
  <c r="AU42" i="7"/>
  <c r="AK42" i="7"/>
  <c r="AG42" i="7"/>
  <c r="AO42" i="7"/>
  <c r="AQ42" i="7"/>
  <c r="AM42" i="7"/>
  <c r="AI42" i="7"/>
  <c r="AS42" i="7"/>
  <c r="AE42" i="7"/>
  <c r="AC42" i="7"/>
  <c r="AA42" i="7"/>
  <c r="O42" i="7"/>
  <c r="Y42" i="7"/>
  <c r="S42" i="7"/>
  <c r="Q42" i="7"/>
  <c r="U42" i="7"/>
  <c r="M42" i="7"/>
  <c r="W42" i="7"/>
  <c r="BA41" i="7"/>
  <c r="AY41" i="7"/>
  <c r="AW41" i="7"/>
  <c r="AU41" i="7"/>
  <c r="AK41" i="7"/>
  <c r="AG41" i="7"/>
  <c r="AO41" i="7"/>
  <c r="AQ41" i="7"/>
  <c r="AM41" i="7"/>
  <c r="AI41" i="7"/>
  <c r="AS41" i="7"/>
  <c r="AE41" i="7"/>
  <c r="AC41" i="7"/>
  <c r="AA41" i="7"/>
  <c r="O41" i="7"/>
  <c r="Y41" i="7"/>
  <c r="S41" i="7"/>
  <c r="Q41" i="7"/>
  <c r="U41" i="7"/>
  <c r="M41" i="7"/>
  <c r="W41" i="7"/>
  <c r="BA39" i="7"/>
  <c r="AY39" i="7"/>
  <c r="AW39" i="7"/>
  <c r="AU39" i="7"/>
  <c r="AK39" i="7"/>
  <c r="AG39" i="7"/>
  <c r="AO39" i="7"/>
  <c r="AQ39" i="7"/>
  <c r="AM39" i="7"/>
  <c r="AI39" i="7"/>
  <c r="AS39" i="7"/>
  <c r="AE39" i="7"/>
  <c r="AC39" i="7"/>
  <c r="AA39" i="7"/>
  <c r="O39" i="7"/>
  <c r="Y39" i="7"/>
  <c r="S39" i="7"/>
  <c r="Q39" i="7"/>
  <c r="U39" i="7"/>
  <c r="M39" i="7"/>
  <c r="W39" i="7"/>
  <c r="BA38" i="7"/>
  <c r="AY38" i="7"/>
  <c r="AW38" i="7"/>
  <c r="AU38" i="7"/>
  <c r="AK38" i="7"/>
  <c r="AG38" i="7"/>
  <c r="AO38" i="7"/>
  <c r="AQ38" i="7"/>
  <c r="AM38" i="7"/>
  <c r="AI38" i="7"/>
  <c r="AS38" i="7"/>
  <c r="AE38" i="7"/>
  <c r="AC38" i="7"/>
  <c r="AA38" i="7"/>
  <c r="O38" i="7"/>
  <c r="Y38" i="7"/>
  <c r="S38" i="7"/>
  <c r="Q38" i="7"/>
  <c r="U38" i="7"/>
  <c r="M38" i="7"/>
  <c r="W38" i="7"/>
  <c r="BA37" i="7"/>
  <c r="AY37" i="7"/>
  <c r="AW37" i="7"/>
  <c r="AU37" i="7"/>
  <c r="AK37" i="7"/>
  <c r="AG37" i="7"/>
  <c r="AO37" i="7"/>
  <c r="AQ37" i="7"/>
  <c r="AM37" i="7"/>
  <c r="AI37" i="7"/>
  <c r="AS37" i="7"/>
  <c r="AE37" i="7"/>
  <c r="AC37" i="7"/>
  <c r="AA37" i="7"/>
  <c r="O37" i="7"/>
  <c r="Y37" i="7"/>
  <c r="S37" i="7"/>
  <c r="Q37" i="7"/>
  <c r="U37" i="7"/>
  <c r="M37" i="7"/>
  <c r="W37" i="7"/>
  <c r="BA34" i="7"/>
  <c r="AY34" i="7"/>
  <c r="AW34" i="7"/>
  <c r="AU34" i="7"/>
  <c r="AK34" i="7"/>
  <c r="AG34" i="7"/>
  <c r="AO34" i="7"/>
  <c r="AQ34" i="7"/>
  <c r="AM34" i="7"/>
  <c r="AI34" i="7"/>
  <c r="AS34" i="7"/>
  <c r="AE34" i="7"/>
  <c r="AC34" i="7"/>
  <c r="AA34" i="7"/>
  <c r="O34" i="7"/>
  <c r="Y34" i="7"/>
  <c r="S34" i="7"/>
  <c r="Q34" i="7"/>
  <c r="M34" i="7"/>
  <c r="W34" i="7"/>
  <c r="BA32" i="7"/>
  <c r="AY32" i="7"/>
  <c r="AW32" i="7"/>
  <c r="AU32" i="7"/>
  <c r="AK32" i="7"/>
  <c r="AG32" i="7"/>
  <c r="AO32" i="7"/>
  <c r="AQ32" i="7"/>
  <c r="AM32" i="7"/>
  <c r="AI32" i="7"/>
  <c r="AS32" i="7"/>
  <c r="AE32" i="7"/>
  <c r="AC32" i="7"/>
  <c r="AA32" i="7"/>
  <c r="O32" i="7"/>
  <c r="Y32" i="7"/>
  <c r="S32" i="7"/>
  <c r="Q32" i="7"/>
  <c r="U32" i="7"/>
  <c r="M32" i="7"/>
  <c r="BA31" i="7"/>
  <c r="AY31" i="7"/>
  <c r="AW31" i="7"/>
  <c r="AU31" i="7"/>
  <c r="AK31" i="7"/>
  <c r="AG31" i="7"/>
  <c r="AO31" i="7"/>
  <c r="AQ31" i="7"/>
  <c r="AM31" i="7"/>
  <c r="AI31" i="7"/>
  <c r="AS31" i="7"/>
  <c r="AE31" i="7"/>
  <c r="AC31" i="7"/>
  <c r="AA31" i="7"/>
  <c r="O31" i="7"/>
  <c r="Y31" i="7"/>
  <c r="S31" i="7"/>
  <c r="Q31" i="7"/>
  <c r="U31" i="7"/>
  <c r="M31" i="7"/>
  <c r="BA30" i="7"/>
  <c r="AY30" i="7"/>
  <c r="AW30" i="7"/>
  <c r="AU30" i="7"/>
  <c r="AK30" i="7"/>
  <c r="AG30" i="7"/>
  <c r="AO30" i="7"/>
  <c r="AQ30" i="7"/>
  <c r="AM30" i="7"/>
  <c r="AI30" i="7"/>
  <c r="AS30" i="7"/>
  <c r="AE30" i="7"/>
  <c r="AC30" i="7"/>
  <c r="AA30" i="7"/>
  <c r="O30" i="7"/>
  <c r="Y30" i="7"/>
  <c r="S30" i="7"/>
  <c r="Q30" i="7"/>
  <c r="U30" i="7"/>
  <c r="M30" i="7"/>
  <c r="W30" i="7"/>
  <c r="BA29" i="7"/>
  <c r="AY29" i="7"/>
  <c r="AW29" i="7"/>
  <c r="AU29" i="7"/>
  <c r="AK29" i="7"/>
  <c r="AG29" i="7"/>
  <c r="AO29" i="7"/>
  <c r="AQ29" i="7"/>
  <c r="AM29" i="7"/>
  <c r="AI29" i="7"/>
  <c r="AS29" i="7"/>
  <c r="AE29" i="7"/>
  <c r="AC29" i="7"/>
  <c r="AA29" i="7"/>
  <c r="O29" i="7"/>
  <c r="Y29" i="7"/>
  <c r="S29" i="7"/>
  <c r="Q29" i="7"/>
  <c r="U29" i="7"/>
  <c r="M29" i="7"/>
  <c r="W29" i="7"/>
  <c r="BA28" i="7"/>
  <c r="AY28" i="7"/>
  <c r="AW28" i="7"/>
  <c r="AU28" i="7"/>
  <c r="AK28" i="7"/>
  <c r="AG28" i="7"/>
  <c r="AO28" i="7"/>
  <c r="AQ28" i="7"/>
  <c r="AM28" i="7"/>
  <c r="AI28" i="7"/>
  <c r="AS28" i="7"/>
  <c r="AE28" i="7"/>
  <c r="AC28" i="7"/>
  <c r="AA28" i="7"/>
  <c r="O28" i="7"/>
  <c r="Y28" i="7"/>
  <c r="S28" i="7"/>
  <c r="Q28" i="7"/>
  <c r="U28" i="7"/>
  <c r="M28" i="7"/>
  <c r="W28" i="7"/>
  <c r="BA24" i="7"/>
  <c r="AY24" i="7"/>
  <c r="AW24" i="7"/>
  <c r="AU24" i="7"/>
  <c r="AK24" i="7"/>
  <c r="AG24" i="7"/>
  <c r="AO24" i="7"/>
  <c r="AQ24" i="7"/>
  <c r="AM24" i="7"/>
  <c r="AI24" i="7"/>
  <c r="AS24" i="7"/>
  <c r="AE24" i="7"/>
  <c r="AC24" i="7"/>
  <c r="AA24" i="7"/>
  <c r="O24" i="7"/>
  <c r="Y24" i="7"/>
  <c r="S24" i="7"/>
  <c r="Q24" i="7"/>
  <c r="U24" i="7"/>
  <c r="M24" i="7"/>
  <c r="W24" i="7"/>
  <c r="BA20" i="7"/>
  <c r="AY20" i="7"/>
  <c r="AW20" i="7"/>
  <c r="AU20" i="7"/>
  <c r="AK20" i="7"/>
  <c r="AG20" i="7"/>
  <c r="AO20" i="7"/>
  <c r="AQ20" i="7"/>
  <c r="AM20" i="7"/>
  <c r="AI20" i="7"/>
  <c r="AS20" i="7"/>
  <c r="AE20" i="7"/>
  <c r="AC20" i="7"/>
  <c r="AA20" i="7"/>
  <c r="O20" i="7"/>
  <c r="Y20" i="7"/>
  <c r="S20" i="7"/>
  <c r="Q20" i="7"/>
  <c r="U20" i="7"/>
  <c r="M20" i="7"/>
  <c r="W20" i="7"/>
  <c r="BA22" i="7"/>
  <c r="AY22" i="7"/>
  <c r="AW22" i="7"/>
  <c r="AU22" i="7"/>
  <c r="AK22" i="7"/>
  <c r="AG22" i="7"/>
  <c r="AO22" i="7"/>
  <c r="AQ22" i="7"/>
  <c r="AM22" i="7"/>
  <c r="AI22" i="7"/>
  <c r="AS22" i="7"/>
  <c r="AE22" i="7"/>
  <c r="AC22" i="7"/>
  <c r="AA22" i="7"/>
  <c r="O22" i="7"/>
  <c r="Y22" i="7"/>
  <c r="S22" i="7"/>
  <c r="Q22" i="7"/>
  <c r="U22" i="7"/>
  <c r="M22" i="7"/>
  <c r="W22" i="7"/>
  <c r="BA19" i="7"/>
  <c r="AY19" i="7"/>
  <c r="AW19" i="7"/>
  <c r="AU19" i="7"/>
  <c r="AK19" i="7"/>
  <c r="AG19" i="7"/>
  <c r="AO19" i="7"/>
  <c r="AQ19" i="7"/>
  <c r="AM19" i="7"/>
  <c r="AI19" i="7"/>
  <c r="AS19" i="7"/>
  <c r="AE19" i="7"/>
  <c r="AC19" i="7"/>
  <c r="AA19" i="7"/>
  <c r="O19" i="7"/>
  <c r="Y19" i="7"/>
  <c r="S19" i="7"/>
  <c r="Q19" i="7"/>
  <c r="U19" i="7"/>
  <c r="M19" i="7"/>
  <c r="W19" i="7"/>
  <c r="BA18" i="7"/>
  <c r="AY18" i="7"/>
  <c r="AW18" i="7"/>
  <c r="AU18" i="7"/>
  <c r="AK18" i="7"/>
  <c r="AG18" i="7"/>
  <c r="AO18" i="7"/>
  <c r="AQ18" i="7"/>
  <c r="AM18" i="7"/>
  <c r="AI18" i="7"/>
  <c r="AS18" i="7"/>
  <c r="AE18" i="7"/>
  <c r="AC18" i="7"/>
  <c r="AA18" i="7"/>
  <c r="O18" i="7"/>
  <c r="Y18" i="7"/>
  <c r="S18" i="7"/>
  <c r="Q18" i="7"/>
  <c r="U18" i="7"/>
  <c r="M18" i="7"/>
  <c r="W18" i="7"/>
  <c r="BA17" i="7"/>
  <c r="AY17" i="7"/>
  <c r="AW17" i="7"/>
  <c r="AU17" i="7"/>
  <c r="AK17" i="7"/>
  <c r="AG17" i="7"/>
  <c r="AO17" i="7"/>
  <c r="AQ17" i="7"/>
  <c r="AM17" i="7"/>
  <c r="AI17" i="7"/>
  <c r="AS17" i="7"/>
  <c r="AE17" i="7"/>
  <c r="AC17" i="7"/>
  <c r="AA17" i="7"/>
  <c r="O17" i="7"/>
  <c r="Y17" i="7"/>
  <c r="S17" i="7"/>
  <c r="Q17" i="7"/>
  <c r="U17" i="7"/>
  <c r="M17" i="7"/>
  <c r="W17" i="7"/>
  <c r="BA16" i="7"/>
  <c r="AY16" i="7"/>
  <c r="AW16" i="7"/>
  <c r="AU16" i="7"/>
  <c r="AK16" i="7"/>
  <c r="AG16" i="7"/>
  <c r="AO16" i="7"/>
  <c r="AQ16" i="7"/>
  <c r="AM16" i="7"/>
  <c r="AI16" i="7"/>
  <c r="AS16" i="7"/>
  <c r="AE16" i="7"/>
  <c r="AC16" i="7"/>
  <c r="AA16" i="7"/>
  <c r="O16" i="7"/>
  <c r="Y16" i="7"/>
  <c r="S16" i="7"/>
  <c r="Q16" i="7"/>
  <c r="U16" i="7"/>
  <c r="M16" i="7"/>
  <c r="W16" i="7"/>
  <c r="BA15" i="7"/>
  <c r="AY15" i="7"/>
  <c r="AW15" i="7"/>
  <c r="AU15" i="7"/>
  <c r="AK15" i="7"/>
  <c r="AG15" i="7"/>
  <c r="AO15" i="7"/>
  <c r="AQ15" i="7"/>
  <c r="AM15" i="7"/>
  <c r="AI15" i="7"/>
  <c r="AS15" i="7"/>
  <c r="AE15" i="7"/>
  <c r="AC15" i="7"/>
  <c r="AA15" i="7"/>
  <c r="O15" i="7"/>
  <c r="Y15" i="7"/>
  <c r="S15" i="7"/>
  <c r="Q15" i="7"/>
  <c r="U15" i="7"/>
  <c r="M15" i="7"/>
  <c r="W15" i="7"/>
  <c r="BA14" i="7"/>
  <c r="AY14" i="7"/>
  <c r="AW14" i="7"/>
  <c r="AU14" i="7"/>
  <c r="AK14" i="7"/>
  <c r="AG14" i="7"/>
  <c r="AO14" i="7"/>
  <c r="AQ14" i="7"/>
  <c r="AM14" i="7"/>
  <c r="AI14" i="7"/>
  <c r="AS14" i="7"/>
  <c r="AE14" i="7"/>
  <c r="AC14" i="7"/>
  <c r="AA14" i="7"/>
  <c r="O14" i="7"/>
  <c r="Y14" i="7"/>
  <c r="S14" i="7"/>
  <c r="Q14" i="7"/>
  <c r="U14" i="7"/>
  <c r="M14" i="7"/>
  <c r="W14" i="7"/>
  <c r="BA13" i="7"/>
  <c r="AY13" i="7"/>
  <c r="AW13" i="7"/>
  <c r="AU13" i="7"/>
  <c r="AK13" i="7"/>
  <c r="AG13" i="7"/>
  <c r="AO13" i="7"/>
  <c r="AQ13" i="7"/>
  <c r="AM13" i="7"/>
  <c r="AI13" i="7"/>
  <c r="AS13" i="7"/>
  <c r="AE13" i="7"/>
  <c r="AC13" i="7"/>
  <c r="AA13" i="7"/>
  <c r="O13" i="7"/>
  <c r="Y13" i="7"/>
  <c r="S13" i="7"/>
  <c r="Q13" i="7"/>
  <c r="U13" i="7"/>
  <c r="M13" i="7"/>
  <c r="W13" i="7"/>
  <c r="BA11" i="7"/>
  <c r="AY11" i="7"/>
  <c r="AW11" i="7"/>
  <c r="AU11" i="7"/>
  <c r="AK11" i="7"/>
  <c r="AG11" i="7"/>
  <c r="AO11" i="7"/>
  <c r="AQ11" i="7"/>
  <c r="AM11" i="7"/>
  <c r="AI11" i="7"/>
  <c r="AS11" i="7"/>
  <c r="AE11" i="7"/>
  <c r="AC11" i="7"/>
  <c r="AA11" i="7"/>
  <c r="O11" i="7"/>
  <c r="Y11" i="7"/>
  <c r="S11" i="7"/>
  <c r="Q11" i="7"/>
  <c r="U11" i="7"/>
  <c r="M11" i="7"/>
  <c r="W11" i="7"/>
  <c r="AG285" i="9"/>
  <c r="AE285" i="9"/>
  <c r="AC285" i="9"/>
  <c r="AA285" i="9"/>
  <c r="Q285" i="9"/>
  <c r="M285" i="9"/>
  <c r="U285" i="9"/>
  <c r="W285" i="9"/>
  <c r="S285" i="9"/>
  <c r="O285" i="9"/>
  <c r="Y285" i="9"/>
  <c r="AG284" i="9"/>
  <c r="AE284" i="9"/>
  <c r="AC284" i="9"/>
  <c r="AA284" i="9"/>
  <c r="Q284" i="9"/>
  <c r="M284" i="9"/>
  <c r="U284" i="9"/>
  <c r="W284" i="9"/>
  <c r="S284" i="9"/>
  <c r="O284" i="9"/>
  <c r="Y284" i="9"/>
  <c r="AG282" i="9"/>
  <c r="AE282" i="9"/>
  <c r="AC282" i="9"/>
  <c r="AA282" i="9"/>
  <c r="Q282" i="9"/>
  <c r="M282" i="9"/>
  <c r="U282" i="9"/>
  <c r="W282" i="9"/>
  <c r="S282" i="9"/>
  <c r="O282" i="9"/>
  <c r="Y282" i="9"/>
  <c r="AG281" i="9"/>
  <c r="AE281" i="9"/>
  <c r="AC281" i="9"/>
  <c r="AA281" i="9"/>
  <c r="Q281" i="9"/>
  <c r="M281" i="9"/>
  <c r="U281" i="9"/>
  <c r="W281" i="9"/>
  <c r="S281" i="9"/>
  <c r="O281" i="9"/>
  <c r="Y281" i="9"/>
  <c r="AG280" i="9"/>
  <c r="AE280" i="9"/>
  <c r="AC280" i="9"/>
  <c r="AA280" i="9"/>
  <c r="Q280" i="9"/>
  <c r="M280" i="9"/>
  <c r="U280" i="9"/>
  <c r="W280" i="9"/>
  <c r="S280" i="9"/>
  <c r="O280" i="9"/>
  <c r="Y280" i="9"/>
  <c r="AG279" i="9"/>
  <c r="AE279" i="9"/>
  <c r="AC279" i="9"/>
  <c r="AA279" i="9"/>
  <c r="Q279" i="9"/>
  <c r="M279" i="9"/>
  <c r="U279" i="9"/>
  <c r="W279" i="9"/>
  <c r="S279" i="9"/>
  <c r="O279" i="9"/>
  <c r="Y279" i="9"/>
  <c r="AG277" i="9"/>
  <c r="AE277" i="9"/>
  <c r="AC277" i="9"/>
  <c r="AA277" i="9"/>
  <c r="Q277" i="9"/>
  <c r="M277" i="9"/>
  <c r="U277" i="9"/>
  <c r="W277" i="9"/>
  <c r="S277" i="9"/>
  <c r="O277" i="9"/>
  <c r="Y277" i="9"/>
  <c r="AG276" i="9"/>
  <c r="AE276" i="9"/>
  <c r="AC276" i="9"/>
  <c r="AA276" i="9"/>
  <c r="Q276" i="9"/>
  <c r="M276" i="9"/>
  <c r="U276" i="9"/>
  <c r="W276" i="9"/>
  <c r="S276" i="9"/>
  <c r="O276" i="9"/>
  <c r="Y276" i="9"/>
  <c r="AG275" i="9"/>
  <c r="AE275" i="9"/>
  <c r="AC275" i="9"/>
  <c r="AA275" i="9"/>
  <c r="Q275" i="9"/>
  <c r="M275" i="9"/>
  <c r="U275" i="9"/>
  <c r="W275" i="9"/>
  <c r="S275" i="9"/>
  <c r="O275" i="9"/>
  <c r="Y275" i="9"/>
  <c r="AG274" i="9"/>
  <c r="AE274" i="9"/>
  <c r="AC274" i="9"/>
  <c r="AA274" i="9"/>
  <c r="Q274" i="9"/>
  <c r="M274" i="9"/>
  <c r="U274" i="9"/>
  <c r="W274" i="9"/>
  <c r="S274" i="9"/>
  <c r="O274" i="9"/>
  <c r="Y274" i="9"/>
  <c r="AG273" i="9"/>
  <c r="AE273" i="9"/>
  <c r="AC273" i="9"/>
  <c r="AA273" i="9"/>
  <c r="Q273" i="9"/>
  <c r="M273" i="9"/>
  <c r="U273" i="9"/>
  <c r="W273" i="9"/>
  <c r="S273" i="9"/>
  <c r="O273" i="9"/>
  <c r="Y273" i="9"/>
  <c r="AG268" i="9"/>
  <c r="AE268" i="9"/>
  <c r="AC268" i="9"/>
  <c r="AA268" i="9"/>
  <c r="Q268" i="9"/>
  <c r="M268" i="9"/>
  <c r="U268" i="9"/>
  <c r="W268" i="9"/>
  <c r="S268" i="9"/>
  <c r="O268" i="9"/>
  <c r="Y268" i="9"/>
  <c r="AG267" i="9"/>
  <c r="AE267" i="9"/>
  <c r="AC267" i="9"/>
  <c r="AA267" i="9"/>
  <c r="Q267" i="9"/>
  <c r="M267" i="9"/>
  <c r="U267" i="9"/>
  <c r="W267" i="9"/>
  <c r="S267" i="9"/>
  <c r="O267" i="9"/>
  <c r="Y267" i="9"/>
  <c r="AG264" i="9"/>
  <c r="AE264" i="9"/>
  <c r="AC264" i="9"/>
  <c r="AA264" i="9"/>
  <c r="Q264" i="9"/>
  <c r="M264" i="9"/>
  <c r="U264" i="9"/>
  <c r="W264" i="9"/>
  <c r="S264" i="9"/>
  <c r="O264" i="9"/>
  <c r="Y264" i="9"/>
  <c r="AG263" i="9"/>
  <c r="AE263" i="9"/>
  <c r="AC263" i="9"/>
  <c r="AA263" i="9"/>
  <c r="Q263" i="9"/>
  <c r="M263" i="9"/>
  <c r="U263" i="9"/>
  <c r="W263" i="9"/>
  <c r="S263" i="9"/>
  <c r="O263" i="9"/>
  <c r="Y263" i="9"/>
  <c r="AG261" i="9"/>
  <c r="AE261" i="9"/>
  <c r="AC261" i="9"/>
  <c r="AA261" i="9"/>
  <c r="Q261" i="9"/>
  <c r="M261" i="9"/>
  <c r="U261" i="9"/>
  <c r="W261" i="9"/>
  <c r="S261" i="9"/>
  <c r="O261" i="9"/>
  <c r="Y261" i="9"/>
  <c r="AG260" i="9"/>
  <c r="AE260" i="9"/>
  <c r="AC260" i="9"/>
  <c r="AA260" i="9"/>
  <c r="Q260" i="9"/>
  <c r="M260" i="9"/>
  <c r="U260" i="9"/>
  <c r="W260" i="9"/>
  <c r="S260" i="9"/>
  <c r="O260" i="9"/>
  <c r="Y260" i="9"/>
  <c r="AG258" i="9"/>
  <c r="AE258" i="9"/>
  <c r="AC258" i="9"/>
  <c r="AA258" i="9"/>
  <c r="Q258" i="9"/>
  <c r="M258" i="9"/>
  <c r="U258" i="9"/>
  <c r="W258" i="9"/>
  <c r="S258" i="9"/>
  <c r="O258" i="9"/>
  <c r="Y258" i="9"/>
  <c r="AG257" i="9"/>
  <c r="AE257" i="9"/>
  <c r="AC257" i="9"/>
  <c r="AA257" i="9"/>
  <c r="Q257" i="9"/>
  <c r="M257" i="9"/>
  <c r="U257" i="9"/>
  <c r="W257" i="9"/>
  <c r="S257" i="9"/>
  <c r="O257" i="9"/>
  <c r="Y257" i="9"/>
  <c r="AG256" i="9"/>
  <c r="AE256" i="9"/>
  <c r="AC256" i="9"/>
  <c r="AA256" i="9"/>
  <c r="Q256" i="9"/>
  <c r="M256" i="9"/>
  <c r="U256" i="9"/>
  <c r="W256" i="9"/>
  <c r="S256" i="9"/>
  <c r="O256" i="9"/>
  <c r="Y256" i="9"/>
  <c r="AG255" i="9"/>
  <c r="AE255" i="9"/>
  <c r="AC255" i="9"/>
  <c r="AA255" i="9"/>
  <c r="Q255" i="9"/>
  <c r="M255" i="9"/>
  <c r="U255" i="9"/>
  <c r="W255" i="9"/>
  <c r="S255" i="9"/>
  <c r="O255" i="9"/>
  <c r="Y255" i="9"/>
  <c r="AG253" i="9"/>
  <c r="AE253" i="9"/>
  <c r="AC253" i="9"/>
  <c r="AA253" i="9"/>
  <c r="Q253" i="9"/>
  <c r="M253" i="9"/>
  <c r="U253" i="9"/>
  <c r="W253" i="9"/>
  <c r="S253" i="9"/>
  <c r="O253" i="9"/>
  <c r="Y253" i="9"/>
  <c r="AG251" i="9"/>
  <c r="AE251" i="9"/>
  <c r="AC251" i="9"/>
  <c r="AA251" i="9"/>
  <c r="Q251" i="9"/>
  <c r="M251" i="9"/>
  <c r="U251" i="9"/>
  <c r="W251" i="9"/>
  <c r="S251" i="9"/>
  <c r="O251" i="9"/>
  <c r="Y251" i="9"/>
  <c r="AG250" i="9"/>
  <c r="AE250" i="9"/>
  <c r="AC250" i="9"/>
  <c r="AA250" i="9"/>
  <c r="Q250" i="9"/>
  <c r="M250" i="9"/>
  <c r="U250" i="9"/>
  <c r="W250" i="9"/>
  <c r="S250" i="9"/>
  <c r="O250" i="9"/>
  <c r="Y250" i="9"/>
  <c r="AG249" i="9"/>
  <c r="AE249" i="9"/>
  <c r="AC249" i="9"/>
  <c r="AA249" i="9"/>
  <c r="Q249" i="9"/>
  <c r="M249" i="9"/>
  <c r="U249" i="9"/>
  <c r="W249" i="9"/>
  <c r="S249" i="9"/>
  <c r="O249" i="9"/>
  <c r="Y249" i="9"/>
  <c r="AG248" i="9"/>
  <c r="AE248" i="9"/>
  <c r="AC248" i="9"/>
  <c r="AA248" i="9"/>
  <c r="Q248" i="9"/>
  <c r="M248" i="9"/>
  <c r="U248" i="9"/>
  <c r="W248" i="9"/>
  <c r="S248" i="9"/>
  <c r="O248" i="9"/>
  <c r="Y248" i="9"/>
  <c r="AG246" i="9"/>
  <c r="AE246" i="9"/>
  <c r="AC246" i="9"/>
  <c r="AA246" i="9"/>
  <c r="Q246" i="9"/>
  <c r="M246" i="9"/>
  <c r="U246" i="9"/>
  <c r="W246" i="9"/>
  <c r="S246" i="9"/>
  <c r="O246" i="9"/>
  <c r="Y246" i="9"/>
  <c r="AG245" i="9"/>
  <c r="AE245" i="9"/>
  <c r="AC245" i="9"/>
  <c r="AA245" i="9"/>
  <c r="Q245" i="9"/>
  <c r="M245" i="9"/>
  <c r="U245" i="9"/>
  <c r="W245" i="9"/>
  <c r="S245" i="9"/>
  <c r="O245" i="9"/>
  <c r="Y245" i="9"/>
  <c r="AG244" i="9"/>
  <c r="AE244" i="9"/>
  <c r="AC244" i="9"/>
  <c r="AA244" i="9"/>
  <c r="Q244" i="9"/>
  <c r="M244" i="9"/>
  <c r="U244" i="9"/>
  <c r="W244" i="9"/>
  <c r="S244" i="9"/>
  <c r="O244" i="9"/>
  <c r="Y244" i="9"/>
  <c r="AG242" i="9"/>
  <c r="AE242" i="9"/>
  <c r="AC242" i="9"/>
  <c r="AA242" i="9"/>
  <c r="Q242" i="9"/>
  <c r="M242" i="9"/>
  <c r="U242" i="9"/>
  <c r="W242" i="9"/>
  <c r="S242" i="9"/>
  <c r="O242" i="9"/>
  <c r="Y242" i="9"/>
  <c r="AG239" i="9"/>
  <c r="AE239" i="9"/>
  <c r="AC239" i="9"/>
  <c r="AA239" i="9"/>
  <c r="Q239" i="9"/>
  <c r="M239" i="9"/>
  <c r="U239" i="9"/>
  <c r="W239" i="9"/>
  <c r="S239" i="9"/>
  <c r="O239" i="9"/>
  <c r="Y239" i="9"/>
  <c r="AG237" i="9"/>
  <c r="AE237" i="9"/>
  <c r="AC237" i="9"/>
  <c r="AA237" i="9"/>
  <c r="Q237" i="9"/>
  <c r="M237" i="9"/>
  <c r="U237" i="9"/>
  <c r="W237" i="9"/>
  <c r="S237" i="9"/>
  <c r="O237" i="9"/>
  <c r="Y237" i="9"/>
  <c r="AG233" i="9"/>
  <c r="AE233" i="9"/>
  <c r="AC233" i="9"/>
  <c r="AA233" i="9"/>
  <c r="Q233" i="9"/>
  <c r="M233" i="9"/>
  <c r="U233" i="9"/>
  <c r="W233" i="9"/>
  <c r="S233" i="9"/>
  <c r="O233" i="9"/>
  <c r="Y233" i="9"/>
  <c r="AG231" i="9"/>
  <c r="AE231" i="9"/>
  <c r="AC231" i="9"/>
  <c r="AA231" i="9"/>
  <c r="Q231" i="9"/>
  <c r="M231" i="9"/>
  <c r="U231" i="9"/>
  <c r="W231" i="9"/>
  <c r="S231" i="9"/>
  <c r="O231" i="9"/>
  <c r="Y231" i="9"/>
  <c r="AG230" i="9"/>
  <c r="AE230" i="9"/>
  <c r="AC230" i="9"/>
  <c r="AA230" i="9"/>
  <c r="Q230" i="9"/>
  <c r="M230" i="9"/>
  <c r="U230" i="9"/>
  <c r="W230" i="9"/>
  <c r="S230" i="9"/>
  <c r="O230" i="9"/>
  <c r="Y230" i="9"/>
  <c r="AG228" i="9"/>
  <c r="AE228" i="9"/>
  <c r="AC228" i="9"/>
  <c r="AA228" i="9"/>
  <c r="Q228" i="9"/>
  <c r="M228" i="9"/>
  <c r="U228" i="9"/>
  <c r="W228" i="9"/>
  <c r="S228" i="9"/>
  <c r="O228" i="9"/>
  <c r="Y228" i="9"/>
  <c r="AG227" i="9"/>
  <c r="AE227" i="9"/>
  <c r="AC227" i="9"/>
  <c r="AA227" i="9"/>
  <c r="Q227" i="9"/>
  <c r="M227" i="9"/>
  <c r="U227" i="9"/>
  <c r="W227" i="9"/>
  <c r="S227" i="9"/>
  <c r="O227" i="9"/>
  <c r="Y227" i="9"/>
  <c r="AG226" i="9"/>
  <c r="AE226" i="9"/>
  <c r="AC226" i="9"/>
  <c r="AA226" i="9"/>
  <c r="Q226" i="9"/>
  <c r="M226" i="9"/>
  <c r="U226" i="9"/>
  <c r="W226" i="9"/>
  <c r="S226" i="9"/>
  <c r="O226" i="9"/>
  <c r="Y226" i="9"/>
  <c r="AG224" i="9"/>
  <c r="AE224" i="9"/>
  <c r="AC224" i="9"/>
  <c r="AA224" i="9"/>
  <c r="Q224" i="9"/>
  <c r="M224" i="9"/>
  <c r="U224" i="9"/>
  <c r="W224" i="9"/>
  <c r="S224" i="9"/>
  <c r="O224" i="9"/>
  <c r="Y224" i="9"/>
  <c r="AG222" i="9"/>
  <c r="AE222" i="9"/>
  <c r="AC222" i="9"/>
  <c r="AA222" i="9"/>
  <c r="Q222" i="9"/>
  <c r="M222" i="9"/>
  <c r="U222" i="9"/>
  <c r="W222" i="9"/>
  <c r="S222" i="9"/>
  <c r="O222" i="9"/>
  <c r="Y222" i="9"/>
  <c r="AG221" i="9"/>
  <c r="AE221" i="9"/>
  <c r="AC221" i="9"/>
  <c r="AA221" i="9"/>
  <c r="Q221" i="9"/>
  <c r="M221" i="9"/>
  <c r="U221" i="9"/>
  <c r="W221" i="9"/>
  <c r="S221" i="9"/>
  <c r="O221" i="9"/>
  <c r="Y221" i="9"/>
  <c r="AG219" i="9"/>
  <c r="AE219" i="9"/>
  <c r="AC219" i="9"/>
  <c r="AA219" i="9"/>
  <c r="Q219" i="9"/>
  <c r="M219" i="9"/>
  <c r="U219" i="9"/>
  <c r="W219" i="9"/>
  <c r="S219" i="9"/>
  <c r="O219" i="9"/>
  <c r="Y219" i="9"/>
  <c r="AG218" i="9"/>
  <c r="AE218" i="9"/>
  <c r="AC218" i="9"/>
  <c r="AA218" i="9"/>
  <c r="Q218" i="9"/>
  <c r="M218" i="9"/>
  <c r="U218" i="9"/>
  <c r="W218" i="9"/>
  <c r="S218" i="9"/>
  <c r="O218" i="9"/>
  <c r="Y218" i="9"/>
  <c r="AG216" i="9"/>
  <c r="AE216" i="9"/>
  <c r="AC216" i="9"/>
  <c r="AA216" i="9"/>
  <c r="Q216" i="9"/>
  <c r="M216" i="9"/>
  <c r="U216" i="9"/>
  <c r="W216" i="9"/>
  <c r="S216" i="9"/>
  <c r="O216" i="9"/>
  <c r="Y216" i="9"/>
  <c r="AG215" i="9"/>
  <c r="AE215" i="9"/>
  <c r="AC215" i="9"/>
  <c r="AA215" i="9"/>
  <c r="Q215" i="9"/>
  <c r="M215" i="9"/>
  <c r="U215" i="9"/>
  <c r="W215" i="9"/>
  <c r="S215" i="9"/>
  <c r="O215" i="9"/>
  <c r="Y215" i="9"/>
  <c r="AG214" i="9"/>
  <c r="AE214" i="9"/>
  <c r="AC214" i="9"/>
  <c r="AA214" i="9"/>
  <c r="Q214" i="9"/>
  <c r="M214" i="9"/>
  <c r="U214" i="9"/>
  <c r="W214" i="9"/>
  <c r="S214" i="9"/>
  <c r="O214" i="9"/>
  <c r="Y214" i="9"/>
  <c r="AG213" i="9"/>
  <c r="AE213" i="9"/>
  <c r="AC213" i="9"/>
  <c r="AA213" i="9"/>
  <c r="Q213" i="9"/>
  <c r="M213" i="9"/>
  <c r="U213" i="9"/>
  <c r="W213" i="9"/>
  <c r="S213" i="9"/>
  <c r="O213" i="9"/>
  <c r="Y213" i="9"/>
  <c r="AG212" i="9"/>
  <c r="AE212" i="9"/>
  <c r="AC212" i="9"/>
  <c r="AA212" i="9"/>
  <c r="Q212" i="9"/>
  <c r="M212" i="9"/>
  <c r="U212" i="9"/>
  <c r="W212" i="9"/>
  <c r="S212" i="9"/>
  <c r="O212" i="9"/>
  <c r="Y212" i="9"/>
  <c r="AG210" i="9"/>
  <c r="AE210" i="9"/>
  <c r="AC210" i="9"/>
  <c r="AA210" i="9"/>
  <c r="Q210" i="9"/>
  <c r="M210" i="9"/>
  <c r="U210" i="9"/>
  <c r="W210" i="9"/>
  <c r="S210" i="9"/>
  <c r="O210" i="9"/>
  <c r="Y210" i="9"/>
  <c r="AG209" i="9"/>
  <c r="AE209" i="9"/>
  <c r="AC209" i="9"/>
  <c r="AA209" i="9"/>
  <c r="Q209" i="9"/>
  <c r="M209" i="9"/>
  <c r="U209" i="9"/>
  <c r="W209" i="9"/>
  <c r="S209" i="9"/>
  <c r="O209" i="9"/>
  <c r="Y209" i="9"/>
  <c r="AG208" i="9"/>
  <c r="AE208" i="9"/>
  <c r="AC208" i="9"/>
  <c r="AA208" i="9"/>
  <c r="Q208" i="9"/>
  <c r="M208" i="9"/>
  <c r="U208" i="9"/>
  <c r="W208" i="9"/>
  <c r="S208" i="9"/>
  <c r="O208" i="9"/>
  <c r="Y208" i="9"/>
  <c r="AG207" i="9"/>
  <c r="AE207" i="9"/>
  <c r="AC207" i="9"/>
  <c r="AA207" i="9"/>
  <c r="Q207" i="9"/>
  <c r="M207" i="9"/>
  <c r="U207" i="9"/>
  <c r="W207" i="9"/>
  <c r="S207" i="9"/>
  <c r="O207" i="9"/>
  <c r="Y207" i="9"/>
  <c r="AG206" i="9"/>
  <c r="AE206" i="9"/>
  <c r="AC206" i="9"/>
  <c r="AA206" i="9"/>
  <c r="Q206" i="9"/>
  <c r="M206" i="9"/>
  <c r="U206" i="9"/>
  <c r="W206" i="9"/>
  <c r="S206" i="9"/>
  <c r="O206" i="9"/>
  <c r="Y206" i="9"/>
  <c r="AG205" i="9"/>
  <c r="AE205" i="9"/>
  <c r="AC205" i="9"/>
  <c r="AA205" i="9"/>
  <c r="Q205" i="9"/>
  <c r="M205" i="9"/>
  <c r="U205" i="9"/>
  <c r="W205" i="9"/>
  <c r="S205" i="9"/>
  <c r="O205" i="9"/>
  <c r="Y205" i="9"/>
  <c r="AG204" i="9"/>
  <c r="AE204" i="9"/>
  <c r="AC204" i="9"/>
  <c r="AA204" i="9"/>
  <c r="Q204" i="9"/>
  <c r="M204" i="9"/>
  <c r="U204" i="9"/>
  <c r="W204" i="9"/>
  <c r="S204" i="9"/>
  <c r="O204" i="9"/>
  <c r="Y204" i="9"/>
  <c r="AG203" i="9"/>
  <c r="AE203" i="9"/>
  <c r="AC203" i="9"/>
  <c r="AA203" i="9"/>
  <c r="Q203" i="9"/>
  <c r="M203" i="9"/>
  <c r="U203" i="9"/>
  <c r="W203" i="9"/>
  <c r="S203" i="9"/>
  <c r="O203" i="9"/>
  <c r="Y203" i="9"/>
  <c r="AG201" i="9"/>
  <c r="AE201" i="9"/>
  <c r="AC201" i="9"/>
  <c r="AA201" i="9"/>
  <c r="Q201" i="9"/>
  <c r="M201" i="9"/>
  <c r="U201" i="9"/>
  <c r="W201" i="9"/>
  <c r="S201" i="9"/>
  <c r="O201" i="9"/>
  <c r="Y201" i="9"/>
  <c r="AG200" i="9"/>
  <c r="AE200" i="9"/>
  <c r="AC200" i="9"/>
  <c r="AA200" i="9"/>
  <c r="Q200" i="9"/>
  <c r="M200" i="9"/>
  <c r="U200" i="9"/>
  <c r="W200" i="9"/>
  <c r="S200" i="9"/>
  <c r="O200" i="9"/>
  <c r="Y200" i="9"/>
  <c r="AG199" i="9"/>
  <c r="AE199" i="9"/>
  <c r="AC199" i="9"/>
  <c r="AA199" i="9"/>
  <c r="Q199" i="9"/>
  <c r="M199" i="9"/>
  <c r="U199" i="9"/>
  <c r="W199" i="9"/>
  <c r="S199" i="9"/>
  <c r="O199" i="9"/>
  <c r="Y199" i="9"/>
  <c r="AG198" i="9"/>
  <c r="AE198" i="9"/>
  <c r="AC198" i="9"/>
  <c r="AA198" i="9"/>
  <c r="Q198" i="9"/>
  <c r="M198" i="9"/>
  <c r="U198" i="9"/>
  <c r="W198" i="9"/>
  <c r="S198" i="9"/>
  <c r="O198" i="9"/>
  <c r="Y198" i="9"/>
  <c r="AG194" i="9"/>
  <c r="AE194" i="9"/>
  <c r="AC194" i="9"/>
  <c r="AA194" i="9"/>
  <c r="Q194" i="9"/>
  <c r="M194" i="9"/>
  <c r="U194" i="9"/>
  <c r="W194" i="9"/>
  <c r="S194" i="9"/>
  <c r="O194" i="9"/>
  <c r="Y194" i="9"/>
  <c r="AG193" i="9"/>
  <c r="AE193" i="9"/>
  <c r="AC193" i="9"/>
  <c r="AA193" i="9"/>
  <c r="Q193" i="9"/>
  <c r="M193" i="9"/>
  <c r="U193" i="9"/>
  <c r="W193" i="9"/>
  <c r="S193" i="9"/>
  <c r="O193" i="9"/>
  <c r="Y193" i="9"/>
  <c r="AG192" i="9"/>
  <c r="AE192" i="9"/>
  <c r="AC192" i="9"/>
  <c r="AA192" i="9"/>
  <c r="Q192" i="9"/>
  <c r="M192" i="9"/>
  <c r="U192" i="9"/>
  <c r="W192" i="9"/>
  <c r="S192" i="9"/>
  <c r="O192" i="9"/>
  <c r="Y192" i="9"/>
  <c r="AG191" i="9"/>
  <c r="AE191" i="9"/>
  <c r="AC191" i="9"/>
  <c r="AA191" i="9"/>
  <c r="Q191" i="9"/>
  <c r="M191" i="9"/>
  <c r="U191" i="9"/>
  <c r="W191" i="9"/>
  <c r="S191" i="9"/>
  <c r="O191" i="9"/>
  <c r="Y191" i="9"/>
  <c r="AG189" i="9"/>
  <c r="AE189" i="9"/>
  <c r="AC189" i="9"/>
  <c r="AA189" i="9"/>
  <c r="Q189" i="9"/>
  <c r="M189" i="9"/>
  <c r="U189" i="9"/>
  <c r="W189" i="9"/>
  <c r="S189" i="9"/>
  <c r="O189" i="9"/>
  <c r="Y189" i="9"/>
  <c r="AG187" i="9"/>
  <c r="AE187" i="9"/>
  <c r="AC187" i="9"/>
  <c r="AA187" i="9"/>
  <c r="Q187" i="9"/>
  <c r="M187" i="9"/>
  <c r="U187" i="9"/>
  <c r="W187" i="9"/>
  <c r="S187" i="9"/>
  <c r="O187" i="9"/>
  <c r="Y187" i="9"/>
  <c r="AG185" i="9"/>
  <c r="AE185" i="9"/>
  <c r="AC185" i="9"/>
  <c r="AA185" i="9"/>
  <c r="Q185" i="9"/>
  <c r="M185" i="9"/>
  <c r="U185" i="9"/>
  <c r="W185" i="9"/>
  <c r="S185" i="9"/>
  <c r="O185" i="9"/>
  <c r="Y185" i="9"/>
  <c r="AG182" i="9"/>
  <c r="AE182" i="9"/>
  <c r="AC182" i="9"/>
  <c r="AA182" i="9"/>
  <c r="Q182" i="9"/>
  <c r="M182" i="9"/>
  <c r="U182" i="9"/>
  <c r="W182" i="9"/>
  <c r="S182" i="9"/>
  <c r="O182" i="9"/>
  <c r="Y182" i="9"/>
  <c r="AG181" i="9"/>
  <c r="AE181" i="9"/>
  <c r="AC181" i="9"/>
  <c r="AA181" i="9"/>
  <c r="Q181" i="9"/>
  <c r="M181" i="9"/>
  <c r="U181" i="9"/>
  <c r="W181" i="9"/>
  <c r="S181" i="9"/>
  <c r="O181" i="9"/>
  <c r="Y181" i="9"/>
  <c r="AG180" i="9"/>
  <c r="AE180" i="9"/>
  <c r="AC180" i="9"/>
  <c r="AA180" i="9"/>
  <c r="Q180" i="9"/>
  <c r="M180" i="9"/>
  <c r="U180" i="9"/>
  <c r="W180" i="9"/>
  <c r="S180" i="9"/>
  <c r="O180" i="9"/>
  <c r="Y180" i="9"/>
  <c r="AG179" i="9"/>
  <c r="AE179" i="9"/>
  <c r="AC179" i="9"/>
  <c r="AA179" i="9"/>
  <c r="Q179" i="9"/>
  <c r="M179" i="9"/>
  <c r="U179" i="9"/>
  <c r="W179" i="9"/>
  <c r="S179" i="9"/>
  <c r="O179" i="9"/>
  <c r="Y179" i="9"/>
  <c r="AG178" i="9"/>
  <c r="AE178" i="9"/>
  <c r="AC178" i="9"/>
  <c r="AA178" i="9"/>
  <c r="Q178" i="9"/>
  <c r="M178" i="9"/>
  <c r="U178" i="9"/>
  <c r="W178" i="9"/>
  <c r="S178" i="9"/>
  <c r="O178" i="9"/>
  <c r="Y178" i="9"/>
  <c r="AG176" i="9"/>
  <c r="AE176" i="9"/>
  <c r="AC176" i="9"/>
  <c r="AA176" i="9"/>
  <c r="Q176" i="9"/>
  <c r="M176" i="9"/>
  <c r="U176" i="9"/>
  <c r="W176" i="9"/>
  <c r="S176" i="9"/>
  <c r="O176" i="9"/>
  <c r="Y176" i="9"/>
  <c r="AG175" i="9"/>
  <c r="AE175" i="9"/>
  <c r="AC175" i="9"/>
  <c r="AA175" i="9"/>
  <c r="Q175" i="9"/>
  <c r="M175" i="9"/>
  <c r="U175" i="9"/>
  <c r="W175" i="9"/>
  <c r="S175" i="9"/>
  <c r="O175" i="9"/>
  <c r="Y175" i="9"/>
  <c r="AG174" i="9"/>
  <c r="AE174" i="9"/>
  <c r="AC174" i="9"/>
  <c r="AA174" i="9"/>
  <c r="Q174" i="9"/>
  <c r="M174" i="9"/>
  <c r="U174" i="9"/>
  <c r="W174" i="9"/>
  <c r="S174" i="9"/>
  <c r="O174" i="9"/>
  <c r="Y174" i="9"/>
  <c r="AG173" i="9"/>
  <c r="AE173" i="9"/>
  <c r="AC173" i="9"/>
  <c r="AA173" i="9"/>
  <c r="Q173" i="9"/>
  <c r="M173" i="9"/>
  <c r="U173" i="9"/>
  <c r="W173" i="9"/>
  <c r="S173" i="9"/>
  <c r="O173" i="9"/>
  <c r="Y173" i="9"/>
  <c r="AG172" i="9"/>
  <c r="AE172" i="9"/>
  <c r="AC172" i="9"/>
  <c r="AA172" i="9"/>
  <c r="Q172" i="9"/>
  <c r="M172" i="9"/>
  <c r="U172" i="9"/>
  <c r="W172" i="9"/>
  <c r="S172" i="9"/>
  <c r="O172" i="9"/>
  <c r="Y172" i="9"/>
  <c r="AG171" i="9"/>
  <c r="AE171" i="9"/>
  <c r="AC171" i="9"/>
  <c r="AA171" i="9"/>
  <c r="Q171" i="9"/>
  <c r="M171" i="9"/>
  <c r="U171" i="9"/>
  <c r="W171" i="9"/>
  <c r="S171" i="9"/>
  <c r="O171" i="9"/>
  <c r="Y171" i="9"/>
  <c r="AG170" i="9"/>
  <c r="AE170" i="9"/>
  <c r="AC170" i="9"/>
  <c r="AA170" i="9"/>
  <c r="Q170" i="9"/>
  <c r="M170" i="9"/>
  <c r="U170" i="9"/>
  <c r="W170" i="9"/>
  <c r="S170" i="9"/>
  <c r="O170" i="9"/>
  <c r="Y170" i="9"/>
  <c r="AG164" i="9"/>
  <c r="AE164" i="9"/>
  <c r="AC164" i="9"/>
  <c r="AA164" i="9"/>
  <c r="Q164" i="9"/>
  <c r="M164" i="9"/>
  <c r="U164" i="9"/>
  <c r="W164" i="9"/>
  <c r="S164" i="9"/>
  <c r="O164" i="9"/>
  <c r="Y164" i="9"/>
  <c r="AG163" i="9"/>
  <c r="AE163" i="9"/>
  <c r="AC163" i="9"/>
  <c r="AA163" i="9"/>
  <c r="Q163" i="9"/>
  <c r="M163" i="9"/>
  <c r="U163" i="9"/>
  <c r="W163" i="9"/>
  <c r="S163" i="9"/>
  <c r="O163" i="9"/>
  <c r="Y163" i="9"/>
  <c r="AG162" i="9"/>
  <c r="AE162" i="9"/>
  <c r="AC162" i="9"/>
  <c r="AA162" i="9"/>
  <c r="Q162" i="9"/>
  <c r="M162" i="9"/>
  <c r="U162" i="9"/>
  <c r="W162" i="9"/>
  <c r="S162" i="9"/>
  <c r="O162" i="9"/>
  <c r="Y162" i="9"/>
  <c r="AE134" i="9"/>
  <c r="AC134" i="9"/>
  <c r="AA134" i="9"/>
  <c r="O134" i="9"/>
  <c r="W134" i="9"/>
  <c r="S134" i="9"/>
  <c r="Q134" i="9"/>
  <c r="U134" i="9"/>
  <c r="M134" i="9"/>
  <c r="AE133" i="9"/>
  <c r="AC133" i="9"/>
  <c r="AA133" i="9"/>
  <c r="O133" i="9"/>
  <c r="W133" i="9"/>
  <c r="S133" i="9"/>
  <c r="Q133" i="9"/>
  <c r="U133" i="9"/>
  <c r="M133" i="9"/>
  <c r="AE131" i="9"/>
  <c r="AC131" i="9"/>
  <c r="AA131" i="9"/>
  <c r="O131" i="9"/>
  <c r="W131" i="9"/>
  <c r="S131" i="9"/>
  <c r="Q131" i="9"/>
  <c r="U131" i="9"/>
  <c r="M131" i="9"/>
  <c r="AE130" i="9"/>
  <c r="AC130" i="9"/>
  <c r="AA130" i="9"/>
  <c r="O130" i="9"/>
  <c r="W130" i="9"/>
  <c r="S130" i="9"/>
  <c r="Q130" i="9"/>
  <c r="U130" i="9"/>
  <c r="M130" i="9"/>
  <c r="AE129" i="9"/>
  <c r="AC129" i="9"/>
  <c r="AA129" i="9"/>
  <c r="O129" i="9"/>
  <c r="W129" i="9"/>
  <c r="S129" i="9"/>
  <c r="Q129" i="9"/>
  <c r="U129" i="9"/>
  <c r="M129" i="9"/>
  <c r="AE128" i="9"/>
  <c r="AC128" i="9"/>
  <c r="AA128" i="9"/>
  <c r="O128" i="9"/>
  <c r="W128" i="9"/>
  <c r="S128" i="9"/>
  <c r="Q128" i="9"/>
  <c r="U128" i="9"/>
  <c r="M128" i="9"/>
  <c r="AE126" i="9"/>
  <c r="AC126" i="9"/>
  <c r="AA126" i="9"/>
  <c r="O126" i="9"/>
  <c r="W126" i="9"/>
  <c r="S126" i="9"/>
  <c r="Q126" i="9"/>
  <c r="U126" i="9"/>
  <c r="M126" i="9"/>
  <c r="AE125" i="9"/>
  <c r="AA125" i="9"/>
  <c r="O125" i="9"/>
  <c r="W125" i="9"/>
  <c r="S125" i="9"/>
  <c r="Q125" i="9"/>
  <c r="U125" i="9"/>
  <c r="M125" i="9"/>
  <c r="AE124" i="9"/>
  <c r="AC124" i="9"/>
  <c r="AA124" i="9"/>
  <c r="O124" i="9"/>
  <c r="W124" i="9"/>
  <c r="S124" i="9"/>
  <c r="Q124" i="9"/>
  <c r="U124" i="9"/>
  <c r="M124" i="9"/>
  <c r="AE123" i="9"/>
  <c r="AC123" i="9"/>
  <c r="AA123" i="9"/>
  <c r="O123" i="9"/>
  <c r="W123" i="9"/>
  <c r="S123" i="9"/>
  <c r="Q123" i="9"/>
  <c r="U123" i="9"/>
  <c r="M123" i="9"/>
  <c r="AE122" i="9"/>
  <c r="AC122" i="9"/>
  <c r="AA122" i="9"/>
  <c r="O122" i="9"/>
  <c r="W122" i="9"/>
  <c r="S122" i="9"/>
  <c r="Q122" i="9"/>
  <c r="U122" i="9"/>
  <c r="M122" i="9"/>
  <c r="AE117" i="9"/>
  <c r="AC117" i="9"/>
  <c r="AA117" i="9"/>
  <c r="O117" i="9"/>
  <c r="W117" i="9"/>
  <c r="S117" i="9"/>
  <c r="Q117" i="9"/>
  <c r="U117" i="9"/>
  <c r="M117" i="9"/>
  <c r="AE116" i="9"/>
  <c r="AC116" i="9"/>
  <c r="AA116" i="9"/>
  <c r="O116" i="9"/>
  <c r="W116" i="9"/>
  <c r="S116" i="9"/>
  <c r="Q116" i="9"/>
  <c r="U116" i="9"/>
  <c r="M116" i="9"/>
  <c r="AE113" i="9"/>
  <c r="AC113" i="9"/>
  <c r="AA113" i="9"/>
  <c r="O113" i="9"/>
  <c r="W113" i="9"/>
  <c r="S113" i="9"/>
  <c r="Q113" i="9"/>
  <c r="U113" i="9"/>
  <c r="M113" i="9"/>
  <c r="AE112" i="9"/>
  <c r="AC112" i="9"/>
  <c r="AA112" i="9"/>
  <c r="O112" i="9"/>
  <c r="W112" i="9"/>
  <c r="S112" i="9"/>
  <c r="Q112" i="9"/>
  <c r="U112" i="9"/>
  <c r="M112" i="9"/>
  <c r="AE110" i="9"/>
  <c r="AC110" i="9"/>
  <c r="AA110" i="9"/>
  <c r="O110" i="9"/>
  <c r="W110" i="9"/>
  <c r="S110" i="9"/>
  <c r="Q110" i="9"/>
  <c r="U110" i="9"/>
  <c r="M110" i="9"/>
  <c r="AE109" i="9"/>
  <c r="AC109" i="9"/>
  <c r="AA109" i="9"/>
  <c r="O109" i="9"/>
  <c r="W109" i="9"/>
  <c r="S109" i="9"/>
  <c r="Q109" i="9"/>
  <c r="U109" i="9"/>
  <c r="M109" i="9"/>
  <c r="AE107" i="9"/>
  <c r="AC107" i="9"/>
  <c r="AA107" i="9"/>
  <c r="O107" i="9"/>
  <c r="W107" i="9"/>
  <c r="S107" i="9"/>
  <c r="Q107" i="9"/>
  <c r="U107" i="9"/>
  <c r="M107" i="9"/>
  <c r="AE106" i="9"/>
  <c r="AC106" i="9"/>
  <c r="AA106" i="9"/>
  <c r="O106" i="9"/>
  <c r="W106" i="9"/>
  <c r="S106" i="9"/>
  <c r="Q106" i="9"/>
  <c r="U106" i="9"/>
  <c r="M106" i="9"/>
  <c r="AE105" i="9"/>
  <c r="AC105" i="9"/>
  <c r="AA105" i="9"/>
  <c r="O105" i="9"/>
  <c r="W105" i="9"/>
  <c r="S105" i="9"/>
  <c r="Q105" i="9"/>
  <c r="U105" i="9"/>
  <c r="M105" i="9"/>
  <c r="AE104" i="9"/>
  <c r="AC104" i="9"/>
  <c r="AA104" i="9"/>
  <c r="O104" i="9"/>
  <c r="W104" i="9"/>
  <c r="S104" i="9"/>
  <c r="Q104" i="9"/>
  <c r="U104" i="9"/>
  <c r="M104" i="9"/>
  <c r="AE102" i="9"/>
  <c r="AC102" i="9"/>
  <c r="AA102" i="9"/>
  <c r="O102" i="9"/>
  <c r="W102" i="9"/>
  <c r="S102" i="9"/>
  <c r="Q102" i="9"/>
  <c r="U102" i="9"/>
  <c r="M102" i="9"/>
  <c r="AE100" i="9"/>
  <c r="AC100" i="9"/>
  <c r="AA100" i="9"/>
  <c r="O100" i="9"/>
  <c r="W100" i="9"/>
  <c r="S100" i="9"/>
  <c r="Q100" i="9"/>
  <c r="U100" i="9"/>
  <c r="M100" i="9"/>
  <c r="AE99" i="9"/>
  <c r="AC99" i="9"/>
  <c r="AA99" i="9"/>
  <c r="O99" i="9"/>
  <c r="W99" i="9"/>
  <c r="S99" i="9"/>
  <c r="Q99" i="9"/>
  <c r="U99" i="9"/>
  <c r="M99" i="9"/>
  <c r="AE98" i="9"/>
  <c r="AC98" i="9"/>
  <c r="AA98" i="9"/>
  <c r="O98" i="9"/>
  <c r="W98" i="9"/>
  <c r="S98" i="9"/>
  <c r="Q98" i="9"/>
  <c r="U98" i="9"/>
  <c r="M98" i="9"/>
  <c r="AE97" i="9"/>
  <c r="AC97" i="9"/>
  <c r="AA97" i="9"/>
  <c r="O97" i="9"/>
  <c r="W97" i="9"/>
  <c r="S97" i="9"/>
  <c r="Q97" i="9"/>
  <c r="U97" i="9"/>
  <c r="M97" i="9"/>
  <c r="AE95" i="9"/>
  <c r="AC95" i="9"/>
  <c r="AA95" i="9"/>
  <c r="O95" i="9"/>
  <c r="W95" i="9"/>
  <c r="S95" i="9"/>
  <c r="Q95" i="9"/>
  <c r="U95" i="9"/>
  <c r="M95" i="9"/>
  <c r="AE94" i="9"/>
  <c r="AC94" i="9"/>
  <c r="AA94" i="9"/>
  <c r="O94" i="9"/>
  <c r="W94" i="9"/>
  <c r="S94" i="9"/>
  <c r="Q94" i="9"/>
  <c r="U94" i="9"/>
  <c r="M94" i="9"/>
  <c r="AE93" i="9"/>
  <c r="AC93" i="9"/>
  <c r="AA93" i="9"/>
  <c r="O93" i="9"/>
  <c r="S93" i="9"/>
  <c r="Q93" i="9"/>
  <c r="U93" i="9"/>
  <c r="M93" i="9"/>
  <c r="AE91" i="9"/>
  <c r="AC91" i="9"/>
  <c r="AA91" i="9"/>
  <c r="O91" i="9"/>
  <c r="W91" i="9"/>
  <c r="S91" i="9"/>
  <c r="Q91" i="9"/>
  <c r="U91" i="9"/>
  <c r="M91" i="9"/>
  <c r="AE88" i="9"/>
  <c r="AC88" i="9"/>
  <c r="AA88" i="9"/>
  <c r="O88" i="9"/>
  <c r="W88" i="9"/>
  <c r="S88" i="9"/>
  <c r="Q88" i="9"/>
  <c r="U88" i="9"/>
  <c r="M88" i="9"/>
  <c r="AE86" i="9"/>
  <c r="AC86" i="9"/>
  <c r="AA86" i="9"/>
  <c r="O86" i="9"/>
  <c r="W86" i="9"/>
  <c r="S86" i="9"/>
  <c r="Q86" i="9"/>
  <c r="U86" i="9"/>
  <c r="M86" i="9"/>
  <c r="AE82" i="9"/>
  <c r="AC82" i="9"/>
  <c r="AA82" i="9"/>
  <c r="O82" i="9"/>
  <c r="W82" i="9"/>
  <c r="S82" i="9"/>
  <c r="Q82" i="9"/>
  <c r="U82" i="9"/>
  <c r="M82" i="9"/>
  <c r="AE80" i="9"/>
  <c r="AC80" i="9"/>
  <c r="AA80" i="9"/>
  <c r="O80" i="9"/>
  <c r="W80" i="9"/>
  <c r="S80" i="9"/>
  <c r="Q80" i="9"/>
  <c r="U80" i="9"/>
  <c r="M80" i="9"/>
  <c r="AE79" i="9"/>
  <c r="AC79" i="9"/>
  <c r="AA79" i="9"/>
  <c r="O79" i="9"/>
  <c r="W79" i="9"/>
  <c r="S79" i="9"/>
  <c r="Q79" i="9"/>
  <c r="U79" i="9"/>
  <c r="M79" i="9"/>
  <c r="AE77" i="9"/>
  <c r="AC77" i="9"/>
  <c r="AA77" i="9"/>
  <c r="O77" i="9"/>
  <c r="W77" i="9"/>
  <c r="S77" i="9"/>
  <c r="Q77" i="9"/>
  <c r="U77" i="9"/>
  <c r="M77" i="9"/>
  <c r="AE76" i="9"/>
  <c r="AC76" i="9"/>
  <c r="AA76" i="9"/>
  <c r="O76" i="9"/>
  <c r="W76" i="9"/>
  <c r="S76" i="9"/>
  <c r="Q76" i="9"/>
  <c r="U76" i="9"/>
  <c r="M76" i="9"/>
  <c r="AE75" i="9"/>
  <c r="AC75" i="9"/>
  <c r="AA75" i="9"/>
  <c r="O75" i="9"/>
  <c r="W75" i="9"/>
  <c r="S75" i="9"/>
  <c r="Q75" i="9"/>
  <c r="U75" i="9"/>
  <c r="M75" i="9"/>
  <c r="AE73" i="9"/>
  <c r="AC73" i="9"/>
  <c r="AA73" i="9"/>
  <c r="O73" i="9"/>
  <c r="W73" i="9"/>
  <c r="S73" i="9"/>
  <c r="Q73" i="9"/>
  <c r="U73" i="9"/>
  <c r="M73" i="9"/>
  <c r="AE71" i="9"/>
  <c r="AC71" i="9"/>
  <c r="AA71" i="9"/>
  <c r="O71" i="9"/>
  <c r="W71" i="9"/>
  <c r="S71" i="9"/>
  <c r="Q71" i="9"/>
  <c r="U71" i="9"/>
  <c r="M71" i="9"/>
  <c r="AE70" i="9"/>
  <c r="AC70" i="9"/>
  <c r="AA70" i="9"/>
  <c r="O70" i="9"/>
  <c r="W70" i="9"/>
  <c r="S70" i="9"/>
  <c r="Q70" i="9"/>
  <c r="U70" i="9"/>
  <c r="M70" i="9"/>
  <c r="AE68" i="9"/>
  <c r="AC68" i="9"/>
  <c r="AA68" i="9"/>
  <c r="O68" i="9"/>
  <c r="W68" i="9"/>
  <c r="S68" i="9"/>
  <c r="Q68" i="9"/>
  <c r="U68" i="9"/>
  <c r="M68" i="9"/>
  <c r="AE67" i="9"/>
  <c r="AC67" i="9"/>
  <c r="AA67" i="9"/>
  <c r="O67" i="9"/>
  <c r="W67" i="9"/>
  <c r="S67" i="9"/>
  <c r="Q67" i="9"/>
  <c r="U67" i="9"/>
  <c r="M67" i="9"/>
  <c r="AE65" i="9"/>
  <c r="AC65" i="9"/>
  <c r="AA65" i="9"/>
  <c r="O65" i="9"/>
  <c r="W65" i="9"/>
  <c r="S65" i="9"/>
  <c r="Q65" i="9"/>
  <c r="U65" i="9"/>
  <c r="M65" i="9"/>
  <c r="AE64" i="9"/>
  <c r="AC64" i="9"/>
  <c r="AA64" i="9"/>
  <c r="O64" i="9"/>
  <c r="W64" i="9"/>
  <c r="S64" i="9"/>
  <c r="Q64" i="9"/>
  <c r="U64" i="9"/>
  <c r="M64" i="9"/>
  <c r="AE63" i="9"/>
  <c r="AC63" i="9"/>
  <c r="AA63" i="9"/>
  <c r="O63" i="9"/>
  <c r="W63" i="9"/>
  <c r="S63" i="9"/>
  <c r="Q63" i="9"/>
  <c r="U63" i="9"/>
  <c r="M63" i="9"/>
  <c r="AE62" i="9"/>
  <c r="AC62" i="9"/>
  <c r="AA62" i="9"/>
  <c r="O62" i="9"/>
  <c r="W62" i="9"/>
  <c r="S62" i="9"/>
  <c r="Q62" i="9"/>
  <c r="U62" i="9"/>
  <c r="M62" i="9"/>
  <c r="AE61" i="9"/>
  <c r="AC61" i="9"/>
  <c r="AA61" i="9"/>
  <c r="O61" i="9"/>
  <c r="W61" i="9"/>
  <c r="S61" i="9"/>
  <c r="Q61" i="9"/>
  <c r="U61" i="9"/>
  <c r="M61" i="9"/>
  <c r="AE59" i="9"/>
  <c r="AC59" i="9"/>
  <c r="AA59" i="9"/>
  <c r="O59" i="9"/>
  <c r="W59" i="9"/>
  <c r="S59" i="9"/>
  <c r="Q59" i="9"/>
  <c r="U59" i="9"/>
  <c r="M59" i="9"/>
  <c r="AE58" i="9"/>
  <c r="AC58" i="9"/>
  <c r="AA58" i="9"/>
  <c r="O58" i="9"/>
  <c r="W58" i="9"/>
  <c r="S58" i="9"/>
  <c r="Q58" i="9"/>
  <c r="U58" i="9"/>
  <c r="M58" i="9"/>
  <c r="AE57" i="9"/>
  <c r="AC57" i="9"/>
  <c r="AA57" i="9"/>
  <c r="O57" i="9"/>
  <c r="W57" i="9"/>
  <c r="S57" i="9"/>
  <c r="Q57" i="9"/>
  <c r="U57" i="9"/>
  <c r="M57" i="9"/>
  <c r="AE56" i="9"/>
  <c r="AC56" i="9"/>
  <c r="AA56" i="9"/>
  <c r="O56" i="9"/>
  <c r="W56" i="9"/>
  <c r="S56" i="9"/>
  <c r="Q56" i="9"/>
  <c r="U56" i="9"/>
  <c r="M56" i="9"/>
  <c r="AE55" i="9"/>
  <c r="AC55" i="9"/>
  <c r="AA55" i="9"/>
  <c r="O55" i="9"/>
  <c r="W55" i="9"/>
  <c r="S55" i="9"/>
  <c r="Q55" i="9"/>
  <c r="U55" i="9"/>
  <c r="M55" i="9"/>
  <c r="AE54" i="9"/>
  <c r="AC54" i="9"/>
  <c r="AA54" i="9"/>
  <c r="O54" i="9"/>
  <c r="W54" i="9"/>
  <c r="S54" i="9"/>
  <c r="Q54" i="9"/>
  <c r="U54" i="9"/>
  <c r="M54" i="9"/>
  <c r="AE53" i="9"/>
  <c r="AC53" i="9"/>
  <c r="AA53" i="9"/>
  <c r="O53" i="9"/>
  <c r="W53" i="9"/>
  <c r="S53" i="9"/>
  <c r="Q53" i="9"/>
  <c r="U53" i="9"/>
  <c r="M53" i="9"/>
  <c r="AE52" i="9"/>
  <c r="AC52" i="9"/>
  <c r="AA52" i="9"/>
  <c r="O52" i="9"/>
  <c r="W52" i="9"/>
  <c r="S52" i="9"/>
  <c r="Q52" i="9"/>
  <c r="U52" i="9"/>
  <c r="M52" i="9"/>
  <c r="AE50" i="9"/>
  <c r="AC50" i="9"/>
  <c r="AA50" i="9"/>
  <c r="O50" i="9"/>
  <c r="W50" i="9"/>
  <c r="S50" i="9"/>
  <c r="Q50" i="9"/>
  <c r="U50" i="9"/>
  <c r="M50" i="9"/>
  <c r="AE49" i="9"/>
  <c r="AC49" i="9"/>
  <c r="AA49" i="9"/>
  <c r="O49" i="9"/>
  <c r="W49" i="9"/>
  <c r="S49" i="9"/>
  <c r="Q49" i="9"/>
  <c r="U49" i="9"/>
  <c r="M49" i="9"/>
  <c r="AE48" i="9"/>
  <c r="AC48" i="9"/>
  <c r="AA48" i="9"/>
  <c r="O48" i="9"/>
  <c r="W48" i="9"/>
  <c r="S48" i="9"/>
  <c r="Q48" i="9"/>
  <c r="U48" i="9"/>
  <c r="M48" i="9"/>
  <c r="AE47" i="9"/>
  <c r="AC47" i="9"/>
  <c r="AA47" i="9"/>
  <c r="O47" i="9"/>
  <c r="W47" i="9"/>
  <c r="S47" i="9"/>
  <c r="Q47" i="9"/>
  <c r="U47" i="9"/>
  <c r="M47" i="9"/>
  <c r="AE43" i="9"/>
  <c r="AC43" i="9"/>
  <c r="AA43" i="9"/>
  <c r="O43" i="9"/>
  <c r="W43" i="9"/>
  <c r="S43" i="9"/>
  <c r="Q43" i="9"/>
  <c r="U43" i="9"/>
  <c r="M43" i="9"/>
  <c r="AE42" i="9"/>
  <c r="AC42" i="9"/>
  <c r="AA42" i="9"/>
  <c r="O42" i="9"/>
  <c r="W42" i="9"/>
  <c r="S42" i="9"/>
  <c r="Q42" i="9"/>
  <c r="U42" i="9"/>
  <c r="M42" i="9"/>
  <c r="AE41" i="9"/>
  <c r="AC41" i="9"/>
  <c r="AA41" i="9"/>
  <c r="O41" i="9"/>
  <c r="W41" i="9"/>
  <c r="S41" i="9"/>
  <c r="Q41" i="9"/>
  <c r="U41" i="9"/>
  <c r="M41" i="9"/>
  <c r="AE40" i="9"/>
  <c r="AC40" i="9"/>
  <c r="AA40" i="9"/>
  <c r="O40" i="9"/>
  <c r="W40" i="9"/>
  <c r="S40" i="9"/>
  <c r="Q40" i="9"/>
  <c r="U40" i="9"/>
  <c r="M40" i="9"/>
  <c r="AE38" i="9"/>
  <c r="AC38" i="9"/>
  <c r="AA38" i="9"/>
  <c r="O38" i="9"/>
  <c r="W38" i="9"/>
  <c r="S38" i="9"/>
  <c r="Q38" i="9"/>
  <c r="U38" i="9"/>
  <c r="M38" i="9"/>
  <c r="AE36" i="9"/>
  <c r="AC36" i="9"/>
  <c r="AA36" i="9"/>
  <c r="O36" i="9"/>
  <c r="W36" i="9"/>
  <c r="S36" i="9"/>
  <c r="Q36" i="9"/>
  <c r="U36" i="9"/>
  <c r="M36" i="9"/>
  <c r="AE34" i="9"/>
  <c r="AC34" i="9"/>
  <c r="AA34" i="9"/>
  <c r="O34" i="9"/>
  <c r="W34" i="9"/>
  <c r="S34" i="9"/>
  <c r="Q34" i="9"/>
  <c r="U34" i="9"/>
  <c r="M34" i="9"/>
  <c r="AE30" i="9"/>
  <c r="AC30" i="9"/>
  <c r="AA30" i="9"/>
  <c r="O30" i="9"/>
  <c r="W30" i="9"/>
  <c r="S30" i="9"/>
  <c r="Q30" i="9"/>
  <c r="U30" i="9"/>
  <c r="M30" i="9"/>
  <c r="AE29" i="9"/>
  <c r="AC29" i="9"/>
  <c r="AA29" i="9"/>
  <c r="O29" i="9"/>
  <c r="W29" i="9"/>
  <c r="S29" i="9"/>
  <c r="Q29" i="9"/>
  <c r="U29" i="9"/>
  <c r="M29" i="9"/>
  <c r="AE28" i="9"/>
  <c r="AC28" i="9"/>
  <c r="AA28" i="9"/>
  <c r="O28" i="9"/>
  <c r="W28" i="9"/>
  <c r="S28" i="9"/>
  <c r="Q28" i="9"/>
  <c r="U28" i="9"/>
  <c r="M28" i="9"/>
  <c r="AE27" i="9"/>
  <c r="AC27" i="9"/>
  <c r="AA27" i="9"/>
  <c r="O27" i="9"/>
  <c r="W27" i="9"/>
  <c r="S27" i="9"/>
  <c r="Q27" i="9"/>
  <c r="U27" i="9"/>
  <c r="M27" i="9"/>
  <c r="AE25" i="9"/>
  <c r="AC25" i="9"/>
  <c r="AA25" i="9"/>
  <c r="O25" i="9"/>
  <c r="W25" i="9"/>
  <c r="S25" i="9"/>
  <c r="Q25" i="9"/>
  <c r="U25" i="9"/>
  <c r="M25" i="9"/>
  <c r="AE24" i="9"/>
  <c r="AC24" i="9"/>
  <c r="AA24" i="9"/>
  <c r="O24" i="9"/>
  <c r="W24" i="9"/>
  <c r="S24" i="9"/>
  <c r="Q24" i="9"/>
  <c r="U24" i="9"/>
  <c r="M24" i="9"/>
  <c r="AE23" i="9"/>
  <c r="AC23" i="9"/>
  <c r="AA23" i="9"/>
  <c r="O23" i="9"/>
  <c r="W23" i="9"/>
  <c r="S23" i="9"/>
  <c r="Q23" i="9"/>
  <c r="U23" i="9"/>
  <c r="M23" i="9"/>
  <c r="AE22" i="9"/>
  <c r="AC22" i="9"/>
  <c r="AA22" i="9"/>
  <c r="O22" i="9"/>
  <c r="W22" i="9"/>
  <c r="S22" i="9"/>
  <c r="Q22" i="9"/>
  <c r="U22" i="9"/>
  <c r="M22" i="9"/>
  <c r="AE21" i="9"/>
  <c r="AC21" i="9"/>
  <c r="AA21" i="9"/>
  <c r="O21" i="9"/>
  <c r="W21" i="9"/>
  <c r="S21" i="9"/>
  <c r="Q21" i="9"/>
  <c r="U21" i="9"/>
  <c r="M21" i="9"/>
  <c r="AE20" i="9"/>
  <c r="AC20" i="9"/>
  <c r="AA20" i="9"/>
  <c r="O20" i="9"/>
  <c r="W20" i="9"/>
  <c r="S20" i="9"/>
  <c r="Q20" i="9"/>
  <c r="U20" i="9"/>
  <c r="M20" i="9"/>
  <c r="AE19" i="9"/>
  <c r="AC19" i="9"/>
  <c r="AA19" i="9"/>
  <c r="O19" i="9"/>
  <c r="W19" i="9"/>
  <c r="S19" i="9"/>
  <c r="Q19" i="9"/>
  <c r="U19" i="9"/>
  <c r="M19" i="9"/>
  <c r="AE13" i="9"/>
  <c r="AC13" i="9"/>
  <c r="AA13" i="9"/>
  <c r="O13" i="9"/>
  <c r="W13" i="9"/>
  <c r="S13" i="9"/>
  <c r="Q13" i="9"/>
  <c r="U13" i="9"/>
  <c r="M13" i="9"/>
  <c r="AE12" i="9"/>
  <c r="AC12" i="9"/>
  <c r="AA12" i="9"/>
  <c r="O12" i="9"/>
  <c r="W12" i="9"/>
  <c r="S12" i="9"/>
  <c r="Q12" i="9"/>
  <c r="U12" i="9"/>
  <c r="M12" i="9"/>
  <c r="AE11" i="9"/>
  <c r="AC11" i="9"/>
  <c r="AA11" i="9"/>
  <c r="O11" i="9"/>
  <c r="W11" i="9"/>
  <c r="S11" i="9"/>
  <c r="Q11" i="9"/>
  <c r="U11" i="9"/>
  <c r="M11" i="9"/>
  <c r="BA152" i="10"/>
  <c r="AY152" i="10"/>
  <c r="AW152" i="10"/>
  <c r="AU152" i="10"/>
  <c r="AK152" i="10"/>
  <c r="AG152" i="10"/>
  <c r="AO152" i="10"/>
  <c r="AQ152" i="10"/>
  <c r="AM152" i="10"/>
  <c r="AI152" i="10"/>
  <c r="AS152" i="10"/>
  <c r="AE152" i="10"/>
  <c r="AC152" i="10"/>
  <c r="AA152" i="10"/>
  <c r="O152" i="10"/>
  <c r="W152" i="10"/>
  <c r="S152" i="10"/>
  <c r="Q152" i="10"/>
  <c r="U152" i="10"/>
  <c r="M152" i="10"/>
  <c r="Y152" i="10"/>
  <c r="BA151" i="10"/>
  <c r="AY151" i="10"/>
  <c r="AW151" i="10"/>
  <c r="AU151" i="10"/>
  <c r="AK151" i="10"/>
  <c r="AG151" i="10"/>
  <c r="AO151" i="10"/>
  <c r="AQ151" i="10"/>
  <c r="AM151" i="10"/>
  <c r="AI151" i="10"/>
  <c r="AS151" i="10"/>
  <c r="AE151" i="10"/>
  <c r="AC151" i="10"/>
  <c r="AA151" i="10"/>
  <c r="O151" i="10"/>
  <c r="W151" i="10"/>
  <c r="S151" i="10"/>
  <c r="Q151" i="10"/>
  <c r="U151" i="10"/>
  <c r="M151" i="10"/>
  <c r="Y151" i="10"/>
  <c r="BA148" i="10"/>
  <c r="AY148" i="10"/>
  <c r="AW148" i="10"/>
  <c r="AU148" i="10"/>
  <c r="AK148" i="10"/>
  <c r="AG148" i="10"/>
  <c r="AO148" i="10"/>
  <c r="AQ148" i="10"/>
  <c r="AM148" i="10"/>
  <c r="AI148" i="10"/>
  <c r="AS148" i="10"/>
  <c r="AE148" i="10"/>
  <c r="AC148" i="10"/>
  <c r="AA148" i="10"/>
  <c r="O148" i="10"/>
  <c r="W148" i="10"/>
  <c r="S148" i="10"/>
  <c r="Q148" i="10"/>
  <c r="U148" i="10"/>
  <c r="M148" i="10"/>
  <c r="Y148" i="10"/>
  <c r="BA143" i="10"/>
  <c r="AY143" i="10"/>
  <c r="AW143" i="10"/>
  <c r="AU143" i="10"/>
  <c r="AK143" i="10"/>
  <c r="AG143" i="10"/>
  <c r="AO143" i="10"/>
  <c r="AQ143" i="10"/>
  <c r="AM143" i="10"/>
  <c r="AI143" i="10"/>
  <c r="AS143" i="10"/>
  <c r="AE143" i="10"/>
  <c r="AC143" i="10"/>
  <c r="AA143" i="10"/>
  <c r="O143" i="10"/>
  <c r="W143" i="10"/>
  <c r="S143" i="10"/>
  <c r="Q143" i="10"/>
  <c r="U143" i="10"/>
  <c r="M143" i="10"/>
  <c r="Y143" i="10"/>
  <c r="BA142" i="10"/>
  <c r="AY142" i="10"/>
  <c r="AW142" i="10"/>
  <c r="AU142" i="10"/>
  <c r="AK142" i="10"/>
  <c r="AG142" i="10"/>
  <c r="AO142" i="10"/>
  <c r="AQ142" i="10"/>
  <c r="AM142" i="10"/>
  <c r="AI142" i="10"/>
  <c r="AS142" i="10"/>
  <c r="AE142" i="10"/>
  <c r="AA142" i="10"/>
  <c r="O142" i="10"/>
  <c r="W142" i="10"/>
  <c r="S142" i="10"/>
  <c r="Q142" i="10"/>
  <c r="U142" i="10"/>
  <c r="M142" i="10"/>
  <c r="Y142" i="10"/>
  <c r="BA141" i="10"/>
  <c r="AY141" i="10"/>
  <c r="AW141" i="10"/>
  <c r="AU141" i="10"/>
  <c r="AK141" i="10"/>
  <c r="AG141" i="10"/>
  <c r="AO141" i="10"/>
  <c r="AQ141" i="10"/>
  <c r="AM141" i="10"/>
  <c r="AI141" i="10"/>
  <c r="AS141" i="10"/>
  <c r="AE141" i="10"/>
  <c r="AC141" i="10"/>
  <c r="AA141" i="10"/>
  <c r="O141" i="10"/>
  <c r="W141" i="10"/>
  <c r="S141" i="10"/>
  <c r="Q141" i="10"/>
  <c r="U141" i="10"/>
  <c r="M141" i="10"/>
  <c r="Y141" i="10"/>
  <c r="BA139" i="10"/>
  <c r="AY139" i="10"/>
  <c r="AW139" i="10"/>
  <c r="AU139" i="10"/>
  <c r="AK139" i="10"/>
  <c r="AG139" i="10"/>
  <c r="AO139" i="10"/>
  <c r="AQ139" i="10"/>
  <c r="AM139" i="10"/>
  <c r="AI139" i="10"/>
  <c r="AS139" i="10"/>
  <c r="AE139" i="10"/>
  <c r="AC139" i="10"/>
  <c r="AA139" i="10"/>
  <c r="O139" i="10"/>
  <c r="W139" i="10"/>
  <c r="S139" i="10"/>
  <c r="Q139" i="10"/>
  <c r="U139" i="10"/>
  <c r="M139" i="10"/>
  <c r="Y139" i="10"/>
  <c r="BA134" i="10"/>
  <c r="AY134" i="10"/>
  <c r="AW134" i="10"/>
  <c r="AU134" i="10"/>
  <c r="AK134" i="10"/>
  <c r="AG134" i="10"/>
  <c r="AO134" i="10"/>
  <c r="AQ134" i="10"/>
  <c r="AM134" i="10"/>
  <c r="AI134" i="10"/>
  <c r="AS134" i="10"/>
  <c r="AE134" i="10"/>
  <c r="AC134" i="10"/>
  <c r="AA134" i="10"/>
  <c r="O134" i="10"/>
  <c r="W134" i="10"/>
  <c r="S134" i="10"/>
  <c r="Q134" i="10"/>
  <c r="U134" i="10"/>
  <c r="M134" i="10"/>
  <c r="Y134" i="10"/>
  <c r="BA129" i="10"/>
  <c r="AY129" i="10"/>
  <c r="AW129" i="10"/>
  <c r="AU129" i="10"/>
  <c r="AK129" i="10"/>
  <c r="AG129" i="10"/>
  <c r="AO129" i="10"/>
  <c r="AQ129" i="10"/>
  <c r="AM129" i="10"/>
  <c r="AI129" i="10"/>
  <c r="AS129" i="10"/>
  <c r="AE129" i="10"/>
  <c r="AC129" i="10"/>
  <c r="AA129" i="10"/>
  <c r="O129" i="10"/>
  <c r="W129" i="10"/>
  <c r="S129" i="10"/>
  <c r="Q129" i="10"/>
  <c r="U129" i="10"/>
  <c r="M129" i="10"/>
  <c r="Y129" i="10"/>
  <c r="BA125" i="10"/>
  <c r="AY125" i="10"/>
  <c r="AW125" i="10"/>
  <c r="AU125" i="10"/>
  <c r="AK125" i="10"/>
  <c r="AG125" i="10"/>
  <c r="AO125" i="10"/>
  <c r="AQ125" i="10"/>
  <c r="AM125" i="10"/>
  <c r="AI125" i="10"/>
  <c r="AS125" i="10"/>
  <c r="AE125" i="10"/>
  <c r="AC125" i="10"/>
  <c r="AA125" i="10"/>
  <c r="O125" i="10"/>
  <c r="W125" i="10"/>
  <c r="S125" i="10"/>
  <c r="Q125" i="10"/>
  <c r="U125" i="10"/>
  <c r="M125" i="10"/>
  <c r="Y125" i="10"/>
  <c r="BA124" i="10"/>
  <c r="AY124" i="10"/>
  <c r="AW124" i="10"/>
  <c r="AU124" i="10"/>
  <c r="AK124" i="10"/>
  <c r="AG124" i="10"/>
  <c r="AO124" i="10"/>
  <c r="AQ124" i="10"/>
  <c r="AM124" i="10"/>
  <c r="AI124" i="10"/>
  <c r="AS124" i="10"/>
  <c r="AE124" i="10"/>
  <c r="AC124" i="10"/>
  <c r="AA124" i="10"/>
  <c r="O124" i="10"/>
  <c r="W124" i="10"/>
  <c r="S124" i="10"/>
  <c r="Q124" i="10"/>
  <c r="U124" i="10"/>
  <c r="M124" i="10"/>
  <c r="Y124" i="10"/>
  <c r="BA122" i="10"/>
  <c r="AY122" i="10"/>
  <c r="AW122" i="10"/>
  <c r="AU122" i="10"/>
  <c r="AK122" i="10"/>
  <c r="AG122" i="10"/>
  <c r="AO122" i="10"/>
  <c r="AQ122" i="10"/>
  <c r="AM122" i="10"/>
  <c r="AI122" i="10"/>
  <c r="AS122" i="10"/>
  <c r="AE122" i="10"/>
  <c r="AC122" i="10"/>
  <c r="AA122" i="10"/>
  <c r="O122" i="10"/>
  <c r="W122" i="10"/>
  <c r="S122" i="10"/>
  <c r="Q122" i="10"/>
  <c r="U122" i="10"/>
  <c r="M122" i="10"/>
  <c r="Y122" i="10"/>
  <c r="BA120" i="10"/>
  <c r="AY120" i="10"/>
  <c r="AW120" i="10"/>
  <c r="AU120" i="10"/>
  <c r="AK120" i="10"/>
  <c r="AG120" i="10"/>
  <c r="AO120" i="10"/>
  <c r="AQ120" i="10"/>
  <c r="AM120" i="10"/>
  <c r="AI120" i="10"/>
  <c r="AS120" i="10"/>
  <c r="AE120" i="10"/>
  <c r="AC120" i="10"/>
  <c r="AA120" i="10"/>
  <c r="O120" i="10"/>
  <c r="W120" i="10"/>
  <c r="S120" i="10"/>
  <c r="Q120" i="10"/>
  <c r="U120" i="10"/>
  <c r="M120" i="10"/>
  <c r="Y120" i="10"/>
  <c r="BA114" i="10"/>
  <c r="AY114" i="10"/>
  <c r="AW114" i="10"/>
  <c r="AU114" i="10"/>
  <c r="AK114" i="10"/>
  <c r="AG114" i="10"/>
  <c r="AO114" i="10"/>
  <c r="AQ114" i="10"/>
  <c r="AM114" i="10"/>
  <c r="AI114" i="10"/>
  <c r="AS114" i="10"/>
  <c r="AE114" i="10"/>
  <c r="AC114" i="10"/>
  <c r="AA114" i="10"/>
  <c r="O114" i="10"/>
  <c r="W114" i="10"/>
  <c r="S114" i="10"/>
  <c r="Q114" i="10"/>
  <c r="U114" i="10"/>
  <c r="M114" i="10"/>
  <c r="Y114" i="10"/>
  <c r="BA113" i="10"/>
  <c r="AY113" i="10"/>
  <c r="AW113" i="10"/>
  <c r="AU113" i="10"/>
  <c r="AK113" i="10"/>
  <c r="AG113" i="10"/>
  <c r="AO113" i="10"/>
  <c r="AQ113" i="10"/>
  <c r="AM113" i="10"/>
  <c r="AI113" i="10"/>
  <c r="AS113" i="10"/>
  <c r="AE113" i="10"/>
  <c r="AC113" i="10"/>
  <c r="AA113" i="10"/>
  <c r="O113" i="10"/>
  <c r="W113" i="10"/>
  <c r="S113" i="10"/>
  <c r="Q113" i="10"/>
  <c r="U113" i="10"/>
  <c r="M113" i="10"/>
  <c r="Y113" i="10"/>
  <c r="BA112" i="10"/>
  <c r="AY112" i="10"/>
  <c r="AW112" i="10"/>
  <c r="AU112" i="10"/>
  <c r="AK112" i="10"/>
  <c r="AG112" i="10"/>
  <c r="AO112" i="10"/>
  <c r="AQ112" i="10"/>
  <c r="AM112" i="10"/>
  <c r="AI112" i="10"/>
  <c r="AS112" i="10"/>
  <c r="AE112" i="10"/>
  <c r="AC112" i="10"/>
  <c r="AA112" i="10"/>
  <c r="O112" i="10"/>
  <c r="W112" i="10"/>
  <c r="S112" i="10"/>
  <c r="Q112" i="10"/>
  <c r="U112" i="10"/>
  <c r="M112" i="10"/>
  <c r="Y112" i="10"/>
  <c r="BA109" i="10"/>
  <c r="AY109" i="10"/>
  <c r="AW109" i="10"/>
  <c r="AU109" i="10"/>
  <c r="AK109" i="10"/>
  <c r="AG109" i="10"/>
  <c r="AO109" i="10"/>
  <c r="AQ109" i="10"/>
  <c r="AM109" i="10"/>
  <c r="AI109" i="10"/>
  <c r="AS109" i="10"/>
  <c r="AE109" i="10"/>
  <c r="AC109" i="10"/>
  <c r="AA109" i="10"/>
  <c r="O109" i="10"/>
  <c r="W109" i="10"/>
  <c r="S109" i="10"/>
  <c r="Q109" i="10"/>
  <c r="U109" i="10"/>
  <c r="M109" i="10"/>
  <c r="Y109" i="10"/>
  <c r="BA108" i="10"/>
  <c r="AY108" i="10"/>
  <c r="AW108" i="10"/>
  <c r="AU108" i="10"/>
  <c r="AK108" i="10"/>
  <c r="AG108" i="10"/>
  <c r="AO108" i="10"/>
  <c r="AQ108" i="10"/>
  <c r="AM108" i="10"/>
  <c r="AI108" i="10"/>
  <c r="AS108" i="10"/>
  <c r="AE108" i="10"/>
  <c r="AC108" i="10"/>
  <c r="AA108" i="10"/>
  <c r="O108" i="10"/>
  <c r="W108" i="10"/>
  <c r="S108" i="10"/>
  <c r="Q108" i="10"/>
  <c r="U108" i="10"/>
  <c r="M108" i="10"/>
  <c r="Y108" i="10"/>
  <c r="BA107" i="10"/>
  <c r="AY107" i="10"/>
  <c r="AW107" i="10"/>
  <c r="AU107" i="10"/>
  <c r="AK107" i="10"/>
  <c r="AG107" i="10"/>
  <c r="AO107" i="10"/>
  <c r="AQ107" i="10"/>
  <c r="AM107" i="10"/>
  <c r="AI107" i="10"/>
  <c r="AS107" i="10"/>
  <c r="AE107" i="10"/>
  <c r="AC107" i="10"/>
  <c r="AA107" i="10"/>
  <c r="O107" i="10"/>
  <c r="S107" i="10"/>
  <c r="Q107" i="10"/>
  <c r="U107" i="10"/>
  <c r="M107" i="10"/>
  <c r="Y107" i="10"/>
  <c r="BA102" i="10"/>
  <c r="AY102" i="10"/>
  <c r="AW102" i="10"/>
  <c r="AU102" i="10"/>
  <c r="AK102" i="10"/>
  <c r="AG102" i="10"/>
  <c r="AO102" i="10"/>
  <c r="AQ102" i="10"/>
  <c r="AM102" i="10"/>
  <c r="AI102" i="10"/>
  <c r="AS102" i="10"/>
  <c r="AE102" i="10"/>
  <c r="AC102" i="10"/>
  <c r="AA102" i="10"/>
  <c r="O102" i="10"/>
  <c r="W102" i="10"/>
  <c r="S102" i="10"/>
  <c r="Q102" i="10"/>
  <c r="U102" i="10"/>
  <c r="M102" i="10"/>
  <c r="Y102" i="10"/>
  <c r="BA95" i="10"/>
  <c r="AY95" i="10"/>
  <c r="AW95" i="10"/>
  <c r="AU95" i="10"/>
  <c r="AK95" i="10"/>
  <c r="AG95" i="10"/>
  <c r="AO95" i="10"/>
  <c r="AQ95" i="10"/>
  <c r="AM95" i="10"/>
  <c r="AI95" i="10"/>
  <c r="AS95" i="10"/>
  <c r="AE95" i="10"/>
  <c r="AC95" i="10"/>
  <c r="AA95" i="10"/>
  <c r="O95" i="10"/>
  <c r="W95" i="10"/>
  <c r="S95" i="10"/>
  <c r="Q95" i="10"/>
  <c r="U95" i="10"/>
  <c r="M95" i="10"/>
  <c r="Y95" i="10"/>
  <c r="BA89" i="10"/>
  <c r="AY89" i="10"/>
  <c r="AW89" i="10"/>
  <c r="AU89" i="10"/>
  <c r="AK89" i="10"/>
  <c r="AG89" i="10"/>
  <c r="AO89" i="10"/>
  <c r="AQ89" i="10"/>
  <c r="AM89" i="10"/>
  <c r="AI89" i="10"/>
  <c r="AS89" i="10"/>
  <c r="AE89" i="10"/>
  <c r="AC89" i="10"/>
  <c r="AA89" i="10"/>
  <c r="O89" i="10"/>
  <c r="W89" i="10"/>
  <c r="S89" i="10"/>
  <c r="Q89" i="10"/>
  <c r="U89" i="10"/>
  <c r="M89" i="10"/>
  <c r="Y89" i="10"/>
  <c r="BA87" i="10"/>
  <c r="AY87" i="10"/>
  <c r="AW87" i="10"/>
  <c r="AU87" i="10"/>
  <c r="AK87" i="10"/>
  <c r="AG87" i="10"/>
  <c r="AO87" i="10"/>
  <c r="AQ87" i="10"/>
  <c r="AM87" i="10"/>
  <c r="AI87" i="10"/>
  <c r="AS87" i="10"/>
  <c r="AE87" i="10"/>
  <c r="AC87" i="10"/>
  <c r="AA87" i="10"/>
  <c r="O87" i="10"/>
  <c r="W87" i="10"/>
  <c r="S87" i="10"/>
  <c r="Q87" i="10"/>
  <c r="U87" i="10"/>
  <c r="M87" i="10"/>
  <c r="Y87" i="10"/>
  <c r="BA86" i="10"/>
  <c r="AY86" i="10"/>
  <c r="AW86" i="10"/>
  <c r="AU86" i="10"/>
  <c r="AK86" i="10"/>
  <c r="AG86" i="10"/>
  <c r="AO86" i="10"/>
  <c r="AQ86" i="10"/>
  <c r="AM86" i="10"/>
  <c r="AI86" i="10"/>
  <c r="AS86" i="10"/>
  <c r="AE86" i="10"/>
  <c r="AC86" i="10"/>
  <c r="AA86" i="10"/>
  <c r="O86" i="10"/>
  <c r="W86" i="10"/>
  <c r="S86" i="10"/>
  <c r="Q86" i="10"/>
  <c r="U86" i="10"/>
  <c r="M86" i="10"/>
  <c r="Y86" i="10"/>
  <c r="BA85" i="10"/>
  <c r="AY85" i="10"/>
  <c r="AW85" i="10"/>
  <c r="AU85" i="10"/>
  <c r="AK85" i="10"/>
  <c r="AG85" i="10"/>
  <c r="AO85" i="10"/>
  <c r="AQ85" i="10"/>
  <c r="AM85" i="10"/>
  <c r="AI85" i="10"/>
  <c r="AS85" i="10"/>
  <c r="AE85" i="10"/>
  <c r="AC85" i="10"/>
  <c r="AA85" i="10"/>
  <c r="O85" i="10"/>
  <c r="W85" i="10"/>
  <c r="S85" i="10"/>
  <c r="Q85" i="10"/>
  <c r="U85" i="10"/>
  <c r="M85" i="10"/>
  <c r="Y85" i="10"/>
  <c r="BA75" i="10"/>
  <c r="AY75" i="10"/>
  <c r="AW75" i="10"/>
  <c r="AU75" i="10"/>
  <c r="AK75" i="10"/>
  <c r="AG75" i="10"/>
  <c r="AO75" i="10"/>
  <c r="AQ75" i="10"/>
  <c r="AM75" i="10"/>
  <c r="AI75" i="10"/>
  <c r="AS75" i="10"/>
  <c r="AE75" i="10"/>
  <c r="AC75" i="10"/>
  <c r="AA75" i="10"/>
  <c r="O75" i="10"/>
  <c r="W75" i="10"/>
  <c r="S75" i="10"/>
  <c r="Q75" i="10"/>
  <c r="U75" i="10"/>
  <c r="M75" i="10"/>
  <c r="Y75" i="10"/>
  <c r="BA74" i="10"/>
  <c r="AY74" i="10"/>
  <c r="AW74" i="10"/>
  <c r="AU74" i="10"/>
  <c r="AK74" i="10"/>
  <c r="AG74" i="10"/>
  <c r="AO74" i="10"/>
  <c r="AQ74" i="10"/>
  <c r="AM74" i="10"/>
  <c r="AI74" i="10"/>
  <c r="AS74" i="10"/>
  <c r="AE74" i="10"/>
  <c r="AC74" i="10"/>
  <c r="AA74" i="10"/>
  <c r="O74" i="10"/>
  <c r="W74" i="10"/>
  <c r="S74" i="10"/>
  <c r="Q74" i="10"/>
  <c r="U74" i="10"/>
  <c r="M74" i="10"/>
  <c r="Y74" i="10"/>
  <c r="BA70" i="10"/>
  <c r="AY70" i="10"/>
  <c r="AW70" i="10"/>
  <c r="AU70" i="10"/>
  <c r="AK70" i="10"/>
  <c r="AG70" i="10"/>
  <c r="AO70" i="10"/>
  <c r="AQ70" i="10"/>
  <c r="AM70" i="10"/>
  <c r="AI70" i="10"/>
  <c r="AS70" i="10"/>
  <c r="AE70" i="10"/>
  <c r="AC70" i="10"/>
  <c r="AA70" i="10"/>
  <c r="O70" i="10"/>
  <c r="W70" i="10"/>
  <c r="S70" i="10"/>
  <c r="Q70" i="10"/>
  <c r="U70" i="10"/>
  <c r="M70" i="10"/>
  <c r="Y70" i="10"/>
  <c r="BA69" i="10"/>
  <c r="AY69" i="10"/>
  <c r="AW69" i="10"/>
  <c r="AU69" i="10"/>
  <c r="AK69" i="10"/>
  <c r="AG69" i="10"/>
  <c r="AO69" i="10"/>
  <c r="AQ69" i="10"/>
  <c r="AM69" i="10"/>
  <c r="AI69" i="10"/>
  <c r="AS69" i="10"/>
  <c r="AE69" i="10"/>
  <c r="AC69" i="10"/>
  <c r="AA69" i="10"/>
  <c r="O69" i="10"/>
  <c r="W69" i="10"/>
  <c r="S69" i="10"/>
  <c r="Q69" i="10"/>
  <c r="U69" i="10"/>
  <c r="M69" i="10"/>
  <c r="Y69" i="10"/>
  <c r="BA67" i="10"/>
  <c r="AY67" i="10"/>
  <c r="AW67" i="10"/>
  <c r="AU67" i="10"/>
  <c r="AK67" i="10"/>
  <c r="AG67" i="10"/>
  <c r="AO67" i="10"/>
  <c r="AQ67" i="10"/>
  <c r="AM67" i="10"/>
  <c r="AI67" i="10"/>
  <c r="AS67" i="10"/>
  <c r="AE67" i="10"/>
  <c r="AC67" i="10"/>
  <c r="AA67" i="10"/>
  <c r="O67" i="10"/>
  <c r="W67" i="10"/>
  <c r="S67" i="10"/>
  <c r="Q67" i="10"/>
  <c r="U67" i="10"/>
  <c r="M67" i="10"/>
  <c r="Y67" i="10"/>
  <c r="BA65" i="10"/>
  <c r="AY65" i="10"/>
  <c r="AW65" i="10"/>
  <c r="AU65" i="10"/>
  <c r="AK65" i="10"/>
  <c r="AG65" i="10"/>
  <c r="AO65" i="10"/>
  <c r="AQ65" i="10"/>
  <c r="AM65" i="10"/>
  <c r="AI65" i="10"/>
  <c r="AS65" i="10"/>
  <c r="AE65" i="10"/>
  <c r="AC65" i="10"/>
  <c r="AA65" i="10"/>
  <c r="O65" i="10"/>
  <c r="W65" i="10"/>
  <c r="S65" i="10"/>
  <c r="Q65" i="10"/>
  <c r="U65" i="10"/>
  <c r="M65" i="10"/>
  <c r="Y65" i="10"/>
  <c r="BA64" i="10"/>
  <c r="AY64" i="10"/>
  <c r="AW64" i="10"/>
  <c r="AU64" i="10"/>
  <c r="AK64" i="10"/>
  <c r="AG64" i="10"/>
  <c r="AO64" i="10"/>
  <c r="AQ64" i="10"/>
  <c r="AM64" i="10"/>
  <c r="AI64" i="10"/>
  <c r="AS64" i="10"/>
  <c r="AE64" i="10"/>
  <c r="AC64" i="10"/>
  <c r="AA64" i="10"/>
  <c r="O64" i="10"/>
  <c r="W64" i="10"/>
  <c r="S64" i="10"/>
  <c r="Q64" i="10"/>
  <c r="U64" i="10"/>
  <c r="M64" i="10"/>
  <c r="Y64" i="10"/>
  <c r="BA61" i="10"/>
  <c r="AY61" i="10"/>
  <c r="AW61" i="10"/>
  <c r="AU61" i="10"/>
  <c r="AK61" i="10"/>
  <c r="AG61" i="10"/>
  <c r="AO61" i="10"/>
  <c r="AQ61" i="10"/>
  <c r="AM61" i="10"/>
  <c r="AI61" i="10"/>
  <c r="AS61" i="10"/>
  <c r="AE61" i="10"/>
  <c r="AC61" i="10"/>
  <c r="AA61" i="10"/>
  <c r="O61" i="10"/>
  <c r="W61" i="10"/>
  <c r="S61" i="10"/>
  <c r="Q61" i="10"/>
  <c r="U61" i="10"/>
  <c r="M61" i="10"/>
  <c r="Y61" i="10"/>
  <c r="BA60" i="10"/>
  <c r="AY60" i="10"/>
  <c r="AW60" i="10"/>
  <c r="AU60" i="10"/>
  <c r="AK60" i="10"/>
  <c r="AG60" i="10"/>
  <c r="AO60" i="10"/>
  <c r="AQ60" i="10"/>
  <c r="AM60" i="10"/>
  <c r="AI60" i="10"/>
  <c r="AS60" i="10"/>
  <c r="AE60" i="10"/>
  <c r="AC60" i="10"/>
  <c r="AA60" i="10"/>
  <c r="O60" i="10"/>
  <c r="W60" i="10"/>
  <c r="S60" i="10"/>
  <c r="Q60" i="10"/>
  <c r="U60" i="10"/>
  <c r="M60" i="10"/>
  <c r="Y60" i="10"/>
  <c r="BA59" i="10"/>
  <c r="AY59" i="10"/>
  <c r="AW59" i="10"/>
  <c r="AU59" i="10"/>
  <c r="AK59" i="10"/>
  <c r="AG59" i="10"/>
  <c r="AO59" i="10"/>
  <c r="AQ59" i="10"/>
  <c r="AM59" i="10"/>
  <c r="AI59" i="10"/>
  <c r="AS59" i="10"/>
  <c r="AE59" i="10"/>
  <c r="AC59" i="10"/>
  <c r="AA59" i="10"/>
  <c r="O59" i="10"/>
  <c r="W59" i="10"/>
  <c r="S59" i="10"/>
  <c r="Q59" i="10"/>
  <c r="U59" i="10"/>
  <c r="M59" i="10"/>
  <c r="Y59" i="10"/>
  <c r="BA58" i="10"/>
  <c r="AY58" i="10"/>
  <c r="AW58" i="10"/>
  <c r="AU58" i="10"/>
  <c r="AK58" i="10"/>
  <c r="AG58" i="10"/>
  <c r="AO58" i="10"/>
  <c r="AQ58" i="10"/>
  <c r="AM58" i="10"/>
  <c r="AI58" i="10"/>
  <c r="AS58" i="10"/>
  <c r="AE58" i="10"/>
  <c r="AC58" i="10"/>
  <c r="AA58" i="10"/>
  <c r="O58" i="10"/>
  <c r="W58" i="10"/>
  <c r="S58" i="10"/>
  <c r="Q58" i="10"/>
  <c r="U58" i="10"/>
  <c r="M58" i="10"/>
  <c r="Y58" i="10"/>
  <c r="BA54" i="10"/>
  <c r="AY54" i="10"/>
  <c r="AW54" i="10"/>
  <c r="AU54" i="10"/>
  <c r="AK54" i="10"/>
  <c r="AG54" i="10"/>
  <c r="AO54" i="10"/>
  <c r="AQ54" i="10"/>
  <c r="AM54" i="10"/>
  <c r="AI54" i="10"/>
  <c r="AS54" i="10"/>
  <c r="AE54" i="10"/>
  <c r="AC54" i="10"/>
  <c r="AA54" i="10"/>
  <c r="O54" i="10"/>
  <c r="W54" i="10"/>
  <c r="S54" i="10"/>
  <c r="Q54" i="10"/>
  <c r="U54" i="10"/>
  <c r="M54" i="10"/>
  <c r="Y54" i="10"/>
  <c r="BA53" i="10"/>
  <c r="AY53" i="10"/>
  <c r="AW53" i="10"/>
  <c r="AU53" i="10"/>
  <c r="AK53" i="10"/>
  <c r="AG53" i="10"/>
  <c r="AO53" i="10"/>
  <c r="AQ53" i="10"/>
  <c r="AM53" i="10"/>
  <c r="AI53" i="10"/>
  <c r="AS53" i="10"/>
  <c r="AE53" i="10"/>
  <c r="AC53" i="10"/>
  <c r="AA53" i="10"/>
  <c r="O53" i="10"/>
  <c r="W53" i="10"/>
  <c r="S53" i="10"/>
  <c r="Q53" i="10"/>
  <c r="U53" i="10"/>
  <c r="M53" i="10"/>
  <c r="Y53" i="10"/>
  <c r="BA47" i="10"/>
  <c r="AY47" i="10"/>
  <c r="AW47" i="10"/>
  <c r="AU47" i="10"/>
  <c r="AK47" i="10"/>
  <c r="AG47" i="10"/>
  <c r="AO47" i="10"/>
  <c r="AQ47" i="10"/>
  <c r="AM47" i="10"/>
  <c r="AI47" i="10"/>
  <c r="AS47" i="10"/>
  <c r="AE47" i="10"/>
  <c r="AC47" i="10"/>
  <c r="AA47" i="10"/>
  <c r="O47" i="10"/>
  <c r="W47" i="10"/>
  <c r="S47" i="10"/>
  <c r="Q47" i="10"/>
  <c r="U47" i="10"/>
  <c r="M47" i="10"/>
  <c r="Y47" i="10"/>
  <c r="BA46" i="10"/>
  <c r="AY46" i="10"/>
  <c r="AW46" i="10"/>
  <c r="AU46" i="10"/>
  <c r="AK46" i="10"/>
  <c r="AG46" i="10"/>
  <c r="AO46" i="10"/>
  <c r="AQ46" i="10"/>
  <c r="AM46" i="10"/>
  <c r="AI46" i="10"/>
  <c r="AS46" i="10"/>
  <c r="AE46" i="10"/>
  <c r="AC46" i="10"/>
  <c r="AA46" i="10"/>
  <c r="O46" i="10"/>
  <c r="W46" i="10"/>
  <c r="S46" i="10"/>
  <c r="Q46" i="10"/>
  <c r="U46" i="10"/>
  <c r="M46" i="10"/>
  <c r="Y46" i="10"/>
  <c r="BA44" i="10"/>
  <c r="AY44" i="10"/>
  <c r="AW44" i="10"/>
  <c r="AU44" i="10"/>
  <c r="AK44" i="10"/>
  <c r="AG44" i="10"/>
  <c r="AO44" i="10"/>
  <c r="AQ44" i="10"/>
  <c r="AM44" i="10"/>
  <c r="AI44" i="10"/>
  <c r="AS44" i="10"/>
  <c r="AE44" i="10"/>
  <c r="AC44" i="10"/>
  <c r="AA44" i="10"/>
  <c r="O44" i="10"/>
  <c r="W44" i="10"/>
  <c r="S44" i="10"/>
  <c r="Q44" i="10"/>
  <c r="U44" i="10"/>
  <c r="M44" i="10"/>
  <c r="Y44" i="10"/>
  <c r="BA42" i="10"/>
  <c r="AY42" i="10"/>
  <c r="AW42" i="10"/>
  <c r="AU42" i="10"/>
  <c r="AK42" i="10"/>
  <c r="AG42" i="10"/>
  <c r="AO42" i="10"/>
  <c r="AQ42" i="10"/>
  <c r="AM42" i="10"/>
  <c r="AI42" i="10"/>
  <c r="AS42" i="10"/>
  <c r="AE42" i="10"/>
  <c r="AC42" i="10"/>
  <c r="AA42" i="10"/>
  <c r="O42" i="10"/>
  <c r="W42" i="10"/>
  <c r="S42" i="10"/>
  <c r="Q42" i="10"/>
  <c r="U42" i="10"/>
  <c r="M42" i="10"/>
  <c r="Y42" i="10"/>
  <c r="BA40" i="10"/>
  <c r="AY40" i="10"/>
  <c r="AW40" i="10"/>
  <c r="AU40" i="10"/>
  <c r="AK40" i="10"/>
  <c r="AG40" i="10"/>
  <c r="AO40" i="10"/>
  <c r="AQ40" i="10"/>
  <c r="AM40" i="10"/>
  <c r="AI40" i="10"/>
  <c r="AS40" i="10"/>
  <c r="AE40" i="10"/>
  <c r="AC40" i="10"/>
  <c r="AA40" i="10"/>
  <c r="O40" i="10"/>
  <c r="W40" i="10"/>
  <c r="S40" i="10"/>
  <c r="Q40" i="10"/>
  <c r="U40" i="10"/>
  <c r="M40" i="10"/>
  <c r="Y40" i="10"/>
  <c r="BA33" i="10"/>
  <c r="AY33" i="10"/>
  <c r="AW33" i="10"/>
  <c r="AU33" i="10"/>
  <c r="AK33" i="10"/>
  <c r="AG33" i="10"/>
  <c r="AO33" i="10"/>
  <c r="AQ33" i="10"/>
  <c r="AM33" i="10"/>
  <c r="AI33" i="10"/>
  <c r="AS33" i="10"/>
  <c r="AE33" i="10"/>
  <c r="AC33" i="10"/>
  <c r="AA33" i="10"/>
  <c r="O33" i="10"/>
  <c r="W33" i="10"/>
  <c r="S33" i="10"/>
  <c r="Q33" i="10"/>
  <c r="U33" i="10"/>
  <c r="M33" i="10"/>
  <c r="Y33" i="10"/>
  <c r="BA32" i="10"/>
  <c r="AY32" i="10"/>
  <c r="AW32" i="10"/>
  <c r="AU32" i="10"/>
  <c r="AK32" i="10"/>
  <c r="AG32" i="10"/>
  <c r="AO32" i="10"/>
  <c r="AQ32" i="10"/>
  <c r="AM32" i="10"/>
  <c r="AI32" i="10"/>
  <c r="AS32" i="10"/>
  <c r="AE32" i="10"/>
  <c r="AC32" i="10"/>
  <c r="AA32" i="10"/>
  <c r="O32" i="10"/>
  <c r="W32" i="10"/>
  <c r="S32" i="10"/>
  <c r="Q32" i="10"/>
  <c r="U32" i="10"/>
  <c r="M32" i="10"/>
  <c r="Y32" i="10"/>
  <c r="BA30" i="10"/>
  <c r="AY30" i="10"/>
  <c r="AW30" i="10"/>
  <c r="AU30" i="10"/>
  <c r="AK30" i="10"/>
  <c r="AG30" i="10"/>
  <c r="AO30" i="10"/>
  <c r="AQ30" i="10"/>
  <c r="AM30" i="10"/>
  <c r="AI30" i="10"/>
  <c r="AS30" i="10"/>
  <c r="AE30" i="10"/>
  <c r="AC30" i="10"/>
  <c r="AA30" i="10"/>
  <c r="O30" i="10"/>
  <c r="W30" i="10"/>
  <c r="S30" i="10"/>
  <c r="Q30" i="10"/>
  <c r="U30" i="10"/>
  <c r="M30" i="10"/>
  <c r="Y30" i="10"/>
  <c r="BA28" i="10"/>
  <c r="AY28" i="10"/>
  <c r="AW28" i="10"/>
  <c r="AU28" i="10"/>
  <c r="AK28" i="10"/>
  <c r="AG28" i="10"/>
  <c r="AO28" i="10"/>
  <c r="AQ28" i="10"/>
  <c r="AM28" i="10"/>
  <c r="AI28" i="10"/>
  <c r="AS28" i="10"/>
  <c r="AE28" i="10"/>
  <c r="AC28" i="10"/>
  <c r="AA28" i="10"/>
  <c r="O28" i="10"/>
  <c r="W28" i="10"/>
  <c r="S28" i="10"/>
  <c r="Q28" i="10"/>
  <c r="U28" i="10"/>
  <c r="M28" i="10"/>
  <c r="Y28" i="10"/>
  <c r="BA27" i="10"/>
  <c r="AY27" i="10"/>
  <c r="AW27" i="10"/>
  <c r="AU27" i="10"/>
  <c r="AK27" i="10"/>
  <c r="AG27" i="10"/>
  <c r="AO27" i="10"/>
  <c r="AQ27" i="10"/>
  <c r="AM27" i="10"/>
  <c r="AI27" i="10"/>
  <c r="AS27" i="10"/>
  <c r="AE27" i="10"/>
  <c r="AC27" i="10"/>
  <c r="AA27" i="10"/>
  <c r="O27" i="10"/>
  <c r="W27" i="10"/>
  <c r="S27" i="10"/>
  <c r="Q27" i="10"/>
  <c r="U27" i="10"/>
  <c r="M27" i="10"/>
  <c r="Y27" i="10"/>
  <c r="BA24" i="10"/>
  <c r="AY24" i="10"/>
  <c r="AW24" i="10"/>
  <c r="AU24" i="10"/>
  <c r="AK24" i="10"/>
  <c r="AG24" i="10"/>
  <c r="AO24" i="10"/>
  <c r="AQ24" i="10"/>
  <c r="AM24" i="10"/>
  <c r="AI24" i="10"/>
  <c r="AS24" i="10"/>
  <c r="AE24" i="10"/>
  <c r="AC24" i="10"/>
  <c r="AA24" i="10"/>
  <c r="O24" i="10"/>
  <c r="W24" i="10"/>
  <c r="S24" i="10"/>
  <c r="Q24" i="10"/>
  <c r="U24" i="10"/>
  <c r="M24" i="10"/>
  <c r="Y24" i="10"/>
  <c r="BA23" i="10"/>
  <c r="AY23" i="10"/>
  <c r="AW23" i="10"/>
  <c r="AU23" i="10"/>
  <c r="AK23" i="10"/>
  <c r="AG23" i="10"/>
  <c r="AO23" i="10"/>
  <c r="AQ23" i="10"/>
  <c r="AM23" i="10"/>
  <c r="AI23" i="10"/>
  <c r="AS23" i="10"/>
  <c r="AE23" i="10"/>
  <c r="AC23" i="10"/>
  <c r="AA23" i="10"/>
  <c r="O23" i="10"/>
  <c r="W23" i="10"/>
  <c r="S23" i="10"/>
  <c r="Q23" i="10"/>
  <c r="U23" i="10"/>
  <c r="M23" i="10"/>
  <c r="Y23" i="10"/>
  <c r="BA14" i="10"/>
  <c r="AY14" i="10"/>
  <c r="AW14" i="10"/>
  <c r="AU14" i="10"/>
  <c r="AK14" i="10"/>
  <c r="AG14" i="10"/>
  <c r="AO14" i="10"/>
  <c r="AQ14" i="10"/>
  <c r="AM14" i="10"/>
  <c r="AI14" i="10"/>
  <c r="AS14" i="10"/>
  <c r="AE14" i="10"/>
  <c r="AC14" i="10"/>
  <c r="AA14" i="10"/>
  <c r="O14" i="10"/>
  <c r="W14" i="10"/>
  <c r="S14" i="10"/>
  <c r="Q14" i="10"/>
  <c r="U14" i="10"/>
  <c r="M14" i="10"/>
  <c r="Y14" i="10"/>
  <c r="BA11" i="10"/>
  <c r="AY11" i="10"/>
  <c r="AW11" i="10"/>
  <c r="AU11" i="10"/>
  <c r="AK11" i="10"/>
  <c r="AG11" i="10"/>
  <c r="AO11" i="10"/>
  <c r="AQ11" i="10"/>
  <c r="AM11" i="10"/>
  <c r="AI11" i="10"/>
  <c r="AS11" i="10"/>
  <c r="AE11" i="10"/>
  <c r="AC11" i="10"/>
  <c r="AA11" i="10"/>
  <c r="O11" i="10"/>
  <c r="W11" i="10"/>
  <c r="S11" i="10"/>
  <c r="Q11" i="10"/>
  <c r="U11" i="10"/>
  <c r="M11" i="10"/>
  <c r="Y11" i="10"/>
  <c r="AM11" i="12"/>
  <c r="AM12" i="12"/>
  <c r="AM17" i="12"/>
  <c r="AM18" i="12"/>
  <c r="AM19" i="12"/>
  <c r="AM20" i="12"/>
  <c r="AM21" i="12"/>
  <c r="AM23" i="12"/>
  <c r="AM24" i="12"/>
  <c r="AM26" i="12"/>
  <c r="AM28" i="12"/>
  <c r="AM30" i="12"/>
  <c r="AM31" i="12"/>
  <c r="AM32" i="12"/>
  <c r="AM36" i="12"/>
  <c r="AM37" i="12"/>
  <c r="AM39" i="12"/>
  <c r="AM40" i="12"/>
  <c r="AM41" i="12"/>
  <c r="AM42" i="12"/>
  <c r="AM43" i="12"/>
  <c r="AM44" i="12"/>
  <c r="AM45" i="12"/>
  <c r="AM47" i="12"/>
  <c r="AM48" i="12"/>
  <c r="AM49" i="12"/>
  <c r="AM50" i="12"/>
  <c r="AM53" i="12"/>
  <c r="AM54" i="12"/>
  <c r="AM55" i="12"/>
  <c r="AM57" i="12"/>
  <c r="AM59" i="12"/>
  <c r="AM64" i="12"/>
  <c r="AM68" i="12"/>
  <c r="AM69" i="12"/>
  <c r="AM70" i="12"/>
  <c r="AM72" i="12"/>
  <c r="AM74" i="12"/>
  <c r="AM75" i="12"/>
  <c r="AM76" i="12"/>
  <c r="AM77" i="12"/>
  <c r="AM79" i="12"/>
  <c r="AM80" i="12"/>
  <c r="AM82" i="12"/>
  <c r="AM85" i="12"/>
  <c r="AM88" i="12"/>
  <c r="AM89" i="12"/>
  <c r="AM90" i="12"/>
  <c r="AM91" i="12"/>
  <c r="AM93" i="12"/>
  <c r="AM95" i="12"/>
  <c r="AM96" i="12"/>
  <c r="AL98" i="12"/>
  <c r="AM98" i="12"/>
  <c r="AL99" i="12"/>
  <c r="AM99" i="12"/>
  <c r="AR98" i="12"/>
  <c r="AR99" i="12"/>
  <c r="AS99" i="12"/>
  <c r="AZ98" i="12"/>
  <c r="AZ99" i="12"/>
  <c r="BA99" i="12"/>
  <c r="AT98" i="12"/>
  <c r="AT99" i="12"/>
  <c r="AU99" i="12"/>
  <c r="AX98" i="12"/>
  <c r="AX99" i="12"/>
  <c r="AY99" i="12"/>
  <c r="AV98" i="12"/>
  <c r="AV99" i="12"/>
  <c r="AW99" i="12"/>
  <c r="AP98" i="12"/>
  <c r="AP99" i="12"/>
  <c r="AQ99" i="12"/>
  <c r="AH98" i="12"/>
  <c r="AH99" i="12"/>
  <c r="AI99" i="12"/>
  <c r="AF98" i="12"/>
  <c r="AF99" i="12"/>
  <c r="AG99" i="12"/>
  <c r="AJ98" i="12"/>
  <c r="AJ99" i="12"/>
  <c r="AK99" i="12"/>
  <c r="AB98" i="12"/>
  <c r="AB99" i="12"/>
  <c r="AC99" i="12"/>
  <c r="Z98" i="12"/>
  <c r="Z99" i="12"/>
  <c r="AA99" i="12"/>
  <c r="X98" i="12"/>
  <c r="X99" i="12"/>
  <c r="Y99" i="12"/>
  <c r="AN98" i="12"/>
  <c r="AN99" i="12"/>
  <c r="AO99" i="12"/>
  <c r="AD98" i="12"/>
  <c r="AD99" i="12"/>
  <c r="AE99" i="12"/>
  <c r="P98" i="12"/>
  <c r="P99" i="12"/>
  <c r="Q99" i="12"/>
  <c r="R98" i="12"/>
  <c r="R99" i="12"/>
  <c r="S99" i="12"/>
  <c r="T98" i="12"/>
  <c r="T99" i="12"/>
  <c r="U99" i="12"/>
  <c r="N98" i="12"/>
  <c r="N99" i="12"/>
  <c r="O99" i="12"/>
  <c r="V98" i="12"/>
  <c r="V99" i="12"/>
  <c r="W99" i="12"/>
  <c r="L98" i="12"/>
  <c r="L99" i="12"/>
  <c r="M99" i="12"/>
  <c r="AS98" i="12"/>
  <c r="BA98" i="12"/>
  <c r="AU98" i="12"/>
  <c r="AY98" i="12"/>
  <c r="AW98" i="12"/>
  <c r="AQ98" i="12"/>
  <c r="AI98" i="12"/>
  <c r="AG98" i="12"/>
  <c r="AK98" i="12"/>
  <c r="AC98" i="12"/>
  <c r="AA98" i="12"/>
  <c r="Y98" i="12"/>
  <c r="AO98" i="12"/>
  <c r="AE98" i="12"/>
  <c r="Q98" i="12"/>
  <c r="S98" i="12"/>
  <c r="U98" i="12"/>
  <c r="O98" i="12"/>
  <c r="W98" i="12"/>
  <c r="M98" i="12"/>
  <c r="AS96" i="12"/>
  <c r="BA96" i="12"/>
  <c r="AU96" i="12"/>
  <c r="AY96" i="12"/>
  <c r="AW96" i="12"/>
  <c r="AQ96" i="12"/>
  <c r="AI96" i="12"/>
  <c r="AG96" i="12"/>
  <c r="AK96" i="12"/>
  <c r="AC96" i="12"/>
  <c r="AA96" i="12"/>
  <c r="Y96" i="12"/>
  <c r="AO96" i="12"/>
  <c r="AE96" i="12"/>
  <c r="Q96" i="12"/>
  <c r="S96" i="12"/>
  <c r="U96" i="12"/>
  <c r="O96" i="12"/>
  <c r="W96" i="12"/>
  <c r="M96" i="12"/>
  <c r="AS95" i="12"/>
  <c r="BA95" i="12"/>
  <c r="AU95" i="12"/>
  <c r="AY95" i="12"/>
  <c r="AW95" i="12"/>
  <c r="AQ95" i="12"/>
  <c r="AI95" i="12"/>
  <c r="AG95" i="12"/>
  <c r="AK95" i="12"/>
  <c r="AC95" i="12"/>
  <c r="AA95" i="12"/>
  <c r="Y95" i="12"/>
  <c r="AO95" i="12"/>
  <c r="AE95" i="12"/>
  <c r="Q95" i="12"/>
  <c r="S95" i="12"/>
  <c r="U95" i="12"/>
  <c r="O95" i="12"/>
  <c r="W95" i="12"/>
  <c r="M95" i="12"/>
  <c r="AS93" i="12"/>
  <c r="BA93" i="12"/>
  <c r="AU93" i="12"/>
  <c r="AY93" i="12"/>
  <c r="AW93" i="12"/>
  <c r="AQ93" i="12"/>
  <c r="AI93" i="12"/>
  <c r="AG93" i="12"/>
  <c r="AK93" i="12"/>
  <c r="AC93" i="12"/>
  <c r="AA93" i="12"/>
  <c r="Y93" i="12"/>
  <c r="AO93" i="12"/>
  <c r="AE93" i="12"/>
  <c r="Q93" i="12"/>
  <c r="S93" i="12"/>
  <c r="U93" i="12"/>
  <c r="O93" i="12"/>
  <c r="W93" i="12"/>
  <c r="M93" i="12"/>
  <c r="AS91" i="12"/>
  <c r="BA91" i="12"/>
  <c r="AU91" i="12"/>
  <c r="AY91" i="12"/>
  <c r="AW91" i="12"/>
  <c r="AQ91" i="12"/>
  <c r="AI91" i="12"/>
  <c r="AG91" i="12"/>
  <c r="AK91" i="12"/>
  <c r="AC91" i="12"/>
  <c r="AA91" i="12"/>
  <c r="Y91" i="12"/>
  <c r="AO91" i="12"/>
  <c r="AE91" i="12"/>
  <c r="Q91" i="12"/>
  <c r="S91" i="12"/>
  <c r="U91" i="12"/>
  <c r="O91" i="12"/>
  <c r="W91" i="12"/>
  <c r="M91" i="12"/>
  <c r="AS90" i="12"/>
  <c r="BA90" i="12"/>
  <c r="AU90" i="12"/>
  <c r="AY90" i="12"/>
  <c r="AW90" i="12"/>
  <c r="AQ90" i="12"/>
  <c r="AI90" i="12"/>
  <c r="AG90" i="12"/>
  <c r="AK90" i="12"/>
  <c r="AC90" i="12"/>
  <c r="Y90" i="12"/>
  <c r="AO90" i="12"/>
  <c r="AE90" i="12"/>
  <c r="Q90" i="12"/>
  <c r="S90" i="12"/>
  <c r="U90" i="12"/>
  <c r="O90" i="12"/>
  <c r="W90" i="12"/>
  <c r="M90" i="12"/>
  <c r="AS89" i="12"/>
  <c r="BA89" i="12"/>
  <c r="AU89" i="12"/>
  <c r="AY89" i="12"/>
  <c r="AW89" i="12"/>
  <c r="AQ89" i="12"/>
  <c r="AI89" i="12"/>
  <c r="AG89" i="12"/>
  <c r="AK89" i="12"/>
  <c r="AC89" i="12"/>
  <c r="AA89" i="12"/>
  <c r="Y89" i="12"/>
  <c r="AO89" i="12"/>
  <c r="AE89" i="12"/>
  <c r="Q89" i="12"/>
  <c r="S89" i="12"/>
  <c r="U89" i="12"/>
  <c r="O89" i="12"/>
  <c r="W89" i="12"/>
  <c r="M89" i="12"/>
  <c r="AS88" i="12"/>
  <c r="BA88" i="12"/>
  <c r="AU88" i="12"/>
  <c r="AY88" i="12"/>
  <c r="AW88" i="12"/>
  <c r="AQ88" i="12"/>
  <c r="AI88" i="12"/>
  <c r="AG88" i="12"/>
  <c r="AK88" i="12"/>
  <c r="AC88" i="12"/>
  <c r="AA88" i="12"/>
  <c r="Y88" i="12"/>
  <c r="AO88" i="12"/>
  <c r="AE88" i="12"/>
  <c r="Q88" i="12"/>
  <c r="S88" i="12"/>
  <c r="U88" i="12"/>
  <c r="O88" i="12"/>
  <c r="W88" i="12"/>
  <c r="M88" i="12"/>
  <c r="AS85" i="12"/>
  <c r="BA85" i="12"/>
  <c r="AU85" i="12"/>
  <c r="AY85" i="12"/>
  <c r="AW85" i="12"/>
  <c r="AQ85" i="12"/>
  <c r="AI85" i="12"/>
  <c r="AG85" i="12"/>
  <c r="AK85" i="12"/>
  <c r="AC85" i="12"/>
  <c r="AA85" i="12"/>
  <c r="Y85" i="12"/>
  <c r="AO85" i="12"/>
  <c r="AE85" i="12"/>
  <c r="Q85" i="12"/>
  <c r="S85" i="12"/>
  <c r="U85" i="12"/>
  <c r="O85" i="12"/>
  <c r="W85" i="12"/>
  <c r="M85" i="12"/>
  <c r="AS82" i="12"/>
  <c r="BA82" i="12"/>
  <c r="AU82" i="12"/>
  <c r="AY82" i="12"/>
  <c r="AW82" i="12"/>
  <c r="AQ82" i="12"/>
  <c r="AI82" i="12"/>
  <c r="AG82" i="12"/>
  <c r="AK82" i="12"/>
  <c r="AC82" i="12"/>
  <c r="AA82" i="12"/>
  <c r="Y82" i="12"/>
  <c r="AO82" i="12"/>
  <c r="AE82" i="12"/>
  <c r="Q82" i="12"/>
  <c r="S82" i="12"/>
  <c r="U82" i="12"/>
  <c r="O82" i="12"/>
  <c r="W82" i="12"/>
  <c r="M82" i="12"/>
  <c r="AS80" i="12"/>
  <c r="BA80" i="12"/>
  <c r="AU80" i="12"/>
  <c r="AY80" i="12"/>
  <c r="AW80" i="12"/>
  <c r="AQ80" i="12"/>
  <c r="AI80" i="12"/>
  <c r="AG80" i="12"/>
  <c r="AK80" i="12"/>
  <c r="AC80" i="12"/>
  <c r="AA80" i="12"/>
  <c r="Y80" i="12"/>
  <c r="AO80" i="12"/>
  <c r="AE80" i="12"/>
  <c r="Q80" i="12"/>
  <c r="S80" i="12"/>
  <c r="U80" i="12"/>
  <c r="O80" i="12"/>
  <c r="W80" i="12"/>
  <c r="M80" i="12"/>
  <c r="AS79" i="12"/>
  <c r="BA79" i="12"/>
  <c r="AU79" i="12"/>
  <c r="AY79" i="12"/>
  <c r="AW79" i="12"/>
  <c r="AQ79" i="12"/>
  <c r="AI79" i="12"/>
  <c r="AG79" i="12"/>
  <c r="AK79" i="12"/>
  <c r="AC79" i="12"/>
  <c r="AA79" i="12"/>
  <c r="Y79" i="12"/>
  <c r="AO79" i="12"/>
  <c r="AE79" i="12"/>
  <c r="Q79" i="12"/>
  <c r="S79" i="12"/>
  <c r="U79" i="12"/>
  <c r="O79" i="12"/>
  <c r="W79" i="12"/>
  <c r="M79" i="12"/>
  <c r="AS77" i="12"/>
  <c r="BA77" i="12"/>
  <c r="AU77" i="12"/>
  <c r="AY77" i="12"/>
  <c r="AW77" i="12"/>
  <c r="AQ77" i="12"/>
  <c r="AI77" i="12"/>
  <c r="AG77" i="12"/>
  <c r="AK77" i="12"/>
  <c r="AC77" i="12"/>
  <c r="AA77" i="12"/>
  <c r="Y77" i="12"/>
  <c r="AO77" i="12"/>
  <c r="AE77" i="12"/>
  <c r="Q77" i="12"/>
  <c r="S77" i="12"/>
  <c r="U77" i="12"/>
  <c r="O77" i="12"/>
  <c r="W77" i="12"/>
  <c r="M77" i="12"/>
  <c r="AS76" i="12"/>
  <c r="BA76" i="12"/>
  <c r="AU76" i="12"/>
  <c r="AY76" i="12"/>
  <c r="AW76" i="12"/>
  <c r="AQ76" i="12"/>
  <c r="AI76" i="12"/>
  <c r="AG76" i="12"/>
  <c r="AK76" i="12"/>
  <c r="AC76" i="12"/>
  <c r="AA76" i="12"/>
  <c r="Y76" i="12"/>
  <c r="AO76" i="12"/>
  <c r="AE76" i="12"/>
  <c r="Q76" i="12"/>
  <c r="S76" i="12"/>
  <c r="U76" i="12"/>
  <c r="O76" i="12"/>
  <c r="W76" i="12"/>
  <c r="M76" i="12"/>
  <c r="AS75" i="12"/>
  <c r="BA75" i="12"/>
  <c r="AU75" i="12"/>
  <c r="AY75" i="12"/>
  <c r="AW75" i="12"/>
  <c r="AQ75" i="12"/>
  <c r="AI75" i="12"/>
  <c r="AG75" i="12"/>
  <c r="AK75" i="12"/>
  <c r="AC75" i="12"/>
  <c r="AA75" i="12"/>
  <c r="Y75" i="12"/>
  <c r="AO75" i="12"/>
  <c r="AE75" i="12"/>
  <c r="Q75" i="12"/>
  <c r="S75" i="12"/>
  <c r="U75" i="12"/>
  <c r="O75" i="12"/>
  <c r="W75" i="12"/>
  <c r="M75" i="12"/>
  <c r="AS74" i="12"/>
  <c r="BA74" i="12"/>
  <c r="AU74" i="12"/>
  <c r="AY74" i="12"/>
  <c r="AW74" i="12"/>
  <c r="AQ74" i="12"/>
  <c r="AI74" i="12"/>
  <c r="AG74" i="12"/>
  <c r="AK74" i="12"/>
  <c r="AC74" i="12"/>
  <c r="AA74" i="12"/>
  <c r="Y74" i="12"/>
  <c r="AO74" i="12"/>
  <c r="AE74" i="12"/>
  <c r="Q74" i="12"/>
  <c r="S74" i="12"/>
  <c r="U74" i="12"/>
  <c r="O74" i="12"/>
  <c r="W74" i="12"/>
  <c r="M74" i="12"/>
  <c r="AS72" i="12"/>
  <c r="BA72" i="12"/>
  <c r="AU72" i="12"/>
  <c r="AY72" i="12"/>
  <c r="AW72" i="12"/>
  <c r="AQ72" i="12"/>
  <c r="AI72" i="12"/>
  <c r="AG72" i="12"/>
  <c r="AK72" i="12"/>
  <c r="AC72" i="12"/>
  <c r="AA72" i="12"/>
  <c r="Y72" i="12"/>
  <c r="AO72" i="12"/>
  <c r="AE72" i="12"/>
  <c r="Q72" i="12"/>
  <c r="S72" i="12"/>
  <c r="U72" i="12"/>
  <c r="O72" i="12"/>
  <c r="W72" i="12"/>
  <c r="M72" i="12"/>
  <c r="AS70" i="12"/>
  <c r="BA70" i="12"/>
  <c r="AU70" i="12"/>
  <c r="AY70" i="12"/>
  <c r="AW70" i="12"/>
  <c r="AQ70" i="12"/>
  <c r="AI70" i="12"/>
  <c r="AG70" i="12"/>
  <c r="AK70" i="12"/>
  <c r="AC70" i="12"/>
  <c r="AA70" i="12"/>
  <c r="Y70" i="12"/>
  <c r="AO70" i="12"/>
  <c r="AE70" i="12"/>
  <c r="Q70" i="12"/>
  <c r="S70" i="12"/>
  <c r="U70" i="12"/>
  <c r="O70" i="12"/>
  <c r="W70" i="12"/>
  <c r="M70" i="12"/>
  <c r="AS69" i="12"/>
  <c r="BA69" i="12"/>
  <c r="AU69" i="12"/>
  <c r="AY69" i="12"/>
  <c r="AW69" i="12"/>
  <c r="AQ69" i="12"/>
  <c r="AI69" i="12"/>
  <c r="AG69" i="12"/>
  <c r="AK69" i="12"/>
  <c r="AC69" i="12"/>
  <c r="AA69" i="12"/>
  <c r="Y69" i="12"/>
  <c r="AO69" i="12"/>
  <c r="AE69" i="12"/>
  <c r="Q69" i="12"/>
  <c r="S69" i="12"/>
  <c r="U69" i="12"/>
  <c r="O69" i="12"/>
  <c r="W69" i="12"/>
  <c r="M69" i="12"/>
  <c r="AS68" i="12"/>
  <c r="BA68" i="12"/>
  <c r="AU68" i="12"/>
  <c r="AY68" i="12"/>
  <c r="AW68" i="12"/>
  <c r="AQ68" i="12"/>
  <c r="AI68" i="12"/>
  <c r="AG68" i="12"/>
  <c r="AK68" i="12"/>
  <c r="AC68" i="12"/>
  <c r="AA68" i="12"/>
  <c r="Y68" i="12"/>
  <c r="AO68" i="12"/>
  <c r="AE68" i="12"/>
  <c r="S68" i="12"/>
  <c r="U68" i="12"/>
  <c r="O68" i="12"/>
  <c r="W68" i="12"/>
  <c r="M68" i="12"/>
  <c r="AS64" i="12"/>
  <c r="BA64" i="12"/>
  <c r="AU64" i="12"/>
  <c r="AY64" i="12"/>
  <c r="AW64" i="12"/>
  <c r="AQ64" i="12"/>
  <c r="AI64" i="12"/>
  <c r="AG64" i="12"/>
  <c r="AK64" i="12"/>
  <c r="AC64" i="12"/>
  <c r="AA64" i="12"/>
  <c r="Y64" i="12"/>
  <c r="AO64" i="12"/>
  <c r="AE64" i="12"/>
  <c r="Q64" i="12"/>
  <c r="S64" i="12"/>
  <c r="U64" i="12"/>
  <c r="O64" i="12"/>
  <c r="W64" i="12"/>
  <c r="M64" i="12"/>
  <c r="AS59" i="12"/>
  <c r="BA59" i="12"/>
  <c r="AU59" i="12"/>
  <c r="AY59" i="12"/>
  <c r="AW59" i="12"/>
  <c r="AQ59" i="12"/>
  <c r="AI59" i="12"/>
  <c r="AG59" i="12"/>
  <c r="AK59" i="12"/>
  <c r="AC59" i="12"/>
  <c r="AA59" i="12"/>
  <c r="Y59" i="12"/>
  <c r="AO59" i="12"/>
  <c r="AE59" i="12"/>
  <c r="Q59" i="12"/>
  <c r="S59" i="12"/>
  <c r="U59" i="12"/>
  <c r="O59" i="12"/>
  <c r="W59" i="12"/>
  <c r="M59" i="12"/>
  <c r="AS57" i="12"/>
  <c r="BA57" i="12"/>
  <c r="AU57" i="12"/>
  <c r="AY57" i="12"/>
  <c r="AW57" i="12"/>
  <c r="AQ57" i="12"/>
  <c r="AI57" i="12"/>
  <c r="AG57" i="12"/>
  <c r="AK57" i="12"/>
  <c r="AC57" i="12"/>
  <c r="AA57" i="12"/>
  <c r="Y57" i="12"/>
  <c r="AO57" i="12"/>
  <c r="AE57" i="12"/>
  <c r="Q57" i="12"/>
  <c r="S57" i="12"/>
  <c r="U57" i="12"/>
  <c r="O57" i="12"/>
  <c r="W57" i="12"/>
  <c r="M57" i="12"/>
  <c r="AS55" i="12"/>
  <c r="BA55" i="12"/>
  <c r="AU55" i="12"/>
  <c r="AY55" i="12"/>
  <c r="AW55" i="12"/>
  <c r="AQ55" i="12"/>
  <c r="AI55" i="12"/>
  <c r="AG55" i="12"/>
  <c r="AK55" i="12"/>
  <c r="AC55" i="12"/>
  <c r="AA55" i="12"/>
  <c r="Y55" i="12"/>
  <c r="AO55" i="12"/>
  <c r="AE55" i="12"/>
  <c r="Q55" i="12"/>
  <c r="S55" i="12"/>
  <c r="U55" i="12"/>
  <c r="O55" i="12"/>
  <c r="W55" i="12"/>
  <c r="M55" i="12"/>
  <c r="AS54" i="12"/>
  <c r="BA54" i="12"/>
  <c r="AU54" i="12"/>
  <c r="AY54" i="12"/>
  <c r="AW54" i="12"/>
  <c r="AQ54" i="12"/>
  <c r="AI54" i="12"/>
  <c r="AG54" i="12"/>
  <c r="AK54" i="12"/>
  <c r="AC54" i="12"/>
  <c r="AA54" i="12"/>
  <c r="Y54" i="12"/>
  <c r="AO54" i="12"/>
  <c r="AE54" i="12"/>
  <c r="Q54" i="12"/>
  <c r="S54" i="12"/>
  <c r="U54" i="12"/>
  <c r="O54" i="12"/>
  <c r="W54" i="12"/>
  <c r="M54" i="12"/>
  <c r="AS53" i="12"/>
  <c r="BA53" i="12"/>
  <c r="AU53" i="12"/>
  <c r="AY53" i="12"/>
  <c r="AW53" i="12"/>
  <c r="AQ53" i="12"/>
  <c r="AI53" i="12"/>
  <c r="AG53" i="12"/>
  <c r="AK53" i="12"/>
  <c r="AC53" i="12"/>
  <c r="AA53" i="12"/>
  <c r="Y53" i="12"/>
  <c r="AO53" i="12"/>
  <c r="AE53" i="12"/>
  <c r="Q53" i="12"/>
  <c r="S53" i="12"/>
  <c r="U53" i="12"/>
  <c r="O53" i="12"/>
  <c r="W53" i="12"/>
  <c r="M53" i="12"/>
  <c r="AS50" i="12"/>
  <c r="BA50" i="12"/>
  <c r="AU50" i="12"/>
  <c r="AY50" i="12"/>
  <c r="AW50" i="12"/>
  <c r="AQ50" i="12"/>
  <c r="AI50" i="12"/>
  <c r="AG50" i="12"/>
  <c r="AK50" i="12"/>
  <c r="AC50" i="12"/>
  <c r="AA50" i="12"/>
  <c r="Y50" i="12"/>
  <c r="AO50" i="12"/>
  <c r="AE50" i="12"/>
  <c r="Q50" i="12"/>
  <c r="S50" i="12"/>
  <c r="U50" i="12"/>
  <c r="O50" i="12"/>
  <c r="W50" i="12"/>
  <c r="M50" i="12"/>
  <c r="AS49" i="12"/>
  <c r="BA49" i="12"/>
  <c r="AU49" i="12"/>
  <c r="AY49" i="12"/>
  <c r="AW49" i="12"/>
  <c r="AQ49" i="12"/>
  <c r="AI49" i="12"/>
  <c r="AG49" i="12"/>
  <c r="AK49" i="12"/>
  <c r="AC49" i="12"/>
  <c r="AA49" i="12"/>
  <c r="Y49" i="12"/>
  <c r="AO49" i="12"/>
  <c r="AE49" i="12"/>
  <c r="Q49" i="12"/>
  <c r="S49" i="12"/>
  <c r="U49" i="12"/>
  <c r="O49" i="12"/>
  <c r="W49" i="12"/>
  <c r="M49" i="12"/>
  <c r="AS48" i="12"/>
  <c r="BA48" i="12"/>
  <c r="AU48" i="12"/>
  <c r="AY48" i="12"/>
  <c r="AW48" i="12"/>
  <c r="AQ48" i="12"/>
  <c r="AI48" i="12"/>
  <c r="AG48" i="12"/>
  <c r="AK48" i="12"/>
  <c r="AC48" i="12"/>
  <c r="AA48" i="12"/>
  <c r="Y48" i="12"/>
  <c r="AO48" i="12"/>
  <c r="AE48" i="12"/>
  <c r="Q48" i="12"/>
  <c r="S48" i="12"/>
  <c r="U48" i="12"/>
  <c r="O48" i="12"/>
  <c r="W48" i="12"/>
  <c r="M48" i="12"/>
  <c r="AS47" i="12"/>
  <c r="BA47" i="12"/>
  <c r="AU47" i="12"/>
  <c r="AY47" i="12"/>
  <c r="AW47" i="12"/>
  <c r="AQ47" i="12"/>
  <c r="AI47" i="12"/>
  <c r="AG47" i="12"/>
  <c r="AK47" i="12"/>
  <c r="AC47" i="12"/>
  <c r="AA47" i="12"/>
  <c r="Y47" i="12"/>
  <c r="AO47" i="12"/>
  <c r="AE47" i="12"/>
  <c r="Q47" i="12"/>
  <c r="S47" i="12"/>
  <c r="U47" i="12"/>
  <c r="O47" i="12"/>
  <c r="W47" i="12"/>
  <c r="M47" i="12"/>
  <c r="AS45" i="12"/>
  <c r="BA45" i="12"/>
  <c r="AU45" i="12"/>
  <c r="AY45" i="12"/>
  <c r="AW45" i="12"/>
  <c r="AQ45" i="12"/>
  <c r="AI45" i="12"/>
  <c r="AG45" i="12"/>
  <c r="AK45" i="12"/>
  <c r="AC45" i="12"/>
  <c r="AA45" i="12"/>
  <c r="Y45" i="12"/>
  <c r="AO45" i="12"/>
  <c r="AE45" i="12"/>
  <c r="Q45" i="12"/>
  <c r="S45" i="12"/>
  <c r="U45" i="12"/>
  <c r="O45" i="12"/>
  <c r="W45" i="12"/>
  <c r="M45" i="12"/>
  <c r="AS44" i="12"/>
  <c r="BA44" i="12"/>
  <c r="AU44" i="12"/>
  <c r="AY44" i="12"/>
  <c r="AW44" i="12"/>
  <c r="AQ44" i="12"/>
  <c r="AI44" i="12"/>
  <c r="AG44" i="12"/>
  <c r="AK44" i="12"/>
  <c r="AC44" i="12"/>
  <c r="AA44" i="12"/>
  <c r="Y44" i="12"/>
  <c r="AO44" i="12"/>
  <c r="AE44" i="12"/>
  <c r="Q44" i="12"/>
  <c r="S44" i="12"/>
  <c r="U44" i="12"/>
  <c r="O44" i="12"/>
  <c r="W44" i="12"/>
  <c r="M44" i="12"/>
  <c r="AS43" i="12"/>
  <c r="BA43" i="12"/>
  <c r="AU43" i="12"/>
  <c r="AY43" i="12"/>
  <c r="AW43" i="12"/>
  <c r="AQ43" i="12"/>
  <c r="AI43" i="12"/>
  <c r="AG43" i="12"/>
  <c r="AK43" i="12"/>
  <c r="AC43" i="12"/>
  <c r="AA43" i="12"/>
  <c r="Y43" i="12"/>
  <c r="AO43" i="12"/>
  <c r="AE43" i="12"/>
  <c r="Q43" i="12"/>
  <c r="S43" i="12"/>
  <c r="U43" i="12"/>
  <c r="O43" i="12"/>
  <c r="W43" i="12"/>
  <c r="M43" i="12"/>
  <c r="AS42" i="12"/>
  <c r="BA42" i="12"/>
  <c r="AU42" i="12"/>
  <c r="AY42" i="12"/>
  <c r="AW42" i="12"/>
  <c r="AQ42" i="12"/>
  <c r="AI42" i="12"/>
  <c r="AG42" i="12"/>
  <c r="AK42" i="12"/>
  <c r="AC42" i="12"/>
  <c r="AA42" i="12"/>
  <c r="Y42" i="12"/>
  <c r="AO42" i="12"/>
  <c r="AE42" i="12"/>
  <c r="Q42" i="12"/>
  <c r="S42" i="12"/>
  <c r="U42" i="12"/>
  <c r="O42" i="12"/>
  <c r="W42" i="12"/>
  <c r="M42" i="12"/>
  <c r="AS41" i="12"/>
  <c r="BA41" i="12"/>
  <c r="AU41" i="12"/>
  <c r="AY41" i="12"/>
  <c r="AW41" i="12"/>
  <c r="AQ41" i="12"/>
  <c r="AI41" i="12"/>
  <c r="AG41" i="12"/>
  <c r="AK41" i="12"/>
  <c r="AC41" i="12"/>
  <c r="AA41" i="12"/>
  <c r="Y41" i="12"/>
  <c r="AO41" i="12"/>
  <c r="AE41" i="12"/>
  <c r="Q41" i="12"/>
  <c r="S41" i="12"/>
  <c r="U41" i="12"/>
  <c r="O41" i="12"/>
  <c r="W41" i="12"/>
  <c r="M41" i="12"/>
  <c r="AS40" i="12"/>
  <c r="BA40" i="12"/>
  <c r="AU40" i="12"/>
  <c r="AY40" i="12"/>
  <c r="AW40" i="12"/>
  <c r="AQ40" i="12"/>
  <c r="AI40" i="12"/>
  <c r="AG40" i="12"/>
  <c r="AK40" i="12"/>
  <c r="AC40" i="12"/>
  <c r="AA40" i="12"/>
  <c r="Y40" i="12"/>
  <c r="AO40" i="12"/>
  <c r="AE40" i="12"/>
  <c r="Q40" i="12"/>
  <c r="S40" i="12"/>
  <c r="U40" i="12"/>
  <c r="O40" i="12"/>
  <c r="W40" i="12"/>
  <c r="M40" i="12"/>
  <c r="AS39" i="12"/>
  <c r="BA39" i="12"/>
  <c r="AU39" i="12"/>
  <c r="AY39" i="12"/>
  <c r="AW39" i="12"/>
  <c r="AQ39" i="12"/>
  <c r="AI39" i="12"/>
  <c r="AG39" i="12"/>
  <c r="AK39" i="12"/>
  <c r="AC39" i="12"/>
  <c r="AA39" i="12"/>
  <c r="Y39" i="12"/>
  <c r="AO39" i="12"/>
  <c r="AE39" i="12"/>
  <c r="Q39" i="12"/>
  <c r="S39" i="12"/>
  <c r="U39" i="12"/>
  <c r="O39" i="12"/>
  <c r="W39" i="12"/>
  <c r="M39" i="12"/>
  <c r="AS37" i="12"/>
  <c r="BA37" i="12"/>
  <c r="AU37" i="12"/>
  <c r="AY37" i="12"/>
  <c r="AW37" i="12"/>
  <c r="AQ37" i="12"/>
  <c r="AI37" i="12"/>
  <c r="AG37" i="12"/>
  <c r="AK37" i="12"/>
  <c r="AC37" i="12"/>
  <c r="AA37" i="12"/>
  <c r="Y37" i="12"/>
  <c r="AO37" i="12"/>
  <c r="AE37" i="12"/>
  <c r="Q37" i="12"/>
  <c r="S37" i="12"/>
  <c r="U37" i="12"/>
  <c r="O37" i="12"/>
  <c r="W37" i="12"/>
  <c r="M37" i="12"/>
  <c r="AS36" i="12"/>
  <c r="BA36" i="12"/>
  <c r="AU36" i="12"/>
  <c r="AY36" i="12"/>
  <c r="AW36" i="12"/>
  <c r="AQ36" i="12"/>
  <c r="AI36" i="12"/>
  <c r="AG36" i="12"/>
  <c r="AK36" i="12"/>
  <c r="AC36" i="12"/>
  <c r="AA36" i="12"/>
  <c r="Y36" i="12"/>
  <c r="AO36" i="12"/>
  <c r="AE36" i="12"/>
  <c r="Q36" i="12"/>
  <c r="S36" i="12"/>
  <c r="U36" i="12"/>
  <c r="O36" i="12"/>
  <c r="W36" i="12"/>
  <c r="M36" i="12"/>
  <c r="AS32" i="12"/>
  <c r="BA32" i="12"/>
  <c r="AU32" i="12"/>
  <c r="AY32" i="12"/>
  <c r="AW32" i="12"/>
  <c r="AQ32" i="12"/>
  <c r="AI32" i="12"/>
  <c r="AG32" i="12"/>
  <c r="AK32" i="12"/>
  <c r="AC32" i="12"/>
  <c r="AA32" i="12"/>
  <c r="Y32" i="12"/>
  <c r="AO32" i="12"/>
  <c r="AE32" i="12"/>
  <c r="Q32" i="12"/>
  <c r="S32" i="12"/>
  <c r="U32" i="12"/>
  <c r="O32" i="12"/>
  <c r="W32" i="12"/>
  <c r="M32" i="12"/>
  <c r="AS31" i="12"/>
  <c r="BA31" i="12"/>
  <c r="AU31" i="12"/>
  <c r="AY31" i="12"/>
  <c r="AW31" i="12"/>
  <c r="AQ31" i="12"/>
  <c r="AI31" i="12"/>
  <c r="AG31" i="12"/>
  <c r="AK31" i="12"/>
  <c r="AC31" i="12"/>
  <c r="AA31" i="12"/>
  <c r="Y31" i="12"/>
  <c r="AO31" i="12"/>
  <c r="AE31" i="12"/>
  <c r="Q31" i="12"/>
  <c r="S31" i="12"/>
  <c r="U31" i="12"/>
  <c r="O31" i="12"/>
  <c r="W31" i="12"/>
  <c r="M31" i="12"/>
  <c r="AS30" i="12"/>
  <c r="BA30" i="12"/>
  <c r="AU30" i="12"/>
  <c r="AY30" i="12"/>
  <c r="AW30" i="12"/>
  <c r="AQ30" i="12"/>
  <c r="AI30" i="12"/>
  <c r="AG30" i="12"/>
  <c r="AK30" i="12"/>
  <c r="AC30" i="12"/>
  <c r="AA30" i="12"/>
  <c r="Y30" i="12"/>
  <c r="AO30" i="12"/>
  <c r="AE30" i="12"/>
  <c r="Q30" i="12"/>
  <c r="S30" i="12"/>
  <c r="U30" i="12"/>
  <c r="O30" i="12"/>
  <c r="W30" i="12"/>
  <c r="M30" i="12"/>
  <c r="AS28" i="12"/>
  <c r="BA28" i="12"/>
  <c r="AU28" i="12"/>
  <c r="AY28" i="12"/>
  <c r="AW28" i="12"/>
  <c r="AQ28" i="12"/>
  <c r="AI28" i="12"/>
  <c r="AG28" i="12"/>
  <c r="AK28" i="12"/>
  <c r="AC28" i="12"/>
  <c r="AA28" i="12"/>
  <c r="Y28" i="12"/>
  <c r="AO28" i="12"/>
  <c r="AE28" i="12"/>
  <c r="Q28" i="12"/>
  <c r="S28" i="12"/>
  <c r="U28" i="12"/>
  <c r="O28" i="12"/>
  <c r="W28" i="12"/>
  <c r="M28" i="12"/>
  <c r="AS26" i="12"/>
  <c r="BA26" i="12"/>
  <c r="AU26" i="12"/>
  <c r="AY26" i="12"/>
  <c r="AW26" i="12"/>
  <c r="AQ26" i="12"/>
  <c r="AI26" i="12"/>
  <c r="AG26" i="12"/>
  <c r="AK26" i="12"/>
  <c r="AC26" i="12"/>
  <c r="AA26" i="12"/>
  <c r="Y26" i="12"/>
  <c r="AO26" i="12"/>
  <c r="AE26" i="12"/>
  <c r="Q26" i="12"/>
  <c r="S26" i="12"/>
  <c r="U26" i="12"/>
  <c r="O26" i="12"/>
  <c r="W26" i="12"/>
  <c r="M26" i="12"/>
  <c r="AS24" i="12"/>
  <c r="BA24" i="12"/>
  <c r="AU24" i="12"/>
  <c r="AY24" i="12"/>
  <c r="AW24" i="12"/>
  <c r="AQ24" i="12"/>
  <c r="AI24" i="12"/>
  <c r="AG24" i="12"/>
  <c r="AK24" i="12"/>
  <c r="AC24" i="12"/>
  <c r="AA24" i="12"/>
  <c r="Y24" i="12"/>
  <c r="AO24" i="12"/>
  <c r="AE24" i="12"/>
  <c r="Q24" i="12"/>
  <c r="S24" i="12"/>
  <c r="U24" i="12"/>
  <c r="O24" i="12"/>
  <c r="W24" i="12"/>
  <c r="M24" i="12"/>
  <c r="AS23" i="12"/>
  <c r="BA23" i="12"/>
  <c r="AU23" i="12"/>
  <c r="AY23" i="12"/>
  <c r="AW23" i="12"/>
  <c r="AQ23" i="12"/>
  <c r="AI23" i="12"/>
  <c r="AG23" i="12"/>
  <c r="AK23" i="12"/>
  <c r="AC23" i="12"/>
  <c r="AA23" i="12"/>
  <c r="Y23" i="12"/>
  <c r="AO23" i="12"/>
  <c r="AE23" i="12"/>
  <c r="Q23" i="12"/>
  <c r="S23" i="12"/>
  <c r="U23" i="12"/>
  <c r="O23" i="12"/>
  <c r="W23" i="12"/>
  <c r="M23" i="12"/>
  <c r="AS21" i="12"/>
  <c r="BA21" i="12"/>
  <c r="AU21" i="12"/>
  <c r="AY21" i="12"/>
  <c r="AW21" i="12"/>
  <c r="AQ21" i="12"/>
  <c r="AI21" i="12"/>
  <c r="AG21" i="12"/>
  <c r="AK21" i="12"/>
  <c r="AC21" i="12"/>
  <c r="AA21" i="12"/>
  <c r="Y21" i="12"/>
  <c r="AO21" i="12"/>
  <c r="AE21" i="12"/>
  <c r="Q21" i="12"/>
  <c r="S21" i="12"/>
  <c r="U21" i="12"/>
  <c r="O21" i="12"/>
  <c r="W21" i="12"/>
  <c r="M21" i="12"/>
  <c r="AS20" i="12"/>
  <c r="BA20" i="12"/>
  <c r="AU20" i="12"/>
  <c r="AY20" i="12"/>
  <c r="AW20" i="12"/>
  <c r="AQ20" i="12"/>
  <c r="AI20" i="12"/>
  <c r="AG20" i="12"/>
  <c r="AK20" i="12"/>
  <c r="AC20" i="12"/>
  <c r="AA20" i="12"/>
  <c r="Y20" i="12"/>
  <c r="AO20" i="12"/>
  <c r="AE20" i="12"/>
  <c r="Q20" i="12"/>
  <c r="S20" i="12"/>
  <c r="U20" i="12"/>
  <c r="O20" i="12"/>
  <c r="W20" i="12"/>
  <c r="M20" i="12"/>
  <c r="AS19" i="12"/>
  <c r="BA19" i="12"/>
  <c r="AU19" i="12"/>
  <c r="AY19" i="12"/>
  <c r="AW19" i="12"/>
  <c r="AQ19" i="12"/>
  <c r="AI19" i="12"/>
  <c r="AG19" i="12"/>
  <c r="AK19" i="12"/>
  <c r="AC19" i="12"/>
  <c r="AA19" i="12"/>
  <c r="Y19" i="12"/>
  <c r="AO19" i="12"/>
  <c r="AE19" i="12"/>
  <c r="Q19" i="12"/>
  <c r="S19" i="12"/>
  <c r="U19" i="12"/>
  <c r="O19" i="12"/>
  <c r="W19" i="12"/>
  <c r="M19" i="12"/>
  <c r="AS18" i="12"/>
  <c r="BA18" i="12"/>
  <c r="AU18" i="12"/>
  <c r="AY18" i="12"/>
  <c r="AW18" i="12"/>
  <c r="AQ18" i="12"/>
  <c r="AI18" i="12"/>
  <c r="AG18" i="12"/>
  <c r="AK18" i="12"/>
  <c r="AC18" i="12"/>
  <c r="AA18" i="12"/>
  <c r="Y18" i="12"/>
  <c r="AO18" i="12"/>
  <c r="AE18" i="12"/>
  <c r="Q18" i="12"/>
  <c r="S18" i="12"/>
  <c r="U18" i="12"/>
  <c r="O18" i="12"/>
  <c r="W18" i="12"/>
  <c r="M18" i="12"/>
  <c r="AS17" i="12"/>
  <c r="BA17" i="12"/>
  <c r="AU17" i="12"/>
  <c r="AY17" i="12"/>
  <c r="AW17" i="12"/>
  <c r="AQ17" i="12"/>
  <c r="AI17" i="12"/>
  <c r="AG17" i="12"/>
  <c r="AK17" i="12"/>
  <c r="AC17" i="12"/>
  <c r="AA17" i="12"/>
  <c r="Y17" i="12"/>
  <c r="AO17" i="12"/>
  <c r="AE17" i="12"/>
  <c r="Q17" i="12"/>
  <c r="S17" i="12"/>
  <c r="U17" i="12"/>
  <c r="O17" i="12"/>
  <c r="W17" i="12"/>
  <c r="M17" i="12"/>
  <c r="AS12" i="12"/>
  <c r="BA12" i="12"/>
  <c r="AU12" i="12"/>
  <c r="AY12" i="12"/>
  <c r="AW12" i="12"/>
  <c r="AQ12" i="12"/>
  <c r="AI12" i="12"/>
  <c r="AG12" i="12"/>
  <c r="AK12" i="12"/>
  <c r="AC12" i="12"/>
  <c r="AA12" i="12"/>
  <c r="Y12" i="12"/>
  <c r="AO12" i="12"/>
  <c r="AE12" i="12"/>
  <c r="Q12" i="12"/>
  <c r="S12" i="12"/>
  <c r="U12" i="12"/>
  <c r="O12" i="12"/>
  <c r="W12" i="12"/>
  <c r="M12" i="12"/>
  <c r="AS11" i="12"/>
  <c r="BA11" i="12"/>
  <c r="AU11" i="12"/>
  <c r="AY11" i="12"/>
  <c r="AW11" i="12"/>
  <c r="AQ11" i="12"/>
  <c r="AI11" i="12"/>
  <c r="AG11" i="12"/>
  <c r="AK11" i="12"/>
  <c r="AC11" i="12"/>
  <c r="AA11" i="12"/>
  <c r="Y11" i="12"/>
  <c r="AO11" i="12"/>
  <c r="AE11" i="12"/>
  <c r="Q11" i="12"/>
  <c r="S11" i="12"/>
  <c r="U11" i="12"/>
  <c r="O11" i="12"/>
  <c r="W11" i="12"/>
  <c r="M11" i="12"/>
  <c r="AG90" i="11"/>
  <c r="AS89" i="11"/>
  <c r="U42" i="11"/>
  <c r="M26" i="11"/>
  <c r="AG26" i="11"/>
  <c r="Q26" i="11"/>
  <c r="AC26" i="11"/>
  <c r="Y26" i="11"/>
  <c r="U26" i="11"/>
  <c r="AW26" i="11"/>
  <c r="BQ26" i="11"/>
  <c r="AK26" i="11"/>
  <c r="AO26" i="11"/>
  <c r="AS26" i="11"/>
  <c r="BI26" i="11"/>
  <c r="BA26" i="11"/>
  <c r="BM26" i="11"/>
  <c r="BE26" i="11"/>
  <c r="BU26" i="11"/>
  <c r="BY26" i="11"/>
  <c r="CC26" i="11"/>
  <c r="CG26" i="11"/>
  <c r="CK26" i="11"/>
  <c r="CO26" i="11"/>
  <c r="CO96" i="11"/>
  <c r="CK96" i="11"/>
  <c r="CG96" i="11"/>
  <c r="CC96" i="11"/>
  <c r="BY96" i="11"/>
  <c r="BU96" i="11"/>
  <c r="BE96" i="11"/>
  <c r="BM96" i="11"/>
  <c r="BA96" i="11"/>
  <c r="BI96" i="11"/>
  <c r="AS96" i="11"/>
  <c r="AO96" i="11"/>
  <c r="AK96" i="11"/>
  <c r="BQ96" i="11"/>
  <c r="AW96" i="11"/>
  <c r="U96" i="11"/>
  <c r="Y96" i="11"/>
  <c r="AC96" i="11"/>
  <c r="Q96" i="11"/>
  <c r="AG96" i="11"/>
  <c r="M96" i="11"/>
  <c r="CO95" i="11"/>
  <c r="CK95" i="11"/>
  <c r="CG95" i="11"/>
  <c r="CC95" i="11"/>
  <c r="BY95" i="11"/>
  <c r="BU95" i="11"/>
  <c r="BE95" i="11"/>
  <c r="BM95" i="11"/>
  <c r="BA95" i="11"/>
  <c r="BI95" i="11"/>
  <c r="AS95" i="11"/>
  <c r="AO95" i="11"/>
  <c r="AK95" i="11"/>
  <c r="BQ95" i="11"/>
  <c r="AW95" i="11"/>
  <c r="U95" i="11"/>
  <c r="Y95" i="11"/>
  <c r="AC95" i="11"/>
  <c r="Q95" i="11"/>
  <c r="AG95" i="11"/>
  <c r="M95" i="11"/>
  <c r="CO93" i="11"/>
  <c r="CK93" i="11"/>
  <c r="CG93" i="11"/>
  <c r="CC93" i="11"/>
  <c r="BY93" i="11"/>
  <c r="BU93" i="11"/>
  <c r="BE93" i="11"/>
  <c r="BM93" i="11"/>
  <c r="BA93" i="11"/>
  <c r="BI93" i="11"/>
  <c r="AS93" i="11"/>
  <c r="AO93" i="11"/>
  <c r="AK93" i="11"/>
  <c r="BQ93" i="11"/>
  <c r="AW93" i="11"/>
  <c r="U93" i="11"/>
  <c r="Y93" i="11"/>
  <c r="AC93" i="11"/>
  <c r="Q93" i="11"/>
  <c r="AG93" i="11"/>
  <c r="M93" i="11"/>
  <c r="CO91" i="11"/>
  <c r="CK91" i="11"/>
  <c r="CG91" i="11"/>
  <c r="CC91" i="11"/>
  <c r="BY91" i="11"/>
  <c r="BU91" i="11"/>
  <c r="BE91" i="11"/>
  <c r="BM91" i="11"/>
  <c r="BA91" i="11"/>
  <c r="BI91" i="11"/>
  <c r="AS91" i="11"/>
  <c r="AO91" i="11"/>
  <c r="AK91" i="11"/>
  <c r="BQ91" i="11"/>
  <c r="AW91" i="11"/>
  <c r="U91" i="11"/>
  <c r="Y91" i="11"/>
  <c r="AC91" i="11"/>
  <c r="Q91" i="11"/>
  <c r="AG91" i="11"/>
  <c r="M91" i="11"/>
  <c r="CO90" i="11"/>
  <c r="CK90" i="11"/>
  <c r="CG90" i="11"/>
  <c r="CC90" i="11"/>
  <c r="BY90" i="11"/>
  <c r="BU90" i="11"/>
  <c r="BE90" i="11"/>
  <c r="BM90" i="11"/>
  <c r="BA90" i="11"/>
  <c r="BI90" i="11"/>
  <c r="AS90" i="11"/>
  <c r="AK90" i="11"/>
  <c r="BQ90" i="11"/>
  <c r="AW90" i="11"/>
  <c r="U90" i="11"/>
  <c r="Y90" i="11"/>
  <c r="AC90" i="11"/>
  <c r="Q90" i="11"/>
  <c r="M90" i="11"/>
  <c r="CO89" i="11"/>
  <c r="CK89" i="11"/>
  <c r="CG89" i="11"/>
  <c r="CC89" i="11"/>
  <c r="BY89" i="11"/>
  <c r="BU89" i="11"/>
  <c r="BE89" i="11"/>
  <c r="BM89" i="11"/>
  <c r="BA89" i="11"/>
  <c r="BI89" i="11"/>
  <c r="AO89" i="11"/>
  <c r="AK89" i="11"/>
  <c r="BQ89" i="11"/>
  <c r="AW89" i="11"/>
  <c r="U89" i="11"/>
  <c r="Y89" i="11"/>
  <c r="AC89" i="11"/>
  <c r="Q89" i="11"/>
  <c r="AG89" i="11"/>
  <c r="M89" i="11"/>
  <c r="CO88" i="11"/>
  <c r="CK88" i="11"/>
  <c r="CG88" i="11"/>
  <c r="CC88" i="11"/>
  <c r="BY88" i="11"/>
  <c r="BU88" i="11"/>
  <c r="BE88" i="11"/>
  <c r="BM88" i="11"/>
  <c r="BA88" i="11"/>
  <c r="BI88" i="11"/>
  <c r="AS88" i="11"/>
  <c r="AO88" i="11"/>
  <c r="AK88" i="11"/>
  <c r="BQ88" i="11"/>
  <c r="AW88" i="11"/>
  <c r="U88" i="11"/>
  <c r="Y88" i="11"/>
  <c r="AC88" i="11"/>
  <c r="Q88" i="11"/>
  <c r="AG88" i="11"/>
  <c r="M88" i="11"/>
  <c r="CO85" i="11"/>
  <c r="CK85" i="11"/>
  <c r="CG85" i="11"/>
  <c r="CC85" i="11"/>
  <c r="BY85" i="11"/>
  <c r="BU85" i="11"/>
  <c r="BE85" i="11"/>
  <c r="BM85" i="11"/>
  <c r="BA85" i="11"/>
  <c r="BI85" i="11"/>
  <c r="AS85" i="11"/>
  <c r="AO85" i="11"/>
  <c r="AK85" i="11"/>
  <c r="BQ85" i="11"/>
  <c r="AW85" i="11"/>
  <c r="U85" i="11"/>
  <c r="Y85" i="11"/>
  <c r="AC85" i="11"/>
  <c r="Q85" i="11"/>
  <c r="AG85" i="11"/>
  <c r="M85" i="11"/>
  <c r="CO82" i="11"/>
  <c r="CK82" i="11"/>
  <c r="CG82" i="11"/>
  <c r="CC82" i="11"/>
  <c r="BY82" i="11"/>
  <c r="BU82" i="11"/>
  <c r="BE82" i="11"/>
  <c r="BM82" i="11"/>
  <c r="BA82" i="11"/>
  <c r="BI82" i="11"/>
  <c r="AS82" i="11"/>
  <c r="AO82" i="11"/>
  <c r="AK82" i="11"/>
  <c r="BQ82" i="11"/>
  <c r="AW82" i="11"/>
  <c r="U82" i="11"/>
  <c r="Y82" i="11"/>
  <c r="AC82" i="11"/>
  <c r="Q82" i="11"/>
  <c r="AG82" i="11"/>
  <c r="M82" i="11"/>
  <c r="CO80" i="11"/>
  <c r="CK80" i="11"/>
  <c r="CG80" i="11"/>
  <c r="CC80" i="11"/>
  <c r="BY80" i="11"/>
  <c r="BU80" i="11"/>
  <c r="BE80" i="11"/>
  <c r="BM80" i="11"/>
  <c r="BA80" i="11"/>
  <c r="BI80" i="11"/>
  <c r="AS80" i="11"/>
  <c r="AO80" i="11"/>
  <c r="AK80" i="11"/>
  <c r="BQ80" i="11"/>
  <c r="AW80" i="11"/>
  <c r="U80" i="11"/>
  <c r="Y80" i="11"/>
  <c r="AC80" i="11"/>
  <c r="Q80" i="11"/>
  <c r="AG80" i="11"/>
  <c r="M80" i="11"/>
  <c r="CO79" i="11"/>
  <c r="CK79" i="11"/>
  <c r="CG79" i="11"/>
  <c r="CC79" i="11"/>
  <c r="BY79" i="11"/>
  <c r="BU79" i="11"/>
  <c r="BE79" i="11"/>
  <c r="BM79" i="11"/>
  <c r="BA79" i="11"/>
  <c r="BI79" i="11"/>
  <c r="AS79" i="11"/>
  <c r="AO79" i="11"/>
  <c r="AK79" i="11"/>
  <c r="BQ79" i="11"/>
  <c r="AW79" i="11"/>
  <c r="U79" i="11"/>
  <c r="Y79" i="11"/>
  <c r="AC79" i="11"/>
  <c r="Q79" i="11"/>
  <c r="AG79" i="11"/>
  <c r="M79" i="11"/>
  <c r="CO77" i="11"/>
  <c r="CK77" i="11"/>
  <c r="CG77" i="11"/>
  <c r="CC77" i="11"/>
  <c r="BY77" i="11"/>
  <c r="BU77" i="11"/>
  <c r="BE77" i="11"/>
  <c r="BM77" i="11"/>
  <c r="BA77" i="11"/>
  <c r="BI77" i="11"/>
  <c r="AS77" i="11"/>
  <c r="AO77" i="11"/>
  <c r="AK77" i="11"/>
  <c r="BQ77" i="11"/>
  <c r="AW77" i="11"/>
  <c r="U77" i="11"/>
  <c r="Y77" i="11"/>
  <c r="AC77" i="11"/>
  <c r="Q77" i="11"/>
  <c r="AG77" i="11"/>
  <c r="M77" i="11"/>
  <c r="CO76" i="11"/>
  <c r="CK76" i="11"/>
  <c r="CG76" i="11"/>
  <c r="CC76" i="11"/>
  <c r="BY76" i="11"/>
  <c r="BU76" i="11"/>
  <c r="BE76" i="11"/>
  <c r="BM76" i="11"/>
  <c r="BA76" i="11"/>
  <c r="BI76" i="11"/>
  <c r="AS76" i="11"/>
  <c r="AO76" i="11"/>
  <c r="AK76" i="11"/>
  <c r="BQ76" i="11"/>
  <c r="AW76" i="11"/>
  <c r="U76" i="11"/>
  <c r="Y76" i="11"/>
  <c r="AC76" i="11"/>
  <c r="Q76" i="11"/>
  <c r="AG76" i="11"/>
  <c r="M76" i="11"/>
  <c r="CO75" i="11"/>
  <c r="CK75" i="11"/>
  <c r="CG75" i="11"/>
  <c r="CC75" i="11"/>
  <c r="BY75" i="11"/>
  <c r="BU75" i="11"/>
  <c r="BE75" i="11"/>
  <c r="BM75" i="11"/>
  <c r="BA75" i="11"/>
  <c r="BI75" i="11"/>
  <c r="AS75" i="11"/>
  <c r="AO75" i="11"/>
  <c r="AK75" i="11"/>
  <c r="BQ75" i="11"/>
  <c r="AW75" i="11"/>
  <c r="U75" i="11"/>
  <c r="Y75" i="11"/>
  <c r="AC75" i="11"/>
  <c r="Q75" i="11"/>
  <c r="AG75" i="11"/>
  <c r="M75" i="11"/>
  <c r="CO74" i="11"/>
  <c r="CK74" i="11"/>
  <c r="CG74" i="11"/>
  <c r="CC74" i="11"/>
  <c r="BY74" i="11"/>
  <c r="BU74" i="11"/>
  <c r="BE74" i="11"/>
  <c r="BM74" i="11"/>
  <c r="BA74" i="11"/>
  <c r="BI74" i="11"/>
  <c r="AS74" i="11"/>
  <c r="AO74" i="11"/>
  <c r="AK74" i="11"/>
  <c r="BQ74" i="11"/>
  <c r="AW74" i="11"/>
  <c r="U74" i="11"/>
  <c r="Y74" i="11"/>
  <c r="AC74" i="11"/>
  <c r="Q74" i="11"/>
  <c r="AG74" i="11"/>
  <c r="M74" i="11"/>
  <c r="CO72" i="11"/>
  <c r="CK72" i="11"/>
  <c r="CG72" i="11"/>
  <c r="CC72" i="11"/>
  <c r="BY72" i="11"/>
  <c r="BU72" i="11"/>
  <c r="BE72" i="11"/>
  <c r="BM72" i="11"/>
  <c r="BA72" i="11"/>
  <c r="BI72" i="11"/>
  <c r="AS72" i="11"/>
  <c r="AO72" i="11"/>
  <c r="AK72" i="11"/>
  <c r="BQ72" i="11"/>
  <c r="AW72" i="11"/>
  <c r="U72" i="11"/>
  <c r="Y72" i="11"/>
  <c r="AC72" i="11"/>
  <c r="Q72" i="11"/>
  <c r="AG72" i="11"/>
  <c r="M72" i="11"/>
  <c r="CO70" i="11"/>
  <c r="CK70" i="11"/>
  <c r="CG70" i="11"/>
  <c r="CC70" i="11"/>
  <c r="BY70" i="11"/>
  <c r="BU70" i="11"/>
  <c r="BE70" i="11"/>
  <c r="BM70" i="11"/>
  <c r="BA70" i="11"/>
  <c r="BI70" i="11"/>
  <c r="AS70" i="11"/>
  <c r="AO70" i="11"/>
  <c r="AK70" i="11"/>
  <c r="BQ70" i="11"/>
  <c r="AW70" i="11"/>
  <c r="U70" i="11"/>
  <c r="Y70" i="11"/>
  <c r="AC70" i="11"/>
  <c r="Q70" i="11"/>
  <c r="AG70" i="11"/>
  <c r="M70" i="11"/>
  <c r="CO69" i="11"/>
  <c r="CK69" i="11"/>
  <c r="CG69" i="11"/>
  <c r="CC69" i="11"/>
  <c r="BY69" i="11"/>
  <c r="BU69" i="11"/>
  <c r="BE69" i="11"/>
  <c r="BM69" i="11"/>
  <c r="BA69" i="11"/>
  <c r="BI69" i="11"/>
  <c r="AS69" i="11"/>
  <c r="AO69" i="11"/>
  <c r="AK69" i="11"/>
  <c r="BQ69" i="11"/>
  <c r="AW69" i="11"/>
  <c r="U69" i="11"/>
  <c r="Y69" i="11"/>
  <c r="AC69" i="11"/>
  <c r="Q69" i="11"/>
  <c r="AG69" i="11"/>
  <c r="M69" i="11"/>
  <c r="CO68" i="11"/>
  <c r="CK68" i="11"/>
  <c r="CG68" i="11"/>
  <c r="CC68" i="11"/>
  <c r="BY68" i="11"/>
  <c r="BU68" i="11"/>
  <c r="BE68" i="11"/>
  <c r="BM68" i="11"/>
  <c r="BA68" i="11"/>
  <c r="BI68" i="11"/>
  <c r="AS68" i="11"/>
  <c r="AO68" i="11"/>
  <c r="AK68" i="11"/>
  <c r="BQ68" i="11"/>
  <c r="AW68" i="11"/>
  <c r="Y68" i="11"/>
  <c r="AC68" i="11"/>
  <c r="Q68" i="11"/>
  <c r="AG68" i="11"/>
  <c r="M68" i="11"/>
  <c r="CO64" i="11"/>
  <c r="CK64" i="11"/>
  <c r="CG64" i="11"/>
  <c r="CC64" i="11"/>
  <c r="BY64" i="11"/>
  <c r="BU64" i="11"/>
  <c r="BE64" i="11"/>
  <c r="BM64" i="11"/>
  <c r="BA64" i="11"/>
  <c r="BI64" i="11"/>
  <c r="AS64" i="11"/>
  <c r="AO64" i="11"/>
  <c r="AK64" i="11"/>
  <c r="BQ64" i="11"/>
  <c r="AW64" i="11"/>
  <c r="U64" i="11"/>
  <c r="Y64" i="11"/>
  <c r="AC64" i="11"/>
  <c r="Q64" i="11"/>
  <c r="AG64" i="11"/>
  <c r="M64" i="11"/>
  <c r="CO59" i="11"/>
  <c r="CK59" i="11"/>
  <c r="CG59" i="11"/>
  <c r="CC59" i="11"/>
  <c r="BY59" i="11"/>
  <c r="BU59" i="11"/>
  <c r="BE59" i="11"/>
  <c r="BM59" i="11"/>
  <c r="BA59" i="11"/>
  <c r="BI59" i="11"/>
  <c r="AS59" i="11"/>
  <c r="AO59" i="11"/>
  <c r="AK59" i="11"/>
  <c r="BQ59" i="11"/>
  <c r="AW59" i="11"/>
  <c r="U59" i="11"/>
  <c r="Y59" i="11"/>
  <c r="AC59" i="11"/>
  <c r="Q59" i="11"/>
  <c r="AG59" i="11"/>
  <c r="M59" i="11"/>
  <c r="CO57" i="11"/>
  <c r="CK57" i="11"/>
  <c r="CG57" i="11"/>
  <c r="CC57" i="11"/>
  <c r="BY57" i="11"/>
  <c r="BU57" i="11"/>
  <c r="BE57" i="11"/>
  <c r="BM57" i="11"/>
  <c r="BA57" i="11"/>
  <c r="BI57" i="11"/>
  <c r="AS57" i="11"/>
  <c r="AO57" i="11"/>
  <c r="AK57" i="11"/>
  <c r="BQ57" i="11"/>
  <c r="AW57" i="11"/>
  <c r="U57" i="11"/>
  <c r="Y57" i="11"/>
  <c r="AC57" i="11"/>
  <c r="Q57" i="11"/>
  <c r="AG57" i="11"/>
  <c r="M57" i="11"/>
  <c r="CO55" i="11"/>
  <c r="CK55" i="11"/>
  <c r="CG55" i="11"/>
  <c r="CC55" i="11"/>
  <c r="BY55" i="11"/>
  <c r="BU55" i="11"/>
  <c r="BE55" i="11"/>
  <c r="BM55" i="11"/>
  <c r="BA55" i="11"/>
  <c r="BI55" i="11"/>
  <c r="AS55" i="11"/>
  <c r="AO55" i="11"/>
  <c r="AK55" i="11"/>
  <c r="BQ55" i="11"/>
  <c r="AW55" i="11"/>
  <c r="U55" i="11"/>
  <c r="Y55" i="11"/>
  <c r="AC55" i="11"/>
  <c r="Q55" i="11"/>
  <c r="AG55" i="11"/>
  <c r="M55" i="11"/>
  <c r="CO54" i="11"/>
  <c r="CK54" i="11"/>
  <c r="CG54" i="11"/>
  <c r="CC54" i="11"/>
  <c r="BY54" i="11"/>
  <c r="BU54" i="11"/>
  <c r="BE54" i="11"/>
  <c r="BM54" i="11"/>
  <c r="BA54" i="11"/>
  <c r="BI54" i="11"/>
  <c r="AS54" i="11"/>
  <c r="AO54" i="11"/>
  <c r="AK54" i="11"/>
  <c r="BQ54" i="11"/>
  <c r="AW54" i="11"/>
  <c r="U54" i="11"/>
  <c r="Y54" i="11"/>
  <c r="AC54" i="11"/>
  <c r="Q54" i="11"/>
  <c r="AG54" i="11"/>
  <c r="M54" i="11"/>
  <c r="CO53" i="11"/>
  <c r="CK53" i="11"/>
  <c r="CG53" i="11"/>
  <c r="CC53" i="11"/>
  <c r="BY53" i="11"/>
  <c r="BU53" i="11"/>
  <c r="BE53" i="11"/>
  <c r="BM53" i="11"/>
  <c r="BA53" i="11"/>
  <c r="BI53" i="11"/>
  <c r="AS53" i="11"/>
  <c r="AO53" i="11"/>
  <c r="AK53" i="11"/>
  <c r="BQ53" i="11"/>
  <c r="AW53" i="11"/>
  <c r="U53" i="11"/>
  <c r="Y53" i="11"/>
  <c r="AC53" i="11"/>
  <c r="Q53" i="11"/>
  <c r="AG53" i="11"/>
  <c r="M53" i="11"/>
  <c r="CO50" i="11"/>
  <c r="CK50" i="11"/>
  <c r="CG50" i="11"/>
  <c r="CC50" i="11"/>
  <c r="BY50" i="11"/>
  <c r="BU50" i="11"/>
  <c r="BE50" i="11"/>
  <c r="BM50" i="11"/>
  <c r="BA50" i="11"/>
  <c r="BI50" i="11"/>
  <c r="AS50" i="11"/>
  <c r="AO50" i="11"/>
  <c r="AK50" i="11"/>
  <c r="BQ50" i="11"/>
  <c r="AW50" i="11"/>
  <c r="U50" i="11"/>
  <c r="Y50" i="11"/>
  <c r="AC50" i="11"/>
  <c r="Q50" i="11"/>
  <c r="AG50" i="11"/>
  <c r="M50" i="11"/>
  <c r="CO49" i="11"/>
  <c r="CK49" i="11"/>
  <c r="CG49" i="11"/>
  <c r="CC49" i="11"/>
  <c r="BY49" i="11"/>
  <c r="BU49" i="11"/>
  <c r="BE49" i="11"/>
  <c r="BM49" i="11"/>
  <c r="BA49" i="11"/>
  <c r="BI49" i="11"/>
  <c r="AS49" i="11"/>
  <c r="AO49" i="11"/>
  <c r="AK49" i="11"/>
  <c r="BQ49" i="11"/>
  <c r="AW49" i="11"/>
  <c r="U49" i="11"/>
  <c r="Y49" i="11"/>
  <c r="AC49" i="11"/>
  <c r="Q49" i="11"/>
  <c r="AG49" i="11"/>
  <c r="M49" i="11"/>
  <c r="CO48" i="11"/>
  <c r="CK48" i="11"/>
  <c r="CG48" i="11"/>
  <c r="CC48" i="11"/>
  <c r="BY48" i="11"/>
  <c r="BU48" i="11"/>
  <c r="BE48" i="11"/>
  <c r="BM48" i="11"/>
  <c r="BA48" i="11"/>
  <c r="BI48" i="11"/>
  <c r="AS48" i="11"/>
  <c r="AO48" i="11"/>
  <c r="AK48" i="11"/>
  <c r="BQ48" i="11"/>
  <c r="AW48" i="11"/>
  <c r="U48" i="11"/>
  <c r="Y48" i="11"/>
  <c r="AC48" i="11"/>
  <c r="Q48" i="11"/>
  <c r="AG48" i="11"/>
  <c r="M48" i="11"/>
  <c r="CO47" i="11"/>
  <c r="CK47" i="11"/>
  <c r="CG47" i="11"/>
  <c r="CC47" i="11"/>
  <c r="BY47" i="11"/>
  <c r="BU47" i="11"/>
  <c r="BE47" i="11"/>
  <c r="BM47" i="11"/>
  <c r="BA47" i="11"/>
  <c r="BI47" i="11"/>
  <c r="AS47" i="11"/>
  <c r="AO47" i="11"/>
  <c r="AK47" i="11"/>
  <c r="BQ47" i="11"/>
  <c r="AW47" i="11"/>
  <c r="U47" i="11"/>
  <c r="Y47" i="11"/>
  <c r="AC47" i="11"/>
  <c r="Q47" i="11"/>
  <c r="AG47" i="11"/>
  <c r="M47" i="11"/>
  <c r="CO45" i="11"/>
  <c r="CK45" i="11"/>
  <c r="CG45" i="11"/>
  <c r="CC45" i="11"/>
  <c r="BY45" i="11"/>
  <c r="BU45" i="11"/>
  <c r="BE45" i="11"/>
  <c r="BM45" i="11"/>
  <c r="BA45" i="11"/>
  <c r="BI45" i="11"/>
  <c r="AS45" i="11"/>
  <c r="AO45" i="11"/>
  <c r="AK45" i="11"/>
  <c r="BQ45" i="11"/>
  <c r="AW45" i="11"/>
  <c r="U45" i="11"/>
  <c r="Y45" i="11"/>
  <c r="AC45" i="11"/>
  <c r="Q45" i="11"/>
  <c r="AG45" i="11"/>
  <c r="M45" i="11"/>
  <c r="CO44" i="11"/>
  <c r="CK44" i="11"/>
  <c r="CG44" i="11"/>
  <c r="CC44" i="11"/>
  <c r="BY44" i="11"/>
  <c r="BU44" i="11"/>
  <c r="BE44" i="11"/>
  <c r="BM44" i="11"/>
  <c r="BA44" i="11"/>
  <c r="BI44" i="11"/>
  <c r="AS44" i="11"/>
  <c r="AO44" i="11"/>
  <c r="AK44" i="11"/>
  <c r="BQ44" i="11"/>
  <c r="AW44" i="11"/>
  <c r="U44" i="11"/>
  <c r="Y44" i="11"/>
  <c r="AC44" i="11"/>
  <c r="Q44" i="11"/>
  <c r="AG44" i="11"/>
  <c r="M44" i="11"/>
  <c r="CO43" i="11"/>
  <c r="CK43" i="11"/>
  <c r="CG43" i="11"/>
  <c r="CC43" i="11"/>
  <c r="BY43" i="11"/>
  <c r="BU43" i="11"/>
  <c r="BE43" i="11"/>
  <c r="BM43" i="11"/>
  <c r="BA43" i="11"/>
  <c r="BI43" i="11"/>
  <c r="AS43" i="11"/>
  <c r="AO43" i="11"/>
  <c r="AK43" i="11"/>
  <c r="BQ43" i="11"/>
  <c r="AW43" i="11"/>
  <c r="U43" i="11"/>
  <c r="Y43" i="11"/>
  <c r="AC43" i="11"/>
  <c r="Q43" i="11"/>
  <c r="AG43" i="11"/>
  <c r="M43" i="11"/>
  <c r="CO42" i="11"/>
  <c r="CK42" i="11"/>
  <c r="CG42" i="11"/>
  <c r="CC42" i="11"/>
  <c r="BY42" i="11"/>
  <c r="BU42" i="11"/>
  <c r="BE42" i="11"/>
  <c r="BM42" i="11"/>
  <c r="BA42" i="11"/>
  <c r="BI42" i="11"/>
  <c r="AS42" i="11"/>
  <c r="AO42" i="11"/>
  <c r="AK42" i="11"/>
  <c r="BQ42" i="11"/>
  <c r="AW42" i="11"/>
  <c r="Y42" i="11"/>
  <c r="AC42" i="11"/>
  <c r="Q42" i="11"/>
  <c r="AG42" i="11"/>
  <c r="M42" i="11"/>
  <c r="CO41" i="11"/>
  <c r="CK41" i="11"/>
  <c r="CG41" i="11"/>
  <c r="CC41" i="11"/>
  <c r="BY41" i="11"/>
  <c r="BU41" i="11"/>
  <c r="BE41" i="11"/>
  <c r="BM41" i="11"/>
  <c r="BA41" i="11"/>
  <c r="BI41" i="11"/>
  <c r="AS41" i="11"/>
  <c r="AO41" i="11"/>
  <c r="AK41" i="11"/>
  <c r="BQ41" i="11"/>
  <c r="AW41" i="11"/>
  <c r="U41" i="11"/>
  <c r="Y41" i="11"/>
  <c r="AC41" i="11"/>
  <c r="Q41" i="11"/>
  <c r="AG41" i="11"/>
  <c r="M41" i="11"/>
  <c r="CO40" i="11"/>
  <c r="CK40" i="11"/>
  <c r="CG40" i="11"/>
  <c r="CC40" i="11"/>
  <c r="BY40" i="11"/>
  <c r="BU40" i="11"/>
  <c r="BE40" i="11"/>
  <c r="BM40" i="11"/>
  <c r="BA40" i="11"/>
  <c r="BI40" i="11"/>
  <c r="AS40" i="11"/>
  <c r="AO40" i="11"/>
  <c r="AK40" i="11"/>
  <c r="BQ40" i="11"/>
  <c r="AW40" i="11"/>
  <c r="U40" i="11"/>
  <c r="Y40" i="11"/>
  <c r="AC40" i="11"/>
  <c r="Q40" i="11"/>
  <c r="AG40" i="11"/>
  <c r="M40" i="11"/>
  <c r="CO39" i="11"/>
  <c r="CK39" i="11"/>
  <c r="CG39" i="11"/>
  <c r="CC39" i="11"/>
  <c r="BY39" i="11"/>
  <c r="BU39" i="11"/>
  <c r="BE39" i="11"/>
  <c r="BM39" i="11"/>
  <c r="BA39" i="11"/>
  <c r="BI39" i="11"/>
  <c r="AS39" i="11"/>
  <c r="AO39" i="11"/>
  <c r="AK39" i="11"/>
  <c r="BQ39" i="11"/>
  <c r="AW39" i="11"/>
  <c r="U39" i="11"/>
  <c r="Y39" i="11"/>
  <c r="AC39" i="11"/>
  <c r="Q39" i="11"/>
  <c r="AG39" i="11"/>
  <c r="M39" i="11"/>
  <c r="CO37" i="11"/>
  <c r="CK37" i="11"/>
  <c r="CG37" i="11"/>
  <c r="CC37" i="11"/>
  <c r="BY37" i="11"/>
  <c r="BU37" i="11"/>
  <c r="BE37" i="11"/>
  <c r="BM37" i="11"/>
  <c r="BA37" i="11"/>
  <c r="BI37" i="11"/>
  <c r="AS37" i="11"/>
  <c r="AO37" i="11"/>
  <c r="AK37" i="11"/>
  <c r="BQ37" i="11"/>
  <c r="AW37" i="11"/>
  <c r="U37" i="11"/>
  <c r="Y37" i="11"/>
  <c r="AC37" i="11"/>
  <c r="Q37" i="11"/>
  <c r="AG37" i="11"/>
  <c r="M37" i="11"/>
  <c r="CO36" i="11"/>
  <c r="CK36" i="11"/>
  <c r="CG36" i="11"/>
  <c r="CC36" i="11"/>
  <c r="BY36" i="11"/>
  <c r="BU36" i="11"/>
  <c r="BE36" i="11"/>
  <c r="BM36" i="11"/>
  <c r="BA36" i="11"/>
  <c r="BI36" i="11"/>
  <c r="AS36" i="11"/>
  <c r="AO36" i="11"/>
  <c r="AK36" i="11"/>
  <c r="BQ36" i="11"/>
  <c r="AW36" i="11"/>
  <c r="U36" i="11"/>
  <c r="Y36" i="11"/>
  <c r="AC36" i="11"/>
  <c r="Q36" i="11"/>
  <c r="AG36" i="11"/>
  <c r="M36" i="11"/>
  <c r="CO32" i="11"/>
  <c r="CK32" i="11"/>
  <c r="CG32" i="11"/>
  <c r="CC32" i="11"/>
  <c r="BY32" i="11"/>
  <c r="BU32" i="11"/>
  <c r="BE32" i="11"/>
  <c r="BM32" i="11"/>
  <c r="BA32" i="11"/>
  <c r="BI32" i="11"/>
  <c r="AS32" i="11"/>
  <c r="AO32" i="11"/>
  <c r="AK32" i="11"/>
  <c r="BQ32" i="11"/>
  <c r="AW32" i="11"/>
  <c r="U32" i="11"/>
  <c r="Y32" i="11"/>
  <c r="AC32" i="11"/>
  <c r="Q32" i="11"/>
  <c r="AG32" i="11"/>
  <c r="M32" i="11"/>
  <c r="CO31" i="11"/>
  <c r="CK31" i="11"/>
  <c r="CG31" i="11"/>
  <c r="CC31" i="11"/>
  <c r="BY31" i="11"/>
  <c r="BU31" i="11"/>
  <c r="BE31" i="11"/>
  <c r="BM31" i="11"/>
  <c r="BA31" i="11"/>
  <c r="BI31" i="11"/>
  <c r="AS31" i="11"/>
  <c r="AO31" i="11"/>
  <c r="AK31" i="11"/>
  <c r="BQ31" i="11"/>
  <c r="AW31" i="11"/>
  <c r="U31" i="11"/>
  <c r="Y31" i="11"/>
  <c r="AC31" i="11"/>
  <c r="Q31" i="11"/>
  <c r="AG31" i="11"/>
  <c r="M31" i="11"/>
  <c r="CO30" i="11"/>
  <c r="CK30" i="11"/>
  <c r="CG30" i="11"/>
  <c r="CC30" i="11"/>
  <c r="BY30" i="11"/>
  <c r="BU30" i="11"/>
  <c r="BE30" i="11"/>
  <c r="BM30" i="11"/>
  <c r="BA30" i="11"/>
  <c r="BI30" i="11"/>
  <c r="AS30" i="11"/>
  <c r="AO30" i="11"/>
  <c r="AK30" i="11"/>
  <c r="BQ30" i="11"/>
  <c r="AW30" i="11"/>
  <c r="U30" i="11"/>
  <c r="Y30" i="11"/>
  <c r="AC30" i="11"/>
  <c r="Q30" i="11"/>
  <c r="AG30" i="11"/>
  <c r="M30" i="11"/>
  <c r="CO28" i="11"/>
  <c r="CK28" i="11"/>
  <c r="CG28" i="11"/>
  <c r="CC28" i="11"/>
  <c r="BY28" i="11"/>
  <c r="BU28" i="11"/>
  <c r="BE28" i="11"/>
  <c r="BM28" i="11"/>
  <c r="BA28" i="11"/>
  <c r="BI28" i="11"/>
  <c r="AS28" i="11"/>
  <c r="AO28" i="11"/>
  <c r="AK28" i="11"/>
  <c r="BQ28" i="11"/>
  <c r="AW28" i="11"/>
  <c r="U28" i="11"/>
  <c r="Y28" i="11"/>
  <c r="AC28" i="11"/>
  <c r="Q28" i="11"/>
  <c r="AG28" i="11"/>
  <c r="M28" i="11"/>
  <c r="CO24" i="11"/>
  <c r="CK24" i="11"/>
  <c r="CG24" i="11"/>
  <c r="CC24" i="11"/>
  <c r="BY24" i="11"/>
  <c r="BU24" i="11"/>
  <c r="BE24" i="11"/>
  <c r="BM24" i="11"/>
  <c r="BA24" i="11"/>
  <c r="BI24" i="11"/>
  <c r="AS24" i="11"/>
  <c r="AO24" i="11"/>
  <c r="AK24" i="11"/>
  <c r="BQ24" i="11"/>
  <c r="AW24" i="11"/>
  <c r="U24" i="11"/>
  <c r="Y24" i="11"/>
  <c r="AC24" i="11"/>
  <c r="Q24" i="11"/>
  <c r="AG24" i="11"/>
  <c r="M24" i="11"/>
  <c r="CO23" i="11"/>
  <c r="CK23" i="11"/>
  <c r="CG23" i="11"/>
  <c r="CC23" i="11"/>
  <c r="BY23" i="11"/>
  <c r="BU23" i="11"/>
  <c r="BE23" i="11"/>
  <c r="BM23" i="11"/>
  <c r="BA23" i="11"/>
  <c r="BI23" i="11"/>
  <c r="AS23" i="11"/>
  <c r="AO23" i="11"/>
  <c r="AK23" i="11"/>
  <c r="BQ23" i="11"/>
  <c r="AW23" i="11"/>
  <c r="U23" i="11"/>
  <c r="Y23" i="11"/>
  <c r="AC23" i="11"/>
  <c r="Q23" i="11"/>
  <c r="AG23" i="11"/>
  <c r="M23" i="11"/>
  <c r="CO21" i="11"/>
  <c r="CK21" i="11"/>
  <c r="CG21" i="11"/>
  <c r="CC21" i="11"/>
  <c r="BY21" i="11"/>
  <c r="BU21" i="11"/>
  <c r="BE21" i="11"/>
  <c r="BM21" i="11"/>
  <c r="BA21" i="11"/>
  <c r="BI21" i="11"/>
  <c r="AS21" i="11"/>
  <c r="AO21" i="11"/>
  <c r="AK21" i="11"/>
  <c r="BQ21" i="11"/>
  <c r="AW21" i="11"/>
  <c r="U21" i="11"/>
  <c r="Y21" i="11"/>
  <c r="AC21" i="11"/>
  <c r="Q21" i="11"/>
  <c r="AG21" i="11"/>
  <c r="M21" i="11"/>
  <c r="CO20" i="11"/>
  <c r="CK20" i="11"/>
  <c r="CG20" i="11"/>
  <c r="CC20" i="11"/>
  <c r="BY20" i="11"/>
  <c r="BU20" i="11"/>
  <c r="BE20" i="11"/>
  <c r="BM20" i="11"/>
  <c r="BA20" i="11"/>
  <c r="BI20" i="11"/>
  <c r="AS20" i="11"/>
  <c r="AO20" i="11"/>
  <c r="AK20" i="11"/>
  <c r="BQ20" i="11"/>
  <c r="AW20" i="11"/>
  <c r="U20" i="11"/>
  <c r="Y20" i="11"/>
  <c r="AC20" i="11"/>
  <c r="Q20" i="11"/>
  <c r="AG20" i="11"/>
  <c r="M20" i="11"/>
  <c r="CO19" i="11"/>
  <c r="CK19" i="11"/>
  <c r="CG19" i="11"/>
  <c r="CC19" i="11"/>
  <c r="BY19" i="11"/>
  <c r="BU19" i="11"/>
  <c r="BE19" i="11"/>
  <c r="BM19" i="11"/>
  <c r="BA19" i="11"/>
  <c r="BI19" i="11"/>
  <c r="AS19" i="11"/>
  <c r="AO19" i="11"/>
  <c r="AK19" i="11"/>
  <c r="BQ19" i="11"/>
  <c r="AW19" i="11"/>
  <c r="U19" i="11"/>
  <c r="Y19" i="11"/>
  <c r="AC19" i="11"/>
  <c r="Q19" i="11"/>
  <c r="AG19" i="11"/>
  <c r="M19" i="11"/>
  <c r="CO18" i="11"/>
  <c r="CK18" i="11"/>
  <c r="CG18" i="11"/>
  <c r="CC18" i="11"/>
  <c r="BY18" i="11"/>
  <c r="BU18" i="11"/>
  <c r="BE18" i="11"/>
  <c r="BM18" i="11"/>
  <c r="BA18" i="11"/>
  <c r="BI18" i="11"/>
  <c r="AS18" i="11"/>
  <c r="AO18" i="11"/>
  <c r="AK18" i="11"/>
  <c r="BQ18" i="11"/>
  <c r="AW18" i="11"/>
  <c r="U18" i="11"/>
  <c r="Y18" i="11"/>
  <c r="AC18" i="11"/>
  <c r="Q18" i="11"/>
  <c r="AG18" i="11"/>
  <c r="M18" i="11"/>
  <c r="CO17" i="11"/>
  <c r="CK17" i="11"/>
  <c r="CG17" i="11"/>
  <c r="CC17" i="11"/>
  <c r="BY17" i="11"/>
  <c r="BU17" i="11"/>
  <c r="BE17" i="11"/>
  <c r="BM17" i="11"/>
  <c r="BA17" i="11"/>
  <c r="BI17" i="11"/>
  <c r="AS17" i="11"/>
  <c r="AO17" i="11"/>
  <c r="AK17" i="11"/>
  <c r="BQ17" i="11"/>
  <c r="AW17" i="11"/>
  <c r="U17" i="11"/>
  <c r="Y17" i="11"/>
  <c r="AC17" i="11"/>
  <c r="Q17" i="11"/>
  <c r="AG17" i="11"/>
  <c r="M17" i="11"/>
  <c r="CO12" i="11"/>
  <c r="CK12" i="11"/>
  <c r="CG12" i="11"/>
  <c r="CC12" i="11"/>
  <c r="BY12" i="11"/>
  <c r="BU12" i="11"/>
  <c r="BE12" i="11"/>
  <c r="BM12" i="11"/>
  <c r="BA12" i="11"/>
  <c r="BI12" i="11"/>
  <c r="AS12" i="11"/>
  <c r="AO12" i="11"/>
  <c r="AK12" i="11"/>
  <c r="BQ12" i="11"/>
  <c r="AW12" i="11"/>
  <c r="U12" i="11"/>
  <c r="Y12" i="11"/>
  <c r="AC12" i="11"/>
  <c r="Q12" i="11"/>
  <c r="AG12" i="11"/>
  <c r="M12" i="11"/>
  <c r="CO11" i="11"/>
  <c r="CK11" i="11"/>
  <c r="CG11" i="11"/>
  <c r="CC11" i="11"/>
  <c r="BY11" i="11"/>
  <c r="BU11" i="11"/>
  <c r="BE11" i="11"/>
  <c r="BM11" i="11"/>
  <c r="BA11" i="11"/>
  <c r="BI11" i="11"/>
  <c r="AS11" i="11"/>
  <c r="AO11" i="11"/>
  <c r="AK11" i="11"/>
  <c r="BQ11" i="11"/>
  <c r="AW11" i="11"/>
  <c r="Y11" i="11"/>
  <c r="AC11" i="11"/>
  <c r="Q11" i="11"/>
  <c r="AG11" i="11"/>
  <c r="M11" i="11"/>
  <c r="AF155" i="10"/>
  <c r="AF156" i="10"/>
  <c r="AG156" i="10"/>
  <c r="V155" i="10"/>
  <c r="V156" i="10"/>
  <c r="W156" i="10"/>
  <c r="AD155" i="10"/>
  <c r="AD156" i="10"/>
  <c r="AE156" i="10"/>
  <c r="N155" i="10"/>
  <c r="N156" i="10"/>
  <c r="O156" i="10"/>
  <c r="R155" i="10"/>
  <c r="R156" i="10"/>
  <c r="S156" i="10"/>
  <c r="AB155" i="10"/>
  <c r="AB156" i="10"/>
  <c r="AC156" i="10"/>
  <c r="AJ155" i="10"/>
  <c r="AJ156" i="10"/>
  <c r="AK156" i="10"/>
  <c r="AL155" i="10"/>
  <c r="AL156" i="10"/>
  <c r="AM156" i="10"/>
  <c r="AX155" i="10"/>
  <c r="AX156" i="10"/>
  <c r="AY156" i="10"/>
  <c r="Z155" i="10"/>
  <c r="Z156" i="10"/>
  <c r="AA156" i="10"/>
  <c r="P155" i="10"/>
  <c r="P156" i="10"/>
  <c r="Q156" i="10"/>
  <c r="AV155" i="10"/>
  <c r="AV156" i="10"/>
  <c r="AW156" i="10"/>
  <c r="AR155" i="10"/>
  <c r="AR156" i="10"/>
  <c r="AS156" i="10"/>
  <c r="X155" i="10"/>
  <c r="X156" i="10"/>
  <c r="Y156" i="10"/>
  <c r="L155" i="10"/>
  <c r="L156" i="10"/>
  <c r="M156" i="10"/>
  <c r="T155" i="10"/>
  <c r="T156" i="10"/>
  <c r="U156" i="10"/>
  <c r="AZ156" i="10"/>
  <c r="AP155" i="10"/>
  <c r="AP156" i="10"/>
  <c r="AQ156" i="10"/>
  <c r="AT155" i="10"/>
  <c r="AT156" i="10"/>
  <c r="AU156" i="10"/>
  <c r="AN155" i="10"/>
  <c r="AN156" i="10"/>
  <c r="AO156" i="10"/>
  <c r="AH155" i="10"/>
  <c r="AH156" i="10"/>
  <c r="AI156" i="10"/>
  <c r="I155" i="10"/>
  <c r="AG155" i="10"/>
  <c r="W155" i="10"/>
  <c r="AE155" i="10"/>
  <c r="O155" i="10"/>
  <c r="S155" i="10"/>
  <c r="AC155" i="10"/>
  <c r="AK155" i="10"/>
  <c r="AM155" i="10"/>
  <c r="AY155" i="10"/>
  <c r="AA155" i="10"/>
  <c r="Q155" i="10"/>
  <c r="AW155" i="10"/>
  <c r="AS155" i="10"/>
  <c r="Y155" i="10"/>
  <c r="M155" i="10"/>
  <c r="U155" i="10"/>
  <c r="AZ155" i="10"/>
  <c r="BA155" i="10"/>
  <c r="AQ155" i="10"/>
  <c r="AU155" i="10"/>
  <c r="AO155" i="10"/>
  <c r="AI155" i="10"/>
  <c r="AG149" i="10"/>
  <c r="W149" i="10"/>
  <c r="AE149" i="10"/>
  <c r="O149" i="10"/>
  <c r="S149" i="10"/>
  <c r="AC149" i="10"/>
  <c r="AK149" i="10"/>
  <c r="AM149" i="10"/>
  <c r="AY149" i="10"/>
  <c r="AA149" i="10"/>
  <c r="Q149" i="10"/>
  <c r="AW149" i="10"/>
  <c r="AS149" i="10"/>
  <c r="Y149" i="10"/>
  <c r="M149" i="10"/>
  <c r="U149" i="10"/>
  <c r="BA149" i="10"/>
  <c r="AQ149" i="10"/>
  <c r="AU149" i="10"/>
  <c r="AO149" i="10"/>
  <c r="AI149" i="10"/>
  <c r="AG147" i="10"/>
  <c r="W147" i="10"/>
  <c r="AE147" i="10"/>
  <c r="O147" i="10"/>
  <c r="S147" i="10"/>
  <c r="AC147" i="10"/>
  <c r="AK147" i="10"/>
  <c r="AM147" i="10"/>
  <c r="AY147" i="10"/>
  <c r="AA147" i="10"/>
  <c r="Q147" i="10"/>
  <c r="AW147" i="10"/>
  <c r="AS147" i="10"/>
  <c r="Y147" i="10"/>
  <c r="M147" i="10"/>
  <c r="U147" i="10"/>
  <c r="BA147" i="10"/>
  <c r="AQ147" i="10"/>
  <c r="AU147" i="10"/>
  <c r="AO147" i="10"/>
  <c r="AI147" i="10"/>
  <c r="AG146" i="10"/>
  <c r="W146" i="10"/>
  <c r="AE146" i="10"/>
  <c r="O146" i="10"/>
  <c r="S146" i="10"/>
  <c r="AC146" i="10"/>
  <c r="AK146" i="10"/>
  <c r="AM146" i="10"/>
  <c r="AY146" i="10"/>
  <c r="AA146" i="10"/>
  <c r="Q146" i="10"/>
  <c r="AW146" i="10"/>
  <c r="AS146" i="10"/>
  <c r="Y146" i="10"/>
  <c r="M146" i="10"/>
  <c r="U146" i="10"/>
  <c r="BA146" i="10"/>
  <c r="AQ146" i="10"/>
  <c r="AU146" i="10"/>
  <c r="AO146" i="10"/>
  <c r="AI146" i="10"/>
  <c r="AG145" i="10"/>
  <c r="W145" i="10"/>
  <c r="AE145" i="10"/>
  <c r="O145" i="10"/>
  <c r="S145" i="10"/>
  <c r="AC145" i="10"/>
  <c r="AK145" i="10"/>
  <c r="AM145" i="10"/>
  <c r="AY145" i="10"/>
  <c r="AA145" i="10"/>
  <c r="Q145" i="10"/>
  <c r="AW145" i="10"/>
  <c r="AS145" i="10"/>
  <c r="Y145" i="10"/>
  <c r="M145" i="10"/>
  <c r="U145" i="10"/>
  <c r="BA145" i="10"/>
  <c r="AQ145" i="10"/>
  <c r="AU145" i="10"/>
  <c r="AO145" i="10"/>
  <c r="AI145" i="10"/>
  <c r="AG140" i="10"/>
  <c r="W140" i="10"/>
  <c r="AE140" i="10"/>
  <c r="O140" i="10"/>
  <c r="S140" i="10"/>
  <c r="AC140" i="10"/>
  <c r="AK140" i="10"/>
  <c r="AM140" i="10"/>
  <c r="AY140" i="10"/>
  <c r="AA140" i="10"/>
  <c r="Q140" i="10"/>
  <c r="AW140" i="10"/>
  <c r="AS140" i="10"/>
  <c r="Y140" i="10"/>
  <c r="M140" i="10"/>
  <c r="U140" i="10"/>
  <c r="BA140" i="10"/>
  <c r="AQ140" i="10"/>
  <c r="AU140" i="10"/>
  <c r="AO140" i="10"/>
  <c r="AI140" i="10"/>
  <c r="AG133" i="10"/>
  <c r="W133" i="10"/>
  <c r="AE133" i="10"/>
  <c r="O133" i="10"/>
  <c r="S133" i="10"/>
  <c r="AC133" i="10"/>
  <c r="AK133" i="10"/>
  <c r="AM133" i="10"/>
  <c r="AY133" i="10"/>
  <c r="AA133" i="10"/>
  <c r="Q133" i="10"/>
  <c r="AW133" i="10"/>
  <c r="AS133" i="10"/>
  <c r="Y133" i="10"/>
  <c r="M133" i="10"/>
  <c r="U133" i="10"/>
  <c r="BA133" i="10"/>
  <c r="AQ133" i="10"/>
  <c r="AU133" i="10"/>
  <c r="AO133" i="10"/>
  <c r="AI133" i="10"/>
  <c r="AG132" i="10"/>
  <c r="W132" i="10"/>
  <c r="AE132" i="10"/>
  <c r="O132" i="10"/>
  <c r="S132" i="10"/>
  <c r="AC132" i="10"/>
  <c r="AK132" i="10"/>
  <c r="AM132" i="10"/>
  <c r="AY132" i="10"/>
  <c r="AA132" i="10"/>
  <c r="Q132" i="10"/>
  <c r="AW132" i="10"/>
  <c r="AS132" i="10"/>
  <c r="Y132" i="10"/>
  <c r="M132" i="10"/>
  <c r="U132" i="10"/>
  <c r="BA132" i="10"/>
  <c r="AQ132" i="10"/>
  <c r="AU132" i="10"/>
  <c r="AO132" i="10"/>
  <c r="AI132" i="10"/>
  <c r="AG128" i="10"/>
  <c r="W128" i="10"/>
  <c r="AE128" i="10"/>
  <c r="O128" i="10"/>
  <c r="S128" i="10"/>
  <c r="AC128" i="10"/>
  <c r="AK128" i="10"/>
  <c r="AM128" i="10"/>
  <c r="AY128" i="10"/>
  <c r="AA128" i="10"/>
  <c r="Q128" i="10"/>
  <c r="AW128" i="10"/>
  <c r="AS128" i="10"/>
  <c r="Y128" i="10"/>
  <c r="M128" i="10"/>
  <c r="U128" i="10"/>
  <c r="BA128" i="10"/>
  <c r="AQ128" i="10"/>
  <c r="AU128" i="10"/>
  <c r="AO128" i="10"/>
  <c r="AI128" i="10"/>
  <c r="AG127" i="10"/>
  <c r="W127" i="10"/>
  <c r="AE127" i="10"/>
  <c r="O127" i="10"/>
  <c r="S127" i="10"/>
  <c r="AC127" i="10"/>
  <c r="AK127" i="10"/>
  <c r="AM127" i="10"/>
  <c r="AY127" i="10"/>
  <c r="AA127" i="10"/>
  <c r="Q127" i="10"/>
  <c r="AW127" i="10"/>
  <c r="AS127" i="10"/>
  <c r="Y127" i="10"/>
  <c r="M127" i="10"/>
  <c r="U127" i="10"/>
  <c r="BA127" i="10"/>
  <c r="AQ127" i="10"/>
  <c r="AU127" i="10"/>
  <c r="AO127" i="10"/>
  <c r="AI127" i="10"/>
  <c r="AG121" i="10"/>
  <c r="W121" i="10"/>
  <c r="AE121" i="10"/>
  <c r="O121" i="10"/>
  <c r="S121" i="10"/>
  <c r="AC121" i="10"/>
  <c r="AK121" i="10"/>
  <c r="AM121" i="10"/>
  <c r="AY121" i="10"/>
  <c r="AA121" i="10"/>
  <c r="Q121" i="10"/>
  <c r="AW121" i="10"/>
  <c r="AS121" i="10"/>
  <c r="Y121" i="10"/>
  <c r="M121" i="10"/>
  <c r="U121" i="10"/>
  <c r="BA121" i="10"/>
  <c r="AQ121" i="10"/>
  <c r="AU121" i="10"/>
  <c r="AO121" i="10"/>
  <c r="AI121" i="10"/>
  <c r="AG119" i="10"/>
  <c r="W119" i="10"/>
  <c r="AE119" i="10"/>
  <c r="O119" i="10"/>
  <c r="S119" i="10"/>
  <c r="AC119" i="10"/>
  <c r="AK119" i="10"/>
  <c r="AM119" i="10"/>
  <c r="AY119" i="10"/>
  <c r="AA119" i="10"/>
  <c r="Q119" i="10"/>
  <c r="AW119" i="10"/>
  <c r="AS119" i="10"/>
  <c r="Y119" i="10"/>
  <c r="M119" i="10"/>
  <c r="U119" i="10"/>
  <c r="BA119" i="10"/>
  <c r="AQ119" i="10"/>
  <c r="AU119" i="10"/>
  <c r="AO119" i="10"/>
  <c r="AI119" i="10"/>
  <c r="AG118" i="10"/>
  <c r="W118" i="10"/>
  <c r="AE118" i="10"/>
  <c r="O118" i="10"/>
  <c r="S118" i="10"/>
  <c r="AC118" i="10"/>
  <c r="AK118" i="10"/>
  <c r="AM118" i="10"/>
  <c r="AY118" i="10"/>
  <c r="AA118" i="10"/>
  <c r="Q118" i="10"/>
  <c r="AW118" i="10"/>
  <c r="AS118" i="10"/>
  <c r="Y118" i="10"/>
  <c r="M118" i="10"/>
  <c r="U118" i="10"/>
  <c r="BA118" i="10"/>
  <c r="AQ118" i="10"/>
  <c r="AU118" i="10"/>
  <c r="AO118" i="10"/>
  <c r="AI118" i="10"/>
  <c r="AG116" i="10"/>
  <c r="W116" i="10"/>
  <c r="AE116" i="10"/>
  <c r="O116" i="10"/>
  <c r="S116" i="10"/>
  <c r="AC116" i="10"/>
  <c r="AK116" i="10"/>
  <c r="AM116" i="10"/>
  <c r="AY116" i="10"/>
  <c r="AA116" i="10"/>
  <c r="Q116" i="10"/>
  <c r="AW116" i="10"/>
  <c r="AS116" i="10"/>
  <c r="Y116" i="10"/>
  <c r="M116" i="10"/>
  <c r="U116" i="10"/>
  <c r="BA116" i="10"/>
  <c r="AQ116" i="10"/>
  <c r="AU116" i="10"/>
  <c r="AO116" i="10"/>
  <c r="AI116" i="10"/>
  <c r="AG111" i="10"/>
  <c r="W111" i="10"/>
  <c r="AE111" i="10"/>
  <c r="O111" i="10"/>
  <c r="S111" i="10"/>
  <c r="AC111" i="10"/>
  <c r="AK111" i="10"/>
  <c r="AM111" i="10"/>
  <c r="AY111" i="10"/>
  <c r="AA111" i="10"/>
  <c r="Q111" i="10"/>
  <c r="AW111" i="10"/>
  <c r="AS111" i="10"/>
  <c r="Y111" i="10"/>
  <c r="M111" i="10"/>
  <c r="U111" i="10"/>
  <c r="BA111" i="10"/>
  <c r="AQ111" i="10"/>
  <c r="AU111" i="10"/>
  <c r="AO111" i="10"/>
  <c r="AI111" i="10"/>
  <c r="AG105" i="10"/>
  <c r="W105" i="10"/>
  <c r="AE105" i="10"/>
  <c r="O105" i="10"/>
  <c r="S105" i="10"/>
  <c r="AC105" i="10"/>
  <c r="AK105" i="10"/>
  <c r="AM105" i="10"/>
  <c r="AY105" i="10"/>
  <c r="AA105" i="10"/>
  <c r="Q105" i="10"/>
  <c r="AW105" i="10"/>
  <c r="AS105" i="10"/>
  <c r="Y105" i="10"/>
  <c r="M105" i="10"/>
  <c r="U105" i="10"/>
  <c r="BA105" i="10"/>
  <c r="AQ105" i="10"/>
  <c r="AU105" i="10"/>
  <c r="AO105" i="10"/>
  <c r="AI105" i="10"/>
  <c r="AG100" i="10"/>
  <c r="W100" i="10"/>
  <c r="AE100" i="10"/>
  <c r="O100" i="10"/>
  <c r="S100" i="10"/>
  <c r="AC100" i="10"/>
  <c r="AK100" i="10"/>
  <c r="AM100" i="10"/>
  <c r="AY100" i="10"/>
  <c r="AA100" i="10"/>
  <c r="Q100" i="10"/>
  <c r="AW100" i="10"/>
  <c r="AS100" i="10"/>
  <c r="Y100" i="10"/>
  <c r="M100" i="10"/>
  <c r="U100" i="10"/>
  <c r="BA100" i="10"/>
  <c r="AQ100" i="10"/>
  <c r="AU100" i="10"/>
  <c r="AO100" i="10"/>
  <c r="AI100" i="10"/>
  <c r="AG98" i="10"/>
  <c r="W98" i="10"/>
  <c r="AE98" i="10"/>
  <c r="O98" i="10"/>
  <c r="S98" i="10"/>
  <c r="AC98" i="10"/>
  <c r="AK98" i="10"/>
  <c r="AM98" i="10"/>
  <c r="AY98" i="10"/>
  <c r="AA98" i="10"/>
  <c r="Q98" i="10"/>
  <c r="AW98" i="10"/>
  <c r="AS98" i="10"/>
  <c r="Y98" i="10"/>
  <c r="M98" i="10"/>
  <c r="U98" i="10"/>
  <c r="BA98" i="10"/>
  <c r="AQ98" i="10"/>
  <c r="AU98" i="10"/>
  <c r="AO98" i="10"/>
  <c r="AI98" i="10"/>
  <c r="AG93" i="10"/>
  <c r="W93" i="10"/>
  <c r="AE93" i="10"/>
  <c r="O93" i="10"/>
  <c r="S93" i="10"/>
  <c r="AC93" i="10"/>
  <c r="AK93" i="10"/>
  <c r="AM93" i="10"/>
  <c r="AY93" i="10"/>
  <c r="AA93" i="10"/>
  <c r="Q93" i="10"/>
  <c r="AW93" i="10"/>
  <c r="AS93" i="10"/>
  <c r="Y93" i="10"/>
  <c r="M93" i="10"/>
  <c r="U93" i="10"/>
  <c r="BA93" i="10"/>
  <c r="AQ93" i="10"/>
  <c r="AU93" i="10"/>
  <c r="AO93" i="10"/>
  <c r="AI93" i="10"/>
  <c r="AG92" i="10"/>
  <c r="W92" i="10"/>
  <c r="AE92" i="10"/>
  <c r="O92" i="10"/>
  <c r="S92" i="10"/>
  <c r="AC92" i="10"/>
  <c r="AK92" i="10"/>
  <c r="AM92" i="10"/>
  <c r="AY92" i="10"/>
  <c r="AA92" i="10"/>
  <c r="Q92" i="10"/>
  <c r="AW92" i="10"/>
  <c r="AS92" i="10"/>
  <c r="Y92" i="10"/>
  <c r="M92" i="10"/>
  <c r="U92" i="10"/>
  <c r="BA92" i="10"/>
  <c r="AQ92" i="10"/>
  <c r="AU92" i="10"/>
  <c r="AO92" i="10"/>
  <c r="AI92" i="10"/>
  <c r="AG91" i="10"/>
  <c r="W91" i="10"/>
  <c r="AE91" i="10"/>
  <c r="O91" i="10"/>
  <c r="S91" i="10"/>
  <c r="AC91" i="10"/>
  <c r="AK91" i="10"/>
  <c r="AM91" i="10"/>
  <c r="AY91" i="10"/>
  <c r="AA91" i="10"/>
  <c r="Q91" i="10"/>
  <c r="AW91" i="10"/>
  <c r="AS91" i="10"/>
  <c r="Y91" i="10"/>
  <c r="M91" i="10"/>
  <c r="U91" i="10"/>
  <c r="BA91" i="10"/>
  <c r="AQ91" i="10"/>
  <c r="AU91" i="10"/>
  <c r="AO91" i="10"/>
  <c r="AI91" i="10"/>
  <c r="AG90" i="10"/>
  <c r="W90" i="10"/>
  <c r="AE90" i="10"/>
  <c r="O90" i="10"/>
  <c r="S90" i="10"/>
  <c r="AC90" i="10"/>
  <c r="AK90" i="10"/>
  <c r="AM90" i="10"/>
  <c r="AY90" i="10"/>
  <c r="AA90" i="10"/>
  <c r="Q90" i="10"/>
  <c r="AW90" i="10"/>
  <c r="AS90" i="10"/>
  <c r="Y90" i="10"/>
  <c r="M90" i="10"/>
  <c r="U90" i="10"/>
  <c r="BA90" i="10"/>
  <c r="AQ90" i="10"/>
  <c r="AU90" i="10"/>
  <c r="AO90" i="10"/>
  <c r="AI90" i="10"/>
  <c r="AG83" i="10"/>
  <c r="W83" i="10"/>
  <c r="AE83" i="10"/>
  <c r="O83" i="10"/>
  <c r="S83" i="10"/>
  <c r="AC83" i="10"/>
  <c r="AK83" i="10"/>
  <c r="AM83" i="10"/>
  <c r="AY83" i="10"/>
  <c r="AA83" i="10"/>
  <c r="Q83" i="10"/>
  <c r="AW83" i="10"/>
  <c r="AS83" i="10"/>
  <c r="Y83" i="10"/>
  <c r="M83" i="10"/>
  <c r="U83" i="10"/>
  <c r="BA83" i="10"/>
  <c r="AQ83" i="10"/>
  <c r="AU83" i="10"/>
  <c r="AO83" i="10"/>
  <c r="AI83" i="10"/>
  <c r="AG81" i="10"/>
  <c r="W81" i="10"/>
  <c r="AE81" i="10"/>
  <c r="O81" i="10"/>
  <c r="S81" i="10"/>
  <c r="AC81" i="10"/>
  <c r="AK81" i="10"/>
  <c r="AM81" i="10"/>
  <c r="AY81" i="10"/>
  <c r="AA81" i="10"/>
  <c r="Q81" i="10"/>
  <c r="AW81" i="10"/>
  <c r="AS81" i="10"/>
  <c r="Y81" i="10"/>
  <c r="M81" i="10"/>
  <c r="U81" i="10"/>
  <c r="BA81" i="10"/>
  <c r="AQ81" i="10"/>
  <c r="AU81" i="10"/>
  <c r="AO81" i="10"/>
  <c r="AI81" i="10"/>
  <c r="AG80" i="10"/>
  <c r="W80" i="10"/>
  <c r="AE80" i="10"/>
  <c r="O80" i="10"/>
  <c r="S80" i="10"/>
  <c r="AC80" i="10"/>
  <c r="AK80" i="10"/>
  <c r="AM80" i="10"/>
  <c r="AY80" i="10"/>
  <c r="AA80" i="10"/>
  <c r="Q80" i="10"/>
  <c r="AW80" i="10"/>
  <c r="AS80" i="10"/>
  <c r="Y80" i="10"/>
  <c r="M80" i="10"/>
  <c r="U80" i="10"/>
  <c r="BA80" i="10"/>
  <c r="AQ80" i="10"/>
  <c r="AU80" i="10"/>
  <c r="AO80" i="10"/>
  <c r="AI80" i="10"/>
  <c r="AG78" i="10"/>
  <c r="W78" i="10"/>
  <c r="AE78" i="10"/>
  <c r="O78" i="10"/>
  <c r="S78" i="10"/>
  <c r="AC78" i="10"/>
  <c r="AK78" i="10"/>
  <c r="AM78" i="10"/>
  <c r="AY78" i="10"/>
  <c r="AA78" i="10"/>
  <c r="Q78" i="10"/>
  <c r="AW78" i="10"/>
  <c r="AS78" i="10"/>
  <c r="Y78" i="10"/>
  <c r="M78" i="10"/>
  <c r="U78" i="10"/>
  <c r="BA78" i="10"/>
  <c r="AQ78" i="10"/>
  <c r="AU78" i="10"/>
  <c r="AO78" i="10"/>
  <c r="AI78" i="10"/>
  <c r="AG77" i="10"/>
  <c r="W77" i="10"/>
  <c r="AE77" i="10"/>
  <c r="O77" i="10"/>
  <c r="S77" i="10"/>
  <c r="AC77" i="10"/>
  <c r="AK77" i="10"/>
  <c r="AM77" i="10"/>
  <c r="AY77" i="10"/>
  <c r="AA77" i="10"/>
  <c r="Q77" i="10"/>
  <c r="AW77" i="10"/>
  <c r="AS77" i="10"/>
  <c r="Y77" i="10"/>
  <c r="M77" i="10"/>
  <c r="U77" i="10"/>
  <c r="BA77" i="10"/>
  <c r="AQ77" i="10"/>
  <c r="AU77" i="10"/>
  <c r="AO77" i="10"/>
  <c r="AI77" i="10"/>
  <c r="AG73" i="10"/>
  <c r="W73" i="10"/>
  <c r="AE73" i="10"/>
  <c r="O73" i="10"/>
  <c r="S73" i="10"/>
  <c r="AC73" i="10"/>
  <c r="AK73" i="10"/>
  <c r="AM73" i="10"/>
  <c r="AY73" i="10"/>
  <c r="AA73" i="10"/>
  <c r="Q73" i="10"/>
  <c r="AW73" i="10"/>
  <c r="AS73" i="10"/>
  <c r="Y73" i="10"/>
  <c r="M73" i="10"/>
  <c r="U73" i="10"/>
  <c r="BA73" i="10"/>
  <c r="AQ73" i="10"/>
  <c r="AU73" i="10"/>
  <c r="AO73" i="10"/>
  <c r="AI73" i="10"/>
  <c r="AG72" i="10"/>
  <c r="W72" i="10"/>
  <c r="AE72" i="10"/>
  <c r="O72" i="10"/>
  <c r="S72" i="10"/>
  <c r="AC72" i="10"/>
  <c r="AK72" i="10"/>
  <c r="AM72" i="10"/>
  <c r="AY72" i="10"/>
  <c r="AA72" i="10"/>
  <c r="Q72" i="10"/>
  <c r="AW72" i="10"/>
  <c r="AS72" i="10"/>
  <c r="Y72" i="10"/>
  <c r="M72" i="10"/>
  <c r="U72" i="10"/>
  <c r="BA72" i="10"/>
  <c r="AQ72" i="10"/>
  <c r="AU72" i="10"/>
  <c r="AO72" i="10"/>
  <c r="AI72" i="10"/>
  <c r="AG71" i="10"/>
  <c r="W71" i="10"/>
  <c r="AE71" i="10"/>
  <c r="O71" i="10"/>
  <c r="S71" i="10"/>
  <c r="AC71" i="10"/>
  <c r="AK71" i="10"/>
  <c r="AM71" i="10"/>
  <c r="AY71" i="10"/>
  <c r="AA71" i="10"/>
  <c r="Q71" i="10"/>
  <c r="AW71" i="10"/>
  <c r="AS71" i="10"/>
  <c r="Y71" i="10"/>
  <c r="M71" i="10"/>
  <c r="U71" i="10"/>
  <c r="BA71" i="10"/>
  <c r="AQ71" i="10"/>
  <c r="AU71" i="10"/>
  <c r="AO71" i="10"/>
  <c r="AI71" i="10"/>
  <c r="AG66" i="10"/>
  <c r="W66" i="10"/>
  <c r="AE66" i="10"/>
  <c r="O66" i="10"/>
  <c r="S66" i="10"/>
  <c r="AC66" i="10"/>
  <c r="AK66" i="10"/>
  <c r="AM66" i="10"/>
  <c r="AY66" i="10"/>
  <c r="AA66" i="10"/>
  <c r="Q66" i="10"/>
  <c r="AW66" i="10"/>
  <c r="AS66" i="10"/>
  <c r="Y66" i="10"/>
  <c r="M66" i="10"/>
  <c r="U66" i="10"/>
  <c r="BA66" i="10"/>
  <c r="AQ66" i="10"/>
  <c r="AU66" i="10"/>
  <c r="AO66" i="10"/>
  <c r="AI66" i="10"/>
  <c r="AG63" i="10"/>
  <c r="W63" i="10"/>
  <c r="AE63" i="10"/>
  <c r="O63" i="10"/>
  <c r="S63" i="10"/>
  <c r="AC63" i="10"/>
  <c r="AK63" i="10"/>
  <c r="AM63" i="10"/>
  <c r="AY63" i="10"/>
  <c r="AA63" i="10"/>
  <c r="Q63" i="10"/>
  <c r="AW63" i="10"/>
  <c r="AS63" i="10"/>
  <c r="Y63" i="10"/>
  <c r="M63" i="10"/>
  <c r="U63" i="10"/>
  <c r="BA63" i="10"/>
  <c r="AQ63" i="10"/>
  <c r="AU63" i="10"/>
  <c r="AO63" i="10"/>
  <c r="AI63" i="10"/>
  <c r="AG62" i="10"/>
  <c r="W62" i="10"/>
  <c r="AE62" i="10"/>
  <c r="O62" i="10"/>
  <c r="S62" i="10"/>
  <c r="AC62" i="10"/>
  <c r="AK62" i="10"/>
  <c r="AM62" i="10"/>
  <c r="AY62" i="10"/>
  <c r="AA62" i="10"/>
  <c r="Q62" i="10"/>
  <c r="AW62" i="10"/>
  <c r="AS62" i="10"/>
  <c r="Y62" i="10"/>
  <c r="M62" i="10"/>
  <c r="U62" i="10"/>
  <c r="BA62" i="10"/>
  <c r="AQ62" i="10"/>
  <c r="AU62" i="10"/>
  <c r="AO62" i="10"/>
  <c r="AI62" i="10"/>
  <c r="AG56" i="10"/>
  <c r="W56" i="10"/>
  <c r="AE56" i="10"/>
  <c r="O56" i="10"/>
  <c r="S56" i="10"/>
  <c r="AC56" i="10"/>
  <c r="AK56" i="10"/>
  <c r="AM56" i="10"/>
  <c r="AY56" i="10"/>
  <c r="AA56" i="10"/>
  <c r="Q56" i="10"/>
  <c r="AW56" i="10"/>
  <c r="AS56" i="10"/>
  <c r="Y56" i="10"/>
  <c r="M56" i="10"/>
  <c r="U56" i="10"/>
  <c r="BA56" i="10"/>
  <c r="AQ56" i="10"/>
  <c r="AU56" i="10"/>
  <c r="AO56" i="10"/>
  <c r="AI56" i="10"/>
  <c r="AG55" i="10"/>
  <c r="W55" i="10"/>
  <c r="AE55" i="10"/>
  <c r="O55" i="10"/>
  <c r="S55" i="10"/>
  <c r="AC55" i="10"/>
  <c r="AK55" i="10"/>
  <c r="AM55" i="10"/>
  <c r="AY55" i="10"/>
  <c r="AA55" i="10"/>
  <c r="Q55" i="10"/>
  <c r="AW55" i="10"/>
  <c r="AS55" i="10"/>
  <c r="Y55" i="10"/>
  <c r="M55" i="10"/>
  <c r="U55" i="10"/>
  <c r="BA55" i="10"/>
  <c r="AQ55" i="10"/>
  <c r="AU55" i="10"/>
  <c r="AO55" i="10"/>
  <c r="AI55" i="10"/>
  <c r="AG49" i="10"/>
  <c r="W49" i="10"/>
  <c r="AE49" i="10"/>
  <c r="O49" i="10"/>
  <c r="S49" i="10"/>
  <c r="AC49" i="10"/>
  <c r="AK49" i="10"/>
  <c r="AM49" i="10"/>
  <c r="AY49" i="10"/>
  <c r="AA49" i="10"/>
  <c r="Q49" i="10"/>
  <c r="AW49" i="10"/>
  <c r="AS49" i="10"/>
  <c r="Y49" i="10"/>
  <c r="M49" i="10"/>
  <c r="U49" i="10"/>
  <c r="BA49" i="10"/>
  <c r="AQ49" i="10"/>
  <c r="AU49" i="10"/>
  <c r="AO49" i="10"/>
  <c r="AI49" i="10"/>
  <c r="AG48" i="10"/>
  <c r="W48" i="10"/>
  <c r="AE48" i="10"/>
  <c r="O48" i="10"/>
  <c r="S48" i="10"/>
  <c r="AC48" i="10"/>
  <c r="AK48" i="10"/>
  <c r="AM48" i="10"/>
  <c r="AY48" i="10"/>
  <c r="AA48" i="10"/>
  <c r="Q48" i="10"/>
  <c r="AW48" i="10"/>
  <c r="AS48" i="10"/>
  <c r="Y48" i="10"/>
  <c r="M48" i="10"/>
  <c r="U48" i="10"/>
  <c r="BA48" i="10"/>
  <c r="AQ48" i="10"/>
  <c r="AU48" i="10"/>
  <c r="AO48" i="10"/>
  <c r="AI48" i="10"/>
  <c r="AG39" i="10"/>
  <c r="W39" i="10"/>
  <c r="AE39" i="10"/>
  <c r="O39" i="10"/>
  <c r="S39" i="10"/>
  <c r="AC39" i="10"/>
  <c r="AK39" i="10"/>
  <c r="AM39" i="10"/>
  <c r="AY39" i="10"/>
  <c r="AA39" i="10"/>
  <c r="Q39" i="10"/>
  <c r="AW39" i="10"/>
  <c r="AS39" i="10"/>
  <c r="Y39" i="10"/>
  <c r="M39" i="10"/>
  <c r="U39" i="10"/>
  <c r="BA39" i="10"/>
  <c r="AQ39" i="10"/>
  <c r="AU39" i="10"/>
  <c r="AO39" i="10"/>
  <c r="AI39" i="10"/>
  <c r="AG36" i="10"/>
  <c r="W36" i="10"/>
  <c r="AE36" i="10"/>
  <c r="O36" i="10"/>
  <c r="S36" i="10"/>
  <c r="AC36" i="10"/>
  <c r="AK36" i="10"/>
  <c r="AM36" i="10"/>
  <c r="AY36" i="10"/>
  <c r="AA36" i="10"/>
  <c r="Q36" i="10"/>
  <c r="AW36" i="10"/>
  <c r="AS36" i="10"/>
  <c r="Y36" i="10"/>
  <c r="M36" i="10"/>
  <c r="U36" i="10"/>
  <c r="BA36" i="10"/>
  <c r="AQ36" i="10"/>
  <c r="AU36" i="10"/>
  <c r="AO36" i="10"/>
  <c r="AI36" i="10"/>
  <c r="AG35" i="10"/>
  <c r="W35" i="10"/>
  <c r="AE35" i="10"/>
  <c r="O35" i="10"/>
  <c r="S35" i="10"/>
  <c r="AC35" i="10"/>
  <c r="AK35" i="10"/>
  <c r="AM35" i="10"/>
  <c r="AY35" i="10"/>
  <c r="AA35" i="10"/>
  <c r="Q35" i="10"/>
  <c r="AW35" i="10"/>
  <c r="AS35" i="10"/>
  <c r="Y35" i="10"/>
  <c r="M35" i="10"/>
  <c r="U35" i="10"/>
  <c r="BA35" i="10"/>
  <c r="AQ35" i="10"/>
  <c r="AU35" i="10"/>
  <c r="AO35" i="10"/>
  <c r="AI35" i="10"/>
  <c r="AG34" i="10"/>
  <c r="W34" i="10"/>
  <c r="AE34" i="10"/>
  <c r="O34" i="10"/>
  <c r="S34" i="10"/>
  <c r="AC34" i="10"/>
  <c r="AK34" i="10"/>
  <c r="AM34" i="10"/>
  <c r="AY34" i="10"/>
  <c r="AA34" i="10"/>
  <c r="Q34" i="10"/>
  <c r="AW34" i="10"/>
  <c r="AS34" i="10"/>
  <c r="Y34" i="10"/>
  <c r="M34" i="10"/>
  <c r="U34" i="10"/>
  <c r="BA34" i="10"/>
  <c r="AQ34" i="10"/>
  <c r="AU34" i="10"/>
  <c r="AO34" i="10"/>
  <c r="AI34" i="10"/>
  <c r="AG29" i="10"/>
  <c r="W29" i="10"/>
  <c r="AE29" i="10"/>
  <c r="O29" i="10"/>
  <c r="S29" i="10"/>
  <c r="AC29" i="10"/>
  <c r="AK29" i="10"/>
  <c r="AM29" i="10"/>
  <c r="AY29" i="10"/>
  <c r="AA29" i="10"/>
  <c r="Q29" i="10"/>
  <c r="AW29" i="10"/>
  <c r="AS29" i="10"/>
  <c r="Y29" i="10"/>
  <c r="M29" i="10"/>
  <c r="U29" i="10"/>
  <c r="BA29" i="10"/>
  <c r="AQ29" i="10"/>
  <c r="AU29" i="10"/>
  <c r="AO29" i="10"/>
  <c r="AI29" i="10"/>
  <c r="AG26" i="10"/>
  <c r="W26" i="10"/>
  <c r="AE26" i="10"/>
  <c r="O26" i="10"/>
  <c r="S26" i="10"/>
  <c r="AC26" i="10"/>
  <c r="AK26" i="10"/>
  <c r="AM26" i="10"/>
  <c r="AY26" i="10"/>
  <c r="AA26" i="10"/>
  <c r="Q26" i="10"/>
  <c r="AW26" i="10"/>
  <c r="AS26" i="10"/>
  <c r="Y26" i="10"/>
  <c r="M26" i="10"/>
  <c r="U26" i="10"/>
  <c r="BA26" i="10"/>
  <c r="AQ26" i="10"/>
  <c r="AU26" i="10"/>
  <c r="AO26" i="10"/>
  <c r="AI26" i="10"/>
  <c r="AG25" i="10"/>
  <c r="W25" i="10"/>
  <c r="AE25" i="10"/>
  <c r="O25" i="10"/>
  <c r="S25" i="10"/>
  <c r="AC25" i="10"/>
  <c r="AK25" i="10"/>
  <c r="AM25" i="10"/>
  <c r="AY25" i="10"/>
  <c r="AA25" i="10"/>
  <c r="Q25" i="10"/>
  <c r="AW25" i="10"/>
  <c r="AS25" i="10"/>
  <c r="Y25" i="10"/>
  <c r="M25" i="10"/>
  <c r="U25" i="10"/>
  <c r="BA25" i="10"/>
  <c r="AQ25" i="10"/>
  <c r="AU25" i="10"/>
  <c r="AO25" i="10"/>
  <c r="AI25" i="10"/>
  <c r="AG22" i="10"/>
  <c r="W22" i="10"/>
  <c r="AE22" i="10"/>
  <c r="O22" i="10"/>
  <c r="S22" i="10"/>
  <c r="AC22" i="10"/>
  <c r="AK22" i="10"/>
  <c r="AM22" i="10"/>
  <c r="AY22" i="10"/>
  <c r="AA22" i="10"/>
  <c r="Q22" i="10"/>
  <c r="AW22" i="10"/>
  <c r="AS22" i="10"/>
  <c r="Y22" i="10"/>
  <c r="M22" i="10"/>
  <c r="U22" i="10"/>
  <c r="BA22" i="10"/>
  <c r="AQ22" i="10"/>
  <c r="AU22" i="10"/>
  <c r="AO22" i="10"/>
  <c r="AI22" i="10"/>
  <c r="AG18" i="10"/>
  <c r="W18" i="10"/>
  <c r="AE18" i="10"/>
  <c r="O18" i="10"/>
  <c r="S18" i="10"/>
  <c r="AC18" i="10"/>
  <c r="AK18" i="10"/>
  <c r="AM18" i="10"/>
  <c r="AY18" i="10"/>
  <c r="AA18" i="10"/>
  <c r="Q18" i="10"/>
  <c r="AW18" i="10"/>
  <c r="AS18" i="10"/>
  <c r="Y18" i="10"/>
  <c r="M18" i="10"/>
  <c r="U18" i="10"/>
  <c r="BA18" i="10"/>
  <c r="AQ18" i="10"/>
  <c r="AU18" i="10"/>
  <c r="AO18" i="10"/>
  <c r="AI18" i="10"/>
  <c r="AG17" i="10"/>
  <c r="W17" i="10"/>
  <c r="AE17" i="10"/>
  <c r="O17" i="10"/>
  <c r="S17" i="10"/>
  <c r="AC17" i="10"/>
  <c r="AK17" i="10"/>
  <c r="AM17" i="10"/>
  <c r="AY17" i="10"/>
  <c r="AA17" i="10"/>
  <c r="Q17" i="10"/>
  <c r="AW17" i="10"/>
  <c r="AS17" i="10"/>
  <c r="Y17" i="10"/>
  <c r="M17" i="10"/>
  <c r="U17" i="10"/>
  <c r="BA17" i="10"/>
  <c r="AQ17" i="10"/>
  <c r="AU17" i="10"/>
  <c r="AO17" i="10"/>
  <c r="AI17" i="10"/>
  <c r="AG13" i="10"/>
  <c r="W13" i="10"/>
  <c r="AE13" i="10"/>
  <c r="O13" i="10"/>
  <c r="S13" i="10"/>
  <c r="AC13" i="10"/>
  <c r="AK13" i="10"/>
  <c r="AM13" i="10"/>
  <c r="AY13" i="10"/>
  <c r="AA13" i="10"/>
  <c r="Q13" i="10"/>
  <c r="AW13" i="10"/>
  <c r="AS13" i="10"/>
  <c r="Y13" i="10"/>
  <c r="M13" i="10"/>
  <c r="U13" i="10"/>
  <c r="BA13" i="10"/>
  <c r="AQ13" i="10"/>
  <c r="AU13" i="10"/>
  <c r="AO13" i="10"/>
  <c r="AI13" i="10"/>
  <c r="AG12" i="10"/>
  <c r="W12" i="10"/>
  <c r="AE12" i="10"/>
  <c r="O12" i="10"/>
  <c r="S12" i="10"/>
  <c r="AC12" i="10"/>
  <c r="AK12" i="10"/>
  <c r="AM12" i="10"/>
  <c r="AY12" i="10"/>
  <c r="AA12" i="10"/>
  <c r="Q12" i="10"/>
  <c r="AW12" i="10"/>
  <c r="AS12" i="10"/>
  <c r="Y12" i="10"/>
  <c r="M12" i="10"/>
  <c r="U12" i="10"/>
  <c r="BA12" i="10"/>
  <c r="AQ12" i="10"/>
  <c r="AU12" i="10"/>
  <c r="AO12" i="10"/>
  <c r="AI12" i="10"/>
  <c r="L288" i="9"/>
  <c r="L289" i="9"/>
  <c r="M289" i="9"/>
  <c r="M288" i="9"/>
  <c r="P288" i="9"/>
  <c r="P289" i="9"/>
  <c r="Q289" i="9"/>
  <c r="Q288" i="9"/>
  <c r="R288" i="9"/>
  <c r="R289" i="9"/>
  <c r="S289" i="9"/>
  <c r="S288" i="9"/>
  <c r="AD288" i="9"/>
  <c r="AD289" i="9"/>
  <c r="AE289" i="9"/>
  <c r="AE288" i="9"/>
  <c r="AB288" i="9"/>
  <c r="AB289" i="9"/>
  <c r="AC289" i="9"/>
  <c r="AC288" i="9"/>
  <c r="X288" i="9"/>
  <c r="X289" i="9"/>
  <c r="Y289" i="9"/>
  <c r="Y288" i="9"/>
  <c r="AF288" i="9"/>
  <c r="AF289" i="9"/>
  <c r="AG288" i="9"/>
  <c r="V288" i="9"/>
  <c r="V289" i="9"/>
  <c r="W289" i="9"/>
  <c r="W288" i="9"/>
  <c r="Z288" i="9"/>
  <c r="Z289" i="9"/>
  <c r="AA289" i="9"/>
  <c r="AA288" i="9"/>
  <c r="T288" i="9"/>
  <c r="T289" i="9"/>
  <c r="U289" i="9"/>
  <c r="U288" i="9"/>
  <c r="N289" i="9"/>
  <c r="N288" i="9"/>
  <c r="AZ158" i="5"/>
  <c r="AZ159" i="5"/>
  <c r="BA159" i="5"/>
  <c r="I158" i="5"/>
  <c r="BA158" i="5"/>
  <c r="AX158" i="5"/>
  <c r="AX159" i="5"/>
  <c r="AY159" i="5"/>
  <c r="AY158" i="5"/>
  <c r="AV158" i="5"/>
  <c r="AV159" i="5"/>
  <c r="AW159" i="5"/>
  <c r="AW158" i="5"/>
  <c r="AT158" i="5"/>
  <c r="AT159" i="5"/>
  <c r="AU159" i="5"/>
  <c r="AU158" i="5"/>
  <c r="AR158" i="5"/>
  <c r="AR159" i="5"/>
  <c r="AS159" i="5"/>
  <c r="AS158" i="5"/>
  <c r="AP158" i="5"/>
  <c r="AP159" i="5"/>
  <c r="AQ159" i="5"/>
  <c r="AQ158" i="5"/>
  <c r="AN158" i="5"/>
  <c r="AN159" i="5"/>
  <c r="AO159" i="5"/>
  <c r="AO158" i="5"/>
  <c r="AL158" i="5"/>
  <c r="AL159" i="5"/>
  <c r="AM159" i="5"/>
  <c r="AM158" i="5"/>
  <c r="AJ158" i="5"/>
  <c r="AJ159" i="5"/>
  <c r="AK159" i="5"/>
  <c r="AK158" i="5"/>
  <c r="AH158" i="5"/>
  <c r="AH159" i="5"/>
  <c r="AI159" i="5"/>
  <c r="AI158" i="5"/>
  <c r="AF158" i="5"/>
  <c r="AF159" i="5"/>
  <c r="AG159" i="5"/>
  <c r="AG158" i="5"/>
  <c r="AD158" i="5"/>
  <c r="AD159" i="5"/>
  <c r="AE159" i="5"/>
  <c r="AE158" i="5"/>
  <c r="AB158" i="5"/>
  <c r="AB159" i="5"/>
  <c r="AC159" i="5"/>
  <c r="AC158" i="5"/>
  <c r="Z158" i="5"/>
  <c r="Z159" i="5"/>
  <c r="AA159" i="5"/>
  <c r="AA158" i="5"/>
  <c r="X158" i="5"/>
  <c r="X159" i="5"/>
  <c r="Y159" i="5"/>
  <c r="Y158" i="5"/>
  <c r="V158" i="5"/>
  <c r="V159" i="5"/>
  <c r="W159" i="5"/>
  <c r="W158" i="5"/>
  <c r="R158" i="5"/>
  <c r="R159" i="5"/>
  <c r="S159" i="5"/>
  <c r="P158" i="5"/>
  <c r="P159" i="5"/>
  <c r="Q159" i="5"/>
  <c r="N158" i="5"/>
  <c r="N159" i="5"/>
  <c r="O159" i="5"/>
  <c r="L158" i="5"/>
  <c r="L159" i="5"/>
  <c r="M159" i="5"/>
  <c r="T158" i="5"/>
  <c r="T159" i="5"/>
  <c r="U158" i="5"/>
  <c r="S158" i="5"/>
  <c r="Q158" i="5"/>
  <c r="O158" i="5"/>
  <c r="V137" i="9"/>
  <c r="V138" i="9"/>
  <c r="W138" i="9"/>
  <c r="W137" i="9"/>
  <c r="AD137" i="9"/>
  <c r="AD138" i="9"/>
  <c r="AE138" i="9"/>
  <c r="AE137" i="9"/>
  <c r="N137" i="9"/>
  <c r="N138" i="9"/>
  <c r="O138" i="9"/>
  <c r="O137" i="9"/>
  <c r="R137" i="9"/>
  <c r="R138" i="9"/>
  <c r="S138" i="9"/>
  <c r="S137" i="9"/>
  <c r="AB137" i="9"/>
  <c r="AB138" i="9"/>
  <c r="AC138" i="9"/>
  <c r="AC137" i="9"/>
  <c r="Z137" i="9"/>
  <c r="Z138" i="9"/>
  <c r="AA138" i="9"/>
  <c r="AA137" i="9"/>
  <c r="P137" i="9"/>
  <c r="P138" i="9"/>
  <c r="Q138" i="9"/>
  <c r="Q137" i="9"/>
  <c r="L137" i="9"/>
  <c r="L138" i="9"/>
  <c r="M138" i="9"/>
  <c r="M137" i="9"/>
  <c r="T137" i="9"/>
  <c r="T138" i="9"/>
  <c r="O289" i="9"/>
  <c r="O288" i="9"/>
  <c r="U138" i="9"/>
  <c r="U137" i="9"/>
  <c r="W31" i="9"/>
  <c r="AE31" i="9"/>
  <c r="O31" i="9"/>
  <c r="S31" i="9"/>
  <c r="AC31" i="9"/>
  <c r="AA31" i="9"/>
  <c r="Q31" i="9"/>
  <c r="M31" i="9"/>
  <c r="U31" i="9"/>
  <c r="AF57" i="7"/>
  <c r="AF58" i="7"/>
  <c r="AG58" i="7"/>
  <c r="X57" i="7"/>
  <c r="X58" i="7"/>
  <c r="Y58" i="7"/>
  <c r="AD57" i="7"/>
  <c r="AD58" i="7"/>
  <c r="AE58" i="7"/>
  <c r="N57" i="7"/>
  <c r="N58" i="7"/>
  <c r="O58" i="7"/>
  <c r="R57" i="7"/>
  <c r="R58" i="7"/>
  <c r="S58" i="7"/>
  <c r="AB57" i="7"/>
  <c r="AB58" i="7"/>
  <c r="AC58" i="7"/>
  <c r="AJ57" i="7"/>
  <c r="AJ58" i="7"/>
  <c r="AK58" i="7"/>
  <c r="AL57" i="7"/>
  <c r="AL58" i="7"/>
  <c r="AM58" i="7"/>
  <c r="AX57" i="7"/>
  <c r="AX58" i="7"/>
  <c r="AY58" i="7"/>
  <c r="Z57" i="7"/>
  <c r="Z58" i="7"/>
  <c r="AA58" i="7"/>
  <c r="P57" i="7"/>
  <c r="P58" i="7"/>
  <c r="Q58" i="7"/>
  <c r="AV57" i="7"/>
  <c r="AV58" i="7"/>
  <c r="AW58" i="7"/>
  <c r="AR57" i="7"/>
  <c r="AR58" i="7"/>
  <c r="AS58" i="7"/>
  <c r="V57" i="7"/>
  <c r="V58" i="7"/>
  <c r="W58" i="7"/>
  <c r="L57" i="7"/>
  <c r="L58" i="7"/>
  <c r="M58" i="7"/>
  <c r="T57" i="7"/>
  <c r="T58" i="7"/>
  <c r="U58" i="7"/>
  <c r="AZ58" i="7"/>
  <c r="AP57" i="7"/>
  <c r="AP58" i="7"/>
  <c r="AQ58" i="7"/>
  <c r="AT57" i="7"/>
  <c r="AT58" i="7"/>
  <c r="AU58" i="7"/>
  <c r="AN57" i="7"/>
  <c r="AN58" i="7"/>
  <c r="AO58" i="7"/>
  <c r="AH57" i="7"/>
  <c r="AH58" i="7"/>
  <c r="AI58" i="7"/>
  <c r="I57" i="7"/>
  <c r="AG57" i="7"/>
  <c r="Y57" i="7"/>
  <c r="AE57" i="7"/>
  <c r="O57" i="7"/>
  <c r="S57" i="7"/>
  <c r="AC57" i="7"/>
  <c r="AK57" i="7"/>
  <c r="AM57" i="7"/>
  <c r="AY57" i="7"/>
  <c r="AA57" i="7"/>
  <c r="Q57" i="7"/>
  <c r="AW57" i="7"/>
  <c r="AS57" i="7"/>
  <c r="W57" i="7"/>
  <c r="M57" i="7"/>
  <c r="U57" i="7"/>
  <c r="AZ57" i="7"/>
  <c r="BA57" i="7"/>
  <c r="AQ57" i="7"/>
  <c r="AU57" i="7"/>
  <c r="AO57" i="7"/>
  <c r="AI57" i="7"/>
  <c r="AG56" i="7"/>
  <c r="Y56" i="7"/>
  <c r="AE56" i="7"/>
  <c r="O56" i="7"/>
  <c r="S56" i="7"/>
  <c r="AC56" i="7"/>
  <c r="AK56" i="7"/>
  <c r="AM56" i="7"/>
  <c r="AY56" i="7"/>
  <c r="AA56" i="7"/>
  <c r="Q56" i="7"/>
  <c r="AW56" i="7"/>
  <c r="AS56" i="7"/>
  <c r="W56" i="7"/>
  <c r="M56" i="7"/>
  <c r="U56" i="7"/>
  <c r="BA56" i="7"/>
  <c r="AQ56" i="7"/>
  <c r="AU56" i="7"/>
  <c r="AO56" i="7"/>
  <c r="AI56" i="7"/>
  <c r="BA152" i="5"/>
  <c r="BA150" i="5"/>
  <c r="BA149" i="5"/>
  <c r="BA148" i="5"/>
  <c r="BA143" i="5"/>
  <c r="BA136" i="5"/>
  <c r="BA135" i="5"/>
  <c r="BA129" i="5"/>
  <c r="BA128" i="5"/>
  <c r="BA124" i="5"/>
  <c r="BA122" i="5"/>
  <c r="BA121" i="5"/>
  <c r="BA119" i="5"/>
  <c r="BA114" i="5"/>
  <c r="BA108" i="5"/>
  <c r="BA103" i="5"/>
  <c r="BA101" i="5"/>
  <c r="BA95" i="5"/>
  <c r="BA94" i="5"/>
  <c r="BA89" i="5"/>
  <c r="BA96" i="5"/>
  <c r="BA85" i="5"/>
  <c r="BA83" i="5"/>
  <c r="BA82" i="5"/>
  <c r="BA80" i="5"/>
  <c r="BA79" i="5"/>
  <c r="BA75" i="5"/>
  <c r="BA74" i="5"/>
  <c r="BA73" i="5"/>
  <c r="BA68" i="5"/>
  <c r="BA65" i="5"/>
  <c r="BA21" i="5"/>
  <c r="BA59" i="5"/>
  <c r="BA58" i="5"/>
  <c r="BA52" i="5"/>
  <c r="BA50" i="5"/>
  <c r="BA38" i="5"/>
  <c r="BA37" i="5"/>
  <c r="BA39" i="5"/>
  <c r="BA36" i="5"/>
  <c r="BA35" i="5"/>
  <c r="BA29" i="5"/>
  <c r="BA26" i="5"/>
  <c r="BA25" i="5"/>
  <c r="BA22" i="5"/>
  <c r="BA17" i="5"/>
  <c r="BA87" i="5"/>
  <c r="BA14" i="5"/>
  <c r="BA12" i="5"/>
  <c r="AY152" i="5"/>
  <c r="AY150" i="5"/>
  <c r="AY149" i="5"/>
  <c r="AY148" i="5"/>
  <c r="AY143" i="5"/>
  <c r="AY136" i="5"/>
  <c r="AY135" i="5"/>
  <c r="AY129" i="5"/>
  <c r="AY128" i="5"/>
  <c r="AY124" i="5"/>
  <c r="AY122" i="5"/>
  <c r="AY121" i="5"/>
  <c r="AY119" i="5"/>
  <c r="AY114" i="5"/>
  <c r="AY108" i="5"/>
  <c r="AY103" i="5"/>
  <c r="AY101" i="5"/>
  <c r="AY95" i="5"/>
  <c r="AY94" i="5"/>
  <c r="AY89" i="5"/>
  <c r="AY96" i="5"/>
  <c r="AY85" i="5"/>
  <c r="AY83" i="5"/>
  <c r="AY82" i="5"/>
  <c r="AY80" i="5"/>
  <c r="AY79" i="5"/>
  <c r="AY75" i="5"/>
  <c r="AY74" i="5"/>
  <c r="AY73" i="5"/>
  <c r="AY68" i="5"/>
  <c r="AY65" i="5"/>
  <c r="AY21" i="5"/>
  <c r="AY59" i="5"/>
  <c r="AY58" i="5"/>
  <c r="AY52" i="5"/>
  <c r="AY50" i="5"/>
  <c r="AY38" i="5"/>
  <c r="AY37" i="5"/>
  <c r="AY39" i="5"/>
  <c r="AY36" i="5"/>
  <c r="AY35" i="5"/>
  <c r="AY29" i="5"/>
  <c r="AY26" i="5"/>
  <c r="AY25" i="5"/>
  <c r="AY22" i="5"/>
  <c r="AY17" i="5"/>
  <c r="AY87" i="5"/>
  <c r="AY14" i="5"/>
  <c r="AY12" i="5"/>
  <c r="AW152" i="5"/>
  <c r="AW150" i="5"/>
  <c r="AW149" i="5"/>
  <c r="AW148" i="5"/>
  <c r="AW143" i="5"/>
  <c r="AW136" i="5"/>
  <c r="AW135" i="5"/>
  <c r="AW129" i="5"/>
  <c r="AW128" i="5"/>
  <c r="AW124" i="5"/>
  <c r="AW122" i="5"/>
  <c r="AW121" i="5"/>
  <c r="AW119" i="5"/>
  <c r="AW114" i="5"/>
  <c r="AW108" i="5"/>
  <c r="AW103" i="5"/>
  <c r="AW101" i="5"/>
  <c r="AW95" i="5"/>
  <c r="AW94" i="5"/>
  <c r="AW89" i="5"/>
  <c r="AW96" i="5"/>
  <c r="AW85" i="5"/>
  <c r="AW83" i="5"/>
  <c r="AW82" i="5"/>
  <c r="AW80" i="5"/>
  <c r="AW79" i="5"/>
  <c r="AW75" i="5"/>
  <c r="AW74" i="5"/>
  <c r="AW73" i="5"/>
  <c r="AW68" i="5"/>
  <c r="AW65" i="5"/>
  <c r="AW21" i="5"/>
  <c r="AW59" i="5"/>
  <c r="AW58" i="5"/>
  <c r="AW52" i="5"/>
  <c r="AW50" i="5"/>
  <c r="AW38" i="5"/>
  <c r="AW37" i="5"/>
  <c r="AW39" i="5"/>
  <c r="AW36" i="5"/>
  <c r="AW35" i="5"/>
  <c r="AW29" i="5"/>
  <c r="AW26" i="5"/>
  <c r="AW25" i="5"/>
  <c r="AW22" i="5"/>
  <c r="AW17" i="5"/>
  <c r="AW87" i="5"/>
  <c r="AW14" i="5"/>
  <c r="AW12" i="5"/>
  <c r="AU152" i="5"/>
  <c r="AU150" i="5"/>
  <c r="AU149" i="5"/>
  <c r="AU148" i="5"/>
  <c r="AU143" i="5"/>
  <c r="AU136" i="5"/>
  <c r="AU135" i="5"/>
  <c r="AU129" i="5"/>
  <c r="AU128" i="5"/>
  <c r="AU124" i="5"/>
  <c r="AU122" i="5"/>
  <c r="AU121" i="5"/>
  <c r="AU119" i="5"/>
  <c r="AU114" i="5"/>
  <c r="AU108" i="5"/>
  <c r="AU103" i="5"/>
  <c r="AU101" i="5"/>
  <c r="AU95" i="5"/>
  <c r="AU94" i="5"/>
  <c r="AU89" i="5"/>
  <c r="AU96" i="5"/>
  <c r="AU85" i="5"/>
  <c r="AU83" i="5"/>
  <c r="AU82" i="5"/>
  <c r="AU80" i="5"/>
  <c r="AU79" i="5"/>
  <c r="AU75" i="5"/>
  <c r="AU74" i="5"/>
  <c r="AU73" i="5"/>
  <c r="AU68" i="5"/>
  <c r="AU65" i="5"/>
  <c r="AU21" i="5"/>
  <c r="AU59" i="5"/>
  <c r="AU58" i="5"/>
  <c r="AU52" i="5"/>
  <c r="AU50" i="5"/>
  <c r="AU38" i="5"/>
  <c r="AU37" i="5"/>
  <c r="AU39" i="5"/>
  <c r="AU36" i="5"/>
  <c r="AU35" i="5"/>
  <c r="AU29" i="5"/>
  <c r="AU26" i="5"/>
  <c r="AU25" i="5"/>
  <c r="AU22" i="5"/>
  <c r="AU17" i="5"/>
  <c r="AU87" i="5"/>
  <c r="AU14" i="5"/>
  <c r="AU12" i="5"/>
  <c r="AS152" i="5"/>
  <c r="AS150" i="5"/>
  <c r="AS149" i="5"/>
  <c r="AS148" i="5"/>
  <c r="AS143" i="5"/>
  <c r="AS136" i="5"/>
  <c r="AS135" i="5"/>
  <c r="AS129" i="5"/>
  <c r="AS128" i="5"/>
  <c r="AS124" i="5"/>
  <c r="AS122" i="5"/>
  <c r="AS121" i="5"/>
  <c r="AS119" i="5"/>
  <c r="AS114" i="5"/>
  <c r="AS108" i="5"/>
  <c r="AS103" i="5"/>
  <c r="AS101" i="5"/>
  <c r="AS95" i="5"/>
  <c r="AS94" i="5"/>
  <c r="AS89" i="5"/>
  <c r="AS96" i="5"/>
  <c r="AS85" i="5"/>
  <c r="AS83" i="5"/>
  <c r="AS82" i="5"/>
  <c r="AS80" i="5"/>
  <c r="AS79" i="5"/>
  <c r="AS75" i="5"/>
  <c r="AS74" i="5"/>
  <c r="AS73" i="5"/>
  <c r="AS68" i="5"/>
  <c r="AS65" i="5"/>
  <c r="AS21" i="5"/>
  <c r="AS59" i="5"/>
  <c r="AS58" i="5"/>
  <c r="AS52" i="5"/>
  <c r="AS50" i="5"/>
  <c r="AS38" i="5"/>
  <c r="AS37" i="5"/>
  <c r="AS39" i="5"/>
  <c r="AS36" i="5"/>
  <c r="AS35" i="5"/>
  <c r="AS29" i="5"/>
  <c r="AS26" i="5"/>
  <c r="AS25" i="5"/>
  <c r="AS22" i="5"/>
  <c r="AS17" i="5"/>
  <c r="AS87" i="5"/>
  <c r="AS14" i="5"/>
  <c r="AS12" i="5"/>
  <c r="AQ152" i="5"/>
  <c r="AQ150" i="5"/>
  <c r="AQ149" i="5"/>
  <c r="AQ148" i="5"/>
  <c r="AQ143" i="5"/>
  <c r="AQ136" i="5"/>
  <c r="AQ135" i="5"/>
  <c r="AQ129" i="5"/>
  <c r="AQ128" i="5"/>
  <c r="AQ124" i="5"/>
  <c r="AQ122" i="5"/>
  <c r="AQ121" i="5"/>
  <c r="AQ119" i="5"/>
  <c r="AQ114" i="5"/>
  <c r="AQ108" i="5"/>
  <c r="AQ103" i="5"/>
  <c r="AQ101" i="5"/>
  <c r="AQ95" i="5"/>
  <c r="AQ94" i="5"/>
  <c r="AQ89" i="5"/>
  <c r="AQ96" i="5"/>
  <c r="AQ85" i="5"/>
  <c r="AQ83" i="5"/>
  <c r="AQ82" i="5"/>
  <c r="AQ80" i="5"/>
  <c r="AQ79" i="5"/>
  <c r="AQ75" i="5"/>
  <c r="AQ74" i="5"/>
  <c r="AQ73" i="5"/>
  <c r="AQ68" i="5"/>
  <c r="AQ65" i="5"/>
  <c r="AQ21" i="5"/>
  <c r="AQ59" i="5"/>
  <c r="AQ58" i="5"/>
  <c r="AQ52" i="5"/>
  <c r="AQ50" i="5"/>
  <c r="AQ38" i="5"/>
  <c r="AQ37" i="5"/>
  <c r="AQ39" i="5"/>
  <c r="AQ36" i="5"/>
  <c r="AQ35" i="5"/>
  <c r="AQ29" i="5"/>
  <c r="AQ26" i="5"/>
  <c r="AQ25" i="5"/>
  <c r="AQ22" i="5"/>
  <c r="AQ17" i="5"/>
  <c r="AQ87" i="5"/>
  <c r="AQ14" i="5"/>
  <c r="AQ12" i="5"/>
  <c r="AO152" i="5"/>
  <c r="AO150" i="5"/>
  <c r="AO149" i="5"/>
  <c r="AO148" i="5"/>
  <c r="AO143" i="5"/>
  <c r="AO136" i="5"/>
  <c r="AO135" i="5"/>
  <c r="AO129" i="5"/>
  <c r="AO128" i="5"/>
  <c r="AO124" i="5"/>
  <c r="AO122" i="5"/>
  <c r="AO121" i="5"/>
  <c r="AO119" i="5"/>
  <c r="AO114" i="5"/>
  <c r="AO108" i="5"/>
  <c r="AO103" i="5"/>
  <c r="AO101" i="5"/>
  <c r="AO95" i="5"/>
  <c r="AO94" i="5"/>
  <c r="AO89" i="5"/>
  <c r="AO96" i="5"/>
  <c r="AO85" i="5"/>
  <c r="AO83" i="5"/>
  <c r="AO82" i="5"/>
  <c r="AO80" i="5"/>
  <c r="AO79" i="5"/>
  <c r="AO75" i="5"/>
  <c r="AO74" i="5"/>
  <c r="AO73" i="5"/>
  <c r="AO68" i="5"/>
  <c r="AO65" i="5"/>
  <c r="AO21" i="5"/>
  <c r="AO59" i="5"/>
  <c r="AO58" i="5"/>
  <c r="AO52" i="5"/>
  <c r="AO50" i="5"/>
  <c r="AO38" i="5"/>
  <c r="AO37" i="5"/>
  <c r="AO39" i="5"/>
  <c r="AO36" i="5"/>
  <c r="AO35" i="5"/>
  <c r="AO29" i="5"/>
  <c r="AO26" i="5"/>
  <c r="AO25" i="5"/>
  <c r="AO22" i="5"/>
  <c r="AO17" i="5"/>
  <c r="AO87" i="5"/>
  <c r="AO14" i="5"/>
  <c r="AO12" i="5"/>
  <c r="AM152" i="5"/>
  <c r="AM150" i="5"/>
  <c r="AM149" i="5"/>
  <c r="AM148" i="5"/>
  <c r="AM143" i="5"/>
  <c r="AM136" i="5"/>
  <c r="AM135" i="5"/>
  <c r="AM129" i="5"/>
  <c r="AM128" i="5"/>
  <c r="AM124" i="5"/>
  <c r="AM122" i="5"/>
  <c r="AM121" i="5"/>
  <c r="AM119" i="5"/>
  <c r="AM114" i="5"/>
  <c r="AM108" i="5"/>
  <c r="AM103" i="5"/>
  <c r="AM101" i="5"/>
  <c r="AM95" i="5"/>
  <c r="AM94" i="5"/>
  <c r="AM89" i="5"/>
  <c r="AM96" i="5"/>
  <c r="AM85" i="5"/>
  <c r="AM83" i="5"/>
  <c r="AM82" i="5"/>
  <c r="AM80" i="5"/>
  <c r="AM79" i="5"/>
  <c r="AM75" i="5"/>
  <c r="AM74" i="5"/>
  <c r="AM73" i="5"/>
  <c r="AM68" i="5"/>
  <c r="AM65" i="5"/>
  <c r="AM21" i="5"/>
  <c r="AM59" i="5"/>
  <c r="AM58" i="5"/>
  <c r="AM52" i="5"/>
  <c r="AM50" i="5"/>
  <c r="AM38" i="5"/>
  <c r="AM37" i="5"/>
  <c r="AM39" i="5"/>
  <c r="AM36" i="5"/>
  <c r="AM35" i="5"/>
  <c r="AM29" i="5"/>
  <c r="AM26" i="5"/>
  <c r="AM25" i="5"/>
  <c r="AM22" i="5"/>
  <c r="AM17" i="5"/>
  <c r="AM87" i="5"/>
  <c r="AM14" i="5"/>
  <c r="AM12" i="5"/>
  <c r="AK152" i="5"/>
  <c r="AK150" i="5"/>
  <c r="AK149" i="5"/>
  <c r="AK148" i="5"/>
  <c r="AK143" i="5"/>
  <c r="AK136" i="5"/>
  <c r="AK135" i="5"/>
  <c r="AK129" i="5"/>
  <c r="AK128" i="5"/>
  <c r="AK124" i="5"/>
  <c r="AK122" i="5"/>
  <c r="AK121" i="5"/>
  <c r="AK119" i="5"/>
  <c r="AK114" i="5"/>
  <c r="AK108" i="5"/>
  <c r="AK103" i="5"/>
  <c r="AK101" i="5"/>
  <c r="AK95" i="5"/>
  <c r="AK94" i="5"/>
  <c r="AK89" i="5"/>
  <c r="AK96" i="5"/>
  <c r="AK85" i="5"/>
  <c r="AK83" i="5"/>
  <c r="AK82" i="5"/>
  <c r="AK80" i="5"/>
  <c r="AK79" i="5"/>
  <c r="AK75" i="5"/>
  <c r="AK74" i="5"/>
  <c r="AK73" i="5"/>
  <c r="AK68" i="5"/>
  <c r="AK65" i="5"/>
  <c r="AK21" i="5"/>
  <c r="AK59" i="5"/>
  <c r="AK58" i="5"/>
  <c r="AK52" i="5"/>
  <c r="AK50" i="5"/>
  <c r="AK38" i="5"/>
  <c r="AK37" i="5"/>
  <c r="AK39" i="5"/>
  <c r="AK36" i="5"/>
  <c r="AK35" i="5"/>
  <c r="AK29" i="5"/>
  <c r="AK26" i="5"/>
  <c r="AK25" i="5"/>
  <c r="AK22" i="5"/>
  <c r="AK17" i="5"/>
  <c r="AK87" i="5"/>
  <c r="AK14" i="5"/>
  <c r="AK12" i="5"/>
  <c r="AI152" i="5"/>
  <c r="AI150" i="5"/>
  <c r="AI149" i="5"/>
  <c r="AI148" i="5"/>
  <c r="AI143" i="5"/>
  <c r="AI136" i="5"/>
  <c r="AI135" i="5"/>
  <c r="AI129" i="5"/>
  <c r="AI128" i="5"/>
  <c r="AI124" i="5"/>
  <c r="AI122" i="5"/>
  <c r="AI121" i="5"/>
  <c r="AI119" i="5"/>
  <c r="AI114" i="5"/>
  <c r="AI108" i="5"/>
  <c r="AI103" i="5"/>
  <c r="AI101" i="5"/>
  <c r="AI95" i="5"/>
  <c r="AI94" i="5"/>
  <c r="AI89" i="5"/>
  <c r="AI96" i="5"/>
  <c r="AI85" i="5"/>
  <c r="AI83" i="5"/>
  <c r="AI82" i="5"/>
  <c r="AI80" i="5"/>
  <c r="AI79" i="5"/>
  <c r="AI75" i="5"/>
  <c r="AI74" i="5"/>
  <c r="AI73" i="5"/>
  <c r="AI68" i="5"/>
  <c r="AI65" i="5"/>
  <c r="AI21" i="5"/>
  <c r="AI59" i="5"/>
  <c r="AI58" i="5"/>
  <c r="AI52" i="5"/>
  <c r="AI50" i="5"/>
  <c r="AI38" i="5"/>
  <c r="AI37" i="5"/>
  <c r="AI39" i="5"/>
  <c r="AI36" i="5"/>
  <c r="AI35" i="5"/>
  <c r="AI29" i="5"/>
  <c r="AI26" i="5"/>
  <c r="AI25" i="5"/>
  <c r="AI22" i="5"/>
  <c r="AI17" i="5"/>
  <c r="AI87" i="5"/>
  <c r="AI14" i="5"/>
  <c r="AI12" i="5"/>
  <c r="AG152" i="5"/>
  <c r="AG150" i="5"/>
  <c r="AG149" i="5"/>
  <c r="AG148" i="5"/>
  <c r="AG143" i="5"/>
  <c r="AG136" i="5"/>
  <c r="AG135" i="5"/>
  <c r="AG129" i="5"/>
  <c r="AG128" i="5"/>
  <c r="AG124" i="5"/>
  <c r="AG122" i="5"/>
  <c r="AG121" i="5"/>
  <c r="AG119" i="5"/>
  <c r="AG114" i="5"/>
  <c r="AG108" i="5"/>
  <c r="AG103" i="5"/>
  <c r="AG101" i="5"/>
  <c r="AG95" i="5"/>
  <c r="AG94" i="5"/>
  <c r="AG89" i="5"/>
  <c r="AG96" i="5"/>
  <c r="AG85" i="5"/>
  <c r="AG83" i="5"/>
  <c r="AG82" i="5"/>
  <c r="AG80" i="5"/>
  <c r="AG79" i="5"/>
  <c r="AG75" i="5"/>
  <c r="AG74" i="5"/>
  <c r="AG73" i="5"/>
  <c r="AG68" i="5"/>
  <c r="AG65" i="5"/>
  <c r="AG21" i="5"/>
  <c r="AG59" i="5"/>
  <c r="AG58" i="5"/>
  <c r="AG52" i="5"/>
  <c r="AG50" i="5"/>
  <c r="AG38" i="5"/>
  <c r="AG37" i="5"/>
  <c r="AG39" i="5"/>
  <c r="AG36" i="5"/>
  <c r="AG35" i="5"/>
  <c r="AG29" i="5"/>
  <c r="AG26" i="5"/>
  <c r="AG25" i="5"/>
  <c r="AG22" i="5"/>
  <c r="AG17" i="5"/>
  <c r="AG87" i="5"/>
  <c r="AG14" i="5"/>
  <c r="AG12" i="5"/>
  <c r="AE152" i="5"/>
  <c r="AE150" i="5"/>
  <c r="AE149" i="5"/>
  <c r="AE148" i="5"/>
  <c r="AE143" i="5"/>
  <c r="AE136" i="5"/>
  <c r="AE135" i="5"/>
  <c r="AE129" i="5"/>
  <c r="AE128" i="5"/>
  <c r="AE124" i="5"/>
  <c r="AE122" i="5"/>
  <c r="AE121" i="5"/>
  <c r="AE119" i="5"/>
  <c r="AE114" i="5"/>
  <c r="AE108" i="5"/>
  <c r="AE103" i="5"/>
  <c r="AE101" i="5"/>
  <c r="AE95" i="5"/>
  <c r="AE94" i="5"/>
  <c r="AE89" i="5"/>
  <c r="AE96" i="5"/>
  <c r="AE85" i="5"/>
  <c r="AE83" i="5"/>
  <c r="AE82" i="5"/>
  <c r="AE80" i="5"/>
  <c r="AE79" i="5"/>
  <c r="AE75" i="5"/>
  <c r="AE74" i="5"/>
  <c r="AE73" i="5"/>
  <c r="AE68" i="5"/>
  <c r="AE65" i="5"/>
  <c r="AE21" i="5"/>
  <c r="AE59" i="5"/>
  <c r="AE58" i="5"/>
  <c r="AE52" i="5"/>
  <c r="AE50" i="5"/>
  <c r="AE38" i="5"/>
  <c r="AE37" i="5"/>
  <c r="AE39" i="5"/>
  <c r="AE36" i="5"/>
  <c r="AE35" i="5"/>
  <c r="AE29" i="5"/>
  <c r="AE26" i="5"/>
  <c r="AE25" i="5"/>
  <c r="AE22" i="5"/>
  <c r="AE17" i="5"/>
  <c r="AE87" i="5"/>
  <c r="AE14" i="5"/>
  <c r="AE12" i="5"/>
  <c r="AC152" i="5"/>
  <c r="AC150" i="5"/>
  <c r="AC149" i="5"/>
  <c r="AC148" i="5"/>
  <c r="AC143" i="5"/>
  <c r="AC136" i="5"/>
  <c r="AC135" i="5"/>
  <c r="AC129" i="5"/>
  <c r="AC128" i="5"/>
  <c r="AC124" i="5"/>
  <c r="AC122" i="5"/>
  <c r="AC121" i="5"/>
  <c r="AC119" i="5"/>
  <c r="AC114" i="5"/>
  <c r="AC108" i="5"/>
  <c r="AC103" i="5"/>
  <c r="AC101" i="5"/>
  <c r="AC95" i="5"/>
  <c r="AC94" i="5"/>
  <c r="AC89" i="5"/>
  <c r="AC96" i="5"/>
  <c r="AC85" i="5"/>
  <c r="AC83" i="5"/>
  <c r="AC82" i="5"/>
  <c r="AC80" i="5"/>
  <c r="AC79" i="5"/>
  <c r="AC75" i="5"/>
  <c r="AC74" i="5"/>
  <c r="AC73" i="5"/>
  <c r="AC68" i="5"/>
  <c r="AC65" i="5"/>
  <c r="AC21" i="5"/>
  <c r="AC59" i="5"/>
  <c r="AC58" i="5"/>
  <c r="AC52" i="5"/>
  <c r="AC50" i="5"/>
  <c r="AC38" i="5"/>
  <c r="AC37" i="5"/>
  <c r="AC39" i="5"/>
  <c r="AC36" i="5"/>
  <c r="AC35" i="5"/>
  <c r="AC29" i="5"/>
  <c r="AC26" i="5"/>
  <c r="AC25" i="5"/>
  <c r="AC22" i="5"/>
  <c r="AC17" i="5"/>
  <c r="AC87" i="5"/>
  <c r="AC14" i="5"/>
  <c r="AC12" i="5"/>
  <c r="AA152" i="5"/>
  <c r="AA150" i="5"/>
  <c r="AA149" i="5"/>
  <c r="AA148" i="5"/>
  <c r="AA143" i="5"/>
  <c r="AA136" i="5"/>
  <c r="AA135" i="5"/>
  <c r="AA129" i="5"/>
  <c r="AA128" i="5"/>
  <c r="AA124" i="5"/>
  <c r="AA122" i="5"/>
  <c r="AA121" i="5"/>
  <c r="AA119" i="5"/>
  <c r="AA114" i="5"/>
  <c r="AA108" i="5"/>
  <c r="AA103" i="5"/>
  <c r="AA101" i="5"/>
  <c r="AA95" i="5"/>
  <c r="AA94" i="5"/>
  <c r="AA89" i="5"/>
  <c r="AA96" i="5"/>
  <c r="AA85" i="5"/>
  <c r="AA83" i="5"/>
  <c r="AA82" i="5"/>
  <c r="AA80" i="5"/>
  <c r="AA79" i="5"/>
  <c r="AA75" i="5"/>
  <c r="AA74" i="5"/>
  <c r="AA73" i="5"/>
  <c r="AA68" i="5"/>
  <c r="AA65" i="5"/>
  <c r="AA21" i="5"/>
  <c r="AA59" i="5"/>
  <c r="AA58" i="5"/>
  <c r="AA52" i="5"/>
  <c r="AA50" i="5"/>
  <c r="AA38" i="5"/>
  <c r="AA37" i="5"/>
  <c r="AA39" i="5"/>
  <c r="AA36" i="5"/>
  <c r="AA35" i="5"/>
  <c r="AA29" i="5"/>
  <c r="AA26" i="5"/>
  <c r="AA25" i="5"/>
  <c r="AA22" i="5"/>
  <c r="AA17" i="5"/>
  <c r="AA87" i="5"/>
  <c r="AA14" i="5"/>
  <c r="AA12" i="5"/>
  <c r="Y152" i="5"/>
  <c r="Y150" i="5"/>
  <c r="Y149" i="5"/>
  <c r="Y148" i="5"/>
  <c r="Y143" i="5"/>
  <c r="Y136" i="5"/>
  <c r="Y135" i="5"/>
  <c r="Y129" i="5"/>
  <c r="Y128" i="5"/>
  <c r="Y124" i="5"/>
  <c r="Y122" i="5"/>
  <c r="Y121" i="5"/>
  <c r="Y119" i="5"/>
  <c r="Y114" i="5"/>
  <c r="Y108" i="5"/>
  <c r="Y103" i="5"/>
  <c r="Y101" i="5"/>
  <c r="Y95" i="5"/>
  <c r="Y94" i="5"/>
  <c r="Y89" i="5"/>
  <c r="Y96" i="5"/>
  <c r="Y85" i="5"/>
  <c r="Y83" i="5"/>
  <c r="Y82" i="5"/>
  <c r="Y80" i="5"/>
  <c r="Y79" i="5"/>
  <c r="Y75" i="5"/>
  <c r="Y74" i="5"/>
  <c r="Y73" i="5"/>
  <c r="Y68" i="5"/>
  <c r="Y65" i="5"/>
  <c r="Y21" i="5"/>
  <c r="Y59" i="5"/>
  <c r="Y58" i="5"/>
  <c r="Y52" i="5"/>
  <c r="Y50" i="5"/>
  <c r="Y38" i="5"/>
  <c r="Y37" i="5"/>
  <c r="Y39" i="5"/>
  <c r="Y36" i="5"/>
  <c r="Y35" i="5"/>
  <c r="Y29" i="5"/>
  <c r="Y26" i="5"/>
  <c r="Y25" i="5"/>
  <c r="Y22" i="5"/>
  <c r="Y17" i="5"/>
  <c r="Y87" i="5"/>
  <c r="Y14" i="5"/>
  <c r="Y12" i="5"/>
  <c r="W152" i="5"/>
  <c r="W150" i="5"/>
  <c r="W149" i="5"/>
  <c r="W148" i="5"/>
  <c r="W143" i="5"/>
  <c r="W136" i="5"/>
  <c r="W135" i="5"/>
  <c r="W129" i="5"/>
  <c r="W128" i="5"/>
  <c r="W124" i="5"/>
  <c r="W122" i="5"/>
  <c r="W121" i="5"/>
  <c r="W119" i="5"/>
  <c r="W114" i="5"/>
  <c r="W108" i="5"/>
  <c r="W103" i="5"/>
  <c r="W101" i="5"/>
  <c r="W95" i="5"/>
  <c r="W94" i="5"/>
  <c r="W89" i="5"/>
  <c r="W96" i="5"/>
  <c r="W85" i="5"/>
  <c r="W83" i="5"/>
  <c r="W82" i="5"/>
  <c r="W80" i="5"/>
  <c r="W79" i="5"/>
  <c r="W75" i="5"/>
  <c r="W74" i="5"/>
  <c r="W73" i="5"/>
  <c r="W68" i="5"/>
  <c r="W65" i="5"/>
  <c r="W21" i="5"/>
  <c r="W59" i="5"/>
  <c r="W58" i="5"/>
  <c r="W52" i="5"/>
  <c r="W50" i="5"/>
  <c r="W38" i="5"/>
  <c r="W37" i="5"/>
  <c r="W39" i="5"/>
  <c r="W36" i="5"/>
  <c r="W35" i="5"/>
  <c r="W29" i="5"/>
  <c r="W26" i="5"/>
  <c r="W25" i="5"/>
  <c r="W22" i="5"/>
  <c r="W17" i="5"/>
  <c r="W87" i="5"/>
  <c r="W14" i="5"/>
  <c r="W12" i="5"/>
  <c r="U152" i="5"/>
  <c r="U150" i="5"/>
  <c r="U149" i="5"/>
  <c r="U148" i="5"/>
  <c r="U143" i="5"/>
  <c r="U136" i="5"/>
  <c r="U135" i="5"/>
  <c r="U129" i="5"/>
  <c r="U128" i="5"/>
  <c r="U124" i="5"/>
  <c r="U122" i="5"/>
  <c r="U121" i="5"/>
  <c r="U119" i="5"/>
  <c r="U114" i="5"/>
  <c r="U108" i="5"/>
  <c r="U103" i="5"/>
  <c r="U101" i="5"/>
  <c r="U95" i="5"/>
  <c r="U94" i="5"/>
  <c r="U89" i="5"/>
  <c r="U96" i="5"/>
  <c r="U85" i="5"/>
  <c r="U83" i="5"/>
  <c r="U82" i="5"/>
  <c r="U80" i="5"/>
  <c r="U79" i="5"/>
  <c r="U75" i="5"/>
  <c r="U74" i="5"/>
  <c r="U73" i="5"/>
  <c r="U68" i="5"/>
  <c r="U65" i="5"/>
  <c r="U21" i="5"/>
  <c r="U59" i="5"/>
  <c r="U58" i="5"/>
  <c r="U52" i="5"/>
  <c r="U50" i="5"/>
  <c r="U38" i="5"/>
  <c r="U37" i="5"/>
  <c r="U39" i="5"/>
  <c r="U36" i="5"/>
  <c r="U35" i="5"/>
  <c r="U29" i="5"/>
  <c r="U26" i="5"/>
  <c r="U25" i="5"/>
  <c r="U22" i="5"/>
  <c r="U17" i="5"/>
  <c r="U87" i="5"/>
  <c r="U14" i="5"/>
  <c r="U12" i="5"/>
  <c r="S152" i="5"/>
  <c r="S150" i="5"/>
  <c r="S149" i="5"/>
  <c r="S148" i="5"/>
  <c r="S143" i="5"/>
  <c r="S136" i="5"/>
  <c r="S135" i="5"/>
  <c r="S129" i="5"/>
  <c r="S128" i="5"/>
  <c r="S124" i="5"/>
  <c r="S122" i="5"/>
  <c r="S121" i="5"/>
  <c r="S119" i="5"/>
  <c r="S114" i="5"/>
  <c r="S108" i="5"/>
  <c r="S103" i="5"/>
  <c r="S101" i="5"/>
  <c r="S95" i="5"/>
  <c r="S94" i="5"/>
  <c r="S89" i="5"/>
  <c r="S96" i="5"/>
  <c r="S85" i="5"/>
  <c r="S83" i="5"/>
  <c r="S82" i="5"/>
  <c r="S80" i="5"/>
  <c r="S79" i="5"/>
  <c r="S75" i="5"/>
  <c r="S74" i="5"/>
  <c r="S73" i="5"/>
  <c r="S68" i="5"/>
  <c r="S65" i="5"/>
  <c r="S21" i="5"/>
  <c r="S59" i="5"/>
  <c r="S58" i="5"/>
  <c r="S52" i="5"/>
  <c r="S50" i="5"/>
  <c r="S38" i="5"/>
  <c r="S37" i="5"/>
  <c r="S39" i="5"/>
  <c r="S36" i="5"/>
  <c r="S35" i="5"/>
  <c r="S29" i="5"/>
  <c r="S26" i="5"/>
  <c r="S25" i="5"/>
  <c r="S22" i="5"/>
  <c r="S17" i="5"/>
  <c r="S87" i="5"/>
  <c r="S14" i="5"/>
  <c r="S12" i="5"/>
  <c r="Q152" i="5"/>
  <c r="Q150" i="5"/>
  <c r="Q149" i="5"/>
  <c r="Q148" i="5"/>
  <c r="Q143" i="5"/>
  <c r="Q136" i="5"/>
  <c r="Q135" i="5"/>
  <c r="Q129" i="5"/>
  <c r="Q128" i="5"/>
  <c r="Q124" i="5"/>
  <c r="Q122" i="5"/>
  <c r="Q121" i="5"/>
  <c r="Q119" i="5"/>
  <c r="Q114" i="5"/>
  <c r="Q108" i="5"/>
  <c r="Q103" i="5"/>
  <c r="Q101" i="5"/>
  <c r="Q95" i="5"/>
  <c r="Q94" i="5"/>
  <c r="Q89" i="5"/>
  <c r="Q96" i="5"/>
  <c r="Q85" i="5"/>
  <c r="Q83" i="5"/>
  <c r="Q82" i="5"/>
  <c r="Q80" i="5"/>
  <c r="Q79" i="5"/>
  <c r="Q75" i="5"/>
  <c r="Q74" i="5"/>
  <c r="Q73" i="5"/>
  <c r="Q68" i="5"/>
  <c r="Q65" i="5"/>
  <c r="Q21" i="5"/>
  <c r="Q59" i="5"/>
  <c r="Q58" i="5"/>
  <c r="Q52" i="5"/>
  <c r="Q50" i="5"/>
  <c r="Q38" i="5"/>
  <c r="Q37" i="5"/>
  <c r="Q39" i="5"/>
  <c r="Q36" i="5"/>
  <c r="Q35" i="5"/>
  <c r="Q29" i="5"/>
  <c r="Q26" i="5"/>
  <c r="Q25" i="5"/>
  <c r="Q22" i="5"/>
  <c r="Q17" i="5"/>
  <c r="Q87" i="5"/>
  <c r="Q14" i="5"/>
  <c r="Q12" i="5"/>
  <c r="O152" i="5"/>
  <c r="O150" i="5"/>
  <c r="O149" i="5"/>
  <c r="O148" i="5"/>
  <c r="O143" i="5"/>
  <c r="O136" i="5"/>
  <c r="O135" i="5"/>
  <c r="O129" i="5"/>
  <c r="O128" i="5"/>
  <c r="O124" i="5"/>
  <c r="O122" i="5"/>
  <c r="O121" i="5"/>
  <c r="O119" i="5"/>
  <c r="O114" i="5"/>
  <c r="O108" i="5"/>
  <c r="O103" i="5"/>
  <c r="O101" i="5"/>
  <c r="O95" i="5"/>
  <c r="O94" i="5"/>
  <c r="O89" i="5"/>
  <c r="O96" i="5"/>
  <c r="O85" i="5"/>
  <c r="O83" i="5"/>
  <c r="O82" i="5"/>
  <c r="O80" i="5"/>
  <c r="O79" i="5"/>
  <c r="O75" i="5"/>
  <c r="O74" i="5"/>
  <c r="O73" i="5"/>
  <c r="O68" i="5"/>
  <c r="O65" i="5"/>
  <c r="O21" i="5"/>
  <c r="O59" i="5"/>
  <c r="O58" i="5"/>
  <c r="O52" i="5"/>
  <c r="O50" i="5"/>
  <c r="O38" i="5"/>
  <c r="O37" i="5"/>
  <c r="O39" i="5"/>
  <c r="O36" i="5"/>
  <c r="O35" i="5"/>
  <c r="O29" i="5"/>
  <c r="O26" i="5"/>
  <c r="O25" i="5"/>
  <c r="O22" i="5"/>
  <c r="O17" i="5"/>
  <c r="O87" i="5"/>
  <c r="O12" i="5"/>
  <c r="M152" i="5"/>
  <c r="M150" i="5"/>
  <c r="M149" i="5"/>
  <c r="M148" i="5"/>
  <c r="M143" i="5"/>
  <c r="M136" i="5"/>
  <c r="M135" i="5"/>
  <c r="M129" i="5"/>
  <c r="M128" i="5"/>
  <c r="M124" i="5"/>
  <c r="M122" i="5"/>
  <c r="M121" i="5"/>
  <c r="M119" i="5"/>
  <c r="M114" i="5"/>
  <c r="M108" i="5"/>
  <c r="M103" i="5"/>
  <c r="M101" i="5"/>
  <c r="M95" i="5"/>
  <c r="M94" i="5"/>
  <c r="M89" i="5"/>
  <c r="M96" i="5"/>
  <c r="M85" i="5"/>
  <c r="M83" i="5"/>
  <c r="M82" i="5"/>
  <c r="M80" i="5"/>
  <c r="M79" i="5"/>
  <c r="M75" i="5"/>
  <c r="M74" i="5"/>
  <c r="M73" i="5"/>
  <c r="M68" i="5"/>
  <c r="M65" i="5"/>
  <c r="M21" i="5"/>
  <c r="M59" i="5"/>
  <c r="M58" i="5"/>
  <c r="M52" i="5"/>
  <c r="M50" i="5"/>
  <c r="M38" i="5"/>
  <c r="M37" i="5"/>
  <c r="M39" i="5"/>
  <c r="M36" i="5"/>
  <c r="M35" i="5"/>
  <c r="M29" i="5"/>
  <c r="M26" i="5"/>
  <c r="M25" i="5"/>
  <c r="M22" i="5"/>
  <c r="M17" i="5"/>
  <c r="M87" i="5"/>
  <c r="M14" i="5"/>
  <c r="M158" i="5"/>
  <c r="O14" i="5"/>
  <c r="M12" i="5"/>
</calcChain>
</file>

<file path=xl/sharedStrings.xml><?xml version="1.0" encoding="utf-8"?>
<sst xmlns="http://schemas.openxmlformats.org/spreadsheetml/2006/main" count="7124" uniqueCount="706">
  <si>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</si>
  <si>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</si>
  <si>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</si>
  <si>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</si>
  <si>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</si>
  <si>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</si>
  <si>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</si>
  <si>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</si>
  <si>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</si>
  <si>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</si>
  <si>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</si>
  <si>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</si>
  <si>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</si>
  <si>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</si>
  <si>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</si>
  <si>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</si>
  <si>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</si>
  <si>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</si>
  <si>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</si>
  <si>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</si>
  <si>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</si>
  <si>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</si>
  <si>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</si>
  <si>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</si>
  <si>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</si>
  <si>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</si>
  <si>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</si>
  <si>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</si>
  <si>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</si>
  <si>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</si>
  <si>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</si>
  <si>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</si>
  <si>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</si>
  <si>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</si>
  <si>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</si>
  <si>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</si>
  <si>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</si>
  <si>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</si>
  <si>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</si>
  <si>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</si>
  <si>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</si>
  <si>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</si>
  <si>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</si>
  <si>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</si>
  <si>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</si>
  <si>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</si>
  <si>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</si>
  <si>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</si>
  <si>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</si>
  <si>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</si>
  <si>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</si>
  <si>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</si>
  <si>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</si>
  <si>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</si>
  <si>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</si>
  <si>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</si>
  <si>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</si>
  <si>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</si>
  <si>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</si>
  <si>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</si>
  <si>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</si>
  <si>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</si>
  <si>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</si>
  <si>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</si>
  <si>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</si>
  <si>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</si>
  <si>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</si>
  <si>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</si>
  <si>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</si>
  <si>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</si>
  <si>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</si>
  <si>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</si>
  <si>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</si>
  <si>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</si>
  <si>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</si>
  <si>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</si>
  <si>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</si>
  <si>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</si>
  <si>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</si>
  <si>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</si>
  <si>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</si>
  <si>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</si>
  <si>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</si>
  <si>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</si>
  <si>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</si>
  <si>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</si>
  <si>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</si>
  <si>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</si>
  <si>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</si>
  <si>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</si>
  <si>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</si>
  <si>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</si>
  <si>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</si>
  <si>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</si>
  <si>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</si>
  <si>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</si>
  <si>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</si>
  <si>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</si>
  <si>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</si>
  <si>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</si>
  <si>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</si>
  <si>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</si>
  <si>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</si>
  <si>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</si>
  <si>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</si>
  <si>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</si>
  <si>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</si>
  <si>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</si>
  <si>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</si>
  <si>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</si>
  <si>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</si>
  <si>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</si>
  <si>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</si>
  <si>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</si>
  <si>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</si>
  <si>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</si>
  <si>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</si>
  <si>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</si>
  <si>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</si>
  <si>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</si>
  <si>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</si>
  <si>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</si>
  <si>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</si>
  <si>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</si>
  <si>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</si>
  <si>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</si>
  <si>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</si>
  <si>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</si>
  <si>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</si>
  <si>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</si>
  <si>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</si>
  <si>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</si>
  <si>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</si>
  <si>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</si>
  <si>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</si>
  <si>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</si>
  <si>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</si>
  <si>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</si>
  <si>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</si>
  <si>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</si>
  <si>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</si>
  <si>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</si>
  <si>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</si>
  <si>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</si>
  <si>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</si>
  <si>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</si>
  <si>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</si>
  <si>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</si>
  <si>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</si>
  <si>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</si>
  <si>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</si>
  <si>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</si>
  <si>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</si>
  <si>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</si>
  <si>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</si>
  <si>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</si>
  <si>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</si>
  <si>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</si>
  <si>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</si>
  <si>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</si>
  <si>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</si>
  <si>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</si>
  <si>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</si>
  <si>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</si>
  <si>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</si>
  <si>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</si>
  <si>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</si>
  <si>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</si>
  <si>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</si>
  <si>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</si>
  <si>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</si>
  <si>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</si>
  <si>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</si>
  <si>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</si>
  <si>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</si>
  <si>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</si>
  <si>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</si>
  <si>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</si>
  <si>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</si>
  <si>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</si>
  <si>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</si>
  <si>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</si>
  <si>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</si>
  <si>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</si>
  <si>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</si>
  <si>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</si>
  <si>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</si>
  <si>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</si>
  <si>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</si>
  <si>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</si>
  <si>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</si>
  <si>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</si>
  <si>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</si>
  <si>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</si>
  <si>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</si>
  <si>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</si>
  <si>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</si>
  <si>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</si>
  <si>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</si>
  <si>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</si>
  <si>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</si>
  <si>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</si>
  <si>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</si>
  <si>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</si>
  <si>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</si>
  <si>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</si>
  <si>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</si>
  <si>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</si>
  <si>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</si>
  <si>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</si>
  <si>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</si>
  <si>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</si>
  <si>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</si>
  <si>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</si>
  <si>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</si>
  <si>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</si>
  <si>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</si>
  <si>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</si>
  <si>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</si>
  <si>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</si>
  <si>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</si>
  <si>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</si>
  <si>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</si>
  <si>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</si>
  <si>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</si>
  <si>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</si>
  <si>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</si>
  <si>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</si>
  <si>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</si>
  <si>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</si>
  <si>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</si>
  <si>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</si>
  <si>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</si>
  <si>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</si>
  <si>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</si>
  <si>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</si>
  <si>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</si>
  <si>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</si>
  <si>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</si>
  <si>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</si>
  <si>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</si>
  <si>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</si>
  <si>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</si>
  <si>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</si>
  <si>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</si>
  <si>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</si>
  <si>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</si>
  <si>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</si>
  <si>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</si>
  <si>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</si>
  <si>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</si>
  <si>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</si>
  <si>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</si>
  <si>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</si>
  <si>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</si>
  <si>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</si>
  <si>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</si>
  <si>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</si>
  <si>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</si>
  <si>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</si>
  <si>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</si>
  <si>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</si>
  <si>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</si>
  <si>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</si>
  <si>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</si>
  <si>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</si>
  <si>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</si>
  <si>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</si>
  <si>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</si>
  <si>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</si>
  <si>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</si>
  <si>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</si>
  <si>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</si>
  <si>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</si>
  <si>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</si>
  <si>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</si>
  <si>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</si>
  <si>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</si>
  <si>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</si>
  <si>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</si>
  <si>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</si>
  <si>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</si>
  <si>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</si>
  <si>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</si>
  <si>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</si>
  <si>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</si>
  <si>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</si>
  <si>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</si>
  <si>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</si>
  <si>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</si>
  <si>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</si>
  <si>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</si>
  <si>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</si>
  <si>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</si>
  <si>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</si>
  <si>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</si>
  <si>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</si>
  <si>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</si>
  <si>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</si>
  <si>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</si>
  <si>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</si>
  <si>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</si>
  <si>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</si>
  <si>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</si>
  <si>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</si>
  <si>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</si>
  <si>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</si>
  <si>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</si>
  <si>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</si>
  <si>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</si>
  <si>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</si>
  <si>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</si>
  <si>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</si>
  <si>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</si>
  <si>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</si>
  <si>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</si>
  <si>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</si>
  <si>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</si>
  <si>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</si>
  <si>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</si>
  <si>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</si>
  <si>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</si>
  <si>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</si>
  <si>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</si>
  <si>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</si>
  <si>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</si>
  <si>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</si>
  <si>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</si>
  <si>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</si>
  <si>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</si>
  <si>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</si>
  <si>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</si>
  <si>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</si>
  <si>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</si>
  <si>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</si>
  <si>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</si>
  <si>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</si>
  <si>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</si>
  <si>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</si>
  <si>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</si>
  <si>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</si>
  <si>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</si>
  <si>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</si>
  <si>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</si>
  <si>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</si>
  <si>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</si>
  <si>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</si>
  <si>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</si>
  <si>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</si>
  <si>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</si>
  <si>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</si>
  <si>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</si>
  <si>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</si>
  <si>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</si>
  <si>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</si>
  <si>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</si>
  <si>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</si>
  <si>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</si>
  <si>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</si>
  <si>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</si>
  <si>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</si>
  <si>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</si>
  <si>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</si>
  <si>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</si>
  <si>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</si>
  <si>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</si>
  <si>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</si>
  <si>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</si>
  <si>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</si>
  <si>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</si>
  <si>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</si>
  <si>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</si>
  <si>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</si>
  <si>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</si>
  <si>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</si>
  <si>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</si>
  <si>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</si>
  <si>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</si>
  <si>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</si>
  <si>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</si>
  <si>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</si>
  <si>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</si>
  <si>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</si>
  <si>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</si>
  <si>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</si>
  <si>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</si>
  <si>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</si>
  <si>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</si>
  <si>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</si>
  <si>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</si>
  <si>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</si>
  <si>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</si>
  <si>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</si>
  <si>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</si>
  <si>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</si>
  <si>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</si>
  <si>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</si>
  <si>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</si>
  <si>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</si>
  <si>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</si>
  <si>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</si>
  <si>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</si>
  <si>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</si>
  <si>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</si>
  <si>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</si>
  <si>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</si>
  <si>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</si>
  <si>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</si>
  <si>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</si>
  <si>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</si>
  <si>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</si>
  <si>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</si>
  <si>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</si>
  <si>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</si>
  <si>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</si>
  <si>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</si>
  <si>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</si>
  <si>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</si>
  <si>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</si>
  <si>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</si>
  <si>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</si>
  <si>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</si>
  <si>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</si>
  <si>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</si>
  <si>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</si>
  <si>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</si>
  <si>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</si>
  <si>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</si>
  <si>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</si>
  <si>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</si>
  <si>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</si>
  <si>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</si>
  <si>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</si>
  <si>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</si>
  <si>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</si>
  <si>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</si>
  <si>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</si>
  <si>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</si>
  <si>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</si>
  <si>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</si>
  <si>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</si>
  <si>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</si>
  <si>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</si>
  <si>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</si>
  <si>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</si>
  <si>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</si>
  <si>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</si>
  <si>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</si>
  <si>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</si>
  <si>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</si>
  <si>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</si>
  <si>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</si>
  <si>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</si>
  <si>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</si>
  <si>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</si>
  <si>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</si>
  <si>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</si>
  <si>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</si>
  <si>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</si>
  <si>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</si>
  <si>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</si>
  <si>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Dysphoric mood</t>
  </si>
  <si>
    <t>Insomnia/Disturbed sleep</t>
  </si>
  <si>
    <t xml:space="preserve">Fatigue </t>
  </si>
  <si>
    <t>Sleepiness</t>
  </si>
  <si>
    <t xml:space="preserve">Headache </t>
  </si>
  <si>
    <t>Strange taste/Dry mouth</t>
  </si>
  <si>
    <t>Delusions/Hallucinations</t>
  </si>
  <si>
    <t>Incidence of adverse effects (MLT group minus PLB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</si>
  <si>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</si>
  <si>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</si>
  <si>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</si>
  <si>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</si>
  <si>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</si>
  <si>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</si>
  <si>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</si>
  <si>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</si>
  <si>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</si>
  <si>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</si>
  <si>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</si>
  <si>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</si>
  <si>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</si>
  <si>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</si>
  <si>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</si>
  <si>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</si>
  <si>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</si>
  <si>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</si>
  <si>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</si>
  <si>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</si>
  <si>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</si>
  <si>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</si>
  <si>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</si>
  <si>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</si>
  <si>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</si>
  <si>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</si>
  <si>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</si>
  <si>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</si>
  <si>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</si>
  <si>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</si>
  <si>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</si>
  <si>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</si>
  <si>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</si>
  <si>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</si>
  <si>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</si>
  <si>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</si>
  <si>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</si>
  <si>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</si>
  <si>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</si>
  <si>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</si>
  <si>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</si>
  <si>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</si>
  <si>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</si>
  <si>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</si>
  <si>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</si>
  <si>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</si>
  <si>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</si>
  <si>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</si>
  <si>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</si>
  <si>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</si>
  <si>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</si>
  <si>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</si>
  <si>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</si>
  <si>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</si>
  <si>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</si>
  <si>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</si>
  <si>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</si>
  <si>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</si>
  <si>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</si>
  <si>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</si>
  <si>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</si>
  <si>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</si>
  <si>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</si>
  <si>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</si>
  <si>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</si>
  <si>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</si>
  <si>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</si>
  <si>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</si>
  <si>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</si>
  <si>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</si>
  <si>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</si>
  <si>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</si>
  <si>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</si>
  <si>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</si>
  <si>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</si>
  <si>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</si>
  <si>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</si>
  <si>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</si>
  <si>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</si>
  <si>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</si>
  <si>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</si>
  <si>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</si>
  <si>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</si>
  <si>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</si>
  <si>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</si>
  <si>
    <t>Minus values represent a reduction in sleep measure or score. This could represent an improvement or worsening over baseline, dependent on context.</t>
  </si>
  <si>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no details of number of occurrences or number of patients experiencing the adverse effect were recorded.</t>
    </r>
  </si>
  <si>
    <t>The use of melatonin in children with neurodevelopmental disorders and impaired sleep: a randomized, double-blind, placebo-controlled, parallel study (MENDS)</t>
  </si>
  <si>
    <t>Appleton, R E; Jones, A P et al</t>
  </si>
  <si>
    <t>Other AEs (MLT: 101; PLB: 104 [76 patients]): Increased excitability (MLT: 13; PLB); Mood swings (MLT: 16; PLB: 17); Rash (MLT: 11; PLB: 8); Hypothermia (MLT: 6; PLB: 4); Coughing (MLT: 22; PLB: 28); Increased activity (MLT: 6; PLB: 9); Hung-over feeling (MLT: 1; PLB: 0); Vomiting (MLT: 15; PLB: 18); Breathlessness (MLT: 1; PLB: 1); Seizure (MLT: 0; PLB: 1)</t>
  </si>
  <si>
    <t>Other AEs (101): Increased excitability (13); Mood swings (16); Rash (11); Hypothermia (6); Coughing (22); Increased activity (6); Hung-over feeling (1); Vomiting (15); Breathlessness (1)</t>
  </si>
  <si>
    <t>≤ 3.8yr</t>
  </si>
  <si>
    <t>5 - 15</t>
  </si>
  <si>
    <t>Follow up study. Caregivers interviewed every 3 months for up to 3.8 yrs after intial trial. No reports of adverse effects.</t>
  </si>
  <si>
    <t>Follow up study. Caregivers interviewed every 3 months for up to 3.8 yrs after initial trial. No reports of adverse effects.</t>
  </si>
  <si>
    <t>James, Mark; Tremea, Michael et al</t>
  </si>
  <si>
    <t>4: VAS</t>
  </si>
  <si>
    <t>VAS</t>
  </si>
  <si>
    <t>Values for Arousal Index: BSL: 9.0; MLT: 9.0; PLB: 9.3. Sleep Architecture, Stanford Sleepiness Scale, Fatigue Scale and Alertness Scale also reported</t>
  </si>
  <si>
    <t>A randomized double-blind placebo-controllled trial of treatment as usual plus exogenous slow-release melatonin (6mg) or placebo for sleep disturbance and depressed mood</t>
  </si>
  <si>
    <t>Serfaty, Marc Antony; Osborne, Debbie et al</t>
  </si>
  <si>
    <t>Other AEs: Vivid dreams (1); next day "fuzzy feeling" (1)</t>
  </si>
  <si>
    <t>Other AEs: Vivid dreams (MLT: 1; PLB: 1); next day "fuzzy feeling" (MLT: 1)</t>
  </si>
  <si>
    <t>patients with AE/total
[studies with adverse effect only]</t>
  </si>
  <si>
    <t>patients with AE/total
[all studies]</t>
  </si>
  <si>
    <t>% patients with AE
[studies with adverse effect only]</t>
  </si>
  <si>
    <t>% patients with AE
[all studies]</t>
  </si>
  <si>
    <t>Placebo baseline Total Sleep Time reported as 91.7 mins [This appears wrong as it is completely inconsistent with other values, both melatonin group baseline and during treatment. Could be 391.7 mins]</t>
  </si>
  <si>
    <t>21:10</t>
  </si>
  <si>
    <t>21:33</t>
  </si>
  <si>
    <t>21:03</t>
  </si>
  <si>
    <t>21:36</t>
  </si>
  <si>
    <t>positive values for Δ indicate an advance (ie. improvement) in DLMO, negative values indicate a delay (ie. deterioration).</t>
  </si>
  <si>
    <t>20:37</t>
  </si>
  <si>
    <t>19:53</t>
  </si>
  <si>
    <t>20:32</t>
  </si>
  <si>
    <t>20:45</t>
  </si>
  <si>
    <t>Other AEs (7): Abdominal pain (2); Nose bleeding (1); Itching lumps on skin (1); Painful lumps on skin (1); Diarrhea (1); Decrease of mood (1). Hyperactivity (3) in study recorded as hyperkinesia.</t>
  </si>
  <si>
    <t>10d</t>
  </si>
  <si>
    <t>10 day placebo controlled trial followed by 3 months open label study. No adverse effects considered related to melatonin. All reported TESS were consistent with underlying health conditions.</t>
  </si>
  <si>
    <r>
      <t>"Side-effect profile was low and not significantly different between" melatonin and placebo groups.</t>
    </r>
    <r>
      <rPr>
        <b/>
        <i/>
        <sz val="12"/>
        <color rgb="FF53669E"/>
        <rFont val="Calibri"/>
        <scheme val="minor"/>
      </rPr>
      <t xml:space="preserve"> </t>
    </r>
    <r>
      <rPr>
        <sz val="12"/>
        <color rgb="FF53669E"/>
        <rFont val="Calibri"/>
        <family val="2"/>
        <scheme val="minor"/>
      </rPr>
      <t>No exact figures for AE incindences were reported.</t>
    </r>
  </si>
  <si>
    <t>Sleep Efficacy Analysis Y/N</t>
  </si>
  <si>
    <t>Random-Controlled Y/N</t>
  </si>
  <si>
    <t>Long-term (&gt; 3mths) Y/N</t>
  </si>
  <si>
    <t>Melatonin for Insomnia in Children With Autism Spectrum Disorders</t>
  </si>
  <si>
    <t>Very short-term/single dose Y/N</t>
  </si>
  <si>
    <t>The effects of chronic, small doses of melatonin given in the late afternoon on fatigue in man: a preliminary study</t>
  </si>
  <si>
    <t>Arendt, J; Borbely, A A et al</t>
  </si>
  <si>
    <t>Additions</t>
  </si>
  <si>
    <t>Melatonin for sleep disturbance in children with neurodevelopmental disorders: prospective observational naturalistic study</t>
  </si>
  <si>
    <t>Ayyash, Hani F et al</t>
  </si>
  <si>
    <t>2.5-10</t>
  </si>
  <si>
    <t>326d</t>
  </si>
  <si>
    <t>Pharmacokinetics of a novel dosing regimen of oral melatonin in critically ill patients</t>
  </si>
  <si>
    <t>Bellapart, Judith et al</t>
  </si>
  <si>
    <t>Effects of melatonin in perimenopausal and menopausal women: a randomized and placebo controlled study</t>
  </si>
  <si>
    <t>Beilipanni, G; Bianchi, P et al</t>
  </si>
  <si>
    <t>Effects of MLT on luteotropic hormone and follicle stimulating hormone levels</t>
  </si>
  <si>
    <t>Melatonin Appears Ineffective in Children With Intellectual Deficits and Fragmented Sleep: Six "N of 1" Trials</t>
  </si>
  <si>
    <t>Camfield, Peter et al</t>
  </si>
  <si>
    <t>Campos, Francineide L; da Silva-Júnior, Francisco P; et al</t>
  </si>
  <si>
    <t>No significant difference in Asthma symptoms</t>
  </si>
  <si>
    <t>All patients had pre-existing moderate to severe depression</t>
  </si>
  <si>
    <t>Melatonin in wake-sleep disorders in children, adolescents and young adults with mental retardation with or without epilepsy: a double-blind, cross-over, placebo-controlled trial</t>
  </si>
  <si>
    <t>Coppola, Giangennaro et al</t>
  </si>
  <si>
    <t>3-9</t>
  </si>
  <si>
    <t>Delayed sleep phase syndrome response to melatonin</t>
  </si>
  <si>
    <t>Dahlitz, M; Alvarez, B et al</t>
  </si>
  <si>
    <t>β(1)-adrenergic antagonists and melatonin reset the clock and restore sleep in a circadian disorder, Smith-Magenis syndrome</t>
  </si>
  <si>
    <t>Prolonged release melatonin for children with neurodevelopmental disorders</t>
  </si>
  <si>
    <t>De Leersnyder, Hélène et al</t>
  </si>
  <si>
    <t>4-6</t>
  </si>
  <si>
    <t>6-72mths</t>
  </si>
  <si>
    <t>Melatonin reduces lung oxidative stress in patients with chronic obstructive pulmonary disease: a randomized, double-blind, placebo-controlled study</t>
  </si>
  <si>
    <t>The Absolute Bioavailability of Oral Melatonin</t>
  </si>
  <si>
    <t>DeMuro, Rob L et al</t>
  </si>
  <si>
    <t xml:space="preserve">4 </t>
  </si>
  <si>
    <t>5d</t>
  </si>
  <si>
    <t>10 - 80</t>
  </si>
  <si>
    <t>Effect of pharmacological daytime doses of melatonin on human mood and performance</t>
  </si>
  <si>
    <t>Dollins, Andrew, B et al</t>
  </si>
  <si>
    <t>A Clinical Trial of Melatonin in Elderly Patients with Insomnia</t>
  </si>
  <si>
    <t>Doshi, NR; Das, CR et al</t>
  </si>
  <si>
    <t>10 - 20d</t>
  </si>
  <si>
    <t>Improvement of sleep quality in elderly people by controlled release melatonin</t>
  </si>
  <si>
    <t>Facilitation of benzodiazepine discontinuation by melatonin: A new clinical approach</t>
  </si>
  <si>
    <t>Efficacy and safety of prolonged-release melatonin in insomnia patients with diabetes: a randomized, double-blind, crossover study</t>
  </si>
  <si>
    <t>6-12wks</t>
  </si>
  <si>
    <t>3w - 5mths</t>
  </si>
  <si>
    <t>Gooneratne, Nalaka S et al</t>
  </si>
  <si>
    <t>Effect of Melatonin Dosage on Sleep Disorder in Tuberous Sclerosis Complex</t>
  </si>
  <si>
    <t>Hancock, Eleanor et al</t>
  </si>
  <si>
    <t>5 - 10</t>
  </si>
  <si>
    <t>CR compared to FR melatonin for sleep maintenance</t>
  </si>
  <si>
    <t>Melatonin replacement therapy in a child with a pineal tumor</t>
  </si>
  <si>
    <t>4.5yrs</t>
  </si>
  <si>
    <t>4 - 12mths</t>
  </si>
  <si>
    <t>Does Exogenous Melatonin Improve Day Sleep or Night Alertness in Emergency Physicians Working Night Shifts?</t>
  </si>
  <si>
    <t>Jorgensen, K Michael et al</t>
  </si>
  <si>
    <t>Effects on luteinizing hormone</t>
  </si>
  <si>
    <t>6 - 12mths</t>
  </si>
  <si>
    <t>Effect of controlled-release melatonin on sleep quality, mood, and quality of life in subjects with seasonal or weather-associated changes in mood and behaviour</t>
  </si>
  <si>
    <t>Leppämäki, Sami et al</t>
  </si>
  <si>
    <t>The effects of exogenous melatonin on the total sleep time and daytime alertness of chronic insomniacs: a preliminary study</t>
  </si>
  <si>
    <t>MacFarlane, J G et al</t>
  </si>
  <si>
    <t>McArthur, Angela J et al</t>
  </si>
  <si>
    <t>75</t>
  </si>
  <si>
    <t>Effect of exogenous melatonin on sleep an motor dsyfunction in Parkinson's disease</t>
  </si>
  <si>
    <t>Medeiros, Camila Andrade Mendes et al</t>
  </si>
  <si>
    <t>Melatonin treatment in children with therapy-resistant monosymptomatic nocturnal enuresis</t>
  </si>
  <si>
    <t>Merks, B T; Burger, H et al</t>
  </si>
  <si>
    <t>3 - 6mths</t>
  </si>
  <si>
    <t>Serum melatonin kinetics and long-term melatonin treatment for sleep disorders in Rett syndrome</t>
  </si>
  <si>
    <t>Miyamoto, Akie et al</t>
  </si>
  <si>
    <t>2yrs</t>
  </si>
  <si>
    <t>3 - 5</t>
  </si>
  <si>
    <t>Melatonin Effects in Methylphenidate Treated Children with Attention Deficit Hyperactivity Disorder: A Randomized Double Blind Clinical Trial</t>
  </si>
  <si>
    <t>Mohammadi, Mohammad Reza et al</t>
  </si>
  <si>
    <t>8wks</t>
  </si>
  <si>
    <t>Delayed sleep phase syndrome: A placebo-controlled cross-over study on the effects of melatonin administered five hours before the individual dim light melatonin onset</t>
  </si>
  <si>
    <t>Nagtegaal, J E et al</t>
  </si>
  <si>
    <t>Brief report: melatonin facilitates sleep in individuals with mental retardation and insomnia</t>
  </si>
  <si>
    <t>Niederhofer, H et al</t>
  </si>
  <si>
    <t>0.1 - 3</t>
  </si>
  <si>
    <t>Effectiveness of melatonin in the treatment of sleep disturbances in children with Asperger disorder</t>
  </si>
  <si>
    <t>Paavonen, E Juulia et al</t>
  </si>
  <si>
    <t>14d</t>
  </si>
  <si>
    <t>1 - 6yrs</t>
  </si>
  <si>
    <t>Cognitive Effects of Exogenous Melatonin Administration in Elderly Persons</t>
  </si>
  <si>
    <t>Peck, Joel S et al</t>
  </si>
  <si>
    <t>Melatonin Adminiatration to Blind People: Phase Advances and Entrainment</t>
  </si>
  <si>
    <t>Sack, Robert L et al</t>
  </si>
  <si>
    <t>A randomized controlled trial of oral melatonin supplementation and breast cancer biomarkers</t>
  </si>
  <si>
    <t>Schernhammer, E S et al</t>
  </si>
  <si>
    <t>Soy isoflavones and melatonin for the relief of climacteric symptoms: a multicenter, double-blind, randomized study</t>
  </si>
  <si>
    <t>Secreto, Giorgio et al</t>
  </si>
  <si>
    <t>Melatonin improves health status and sleep in children with idiopathic chronic sleep-onset insomnia: A randomized placebo-controlled trial</t>
  </si>
  <si>
    <t>Smits, Marcel G et al</t>
  </si>
  <si>
    <t>Melatonin Treatment in Adolescents With Delayed Sleep Phase Syndrome</t>
  </si>
  <si>
    <t>Szeinberg, Amir et al</t>
  </si>
  <si>
    <t>Melatonin for treatment of sleeping disorders in children with attention deficit/hyperactivity disorder: a preliminary open label study</t>
  </si>
  <si>
    <t>Tjon Pian Gi, Cecil V et al</t>
  </si>
  <si>
    <t>Effects of Melatonin and Bright Light Treatment in Childhood Chronic Sleep Onset Insomnia With Late Melatonin Onset: A Randomized Controlled Study</t>
  </si>
  <si>
    <t>van Maanen, Annette et al</t>
  </si>
  <si>
    <t>26 - 29wks</t>
  </si>
  <si>
    <t>Efficacy of prolonged release melatonin in insomnia patients aged 55-80 years: quality of sleep and next-day alertness outcomes</t>
  </si>
  <si>
    <t>Wade, Alan G et al</t>
  </si>
  <si>
    <t>Sleep Hygiene and Melatonin Treatment for Children and Adolescents With ADHD and Initial Insomnia</t>
  </si>
  <si>
    <t>Weiss, Margaret D et al</t>
  </si>
  <si>
    <t>Randomized Clinical Trial of Melatonin After Night-Shift Work: Efficacy and Neuropsychologic Effects</t>
  </si>
  <si>
    <t>Effects of a Low Dose of Melatonin on Sleep in Children with Angelman Syndrome</t>
  </si>
  <si>
    <t>Zhdanova, I V et al</t>
  </si>
  <si>
    <t>Wright, Seth W et al</t>
  </si>
  <si>
    <t>30d</t>
  </si>
  <si>
    <t>0.3</t>
  </si>
  <si>
    <t>Jan, James E; Joseph Tai et al</t>
  </si>
  <si>
    <t>De Matos Cavalcante, Antonio George et 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</si>
</sst>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4"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
      <sz val="12"/>
      <color rgb="FF000000"/>
      <name val="Calibri"/>
      <family val="2"/>
      <scheme val="minor"/>
    </font>
  </fonts>
  <fills count="37">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
      <patternFill patternType="solid">
        <fgColor rgb="FF53669E"/>
        <bgColor rgb="FF000000"/>
      </patternFill>
    </fill>
    <fill>
      <patternFill patternType="solid">
        <fgColor rgb="FFF65AA7"/>
        <bgColor rgb="FF000000"/>
      </patternFill>
    </fill>
    <fill>
      <patternFill patternType="solid">
        <fgColor rgb="FFCDFBFF"/>
        <bgColor indexed="64"/>
      </patternFill>
    </fill>
    <fill>
      <patternFill patternType="solid">
        <fgColor theme="4" tint="-0.499984740745262"/>
        <bgColor indexed="64"/>
      </patternFill>
    </fill>
    <fill>
      <patternFill patternType="solid">
        <fgColor rgb="FFE4FEFF"/>
        <bgColor indexed="64"/>
      </patternFill>
    </fill>
    <fill>
      <patternFill patternType="solid">
        <fgColor rgb="FF203764"/>
        <bgColor rgb="FF000000"/>
      </patternFill>
    </fill>
  </fills>
  <borders count="412">
    <border>
      <left/>
      <right/>
      <top/>
      <bottom/>
      <diagonal/>
    </border>
    <border>
      <left/>
      <right/>
      <top/>
      <bottom style="thin">
        <color rgb="FF587295"/>
      </bottom>
      <diagonal/>
    </border>
    <border>
      <left/>
      <right/>
      <top style="thin">
        <color rgb="FF587295"/>
      </top>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style="thin">
        <color rgb="FF80B345"/>
      </top>
      <bottom style="medium">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style="medium">
        <color theme="9" tint="-0.24994659260841701"/>
      </right>
      <top style="thin">
        <color rgb="FFAFCFFF"/>
      </top>
      <bottom style="thin">
        <color rgb="FFAFCFFF"/>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rgb="FF80B345"/>
      </left>
      <right/>
      <top/>
      <bottom style="medium">
        <color rgb="FF99B4E0"/>
      </bottom>
      <diagonal/>
    </border>
    <border>
      <left style="medium">
        <color theme="9"/>
      </left>
      <right/>
      <top/>
      <bottom style="medium">
        <color rgb="FF80B345"/>
      </bottom>
      <diagonal/>
    </border>
    <border>
      <left/>
      <right style="medium">
        <color theme="9"/>
      </right>
      <top/>
      <bottom style="medium">
        <color rgb="FF80B345"/>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
      <left style="medium">
        <color rgb="FF839FDE"/>
      </left>
      <right style="medium">
        <color rgb="FF839FDE"/>
      </right>
      <top style="medium">
        <color rgb="FF839FDE"/>
      </top>
      <bottom/>
      <diagonal/>
    </border>
    <border>
      <left style="medium">
        <color rgb="FF839FDE"/>
      </left>
      <right style="medium">
        <color rgb="FF839FDE"/>
      </right>
      <top/>
      <bottom style="medium">
        <color rgb="FF839FDE"/>
      </bottom>
      <diagonal/>
    </border>
    <border>
      <left style="medium">
        <color rgb="FF7E98D5"/>
      </left>
      <right style="thin">
        <color rgb="FF8ABCC2"/>
      </right>
      <top style="thin">
        <color rgb="FF8ABCC2"/>
      </top>
      <bottom style="thin">
        <color rgb="FF8ABCC2"/>
      </bottom>
      <diagonal/>
    </border>
    <border>
      <left style="thin">
        <color rgb="FF8ABCC2"/>
      </left>
      <right style="thin">
        <color rgb="FF8ABCC2"/>
      </right>
      <top style="thin">
        <color rgb="FF8ABCC2"/>
      </top>
      <bottom style="thin">
        <color rgb="FF8ABCC2"/>
      </bottom>
      <diagonal/>
    </border>
    <border>
      <left style="thin">
        <color rgb="FF8ABCC2"/>
      </left>
      <right/>
      <top style="thin">
        <color rgb="FF8ABCC2"/>
      </top>
      <bottom style="thin">
        <color rgb="FF8ABCC2"/>
      </bottom>
      <diagonal/>
    </border>
    <border>
      <left style="medium">
        <color rgb="FF95B6EC"/>
      </left>
      <right style="thin">
        <color rgb="FF8ABCC2"/>
      </right>
      <top style="thin">
        <color rgb="FF8ABCC2"/>
      </top>
      <bottom style="thin">
        <color rgb="FF8ABCC2"/>
      </bottom>
      <diagonal/>
    </border>
    <border>
      <left style="medium">
        <color rgb="FF95B6EC"/>
      </left>
      <right style="thin">
        <color rgb="FF8ABCC2"/>
      </right>
      <top style="thin">
        <color rgb="FF8ABCC2"/>
      </top>
      <bottom/>
      <diagonal/>
    </border>
    <border>
      <left style="thin">
        <color rgb="FF8ABCC2"/>
      </left>
      <right style="thin">
        <color rgb="FF8ABCC2"/>
      </right>
      <top style="thin">
        <color rgb="FF8ABCC2"/>
      </top>
      <bottom/>
      <diagonal/>
    </border>
    <border>
      <left style="thin">
        <color rgb="FF8ABCC2"/>
      </left>
      <right/>
      <top style="thin">
        <color rgb="FF8ABCC2"/>
      </top>
      <bottom/>
      <diagonal/>
    </border>
    <border>
      <left style="medium">
        <color rgb="FF7E98D5"/>
      </left>
      <right style="thin">
        <color rgb="FF8ABCC2"/>
      </right>
      <top style="medium">
        <color rgb="FF8ABCC2"/>
      </top>
      <bottom style="thin">
        <color rgb="FF8ABCC2"/>
      </bottom>
      <diagonal/>
    </border>
    <border>
      <left style="thin">
        <color rgb="FF8ABCC2"/>
      </left>
      <right style="thin">
        <color rgb="FF8ABCC2"/>
      </right>
      <top style="medium">
        <color rgb="FF8ABCC2"/>
      </top>
      <bottom style="thin">
        <color rgb="FF8ABCC2"/>
      </bottom>
      <diagonal/>
    </border>
    <border>
      <left style="thin">
        <color rgb="FF8ABCC2"/>
      </left>
      <right/>
      <top style="medium">
        <color rgb="FF8ABCC2"/>
      </top>
      <bottom style="thin">
        <color rgb="FF8ABCC2"/>
      </bottom>
      <diagonal/>
    </border>
    <border>
      <left style="medium">
        <color rgb="FF7E98D5"/>
      </left>
      <right style="thin">
        <color rgb="FF8ABCC2"/>
      </right>
      <top style="thin">
        <color rgb="FF8ABCC2"/>
      </top>
      <bottom/>
      <diagonal/>
    </border>
    <border>
      <left style="medium">
        <color rgb="FF95B6EC"/>
      </left>
      <right style="thin">
        <color rgb="FF8ABCC2"/>
      </right>
      <top style="medium">
        <color rgb="FF8ABCC2"/>
      </top>
      <bottom style="thin">
        <color rgb="FF8ABCC2"/>
      </bottom>
      <diagonal/>
    </border>
    <border>
      <left style="medium">
        <color rgb="FF95B6EC"/>
      </left>
      <right style="thin">
        <color rgb="FF8ABCC2"/>
      </right>
      <top/>
      <bottom style="thin">
        <color rgb="FF8ABCC2"/>
      </bottom>
      <diagonal/>
    </border>
    <border>
      <left style="thin">
        <color rgb="FF8ABCC2"/>
      </left>
      <right style="thin">
        <color rgb="FF8ABCC2"/>
      </right>
      <top/>
      <bottom style="thin">
        <color rgb="FF8ABCC2"/>
      </bottom>
      <diagonal/>
    </border>
    <border>
      <left style="thin">
        <color rgb="FF8ABCC2"/>
      </left>
      <right/>
      <top/>
      <bottom style="thin">
        <color rgb="FF8ABCC2"/>
      </bottom>
      <diagonal/>
    </border>
    <border>
      <left/>
      <right style="medium">
        <color rgb="FF7E98D5"/>
      </right>
      <top/>
      <bottom/>
      <diagonal/>
    </border>
    <border>
      <left/>
      <right style="medium">
        <color rgb="FF7E98D5"/>
      </right>
      <top style="medium">
        <color rgb="FF839FDE"/>
      </top>
      <bottom/>
      <diagonal/>
    </border>
    <border>
      <left style="medium">
        <color rgb="FF8ABCC2"/>
      </left>
      <right style="medium">
        <color rgb="FF8ABCC2"/>
      </right>
      <top style="medium">
        <color rgb="FF8ABCC2"/>
      </top>
      <bottom style="thin">
        <color rgb="FF8ABCC2"/>
      </bottom>
      <diagonal/>
    </border>
    <border>
      <left style="medium">
        <color rgb="FF8ABCC2"/>
      </left>
      <right style="medium">
        <color rgb="FF8ABCC2"/>
      </right>
      <top style="thin">
        <color rgb="FF8ABCC2"/>
      </top>
      <bottom style="thin">
        <color rgb="FF8ABCC2"/>
      </bottom>
      <diagonal/>
    </border>
    <border>
      <left style="medium">
        <color rgb="FF8ABCC2"/>
      </left>
      <right style="medium">
        <color rgb="FF8ABCC2"/>
      </right>
      <top style="thin">
        <color rgb="FF8ABCC2"/>
      </top>
      <bottom/>
      <diagonal/>
    </border>
    <border>
      <left style="medium">
        <color rgb="FF8ABCC2"/>
      </left>
      <right style="medium">
        <color rgb="FF8ABCC2"/>
      </right>
      <top/>
      <bottom style="thin">
        <color rgb="FF8ABCC2"/>
      </bottom>
      <diagonal/>
    </border>
    <border>
      <left style="medium">
        <color rgb="FF8ABCC2"/>
      </left>
      <right style="medium">
        <color rgb="FF8ABCC2"/>
      </right>
      <top style="thin">
        <color rgb="FF8ABCC2"/>
      </top>
      <bottom style="medium">
        <color rgb="FF8ABCC2"/>
      </bottom>
      <diagonal/>
    </border>
    <border>
      <left style="medium">
        <color rgb="FF839FDE"/>
      </left>
      <right style="thin">
        <color rgb="FF95B6EC"/>
      </right>
      <top style="thin">
        <color rgb="FF839FDE"/>
      </top>
      <bottom style="thin">
        <color rgb="FFB0B0FF"/>
      </bottom>
      <diagonal/>
    </border>
    <border>
      <left style="thin">
        <color rgb="FF8ABCC2"/>
      </left>
      <right style="thin">
        <color rgb="FF8ABCC2"/>
      </right>
      <top style="thin">
        <color rgb="FF8ABCC2"/>
      </top>
      <bottom style="medium">
        <color rgb="FF8ABCC2"/>
      </bottom>
      <diagonal/>
    </border>
    <border>
      <left style="medium">
        <color rgb="FF7E98D5"/>
      </left>
      <right style="thin">
        <color rgb="FF8ABCC2"/>
      </right>
      <top style="thin">
        <color rgb="FF8ABCC2"/>
      </top>
      <bottom style="medium">
        <color rgb="FF8ABCC2"/>
      </bottom>
      <diagonal/>
    </border>
    <border>
      <left style="medium">
        <color rgb="FF8ABCC2"/>
      </left>
      <right style="thin">
        <color rgb="FF8ABCC2"/>
      </right>
      <top style="medium">
        <color rgb="FF8ABCC2"/>
      </top>
      <bottom style="thin">
        <color rgb="FF8ABCC2"/>
      </bottom>
      <diagonal/>
    </border>
    <border>
      <left style="thin">
        <color rgb="FF8ABCC2"/>
      </left>
      <right style="medium">
        <color rgb="FFB0B0FF"/>
      </right>
      <top style="medium">
        <color rgb="FF8ABCC2"/>
      </top>
      <bottom style="thin">
        <color rgb="FF8ABCC2"/>
      </bottom>
      <diagonal/>
    </border>
    <border>
      <left style="medium">
        <color rgb="FF8ABCC2"/>
      </left>
      <right style="thin">
        <color rgb="FF8ABCC2"/>
      </right>
      <top style="thin">
        <color rgb="FF8ABCC2"/>
      </top>
      <bottom style="thin">
        <color rgb="FF8ABCC2"/>
      </bottom>
      <diagonal/>
    </border>
    <border>
      <left style="thin">
        <color rgb="FF8ABCC2"/>
      </left>
      <right style="medium">
        <color rgb="FFB0B0FF"/>
      </right>
      <top style="thin">
        <color rgb="FF8ABCC2"/>
      </top>
      <bottom style="thin">
        <color rgb="FF8ABCC2"/>
      </bottom>
      <diagonal/>
    </border>
    <border>
      <left style="medium">
        <color rgb="FF839FDE"/>
      </left>
      <right/>
      <top/>
      <bottom style="thin">
        <color rgb="FF839FDE"/>
      </bottom>
      <diagonal/>
    </border>
    <border>
      <left/>
      <right style="medium">
        <color rgb="FF7E98D5"/>
      </right>
      <top/>
      <bottom style="thin">
        <color rgb="FF839FDE"/>
      </bottom>
      <diagonal/>
    </border>
    <border>
      <left/>
      <right style="thin">
        <color rgb="FF8ABCC2"/>
      </right>
      <top style="medium">
        <color rgb="FF8ABCC2"/>
      </top>
      <bottom style="thin">
        <color rgb="FF8ABCC2"/>
      </bottom>
      <diagonal/>
    </border>
    <border>
      <left/>
      <right style="thin">
        <color rgb="FF8ABCC2"/>
      </right>
      <top style="thin">
        <color rgb="FF8ABCC2"/>
      </top>
      <bottom style="thin">
        <color rgb="FF8ABCC2"/>
      </bottom>
      <diagonal/>
    </border>
    <border>
      <left style="medium">
        <color rgb="FF8ABCC2"/>
      </left>
      <right style="thin">
        <color rgb="FF8ABCC2"/>
      </right>
      <top style="thin">
        <color rgb="FF8ABCC2"/>
      </top>
      <bottom style="medium">
        <color rgb="FF8ABCC2"/>
      </bottom>
      <diagonal/>
    </border>
    <border>
      <left style="thin">
        <color rgb="FF8ABCC2"/>
      </left>
      <right style="thin">
        <color rgb="FF8ABCC2"/>
      </right>
      <top/>
      <bottom/>
      <diagonal/>
    </border>
    <border>
      <left style="thin">
        <color rgb="FF8ABCC2"/>
      </left>
      <right/>
      <top/>
      <bottom/>
      <diagonal/>
    </border>
    <border>
      <left/>
      <right style="thin">
        <color rgb="FF8ABCC2"/>
      </right>
      <top style="thin">
        <color rgb="FF8ABCC2"/>
      </top>
      <bottom style="medium">
        <color rgb="FF8ABCC2"/>
      </bottom>
      <diagonal/>
    </border>
    <border>
      <left style="thin">
        <color rgb="FF8ABCC2"/>
      </left>
      <right style="medium">
        <color rgb="FFB0B0FF"/>
      </right>
      <top style="thin">
        <color rgb="FF8ABCC2"/>
      </top>
      <bottom style="medium">
        <color rgb="FF8ABCC2"/>
      </bottom>
      <diagonal/>
    </border>
    <border>
      <left style="medium">
        <color rgb="FFB0B0FF"/>
      </left>
      <right style="medium">
        <color rgb="FF839FDE"/>
      </right>
      <top/>
      <bottom style="medium">
        <color rgb="FF8ABCC2"/>
      </bottom>
      <diagonal/>
    </border>
    <border>
      <left style="medium">
        <color rgb="FF839FDE"/>
      </left>
      <right style="thin">
        <color rgb="FF839FDE"/>
      </right>
      <top/>
      <bottom style="medium">
        <color rgb="FF8ABCC2"/>
      </bottom>
      <diagonal/>
    </border>
    <border>
      <left style="thin">
        <color rgb="FF839FDE"/>
      </left>
      <right style="medium">
        <color rgb="FF95B6EC"/>
      </right>
      <top/>
      <bottom style="medium">
        <color rgb="FF8ABCC2"/>
      </bottom>
      <diagonal/>
    </border>
    <border>
      <left style="medium">
        <color rgb="FF95B6EC"/>
      </left>
      <right style="thin">
        <color rgb="FF8ABCC2"/>
      </right>
      <top style="thin">
        <color rgb="FF8ABCC2"/>
      </top>
      <bottom style="medium">
        <color rgb="FF8ABCC2"/>
      </bottom>
      <diagonal/>
    </border>
    <border>
      <left style="thin">
        <color rgb="FF8ABCC2"/>
      </left>
      <right/>
      <top style="thin">
        <color rgb="FF8ABCC2"/>
      </top>
      <bottom style="medium">
        <color rgb="FF8ABCC2"/>
      </bottom>
      <diagonal/>
    </border>
    <border>
      <left/>
      <right/>
      <top style="thin">
        <color rgb="FF8ABCC2"/>
      </top>
      <bottom style="thin">
        <color rgb="FF8ABCC2"/>
      </bottom>
      <diagonal/>
    </border>
    <border>
      <left/>
      <right style="medium">
        <color rgb="FFB0B0FF"/>
      </right>
      <top style="thin">
        <color rgb="FF8ABCC2"/>
      </top>
      <bottom style="thin">
        <color rgb="FF8ABCC2"/>
      </bottom>
      <diagonal/>
    </border>
    <border>
      <left/>
      <right style="medium">
        <color rgb="FF839FDE"/>
      </right>
      <top style="thin">
        <color rgb="FFB0B0FF"/>
      </top>
      <bottom style="thin">
        <color rgb="FFB0B0FF"/>
      </bottom>
      <diagonal/>
    </border>
    <border>
      <left/>
      <right style="medium">
        <color rgb="FF839FDE"/>
      </right>
      <top/>
      <bottom style="thin">
        <color rgb="FFB0B0FF"/>
      </bottom>
      <diagonal/>
    </border>
    <border>
      <left/>
      <right style="thin">
        <color rgb="FF95B6EC"/>
      </right>
      <top/>
      <bottom style="thin">
        <color rgb="FF839FDE"/>
      </bottom>
      <diagonal/>
    </border>
    <border>
      <left style="medium">
        <color rgb="FFB0B0FF"/>
      </left>
      <right style="medium">
        <color rgb="FF839FDE"/>
      </right>
      <top style="medium">
        <color rgb="FF8ABCC2"/>
      </top>
      <bottom style="thin">
        <color rgb="FFB0B0FF"/>
      </bottom>
      <diagonal/>
    </border>
    <border>
      <left style="medium">
        <color rgb="FF839FDE"/>
      </left>
      <right style="thin">
        <color rgb="FF95B6EC"/>
      </right>
      <top style="medium">
        <color rgb="FF8ABCC2"/>
      </top>
      <bottom style="thin">
        <color rgb="FF839FDE"/>
      </bottom>
      <diagonal/>
    </border>
    <border>
      <left style="thin">
        <color rgb="FF839FDE"/>
      </left>
      <right style="medium">
        <color rgb="FF95B6EC"/>
      </right>
      <top style="medium">
        <color rgb="FF8ABCC2"/>
      </top>
      <bottom style="thin">
        <color rgb="FF839FDE"/>
      </bottom>
      <diagonal/>
    </border>
    <border>
      <left style="medium">
        <color rgb="FF95B6EC"/>
      </left>
      <right style="thin">
        <color rgb="FF95B6EC"/>
      </right>
      <top style="medium">
        <color rgb="FF8ABCC2"/>
      </top>
      <bottom style="thin">
        <color rgb="FF9BBAFF"/>
      </bottom>
      <diagonal/>
    </border>
    <border>
      <left style="thin">
        <color rgb="FF95B6EC"/>
      </left>
      <right style="medium">
        <color rgb="FF95B6EC"/>
      </right>
      <top style="medium">
        <color rgb="FF8ABCC2"/>
      </top>
      <bottom style="thin">
        <color rgb="FF9BBAFF"/>
      </bottom>
      <diagonal/>
    </border>
    <border>
      <left/>
      <right style="thin">
        <color rgb="FF95B6EC"/>
      </right>
      <top style="medium">
        <color rgb="FF8ABCC2"/>
      </top>
      <bottom style="thin">
        <color rgb="FF9BBAFF"/>
      </bottom>
      <diagonal/>
    </border>
    <border>
      <left style="thin">
        <color rgb="FF95B6EC"/>
      </left>
      <right style="medium">
        <color rgb="FF95B6EC"/>
      </right>
      <top style="medium">
        <color rgb="FF8ABCC2"/>
      </top>
      <bottom/>
      <diagonal/>
    </border>
    <border>
      <left/>
      <right style="medium">
        <color theme="9" tint="-0.24994659260841701"/>
      </right>
      <top style="thin">
        <color rgb="FFAFCFFF"/>
      </top>
      <bottom style="medium">
        <color rgb="FFAFCFFF"/>
      </bottom>
      <diagonal/>
    </border>
    <border>
      <left style="medium">
        <color rgb="FF4C72BF"/>
      </left>
      <right/>
      <top style="thin">
        <color rgb="FFAFCFFF"/>
      </top>
      <bottom style="medium">
        <color rgb="FFAFD0FF"/>
      </bottom>
      <diagonal/>
    </border>
    <border>
      <left/>
      <right/>
      <top style="thin">
        <color rgb="FFAFCFFF"/>
      </top>
      <bottom style="medium">
        <color rgb="FFAFD0FF"/>
      </bottom>
      <diagonal/>
    </border>
    <border>
      <left/>
      <right style="medium">
        <color rgb="FFAFD0FF"/>
      </right>
      <top style="thin">
        <color rgb="FFAFCFFF"/>
      </top>
      <bottom style="medium">
        <color rgb="FFAFD0FF"/>
      </bottom>
      <diagonal/>
    </border>
    <border>
      <left style="medium">
        <color rgb="FF4C72BF"/>
      </left>
      <right/>
      <top style="medium">
        <color rgb="FF99B4E0"/>
      </top>
      <bottom style="thin">
        <color rgb="FFAFCFFF"/>
      </bottom>
      <diagonal/>
    </border>
    <border>
      <left/>
      <right/>
      <top style="medium">
        <color rgb="FF99B4E0"/>
      </top>
      <bottom style="thin">
        <color rgb="FFAFCFFF"/>
      </bottom>
      <diagonal/>
    </border>
    <border>
      <left/>
      <right style="medium">
        <color rgb="FFAFD0FF"/>
      </right>
      <top style="medium">
        <color rgb="FF99B4E0"/>
      </top>
      <bottom style="thin">
        <color rgb="FFAFCFFF"/>
      </bottom>
      <diagonal/>
    </border>
    <border>
      <left style="medium">
        <color rgb="FF4C72BF"/>
      </left>
      <right/>
      <top style="thin">
        <color rgb="FFAFCFFF"/>
      </top>
      <bottom style="thin">
        <color rgb="FFAFCFFF"/>
      </bottom>
      <diagonal/>
    </border>
    <border>
      <left/>
      <right style="medium">
        <color rgb="FFAFD0FF"/>
      </right>
      <top style="thin">
        <color rgb="FFAFCFFF"/>
      </top>
      <bottom style="thin">
        <color rgb="FFAFCFFF"/>
      </bottom>
      <diagonal/>
    </border>
    <border>
      <left style="medium">
        <color rgb="FFB0B0FF"/>
      </left>
      <right style="medium">
        <color rgb="FF839FDE"/>
      </right>
      <top style="thin">
        <color rgb="FFB0B0FF"/>
      </top>
      <bottom/>
      <diagonal/>
    </border>
    <border>
      <left style="medium">
        <color rgb="FF839FDE"/>
      </left>
      <right style="thin">
        <color rgb="FF95B6EC"/>
      </right>
      <top style="thin">
        <color rgb="FF839FDE"/>
      </top>
      <bottom/>
      <diagonal/>
    </border>
    <border>
      <left style="thin">
        <color rgb="FF839FDE"/>
      </left>
      <right style="medium">
        <color rgb="FF95B6EC"/>
      </right>
      <top style="thin">
        <color rgb="FF839FDE"/>
      </top>
      <bottom/>
      <diagonal/>
    </border>
    <border>
      <left style="medium">
        <color rgb="FF95B6EC"/>
      </left>
      <right style="thin">
        <color rgb="FF95B6EC"/>
      </right>
      <top style="thin">
        <color rgb="FF839FDE"/>
      </top>
      <bottom/>
      <diagonal/>
    </border>
    <border>
      <left style="thin">
        <color rgb="FF95B6EC"/>
      </left>
      <right style="medium">
        <color rgb="FF95B6EC"/>
      </right>
      <top style="thin">
        <color rgb="FF839FDE"/>
      </top>
      <bottom/>
      <diagonal/>
    </border>
    <border>
      <left/>
      <right style="thin">
        <color rgb="FF95B6EC"/>
      </right>
      <top style="thin">
        <color rgb="FF839FDE"/>
      </top>
      <bottom/>
      <diagonal/>
    </border>
    <border>
      <left style="medium">
        <color rgb="FF839FDE"/>
      </left>
      <right style="thin">
        <color rgb="FF95B6EC"/>
      </right>
      <top/>
      <bottom style="medium">
        <color rgb="FF839FDE"/>
      </bottom>
      <diagonal/>
    </border>
    <border>
      <left style="thin">
        <color rgb="FF839FDE"/>
      </left>
      <right style="medium">
        <color rgb="FF95B6EC"/>
      </right>
      <top/>
      <bottom style="medium">
        <color rgb="FF839FDE"/>
      </bottom>
      <diagonal/>
    </border>
    <border>
      <left style="medium">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thin">
        <color rgb="FF95B6EC"/>
      </right>
      <top/>
      <bottom style="medium">
        <color rgb="FF95B6EC"/>
      </bottom>
      <diagonal/>
    </border>
    <border>
      <left style="medium">
        <color rgb="FF95B6EC"/>
      </left>
      <right style="thin">
        <color rgb="FF95B6EC"/>
      </right>
      <top style="thin">
        <color rgb="FF95B6EC"/>
      </top>
      <bottom style="thin">
        <color rgb="FF839FDE"/>
      </bottom>
      <diagonal/>
    </border>
    <border>
      <left style="thin">
        <color rgb="FF95B6EC"/>
      </left>
      <right style="medium">
        <color rgb="FF95B6EC"/>
      </right>
      <top style="thin">
        <color rgb="FF95B6EC"/>
      </top>
      <bottom style="thin">
        <color rgb="FF839FDE"/>
      </bottom>
      <diagonal/>
    </border>
    <border>
      <left/>
      <right style="thin">
        <color rgb="FF95B6EC"/>
      </right>
      <top style="thin">
        <color rgb="FF95B6EC"/>
      </top>
      <bottom style="thin">
        <color rgb="FF839FDE"/>
      </bottom>
      <diagonal/>
    </border>
    <border>
      <left style="medium">
        <color rgb="FFB0B0FF"/>
      </left>
      <right style="medium">
        <color rgb="FF839FDE"/>
      </right>
      <top/>
      <bottom style="medium">
        <color rgb="FFB0B0FF"/>
      </bottom>
      <diagonal/>
    </border>
    <border>
      <left style="medium">
        <color rgb="FFE149A3"/>
      </left>
      <right/>
      <top/>
      <bottom/>
      <diagonal/>
    </border>
    <border>
      <left style="medium">
        <color rgb="FF95B6EC"/>
      </left>
      <right style="thin">
        <color rgb="FF95B6EC"/>
      </right>
      <top style="thin">
        <color rgb="FF839FDE"/>
      </top>
      <bottom style="medium">
        <color rgb="FF95B6EC"/>
      </bottom>
      <diagonal/>
    </border>
    <border>
      <left style="thin">
        <color rgb="FF95B6EC"/>
      </left>
      <right style="medium">
        <color rgb="FF95B6EC"/>
      </right>
      <top style="thin">
        <color rgb="FF839FDE"/>
      </top>
      <bottom style="medium">
        <color rgb="FF95B6EC"/>
      </bottom>
      <diagonal/>
    </border>
    <border>
      <left/>
      <right style="thin">
        <color rgb="FF95B6EC"/>
      </right>
      <top style="thin">
        <color rgb="FF839FDE"/>
      </top>
      <bottom style="medium">
        <color rgb="FF95B6EC"/>
      </bottom>
      <diagonal/>
    </border>
    <border>
      <left style="medium">
        <color rgb="FF95B6EC"/>
      </left>
      <right style="thin">
        <color rgb="FF95B6EC"/>
      </right>
      <top style="medium">
        <color rgb="FF8ABCC2"/>
      </top>
      <bottom style="thin">
        <color rgb="FF95B6EC"/>
      </bottom>
      <diagonal/>
    </border>
    <border>
      <left style="thin">
        <color rgb="FF95B6EC"/>
      </left>
      <right style="medium">
        <color rgb="FF95B6EC"/>
      </right>
      <top style="medium">
        <color rgb="FF8ABCC2"/>
      </top>
      <bottom style="thin">
        <color rgb="FF95B6EC"/>
      </bottom>
      <diagonal/>
    </border>
    <border>
      <left style="thin">
        <color rgb="FF839FDE"/>
      </left>
      <right/>
      <top style="medium">
        <color rgb="FF8ABCC2"/>
      </top>
      <bottom style="thin">
        <color rgb="FF839FDE"/>
      </bottom>
      <diagonal/>
    </border>
    <border>
      <left style="medium">
        <color rgb="FF8BABE6"/>
      </left>
      <right style="thin">
        <color rgb="FF95B6EC"/>
      </right>
      <top style="medium">
        <color rgb="FF8ABCC2"/>
      </top>
      <bottom style="thin">
        <color rgb="FF9BBAFF"/>
      </bottom>
      <diagonal/>
    </border>
  </borders>
  <cellStyleXfs count="73">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827">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4"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xf numFmtId="0" fontId="6" fillId="2" borderId="25" xfId="0" applyFont="1" applyFill="1" applyBorder="1" applyAlignment="1">
      <alignment horizontal="center"/>
    </xf>
    <xf numFmtId="164" fontId="6" fillId="2" borderId="23" xfId="0" applyNumberFormat="1" applyFont="1" applyFill="1" applyBorder="1" applyAlignment="1">
      <alignment horizontal="center"/>
    </xf>
    <xf numFmtId="164" fontId="6" fillId="2" borderId="24" xfId="0" applyNumberFormat="1" applyFont="1" applyFill="1" applyBorder="1" applyAlignment="1">
      <alignment horizontal="center"/>
    </xf>
    <xf numFmtId="0" fontId="6" fillId="6" borderId="13" xfId="0" applyFont="1" applyFill="1" applyBorder="1" applyAlignment="1">
      <alignment horizontal="center"/>
    </xf>
    <xf numFmtId="164" fontId="6" fillId="6" borderId="23" xfId="0" applyNumberFormat="1" applyFont="1" applyFill="1" applyBorder="1" applyAlignment="1">
      <alignment horizontal="center"/>
    </xf>
    <xf numFmtId="0" fontId="6" fillId="6" borderId="4" xfId="0" applyFont="1" applyFill="1" applyBorder="1" applyAlignment="1">
      <alignment horizontal="center"/>
    </xf>
    <xf numFmtId="0" fontId="5" fillId="0" borderId="0" xfId="0" applyFont="1" applyAlignment="1">
      <alignment horizontal="center"/>
    </xf>
    <xf numFmtId="0" fontId="20" fillId="2" borderId="53" xfId="0" applyFont="1" applyFill="1" applyBorder="1" applyAlignment="1">
      <alignment horizontal="right"/>
    </xf>
    <xf numFmtId="0" fontId="6" fillId="2" borderId="33" xfId="0" applyFont="1" applyFill="1" applyBorder="1"/>
    <xf numFmtId="0" fontId="6" fillId="2" borderId="36" xfId="0" applyFont="1" applyFill="1" applyBorder="1" applyAlignment="1">
      <alignment vertical="top" wrapText="1"/>
    </xf>
    <xf numFmtId="0" fontId="9" fillId="6" borderId="58" xfId="0" applyFont="1" applyFill="1" applyBorder="1" applyAlignment="1">
      <alignment horizontal="center"/>
    </xf>
    <xf numFmtId="0" fontId="6" fillId="2" borderId="4"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59" xfId="0" applyNumberFormat="1" applyFont="1" applyFill="1" applyBorder="1" applyAlignment="1">
      <alignment horizontal="center"/>
    </xf>
    <xf numFmtId="0" fontId="6" fillId="2" borderId="60" xfId="0" applyFont="1" applyFill="1" applyBorder="1" applyAlignment="1">
      <alignment horizontal="center"/>
    </xf>
    <xf numFmtId="164" fontId="6" fillId="2" borderId="61" xfId="0" applyNumberFormat="1" applyFont="1" applyFill="1" applyBorder="1" applyAlignment="1">
      <alignment horizontal="center"/>
    </xf>
    <xf numFmtId="0" fontId="6" fillId="2" borderId="6" xfId="0" applyFont="1" applyFill="1" applyBorder="1" applyAlignment="1">
      <alignment horizontal="center"/>
    </xf>
    <xf numFmtId="0" fontId="6" fillId="2" borderId="27" xfId="0" applyFont="1" applyFill="1" applyBorder="1" applyAlignment="1">
      <alignment horizontal="center"/>
    </xf>
    <xf numFmtId="164" fontId="6" fillId="2" borderId="29" xfId="0" applyNumberFormat="1" applyFont="1" applyFill="1" applyBorder="1" applyAlignment="1">
      <alignment horizontal="center"/>
    </xf>
    <xf numFmtId="0" fontId="6" fillId="2" borderId="5"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74" xfId="0" applyNumberFormat="1" applyFont="1" applyFill="1" applyBorder="1" applyAlignment="1">
      <alignment horizontal="center"/>
    </xf>
    <xf numFmtId="49" fontId="6" fillId="4" borderId="75" xfId="0" applyNumberFormat="1" applyFont="1" applyFill="1" applyBorder="1" applyAlignment="1">
      <alignment horizontal="center"/>
    </xf>
    <xf numFmtId="49" fontId="6" fillId="4" borderId="76" xfId="0" applyNumberFormat="1" applyFont="1" applyFill="1" applyBorder="1" applyAlignment="1">
      <alignment horizontal="center"/>
    </xf>
    <xf numFmtId="49" fontId="6" fillId="4" borderId="77" xfId="0" applyNumberFormat="1" applyFont="1" applyFill="1" applyBorder="1" applyAlignment="1">
      <alignment horizontal="center"/>
    </xf>
    <xf numFmtId="0" fontId="6" fillId="3" borderId="80" xfId="0" applyFont="1" applyFill="1" applyBorder="1" applyAlignment="1">
      <alignment horizontal="center"/>
    </xf>
    <xf numFmtId="0" fontId="6" fillId="3" borderId="81" xfId="0" applyFont="1" applyFill="1" applyBorder="1" applyAlignment="1">
      <alignment horizontal="center"/>
    </xf>
    <xf numFmtId="0" fontId="6" fillId="14" borderId="13" xfId="0" applyFont="1" applyFill="1" applyBorder="1" applyAlignment="1">
      <alignment horizontal="center"/>
    </xf>
    <xf numFmtId="0" fontId="6" fillId="14" borderId="27" xfId="0" applyFont="1" applyFill="1" applyBorder="1" applyAlignment="1">
      <alignment horizontal="center"/>
    </xf>
    <xf numFmtId="0" fontId="6" fillId="14" borderId="23" xfId="0" applyFont="1" applyFill="1" applyBorder="1" applyAlignment="1">
      <alignment horizontal="center"/>
    </xf>
    <xf numFmtId="0" fontId="6" fillId="14" borderId="29" xfId="0" applyFont="1" applyFill="1" applyBorder="1" applyAlignment="1">
      <alignment horizontal="center"/>
    </xf>
    <xf numFmtId="1" fontId="6" fillId="14" borderId="23" xfId="0" applyNumberFormat="1" applyFont="1" applyFill="1" applyBorder="1" applyAlignment="1">
      <alignment horizontal="center"/>
    </xf>
    <xf numFmtId="0" fontId="6" fillId="2" borderId="91" xfId="0" applyFont="1" applyFill="1" applyBorder="1" applyAlignment="1">
      <alignment horizontal="center"/>
    </xf>
    <xf numFmtId="0" fontId="6" fillId="2" borderId="92" xfId="0" applyFont="1" applyFill="1" applyBorder="1" applyAlignment="1">
      <alignment horizontal="center"/>
    </xf>
    <xf numFmtId="0" fontId="6" fillId="2" borderId="93" xfId="0" applyFont="1" applyFill="1" applyBorder="1" applyAlignment="1">
      <alignment horizontal="center"/>
    </xf>
    <xf numFmtId="0" fontId="6" fillId="2" borderId="94" xfId="0" applyFont="1" applyFill="1" applyBorder="1" applyAlignment="1">
      <alignment horizontal="center"/>
    </xf>
    <xf numFmtId="49" fontId="6" fillId="4" borderId="88" xfId="0" applyNumberFormat="1" applyFont="1" applyFill="1" applyBorder="1" applyAlignment="1">
      <alignment horizontal="center"/>
    </xf>
    <xf numFmtId="49" fontId="6" fillId="4" borderId="97" xfId="0" applyNumberFormat="1" applyFont="1" applyFill="1" applyBorder="1" applyAlignment="1">
      <alignment horizontal="center"/>
    </xf>
    <xf numFmtId="49" fontId="6" fillId="4" borderId="74" xfId="0" applyNumberFormat="1" applyFont="1" applyFill="1" applyBorder="1" applyAlignment="1">
      <alignment horizontal="center" shrinkToFit="1"/>
    </xf>
    <xf numFmtId="49" fontId="6" fillId="4" borderId="75" xfId="0" applyNumberFormat="1" applyFont="1" applyFill="1" applyBorder="1" applyAlignment="1">
      <alignment horizontal="center" shrinkToFit="1"/>
    </xf>
    <xf numFmtId="49" fontId="6" fillId="4" borderId="99" xfId="0" applyNumberFormat="1" applyFont="1" applyFill="1" applyBorder="1" applyAlignment="1">
      <alignment horizontal="center"/>
    </xf>
    <xf numFmtId="0" fontId="6" fillId="3" borderId="100" xfId="0" applyFont="1" applyFill="1" applyBorder="1" applyAlignment="1">
      <alignment horizontal="center"/>
    </xf>
    <xf numFmtId="49" fontId="6" fillId="4" borderId="103" xfId="0" applyNumberFormat="1" applyFont="1" applyFill="1" applyBorder="1" applyAlignment="1">
      <alignment horizontal="center"/>
    </xf>
    <xf numFmtId="49" fontId="6" fillId="4" borderId="104" xfId="0" applyNumberFormat="1" applyFont="1" applyFill="1" applyBorder="1" applyAlignment="1">
      <alignment horizontal="center"/>
    </xf>
    <xf numFmtId="49" fontId="6" fillId="4" borderId="105" xfId="0" applyNumberFormat="1" applyFont="1" applyFill="1" applyBorder="1" applyAlignment="1">
      <alignment horizontal="center"/>
    </xf>
    <xf numFmtId="0" fontId="6" fillId="13" borderId="13" xfId="0" applyFont="1" applyFill="1" applyBorder="1" applyAlignment="1">
      <alignment horizontal="center"/>
    </xf>
    <xf numFmtId="0" fontId="6" fillId="13" borderId="23"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16" xfId="0" applyFont="1" applyBorder="1" applyAlignment="1">
      <alignment horizontal="center"/>
    </xf>
    <xf numFmtId="0" fontId="5" fillId="0" borderId="116" xfId="0" applyFont="1" applyBorder="1"/>
    <xf numFmtId="164" fontId="22" fillId="15" borderId="113"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14" xfId="0" applyNumberFormat="1" applyFont="1" applyFill="1" applyBorder="1" applyAlignment="1">
      <alignment horizontal="center"/>
    </xf>
    <xf numFmtId="164" fontId="22" fillId="15" borderId="135" xfId="0" applyNumberFormat="1" applyFont="1" applyFill="1" applyBorder="1" applyAlignment="1">
      <alignment horizontal="center"/>
    </xf>
    <xf numFmtId="164" fontId="22" fillId="15" borderId="149" xfId="0" applyNumberFormat="1" applyFont="1" applyFill="1" applyBorder="1" applyAlignment="1">
      <alignment horizontal="center"/>
    </xf>
    <xf numFmtId="164" fontId="6" fillId="2" borderId="4" xfId="0" applyNumberFormat="1" applyFont="1" applyFill="1" applyBorder="1" applyAlignment="1">
      <alignment horizontal="center"/>
    </xf>
    <xf numFmtId="164" fontId="22" fillId="15" borderId="111"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12" xfId="0" applyNumberFormat="1" applyFont="1" applyFill="1" applyBorder="1" applyAlignment="1">
      <alignment horizontal="center"/>
    </xf>
    <xf numFmtId="164" fontId="22" fillId="15" borderId="140" xfId="0" applyNumberFormat="1" applyFont="1" applyFill="1" applyBorder="1" applyAlignment="1">
      <alignment horizontal="center"/>
    </xf>
    <xf numFmtId="164" fontId="22" fillId="15" borderId="147" xfId="0" applyNumberFormat="1" applyFont="1" applyFill="1" applyBorder="1" applyAlignment="1">
      <alignment horizontal="center"/>
    </xf>
    <xf numFmtId="164" fontId="22" fillId="15" borderId="151" xfId="0" applyNumberFormat="1" applyFont="1" applyFill="1" applyBorder="1" applyAlignment="1">
      <alignment horizontal="center"/>
    </xf>
    <xf numFmtId="164" fontId="22" fillId="15" borderId="152" xfId="0" applyNumberFormat="1" applyFont="1" applyFill="1" applyBorder="1" applyAlignment="1">
      <alignment horizontal="center"/>
    </xf>
    <xf numFmtId="164" fontId="22" fillId="15" borderId="134" xfId="0" applyNumberFormat="1" applyFont="1" applyFill="1" applyBorder="1" applyAlignment="1">
      <alignment horizontal="center"/>
    </xf>
    <xf numFmtId="164" fontId="22" fillId="15" borderId="122" xfId="0" applyNumberFormat="1" applyFont="1" applyFill="1" applyBorder="1" applyAlignment="1">
      <alignment horizontal="center"/>
    </xf>
    <xf numFmtId="164" fontId="6" fillId="2" borderId="13" xfId="0" applyNumberFormat="1" applyFont="1" applyFill="1" applyBorder="1" applyAlignment="1">
      <alignment horizontal="center"/>
    </xf>
    <xf numFmtId="164" fontId="22" fillId="15" borderId="156"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76" xfId="0" applyFont="1" applyBorder="1" applyAlignment="1">
      <alignment horizontal="center" vertical="center"/>
    </xf>
    <xf numFmtId="0" fontId="27" fillId="0" borderId="178" xfId="0" applyFont="1" applyBorder="1" applyAlignment="1">
      <alignment horizontal="center" vertical="center"/>
    </xf>
    <xf numFmtId="0" fontId="27" fillId="16" borderId="177" xfId="0" applyFont="1" applyFill="1" applyBorder="1" applyAlignment="1">
      <alignment horizontal="center" vertical="center"/>
    </xf>
    <xf numFmtId="164" fontId="26" fillId="17" borderId="173" xfId="0" applyNumberFormat="1" applyFont="1" applyFill="1" applyBorder="1" applyAlignment="1">
      <alignment horizontal="center" vertical="center" wrapText="1"/>
    </xf>
    <xf numFmtId="0" fontId="26" fillId="17" borderId="174" xfId="0" applyFont="1" applyFill="1" applyBorder="1" applyAlignment="1">
      <alignment horizontal="center" vertical="center" wrapText="1"/>
    </xf>
    <xf numFmtId="164" fontId="26" fillId="17" borderId="171" xfId="0" applyNumberFormat="1" applyFont="1" applyFill="1" applyBorder="1" applyAlignment="1">
      <alignment horizontal="center"/>
    </xf>
    <xf numFmtId="164" fontId="26" fillId="17" borderId="167" xfId="0" applyNumberFormat="1" applyFont="1" applyFill="1" applyBorder="1" applyAlignment="1">
      <alignment horizontal="center"/>
    </xf>
    <xf numFmtId="0" fontId="26" fillId="17" borderId="168" xfId="0" applyFont="1" applyFill="1" applyBorder="1" applyAlignment="1">
      <alignment horizontal="center"/>
    </xf>
    <xf numFmtId="164" fontId="26" fillId="17" borderId="169" xfId="0" applyNumberFormat="1" applyFont="1" applyFill="1" applyBorder="1" applyAlignment="1">
      <alignment horizontal="center"/>
    </xf>
    <xf numFmtId="0" fontId="26" fillId="17" borderId="170" xfId="0" applyFont="1" applyFill="1" applyBorder="1" applyAlignment="1">
      <alignment horizontal="center"/>
    </xf>
    <xf numFmtId="2" fontId="25" fillId="18" borderId="187" xfId="0" applyNumberFormat="1" applyFont="1" applyFill="1" applyBorder="1" applyAlignment="1">
      <alignment horizontal="center"/>
    </xf>
    <xf numFmtId="0" fontId="25" fillId="18" borderId="188" xfId="0" applyFont="1" applyFill="1" applyBorder="1" applyAlignment="1">
      <alignment horizontal="center"/>
    </xf>
    <xf numFmtId="2" fontId="25" fillId="18" borderId="189" xfId="0" applyNumberFormat="1" applyFont="1" applyFill="1" applyBorder="1" applyAlignment="1">
      <alignment horizontal="center"/>
    </xf>
    <xf numFmtId="0" fontId="25" fillId="18" borderId="190" xfId="0" applyFont="1" applyFill="1" applyBorder="1" applyAlignment="1">
      <alignment horizontal="center"/>
    </xf>
    <xf numFmtId="2" fontId="25" fillId="18" borderId="191" xfId="0" applyNumberFormat="1" applyFont="1" applyFill="1" applyBorder="1" applyAlignment="1">
      <alignment horizontal="center"/>
    </xf>
    <xf numFmtId="0" fontId="25" fillId="18" borderId="192" xfId="0" applyFont="1" applyFill="1" applyBorder="1" applyAlignment="1">
      <alignment horizontal="center"/>
    </xf>
    <xf numFmtId="2" fontId="25" fillId="18" borderId="193" xfId="0" applyNumberFormat="1" applyFont="1" applyFill="1" applyBorder="1" applyAlignment="1">
      <alignment horizontal="center" vertical="center" wrapText="1"/>
    </xf>
    <xf numFmtId="0" fontId="25" fillId="18" borderId="194" xfId="0" applyFont="1" applyFill="1" applyBorder="1" applyAlignment="1">
      <alignment horizontal="center" vertical="center" wrapText="1"/>
    </xf>
    <xf numFmtId="0" fontId="26" fillId="17" borderId="172" xfId="0" applyFont="1" applyFill="1" applyBorder="1" applyAlignment="1">
      <alignment horizontal="center"/>
    </xf>
    <xf numFmtId="0" fontId="29" fillId="0" borderId="0" xfId="0" applyFont="1" applyAlignment="1">
      <alignment horizontal="left" vertical="center"/>
    </xf>
    <xf numFmtId="0" fontId="5" fillId="0" borderId="30" xfId="0" applyFont="1" applyBorder="1"/>
    <xf numFmtId="0" fontId="5" fillId="0" borderId="16" xfId="0" applyFont="1" applyBorder="1"/>
    <xf numFmtId="0" fontId="5" fillId="0" borderId="201" xfId="0" applyFont="1" applyBorder="1"/>
    <xf numFmtId="0" fontId="6" fillId="0" borderId="181" xfId="0" applyFont="1" applyBorder="1"/>
    <xf numFmtId="164" fontId="22" fillId="15" borderId="121" xfId="0" applyNumberFormat="1" applyFont="1" applyFill="1" applyBorder="1" applyAlignment="1">
      <alignment horizontal="center"/>
    </xf>
    <xf numFmtId="164" fontId="6" fillId="18" borderId="7" xfId="0" applyNumberFormat="1" applyFont="1" applyFill="1" applyBorder="1" applyAlignment="1">
      <alignment horizontal="center"/>
    </xf>
    <xf numFmtId="164" fontId="6" fillId="18" borderId="23" xfId="0" applyNumberFormat="1" applyFont="1" applyFill="1" applyBorder="1" applyAlignment="1">
      <alignment horizontal="center"/>
    </xf>
    <xf numFmtId="164" fontId="6" fillId="20" borderId="4" xfId="0" applyNumberFormat="1" applyFont="1" applyFill="1" applyBorder="1" applyAlignment="1">
      <alignment horizontal="center"/>
    </xf>
    <xf numFmtId="164" fontId="6" fillId="20" borderId="7" xfId="0" applyNumberFormat="1" applyFont="1" applyFill="1" applyBorder="1" applyAlignment="1">
      <alignment horizontal="center"/>
    </xf>
    <xf numFmtId="164" fontId="6" fillId="20" borderId="110" xfId="0" applyNumberFormat="1" applyFont="1" applyFill="1" applyBorder="1" applyAlignment="1">
      <alignment horizontal="center"/>
    </xf>
    <xf numFmtId="164" fontId="6" fillId="20" borderId="129" xfId="0" applyNumberFormat="1" applyFont="1" applyFill="1" applyBorder="1" applyAlignment="1">
      <alignment horizontal="center"/>
    </xf>
    <xf numFmtId="164" fontId="6" fillId="20" borderId="217" xfId="0" applyNumberFormat="1" applyFont="1" applyFill="1" applyBorder="1" applyAlignment="1">
      <alignment horizontal="center"/>
    </xf>
    <xf numFmtId="164" fontId="6" fillId="20" borderId="23" xfId="0" applyNumberFormat="1" applyFont="1" applyFill="1" applyBorder="1" applyAlignment="1">
      <alignment horizontal="center"/>
    </xf>
    <xf numFmtId="0" fontId="21" fillId="15" borderId="224" xfId="0" applyFont="1" applyFill="1" applyBorder="1" applyAlignment="1">
      <alignment horizontal="center" vertical="center" wrapText="1"/>
    </xf>
    <xf numFmtId="164" fontId="22" fillId="21" borderId="114" xfId="0" applyNumberFormat="1" applyFont="1" applyFill="1" applyBorder="1" applyAlignment="1">
      <alignment horizontal="center"/>
    </xf>
    <xf numFmtId="164" fontId="22" fillId="21" borderId="135" xfId="0" applyNumberFormat="1" applyFont="1" applyFill="1" applyBorder="1" applyAlignment="1">
      <alignment horizontal="center"/>
    </xf>
    <xf numFmtId="164" fontId="22" fillId="21" borderId="112" xfId="0" applyNumberFormat="1" applyFont="1" applyFill="1" applyBorder="1" applyAlignment="1">
      <alignment horizontal="center"/>
    </xf>
    <xf numFmtId="164" fontId="22" fillId="21" borderId="140" xfId="0" applyNumberFormat="1" applyFont="1" applyFill="1" applyBorder="1" applyAlignment="1">
      <alignment horizontal="center"/>
    </xf>
    <xf numFmtId="164" fontId="22" fillId="21" borderId="154" xfId="0" applyNumberFormat="1" applyFont="1" applyFill="1" applyBorder="1" applyAlignment="1">
      <alignment horizontal="center"/>
    </xf>
    <xf numFmtId="164" fontId="22" fillId="21" borderId="155" xfId="0" applyNumberFormat="1" applyFont="1" applyFill="1" applyBorder="1" applyAlignment="1">
      <alignment horizontal="center"/>
    </xf>
    <xf numFmtId="164" fontId="22" fillId="22" borderId="149" xfId="0" applyNumberFormat="1" applyFont="1" applyFill="1" applyBorder="1" applyAlignment="1">
      <alignment horizontal="center"/>
    </xf>
    <xf numFmtId="164" fontId="22" fillId="22" borderId="154" xfId="0" applyNumberFormat="1" applyFont="1" applyFill="1" applyBorder="1" applyAlignment="1">
      <alignment horizontal="center"/>
    </xf>
    <xf numFmtId="164" fontId="22" fillId="22" borderId="147" xfId="0" applyNumberFormat="1" applyFont="1" applyFill="1" applyBorder="1" applyAlignment="1">
      <alignment horizontal="center"/>
    </xf>
    <xf numFmtId="164" fontId="22" fillId="22" borderId="155" xfId="0" applyNumberFormat="1" applyFont="1" applyFill="1" applyBorder="1" applyAlignment="1">
      <alignment horizontal="center"/>
    </xf>
    <xf numFmtId="164" fontId="32" fillId="23" borderId="242" xfId="0" applyNumberFormat="1" applyFont="1" applyFill="1" applyBorder="1" applyAlignment="1">
      <alignment horizontal="center"/>
    </xf>
    <xf numFmtId="164" fontId="32" fillId="23" borderId="240" xfId="0" applyNumberFormat="1" applyFont="1" applyFill="1" applyBorder="1" applyAlignment="1">
      <alignment horizontal="center"/>
    </xf>
    <xf numFmtId="164" fontId="32" fillId="25" borderId="240" xfId="0" applyNumberFormat="1" applyFont="1" applyFill="1" applyBorder="1" applyAlignment="1">
      <alignment horizontal="center"/>
    </xf>
    <xf numFmtId="164" fontId="32" fillId="26" borderId="241" xfId="0" applyNumberFormat="1" applyFont="1" applyFill="1" applyBorder="1" applyAlignment="1">
      <alignment horizontal="center"/>
    </xf>
    <xf numFmtId="164" fontId="32" fillId="23" borderId="243" xfId="0" applyNumberFormat="1" applyFont="1" applyFill="1" applyBorder="1" applyAlignment="1">
      <alignment horizontal="center"/>
    </xf>
    <xf numFmtId="164" fontId="32" fillId="23" borderId="244" xfId="0" applyNumberFormat="1" applyFont="1" applyFill="1" applyBorder="1" applyAlignment="1">
      <alignment horizontal="center"/>
    </xf>
    <xf numFmtId="164" fontId="32" fillId="25" borderId="244" xfId="0" applyNumberFormat="1" applyFont="1" applyFill="1" applyBorder="1" applyAlignment="1">
      <alignment horizontal="center"/>
    </xf>
    <xf numFmtId="164" fontId="32" fillId="26" borderId="245" xfId="0" applyNumberFormat="1" applyFont="1" applyFill="1" applyBorder="1" applyAlignment="1">
      <alignment horizontal="center"/>
    </xf>
    <xf numFmtId="164" fontId="32" fillId="25" borderId="260" xfId="0" applyNumberFormat="1" applyFont="1" applyFill="1" applyBorder="1" applyAlignment="1">
      <alignment horizontal="center"/>
    </xf>
    <xf numFmtId="164" fontId="32" fillId="25" borderId="261" xfId="0" applyNumberFormat="1" applyFont="1" applyFill="1" applyBorder="1" applyAlignment="1">
      <alignment horizontal="center"/>
    </xf>
    <xf numFmtId="164" fontId="32" fillId="26" borderId="247" xfId="0" applyNumberFormat="1" applyFont="1" applyFill="1" applyBorder="1" applyAlignment="1">
      <alignment horizontal="center"/>
    </xf>
    <xf numFmtId="164" fontId="32" fillId="26" borderId="263"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79" xfId="0" applyFont="1" applyFill="1" applyBorder="1" applyAlignment="1">
      <alignment horizontal="center" textRotation="90"/>
    </xf>
    <xf numFmtId="49" fontId="6" fillId="4" borderId="33" xfId="0" applyNumberFormat="1" applyFont="1" applyFill="1" applyBorder="1" applyAlignment="1">
      <alignment horizontal="center" shrinkToFit="1"/>
    </xf>
    <xf numFmtId="49" fontId="6" fillId="4" borderId="102" xfId="0" applyNumberFormat="1" applyFont="1" applyFill="1" applyBorder="1" applyAlignment="1">
      <alignment horizontal="center"/>
    </xf>
    <xf numFmtId="0" fontId="32" fillId="23" borderId="291" xfId="0" applyFont="1" applyFill="1" applyBorder="1" applyAlignment="1">
      <alignment horizontal="center" vertical="center"/>
    </xf>
    <xf numFmtId="0" fontId="32" fillId="23" borderId="251" xfId="0" applyFont="1" applyFill="1" applyBorder="1" applyAlignment="1">
      <alignment horizontal="center" vertical="center" wrapText="1"/>
    </xf>
    <xf numFmtId="0" fontId="32" fillId="23" borderId="251" xfId="0" applyFont="1" applyFill="1" applyBorder="1" applyAlignment="1">
      <alignment horizontal="center" vertical="center"/>
    </xf>
    <xf numFmtId="0" fontId="32" fillId="25" borderId="251" xfId="0" applyFont="1" applyFill="1" applyBorder="1" applyAlignment="1">
      <alignment horizontal="center" vertical="center"/>
    </xf>
    <xf numFmtId="0" fontId="32" fillId="25" borderId="292" xfId="0" applyFont="1" applyFill="1" applyBorder="1" applyAlignment="1">
      <alignment horizontal="center" vertical="center"/>
    </xf>
    <xf numFmtId="0" fontId="32" fillId="26" borderId="250" xfId="0" applyFont="1" applyFill="1" applyBorder="1" applyAlignment="1">
      <alignment horizontal="center" vertical="center"/>
    </xf>
    <xf numFmtId="0" fontId="32" fillId="26" borderId="252" xfId="0" applyFont="1" applyFill="1" applyBorder="1" applyAlignment="1">
      <alignment horizontal="center" vertical="center"/>
    </xf>
    <xf numFmtId="2" fontId="6" fillId="2" borderId="13" xfId="0" applyNumberFormat="1" applyFont="1" applyFill="1" applyBorder="1" applyAlignment="1">
      <alignment horizontal="center"/>
    </xf>
    <xf numFmtId="2" fontId="6" fillId="2" borderId="4" xfId="0" applyNumberFormat="1" applyFont="1" applyFill="1" applyBorder="1" applyAlignment="1">
      <alignment horizontal="center"/>
    </xf>
    <xf numFmtId="2" fontId="6" fillId="20" borderId="4" xfId="0" applyNumberFormat="1" applyFont="1" applyFill="1" applyBorder="1" applyAlignment="1">
      <alignment horizontal="center"/>
    </xf>
    <xf numFmtId="2" fontId="6" fillId="20" borderId="7" xfId="0" applyNumberFormat="1" applyFont="1" applyFill="1" applyBorder="1" applyAlignment="1">
      <alignment horizontal="center"/>
    </xf>
    <xf numFmtId="2" fontId="6" fillId="20" borderId="110" xfId="0" applyNumberFormat="1" applyFont="1" applyFill="1" applyBorder="1" applyAlignment="1">
      <alignment horizontal="center"/>
    </xf>
    <xf numFmtId="2" fontId="6" fillId="20" borderId="129" xfId="0" applyNumberFormat="1" applyFont="1" applyFill="1" applyBorder="1" applyAlignment="1">
      <alignment horizontal="center"/>
    </xf>
    <xf numFmtId="2" fontId="6" fillId="18" borderId="7" xfId="0" applyNumberFormat="1" applyFont="1" applyFill="1" applyBorder="1" applyAlignment="1">
      <alignment horizontal="center"/>
    </xf>
    <xf numFmtId="2" fontId="6" fillId="18" borderId="23" xfId="0" applyNumberFormat="1" applyFont="1" applyFill="1" applyBorder="1" applyAlignment="1">
      <alignment horizontal="center"/>
    </xf>
    <xf numFmtId="2" fontId="22" fillId="15" borderId="152" xfId="0" applyNumberFormat="1" applyFont="1" applyFill="1" applyBorder="1" applyAlignment="1">
      <alignment horizontal="center"/>
    </xf>
    <xf numFmtId="2" fontId="22" fillId="15" borderId="140" xfId="0" applyNumberFormat="1" applyFont="1" applyFill="1" applyBorder="1" applyAlignment="1">
      <alignment horizontal="center"/>
    </xf>
    <xf numFmtId="2" fontId="22" fillId="22" borderId="147" xfId="0" applyNumberFormat="1" applyFont="1" applyFill="1" applyBorder="1" applyAlignment="1">
      <alignment horizontal="center"/>
    </xf>
    <xf numFmtId="2" fontId="22" fillId="22" borderId="155" xfId="0" applyNumberFormat="1" applyFont="1" applyFill="1" applyBorder="1" applyAlignment="1">
      <alignment horizontal="center"/>
    </xf>
    <xf numFmtId="1" fontId="32" fillId="23" borderId="242" xfId="0" applyNumberFormat="1" applyFont="1" applyFill="1" applyBorder="1" applyAlignment="1">
      <alignment horizontal="center"/>
    </xf>
    <xf numFmtId="1" fontId="32" fillId="23" borderId="240" xfId="0" applyNumberFormat="1" applyFont="1" applyFill="1" applyBorder="1" applyAlignment="1">
      <alignment horizontal="center"/>
    </xf>
    <xf numFmtId="1" fontId="32" fillId="25" borderId="240" xfId="0" applyNumberFormat="1" applyFont="1" applyFill="1" applyBorder="1" applyAlignment="1">
      <alignment horizontal="center"/>
    </xf>
    <xf numFmtId="2" fontId="32" fillId="23" borderId="242" xfId="0" applyNumberFormat="1" applyFont="1" applyFill="1" applyBorder="1" applyAlignment="1">
      <alignment horizontal="center"/>
    </xf>
    <xf numFmtId="2" fontId="32" fillId="23" borderId="240" xfId="0" applyNumberFormat="1" applyFont="1" applyFill="1" applyBorder="1" applyAlignment="1">
      <alignment horizontal="center"/>
    </xf>
    <xf numFmtId="2" fontId="32" fillId="25" borderId="240" xfId="0" applyNumberFormat="1" applyFont="1" applyFill="1" applyBorder="1" applyAlignment="1">
      <alignment horizontal="center"/>
    </xf>
    <xf numFmtId="2" fontId="32" fillId="25" borderId="260" xfId="0" applyNumberFormat="1" applyFont="1" applyFill="1" applyBorder="1" applyAlignment="1">
      <alignment horizontal="center"/>
    </xf>
    <xf numFmtId="2" fontId="32" fillId="26" borderId="247" xfId="0" applyNumberFormat="1" applyFont="1" applyFill="1" applyBorder="1" applyAlignment="1">
      <alignment horizontal="center"/>
    </xf>
    <xf numFmtId="2" fontId="32" fillId="26" borderId="241" xfId="0" applyNumberFormat="1" applyFont="1" applyFill="1" applyBorder="1" applyAlignment="1">
      <alignment horizontal="center"/>
    </xf>
    <xf numFmtId="49" fontId="6" fillId="2" borderId="13" xfId="0" applyNumberFormat="1" applyFont="1" applyFill="1" applyBorder="1" applyAlignment="1">
      <alignment horizontal="center"/>
    </xf>
    <xf numFmtId="49" fontId="6" fillId="2" borderId="4" xfId="0" applyNumberFormat="1" applyFont="1" applyFill="1" applyBorder="1" applyAlignment="1">
      <alignment horizontal="center"/>
    </xf>
    <xf numFmtId="49" fontId="6" fillId="20" borderId="4" xfId="0" applyNumberFormat="1" applyFont="1" applyFill="1" applyBorder="1" applyAlignment="1">
      <alignment horizontal="center"/>
    </xf>
    <xf numFmtId="49" fontId="6" fillId="20" borderId="7" xfId="0" applyNumberFormat="1" applyFont="1" applyFill="1" applyBorder="1" applyAlignment="1">
      <alignment horizontal="center"/>
    </xf>
    <xf numFmtId="0" fontId="6" fillId="2" borderId="13" xfId="0" applyNumberFormat="1" applyFont="1" applyFill="1" applyBorder="1" applyAlignment="1">
      <alignment horizontal="center"/>
    </xf>
    <xf numFmtId="0" fontId="6" fillId="2" borderId="4" xfId="0" applyNumberFormat="1" applyFont="1" applyFill="1" applyBorder="1" applyAlignment="1">
      <alignment horizontal="center"/>
    </xf>
    <xf numFmtId="0" fontId="6" fillId="20" borderId="4" xfId="0" applyNumberFormat="1" applyFont="1" applyFill="1" applyBorder="1" applyAlignment="1">
      <alignment horizontal="center"/>
    </xf>
    <xf numFmtId="0" fontId="6" fillId="20" borderId="7" xfId="0" applyNumberFormat="1" applyFont="1" applyFill="1" applyBorder="1" applyAlignment="1">
      <alignment horizontal="center"/>
    </xf>
    <xf numFmtId="0" fontId="6" fillId="20" borderId="110" xfId="0" applyNumberFormat="1" applyFont="1" applyFill="1" applyBorder="1" applyAlignment="1">
      <alignment horizontal="center"/>
    </xf>
    <xf numFmtId="0" fontId="6" fillId="20" borderId="129" xfId="0" applyNumberFormat="1" applyFont="1" applyFill="1" applyBorder="1" applyAlignment="1">
      <alignment horizontal="center"/>
    </xf>
    <xf numFmtId="0" fontId="6" fillId="18" borderId="7" xfId="0" applyNumberFormat="1" applyFont="1" applyFill="1" applyBorder="1" applyAlignment="1">
      <alignment horizontal="center"/>
    </xf>
    <xf numFmtId="0" fontId="32" fillId="23" borderId="250" xfId="0" applyFont="1" applyFill="1" applyBorder="1" applyAlignment="1">
      <alignment horizontal="center" vertical="center"/>
    </xf>
    <xf numFmtId="164" fontId="32" fillId="23" borderId="247" xfId="0" applyNumberFormat="1" applyFont="1" applyFill="1" applyBorder="1" applyAlignment="1">
      <alignment horizontal="center"/>
    </xf>
    <xf numFmtId="2" fontId="32" fillId="23" borderId="247" xfId="0" applyNumberFormat="1" applyFont="1" applyFill="1" applyBorder="1" applyAlignment="1">
      <alignment horizontal="center"/>
    </xf>
    <xf numFmtId="164" fontId="32" fillId="23" borderId="263" xfId="0" applyNumberFormat="1" applyFont="1" applyFill="1" applyBorder="1" applyAlignment="1">
      <alignment horizontal="center"/>
    </xf>
    <xf numFmtId="2" fontId="22" fillId="15" borderId="122" xfId="0" applyNumberFormat="1" applyFont="1" applyFill="1" applyBorder="1" applyAlignment="1">
      <alignment horizontal="center"/>
    </xf>
    <xf numFmtId="2" fontId="22" fillId="21" borderId="140" xfId="0" applyNumberFormat="1" applyFont="1" applyFill="1" applyBorder="1" applyAlignment="1">
      <alignment horizontal="center"/>
    </xf>
    <xf numFmtId="2" fontId="22" fillId="15" borderId="111" xfId="0" applyNumberFormat="1" applyFont="1" applyFill="1" applyBorder="1" applyAlignment="1">
      <alignment horizontal="center"/>
    </xf>
    <xf numFmtId="2" fontId="22" fillId="15" borderId="130" xfId="0" applyNumberFormat="1" applyFont="1" applyFill="1" applyBorder="1" applyAlignment="1">
      <alignment horizontal="center"/>
    </xf>
    <xf numFmtId="2" fontId="22" fillId="21" borderId="112" xfId="0" applyNumberFormat="1" applyFont="1" applyFill="1" applyBorder="1" applyAlignment="1">
      <alignment horizontal="center"/>
    </xf>
    <xf numFmtId="2" fontId="22" fillId="15" borderId="147"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80" xfId="0" applyFont="1" applyFill="1" applyBorder="1" applyAlignment="1">
      <alignment horizontal="center"/>
    </xf>
    <xf numFmtId="49" fontId="6" fillId="27" borderId="305" xfId="0" applyNumberFormat="1" applyFont="1" applyFill="1" applyBorder="1" applyAlignment="1">
      <alignment horizontal="center"/>
    </xf>
    <xf numFmtId="49" fontId="6" fillId="27" borderId="104" xfId="0" applyNumberFormat="1" applyFont="1" applyFill="1" applyBorder="1" applyAlignment="1">
      <alignment horizontal="center"/>
    </xf>
    <xf numFmtId="164" fontId="6" fillId="18" borderId="44" xfId="0" applyNumberFormat="1" applyFont="1" applyFill="1" applyBorder="1" applyAlignment="1">
      <alignment horizontal="center"/>
    </xf>
    <xf numFmtId="0" fontId="6" fillId="18" borderId="44" xfId="0" applyNumberFormat="1" applyFont="1" applyFill="1" applyBorder="1" applyAlignment="1">
      <alignment horizontal="center"/>
    </xf>
    <xf numFmtId="0" fontId="13" fillId="30" borderId="319" xfId="0" applyFont="1" applyFill="1" applyBorder="1" applyAlignment="1">
      <alignment horizontal="center" vertical="center"/>
    </xf>
    <xf numFmtId="0" fontId="5" fillId="30" borderId="320" xfId="0" applyFont="1" applyFill="1" applyBorder="1" applyAlignment="1">
      <alignment horizontal="center" vertical="center"/>
    </xf>
    <xf numFmtId="0" fontId="5" fillId="30" borderId="321" xfId="0" applyFont="1" applyFill="1" applyBorder="1" applyAlignment="1">
      <alignment horizontal="center" vertical="center"/>
    </xf>
    <xf numFmtId="0" fontId="5" fillId="30" borderId="322" xfId="0" applyFont="1" applyFill="1" applyBorder="1" applyAlignment="1">
      <alignment horizontal="center" vertical="center"/>
    </xf>
    <xf numFmtId="164" fontId="32" fillId="23" borderId="251" xfId="0" applyNumberFormat="1" applyFont="1" applyFill="1" applyBorder="1" applyAlignment="1">
      <alignment horizontal="center" vertical="center"/>
    </xf>
    <xf numFmtId="164" fontId="32" fillId="25" borderId="251" xfId="0" applyNumberFormat="1" applyFont="1" applyFill="1" applyBorder="1" applyAlignment="1">
      <alignment horizontal="center" vertical="center"/>
    </xf>
    <xf numFmtId="164" fontId="32" fillId="25" borderId="292" xfId="0" applyNumberFormat="1" applyFont="1" applyFill="1" applyBorder="1" applyAlignment="1">
      <alignment horizontal="center" vertical="center"/>
    </xf>
    <xf numFmtId="164" fontId="32" fillId="26" borderId="250" xfId="0" applyNumberFormat="1" applyFont="1" applyFill="1" applyBorder="1" applyAlignment="1">
      <alignment horizontal="center" vertical="center"/>
    </xf>
    <xf numFmtId="2" fontId="32" fillId="23" borderId="251" xfId="0" applyNumberFormat="1" applyFont="1" applyFill="1" applyBorder="1" applyAlignment="1">
      <alignment horizontal="center" vertical="center"/>
    </xf>
    <xf numFmtId="2" fontId="32" fillId="23" borderId="244" xfId="0" applyNumberFormat="1" applyFont="1" applyFill="1" applyBorder="1" applyAlignment="1">
      <alignment horizontal="center"/>
    </xf>
    <xf numFmtId="2" fontId="32" fillId="25" borderId="251" xfId="0" applyNumberFormat="1" applyFont="1" applyFill="1" applyBorder="1" applyAlignment="1">
      <alignment horizontal="center" vertical="center"/>
    </xf>
    <xf numFmtId="2" fontId="32" fillId="25" borderId="244" xfId="0" applyNumberFormat="1" applyFont="1" applyFill="1" applyBorder="1" applyAlignment="1">
      <alignment horizontal="center"/>
    </xf>
    <xf numFmtId="0" fontId="6" fillId="6" borderId="23" xfId="0" applyFont="1" applyFill="1" applyBorder="1" applyAlignment="1">
      <alignment horizontal="center"/>
    </xf>
    <xf numFmtId="0" fontId="6" fillId="3" borderId="79" xfId="0" applyFont="1" applyFill="1" applyBorder="1" applyAlignment="1">
      <alignment horizontal="center"/>
    </xf>
    <xf numFmtId="49" fontId="6" fillId="27" borderId="75" xfId="0" applyNumberFormat="1" applyFont="1" applyFill="1" applyBorder="1" applyAlignment="1">
      <alignment horizontal="center"/>
    </xf>
    <xf numFmtId="2" fontId="32" fillId="26" borderId="263" xfId="0" applyNumberFormat="1" applyFont="1" applyFill="1" applyBorder="1" applyAlignment="1">
      <alignment horizontal="center"/>
    </xf>
    <xf numFmtId="0" fontId="6" fillId="4" borderId="325" xfId="0" applyFont="1" applyFill="1" applyBorder="1"/>
    <xf numFmtId="0" fontId="6" fillId="12" borderId="326" xfId="0" applyFont="1" applyFill="1" applyBorder="1"/>
    <xf numFmtId="0" fontId="6" fillId="12" borderId="327" xfId="0" applyFont="1" applyFill="1" applyBorder="1"/>
    <xf numFmtId="0" fontId="6" fillId="11" borderId="326" xfId="0" applyFont="1" applyFill="1" applyBorder="1"/>
    <xf numFmtId="0" fontId="6" fillId="11" borderId="327" xfId="0" applyFont="1" applyFill="1" applyBorder="1"/>
    <xf numFmtId="0" fontId="6" fillId="10" borderId="328" xfId="0" applyFont="1" applyFill="1" applyBorder="1"/>
    <xf numFmtId="0" fontId="6" fillId="13" borderId="326" xfId="0" applyFont="1" applyFill="1" applyBorder="1"/>
    <xf numFmtId="0" fontId="6" fillId="4" borderId="328" xfId="0" applyFont="1" applyFill="1" applyBorder="1"/>
    <xf numFmtId="0" fontId="6" fillId="10" borderId="329" xfId="0" applyFont="1" applyFill="1" applyBorder="1"/>
    <xf numFmtId="0" fontId="6" fillId="12" borderId="330" xfId="0" applyFont="1" applyFill="1" applyBorder="1"/>
    <xf numFmtId="0" fontId="6" fillId="13" borderId="333" xfId="0" applyFont="1" applyFill="1" applyBorder="1"/>
    <xf numFmtId="0" fontId="6" fillId="33" borderId="326" xfId="0" applyFont="1" applyFill="1" applyBorder="1"/>
    <xf numFmtId="0" fontId="6" fillId="33" borderId="327" xfId="0" applyFont="1" applyFill="1" applyBorder="1"/>
    <xf numFmtId="0" fontId="6" fillId="33" borderId="326" xfId="0" applyFont="1" applyFill="1" applyBorder="1" applyAlignment="1">
      <alignment horizontal="center"/>
    </xf>
    <xf numFmtId="0" fontId="6" fillId="33" borderId="332" xfId="0" applyFont="1" applyFill="1" applyBorder="1"/>
    <xf numFmtId="0" fontId="6" fillId="33" borderId="333" xfId="0" applyFont="1" applyFill="1" applyBorder="1"/>
    <xf numFmtId="0" fontId="6" fillId="33" borderId="334" xfId="0" applyFont="1" applyFill="1" applyBorder="1"/>
    <xf numFmtId="0" fontId="6" fillId="10" borderId="335" xfId="0" applyFont="1" applyFill="1" applyBorder="1"/>
    <xf numFmtId="0" fontId="6" fillId="11" borderId="330" xfId="0" applyFont="1" applyFill="1" applyBorder="1"/>
    <xf numFmtId="0" fontId="6" fillId="11" borderId="331" xfId="0" applyFont="1" applyFill="1" applyBorder="1"/>
    <xf numFmtId="0" fontId="6" fillId="10" borderId="337" xfId="0" applyFont="1" applyFill="1" applyBorder="1"/>
    <xf numFmtId="0" fontId="6" fillId="13" borderId="338" xfId="0" applyFont="1" applyFill="1" applyBorder="1"/>
    <xf numFmtId="0" fontId="6" fillId="12" borderId="339" xfId="0" applyFont="1" applyFill="1" applyBorder="1"/>
    <xf numFmtId="0" fontId="5" fillId="35" borderId="345" xfId="0" applyFont="1" applyFill="1" applyBorder="1"/>
    <xf numFmtId="0" fontId="6" fillId="35" borderId="343" xfId="0" applyFont="1" applyFill="1" applyBorder="1"/>
    <xf numFmtId="0" fontId="0" fillId="35" borderId="343" xfId="0" applyFill="1" applyBorder="1"/>
    <xf numFmtId="0" fontId="6" fillId="35" borderId="344" xfId="0" applyFont="1" applyFill="1" applyBorder="1"/>
    <xf numFmtId="49" fontId="6" fillId="4" borderId="347" xfId="0" applyNumberFormat="1" applyFont="1" applyFill="1" applyBorder="1" applyAlignment="1">
      <alignment horizontal="center"/>
    </xf>
    <xf numFmtId="49" fontId="6" fillId="4" borderId="57" xfId="0" applyNumberFormat="1" applyFont="1" applyFill="1" applyBorder="1" applyAlignment="1">
      <alignment horizontal="center"/>
    </xf>
    <xf numFmtId="0" fontId="6" fillId="12" borderId="348" xfId="0" applyFont="1" applyFill="1" applyBorder="1"/>
    <xf numFmtId="0" fontId="6" fillId="33" borderId="348" xfId="0" applyFont="1" applyFill="1" applyBorder="1"/>
    <xf numFmtId="0" fontId="6" fillId="35" borderId="346" xfId="0" applyFont="1" applyFill="1" applyBorder="1"/>
    <xf numFmtId="0" fontId="6" fillId="4" borderId="349" xfId="0" applyFont="1" applyFill="1" applyBorder="1"/>
    <xf numFmtId="0" fontId="6" fillId="11" borderId="348" xfId="0" applyFont="1" applyFill="1" applyBorder="1"/>
    <xf numFmtId="0" fontId="6" fillId="0" borderId="351" xfId="0" applyFont="1" applyBorder="1" applyAlignment="1">
      <alignment horizontal="center"/>
    </xf>
    <xf numFmtId="0" fontId="6" fillId="0" borderId="353" xfId="0" applyFont="1" applyBorder="1" applyAlignment="1">
      <alignment horizontal="center"/>
    </xf>
    <xf numFmtId="0" fontId="5" fillId="0" borderId="333" xfId="0" applyFont="1" applyBorder="1" applyAlignment="1">
      <alignment horizontal="center"/>
    </xf>
    <xf numFmtId="0" fontId="5" fillId="0" borderId="326" xfId="0" applyFont="1" applyBorder="1" applyAlignment="1">
      <alignment horizontal="center"/>
    </xf>
    <xf numFmtId="0" fontId="5" fillId="0" borderId="333" xfId="0" applyFont="1" applyBorder="1" applyAlignment="1">
      <alignment horizontal="left"/>
    </xf>
    <xf numFmtId="0" fontId="5" fillId="0" borderId="326" xfId="0" applyFont="1" applyBorder="1" applyAlignment="1">
      <alignment horizontal="left"/>
    </xf>
    <xf numFmtId="0" fontId="5" fillId="0" borderId="353" xfId="0" applyFont="1" applyBorder="1" applyAlignment="1">
      <alignment horizontal="center" textRotation="90"/>
    </xf>
    <xf numFmtId="0" fontId="5" fillId="3" borderId="79" xfId="0" applyFont="1" applyFill="1" applyBorder="1" applyAlignment="1">
      <alignment horizontal="center" textRotation="90"/>
    </xf>
    <xf numFmtId="49" fontId="5" fillId="4" borderId="96" xfId="0" applyNumberFormat="1" applyFont="1" applyFill="1" applyBorder="1" applyAlignment="1">
      <alignment horizontal="center" textRotation="90" shrinkToFit="1"/>
    </xf>
    <xf numFmtId="49" fontId="5" fillId="4" borderId="73" xfId="0" applyNumberFormat="1" applyFont="1" applyFill="1" applyBorder="1" applyAlignment="1">
      <alignment horizontal="center" textRotation="90"/>
    </xf>
    <xf numFmtId="0" fontId="5" fillId="33" borderId="333" xfId="0" applyFont="1" applyFill="1" applyBorder="1" applyAlignment="1">
      <alignment horizontal="center" textRotation="90" wrapText="1"/>
    </xf>
    <xf numFmtId="0" fontId="5" fillId="33" borderId="326" xfId="0" applyFont="1" applyFill="1" applyBorder="1" applyAlignment="1">
      <alignment horizontal="center" textRotation="90" wrapText="1"/>
    </xf>
    <xf numFmtId="0" fontId="5" fillId="33" borderId="334" xfId="0" applyFont="1" applyFill="1" applyBorder="1" applyAlignment="1">
      <alignment horizontal="center" textRotation="90" wrapText="1"/>
    </xf>
    <xf numFmtId="0" fontId="5" fillId="33" borderId="327" xfId="0" applyFont="1" applyFill="1" applyBorder="1" applyAlignment="1">
      <alignment horizontal="center" textRotation="90" wrapText="1"/>
    </xf>
    <xf numFmtId="49" fontId="5" fillId="4" borderId="53" xfId="0" applyNumberFormat="1" applyFont="1" applyFill="1" applyBorder="1" applyAlignment="1">
      <alignment horizontal="center" textRotation="90" shrinkToFit="1"/>
    </xf>
    <xf numFmtId="49" fontId="5" fillId="4" borderId="341" xfId="0" applyNumberFormat="1" applyFont="1" applyFill="1" applyBorder="1" applyAlignment="1">
      <alignment horizontal="center" textRotation="90" shrinkToFit="1"/>
    </xf>
    <xf numFmtId="49" fontId="5" fillId="4" borderId="33" xfId="0" applyNumberFormat="1" applyFont="1" applyFill="1" applyBorder="1" applyAlignment="1">
      <alignment horizontal="center" textRotation="90" shrinkToFit="1"/>
    </xf>
    <xf numFmtId="49" fontId="5" fillId="4" borderId="340" xfId="0" applyNumberFormat="1" applyFont="1" applyFill="1" applyBorder="1" applyAlignment="1">
      <alignment horizontal="center" textRotation="90" shrinkToFit="1"/>
    </xf>
    <xf numFmtId="49" fontId="5" fillId="4" borderId="354" xfId="0" applyNumberFormat="1" applyFont="1" applyFill="1" applyBorder="1" applyAlignment="1">
      <alignment horizontal="center" textRotation="90" shrinkToFit="1"/>
    </xf>
    <xf numFmtId="49" fontId="5" fillId="4" borderId="355" xfId="0" applyNumberFormat="1" applyFont="1" applyFill="1" applyBorder="1" applyAlignment="1">
      <alignment horizontal="center" textRotation="90" shrinkToFit="1"/>
    </xf>
    <xf numFmtId="0" fontId="5" fillId="3" borderId="78" xfId="0" applyFont="1" applyFill="1" applyBorder="1" applyAlignment="1">
      <alignment horizontal="center" textRotation="90"/>
    </xf>
    <xf numFmtId="0" fontId="5" fillId="3" borderId="100" xfId="0" applyFont="1" applyFill="1" applyBorder="1" applyAlignment="1">
      <alignment horizontal="center" textRotation="90"/>
    </xf>
    <xf numFmtId="0" fontId="5" fillId="35" borderId="342" xfId="0" applyFont="1" applyFill="1" applyBorder="1" applyAlignment="1">
      <alignment horizontal="left"/>
    </xf>
    <xf numFmtId="0" fontId="5" fillId="35" borderId="343" xfId="0" applyFont="1" applyFill="1" applyBorder="1" applyAlignment="1">
      <alignment horizontal="left"/>
    </xf>
    <xf numFmtId="0" fontId="6" fillId="0" borderId="351" xfId="0" applyFont="1" applyBorder="1" applyAlignment="1">
      <alignment horizontal="center"/>
    </xf>
    <xf numFmtId="0" fontId="6" fillId="0" borderId="353" xfId="0" applyFont="1" applyBorder="1" applyAlignment="1">
      <alignment horizontal="center"/>
    </xf>
    <xf numFmtId="0" fontId="5" fillId="33" borderId="336" xfId="0" applyFont="1" applyFill="1" applyBorder="1" applyAlignment="1">
      <alignment horizontal="center" textRotation="90"/>
    </xf>
    <xf numFmtId="0" fontId="5" fillId="33" borderId="328" xfId="0" applyFont="1" applyFill="1" applyBorder="1" applyAlignment="1">
      <alignment horizontal="center" textRotation="90"/>
    </xf>
    <xf numFmtId="0" fontId="13" fillId="2" borderId="62" xfId="0" applyFont="1" applyFill="1" applyBorder="1" applyAlignment="1">
      <alignment horizontal="center"/>
    </xf>
    <xf numFmtId="0" fontId="13" fillId="2" borderId="63" xfId="0" applyFont="1" applyFill="1" applyBorder="1" applyAlignment="1">
      <alignment horizontal="center"/>
    </xf>
    <xf numFmtId="0" fontId="13" fillId="2" borderId="64" xfId="0" applyFont="1" applyFill="1" applyBorder="1" applyAlignment="1">
      <alignment horizontal="center"/>
    </xf>
    <xf numFmtId="0" fontId="13" fillId="2" borderId="65" xfId="0" applyFont="1" applyFill="1" applyBorder="1" applyAlignment="1">
      <alignment horizontal="center"/>
    </xf>
    <xf numFmtId="0" fontId="13" fillId="2" borderId="66" xfId="0" applyFont="1" applyFill="1" applyBorder="1" applyAlignment="1">
      <alignment horizontal="center"/>
    </xf>
    <xf numFmtId="0" fontId="13" fillId="2" borderId="67" xfId="0" applyFont="1" applyFill="1" applyBorder="1" applyAlignment="1">
      <alignment horizontal="center"/>
    </xf>
    <xf numFmtId="0" fontId="5" fillId="2" borderId="18"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12" fillId="2" borderId="7" xfId="0" applyFont="1" applyFill="1" applyBorder="1" applyAlignment="1">
      <alignment horizontal="center" vertical="center" textRotation="90"/>
    </xf>
    <xf numFmtId="0" fontId="12" fillId="2" borderId="23"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35" xfId="0" applyFont="1" applyFill="1" applyBorder="1" applyAlignment="1">
      <alignment horizontal="center" vertical="center" textRotation="90"/>
    </xf>
    <xf numFmtId="0" fontId="12" fillId="2" borderId="37" xfId="0" applyFont="1" applyFill="1" applyBorder="1" applyAlignment="1">
      <alignment horizontal="center" vertical="center" textRotation="90"/>
    </xf>
    <xf numFmtId="0" fontId="12" fillId="2" borderId="38"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26"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3" xfId="0" applyFont="1" applyFill="1" applyBorder="1" applyAlignment="1">
      <alignment horizontal="center" vertical="center"/>
    </xf>
    <xf numFmtId="0" fontId="12" fillId="2" borderId="29" xfId="0" applyFont="1" applyFill="1" applyBorder="1" applyAlignment="1">
      <alignment horizontal="center" vertical="center" textRotation="90"/>
    </xf>
    <xf numFmtId="0" fontId="12" fillId="2" borderId="45" xfId="0" applyFont="1" applyFill="1" applyBorder="1" applyAlignment="1">
      <alignment horizontal="center" vertical="center" textRotation="90"/>
    </xf>
    <xf numFmtId="0" fontId="5" fillId="2" borderId="33" xfId="0" applyFont="1" applyFill="1" applyBorder="1" applyAlignment="1">
      <alignment horizontal="left" vertical="top" wrapText="1"/>
    </xf>
    <xf numFmtId="0" fontId="5" fillId="2" borderId="36" xfId="0" applyFont="1" applyFill="1" applyBorder="1" applyAlignment="1">
      <alignment horizontal="left" vertical="top" wrapText="1"/>
    </xf>
    <xf numFmtId="0" fontId="5" fillId="2" borderId="39"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0" xfId="0" applyFont="1" applyFill="1" applyBorder="1" applyAlignment="1">
      <alignment horizontal="center" vertical="center" wrapText="1"/>
    </xf>
    <xf numFmtId="0" fontId="12" fillId="3" borderId="47" xfId="0" applyFont="1" applyFill="1" applyBorder="1" applyAlignment="1">
      <alignment horizontal="center" vertical="center" textRotation="90"/>
    </xf>
    <xf numFmtId="0" fontId="12" fillId="3" borderId="48" xfId="0" applyFont="1" applyFill="1" applyBorder="1" applyAlignment="1">
      <alignment horizontal="center" vertical="center" textRotation="90"/>
    </xf>
    <xf numFmtId="0" fontId="12" fillId="3" borderId="49" xfId="0" applyFont="1" applyFill="1" applyBorder="1" applyAlignment="1">
      <alignment horizontal="center" vertical="center" textRotation="90"/>
    </xf>
    <xf numFmtId="0" fontId="6" fillId="2" borderId="50" xfId="0" applyFont="1" applyFill="1" applyBorder="1" applyAlignment="1">
      <alignment horizontal="center"/>
    </xf>
    <xf numFmtId="0" fontId="6" fillId="2" borderId="31" xfId="0" applyFont="1" applyFill="1" applyBorder="1" applyAlignment="1">
      <alignment horizontal="center"/>
    </xf>
    <xf numFmtId="0" fontId="6" fillId="2" borderId="11" xfId="0" applyFont="1" applyFill="1" applyBorder="1" applyAlignment="1">
      <alignment horizontal="center"/>
    </xf>
    <xf numFmtId="0" fontId="6" fillId="2" borderId="0" xfId="0" applyFont="1" applyFill="1" applyBorder="1" applyAlignment="1">
      <alignment horizontal="center"/>
    </xf>
    <xf numFmtId="0" fontId="6" fillId="2" borderId="51" xfId="0" applyFont="1" applyFill="1" applyBorder="1" applyAlignment="1">
      <alignment horizontal="center"/>
    </xf>
    <xf numFmtId="0" fontId="6" fillId="2" borderId="32" xfId="0" applyFont="1" applyFill="1" applyBorder="1" applyAlignment="1">
      <alignment horizontal="center"/>
    </xf>
    <xf numFmtId="0" fontId="12" fillId="2" borderId="27" xfId="0" applyFont="1" applyFill="1" applyBorder="1" applyAlignment="1">
      <alignment horizontal="center" vertical="center" textRotation="90"/>
    </xf>
    <xf numFmtId="0" fontId="12" fillId="2" borderId="28" xfId="0" applyFont="1" applyFill="1" applyBorder="1" applyAlignment="1">
      <alignment horizontal="center" vertical="center" textRotation="90"/>
    </xf>
    <xf numFmtId="0" fontId="12" fillId="2" borderId="13" xfId="0" applyFont="1" applyFill="1" applyBorder="1" applyAlignment="1">
      <alignment horizontal="center" vertical="center" textRotation="90"/>
    </xf>
    <xf numFmtId="0" fontId="12" fillId="2" borderId="13"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wrapText="1"/>
    </xf>
    <xf numFmtId="0" fontId="12" fillId="2" borderId="28" xfId="0" applyFont="1" applyFill="1" applyBorder="1" applyAlignment="1">
      <alignment horizontal="center" vertical="center" textRotation="90" wrapText="1"/>
    </xf>
    <xf numFmtId="0" fontId="12" fillId="2" borderId="43" xfId="0" applyFont="1" applyFill="1" applyBorder="1" applyAlignment="1">
      <alignment horizontal="center" vertical="center" textRotation="90"/>
    </xf>
    <xf numFmtId="0" fontId="5" fillId="0" borderId="0" xfId="0" applyFont="1" applyBorder="1" applyAlignment="1">
      <alignment horizontal="center" textRotation="90"/>
    </xf>
    <xf numFmtId="0" fontId="5" fillId="0" borderId="0" xfId="0" applyFont="1" applyBorder="1" applyAlignment="1">
      <alignment horizontal="center" textRotation="90" wrapText="1"/>
    </xf>
    <xf numFmtId="0" fontId="11" fillId="2" borderId="69" xfId="0" applyFont="1" applyFill="1" applyBorder="1" applyAlignment="1">
      <alignment horizontal="center" vertical="center" wrapText="1"/>
    </xf>
    <xf numFmtId="0" fontId="11" fillId="2" borderId="70" xfId="0" applyFont="1" applyFill="1" applyBorder="1" applyAlignment="1">
      <alignment horizontal="center" vertical="center" wrapText="1"/>
    </xf>
    <xf numFmtId="0" fontId="10" fillId="2" borderId="68" xfId="0" applyFont="1" applyFill="1" applyBorder="1" applyAlignment="1">
      <alignment horizontal="center" vertical="center"/>
    </xf>
    <xf numFmtId="0" fontId="10" fillId="2" borderId="69" xfId="0" applyFont="1" applyFill="1" applyBorder="1" applyAlignment="1">
      <alignment horizontal="center" vertical="center"/>
    </xf>
    <xf numFmtId="49" fontId="5" fillId="4" borderId="95" xfId="0" applyNumberFormat="1" applyFont="1" applyFill="1" applyBorder="1" applyAlignment="1">
      <alignment horizontal="center" textRotation="90" shrinkToFit="1"/>
    </xf>
    <xf numFmtId="49" fontId="5" fillId="4" borderId="71" xfId="0" applyNumberFormat="1" applyFont="1" applyFill="1" applyBorder="1" applyAlignment="1">
      <alignment horizontal="center" textRotation="90"/>
    </xf>
    <xf numFmtId="0" fontId="5" fillId="2" borderId="19"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21" xfId="0" applyFont="1" applyFill="1" applyBorder="1" applyAlignment="1">
      <alignment horizontal="center" vertical="center" wrapText="1"/>
    </xf>
    <xf numFmtId="0" fontId="5" fillId="2" borderId="85" xfId="0" applyFont="1" applyFill="1" applyBorder="1" applyAlignment="1">
      <alignment horizontal="center" vertical="center" wrapText="1"/>
    </xf>
    <xf numFmtId="0" fontId="5" fillId="2" borderId="87" xfId="0" applyFont="1" applyFill="1" applyBorder="1" applyAlignment="1">
      <alignment horizontal="center" vertical="center" wrapText="1"/>
    </xf>
    <xf numFmtId="0" fontId="5" fillId="2" borderId="85" xfId="0" applyFont="1" applyFill="1" applyBorder="1" applyAlignment="1">
      <alignment horizontal="center" vertical="center"/>
    </xf>
    <xf numFmtId="0" fontId="5" fillId="2" borderId="87" xfId="0" applyFont="1" applyFill="1" applyBorder="1" applyAlignment="1">
      <alignment horizontal="center" vertical="center"/>
    </xf>
    <xf numFmtId="0" fontId="12" fillId="2" borderId="72" xfId="0" applyFont="1" applyFill="1" applyBorder="1" applyAlignment="1">
      <alignment horizontal="center" vertical="center" textRotation="90"/>
    </xf>
    <xf numFmtId="0" fontId="12" fillId="2" borderId="90" xfId="0" applyFont="1" applyFill="1" applyBorder="1" applyAlignment="1">
      <alignment horizontal="center" vertical="center" textRotation="90"/>
    </xf>
    <xf numFmtId="0" fontId="5" fillId="2" borderId="86" xfId="0" applyFont="1" applyFill="1" applyBorder="1" applyAlignment="1">
      <alignment horizontal="center" vertical="center"/>
    </xf>
    <xf numFmtId="0" fontId="13" fillId="2" borderId="82" xfId="0" applyFont="1" applyFill="1" applyBorder="1" applyAlignment="1">
      <alignment horizontal="center"/>
    </xf>
    <xf numFmtId="0" fontId="13" fillId="2" borderId="83" xfId="0" applyFont="1" applyFill="1" applyBorder="1" applyAlignment="1">
      <alignment horizontal="center"/>
    </xf>
    <xf numFmtId="0" fontId="13" fillId="2" borderId="106" xfId="0" applyFont="1" applyFill="1" applyBorder="1" applyAlignment="1">
      <alignment horizontal="center"/>
    </xf>
    <xf numFmtId="0" fontId="10" fillId="2" borderId="70"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318" xfId="0" applyFont="1" applyFill="1" applyBorder="1" applyAlignment="1">
      <alignment horizontal="center" vertical="center"/>
    </xf>
    <xf numFmtId="0" fontId="13" fillId="19" borderId="39" xfId="0" applyFont="1" applyFill="1" applyBorder="1" applyAlignment="1">
      <alignment horizontal="center"/>
    </xf>
    <xf numFmtId="0" fontId="13" fillId="19" borderId="87" xfId="0" applyFont="1" applyFill="1" applyBorder="1" applyAlignment="1">
      <alignment horizontal="center"/>
    </xf>
    <xf numFmtId="0" fontId="13" fillId="19" borderId="86" xfId="0" applyFont="1" applyFill="1" applyBorder="1" applyAlignment="1">
      <alignment horizontal="center"/>
    </xf>
    <xf numFmtId="0" fontId="13" fillId="19" borderId="40" xfId="0" applyFont="1" applyFill="1" applyBorder="1" applyAlignment="1">
      <alignment horizontal="center"/>
    </xf>
    <xf numFmtId="0" fontId="5" fillId="2" borderId="315" xfId="0" applyFont="1" applyFill="1" applyBorder="1" applyAlignment="1">
      <alignment horizontal="center" vertical="center" wrapText="1"/>
    </xf>
    <xf numFmtId="0" fontId="13" fillId="19" borderId="313" xfId="0" applyFont="1" applyFill="1" applyBorder="1" applyAlignment="1">
      <alignment horizontal="center" vertical="center" wrapText="1"/>
    </xf>
    <xf numFmtId="0" fontId="13" fillId="19" borderId="209" xfId="0" applyFont="1" applyFill="1" applyBorder="1" applyAlignment="1">
      <alignment horizontal="center" vertical="center" wrapText="1"/>
    </xf>
    <xf numFmtId="0" fontId="13" fillId="19" borderId="58"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314" xfId="0" applyFont="1" applyFill="1" applyBorder="1" applyAlignment="1">
      <alignment horizontal="center" vertical="center" wrapText="1"/>
    </xf>
    <xf numFmtId="0" fontId="13" fillId="2" borderId="127" xfId="0" applyFont="1" applyFill="1" applyBorder="1" applyAlignment="1">
      <alignment horizontal="center" vertical="center" textRotation="90"/>
    </xf>
    <xf numFmtId="0" fontId="13" fillId="2" borderId="123" xfId="0" applyFont="1" applyFill="1" applyBorder="1" applyAlignment="1">
      <alignment horizontal="center" vertical="center" textRotation="90"/>
    </xf>
    <xf numFmtId="0" fontId="13" fillId="20" borderId="124" xfId="0" applyFont="1" applyFill="1" applyBorder="1" applyAlignment="1">
      <alignment horizontal="center" vertical="center" textRotation="90"/>
    </xf>
    <xf numFmtId="0" fontId="13" fillId="20" borderId="125" xfId="0" applyFont="1" applyFill="1" applyBorder="1" applyAlignment="1">
      <alignment horizontal="center" vertical="center" textRotation="90"/>
    </xf>
    <xf numFmtId="0" fontId="13" fillId="20" borderId="126" xfId="0" applyFont="1" applyFill="1" applyBorder="1" applyAlignment="1">
      <alignment horizontal="center" vertical="center" textRotation="90"/>
    </xf>
    <xf numFmtId="0" fontId="13" fillId="20" borderId="110" xfId="0" applyFont="1" applyFill="1" applyBorder="1" applyAlignment="1">
      <alignment horizontal="center" vertical="center" textRotation="90"/>
    </xf>
    <xf numFmtId="0" fontId="13" fillId="20" borderId="128" xfId="0" applyFont="1" applyFill="1" applyBorder="1" applyAlignment="1">
      <alignment horizontal="center" vertical="center" textRotation="90"/>
    </xf>
    <xf numFmtId="0" fontId="13" fillId="20" borderId="127" xfId="0" applyFont="1" applyFill="1" applyBorder="1" applyAlignment="1">
      <alignment horizontal="center" vertical="center" textRotation="90"/>
    </xf>
    <xf numFmtId="0" fontId="13" fillId="20" borderId="123" xfId="0" applyFont="1" applyFill="1" applyBorder="1" applyAlignment="1">
      <alignment horizontal="center" vertical="center" textRotation="90"/>
    </xf>
    <xf numFmtId="0" fontId="13" fillId="20" borderId="197" xfId="0" applyFont="1" applyFill="1" applyBorder="1" applyAlignment="1">
      <alignment horizontal="center" vertical="center" textRotation="90"/>
    </xf>
    <xf numFmtId="0" fontId="13" fillId="20" borderId="198" xfId="0" applyFont="1" applyFill="1" applyBorder="1" applyAlignment="1">
      <alignment horizontal="center" vertical="center" textRotation="90"/>
    </xf>
    <xf numFmtId="0" fontId="13" fillId="18" borderId="20" xfId="0" applyFont="1" applyFill="1" applyBorder="1" applyAlignment="1">
      <alignment horizontal="center" vertical="center" textRotation="90"/>
    </xf>
    <xf numFmtId="0" fontId="13" fillId="18" borderId="11" xfId="0" applyFont="1" applyFill="1" applyBorder="1" applyAlignment="1">
      <alignment horizontal="center" vertical="center" textRotation="90"/>
    </xf>
    <xf numFmtId="0" fontId="13" fillId="18" borderId="213" xfId="0" applyFont="1" applyFill="1" applyBorder="1" applyAlignment="1">
      <alignment horizontal="center" vertical="center" textRotation="90"/>
    </xf>
    <xf numFmtId="0" fontId="13" fillId="18" borderId="37" xfId="0" applyFont="1" applyFill="1" applyBorder="1" applyAlignment="1">
      <alignment horizontal="center" vertical="center" textRotation="90"/>
    </xf>
    <xf numFmtId="0" fontId="13" fillId="18" borderId="38" xfId="0" applyFont="1" applyFill="1" applyBorder="1" applyAlignment="1">
      <alignment horizontal="center" vertical="center" textRotation="90"/>
    </xf>
    <xf numFmtId="0" fontId="13" fillId="18" borderId="317" xfId="0" applyFont="1" applyFill="1" applyBorder="1" applyAlignment="1">
      <alignment horizontal="center" vertical="center" textRotation="90"/>
    </xf>
    <xf numFmtId="0" fontId="5" fillId="2" borderId="219" xfId="0" applyFont="1" applyFill="1" applyBorder="1" applyAlignment="1">
      <alignment horizontal="center" vertical="center" wrapText="1"/>
    </xf>
    <xf numFmtId="0" fontId="5" fillId="20" borderId="124" xfId="0" applyFont="1" applyFill="1" applyBorder="1" applyAlignment="1">
      <alignment horizontal="center" vertical="center" wrapText="1"/>
    </xf>
    <xf numFmtId="0" fontId="5" fillId="20" borderId="21" xfId="0" applyFont="1" applyFill="1" applyBorder="1" applyAlignment="1">
      <alignment horizontal="center" vertical="center" wrapText="1"/>
    </xf>
    <xf numFmtId="0" fontId="5" fillId="20" borderId="214" xfId="0" applyFont="1" applyFill="1" applyBorder="1" applyAlignment="1">
      <alignment horizontal="center" vertical="center" wrapText="1"/>
    </xf>
    <xf numFmtId="0" fontId="5" fillId="18" borderId="20" xfId="0" applyFont="1" applyFill="1" applyBorder="1" applyAlignment="1">
      <alignment horizontal="center" vertical="center" wrapText="1"/>
    </xf>
    <xf numFmtId="0" fontId="5" fillId="18" borderId="214" xfId="0" applyFont="1" applyFill="1" applyBorder="1" applyAlignment="1">
      <alignment horizontal="center" vertical="center" wrapText="1"/>
    </xf>
    <xf numFmtId="0" fontId="13" fillId="18" borderId="29" xfId="0" applyFont="1" applyFill="1" applyBorder="1" applyAlignment="1">
      <alignment horizontal="center" vertical="center" textRotation="90"/>
    </xf>
    <xf numFmtId="0" fontId="13" fillId="18" borderId="45" xfId="0" applyFont="1" applyFill="1" applyBorder="1" applyAlignment="1">
      <alignment horizontal="center" vertical="center" textRotation="90"/>
    </xf>
    <xf numFmtId="0" fontId="13" fillId="18" borderId="216" xfId="0" applyFont="1" applyFill="1" applyBorder="1" applyAlignment="1">
      <alignment horizontal="center" vertical="center" textRotation="90"/>
    </xf>
    <xf numFmtId="0" fontId="5" fillId="2" borderId="107" xfId="0" applyFont="1" applyFill="1" applyBorder="1" applyAlignment="1">
      <alignment horizontal="center" vertical="center" wrapText="1"/>
    </xf>
    <xf numFmtId="0" fontId="5" fillId="2" borderId="108" xfId="0" applyFont="1" applyFill="1" applyBorder="1" applyAlignment="1">
      <alignment horizontal="center" vertical="center" wrapText="1"/>
    </xf>
    <xf numFmtId="0" fontId="5" fillId="2" borderId="220" xfId="0" applyFont="1" applyFill="1" applyBorder="1" applyAlignment="1">
      <alignment horizontal="center" vertical="center" wrapText="1"/>
    </xf>
    <xf numFmtId="0" fontId="5" fillId="20" borderId="221" xfId="0" applyFont="1" applyFill="1" applyBorder="1" applyAlignment="1">
      <alignment horizontal="center" vertical="center" wrapText="1"/>
    </xf>
    <xf numFmtId="0" fontId="5" fillId="20" borderId="108" xfId="0" applyFont="1" applyFill="1" applyBorder="1" applyAlignment="1">
      <alignment horizontal="center" vertical="center" wrapText="1"/>
    </xf>
    <xf numFmtId="0" fontId="5" fillId="20" borderId="109" xfId="0" applyFont="1" applyFill="1" applyBorder="1" applyAlignment="1">
      <alignment horizontal="center" vertical="center" wrapText="1"/>
    </xf>
    <xf numFmtId="0" fontId="5" fillId="18" borderId="107" xfId="0" applyFont="1" applyFill="1" applyBorder="1" applyAlignment="1">
      <alignment horizontal="center" vertical="center" wrapText="1"/>
    </xf>
    <xf numFmtId="0" fontId="5" fillId="18" borderId="316" xfId="0" applyFont="1" applyFill="1" applyBorder="1" applyAlignment="1">
      <alignment horizontal="center" vertical="center" wrapText="1"/>
    </xf>
    <xf numFmtId="0" fontId="13" fillId="2" borderId="7" xfId="0" applyFont="1" applyFill="1" applyBorder="1" applyAlignment="1">
      <alignment horizontal="center" vertical="center" textRotation="90"/>
    </xf>
    <xf numFmtId="0" fontId="13" fillId="2" borderId="207" xfId="0" applyFont="1" applyFill="1" applyBorder="1" applyAlignment="1">
      <alignment horizontal="center" vertical="center" textRotation="90"/>
    </xf>
    <xf numFmtId="0" fontId="13" fillId="2" borderId="124" xfId="0" applyFont="1" applyFill="1" applyBorder="1" applyAlignment="1">
      <alignment horizontal="center" vertical="center" textRotation="90"/>
    </xf>
    <xf numFmtId="0" fontId="13" fillId="2" borderId="125" xfId="0" applyFont="1" applyFill="1" applyBorder="1" applyAlignment="1">
      <alignment horizontal="center" vertical="center" textRotation="90"/>
    </xf>
    <xf numFmtId="0" fontId="13" fillId="2" borderId="126" xfId="0" applyFont="1" applyFill="1" applyBorder="1" applyAlignment="1">
      <alignment horizontal="center" vertical="center" textRotation="90"/>
    </xf>
    <xf numFmtId="0" fontId="13" fillId="20" borderId="210" xfId="0" applyFont="1" applyFill="1" applyBorder="1" applyAlignment="1">
      <alignment horizontal="center" vertical="center" textRotation="90"/>
    </xf>
    <xf numFmtId="0" fontId="13" fillId="20" borderId="211" xfId="0" applyFont="1" applyFill="1" applyBorder="1" applyAlignment="1">
      <alignment horizontal="center" vertical="center" textRotation="90"/>
    </xf>
    <xf numFmtId="0" fontId="13" fillId="20" borderId="44" xfId="0" applyFont="1" applyFill="1" applyBorder="1" applyAlignment="1">
      <alignment horizontal="center" vertical="center" textRotation="90"/>
    </xf>
    <xf numFmtId="0" fontId="13" fillId="20" borderId="218" xfId="0" applyFont="1" applyFill="1" applyBorder="1" applyAlignment="1">
      <alignment horizontal="center" vertical="center" textRotation="90"/>
    </xf>
    <xf numFmtId="0" fontId="13" fillId="2" borderId="13" xfId="0" applyFont="1" applyFill="1" applyBorder="1" applyAlignment="1">
      <alignment horizontal="center" vertical="center" textRotation="90"/>
    </xf>
    <xf numFmtId="0" fontId="13" fillId="2" borderId="293" xfId="0" applyFont="1" applyFill="1" applyBorder="1" applyAlignment="1">
      <alignment horizontal="center" vertical="center" textRotation="90"/>
    </xf>
    <xf numFmtId="0" fontId="5" fillId="0" borderId="116" xfId="0" applyFont="1" applyBorder="1" applyAlignment="1">
      <alignment horizontal="center" textRotation="90"/>
    </xf>
    <xf numFmtId="0" fontId="5" fillId="0" borderId="116" xfId="0" applyFont="1" applyBorder="1" applyAlignment="1">
      <alignment horizontal="center" textRotation="90" wrapText="1"/>
    </xf>
    <xf numFmtId="0" fontId="13" fillId="2" borderId="115" xfId="0" applyFont="1" applyFill="1" applyBorder="1" applyAlignment="1">
      <alignment horizontal="center" vertical="center" textRotation="90"/>
    </xf>
    <xf numFmtId="0" fontId="13" fillId="2" borderId="120" xfId="0" applyFont="1" applyFill="1" applyBorder="1" applyAlignment="1">
      <alignment horizontal="center" vertical="center" textRotation="90"/>
    </xf>
    <xf numFmtId="0" fontId="5" fillId="3" borderId="117" xfId="0" applyFont="1" applyFill="1" applyBorder="1" applyAlignment="1">
      <alignment horizontal="center" textRotation="90"/>
    </xf>
    <xf numFmtId="49" fontId="5" fillId="4" borderId="118" xfId="0" applyNumberFormat="1" applyFont="1" applyFill="1" applyBorder="1" applyAlignment="1">
      <alignment horizontal="center" textRotation="90" shrinkToFit="1"/>
    </xf>
    <xf numFmtId="49" fontId="5" fillId="4" borderId="101" xfId="0" applyNumberFormat="1" applyFont="1" applyFill="1" applyBorder="1" applyAlignment="1">
      <alignment horizontal="center" textRotation="90"/>
    </xf>
    <xf numFmtId="49" fontId="5" fillId="4" borderId="102" xfId="0" applyNumberFormat="1" applyFont="1" applyFill="1" applyBorder="1" applyAlignment="1">
      <alignment horizontal="center" textRotation="90"/>
    </xf>
    <xf numFmtId="49" fontId="5" fillId="4" borderId="119" xfId="0" applyNumberFormat="1" applyFont="1" applyFill="1" applyBorder="1" applyAlignment="1">
      <alignment horizontal="center" textRotation="90"/>
    </xf>
    <xf numFmtId="0" fontId="13" fillId="20" borderId="144"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5" fillId="18" borderId="109" xfId="0" applyFont="1" applyFill="1" applyBorder="1" applyAlignment="1">
      <alignment horizontal="center" vertical="center" wrapText="1"/>
    </xf>
    <xf numFmtId="0" fontId="5" fillId="18" borderId="215" xfId="0" applyFont="1" applyFill="1" applyBorder="1" applyAlignment="1">
      <alignment horizontal="center" vertical="center" wrapText="1"/>
    </xf>
    <xf numFmtId="0" fontId="5" fillId="18" borderId="129"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0" borderId="141"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0" borderId="129" xfId="0" applyFont="1" applyFill="1" applyBorder="1" applyAlignment="1">
      <alignment horizontal="center" vertical="center" wrapText="1"/>
    </xf>
    <xf numFmtId="0" fontId="5" fillId="18" borderId="22" xfId="0" applyFont="1" applyFill="1" applyBorder="1" applyAlignment="1">
      <alignment horizontal="center" vertical="center" wrapText="1"/>
    </xf>
    <xf numFmtId="0" fontId="13" fillId="20" borderId="23" xfId="0" applyFont="1" applyFill="1" applyBorder="1" applyAlignment="1">
      <alignment horizontal="center" vertical="center" textRotation="90"/>
    </xf>
    <xf numFmtId="0" fontId="13" fillId="20" borderId="212" xfId="0" applyFont="1" applyFill="1" applyBorder="1" applyAlignment="1">
      <alignment horizontal="center" vertical="center" textRotation="90"/>
    </xf>
    <xf numFmtId="0" fontId="21" fillId="21" borderId="206" xfId="0" applyFont="1" applyFill="1" applyBorder="1" applyAlignment="1">
      <alignment horizontal="center" vertical="center" wrapText="1"/>
    </xf>
    <xf numFmtId="0" fontId="21" fillId="21" borderId="208" xfId="0" applyFont="1" applyFill="1" applyBorder="1" applyAlignment="1">
      <alignment horizontal="center" vertical="center" wrapText="1"/>
    </xf>
    <xf numFmtId="0" fontId="21" fillId="21" borderId="229" xfId="0" applyFont="1" applyFill="1" applyBorder="1" applyAlignment="1">
      <alignment horizontal="center" vertical="center" wrapText="1"/>
    </xf>
    <xf numFmtId="0" fontId="5" fillId="2" borderId="64" xfId="0" applyFont="1" applyFill="1" applyBorder="1" applyAlignment="1">
      <alignment horizontal="center" vertical="center"/>
    </xf>
    <xf numFmtId="0" fontId="23" fillId="15" borderId="132" xfId="0" applyFont="1" applyFill="1" applyBorder="1" applyAlignment="1">
      <alignment horizontal="center" vertical="center" textRotation="90"/>
    </xf>
    <xf numFmtId="0" fontId="23" fillId="15" borderId="133" xfId="0" applyFont="1" applyFill="1" applyBorder="1" applyAlignment="1">
      <alignment horizontal="center" vertical="center" textRotation="90"/>
    </xf>
    <xf numFmtId="0" fontId="23" fillId="15" borderId="137" xfId="0" applyFont="1" applyFill="1" applyBorder="1" applyAlignment="1">
      <alignment horizontal="center" vertical="center" textRotation="90"/>
    </xf>
    <xf numFmtId="0" fontId="23" fillId="21" borderId="139" xfId="0" applyFont="1" applyFill="1" applyBorder="1" applyAlignment="1">
      <alignment horizontal="center" vertical="center" textRotation="90"/>
    </xf>
    <xf numFmtId="0" fontId="23" fillId="21" borderId="142" xfId="0" applyFont="1" applyFill="1" applyBorder="1" applyAlignment="1">
      <alignment horizontal="center" vertical="center" textRotation="90"/>
    </xf>
    <xf numFmtId="0" fontId="23" fillId="21" borderId="146" xfId="0" applyFont="1" applyFill="1" applyBorder="1" applyAlignment="1">
      <alignment horizontal="center" vertical="center" textRotation="90"/>
    </xf>
    <xf numFmtId="0" fontId="23" fillId="22" borderId="225" xfId="0" applyFont="1" applyFill="1" applyBorder="1" applyAlignment="1">
      <alignment horizontal="center" vertical="center" textRotation="90"/>
    </xf>
    <xf numFmtId="0" fontId="23" fillId="22" borderId="226" xfId="0" applyFont="1" applyFill="1" applyBorder="1" applyAlignment="1">
      <alignment horizontal="center" vertical="center" textRotation="90"/>
    </xf>
    <xf numFmtId="0" fontId="23" fillId="22" borderId="199" xfId="0" applyFont="1" applyFill="1" applyBorder="1" applyAlignment="1">
      <alignment horizontal="center" vertical="center" textRotation="90"/>
    </xf>
    <xf numFmtId="0" fontId="23" fillId="22" borderId="157" xfId="0" applyFont="1" applyFill="1" applyBorder="1" applyAlignment="1">
      <alignment horizontal="center" vertical="center" textRotation="90"/>
    </xf>
    <xf numFmtId="0" fontId="23" fillId="22" borderId="158" xfId="0" applyFont="1" applyFill="1" applyBorder="1" applyAlignment="1">
      <alignment horizontal="center" vertical="center" textRotation="90"/>
    </xf>
    <xf numFmtId="0" fontId="23" fillId="22" borderId="159" xfId="0" applyFont="1" applyFill="1" applyBorder="1" applyAlignment="1">
      <alignment horizontal="center" vertical="center" textRotation="90"/>
    </xf>
    <xf numFmtId="0" fontId="23" fillId="15" borderId="307" xfId="0" applyFont="1" applyFill="1" applyBorder="1" applyAlignment="1">
      <alignment horizontal="center" vertical="center" textRotation="90"/>
    </xf>
    <xf numFmtId="0" fontId="23" fillId="21" borderId="308" xfId="0" applyFont="1" applyFill="1" applyBorder="1" applyAlignment="1">
      <alignment horizontal="center" vertical="center" textRotation="90"/>
    </xf>
    <xf numFmtId="0" fontId="23" fillId="22" borderId="309" xfId="0" applyFont="1" applyFill="1" applyBorder="1" applyAlignment="1">
      <alignment horizontal="center" vertical="center" textRotation="90"/>
    </xf>
    <xf numFmtId="0" fontId="23" fillId="22" borderId="310" xfId="0" applyFont="1" applyFill="1" applyBorder="1" applyAlignment="1">
      <alignment horizontal="center" vertical="center" textRotation="90"/>
    </xf>
    <xf numFmtId="0" fontId="23" fillId="15" borderId="111" xfId="0" applyFont="1" applyFill="1" applyBorder="1" applyAlignment="1">
      <alignment horizontal="center" vertical="center" textRotation="90" wrapText="1"/>
    </xf>
    <xf numFmtId="0" fontId="23" fillId="15" borderId="111" xfId="0" applyFont="1" applyFill="1" applyBorder="1" applyAlignment="1">
      <alignment horizontal="center" vertical="center" textRotation="90"/>
    </xf>
    <xf numFmtId="0" fontId="23" fillId="15" borderId="136" xfId="0" applyFont="1" applyFill="1" applyBorder="1" applyAlignment="1">
      <alignment horizontal="center" vertical="center" textRotation="90"/>
    </xf>
    <xf numFmtId="0" fontId="23" fillId="15" borderId="132" xfId="0" applyFont="1" applyFill="1" applyBorder="1" applyAlignment="1">
      <alignment horizontal="center" vertical="center" textRotation="90" wrapText="1"/>
    </xf>
    <xf numFmtId="0" fontId="23" fillId="15" borderId="133" xfId="0" applyFont="1" applyFill="1" applyBorder="1" applyAlignment="1">
      <alignment horizontal="center" vertical="center" textRotation="90" wrapText="1"/>
    </xf>
    <xf numFmtId="0" fontId="23" fillId="15" borderId="137" xfId="0" applyFont="1" applyFill="1" applyBorder="1" applyAlignment="1">
      <alignment horizontal="center" vertical="center" textRotation="90" wrapText="1"/>
    </xf>
    <xf numFmtId="0" fontId="23" fillId="21" borderId="112" xfId="0" applyFont="1" applyFill="1" applyBorder="1" applyAlignment="1">
      <alignment horizontal="center" vertical="center" textRotation="90"/>
    </xf>
    <xf numFmtId="0" fontId="23" fillId="21" borderId="138" xfId="0" applyFont="1" applyFill="1" applyBorder="1" applyAlignment="1">
      <alignment horizontal="center" vertical="center" textRotation="90"/>
    </xf>
    <xf numFmtId="0" fontId="23" fillId="15" borderId="306" xfId="0" applyFont="1" applyFill="1" applyBorder="1" applyAlignment="1">
      <alignment horizontal="center" vertical="center" textRotation="90" wrapText="1"/>
    </xf>
    <xf numFmtId="0" fontId="23" fillId="15" borderId="294" xfId="0" applyFont="1" applyFill="1" applyBorder="1" applyAlignment="1">
      <alignment horizontal="center" vertical="center" textRotation="90"/>
    </xf>
    <xf numFmtId="0" fontId="23" fillId="15" borderId="295" xfId="0" applyFont="1" applyFill="1" applyBorder="1" applyAlignment="1">
      <alignment horizontal="center" vertical="center" textRotation="90"/>
    </xf>
    <xf numFmtId="0" fontId="23" fillId="15" borderId="307" xfId="0" applyFont="1" applyFill="1" applyBorder="1" applyAlignment="1">
      <alignment horizontal="center" vertical="center" textRotation="90" wrapText="1"/>
    </xf>
    <xf numFmtId="0" fontId="23" fillId="21" borderId="307" xfId="0" applyFont="1" applyFill="1" applyBorder="1" applyAlignment="1">
      <alignment horizontal="center" vertical="center" textRotation="90"/>
    </xf>
    <xf numFmtId="0" fontId="23" fillId="21" borderId="133" xfId="0" applyFont="1" applyFill="1" applyBorder="1" applyAlignment="1">
      <alignment horizontal="center" vertical="center" textRotation="90"/>
    </xf>
    <xf numFmtId="0" fontId="23" fillId="21" borderId="137" xfId="0" applyFont="1" applyFill="1" applyBorder="1" applyAlignment="1">
      <alignment horizontal="center" vertical="center" textRotation="90"/>
    </xf>
    <xf numFmtId="0" fontId="23" fillId="21" borderId="205" xfId="0" applyFont="1" applyFill="1" applyBorder="1" applyAlignment="1">
      <alignment horizontal="center" vertical="center" textRotation="90"/>
    </xf>
    <xf numFmtId="0" fontId="23" fillId="15" borderId="311" xfId="0" applyFont="1" applyFill="1" applyBorder="1" applyAlignment="1">
      <alignment horizontal="center" vertical="center" textRotation="90" wrapText="1"/>
    </xf>
    <xf numFmtId="0" fontId="23" fillId="21" borderId="132" xfId="0" applyFont="1" applyFill="1" applyBorder="1" applyAlignment="1">
      <alignment horizontal="center" vertical="center" textRotation="90"/>
    </xf>
    <xf numFmtId="0" fontId="31" fillId="23" borderId="253" xfId="0" applyFont="1" applyFill="1" applyBorder="1" applyAlignment="1">
      <alignment horizontal="center" vertical="center" wrapText="1"/>
    </xf>
    <xf numFmtId="0" fontId="31" fillId="23" borderId="254" xfId="0" applyFont="1" applyFill="1" applyBorder="1" applyAlignment="1">
      <alignment horizontal="center" vertical="center" wrapText="1"/>
    </xf>
    <xf numFmtId="0" fontId="30" fillId="24" borderId="296" xfId="0" applyFont="1" applyFill="1" applyBorder="1" applyAlignment="1">
      <alignment horizontal="center" vertical="center" wrapText="1"/>
    </xf>
    <xf numFmtId="0" fontId="30" fillId="24" borderId="297" xfId="0" applyFont="1" applyFill="1" applyBorder="1" applyAlignment="1">
      <alignment horizontal="center" vertical="center" wrapText="1"/>
    </xf>
    <xf numFmtId="0" fontId="30" fillId="24" borderId="298" xfId="0" applyFont="1" applyFill="1" applyBorder="1" applyAlignment="1">
      <alignment horizontal="center" vertical="center" wrapText="1"/>
    </xf>
    <xf numFmtId="0" fontId="31" fillId="23" borderId="299" xfId="0" applyFont="1" applyFill="1" applyBorder="1" applyAlignment="1">
      <alignment horizontal="center" vertical="center" wrapText="1"/>
    </xf>
    <xf numFmtId="0" fontId="31" fillId="23" borderId="300" xfId="0" applyFont="1" applyFill="1" applyBorder="1" applyAlignment="1">
      <alignment horizontal="center" vertical="center" wrapText="1"/>
    </xf>
    <xf numFmtId="0" fontId="31" fillId="23" borderId="301" xfId="0" applyFont="1" applyFill="1" applyBorder="1" applyAlignment="1">
      <alignment horizontal="center" vertical="center" wrapText="1"/>
    </xf>
    <xf numFmtId="0" fontId="21" fillId="22" borderId="150" xfId="0" applyFont="1" applyFill="1" applyBorder="1" applyAlignment="1">
      <alignment horizontal="center" vertical="center" wrapText="1"/>
    </xf>
    <xf numFmtId="0" fontId="21" fillId="22" borderId="153" xfId="0" applyFont="1" applyFill="1" applyBorder="1" applyAlignment="1">
      <alignment horizontal="center" vertical="center" wrapText="1"/>
    </xf>
    <xf numFmtId="0" fontId="21" fillId="15" borderId="166" xfId="0" applyFont="1" applyFill="1" applyBorder="1" applyAlignment="1">
      <alignment horizontal="center" vertical="center"/>
    </xf>
    <xf numFmtId="0" fontId="21" fillId="15" borderId="164" xfId="0" applyFont="1" applyFill="1" applyBorder="1" applyAlignment="1">
      <alignment horizontal="center" vertical="center"/>
    </xf>
    <xf numFmtId="0" fontId="21" fillId="15" borderId="165" xfId="0" applyFont="1" applyFill="1" applyBorder="1" applyAlignment="1">
      <alignment horizontal="center" vertical="center"/>
    </xf>
    <xf numFmtId="0" fontId="21" fillId="15" borderId="312" xfId="0" applyFont="1" applyFill="1" applyBorder="1" applyAlignment="1">
      <alignment horizontal="center" vertical="center"/>
    </xf>
    <xf numFmtId="0" fontId="21" fillId="15" borderId="166" xfId="0" applyFont="1" applyFill="1" applyBorder="1" applyAlignment="1">
      <alignment horizontal="center" vertical="center" wrapText="1"/>
    </xf>
    <xf numFmtId="0" fontId="21" fillId="15" borderId="164" xfId="0" applyFont="1" applyFill="1" applyBorder="1" applyAlignment="1">
      <alignment horizontal="center" vertical="center" wrapText="1"/>
    </xf>
    <xf numFmtId="0" fontId="21" fillId="15" borderId="222" xfId="0" applyFont="1" applyFill="1" applyBorder="1" applyAlignment="1">
      <alignment horizontal="center" vertical="center" wrapText="1"/>
    </xf>
    <xf numFmtId="0" fontId="21" fillId="15" borderId="312" xfId="0" applyFont="1" applyFill="1" applyBorder="1" applyAlignment="1">
      <alignment horizontal="center" vertical="center" wrapText="1"/>
    </xf>
    <xf numFmtId="0" fontId="21" fillId="21" borderId="223" xfId="0" applyFont="1" applyFill="1" applyBorder="1" applyAlignment="1">
      <alignment horizontal="center" vertical="center" wrapText="1"/>
    </xf>
    <xf numFmtId="0" fontId="21" fillId="21" borderId="164" xfId="0" applyFont="1" applyFill="1" applyBorder="1" applyAlignment="1">
      <alignment horizontal="center" vertical="center" wrapText="1"/>
    </xf>
    <xf numFmtId="0" fontId="21" fillId="21" borderId="140" xfId="0" applyFont="1" applyFill="1" applyBorder="1" applyAlignment="1">
      <alignment horizontal="center" vertical="center" wrapText="1"/>
    </xf>
    <xf numFmtId="0" fontId="21" fillId="21" borderId="122" xfId="0" applyFont="1" applyFill="1" applyBorder="1" applyAlignment="1">
      <alignment horizontal="center" vertical="center" wrapText="1"/>
    </xf>
    <xf numFmtId="0" fontId="31" fillId="23" borderId="262" xfId="0" applyFont="1" applyFill="1" applyBorder="1" applyAlignment="1">
      <alignment horizontal="center" vertical="center" wrapText="1"/>
    </xf>
    <xf numFmtId="0" fontId="31" fillId="23" borderId="249" xfId="0" applyFont="1" applyFill="1" applyBorder="1" applyAlignment="1">
      <alignment horizontal="center" vertical="center" wrapText="1"/>
    </xf>
    <xf numFmtId="0" fontId="31" fillId="25" borderId="249" xfId="0" applyFont="1" applyFill="1" applyBorder="1" applyAlignment="1">
      <alignment horizontal="center" vertical="center" wrapText="1"/>
    </xf>
    <xf numFmtId="0" fontId="31" fillId="25" borderId="259" xfId="0" applyFont="1" applyFill="1" applyBorder="1" applyAlignment="1">
      <alignment horizontal="center" vertical="center" wrapText="1"/>
    </xf>
    <xf numFmtId="0" fontId="30" fillId="23" borderId="240" xfId="0" applyFont="1" applyFill="1" applyBorder="1" applyAlignment="1">
      <alignment horizontal="center" vertical="center" textRotation="90"/>
    </xf>
    <xf numFmtId="0" fontId="30" fillId="23" borderId="286" xfId="0" applyFont="1" applyFill="1" applyBorder="1" applyAlignment="1">
      <alignment horizontal="center" vertical="center" textRotation="90"/>
    </xf>
    <xf numFmtId="0" fontId="30" fillId="25" borderId="240" xfId="0" applyFont="1" applyFill="1" applyBorder="1" applyAlignment="1">
      <alignment horizontal="center" vertical="center" textRotation="90"/>
    </xf>
    <xf numFmtId="0" fontId="30" fillId="25" borderId="286" xfId="0" applyFont="1" applyFill="1" applyBorder="1" applyAlignment="1">
      <alignment horizontal="center" vertical="center" textRotation="90"/>
    </xf>
    <xf numFmtId="0" fontId="30" fillId="26" borderId="247" xfId="0" applyFont="1" applyFill="1" applyBorder="1" applyAlignment="1">
      <alignment horizontal="center" vertical="center" textRotation="90"/>
    </xf>
    <xf numFmtId="0" fontId="30" fillId="26" borderId="288" xfId="0" applyFont="1" applyFill="1" applyBorder="1" applyAlignment="1">
      <alignment horizontal="center" vertical="center" textRotation="90"/>
    </xf>
    <xf numFmtId="0" fontId="30" fillId="26" borderId="241" xfId="0" applyFont="1" applyFill="1" applyBorder="1" applyAlignment="1">
      <alignment horizontal="center" vertical="center" textRotation="90"/>
    </xf>
    <xf numFmtId="0" fontId="30" fillId="26" borderId="289" xfId="0" applyFont="1" applyFill="1" applyBorder="1" applyAlignment="1">
      <alignment horizontal="center" vertical="center" textRotation="90"/>
    </xf>
    <xf numFmtId="0" fontId="31" fillId="23" borderId="248" xfId="0" applyFont="1" applyFill="1" applyBorder="1" applyAlignment="1">
      <alignment horizontal="center" vertical="center" wrapText="1"/>
    </xf>
    <xf numFmtId="0" fontId="31" fillId="26" borderId="246" xfId="0" applyFont="1" applyFill="1" applyBorder="1" applyAlignment="1">
      <alignment horizontal="center" vertical="center" wrapText="1"/>
    </xf>
    <xf numFmtId="0" fontId="31" fillId="26" borderId="239" xfId="0" applyFont="1" applyFill="1" applyBorder="1" applyAlignment="1">
      <alignment horizontal="center" vertical="center" wrapText="1"/>
    </xf>
    <xf numFmtId="0" fontId="30" fillId="23" borderId="284" xfId="0" applyFont="1" applyFill="1" applyBorder="1" applyAlignment="1">
      <alignment horizontal="center" vertical="center" textRotation="90" wrapText="1"/>
    </xf>
    <xf numFmtId="0" fontId="30" fillId="23" borderId="284" xfId="0" applyFont="1" applyFill="1" applyBorder="1" applyAlignment="1">
      <alignment horizontal="center" vertical="center" textRotation="90"/>
    </xf>
    <xf numFmtId="0" fontId="30" fillId="23" borderId="285" xfId="0" applyFont="1" applyFill="1" applyBorder="1" applyAlignment="1">
      <alignment horizontal="center" vertical="center" textRotation="90"/>
    </xf>
    <xf numFmtId="0" fontId="30" fillId="23" borderId="240" xfId="0" applyFont="1" applyFill="1" applyBorder="1" applyAlignment="1">
      <alignment horizontal="center" vertical="center" textRotation="90" wrapText="1"/>
    </xf>
    <xf numFmtId="0" fontId="30" fillId="23" borderId="286" xfId="0" applyFont="1" applyFill="1" applyBorder="1" applyAlignment="1">
      <alignment horizontal="center" vertical="center" textRotation="90" wrapText="1"/>
    </xf>
    <xf numFmtId="0" fontId="30" fillId="25" borderId="260" xfId="0" applyFont="1" applyFill="1" applyBorder="1" applyAlignment="1">
      <alignment horizontal="center" vertical="center" textRotation="90"/>
    </xf>
    <xf numFmtId="0" fontId="30" fillId="25" borderId="287" xfId="0" applyFont="1" applyFill="1" applyBorder="1" applyAlignment="1">
      <alignment horizontal="center" vertical="center" textRotation="90"/>
    </xf>
    <xf numFmtId="0" fontId="30" fillId="23" borderId="242" xfId="0" applyFont="1" applyFill="1" applyBorder="1" applyAlignment="1">
      <alignment horizontal="center" vertical="center" textRotation="90" wrapText="1"/>
    </xf>
    <xf numFmtId="0" fontId="30" fillId="23" borderId="242" xfId="0" applyFont="1" applyFill="1" applyBorder="1" applyAlignment="1">
      <alignment horizontal="center" vertical="center" textRotation="90"/>
    </xf>
    <xf numFmtId="0" fontId="30" fillId="23" borderId="290" xfId="0" applyFont="1" applyFill="1" applyBorder="1" applyAlignment="1">
      <alignment horizontal="center" vertical="center" textRotation="90"/>
    </xf>
    <xf numFmtId="0" fontId="30" fillId="23" borderId="257" xfId="0" applyFont="1" applyFill="1" applyBorder="1" applyAlignment="1">
      <alignment horizontal="center" vertical="center" textRotation="90"/>
    </xf>
    <xf numFmtId="0" fontId="30" fillId="23" borderId="269" xfId="0" applyFont="1" applyFill="1" applyBorder="1" applyAlignment="1">
      <alignment horizontal="center" vertical="center" textRotation="90"/>
    </xf>
    <xf numFmtId="0" fontId="30" fillId="25" borderId="257" xfId="0" applyFont="1" applyFill="1" applyBorder="1" applyAlignment="1">
      <alignment horizontal="center" vertical="center" textRotation="90"/>
    </xf>
    <xf numFmtId="0" fontId="30" fillId="25" borderId="269" xfId="0" applyFont="1" applyFill="1" applyBorder="1" applyAlignment="1">
      <alignment horizontal="center" vertical="center" textRotation="90"/>
    </xf>
    <xf numFmtId="0" fontId="30" fillId="26" borderId="277" xfId="0" applyFont="1" applyFill="1" applyBorder="1" applyAlignment="1">
      <alignment horizontal="center" vertical="center" textRotation="90"/>
    </xf>
    <xf numFmtId="0" fontId="30" fillId="26" borderId="278" xfId="0" applyFont="1" applyFill="1" applyBorder="1" applyAlignment="1">
      <alignment horizontal="center" vertical="center" textRotation="90"/>
    </xf>
    <xf numFmtId="0" fontId="30" fillId="26" borderId="258" xfId="0" applyFont="1" applyFill="1" applyBorder="1" applyAlignment="1">
      <alignment horizontal="center" vertical="center" textRotation="90"/>
    </xf>
    <xf numFmtId="0" fontId="30" fillId="26" borderId="279" xfId="0" applyFont="1" applyFill="1" applyBorder="1" applyAlignment="1">
      <alignment horizontal="center" vertical="center" textRotation="90"/>
    </xf>
    <xf numFmtId="0" fontId="31" fillId="23" borderId="303" xfId="0" applyFont="1" applyFill="1" applyBorder="1" applyAlignment="1">
      <alignment horizontal="center" vertical="center" wrapText="1"/>
    </xf>
    <xf numFmtId="0" fontId="31" fillId="23" borderId="264" xfId="0" applyFont="1" applyFill="1" applyBorder="1" applyAlignment="1">
      <alignment horizontal="center" vertical="center" wrapText="1"/>
    </xf>
    <xf numFmtId="0" fontId="31" fillId="23" borderId="265" xfId="0" applyFont="1" applyFill="1" applyBorder="1" applyAlignment="1">
      <alignment horizontal="center" vertical="center" wrapText="1"/>
    </xf>
    <xf numFmtId="0" fontId="30" fillId="25" borderId="304" xfId="0" applyFont="1" applyFill="1" applyBorder="1" applyAlignment="1">
      <alignment horizontal="center" vertical="center" wrapText="1"/>
    </xf>
    <xf numFmtId="0" fontId="30" fillId="25" borderId="266" xfId="0" applyFont="1" applyFill="1" applyBorder="1" applyAlignment="1">
      <alignment horizontal="center" vertical="center" wrapText="1"/>
    </xf>
    <xf numFmtId="0" fontId="30" fillId="25" borderId="267" xfId="0" applyFont="1" applyFill="1" applyBorder="1" applyAlignment="1">
      <alignment horizontal="center" vertical="center" wrapText="1"/>
    </xf>
    <xf numFmtId="0" fontId="30" fillId="26" borderId="280" xfId="0" applyFont="1" applyFill="1" applyBorder="1" applyAlignment="1">
      <alignment horizontal="center" vertical="center" textRotation="90"/>
    </xf>
    <xf numFmtId="0" fontId="30" fillId="26" borderId="270" xfId="0" applyFont="1" applyFill="1" applyBorder="1" applyAlignment="1">
      <alignment horizontal="center" vertical="center" textRotation="90"/>
    </xf>
    <xf numFmtId="0" fontId="30" fillId="23" borderId="256" xfId="0" applyFont="1" applyFill="1" applyBorder="1" applyAlignment="1">
      <alignment horizontal="center" vertical="center" textRotation="90" wrapText="1"/>
    </xf>
    <xf numFmtId="0" fontId="30" fillId="23" borderId="256" xfId="0" applyFont="1" applyFill="1" applyBorder="1" applyAlignment="1">
      <alignment horizontal="center" vertical="center" textRotation="90"/>
    </xf>
    <xf numFmtId="0" fontId="30" fillId="23" borderId="268" xfId="0" applyFont="1" applyFill="1" applyBorder="1" applyAlignment="1">
      <alignment horizontal="center" vertical="center" textRotation="90"/>
    </xf>
    <xf numFmtId="0" fontId="30" fillId="23" borderId="257" xfId="0" applyFont="1" applyFill="1" applyBorder="1" applyAlignment="1">
      <alignment horizontal="center" vertical="center" textRotation="90" wrapText="1"/>
    </xf>
    <xf numFmtId="0" fontId="30" fillId="23" borderId="269" xfId="0" applyFont="1" applyFill="1" applyBorder="1" applyAlignment="1">
      <alignment horizontal="center" vertical="center" textRotation="90" wrapText="1"/>
    </xf>
    <xf numFmtId="0" fontId="31" fillId="23" borderId="243" xfId="0" applyFont="1" applyFill="1" applyBorder="1" applyAlignment="1">
      <alignment horizontal="center" vertical="center" wrapText="1"/>
    </xf>
    <xf numFmtId="0" fontId="31" fillId="23" borderId="244" xfId="0" applyFont="1" applyFill="1" applyBorder="1" applyAlignment="1">
      <alignment horizontal="center" vertical="center" wrapText="1"/>
    </xf>
    <xf numFmtId="0" fontId="30" fillId="25" borderId="275" xfId="0" applyFont="1" applyFill="1" applyBorder="1" applyAlignment="1">
      <alignment horizontal="center" vertical="center" textRotation="90"/>
    </xf>
    <xf numFmtId="0" fontId="30" fillId="25" borderId="276" xfId="0" applyFont="1" applyFill="1" applyBorder="1" applyAlignment="1">
      <alignment horizontal="center" vertical="center" textRotation="90"/>
    </xf>
    <xf numFmtId="0" fontId="31" fillId="25" borderId="244" xfId="0" applyFont="1" applyFill="1" applyBorder="1" applyAlignment="1">
      <alignment horizontal="center" vertical="center" wrapText="1"/>
    </xf>
    <xf numFmtId="0" fontId="31" fillId="25" borderId="261" xfId="0" applyFont="1" applyFill="1" applyBorder="1" applyAlignment="1">
      <alignment horizontal="center" vertical="center" wrapText="1"/>
    </xf>
    <xf numFmtId="0" fontId="31" fillId="26" borderId="281" xfId="0" applyFont="1" applyFill="1" applyBorder="1" applyAlignment="1">
      <alignment horizontal="center" vertical="center" wrapText="1"/>
    </xf>
    <xf numFmtId="0" fontId="31" fillId="26" borderId="274" xfId="0" applyFont="1" applyFill="1" applyBorder="1" applyAlignment="1">
      <alignment horizontal="center" vertical="center" wrapText="1"/>
    </xf>
    <xf numFmtId="0" fontId="31" fillId="23" borderId="273" xfId="0" applyFont="1" applyFill="1" applyBorder="1" applyAlignment="1">
      <alignment horizontal="center" vertical="center" wrapText="1"/>
    </xf>
    <xf numFmtId="0" fontId="31" fillId="23" borderId="271" xfId="0" applyFont="1" applyFill="1" applyBorder="1" applyAlignment="1">
      <alignment horizontal="center" vertical="center" wrapText="1"/>
    </xf>
    <xf numFmtId="0" fontId="31" fillId="23" borderId="272" xfId="0" applyFont="1" applyFill="1" applyBorder="1" applyAlignment="1">
      <alignment horizontal="center" vertical="center" wrapText="1"/>
    </xf>
    <xf numFmtId="0" fontId="30" fillId="23" borderId="277" xfId="0" applyFont="1" applyFill="1" applyBorder="1" applyAlignment="1">
      <alignment horizontal="center" vertical="center" textRotation="90" wrapText="1"/>
    </xf>
    <xf numFmtId="0" fontId="30" fillId="23" borderId="277" xfId="0" applyFont="1" applyFill="1" applyBorder="1" applyAlignment="1">
      <alignment horizontal="center" vertical="center" textRotation="90"/>
    </xf>
    <xf numFmtId="0" fontId="30" fillId="23" borderId="280" xfId="0" applyFont="1" applyFill="1" applyBorder="1" applyAlignment="1">
      <alignment horizontal="center" vertical="center" textRotation="90"/>
    </xf>
    <xf numFmtId="0" fontId="31" fillId="23" borderId="302" xfId="0" applyFont="1" applyFill="1" applyBorder="1" applyAlignment="1">
      <alignment horizontal="center" vertical="center" wrapText="1"/>
    </xf>
    <xf numFmtId="0" fontId="21" fillId="15" borderId="230" xfId="0" applyFont="1" applyFill="1" applyBorder="1" applyAlignment="1">
      <alignment horizontal="center" vertical="center" wrapText="1"/>
    </xf>
    <xf numFmtId="0" fontId="21" fillId="15" borderId="224" xfId="0" applyFont="1" applyFill="1" applyBorder="1" applyAlignment="1">
      <alignment horizontal="center" vertical="center" wrapText="1"/>
    </xf>
    <xf numFmtId="0" fontId="21" fillId="15" borderId="231" xfId="0" applyFont="1" applyFill="1" applyBorder="1" applyAlignment="1">
      <alignment horizontal="center" vertical="center" wrapText="1"/>
    </xf>
    <xf numFmtId="0" fontId="21" fillId="15" borderId="165" xfId="0" applyFont="1" applyFill="1" applyBorder="1" applyAlignment="1">
      <alignment horizontal="center" vertical="center" wrapText="1"/>
    </xf>
    <xf numFmtId="0" fontId="5" fillId="2" borderId="163" xfId="0" applyFont="1" applyFill="1" applyBorder="1" applyAlignment="1">
      <alignment horizontal="center" vertical="center"/>
    </xf>
    <xf numFmtId="0" fontId="5" fillId="2" borderId="160" xfId="0" applyFont="1" applyFill="1" applyBorder="1" applyAlignment="1">
      <alignment horizontal="center" vertical="center"/>
    </xf>
    <xf numFmtId="0" fontId="5" fillId="2" borderId="162" xfId="0" applyFont="1" applyFill="1" applyBorder="1" applyAlignment="1">
      <alignment horizontal="center" vertical="center"/>
    </xf>
    <xf numFmtId="0" fontId="5" fillId="2" borderId="161" xfId="0" applyFont="1" applyFill="1" applyBorder="1" applyAlignment="1">
      <alignment horizontal="center" vertical="center"/>
    </xf>
    <xf numFmtId="0" fontId="21" fillId="15" borderId="150" xfId="0" applyFont="1" applyFill="1" applyBorder="1" applyAlignment="1">
      <alignment horizontal="center" vertical="center" wrapText="1"/>
    </xf>
    <xf numFmtId="0" fontId="21" fillId="15" borderId="143" xfId="0" applyFont="1" applyFill="1" applyBorder="1" applyAlignment="1">
      <alignment horizontal="center" vertical="center" wrapText="1"/>
    </xf>
    <xf numFmtId="0" fontId="21" fillId="15" borderId="232" xfId="0" applyFont="1" applyFill="1" applyBorder="1" applyAlignment="1">
      <alignment horizontal="center" vertical="center" wrapText="1"/>
    </xf>
    <xf numFmtId="0" fontId="21" fillId="21" borderId="233" xfId="0" applyFont="1" applyFill="1" applyBorder="1" applyAlignment="1">
      <alignment horizontal="center" vertical="center" wrapText="1"/>
    </xf>
    <xf numFmtId="0" fontId="21" fillId="21" borderId="143" xfId="0" applyFont="1" applyFill="1" applyBorder="1" applyAlignment="1">
      <alignment horizontal="center" vertical="center" wrapText="1"/>
    </xf>
    <xf numFmtId="0" fontId="21" fillId="21" borderId="153" xfId="0" applyFont="1" applyFill="1" applyBorder="1" applyAlignment="1">
      <alignment horizontal="center" vertical="center" wrapText="1"/>
    </xf>
    <xf numFmtId="0" fontId="21" fillId="15" borderId="227"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08" xfId="0" applyFont="1" applyFill="1" applyBorder="1" applyAlignment="1">
      <alignment horizontal="center" vertical="center" wrapText="1"/>
    </xf>
    <xf numFmtId="0" fontId="21" fillId="15" borderId="204" xfId="0" applyFont="1" applyFill="1" applyBorder="1" applyAlignment="1">
      <alignment horizontal="center" vertical="center" wrapText="1"/>
    </xf>
    <xf numFmtId="0" fontId="31" fillId="26" borderId="245" xfId="0" applyFont="1" applyFill="1" applyBorder="1" applyAlignment="1">
      <alignment horizontal="center" vertical="center" wrapText="1"/>
    </xf>
    <xf numFmtId="0" fontId="21" fillId="21" borderId="165" xfId="0" applyFont="1" applyFill="1" applyBorder="1" applyAlignment="1">
      <alignment horizontal="center" vertical="center" wrapText="1"/>
    </xf>
    <xf numFmtId="0" fontId="31" fillId="23" borderId="255" xfId="0" applyFont="1" applyFill="1" applyBorder="1" applyAlignment="1">
      <alignment horizontal="center" vertical="center" wrapText="1"/>
    </xf>
    <xf numFmtId="0" fontId="13" fillId="19" borderId="18" xfId="0" applyFont="1" applyFill="1" applyBorder="1" applyAlignment="1">
      <alignment horizontal="center" vertical="center" wrapText="1"/>
    </xf>
    <xf numFmtId="0" fontId="13" fillId="19" borderId="19" xfId="0" applyFont="1" applyFill="1" applyBorder="1" applyAlignment="1">
      <alignment horizontal="center" vertical="center" wrapText="1"/>
    </xf>
    <xf numFmtId="0" fontId="13" fillId="19" borderId="10"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23" fillId="22" borderId="202" xfId="0" applyFont="1" applyFill="1" applyBorder="1" applyAlignment="1">
      <alignment horizontal="center" vertical="center" wrapText="1"/>
    </xf>
    <xf numFmtId="0" fontId="23" fillId="22" borderId="200" xfId="0" applyFont="1" applyFill="1" applyBorder="1" applyAlignment="1">
      <alignment horizontal="center" vertical="center" wrapText="1"/>
    </xf>
    <xf numFmtId="0" fontId="23" fillId="22" borderId="235" xfId="0" applyFont="1" applyFill="1" applyBorder="1" applyAlignment="1">
      <alignment horizontal="center" vertical="center" wrapText="1"/>
    </xf>
    <xf numFmtId="0" fontId="23" fillId="22" borderId="236" xfId="0" applyFont="1" applyFill="1" applyBorder="1" applyAlignment="1">
      <alignment horizontal="center" vertical="center" wrapText="1"/>
    </xf>
    <xf numFmtId="0" fontId="23" fillId="22" borderId="237" xfId="0" applyFont="1" applyFill="1" applyBorder="1" applyAlignment="1">
      <alignment horizontal="center" vertical="center" wrapText="1"/>
    </xf>
    <xf numFmtId="0" fontId="23" fillId="22" borderId="238" xfId="0" applyFont="1" applyFill="1" applyBorder="1" applyAlignment="1">
      <alignment horizontal="center" vertical="center" wrapText="1"/>
    </xf>
    <xf numFmtId="0" fontId="21" fillId="15" borderId="202" xfId="0" applyFont="1" applyFill="1" applyBorder="1" applyAlignment="1">
      <alignment horizontal="center" vertical="center" wrapText="1"/>
    </xf>
    <xf numFmtId="0" fontId="21" fillId="15" borderId="200" xfId="0" applyFont="1" applyFill="1" applyBorder="1" applyAlignment="1">
      <alignment horizontal="center" vertical="center" wrapText="1"/>
    </xf>
    <xf numFmtId="0" fontId="21" fillId="15" borderId="203" xfId="0" applyFont="1" applyFill="1" applyBorder="1" applyAlignment="1">
      <alignment horizontal="center" vertical="center" wrapText="1"/>
    </xf>
    <xf numFmtId="0" fontId="23" fillId="15" borderId="294" xfId="0" applyFont="1" applyFill="1" applyBorder="1" applyAlignment="1">
      <alignment horizontal="center" vertical="center" textRotation="90" wrapText="1"/>
    </xf>
    <xf numFmtId="0" fontId="23" fillId="22" borderId="234" xfId="0" applyFont="1" applyFill="1" applyBorder="1" applyAlignment="1">
      <alignment horizontal="center" vertical="center" wrapText="1"/>
    </xf>
    <xf numFmtId="0" fontId="23" fillId="15" borderId="147" xfId="0" applyFont="1" applyFill="1" applyBorder="1" applyAlignment="1">
      <alignment horizontal="center" vertical="center" textRotation="90" wrapText="1"/>
    </xf>
    <xf numFmtId="0" fontId="23" fillId="15" borderId="147" xfId="0" applyFont="1" applyFill="1" applyBorder="1" applyAlignment="1">
      <alignment horizontal="center" vertical="center" textRotation="90"/>
    </xf>
    <xf numFmtId="0" fontId="23" fillId="15" borderId="148" xfId="0" applyFont="1" applyFill="1" applyBorder="1" applyAlignment="1">
      <alignment horizontal="center" vertical="center" textRotation="90"/>
    </xf>
    <xf numFmtId="0" fontId="31" fillId="23" borderId="283" xfId="0" applyFont="1" applyFill="1" applyBorder="1" applyAlignment="1">
      <alignment horizontal="center" vertical="center" wrapText="1"/>
    </xf>
    <xf numFmtId="0" fontId="31" fillId="23" borderId="282" xfId="0" applyFont="1" applyFill="1" applyBorder="1" applyAlignment="1">
      <alignment horizontal="center" vertical="center" wrapText="1"/>
    </xf>
    <xf numFmtId="0" fontId="31" fillId="26" borderId="263" xfId="0" applyFont="1" applyFill="1" applyBorder="1" applyAlignment="1">
      <alignment horizontal="center" vertical="center" wrapText="1"/>
    </xf>
    <xf numFmtId="0" fontId="31" fillId="23" borderId="281" xfId="0" applyFont="1" applyFill="1" applyBorder="1" applyAlignment="1">
      <alignment horizontal="center" vertical="center" wrapText="1"/>
    </xf>
    <xf numFmtId="0" fontId="30" fillId="23" borderId="247" xfId="0" applyFont="1" applyFill="1" applyBorder="1" applyAlignment="1">
      <alignment horizontal="center" vertical="center" textRotation="90" wrapText="1"/>
    </xf>
    <xf numFmtId="0" fontId="30" fillId="23" borderId="247" xfId="0" applyFont="1" applyFill="1" applyBorder="1" applyAlignment="1">
      <alignment horizontal="center" vertical="center" textRotation="90"/>
    </xf>
    <xf numFmtId="0" fontId="30" fillId="23" borderId="288" xfId="0" applyFont="1" applyFill="1" applyBorder="1" applyAlignment="1">
      <alignment horizontal="center" vertical="center" textRotation="90"/>
    </xf>
    <xf numFmtId="0" fontId="10" fillId="2" borderId="323" xfId="0" applyFont="1" applyFill="1" applyBorder="1" applyAlignment="1">
      <alignment horizontal="center" vertical="center"/>
    </xf>
    <xf numFmtId="0" fontId="10" fillId="2" borderId="324" xfId="0" applyFont="1" applyFill="1" applyBorder="1" applyAlignment="1">
      <alignment horizontal="center" vertical="center"/>
    </xf>
    <xf numFmtId="0" fontId="12" fillId="14" borderId="27" xfId="0" applyFont="1" applyFill="1" applyBorder="1" applyAlignment="1">
      <alignment horizontal="center" vertical="center" textRotation="90"/>
    </xf>
    <xf numFmtId="0" fontId="12" fillId="14" borderId="28" xfId="0" applyFont="1" applyFill="1" applyBorder="1" applyAlignment="1">
      <alignment horizontal="center" vertical="center" textRotation="90"/>
    </xf>
    <xf numFmtId="0" fontId="12" fillId="14" borderId="29" xfId="0" applyFont="1" applyFill="1" applyBorder="1" applyAlignment="1">
      <alignment horizontal="center" vertical="center" textRotation="90"/>
    </xf>
    <xf numFmtId="0" fontId="12" fillId="14" borderId="45" xfId="0" applyFont="1" applyFill="1" applyBorder="1" applyAlignment="1">
      <alignment horizontal="center" vertical="center" textRotation="90"/>
    </xf>
    <xf numFmtId="0" fontId="5" fillId="14" borderId="35" xfId="0" applyFont="1" applyFill="1" applyBorder="1" applyAlignment="1">
      <alignment horizontal="center" vertical="center" textRotation="90" shrinkToFit="1"/>
    </xf>
    <xf numFmtId="0" fontId="5" fillId="14" borderId="72" xfId="0" applyFont="1" applyFill="1" applyBorder="1" applyAlignment="1">
      <alignment horizontal="center" vertical="center" textRotation="90" shrinkToFit="1"/>
    </xf>
    <xf numFmtId="0" fontId="5" fillId="14" borderId="88" xfId="0" applyFont="1" applyFill="1" applyBorder="1" applyAlignment="1">
      <alignment horizontal="center" vertical="center" textRotation="90" shrinkToFit="1"/>
    </xf>
    <xf numFmtId="0" fontId="12" fillId="14" borderId="37" xfId="0" applyFont="1" applyFill="1" applyBorder="1" applyAlignment="1">
      <alignment horizontal="center" vertical="center" textRotation="90"/>
    </xf>
    <xf numFmtId="0" fontId="12" fillId="14" borderId="38" xfId="0" applyFont="1" applyFill="1" applyBorder="1" applyAlignment="1">
      <alignment horizontal="center" vertical="center" textRotation="90"/>
    </xf>
    <xf numFmtId="0" fontId="12" fillId="14" borderId="89" xfId="0" applyFont="1" applyFill="1" applyBorder="1" applyAlignment="1">
      <alignment horizontal="center" vertical="center" textRotation="90"/>
    </xf>
    <xf numFmtId="0" fontId="13" fillId="2" borderId="84" xfId="0" applyFont="1" applyFill="1" applyBorder="1" applyAlignment="1">
      <alignment horizontal="center"/>
    </xf>
    <xf numFmtId="0" fontId="5" fillId="2" borderId="86" xfId="0" applyFont="1" applyFill="1" applyBorder="1" applyAlignment="1">
      <alignment horizontal="center" vertical="center" wrapText="1"/>
    </xf>
    <xf numFmtId="0" fontId="5" fillId="2" borderId="33" xfId="0" applyFont="1" applyFill="1" applyBorder="1" applyAlignment="1">
      <alignment horizontal="left" vertical="center" wrapText="1"/>
    </xf>
    <xf numFmtId="0" fontId="5" fillId="2" borderId="36" xfId="0" applyFont="1" applyFill="1" applyBorder="1" applyAlignment="1">
      <alignment horizontal="left" vertical="center" wrapText="1"/>
    </xf>
    <xf numFmtId="0" fontId="5" fillId="2" borderId="39" xfId="0" applyFont="1" applyFill="1" applyBorder="1" applyAlignment="1">
      <alignment horizontal="left" vertical="center" wrapText="1"/>
    </xf>
    <xf numFmtId="0" fontId="5" fillId="2" borderId="40" xfId="0" applyFont="1" applyFill="1" applyBorder="1" applyAlignment="1">
      <alignment horizontal="left" vertical="center" wrapText="1"/>
    </xf>
    <xf numFmtId="0" fontId="27" fillId="0" borderId="175" xfId="0" applyFont="1" applyBorder="1"/>
    <xf numFmtId="0" fontId="27" fillId="16" borderId="182" xfId="0" applyFont="1" applyFill="1" applyBorder="1" applyAlignment="1">
      <alignment horizontal="center" vertical="center" wrapText="1"/>
    </xf>
    <xf numFmtId="0" fontId="27" fillId="16" borderId="183" xfId="0" applyFont="1" applyFill="1" applyBorder="1" applyAlignment="1">
      <alignment horizontal="center" vertical="center"/>
    </xf>
    <xf numFmtId="0" fontId="27" fillId="16" borderId="184" xfId="0" applyFont="1" applyFill="1" applyBorder="1" applyAlignment="1">
      <alignment horizontal="center" vertical="center"/>
    </xf>
    <xf numFmtId="0" fontId="27" fillId="16" borderId="195"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196" xfId="0" applyFont="1" applyFill="1" applyBorder="1" applyAlignment="1">
      <alignment horizontal="center" vertical="center"/>
    </xf>
    <xf numFmtId="0" fontId="27" fillId="16" borderId="185" xfId="0" applyFont="1" applyFill="1" applyBorder="1" applyAlignment="1">
      <alignment horizontal="center" vertical="center"/>
    </xf>
    <xf numFmtId="0" fontId="27" fillId="16" borderId="181" xfId="0" applyFont="1" applyFill="1" applyBorder="1" applyAlignment="1">
      <alignment horizontal="center" vertical="center"/>
    </xf>
    <xf numFmtId="0" fontId="27" fillId="16" borderId="186" xfId="0" applyFont="1" applyFill="1" applyBorder="1" applyAlignment="1">
      <alignment horizontal="center" vertical="center"/>
    </xf>
    <xf numFmtId="0" fontId="27" fillId="16" borderId="179" xfId="0" applyFont="1" applyFill="1" applyBorder="1" applyAlignment="1">
      <alignment horizontal="center" vertical="center" wrapText="1"/>
    </xf>
    <xf numFmtId="0" fontId="27" fillId="16" borderId="180" xfId="0" applyFont="1" applyFill="1" applyBorder="1" applyAlignment="1">
      <alignment horizontal="center" vertical="center" wrapText="1"/>
    </xf>
    <xf numFmtId="0" fontId="27" fillId="16" borderId="182" xfId="0" applyFont="1" applyFill="1" applyBorder="1" applyAlignment="1">
      <alignment horizontal="center" vertical="center"/>
    </xf>
    <xf numFmtId="49" fontId="5" fillId="4" borderId="98" xfId="0" applyNumberFormat="1" applyFont="1" applyFill="1" applyBorder="1" applyAlignment="1">
      <alignment horizontal="center" textRotation="90"/>
    </xf>
    <xf numFmtId="49" fontId="5" fillId="4" borderId="8" xfId="0" applyNumberFormat="1" applyFont="1" applyFill="1" applyBorder="1" applyAlignment="1">
      <alignment horizontal="center" textRotation="90"/>
    </xf>
    <xf numFmtId="0" fontId="4" fillId="0" borderId="0" xfId="0" applyFont="1" applyAlignment="1">
      <alignment horizontal="center"/>
    </xf>
    <xf numFmtId="0" fontId="5" fillId="0" borderId="356" xfId="0" applyFont="1" applyBorder="1" applyAlignment="1">
      <alignment horizontal="center"/>
    </xf>
    <xf numFmtId="0" fontId="5" fillId="0" borderId="357" xfId="0" applyFont="1" applyBorder="1" applyAlignment="1">
      <alignment horizontal="center"/>
    </xf>
    <xf numFmtId="0" fontId="17" fillId="0" borderId="350" xfId="0" applyFont="1" applyBorder="1" applyAlignment="1">
      <alignment horizontal="center" textRotation="90"/>
    </xf>
    <xf numFmtId="0" fontId="17" fillId="0" borderId="352" xfId="0" applyFont="1" applyBorder="1" applyAlignment="1">
      <alignment horizontal="center" textRotation="90"/>
    </xf>
    <xf numFmtId="0" fontId="6" fillId="0" borderId="352" xfId="0" applyFont="1" applyBorder="1"/>
    <xf numFmtId="0" fontId="0" fillId="0" borderId="352" xfId="0" applyBorder="1"/>
    <xf numFmtId="0" fontId="6" fillId="34" borderId="352" xfId="0" applyFont="1" applyFill="1" applyBorder="1"/>
    <xf numFmtId="0" fontId="6" fillId="34" borderId="358" xfId="0" applyFont="1" applyFill="1" applyBorder="1"/>
    <xf numFmtId="0" fontId="6" fillId="11" borderId="359" xfId="0" applyFont="1" applyFill="1" applyBorder="1"/>
    <xf numFmtId="0" fontId="6" fillId="11" borderId="360" xfId="0" applyFont="1" applyFill="1" applyBorder="1"/>
    <xf numFmtId="0" fontId="17" fillId="0" borderId="358" xfId="0" applyFont="1" applyBorder="1" applyAlignment="1">
      <alignment horizontal="center" textRotation="90"/>
    </xf>
    <xf numFmtId="0" fontId="5" fillId="0" borderId="361" xfId="0" applyFont="1" applyBorder="1" applyAlignment="1">
      <alignment horizontal="center"/>
    </xf>
    <xf numFmtId="0" fontId="5" fillId="0" borderId="348" xfId="0" applyFont="1" applyBorder="1" applyAlignment="1">
      <alignment horizontal="left"/>
    </xf>
    <xf numFmtId="0" fontId="5" fillId="0" borderId="348" xfId="0" applyFont="1" applyBorder="1" applyAlignment="1">
      <alignment horizontal="center"/>
    </xf>
    <xf numFmtId="0" fontId="5" fillId="0" borderId="362" xfId="0" applyFont="1" applyBorder="1" applyAlignment="1">
      <alignment horizontal="center" textRotation="90"/>
    </xf>
    <xf numFmtId="0" fontId="5" fillId="3" borderId="363" xfId="0" applyFont="1" applyFill="1" applyBorder="1" applyAlignment="1">
      <alignment horizontal="center" textRotation="90"/>
    </xf>
    <xf numFmtId="49" fontId="5" fillId="4" borderId="364" xfId="0" applyNumberFormat="1" applyFont="1" applyFill="1" applyBorder="1" applyAlignment="1">
      <alignment horizontal="center" textRotation="90" shrinkToFit="1"/>
    </xf>
    <xf numFmtId="49" fontId="5" fillId="4" borderId="365" xfId="0" applyNumberFormat="1" applyFont="1" applyFill="1" applyBorder="1" applyAlignment="1">
      <alignment horizontal="center" textRotation="90"/>
    </xf>
    <xf numFmtId="0" fontId="5" fillId="33" borderId="366" xfId="0" applyFont="1" applyFill="1" applyBorder="1" applyAlignment="1">
      <alignment horizontal="center" textRotation="90"/>
    </xf>
    <xf numFmtId="0" fontId="5" fillId="33" borderId="348" xfId="0" applyFont="1" applyFill="1" applyBorder="1" applyAlignment="1">
      <alignment horizontal="center" textRotation="90" wrapText="1"/>
    </xf>
    <xf numFmtId="0" fontId="5" fillId="33" borderId="367" xfId="0" applyFont="1" applyFill="1" applyBorder="1" applyAlignment="1">
      <alignment horizontal="center" textRotation="90" wrapText="1"/>
    </xf>
    <xf numFmtId="0" fontId="5" fillId="35" borderId="346" xfId="0" applyFont="1" applyFill="1" applyBorder="1" applyAlignment="1">
      <alignment horizontal="left"/>
    </xf>
    <xf numFmtId="0" fontId="6" fillId="0" borderId="327" xfId="0" applyFont="1" applyBorder="1" applyAlignment="1">
      <alignment horizontal="center"/>
    </xf>
    <xf numFmtId="0" fontId="6" fillId="0" borderId="368" xfId="0" applyFont="1" applyBorder="1"/>
    <xf numFmtId="0" fontId="6" fillId="0" borderId="368" xfId="0" applyFont="1" applyBorder="1" applyAlignment="1">
      <alignment horizontal="center"/>
    </xf>
    <xf numFmtId="0" fontId="6" fillId="0" borderId="369" xfId="0" applyFont="1" applyBorder="1" applyAlignment="1">
      <alignment horizontal="center"/>
    </xf>
    <xf numFmtId="0" fontId="6" fillId="0" borderId="369" xfId="0" applyFont="1" applyBorder="1"/>
    <xf numFmtId="0" fontId="6" fillId="29" borderId="370" xfId="0" applyFont="1" applyFill="1" applyBorder="1" applyAlignment="1">
      <alignment horizontal="center"/>
    </xf>
    <xf numFmtId="0" fontId="6" fillId="34" borderId="0" xfId="0" applyFont="1" applyFill="1"/>
    <xf numFmtId="0" fontId="6" fillId="29" borderId="371" xfId="0" applyFont="1" applyFill="1" applyBorder="1" applyAlignment="1">
      <alignment horizontal="center"/>
    </xf>
    <xf numFmtId="49" fontId="6" fillId="27" borderId="372" xfId="0" applyNumberFormat="1" applyFont="1" applyFill="1" applyBorder="1" applyAlignment="1">
      <alignment horizontal="center"/>
    </xf>
    <xf numFmtId="49" fontId="6" fillId="27" borderId="97" xfId="0" applyNumberFormat="1" applyFont="1" applyFill="1" applyBorder="1" applyAlignment="1">
      <alignment horizontal="center"/>
    </xf>
    <xf numFmtId="0" fontId="5" fillId="0" borderId="0" xfId="0" applyFont="1" applyBorder="1" applyAlignment="1">
      <alignment horizontal="center"/>
    </xf>
    <xf numFmtId="0" fontId="12" fillId="2" borderId="21" xfId="0" applyFont="1" applyFill="1" applyBorder="1" applyAlignment="1">
      <alignment horizontal="center" vertical="center" textRotation="90"/>
    </xf>
    <xf numFmtId="0" fontId="5" fillId="0" borderId="11" xfId="0" applyFont="1" applyBorder="1"/>
    <xf numFmtId="0" fontId="6" fillId="3" borderId="373" xfId="0" applyFont="1" applyFill="1" applyBorder="1" applyAlignment="1">
      <alignment horizontal="center"/>
    </xf>
    <xf numFmtId="49" fontId="6" fillId="4" borderId="374" xfId="0" applyNumberFormat="1" applyFont="1" applyFill="1" applyBorder="1" applyAlignment="1">
      <alignment horizontal="center"/>
    </xf>
    <xf numFmtId="49" fontId="6" fillId="4" borderId="375" xfId="0" applyNumberFormat="1" applyFont="1" applyFill="1" applyBorder="1" applyAlignment="1">
      <alignment horizontal="center"/>
    </xf>
    <xf numFmtId="0" fontId="12" fillId="2" borderId="376" xfId="0" applyFont="1" applyFill="1" applyBorder="1" applyAlignment="1">
      <alignment horizontal="center" vertical="center" textRotation="90" wrapText="1"/>
    </xf>
    <xf numFmtId="164" fontId="12" fillId="2" borderId="377" xfId="0" applyNumberFormat="1" applyFont="1" applyFill="1" applyBorder="1" applyAlignment="1">
      <alignment horizontal="center" vertical="center" textRotation="90"/>
    </xf>
    <xf numFmtId="0" fontId="12" fillId="2" borderId="376" xfId="0" applyFont="1" applyFill="1" applyBorder="1" applyAlignment="1">
      <alignment horizontal="center" vertical="center" textRotation="90"/>
    </xf>
    <xf numFmtId="0" fontId="12" fillId="2" borderId="378" xfId="0" applyFont="1" applyFill="1" applyBorder="1" applyAlignment="1">
      <alignment horizontal="center" vertical="center" textRotation="90"/>
    </xf>
    <xf numFmtId="164" fontId="12" fillId="2" borderId="379" xfId="0" applyNumberFormat="1" applyFont="1" applyFill="1" applyBorder="1" applyAlignment="1">
      <alignment horizontal="center" vertical="center" textRotation="90"/>
    </xf>
    <xf numFmtId="0" fontId="5" fillId="0" borderId="350" xfId="0" applyFont="1" applyBorder="1"/>
    <xf numFmtId="0" fontId="6" fillId="10" borderId="333" xfId="0" applyFont="1" applyFill="1" applyBorder="1"/>
    <xf numFmtId="0" fontId="6" fillId="0" borderId="333" xfId="0" applyFont="1" applyBorder="1" applyAlignment="1">
      <alignment horizontal="center"/>
    </xf>
    <xf numFmtId="0" fontId="6" fillId="0" borderId="333" xfId="0" applyFont="1" applyBorder="1"/>
    <xf numFmtId="0" fontId="6" fillId="4" borderId="326" xfId="0" applyFont="1" applyFill="1" applyBorder="1"/>
    <xf numFmtId="0" fontId="6" fillId="0" borderId="326" xfId="0" applyFont="1" applyBorder="1" applyAlignment="1">
      <alignment horizontal="center"/>
    </xf>
    <xf numFmtId="0" fontId="6" fillId="0" borderId="326" xfId="0" applyFont="1" applyBorder="1"/>
    <xf numFmtId="0" fontId="0" fillId="0" borderId="353" xfId="0" applyBorder="1"/>
    <xf numFmtId="0" fontId="6" fillId="10" borderId="326" xfId="0" applyFont="1" applyFill="1" applyBorder="1"/>
    <xf numFmtId="0" fontId="0" fillId="34" borderId="352" xfId="0" applyFill="1" applyBorder="1"/>
    <xf numFmtId="0" fontId="6" fillId="9" borderId="326" xfId="0" applyFont="1" applyFill="1" applyBorder="1" applyAlignment="1">
      <alignment horizontal="center"/>
    </xf>
    <xf numFmtId="0" fontId="6" fillId="9" borderId="326" xfId="0" applyFont="1" applyFill="1" applyBorder="1"/>
    <xf numFmtId="0" fontId="6" fillId="9" borderId="353" xfId="0" applyFont="1" applyFill="1" applyBorder="1" applyAlignment="1">
      <alignment horizontal="center"/>
    </xf>
    <xf numFmtId="0" fontId="6" fillId="0" borderId="326" xfId="0" applyFont="1" applyBorder="1" applyAlignment="1">
      <alignment horizontal="center" shrinkToFit="1"/>
    </xf>
    <xf numFmtId="0" fontId="6" fillId="9" borderId="326" xfId="0" applyFont="1" applyFill="1" applyBorder="1" applyAlignment="1">
      <alignment horizontal="center" shrinkToFit="1"/>
    </xf>
    <xf numFmtId="0" fontId="6" fillId="0" borderId="358" xfId="0" applyFont="1" applyBorder="1"/>
    <xf numFmtId="0" fontId="6" fillId="10" borderId="348" xfId="0" applyFont="1" applyFill="1" applyBorder="1"/>
    <xf numFmtId="0" fontId="6" fillId="0" borderId="348" xfId="0" applyFont="1" applyBorder="1" applyAlignment="1">
      <alignment horizontal="center"/>
    </xf>
    <xf numFmtId="0" fontId="6" fillId="0" borderId="348" xfId="0" applyFont="1" applyBorder="1"/>
    <xf numFmtId="0" fontId="6" fillId="0" borderId="362" xfId="0" applyFont="1" applyBorder="1" applyAlignment="1">
      <alignment horizontal="center"/>
    </xf>
    <xf numFmtId="164" fontId="6" fillId="2" borderId="7" xfId="0" applyNumberFormat="1" applyFont="1" applyFill="1" applyBorder="1" applyAlignment="1">
      <alignment horizontal="center"/>
    </xf>
    <xf numFmtId="0" fontId="27" fillId="0" borderId="380" xfId="0" applyFont="1" applyBorder="1" applyAlignment="1">
      <alignment horizontal="center" vertical="center"/>
    </xf>
    <xf numFmtId="0" fontId="27" fillId="0" borderId="381" xfId="0" applyFont="1" applyBorder="1"/>
    <xf numFmtId="0" fontId="27" fillId="0" borderId="382" xfId="0" applyFont="1" applyBorder="1"/>
    <xf numFmtId="0" fontId="27" fillId="0" borderId="383" xfId="0" applyFont="1" applyBorder="1"/>
    <xf numFmtId="0" fontId="27" fillId="0" borderId="384" xfId="0" applyFont="1" applyBorder="1"/>
    <xf numFmtId="0" fontId="27" fillId="0" borderId="385" xfId="0" applyFont="1" applyBorder="1"/>
    <xf numFmtId="0" fontId="27" fillId="0" borderId="386" xfId="0" applyFont="1" applyBorder="1"/>
    <xf numFmtId="0" fontId="27" fillId="0" borderId="387" xfId="0" applyFont="1" applyBorder="1"/>
    <xf numFmtId="0" fontId="27" fillId="0" borderId="388" xfId="0" applyFont="1" applyBorder="1"/>
    <xf numFmtId="0" fontId="6" fillId="3" borderId="389" xfId="0" applyFont="1" applyFill="1" applyBorder="1" applyAlignment="1">
      <alignment horizontal="center"/>
    </xf>
    <xf numFmtId="49" fontId="6" fillId="4" borderId="390" xfId="0" applyNumberFormat="1" applyFont="1" applyFill="1" applyBorder="1" applyAlignment="1">
      <alignment horizontal="center"/>
    </xf>
    <xf numFmtId="49" fontId="6" fillId="4" borderId="391" xfId="0" applyNumberFormat="1" applyFont="1" applyFill="1" applyBorder="1" applyAlignment="1">
      <alignment horizontal="center"/>
    </xf>
    <xf numFmtId="0" fontId="6" fillId="2" borderId="392" xfId="0" applyFont="1" applyFill="1" applyBorder="1" applyAlignment="1">
      <alignment horizontal="center"/>
    </xf>
    <xf numFmtId="164" fontId="6" fillId="2" borderId="393" xfId="0" applyNumberFormat="1" applyFont="1" applyFill="1" applyBorder="1" applyAlignment="1">
      <alignment horizontal="center"/>
    </xf>
    <xf numFmtId="0" fontId="6" fillId="2" borderId="394" xfId="0" applyFont="1" applyFill="1" applyBorder="1" applyAlignment="1">
      <alignment horizontal="center"/>
    </xf>
    <xf numFmtId="0" fontId="6" fillId="0" borderId="357" xfId="0" applyFont="1" applyBorder="1"/>
    <xf numFmtId="0" fontId="0" fillId="0" borderId="357" xfId="0" applyBorder="1"/>
    <xf numFmtId="0" fontId="0" fillId="34" borderId="357" xfId="0" applyFill="1" applyBorder="1"/>
    <xf numFmtId="0" fontId="6" fillId="34" borderId="357" xfId="0" applyFont="1" applyFill="1" applyBorder="1"/>
    <xf numFmtId="0" fontId="6" fillId="0" borderId="353" xfId="0" applyFont="1" applyBorder="1"/>
    <xf numFmtId="0" fontId="6" fillId="34" borderId="361" xfId="0" applyFont="1" applyFill="1" applyBorder="1"/>
    <xf numFmtId="0" fontId="6" fillId="4" borderId="348" xfId="0" applyFont="1" applyFill="1" applyBorder="1"/>
    <xf numFmtId="0" fontId="6" fillId="0" borderId="362" xfId="0" applyFont="1" applyBorder="1"/>
    <xf numFmtId="0" fontId="5" fillId="0" borderId="356" xfId="0" applyFont="1" applyBorder="1"/>
    <xf numFmtId="0" fontId="6" fillId="9" borderId="326" xfId="0" applyFont="1" applyFill="1" applyBorder="1" applyAlignment="1">
      <alignment horizontal="left"/>
    </xf>
    <xf numFmtId="0" fontId="6" fillId="9" borderId="353" xfId="0" applyFont="1" applyFill="1" applyBorder="1" applyAlignment="1">
      <alignment horizontal="left"/>
    </xf>
    <xf numFmtId="0" fontId="6" fillId="0" borderId="326" xfId="0" applyFont="1" applyBorder="1" applyAlignment="1">
      <alignment horizontal="left"/>
    </xf>
    <xf numFmtId="49" fontId="6" fillId="4" borderId="395" xfId="0" applyNumberFormat="1" applyFont="1" applyFill="1" applyBorder="1" applyAlignment="1">
      <alignment horizontal="center"/>
    </xf>
    <xf numFmtId="49" fontId="6" fillId="4" borderId="396" xfId="0" applyNumberFormat="1" applyFont="1" applyFill="1" applyBorder="1" applyAlignment="1">
      <alignment horizontal="center"/>
    </xf>
    <xf numFmtId="0" fontId="6" fillId="2" borderId="397" xfId="0" applyFont="1" applyFill="1" applyBorder="1" applyAlignment="1">
      <alignment horizontal="center"/>
    </xf>
    <xf numFmtId="164" fontId="6" fillId="2" borderId="398" xfId="0" applyNumberFormat="1" applyFont="1" applyFill="1" applyBorder="1" applyAlignment="1">
      <alignment horizontal="center"/>
    </xf>
    <xf numFmtId="0" fontId="6" fillId="2" borderId="399" xfId="0" applyFont="1" applyFill="1" applyBorder="1" applyAlignment="1">
      <alignment horizontal="center"/>
    </xf>
    <xf numFmtId="0" fontId="6" fillId="2" borderId="400" xfId="0" applyFont="1" applyFill="1" applyBorder="1" applyAlignment="1">
      <alignment horizontal="center"/>
    </xf>
    <xf numFmtId="164" fontId="6" fillId="2" borderId="401" xfId="0" applyNumberFormat="1" applyFont="1" applyFill="1" applyBorder="1" applyAlignment="1">
      <alignment horizontal="center"/>
    </xf>
    <xf numFmtId="0" fontId="6" fillId="2" borderId="402" xfId="0" applyFont="1" applyFill="1" applyBorder="1" applyAlignment="1">
      <alignment horizontal="center"/>
    </xf>
    <xf numFmtId="0" fontId="6" fillId="3" borderId="403" xfId="0" applyFont="1" applyFill="1" applyBorder="1" applyAlignment="1">
      <alignment horizontal="center"/>
    </xf>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right" vertical="center"/>
    </xf>
    <xf numFmtId="0" fontId="5" fillId="3" borderId="52" xfId="0" applyFont="1" applyFill="1" applyBorder="1" applyAlignment="1">
      <alignment horizontal="center" vertical="center"/>
    </xf>
    <xf numFmtId="0" fontId="5" fillId="7" borderId="54" xfId="0" applyFont="1" applyFill="1" applyBorder="1" applyAlignment="1">
      <alignment horizontal="center" vertical="center"/>
    </xf>
    <xf numFmtId="0" fontId="5" fillId="6" borderId="55" xfId="0" applyFont="1" applyFill="1" applyBorder="1" applyAlignment="1">
      <alignment horizontal="center" vertical="center"/>
    </xf>
    <xf numFmtId="0" fontId="9" fillId="6" borderId="41" xfId="0" applyFont="1" applyFill="1" applyBorder="1" applyAlignment="1">
      <alignment horizontal="center" vertical="center"/>
    </xf>
    <xf numFmtId="164" fontId="9" fillId="6" borderId="42" xfId="0" applyNumberFormat="1" applyFont="1" applyFill="1" applyBorder="1" applyAlignment="1">
      <alignment horizontal="center" vertical="center"/>
    </xf>
    <xf numFmtId="0" fontId="5" fillId="3" borderId="46" xfId="0" applyFont="1" applyFill="1" applyBorder="1" applyAlignment="1">
      <alignment horizontal="center" vertical="center"/>
    </xf>
    <xf numFmtId="0" fontId="17" fillId="9" borderId="56" xfId="0" applyFont="1" applyFill="1" applyBorder="1" applyAlignment="1">
      <alignment horizontal="center" vertical="center"/>
    </xf>
    <xf numFmtId="0" fontId="5" fillId="8" borderId="57" xfId="0" applyFont="1" applyFill="1" applyBorder="1" applyAlignment="1">
      <alignment horizontal="center" vertical="center"/>
    </xf>
    <xf numFmtId="0" fontId="9" fillId="6" borderId="13" xfId="0" applyFont="1" applyFill="1" applyBorder="1" applyAlignment="1">
      <alignment horizontal="center" vertical="center"/>
    </xf>
    <xf numFmtId="164" fontId="9" fillId="6" borderId="44" xfId="0" applyNumberFormat="1" applyFont="1" applyFill="1" applyBorder="1" applyAlignment="1">
      <alignment horizontal="center" vertical="center"/>
    </xf>
    <xf numFmtId="0" fontId="5" fillId="0" borderId="404" xfId="0" applyFont="1" applyBorder="1"/>
    <xf numFmtId="0" fontId="6" fillId="2" borderId="405" xfId="0" applyFont="1" applyFill="1" applyBorder="1" applyAlignment="1">
      <alignment horizontal="center"/>
    </xf>
    <xf numFmtId="164" fontId="6" fillId="2" borderId="406" xfId="0" applyNumberFormat="1" applyFont="1" applyFill="1" applyBorder="1" applyAlignment="1">
      <alignment horizontal="center"/>
    </xf>
    <xf numFmtId="0" fontId="6" fillId="14" borderId="405" xfId="0" applyFont="1" applyFill="1" applyBorder="1" applyAlignment="1">
      <alignment horizontal="center"/>
    </xf>
    <xf numFmtId="0" fontId="6" fillId="14" borderId="406" xfId="0" applyFont="1" applyFill="1" applyBorder="1" applyAlignment="1">
      <alignment horizontal="center"/>
    </xf>
    <xf numFmtId="0" fontId="6" fillId="2" borderId="407" xfId="0" applyFont="1" applyFill="1" applyBorder="1" applyAlignment="1">
      <alignment horizontal="center"/>
    </xf>
    <xf numFmtId="0" fontId="6" fillId="36" borderId="352" xfId="0" applyFont="1" applyFill="1" applyBorder="1"/>
    <xf numFmtId="0" fontId="6" fillId="27" borderId="326" xfId="0" applyFont="1" applyFill="1" applyBorder="1"/>
    <xf numFmtId="0" fontId="12" fillId="14" borderId="376" xfId="0" applyFont="1" applyFill="1" applyBorder="1" applyAlignment="1">
      <alignment horizontal="center" vertical="center" textRotation="90"/>
    </xf>
    <xf numFmtId="0" fontId="6" fillId="14" borderId="408" xfId="0" applyFont="1" applyFill="1" applyBorder="1" applyAlignment="1">
      <alignment horizontal="center"/>
    </xf>
    <xf numFmtId="0" fontId="12" fillId="14" borderId="377" xfId="0" applyFont="1" applyFill="1" applyBorder="1" applyAlignment="1">
      <alignment horizontal="center" vertical="center" textRotation="90"/>
    </xf>
    <xf numFmtId="0" fontId="17" fillId="3" borderId="52" xfId="0" applyFont="1" applyFill="1" applyBorder="1" applyAlignment="1">
      <alignment horizontal="center" vertical="center"/>
    </xf>
    <xf numFmtId="0" fontId="17" fillId="7" borderId="54" xfId="0" applyFont="1" applyFill="1" applyBorder="1" applyAlignment="1">
      <alignment horizontal="center" vertical="center"/>
    </xf>
    <xf numFmtId="0" fontId="17" fillId="6" borderId="55" xfId="0" applyFont="1" applyFill="1" applyBorder="1" applyAlignment="1">
      <alignment horizontal="center" vertical="center"/>
    </xf>
    <xf numFmtId="1" fontId="17" fillId="7" borderId="54" xfId="0" applyNumberFormat="1" applyFont="1" applyFill="1" applyBorder="1" applyAlignment="1">
      <alignment horizontal="center" vertical="center"/>
    </xf>
    <xf numFmtId="2" fontId="17" fillId="6" borderId="55" xfId="0" applyNumberFormat="1" applyFont="1" applyFill="1" applyBorder="1" applyAlignment="1">
      <alignment horizontal="center" vertical="center"/>
    </xf>
    <xf numFmtId="0" fontId="17" fillId="3" borderId="46" xfId="0" applyFont="1" applyFill="1" applyBorder="1" applyAlignment="1">
      <alignment horizontal="center" vertical="center"/>
    </xf>
    <xf numFmtId="0" fontId="17" fillId="8" borderId="57" xfId="0" applyFont="1" applyFill="1" applyBorder="1" applyAlignment="1">
      <alignment horizontal="center" vertical="center"/>
    </xf>
    <xf numFmtId="1" fontId="17" fillId="9" borderId="56" xfId="0" applyNumberFormat="1" applyFont="1" applyFill="1" applyBorder="1" applyAlignment="1">
      <alignment horizontal="center" vertical="center"/>
    </xf>
    <xf numFmtId="0" fontId="17" fillId="8" borderId="57" xfId="0" applyNumberFormat="1" applyFont="1" applyFill="1" applyBorder="1" applyAlignment="1">
      <alignment horizontal="center" vertical="center"/>
    </xf>
    <xf numFmtId="164" fontId="17" fillId="8" borderId="57" xfId="0" applyNumberFormat="1" applyFont="1" applyFill="1" applyBorder="1" applyAlignment="1">
      <alignment horizontal="center" vertical="center"/>
    </xf>
    <xf numFmtId="0" fontId="6" fillId="0" borderId="350" xfId="0" applyFont="1" applyBorder="1"/>
    <xf numFmtId="0" fontId="6" fillId="31" borderId="326" xfId="0" applyFont="1" applyFill="1" applyBorder="1"/>
    <xf numFmtId="0" fontId="6" fillId="32" borderId="326" xfId="0" applyFont="1" applyFill="1" applyBorder="1"/>
    <xf numFmtId="0" fontId="33" fillId="0" borderId="353" xfId="0" applyFont="1" applyBorder="1"/>
    <xf numFmtId="0" fontId="6" fillId="0" borderId="0" xfId="0" applyFont="1" applyAlignment="1">
      <alignment vertical="center"/>
    </xf>
    <xf numFmtId="0" fontId="6" fillId="6" borderId="14" xfId="0" applyFont="1" applyFill="1" applyBorder="1" applyAlignment="1">
      <alignment horizontal="center"/>
    </xf>
    <xf numFmtId="164" fontId="6" fillId="6" borderId="24" xfId="0" applyNumberFormat="1" applyFont="1" applyFill="1" applyBorder="1" applyAlignment="1">
      <alignment horizontal="center"/>
    </xf>
    <xf numFmtId="0" fontId="6" fillId="6" borderId="25" xfId="0" applyFont="1" applyFill="1" applyBorder="1" applyAlignment="1">
      <alignment horizontal="center"/>
    </xf>
    <xf numFmtId="0" fontId="6" fillId="4" borderId="333" xfId="0" applyFont="1" applyFill="1" applyBorder="1"/>
    <xf numFmtId="0" fontId="6" fillId="11" borderId="333" xfId="0" applyFont="1" applyFill="1" applyBorder="1"/>
    <xf numFmtId="0" fontId="6" fillId="9" borderId="348" xfId="0" applyFont="1" applyFill="1" applyBorder="1" applyAlignment="1">
      <alignment horizontal="center" shrinkToFit="1"/>
    </xf>
    <xf numFmtId="0" fontId="6" fillId="9" borderId="348" xfId="0" applyFont="1" applyFill="1" applyBorder="1"/>
    <xf numFmtId="0" fontId="6" fillId="9" borderId="348" xfId="0" applyFont="1" applyFill="1" applyBorder="1" applyAlignment="1">
      <alignment horizontal="center"/>
    </xf>
    <xf numFmtId="0" fontId="6" fillId="9" borderId="362" xfId="0" applyFont="1" applyFill="1" applyBorder="1" applyAlignment="1">
      <alignment horizontal="center"/>
    </xf>
    <xf numFmtId="0" fontId="6" fillId="2" borderId="408" xfId="0" applyFont="1" applyFill="1" applyBorder="1" applyAlignment="1">
      <alignment horizontal="center"/>
    </xf>
    <xf numFmtId="164" fontId="6" fillId="2" borderId="409" xfId="0" applyNumberFormat="1" applyFont="1" applyFill="1" applyBorder="1" applyAlignment="1">
      <alignment horizontal="center"/>
    </xf>
    <xf numFmtId="49" fontId="6" fillId="4" borderId="410" xfId="0" applyNumberFormat="1" applyFont="1" applyFill="1" applyBorder="1" applyAlignment="1">
      <alignment horizontal="center"/>
    </xf>
    <xf numFmtId="0" fontId="12" fillId="2" borderId="411" xfId="0" applyFont="1" applyFill="1" applyBorder="1" applyAlignment="1">
      <alignment horizontal="center" vertical="center" textRotation="90"/>
    </xf>
  </cellXfs>
  <cellStyles count="7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8ABCC2"/>
      <color rgb="FFAFD0FF"/>
      <color rgb="FF7E98D5"/>
      <color rgb="FFE4FEFF"/>
      <color rgb="FFCDFBFF"/>
      <color rgb="FFB7F6FF"/>
      <color rgb="FF7BB64F"/>
      <color rgb="FFAAFB70"/>
      <color rgb="FFC9FDBA"/>
      <color rgb="FFC4FCA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70"/>
  <sheetViews>
    <sheetView tabSelected="1" showRuler="0" workbookViewId="0"/>
  </sheetViews>
  <sheetFormatPr baseColWidth="10" defaultRowHeight="16" x14ac:dyDescent="0.2"/>
  <cols>
    <col min="1" max="1" width="5" style="21" customWidth="1"/>
    <col min="2" max="2" width="14.1640625" style="22" customWidth="1"/>
    <col min="3" max="3" width="112" style="21" customWidth="1"/>
    <col min="4" max="4" width="22.6640625" style="21" customWidth="1"/>
    <col min="5" max="7" width="7.33203125" style="22" customWidth="1"/>
    <col min="8" max="8" width="8.33203125" style="23" customWidth="1"/>
    <col min="9" max="9" width="9.5" style="23" customWidth="1"/>
    <col min="10" max="15" width="6.6640625" style="21" customWidth="1"/>
    <col min="16" max="16" width="65" style="21" customWidth="1"/>
    <col min="17" max="16384" width="10.83203125" style="21"/>
  </cols>
  <sheetData>
    <row r="1" spans="1:17" ht="20" customHeight="1" thickBot="1" x14ac:dyDescent="0.25"/>
    <row r="2" spans="1:17" ht="20" customHeight="1" x14ac:dyDescent="0.2">
      <c r="A2" s="676" t="s">
        <v>597</v>
      </c>
      <c r="B2" s="674" t="s">
        <v>20</v>
      </c>
      <c r="C2" s="290" t="s">
        <v>21</v>
      </c>
      <c r="D2" s="290" t="s">
        <v>22</v>
      </c>
      <c r="E2" s="288" t="s">
        <v>23</v>
      </c>
      <c r="F2" s="310"/>
      <c r="G2" s="306"/>
      <c r="H2" s="300"/>
      <c r="I2" s="301"/>
      <c r="J2" s="266"/>
      <c r="K2" s="262"/>
      <c r="L2" s="267"/>
      <c r="M2" s="267"/>
      <c r="N2" s="268"/>
      <c r="O2" s="268"/>
      <c r="P2" s="308" t="s">
        <v>25</v>
      </c>
    </row>
    <row r="3" spans="1:17" ht="20" customHeight="1" x14ac:dyDescent="0.2">
      <c r="A3" s="677"/>
      <c r="B3" s="675"/>
      <c r="C3" s="291"/>
      <c r="D3" s="291"/>
      <c r="E3" s="289"/>
      <c r="F3" s="311"/>
      <c r="G3" s="293"/>
      <c r="H3" s="302"/>
      <c r="I3" s="303"/>
      <c r="J3" s="252"/>
      <c r="K3" s="253"/>
      <c r="L3" s="253"/>
      <c r="M3" s="253"/>
      <c r="N3" s="254"/>
      <c r="O3" s="254"/>
      <c r="P3" s="309"/>
    </row>
    <row r="4" spans="1:17" ht="20" customHeight="1" thickBot="1" x14ac:dyDescent="0.25">
      <c r="A4" s="677"/>
      <c r="B4" s="675"/>
      <c r="C4" s="291"/>
      <c r="D4" s="291"/>
      <c r="E4" s="289"/>
      <c r="F4" s="311"/>
      <c r="G4" s="307"/>
      <c r="H4" s="304"/>
      <c r="I4" s="305"/>
      <c r="J4" s="269"/>
      <c r="K4" s="270"/>
      <c r="L4" s="270"/>
      <c r="M4" s="270"/>
      <c r="N4" s="271"/>
      <c r="O4" s="271"/>
      <c r="P4" s="309"/>
    </row>
    <row r="5" spans="1:17" ht="20" customHeight="1" x14ac:dyDescent="0.2">
      <c r="A5" s="677"/>
      <c r="B5" s="675"/>
      <c r="C5" s="291"/>
      <c r="D5" s="291"/>
      <c r="E5" s="289"/>
      <c r="F5" s="292" t="s">
        <v>24</v>
      </c>
      <c r="G5" s="293" t="s">
        <v>322</v>
      </c>
      <c r="H5" s="294" t="s">
        <v>320</v>
      </c>
      <c r="I5" s="295" t="s">
        <v>321</v>
      </c>
      <c r="J5" s="312" t="s">
        <v>245</v>
      </c>
      <c r="K5" s="296" t="s">
        <v>479</v>
      </c>
      <c r="L5" s="296" t="s">
        <v>590</v>
      </c>
      <c r="M5" s="296" t="s">
        <v>591</v>
      </c>
      <c r="N5" s="298" t="s">
        <v>592</v>
      </c>
      <c r="O5" s="298" t="s">
        <v>594</v>
      </c>
      <c r="P5" s="309"/>
      <c r="Q5" s="47"/>
    </row>
    <row r="6" spans="1:17" ht="23" customHeight="1" x14ac:dyDescent="0.2">
      <c r="A6" s="677"/>
      <c r="B6" s="675"/>
      <c r="C6" s="291"/>
      <c r="D6" s="291"/>
      <c r="E6" s="289"/>
      <c r="F6" s="292"/>
      <c r="G6" s="293"/>
      <c r="H6" s="294"/>
      <c r="I6" s="295"/>
      <c r="J6" s="313"/>
      <c r="K6" s="297"/>
      <c r="L6" s="297"/>
      <c r="M6" s="297"/>
      <c r="N6" s="299"/>
      <c r="O6" s="299"/>
      <c r="P6" s="309"/>
      <c r="Q6" s="47"/>
    </row>
    <row r="7" spans="1:17" ht="23" customHeight="1" x14ac:dyDescent="0.2">
      <c r="A7" s="677"/>
      <c r="B7" s="675"/>
      <c r="C7" s="291"/>
      <c r="D7" s="291"/>
      <c r="E7" s="289"/>
      <c r="F7" s="292"/>
      <c r="G7" s="293"/>
      <c r="H7" s="294"/>
      <c r="I7" s="295"/>
      <c r="J7" s="313"/>
      <c r="K7" s="297"/>
      <c r="L7" s="297"/>
      <c r="M7" s="297"/>
      <c r="N7" s="299"/>
      <c r="O7" s="299"/>
      <c r="P7" s="309"/>
      <c r="Q7" s="47"/>
    </row>
    <row r="8" spans="1:17" ht="23" customHeight="1" x14ac:dyDescent="0.2">
      <c r="A8" s="677"/>
      <c r="B8" s="675"/>
      <c r="C8" s="291"/>
      <c r="D8" s="291"/>
      <c r="E8" s="289"/>
      <c r="F8" s="292"/>
      <c r="G8" s="293"/>
      <c r="H8" s="294"/>
      <c r="I8" s="295"/>
      <c r="J8" s="313"/>
      <c r="K8" s="297"/>
      <c r="L8" s="297"/>
      <c r="M8" s="297"/>
      <c r="N8" s="299"/>
      <c r="O8" s="299"/>
      <c r="P8" s="309"/>
      <c r="Q8" s="47"/>
    </row>
    <row r="9" spans="1:17" s="20" customFormat="1" ht="23" customHeight="1" thickBot="1" x14ac:dyDescent="0.25">
      <c r="A9" s="684"/>
      <c r="B9" s="685"/>
      <c r="C9" s="686"/>
      <c r="D9" s="686"/>
      <c r="E9" s="687"/>
      <c r="F9" s="688"/>
      <c r="G9" s="689"/>
      <c r="H9" s="690"/>
      <c r="I9" s="691"/>
      <c r="J9" s="692"/>
      <c r="K9" s="693"/>
      <c r="L9" s="693"/>
      <c r="M9" s="693"/>
      <c r="N9" s="694"/>
      <c r="O9" s="694"/>
      <c r="P9" s="695"/>
      <c r="Q9" s="47"/>
    </row>
    <row r="10" spans="1:17" s="20" customFormat="1" ht="20" customHeight="1" x14ac:dyDescent="0.2">
      <c r="A10" s="717"/>
      <c r="B10" s="719" t="s">
        <v>85</v>
      </c>
      <c r="C10" s="720" t="s">
        <v>246</v>
      </c>
      <c r="D10" s="720" t="s">
        <v>247</v>
      </c>
      <c r="E10" s="719">
        <v>2015</v>
      </c>
      <c r="F10" s="286"/>
      <c r="G10" s="81">
        <v>40</v>
      </c>
      <c r="H10" s="76" t="s">
        <v>323</v>
      </c>
      <c r="I10" s="77" t="s">
        <v>324</v>
      </c>
      <c r="J10" s="272"/>
      <c r="K10" s="273"/>
      <c r="L10" s="682"/>
      <c r="M10" s="682"/>
      <c r="N10" s="683"/>
      <c r="O10" s="274"/>
      <c r="P10" s="275"/>
      <c r="Q10" s="47"/>
    </row>
    <row r="11" spans="1:17" ht="20" customHeight="1" x14ac:dyDescent="0.2">
      <c r="A11" s="678"/>
      <c r="B11" s="722" t="s">
        <v>85</v>
      </c>
      <c r="C11" s="723" t="s">
        <v>593</v>
      </c>
      <c r="D11" s="723" t="s">
        <v>27</v>
      </c>
      <c r="E11" s="722">
        <v>2008</v>
      </c>
      <c r="F11" s="287">
        <v>165</v>
      </c>
      <c r="G11" s="81">
        <v>107</v>
      </c>
      <c r="H11" s="76" t="s">
        <v>165</v>
      </c>
      <c r="I11" s="77"/>
      <c r="J11" s="257"/>
      <c r="K11" s="255"/>
      <c r="L11" s="270"/>
      <c r="M11" s="253"/>
      <c r="N11" s="264"/>
      <c r="O11" s="264"/>
      <c r="P11" s="276"/>
    </row>
    <row r="12" spans="1:17" ht="20" customHeight="1" x14ac:dyDescent="0.2">
      <c r="A12" s="678"/>
      <c r="B12" s="722" t="s">
        <v>85</v>
      </c>
      <c r="C12" s="723" t="s">
        <v>248</v>
      </c>
      <c r="D12" s="723" t="s">
        <v>249</v>
      </c>
      <c r="E12" s="722">
        <v>2016</v>
      </c>
      <c r="F12" s="724"/>
      <c r="G12" s="65">
        <v>12</v>
      </c>
      <c r="H12" s="61" t="s">
        <v>327</v>
      </c>
      <c r="I12" s="62"/>
      <c r="J12" s="259"/>
      <c r="K12" s="253"/>
      <c r="L12" s="253"/>
      <c r="M12" s="271"/>
      <c r="N12" s="253"/>
      <c r="O12" s="271"/>
      <c r="P12" s="276"/>
    </row>
    <row r="13" spans="1:17" customFormat="1" ht="20" customHeight="1" x14ac:dyDescent="0.2">
      <c r="A13" s="679"/>
      <c r="B13" s="727" t="s">
        <v>30</v>
      </c>
      <c r="C13" s="728" t="s">
        <v>28</v>
      </c>
      <c r="D13" s="728" t="s">
        <v>29</v>
      </c>
      <c r="E13" s="727">
        <v>2016</v>
      </c>
      <c r="F13" s="729">
        <v>22</v>
      </c>
      <c r="G13" s="65"/>
      <c r="H13" s="61"/>
      <c r="I13" s="62"/>
      <c r="J13" s="257"/>
      <c r="K13" s="265"/>
      <c r="L13" s="263"/>
      <c r="M13" s="263"/>
      <c r="N13" s="264"/>
      <c r="O13" s="264"/>
      <c r="P13" s="277"/>
    </row>
    <row r="14" spans="1:17" customFormat="1" ht="20" customHeight="1" x14ac:dyDescent="0.2">
      <c r="A14" s="679"/>
      <c r="B14" s="722" t="s">
        <v>85</v>
      </c>
      <c r="C14" s="723" t="s">
        <v>553</v>
      </c>
      <c r="D14" s="723" t="s">
        <v>489</v>
      </c>
      <c r="E14" s="722">
        <v>2012</v>
      </c>
      <c r="F14" s="724"/>
      <c r="G14" s="65">
        <v>70</v>
      </c>
      <c r="H14" s="61" t="s">
        <v>181</v>
      </c>
      <c r="I14" s="62" t="s">
        <v>190</v>
      </c>
      <c r="J14" s="257"/>
      <c r="K14" s="255"/>
      <c r="L14" s="270"/>
      <c r="M14" s="270"/>
      <c r="N14" s="253"/>
      <c r="O14" s="254"/>
      <c r="P14" s="277"/>
    </row>
    <row r="15" spans="1:17" ht="20" customHeight="1" x14ac:dyDescent="0.2">
      <c r="A15" s="678"/>
      <c r="B15" s="727" t="s">
        <v>30</v>
      </c>
      <c r="C15" s="728" t="s">
        <v>31</v>
      </c>
      <c r="D15" s="728" t="s">
        <v>32</v>
      </c>
      <c r="E15" s="727">
        <v>2004</v>
      </c>
      <c r="F15" s="729">
        <v>21</v>
      </c>
      <c r="G15" s="65"/>
      <c r="H15" s="61"/>
      <c r="I15" s="62"/>
      <c r="J15" s="257"/>
      <c r="K15" s="265"/>
      <c r="L15" s="263"/>
      <c r="M15" s="263"/>
      <c r="N15" s="264"/>
      <c r="O15" s="264"/>
      <c r="P15" s="276"/>
    </row>
    <row r="16" spans="1:17" ht="20" customHeight="1" x14ac:dyDescent="0.2">
      <c r="A16" s="678"/>
      <c r="B16" s="727" t="s">
        <v>49</v>
      </c>
      <c r="C16" s="728" t="s">
        <v>65</v>
      </c>
      <c r="D16" s="728" t="s">
        <v>66</v>
      </c>
      <c r="E16" s="727">
        <v>1997</v>
      </c>
      <c r="F16" s="729"/>
      <c r="G16" s="65"/>
      <c r="H16" s="61"/>
      <c r="I16" s="62"/>
      <c r="J16" s="259"/>
      <c r="K16" s="265"/>
      <c r="L16" s="263"/>
      <c r="M16" s="263"/>
      <c r="N16" s="264"/>
      <c r="O16" s="264"/>
      <c r="P16" s="276"/>
    </row>
    <row r="17" spans="1:16" ht="20" customHeight="1" x14ac:dyDescent="0.2">
      <c r="A17" s="680"/>
      <c r="B17" s="722" t="s">
        <v>85</v>
      </c>
      <c r="C17" s="723" t="s">
        <v>595</v>
      </c>
      <c r="D17" s="723" t="s">
        <v>596</v>
      </c>
      <c r="E17" s="722">
        <v>1984</v>
      </c>
      <c r="F17" s="287"/>
      <c r="G17" s="65"/>
      <c r="H17" s="61" t="s">
        <v>210</v>
      </c>
      <c r="I17" s="62" t="s">
        <v>168</v>
      </c>
      <c r="J17" s="259"/>
      <c r="K17" s="265"/>
      <c r="L17" s="263"/>
      <c r="M17" s="270"/>
      <c r="N17" s="253"/>
      <c r="O17" s="254"/>
      <c r="P17" s="276"/>
    </row>
    <row r="18" spans="1:16" ht="20" customHeight="1" x14ac:dyDescent="0.2">
      <c r="A18" s="678"/>
      <c r="B18" s="727"/>
      <c r="C18" s="728" t="s">
        <v>155</v>
      </c>
      <c r="D18" s="728" t="s">
        <v>156</v>
      </c>
      <c r="E18" s="727">
        <v>1997</v>
      </c>
      <c r="F18" s="729"/>
      <c r="G18" s="65"/>
      <c r="H18" s="61"/>
      <c r="I18" s="62"/>
      <c r="J18" s="259"/>
      <c r="K18" s="265"/>
      <c r="L18" s="263"/>
      <c r="M18" s="263"/>
      <c r="N18" s="264"/>
      <c r="O18" s="264"/>
      <c r="P18" s="276"/>
    </row>
    <row r="19" spans="1:16" ht="20" customHeight="1" x14ac:dyDescent="0.2">
      <c r="A19" s="680"/>
      <c r="B19" s="722" t="s">
        <v>85</v>
      </c>
      <c r="C19" s="723" t="s">
        <v>598</v>
      </c>
      <c r="D19" s="723" t="s">
        <v>599</v>
      </c>
      <c r="E19" s="722">
        <v>2015</v>
      </c>
      <c r="F19" s="287"/>
      <c r="G19" s="65"/>
      <c r="H19" s="61" t="s">
        <v>600</v>
      </c>
      <c r="I19" s="62" t="s">
        <v>601</v>
      </c>
      <c r="J19" s="259"/>
      <c r="K19" s="265"/>
      <c r="L19" s="270"/>
      <c r="M19" s="254"/>
      <c r="N19" s="270"/>
      <c r="O19" s="254"/>
      <c r="P19" s="276"/>
    </row>
    <row r="20" spans="1:16" ht="20" customHeight="1" x14ac:dyDescent="0.2">
      <c r="A20" s="680"/>
      <c r="B20" s="722" t="s">
        <v>85</v>
      </c>
      <c r="C20" s="723" t="s">
        <v>602</v>
      </c>
      <c r="D20" s="723" t="s">
        <v>603</v>
      </c>
      <c r="E20" s="722">
        <v>2016</v>
      </c>
      <c r="F20" s="287"/>
      <c r="G20" s="65"/>
      <c r="H20" s="61" t="s">
        <v>184</v>
      </c>
      <c r="I20" s="62"/>
      <c r="J20" s="259"/>
      <c r="K20" s="265"/>
      <c r="L20" s="263"/>
      <c r="M20" s="270"/>
      <c r="N20" s="264"/>
      <c r="O20" s="264"/>
      <c r="P20" s="276"/>
    </row>
    <row r="21" spans="1:16" ht="20" customHeight="1" x14ac:dyDescent="0.2">
      <c r="A21" s="680"/>
      <c r="B21" s="722" t="s">
        <v>85</v>
      </c>
      <c r="C21" s="723" t="s">
        <v>604</v>
      </c>
      <c r="D21" s="723" t="s">
        <v>605</v>
      </c>
      <c r="E21" s="722">
        <v>2001</v>
      </c>
      <c r="F21" s="287"/>
      <c r="G21" s="65"/>
      <c r="H21" s="61" t="s">
        <v>213</v>
      </c>
      <c r="I21" s="62" t="s">
        <v>189</v>
      </c>
      <c r="J21" s="259"/>
      <c r="K21" s="265"/>
      <c r="L21" s="263"/>
      <c r="M21" s="271"/>
      <c r="N21" s="271"/>
      <c r="O21" s="264"/>
      <c r="P21" s="276" t="s">
        <v>606</v>
      </c>
    </row>
    <row r="22" spans="1:16" ht="20" customHeight="1" x14ac:dyDescent="0.2">
      <c r="A22" s="678"/>
      <c r="B22" s="722" t="s">
        <v>85</v>
      </c>
      <c r="C22" s="723" t="s">
        <v>33</v>
      </c>
      <c r="D22" s="723" t="s">
        <v>34</v>
      </c>
      <c r="E22" s="722">
        <v>2003</v>
      </c>
      <c r="F22" s="287">
        <v>291</v>
      </c>
      <c r="G22" s="65">
        <v>14</v>
      </c>
      <c r="H22" s="61" t="s">
        <v>166</v>
      </c>
      <c r="I22" s="62"/>
      <c r="J22" s="257"/>
      <c r="K22" s="255"/>
      <c r="L22" s="263"/>
      <c r="M22" s="264"/>
      <c r="N22" s="255"/>
      <c r="O22" s="254"/>
      <c r="P22" s="276"/>
    </row>
    <row r="23" spans="1:16" ht="20" customHeight="1" x14ac:dyDescent="0.2">
      <c r="A23" s="678"/>
      <c r="B23" s="722" t="s">
        <v>85</v>
      </c>
      <c r="C23" s="723" t="s">
        <v>250</v>
      </c>
      <c r="D23" s="723" t="s">
        <v>251</v>
      </c>
      <c r="E23" s="722">
        <v>2008</v>
      </c>
      <c r="F23" s="287"/>
      <c r="G23" s="65">
        <v>13</v>
      </c>
      <c r="H23" s="61" t="s">
        <v>217</v>
      </c>
      <c r="I23" s="62" t="s">
        <v>330</v>
      </c>
      <c r="J23" s="257"/>
      <c r="K23" s="255"/>
      <c r="L23" s="271"/>
      <c r="M23" s="271"/>
      <c r="N23" s="254"/>
      <c r="O23" s="255"/>
      <c r="P23" s="276"/>
    </row>
    <row r="24" spans="1:16" ht="20" customHeight="1" x14ac:dyDescent="0.2">
      <c r="A24" s="678"/>
      <c r="B24" s="722" t="s">
        <v>85</v>
      </c>
      <c r="C24" s="723" t="s">
        <v>36</v>
      </c>
      <c r="D24" s="723" t="s">
        <v>37</v>
      </c>
      <c r="E24" s="722">
        <v>2008</v>
      </c>
      <c r="F24" s="287">
        <v>40</v>
      </c>
      <c r="G24" s="65">
        <v>29</v>
      </c>
      <c r="H24" s="61" t="s">
        <v>175</v>
      </c>
      <c r="I24" s="62" t="s">
        <v>168</v>
      </c>
      <c r="J24" s="257"/>
      <c r="K24" s="255"/>
      <c r="L24" s="271"/>
      <c r="M24" s="271"/>
      <c r="N24" s="254"/>
      <c r="O24" s="254"/>
      <c r="P24" s="276"/>
    </row>
    <row r="25" spans="1:16" ht="20" customHeight="1" x14ac:dyDescent="0.2">
      <c r="A25" s="678"/>
      <c r="B25" s="727" t="s">
        <v>30</v>
      </c>
      <c r="C25" s="728" t="s">
        <v>38</v>
      </c>
      <c r="D25" s="728" t="s">
        <v>39</v>
      </c>
      <c r="E25" s="727">
        <v>2005</v>
      </c>
      <c r="F25" s="729">
        <v>282</v>
      </c>
      <c r="G25" s="65"/>
      <c r="H25" s="61"/>
      <c r="I25" s="62"/>
      <c r="J25" s="257"/>
      <c r="K25" s="265"/>
      <c r="L25" s="263"/>
      <c r="M25" s="263"/>
      <c r="N25" s="264"/>
      <c r="O25" s="264"/>
      <c r="P25" s="276"/>
    </row>
    <row r="26" spans="1:16" ht="20" customHeight="1" x14ac:dyDescent="0.2">
      <c r="A26" s="678"/>
      <c r="B26" s="727" t="s">
        <v>30</v>
      </c>
      <c r="C26" s="728" t="s">
        <v>40</v>
      </c>
      <c r="D26" s="728" t="s">
        <v>39</v>
      </c>
      <c r="E26" s="727">
        <v>2006</v>
      </c>
      <c r="F26" s="729">
        <v>380</v>
      </c>
      <c r="G26" s="65"/>
      <c r="H26" s="61"/>
      <c r="I26" s="62"/>
      <c r="J26" s="257"/>
      <c r="K26" s="265"/>
      <c r="L26" s="263"/>
      <c r="M26" s="263"/>
      <c r="N26" s="264"/>
      <c r="O26" s="264"/>
      <c r="P26" s="276"/>
    </row>
    <row r="27" spans="1:16" ht="20" customHeight="1" x14ac:dyDescent="0.2">
      <c r="A27" s="680"/>
      <c r="B27" s="722" t="s">
        <v>85</v>
      </c>
      <c r="C27" s="723" t="s">
        <v>607</v>
      </c>
      <c r="D27" s="723" t="s">
        <v>608</v>
      </c>
      <c r="E27" s="722">
        <v>1996</v>
      </c>
      <c r="F27" s="287"/>
      <c r="G27" s="65">
        <v>6</v>
      </c>
      <c r="H27" s="61"/>
      <c r="I27" s="62"/>
      <c r="J27" s="259"/>
      <c r="K27" s="265"/>
      <c r="L27" s="263"/>
      <c r="M27" s="263"/>
      <c r="N27" s="264"/>
      <c r="O27" s="264"/>
      <c r="P27" s="276"/>
    </row>
    <row r="28" spans="1:16" ht="20" customHeight="1" x14ac:dyDescent="0.2">
      <c r="A28" s="678"/>
      <c r="B28" s="722" t="s">
        <v>85</v>
      </c>
      <c r="C28" s="723" t="s">
        <v>41</v>
      </c>
      <c r="D28" s="723" t="s">
        <v>609</v>
      </c>
      <c r="E28" s="722">
        <v>2004</v>
      </c>
      <c r="F28" s="287">
        <v>79</v>
      </c>
      <c r="G28" s="65">
        <v>12</v>
      </c>
      <c r="H28" s="61" t="s">
        <v>167</v>
      </c>
      <c r="I28" s="62" t="s">
        <v>168</v>
      </c>
      <c r="J28" s="257"/>
      <c r="K28" s="255"/>
      <c r="L28" s="255"/>
      <c r="M28" s="255"/>
      <c r="N28" s="254"/>
      <c r="O28" s="254"/>
      <c r="P28" s="276" t="s">
        <v>610</v>
      </c>
    </row>
    <row r="29" spans="1:16" ht="20" customHeight="1" x14ac:dyDescent="0.2">
      <c r="A29" s="678"/>
      <c r="B29" s="722" t="s">
        <v>85</v>
      </c>
      <c r="C29" s="723" t="s">
        <v>43</v>
      </c>
      <c r="D29" s="723" t="s">
        <v>44</v>
      </c>
      <c r="E29" s="722">
        <v>1976</v>
      </c>
      <c r="F29" s="287">
        <v>179</v>
      </c>
      <c r="G29" s="65">
        <v>8</v>
      </c>
      <c r="H29" s="78" t="s">
        <v>331</v>
      </c>
      <c r="I29" s="62"/>
      <c r="J29" s="257"/>
      <c r="K29" s="255"/>
      <c r="L29" s="255"/>
      <c r="M29" s="254"/>
      <c r="N29" s="264"/>
      <c r="O29" s="254"/>
      <c r="P29" s="276" t="s">
        <v>611</v>
      </c>
    </row>
    <row r="30" spans="1:16" ht="20" customHeight="1" x14ac:dyDescent="0.2">
      <c r="A30" s="678"/>
      <c r="B30" s="722" t="s">
        <v>85</v>
      </c>
      <c r="C30" s="723" t="s">
        <v>152</v>
      </c>
      <c r="D30" s="723" t="s">
        <v>153</v>
      </c>
      <c r="E30" s="722">
        <v>2007</v>
      </c>
      <c r="F30" s="287"/>
      <c r="G30" s="65">
        <v>44</v>
      </c>
      <c r="H30" s="61" t="s">
        <v>561</v>
      </c>
      <c r="I30" s="62" t="s">
        <v>560</v>
      </c>
      <c r="J30" s="257"/>
      <c r="K30" s="258"/>
      <c r="L30" s="255"/>
      <c r="M30" s="254"/>
      <c r="N30" s="255"/>
      <c r="O30" s="254"/>
      <c r="P30" s="276"/>
    </row>
    <row r="31" spans="1:16" ht="20" customHeight="1" x14ac:dyDescent="0.2">
      <c r="A31" s="678"/>
      <c r="B31" s="722" t="s">
        <v>85</v>
      </c>
      <c r="C31" s="723" t="s">
        <v>252</v>
      </c>
      <c r="D31" s="723" t="s">
        <v>253</v>
      </c>
      <c r="E31" s="722">
        <v>2014</v>
      </c>
      <c r="F31" s="287"/>
      <c r="G31" s="65">
        <v>48</v>
      </c>
      <c r="H31" s="61" t="s">
        <v>213</v>
      </c>
      <c r="I31" s="62" t="s">
        <v>332</v>
      </c>
      <c r="J31" s="257"/>
      <c r="K31" s="253"/>
      <c r="L31" s="255"/>
      <c r="M31" s="255"/>
      <c r="N31" s="255"/>
      <c r="O31" s="254"/>
      <c r="P31" s="276"/>
    </row>
    <row r="32" spans="1:16" ht="20" customHeight="1" x14ac:dyDescent="0.2">
      <c r="A32" s="678"/>
      <c r="B32" s="762"/>
      <c r="C32" s="762" t="s">
        <v>254</v>
      </c>
      <c r="D32" s="762" t="s">
        <v>255</v>
      </c>
      <c r="E32" s="727">
        <v>2015</v>
      </c>
      <c r="F32" s="763"/>
      <c r="G32" s="65"/>
      <c r="H32" s="61"/>
      <c r="I32" s="62"/>
      <c r="J32" s="259"/>
      <c r="K32" s="265"/>
      <c r="L32" s="263"/>
      <c r="M32" s="263"/>
      <c r="N32" s="264"/>
      <c r="O32" s="264"/>
      <c r="P32" s="276"/>
    </row>
    <row r="33" spans="1:16" ht="20" customHeight="1" x14ac:dyDescent="0.2">
      <c r="A33" s="680"/>
      <c r="B33" s="722" t="s">
        <v>85</v>
      </c>
      <c r="C33" s="723" t="s">
        <v>612</v>
      </c>
      <c r="D33" s="723" t="s">
        <v>613</v>
      </c>
      <c r="E33" s="722">
        <v>2004</v>
      </c>
      <c r="F33" s="287"/>
      <c r="G33" s="65"/>
      <c r="H33" s="61" t="s">
        <v>614</v>
      </c>
      <c r="I33" s="62"/>
      <c r="J33" s="259"/>
      <c r="K33" s="253"/>
      <c r="L33" s="255"/>
      <c r="M33" s="255"/>
      <c r="N33" s="264"/>
      <c r="O33" s="254"/>
      <c r="P33" s="276"/>
    </row>
    <row r="34" spans="1:16" ht="20" customHeight="1" x14ac:dyDescent="0.2">
      <c r="A34" s="678"/>
      <c r="B34" s="722" t="s">
        <v>85</v>
      </c>
      <c r="C34" s="723" t="s">
        <v>256</v>
      </c>
      <c r="D34" s="723" t="s">
        <v>257</v>
      </c>
      <c r="E34" s="722">
        <v>2012</v>
      </c>
      <c r="F34" s="287"/>
      <c r="G34" s="65">
        <v>80</v>
      </c>
      <c r="H34" s="61" t="s">
        <v>213</v>
      </c>
      <c r="I34" s="62" t="s">
        <v>190</v>
      </c>
      <c r="J34" s="257"/>
      <c r="K34" s="253"/>
      <c r="L34" s="255"/>
      <c r="M34" s="255"/>
      <c r="N34" s="254"/>
      <c r="O34" s="254"/>
      <c r="P34" s="276"/>
    </row>
    <row r="35" spans="1:16" ht="20" customHeight="1" x14ac:dyDescent="0.2">
      <c r="A35" s="678"/>
      <c r="B35" s="722" t="s">
        <v>85</v>
      </c>
      <c r="C35" s="723" t="s">
        <v>258</v>
      </c>
      <c r="D35" s="723" t="s">
        <v>259</v>
      </c>
      <c r="E35" s="722">
        <v>2013</v>
      </c>
      <c r="F35" s="287"/>
      <c r="G35" s="65">
        <v>12</v>
      </c>
      <c r="H35" s="61" t="s">
        <v>213</v>
      </c>
      <c r="I35" s="62" t="s">
        <v>333</v>
      </c>
      <c r="J35" s="257"/>
      <c r="K35" s="255"/>
      <c r="L35" s="255"/>
      <c r="M35" s="255"/>
      <c r="N35" s="254"/>
      <c r="O35" s="255"/>
      <c r="P35" s="276"/>
    </row>
    <row r="36" spans="1:16" ht="20" customHeight="1" x14ac:dyDescent="0.2">
      <c r="A36" s="678"/>
      <c r="B36" s="722" t="s">
        <v>85</v>
      </c>
      <c r="C36" s="723" t="s">
        <v>45</v>
      </c>
      <c r="D36" s="723" t="s">
        <v>46</v>
      </c>
      <c r="E36" s="722">
        <v>1998</v>
      </c>
      <c r="F36" s="287">
        <v>96</v>
      </c>
      <c r="G36" s="65">
        <v>61</v>
      </c>
      <c r="H36" s="61" t="s">
        <v>175</v>
      </c>
      <c r="I36" s="62" t="s">
        <v>187</v>
      </c>
      <c r="J36" s="259"/>
      <c r="K36" s="258"/>
      <c r="L36" s="255"/>
      <c r="M36" s="254"/>
      <c r="N36" s="254"/>
      <c r="O36" s="254"/>
      <c r="P36" s="276"/>
    </row>
    <row r="37" spans="1:16" ht="20" customHeight="1" x14ac:dyDescent="0.2">
      <c r="A37" s="678"/>
      <c r="B37" s="722" t="s">
        <v>85</v>
      </c>
      <c r="C37" s="723" t="s">
        <v>615</v>
      </c>
      <c r="D37" s="723" t="s">
        <v>616</v>
      </c>
      <c r="E37" s="722">
        <v>1991</v>
      </c>
      <c r="F37" s="287"/>
      <c r="G37" s="65">
        <v>8</v>
      </c>
      <c r="H37" s="61" t="s">
        <v>175</v>
      </c>
      <c r="I37" s="62" t="s">
        <v>168</v>
      </c>
      <c r="J37" s="259"/>
      <c r="K37" s="263"/>
      <c r="L37" s="255"/>
      <c r="M37" s="255"/>
      <c r="N37" s="254"/>
      <c r="O37" s="254"/>
      <c r="P37" s="276"/>
    </row>
    <row r="38" spans="1:16" ht="20" customHeight="1" x14ac:dyDescent="0.2">
      <c r="A38" s="678"/>
      <c r="B38" s="722" t="s">
        <v>85</v>
      </c>
      <c r="C38" s="723" t="s">
        <v>260</v>
      </c>
      <c r="D38" s="723" t="s">
        <v>261</v>
      </c>
      <c r="E38" s="722">
        <v>2000</v>
      </c>
      <c r="F38" s="287"/>
      <c r="G38" s="65">
        <v>9</v>
      </c>
      <c r="H38" s="61" t="s">
        <v>217</v>
      </c>
      <c r="I38" s="62" t="s">
        <v>168</v>
      </c>
      <c r="J38" s="257"/>
      <c r="K38" s="255"/>
      <c r="L38" s="255"/>
      <c r="M38" s="254"/>
      <c r="N38" s="254"/>
      <c r="O38" s="254"/>
      <c r="P38" s="276"/>
    </row>
    <row r="39" spans="1:16" ht="20" customHeight="1" x14ac:dyDescent="0.2">
      <c r="A39" s="678"/>
      <c r="B39" s="727" t="s">
        <v>49</v>
      </c>
      <c r="C39" s="728" t="s">
        <v>47</v>
      </c>
      <c r="D39" s="728" t="s">
        <v>48</v>
      </c>
      <c r="E39" s="727">
        <v>1997</v>
      </c>
      <c r="F39" s="729">
        <v>91</v>
      </c>
      <c r="G39" s="65"/>
      <c r="H39" s="61"/>
      <c r="I39" s="62"/>
      <c r="J39" s="259"/>
      <c r="K39" s="265"/>
      <c r="L39" s="263"/>
      <c r="M39" s="263"/>
      <c r="N39" s="264"/>
      <c r="O39" s="264"/>
      <c r="P39" s="276"/>
    </row>
    <row r="40" spans="1:16" ht="20" customHeight="1" x14ac:dyDescent="0.2">
      <c r="A40" s="678"/>
      <c r="B40" s="727" t="s">
        <v>30</v>
      </c>
      <c r="C40" s="728" t="s">
        <v>50</v>
      </c>
      <c r="D40" s="728" t="s">
        <v>51</v>
      </c>
      <c r="E40" s="727">
        <v>1993</v>
      </c>
      <c r="F40" s="729">
        <v>306</v>
      </c>
      <c r="G40" s="65"/>
      <c r="H40" s="61"/>
      <c r="I40" s="62"/>
      <c r="J40" s="257"/>
      <c r="K40" s="265"/>
      <c r="L40" s="263"/>
      <c r="M40" s="263"/>
      <c r="N40" s="264"/>
      <c r="O40" s="264"/>
      <c r="P40" s="276"/>
    </row>
    <row r="41" spans="1:16" ht="20" customHeight="1" x14ac:dyDescent="0.2">
      <c r="A41" s="678"/>
      <c r="B41" s="722" t="s">
        <v>85</v>
      </c>
      <c r="C41" s="723" t="s">
        <v>617</v>
      </c>
      <c r="D41" s="723" t="s">
        <v>263</v>
      </c>
      <c r="E41" s="722">
        <v>2003</v>
      </c>
      <c r="F41" s="287"/>
      <c r="G41" s="65">
        <v>10</v>
      </c>
      <c r="H41" s="61" t="s">
        <v>184</v>
      </c>
      <c r="I41" s="62" t="s">
        <v>189</v>
      </c>
      <c r="J41" s="257"/>
      <c r="K41" s="253"/>
      <c r="L41" s="255"/>
      <c r="M41" s="254"/>
      <c r="N41" s="254"/>
      <c r="O41" s="254"/>
      <c r="P41" s="276"/>
    </row>
    <row r="42" spans="1:16" ht="20" customHeight="1" x14ac:dyDescent="0.2">
      <c r="A42" s="680"/>
      <c r="B42" s="722" t="s">
        <v>85</v>
      </c>
      <c r="C42" s="723" t="s">
        <v>618</v>
      </c>
      <c r="D42" s="723" t="s">
        <v>619</v>
      </c>
      <c r="E42" s="722">
        <v>2011</v>
      </c>
      <c r="F42" s="287"/>
      <c r="G42" s="65">
        <v>80</v>
      </c>
      <c r="H42" s="61" t="s">
        <v>620</v>
      </c>
      <c r="I42" s="62" t="s">
        <v>621</v>
      </c>
      <c r="J42" s="259"/>
      <c r="K42" s="265"/>
      <c r="L42" s="255"/>
      <c r="M42" s="254"/>
      <c r="N42" s="255"/>
      <c r="O42" s="254"/>
      <c r="P42" s="276"/>
    </row>
    <row r="43" spans="1:16" ht="20" customHeight="1" x14ac:dyDescent="0.2">
      <c r="A43" s="680"/>
      <c r="B43" s="722" t="s">
        <v>85</v>
      </c>
      <c r="C43" s="723" t="s">
        <v>622</v>
      </c>
      <c r="D43" s="723" t="s">
        <v>705</v>
      </c>
      <c r="E43" s="722">
        <v>2012</v>
      </c>
      <c r="F43" s="287"/>
      <c r="G43" s="65"/>
      <c r="H43" s="61" t="s">
        <v>213</v>
      </c>
      <c r="I43" s="62" t="s">
        <v>192</v>
      </c>
      <c r="J43" s="259"/>
      <c r="K43" s="265"/>
      <c r="L43" s="254"/>
      <c r="M43" s="256"/>
      <c r="N43" s="254"/>
      <c r="O43" s="254"/>
      <c r="P43" s="276"/>
    </row>
    <row r="44" spans="1:16" ht="20" customHeight="1" x14ac:dyDescent="0.2">
      <c r="A44" s="678"/>
      <c r="B44" s="722" t="s">
        <v>85</v>
      </c>
      <c r="C44" s="723" t="s">
        <v>397</v>
      </c>
      <c r="D44" s="723" t="s">
        <v>398</v>
      </c>
      <c r="E44" s="722">
        <v>2013</v>
      </c>
      <c r="F44" s="287"/>
      <c r="G44" s="65">
        <v>38</v>
      </c>
      <c r="H44" s="61" t="s">
        <v>399</v>
      </c>
      <c r="I44" s="62" t="s">
        <v>168</v>
      </c>
      <c r="J44" s="257"/>
      <c r="K44" s="255"/>
      <c r="L44" s="254"/>
      <c r="M44" s="256"/>
      <c r="N44" s="254"/>
      <c r="O44" s="254"/>
      <c r="P44" s="276"/>
    </row>
    <row r="45" spans="1:16" ht="20" customHeight="1" x14ac:dyDescent="0.2">
      <c r="A45" s="680"/>
      <c r="B45" s="722" t="s">
        <v>85</v>
      </c>
      <c r="C45" s="723" t="s">
        <v>623</v>
      </c>
      <c r="D45" s="723" t="s">
        <v>624</v>
      </c>
      <c r="E45" s="722">
        <v>2000</v>
      </c>
      <c r="F45" s="287"/>
      <c r="G45" s="65">
        <v>12</v>
      </c>
      <c r="H45" s="61" t="s">
        <v>625</v>
      </c>
      <c r="I45" s="62"/>
      <c r="J45" s="259"/>
      <c r="K45" s="273"/>
      <c r="L45" s="254"/>
      <c r="M45" s="256"/>
      <c r="N45" s="254"/>
      <c r="O45" s="256"/>
      <c r="P45" s="276"/>
    </row>
    <row r="46" spans="1:16" ht="20" customHeight="1" x14ac:dyDescent="0.2">
      <c r="A46" s="678"/>
      <c r="B46" s="722" t="s">
        <v>85</v>
      </c>
      <c r="C46" s="723" t="s">
        <v>52</v>
      </c>
      <c r="D46" s="723" t="s">
        <v>53</v>
      </c>
      <c r="E46" s="722">
        <v>2001</v>
      </c>
      <c r="F46" s="287">
        <v>118</v>
      </c>
      <c r="G46" s="65">
        <v>20</v>
      </c>
      <c r="H46" s="61" t="s">
        <v>175</v>
      </c>
      <c r="I46" s="62" t="s">
        <v>191</v>
      </c>
      <c r="J46" s="257"/>
      <c r="K46" s="253"/>
      <c r="L46" s="255"/>
      <c r="M46" s="255"/>
      <c r="N46" s="254"/>
      <c r="O46" s="254"/>
      <c r="P46" s="276"/>
    </row>
    <row r="47" spans="1:16" ht="20" customHeight="1" x14ac:dyDescent="0.2">
      <c r="A47" s="680"/>
      <c r="B47" s="722" t="s">
        <v>85</v>
      </c>
      <c r="C47" s="723" t="s">
        <v>628</v>
      </c>
      <c r="D47" s="723" t="s">
        <v>629</v>
      </c>
      <c r="E47" s="722">
        <v>1993</v>
      </c>
      <c r="F47" s="287"/>
      <c r="G47" s="65"/>
      <c r="H47" s="61" t="s">
        <v>627</v>
      </c>
      <c r="I47" s="62" t="s">
        <v>626</v>
      </c>
      <c r="J47" s="259"/>
      <c r="K47" s="255"/>
      <c r="L47" s="254"/>
      <c r="M47" s="255"/>
      <c r="N47" s="254"/>
      <c r="O47" s="256"/>
      <c r="P47" s="276"/>
    </row>
    <row r="48" spans="1:16" ht="20" customHeight="1" x14ac:dyDescent="0.2">
      <c r="A48" s="678"/>
      <c r="B48" s="722" t="s">
        <v>85</v>
      </c>
      <c r="C48" s="723" t="s">
        <v>264</v>
      </c>
      <c r="D48" s="723" t="s">
        <v>265</v>
      </c>
      <c r="E48" s="722">
        <v>1994</v>
      </c>
      <c r="F48" s="287"/>
      <c r="G48" s="65"/>
      <c r="H48" s="61" t="s">
        <v>335</v>
      </c>
      <c r="I48" s="62"/>
      <c r="J48" s="257"/>
      <c r="K48" s="255"/>
      <c r="L48" s="254"/>
      <c r="M48" s="255"/>
      <c r="N48" s="254"/>
      <c r="O48" s="256"/>
      <c r="P48" s="276"/>
    </row>
    <row r="49" spans="1:16" ht="20" customHeight="1" x14ac:dyDescent="0.2">
      <c r="A49" s="680"/>
      <c r="B49" s="722" t="s">
        <v>85</v>
      </c>
      <c r="C49" s="723" t="s">
        <v>630</v>
      </c>
      <c r="D49" s="723" t="s">
        <v>631</v>
      </c>
      <c r="E49" s="722">
        <v>2013</v>
      </c>
      <c r="F49" s="287"/>
      <c r="G49" s="65">
        <v>30</v>
      </c>
      <c r="H49" s="61" t="s">
        <v>213</v>
      </c>
      <c r="I49" s="62" t="s">
        <v>632</v>
      </c>
      <c r="J49" s="259"/>
      <c r="K49" s="255"/>
      <c r="L49" s="255"/>
      <c r="M49" s="254"/>
      <c r="N49" s="254"/>
      <c r="O49" s="254"/>
      <c r="P49" s="276"/>
    </row>
    <row r="50" spans="1:16" ht="20" customHeight="1" x14ac:dyDescent="0.2">
      <c r="A50" s="678"/>
      <c r="B50" s="722" t="s">
        <v>85</v>
      </c>
      <c r="C50" s="723" t="s">
        <v>336</v>
      </c>
      <c r="D50" s="723" t="s">
        <v>337</v>
      </c>
      <c r="E50" s="722">
        <v>2008</v>
      </c>
      <c r="F50" s="287"/>
      <c r="G50" s="65">
        <v>16</v>
      </c>
      <c r="H50" s="61" t="s">
        <v>175</v>
      </c>
      <c r="I50" s="62" t="s">
        <v>338</v>
      </c>
      <c r="J50" s="257"/>
      <c r="K50" s="253"/>
      <c r="L50" s="255"/>
      <c r="M50" s="255"/>
      <c r="N50" s="254"/>
      <c r="O50" s="254"/>
      <c r="P50" s="276"/>
    </row>
    <row r="51" spans="1:16" ht="20" customHeight="1" x14ac:dyDescent="0.2">
      <c r="A51" s="678"/>
      <c r="B51" s="722" t="s">
        <v>85</v>
      </c>
      <c r="C51" s="723" t="s">
        <v>54</v>
      </c>
      <c r="D51" s="723" t="s">
        <v>55</v>
      </c>
      <c r="E51" s="722">
        <v>1996</v>
      </c>
      <c r="F51" s="287">
        <v>82</v>
      </c>
      <c r="G51" s="65">
        <v>15</v>
      </c>
      <c r="H51" s="61" t="s">
        <v>175</v>
      </c>
      <c r="I51" s="62" t="s">
        <v>177</v>
      </c>
      <c r="J51" s="257"/>
      <c r="K51" s="255"/>
      <c r="L51" s="255"/>
      <c r="M51" s="255"/>
      <c r="N51" s="254"/>
      <c r="O51" s="254"/>
      <c r="P51" s="276"/>
    </row>
    <row r="52" spans="1:16" ht="20" customHeight="1" x14ac:dyDescent="0.2">
      <c r="A52" s="678"/>
      <c r="B52" s="722" t="s">
        <v>85</v>
      </c>
      <c r="C52" s="723" t="s">
        <v>266</v>
      </c>
      <c r="D52" s="723" t="s">
        <v>267</v>
      </c>
      <c r="E52" s="722">
        <v>2016</v>
      </c>
      <c r="F52" s="287"/>
      <c r="G52" s="65">
        <v>49</v>
      </c>
      <c r="H52" s="61" t="s">
        <v>340</v>
      </c>
      <c r="I52" s="62" t="s">
        <v>192</v>
      </c>
      <c r="J52" s="257"/>
      <c r="K52" s="253"/>
      <c r="L52" s="254"/>
      <c r="M52" s="254"/>
      <c r="N52" s="254"/>
      <c r="O52" s="254"/>
      <c r="P52" s="276"/>
    </row>
    <row r="53" spans="1:16" ht="20" customHeight="1" x14ac:dyDescent="0.2">
      <c r="A53" s="678"/>
      <c r="B53" s="722" t="s">
        <v>85</v>
      </c>
      <c r="C53" s="723" t="s">
        <v>86</v>
      </c>
      <c r="D53" s="723" t="s">
        <v>56</v>
      </c>
      <c r="E53" s="722">
        <v>2014</v>
      </c>
      <c r="F53" s="287">
        <v>41</v>
      </c>
      <c r="G53" s="65">
        <v>20</v>
      </c>
      <c r="H53" s="61" t="s">
        <v>178</v>
      </c>
      <c r="I53" s="62"/>
      <c r="J53" s="257"/>
      <c r="K53" s="253"/>
      <c r="L53" s="254"/>
      <c r="M53" s="254"/>
      <c r="N53" s="254"/>
      <c r="O53" s="255"/>
      <c r="P53" s="276"/>
    </row>
    <row r="54" spans="1:16" ht="20" customHeight="1" x14ac:dyDescent="0.2">
      <c r="A54" s="680"/>
      <c r="B54" s="722" t="s">
        <v>85</v>
      </c>
      <c r="C54" s="723" t="s">
        <v>633</v>
      </c>
      <c r="D54" s="723" t="s">
        <v>514</v>
      </c>
      <c r="E54" s="722">
        <v>1995</v>
      </c>
      <c r="F54" s="287"/>
      <c r="G54" s="65">
        <v>12</v>
      </c>
      <c r="H54" s="61" t="s">
        <v>210</v>
      </c>
      <c r="I54" s="62" t="s">
        <v>209</v>
      </c>
      <c r="J54" s="259"/>
      <c r="K54" s="256"/>
      <c r="L54" s="256"/>
      <c r="M54" s="256"/>
      <c r="N54" s="254"/>
      <c r="O54" s="254"/>
      <c r="P54" s="276"/>
    </row>
    <row r="55" spans="1:16" ht="20" customHeight="1" x14ac:dyDescent="0.2">
      <c r="A55" s="680"/>
      <c r="B55" s="722" t="s">
        <v>85</v>
      </c>
      <c r="C55" s="723" t="s">
        <v>634</v>
      </c>
      <c r="D55" s="723" t="s">
        <v>514</v>
      </c>
      <c r="E55" s="722">
        <v>1999</v>
      </c>
      <c r="F55" s="287"/>
      <c r="G55" s="65">
        <v>34</v>
      </c>
      <c r="H55" s="61" t="s">
        <v>210</v>
      </c>
      <c r="I55" s="62" t="s">
        <v>636</v>
      </c>
      <c r="J55" s="257"/>
      <c r="K55" s="256"/>
      <c r="L55" s="254"/>
      <c r="M55" s="256"/>
      <c r="N55" s="254"/>
      <c r="O55" s="254"/>
      <c r="P55" s="276"/>
    </row>
    <row r="56" spans="1:16" ht="20" customHeight="1" x14ac:dyDescent="0.2">
      <c r="A56" s="680"/>
      <c r="B56" s="722" t="s">
        <v>85</v>
      </c>
      <c r="C56" s="723" t="s">
        <v>635</v>
      </c>
      <c r="D56" s="723" t="s">
        <v>514</v>
      </c>
      <c r="E56" s="722">
        <v>2011</v>
      </c>
      <c r="F56" s="287"/>
      <c r="G56" s="65">
        <v>36</v>
      </c>
      <c r="H56" s="61" t="s">
        <v>210</v>
      </c>
      <c r="I56" s="62" t="s">
        <v>637</v>
      </c>
      <c r="J56" s="257"/>
      <c r="K56" s="256"/>
      <c r="L56" s="256"/>
      <c r="M56" s="256"/>
      <c r="N56" s="256"/>
      <c r="O56" s="254"/>
      <c r="P56" s="276"/>
    </row>
    <row r="57" spans="1:16" ht="20" customHeight="1" x14ac:dyDescent="0.2">
      <c r="A57" s="678"/>
      <c r="B57" s="722" t="s">
        <v>85</v>
      </c>
      <c r="C57" s="723" t="s">
        <v>57</v>
      </c>
      <c r="D57" s="723" t="s">
        <v>58</v>
      </c>
      <c r="E57" s="722">
        <v>2006</v>
      </c>
      <c r="F57" s="287">
        <v>132</v>
      </c>
      <c r="G57" s="65">
        <v>7</v>
      </c>
      <c r="H57" s="61" t="s">
        <v>175</v>
      </c>
      <c r="I57" s="62" t="s">
        <v>168</v>
      </c>
      <c r="J57" s="257"/>
      <c r="K57" s="258"/>
      <c r="L57" s="256"/>
      <c r="M57" s="256"/>
      <c r="N57" s="254"/>
      <c r="O57" s="254"/>
      <c r="P57" s="276"/>
    </row>
    <row r="58" spans="1:16" ht="20" customHeight="1" x14ac:dyDescent="0.2">
      <c r="A58" s="678"/>
      <c r="B58" s="722" t="s">
        <v>85</v>
      </c>
      <c r="C58" s="723" t="s">
        <v>59</v>
      </c>
      <c r="D58" s="723" t="s">
        <v>60</v>
      </c>
      <c r="E58" s="722">
        <v>2009</v>
      </c>
      <c r="F58" s="287">
        <v>49</v>
      </c>
      <c r="G58" s="65">
        <v>22</v>
      </c>
      <c r="H58" s="61" t="s">
        <v>175</v>
      </c>
      <c r="I58" s="62" t="s">
        <v>188</v>
      </c>
      <c r="J58" s="257"/>
      <c r="K58" s="253"/>
      <c r="L58" s="256"/>
      <c r="M58" s="256"/>
      <c r="N58" s="254"/>
      <c r="O58" s="254"/>
      <c r="P58" s="276"/>
    </row>
    <row r="59" spans="1:16" ht="20" customHeight="1" x14ac:dyDescent="0.2">
      <c r="A59" s="678"/>
      <c r="B59" s="722" t="s">
        <v>85</v>
      </c>
      <c r="C59" s="723" t="s">
        <v>61</v>
      </c>
      <c r="D59" s="723" t="s">
        <v>62</v>
      </c>
      <c r="E59" s="722">
        <v>2006</v>
      </c>
      <c r="F59" s="287">
        <v>144</v>
      </c>
      <c r="G59" s="65">
        <v>25</v>
      </c>
      <c r="H59" s="61"/>
      <c r="I59" s="62" t="s">
        <v>189</v>
      </c>
      <c r="J59" s="259"/>
      <c r="K59" s="253"/>
      <c r="L59" s="256"/>
      <c r="M59" s="254"/>
      <c r="N59" s="254"/>
      <c r="O59" s="254"/>
      <c r="P59" s="276"/>
    </row>
    <row r="60" spans="1:16" ht="20" customHeight="1" x14ac:dyDescent="0.2">
      <c r="A60" s="680"/>
      <c r="B60" s="722" t="s">
        <v>85</v>
      </c>
      <c r="C60" s="723" t="s">
        <v>517</v>
      </c>
      <c r="D60" s="723" t="s">
        <v>638</v>
      </c>
      <c r="E60" s="722">
        <v>2012</v>
      </c>
      <c r="F60" s="287"/>
      <c r="G60" s="65">
        <v>18</v>
      </c>
      <c r="H60" s="61" t="s">
        <v>519</v>
      </c>
      <c r="I60" s="62"/>
      <c r="J60" s="257"/>
      <c r="K60" s="253"/>
      <c r="L60" s="256"/>
      <c r="M60" s="256"/>
      <c r="N60" s="254"/>
      <c r="O60" s="254"/>
      <c r="P60" s="276"/>
    </row>
    <row r="61" spans="1:16" ht="20" customHeight="1" x14ac:dyDescent="0.2">
      <c r="A61" s="678"/>
      <c r="B61" s="722" t="s">
        <v>85</v>
      </c>
      <c r="C61" s="723" t="s">
        <v>270</v>
      </c>
      <c r="D61" s="723" t="s">
        <v>271</v>
      </c>
      <c r="E61" s="722">
        <v>2014</v>
      </c>
      <c r="F61" s="287"/>
      <c r="G61" s="65">
        <v>39</v>
      </c>
      <c r="H61" s="61" t="s">
        <v>402</v>
      </c>
      <c r="I61" s="62" t="s">
        <v>338</v>
      </c>
      <c r="J61" s="257"/>
      <c r="K61" s="255"/>
      <c r="L61" s="254"/>
      <c r="M61" s="256"/>
      <c r="N61" s="254"/>
      <c r="O61" s="254"/>
      <c r="P61" s="276"/>
    </row>
    <row r="62" spans="1:16" ht="20" customHeight="1" x14ac:dyDescent="0.2">
      <c r="A62" s="678"/>
      <c r="B62" s="722" t="s">
        <v>85</v>
      </c>
      <c r="C62" s="723" t="s">
        <v>272</v>
      </c>
      <c r="D62" s="723" t="s">
        <v>273</v>
      </c>
      <c r="E62" s="722">
        <v>2015</v>
      </c>
      <c r="F62" s="287"/>
      <c r="G62" s="65">
        <v>8</v>
      </c>
      <c r="H62" s="61" t="s">
        <v>213</v>
      </c>
      <c r="I62" s="62" t="s">
        <v>345</v>
      </c>
      <c r="J62" s="257"/>
      <c r="K62" s="255"/>
      <c r="L62" s="254"/>
      <c r="M62" s="256"/>
      <c r="N62" s="254"/>
      <c r="O62" s="254"/>
      <c r="P62" s="276"/>
    </row>
    <row r="63" spans="1:16" ht="20" customHeight="1" x14ac:dyDescent="0.2">
      <c r="A63" s="678"/>
      <c r="B63" s="722" t="s">
        <v>85</v>
      </c>
      <c r="C63" s="723" t="s">
        <v>274</v>
      </c>
      <c r="D63" s="723" t="s">
        <v>275</v>
      </c>
      <c r="E63" s="722">
        <v>2001</v>
      </c>
      <c r="F63" s="287"/>
      <c r="G63" s="65">
        <v>9</v>
      </c>
      <c r="H63" s="61"/>
      <c r="I63" s="62" t="s">
        <v>346</v>
      </c>
      <c r="J63" s="259"/>
      <c r="K63" s="255"/>
      <c r="L63" s="254"/>
      <c r="M63" s="256"/>
      <c r="N63" s="254"/>
      <c r="O63" s="256"/>
      <c r="P63" s="276"/>
    </row>
    <row r="64" spans="1:16" ht="20" customHeight="1" x14ac:dyDescent="0.2">
      <c r="A64" s="678"/>
      <c r="B64" s="722" t="s">
        <v>85</v>
      </c>
      <c r="C64" s="723" t="s">
        <v>63</v>
      </c>
      <c r="D64" s="723" t="s">
        <v>64</v>
      </c>
      <c r="E64" s="722">
        <v>2012</v>
      </c>
      <c r="F64" s="287">
        <v>83</v>
      </c>
      <c r="G64" s="65">
        <v>70</v>
      </c>
      <c r="H64" s="61" t="s">
        <v>181</v>
      </c>
      <c r="I64" s="62" t="s">
        <v>190</v>
      </c>
      <c r="J64" s="257"/>
      <c r="K64" s="255"/>
      <c r="L64" s="255"/>
      <c r="M64" s="255"/>
      <c r="N64" s="254"/>
      <c r="O64" s="254"/>
      <c r="P64" s="276"/>
    </row>
    <row r="65" spans="1:16" ht="20" customHeight="1" x14ac:dyDescent="0.2">
      <c r="A65" s="678"/>
      <c r="B65" s="727" t="s">
        <v>30</v>
      </c>
      <c r="C65" s="728" t="s">
        <v>67</v>
      </c>
      <c r="D65" s="728" t="s">
        <v>68</v>
      </c>
      <c r="E65" s="727">
        <v>2011</v>
      </c>
      <c r="F65" s="729">
        <v>54</v>
      </c>
      <c r="G65" s="65"/>
      <c r="H65" s="61"/>
      <c r="I65" s="62"/>
      <c r="J65" s="259"/>
      <c r="K65" s="265"/>
      <c r="L65" s="263"/>
      <c r="M65" s="263"/>
      <c r="N65" s="264"/>
      <c r="O65" s="264"/>
      <c r="P65" s="276"/>
    </row>
    <row r="66" spans="1:16" ht="20" customHeight="1" x14ac:dyDescent="0.2">
      <c r="A66" s="678"/>
      <c r="B66" s="722" t="s">
        <v>85</v>
      </c>
      <c r="C66" s="723" t="s">
        <v>69</v>
      </c>
      <c r="D66" s="723" t="s">
        <v>70</v>
      </c>
      <c r="E66" s="722">
        <v>2004</v>
      </c>
      <c r="F66" s="287">
        <v>61</v>
      </c>
      <c r="G66" s="65">
        <v>15</v>
      </c>
      <c r="H66" s="61" t="s">
        <v>183</v>
      </c>
      <c r="I66" s="62" t="s">
        <v>191</v>
      </c>
      <c r="J66" s="257"/>
      <c r="K66" s="258"/>
      <c r="L66" s="254"/>
      <c r="M66" s="255"/>
      <c r="N66" s="254"/>
      <c r="O66" s="254"/>
      <c r="P66" s="276"/>
    </row>
    <row r="67" spans="1:16" ht="20" customHeight="1" x14ac:dyDescent="0.2">
      <c r="A67" s="678"/>
      <c r="B67" s="722" t="s">
        <v>85</v>
      </c>
      <c r="C67" s="722" t="s">
        <v>71</v>
      </c>
      <c r="D67" s="764" t="s">
        <v>70</v>
      </c>
      <c r="E67" s="722">
        <v>2004</v>
      </c>
      <c r="F67" s="287">
        <v>45</v>
      </c>
      <c r="G67" s="65">
        <v>15</v>
      </c>
      <c r="H67" s="61" t="s">
        <v>183</v>
      </c>
      <c r="I67" s="62" t="s">
        <v>191</v>
      </c>
      <c r="J67" s="257"/>
      <c r="K67" s="253"/>
      <c r="L67" s="254"/>
      <c r="M67" s="255"/>
      <c r="N67" s="254"/>
      <c r="O67" s="254"/>
      <c r="P67" s="276"/>
    </row>
    <row r="68" spans="1:16" ht="20" customHeight="1" x14ac:dyDescent="0.2">
      <c r="A68" s="678"/>
      <c r="B68" s="722"/>
      <c r="C68" s="723" t="s">
        <v>276</v>
      </c>
      <c r="D68" s="723" t="s">
        <v>279</v>
      </c>
      <c r="E68" s="722">
        <v>2008</v>
      </c>
      <c r="F68" s="287"/>
      <c r="G68" s="65"/>
      <c r="H68" s="61"/>
      <c r="I68" s="62" t="s">
        <v>348</v>
      </c>
      <c r="J68" s="257"/>
      <c r="K68" s="255"/>
      <c r="L68" s="254"/>
      <c r="M68" s="254"/>
      <c r="N68" s="264"/>
      <c r="O68" s="264"/>
      <c r="P68" s="276"/>
    </row>
    <row r="69" spans="1:16" ht="20" customHeight="1" x14ac:dyDescent="0.2">
      <c r="A69" s="678"/>
      <c r="B69" s="722" t="s">
        <v>85</v>
      </c>
      <c r="C69" s="723" t="s">
        <v>277</v>
      </c>
      <c r="D69" s="723" t="s">
        <v>278</v>
      </c>
      <c r="E69" s="722">
        <v>2013</v>
      </c>
      <c r="F69" s="287"/>
      <c r="G69" s="65">
        <v>23</v>
      </c>
      <c r="H69" s="61"/>
      <c r="I69" s="62"/>
      <c r="J69" s="257"/>
      <c r="K69" s="253"/>
      <c r="L69" s="255"/>
      <c r="M69" s="255"/>
      <c r="N69" s="254"/>
      <c r="O69" s="254"/>
      <c r="P69" s="276"/>
    </row>
    <row r="70" spans="1:16" ht="20" customHeight="1" x14ac:dyDescent="0.2">
      <c r="A70" s="680"/>
      <c r="B70" s="722" t="s">
        <v>85</v>
      </c>
      <c r="C70" s="723" t="s">
        <v>639</v>
      </c>
      <c r="D70" s="723" t="s">
        <v>640</v>
      </c>
      <c r="E70" s="722">
        <v>2005</v>
      </c>
      <c r="F70" s="287"/>
      <c r="G70" s="65">
        <v>8</v>
      </c>
      <c r="H70" s="61" t="s">
        <v>641</v>
      </c>
      <c r="I70" s="62"/>
      <c r="J70" s="259"/>
      <c r="K70" s="253"/>
      <c r="L70" s="255"/>
      <c r="M70" s="255"/>
      <c r="N70" s="254"/>
      <c r="O70" s="254"/>
      <c r="P70" s="276"/>
    </row>
    <row r="71" spans="1:16" ht="20" customHeight="1" x14ac:dyDescent="0.2">
      <c r="A71" s="678"/>
      <c r="B71" s="727" t="s">
        <v>85</v>
      </c>
      <c r="C71" s="728" t="s">
        <v>349</v>
      </c>
      <c r="D71" s="728" t="s">
        <v>72</v>
      </c>
      <c r="E71" s="727">
        <v>2014</v>
      </c>
      <c r="F71" s="729">
        <v>23</v>
      </c>
      <c r="G71" s="65">
        <v>28</v>
      </c>
      <c r="H71" s="61" t="s">
        <v>184</v>
      </c>
      <c r="I71" s="62" t="s">
        <v>192</v>
      </c>
      <c r="J71" s="259"/>
      <c r="K71" s="265"/>
      <c r="L71" s="254"/>
      <c r="M71" s="255"/>
      <c r="N71" s="254"/>
      <c r="O71" s="254"/>
      <c r="P71" s="276"/>
    </row>
    <row r="72" spans="1:16" ht="20" customHeight="1" x14ac:dyDescent="0.2">
      <c r="A72" s="678"/>
      <c r="B72" s="722" t="s">
        <v>85</v>
      </c>
      <c r="C72" s="723" t="s">
        <v>280</v>
      </c>
      <c r="D72" s="723" t="s">
        <v>281</v>
      </c>
      <c r="E72" s="722">
        <v>2014</v>
      </c>
      <c r="F72" s="287"/>
      <c r="G72" s="65">
        <v>28</v>
      </c>
      <c r="H72" s="61" t="s">
        <v>184</v>
      </c>
      <c r="I72" s="62" t="s">
        <v>192</v>
      </c>
      <c r="J72" s="257"/>
      <c r="K72" s="255"/>
      <c r="L72" s="255"/>
      <c r="M72" s="255"/>
      <c r="N72" s="254"/>
      <c r="O72" s="254"/>
      <c r="P72" s="276"/>
    </row>
    <row r="73" spans="1:16" ht="20" customHeight="1" x14ac:dyDescent="0.2">
      <c r="A73" s="678"/>
      <c r="B73" s="727" t="s">
        <v>35</v>
      </c>
      <c r="C73" s="728" t="s">
        <v>73</v>
      </c>
      <c r="D73" s="728" t="s">
        <v>74</v>
      </c>
      <c r="E73" s="727">
        <v>2015</v>
      </c>
      <c r="F73" s="729">
        <v>6</v>
      </c>
      <c r="G73" s="65"/>
      <c r="H73" s="61"/>
      <c r="I73" s="62"/>
      <c r="J73" s="257"/>
      <c r="K73" s="254"/>
      <c r="L73" s="254"/>
      <c r="M73" s="254"/>
      <c r="N73" s="255"/>
      <c r="O73" s="254"/>
      <c r="P73" s="276"/>
    </row>
    <row r="74" spans="1:16" ht="20" customHeight="1" x14ac:dyDescent="0.2">
      <c r="A74" s="678"/>
      <c r="B74" s="727" t="s">
        <v>30</v>
      </c>
      <c r="C74" s="728" t="s">
        <v>75</v>
      </c>
      <c r="D74" s="728" t="s">
        <v>76</v>
      </c>
      <c r="E74" s="727">
        <v>2002</v>
      </c>
      <c r="F74" s="729">
        <v>434</v>
      </c>
      <c r="G74" s="65"/>
      <c r="H74" s="61" t="s">
        <v>185</v>
      </c>
      <c r="I74" s="62"/>
      <c r="J74" s="257"/>
      <c r="K74" s="265"/>
      <c r="L74" s="263"/>
      <c r="M74" s="263"/>
      <c r="N74" s="264"/>
      <c r="O74" s="264"/>
      <c r="P74" s="276"/>
    </row>
    <row r="75" spans="1:16" ht="20" customHeight="1" x14ac:dyDescent="0.2">
      <c r="A75" s="678"/>
      <c r="B75" s="722" t="s">
        <v>476</v>
      </c>
      <c r="C75" s="723" t="s">
        <v>77</v>
      </c>
      <c r="D75" s="723" t="s">
        <v>78</v>
      </c>
      <c r="E75" s="722">
        <v>2009</v>
      </c>
      <c r="F75" s="287">
        <v>134</v>
      </c>
      <c r="G75" s="65">
        <v>94</v>
      </c>
      <c r="H75" s="61" t="s">
        <v>474</v>
      </c>
      <c r="I75" s="62" t="s">
        <v>475</v>
      </c>
      <c r="J75" s="257"/>
      <c r="K75" s="255"/>
      <c r="L75" s="254"/>
      <c r="M75" s="254"/>
      <c r="N75" s="255"/>
      <c r="O75" s="254"/>
      <c r="P75" s="276"/>
    </row>
    <row r="76" spans="1:16" ht="20" customHeight="1" x14ac:dyDescent="0.2">
      <c r="A76" s="678"/>
      <c r="B76" s="722" t="s">
        <v>85</v>
      </c>
      <c r="C76" s="723" t="s">
        <v>282</v>
      </c>
      <c r="D76" s="723" t="s">
        <v>283</v>
      </c>
      <c r="E76" s="722">
        <v>2015</v>
      </c>
      <c r="F76" s="287"/>
      <c r="G76" s="65">
        <v>10</v>
      </c>
      <c r="H76" s="61" t="s">
        <v>340</v>
      </c>
      <c r="I76" s="62" t="s">
        <v>351</v>
      </c>
      <c r="J76" s="257"/>
      <c r="K76" s="253"/>
      <c r="L76" s="255"/>
      <c r="M76" s="255"/>
      <c r="N76" s="254"/>
      <c r="O76" s="255"/>
      <c r="P76" s="276"/>
    </row>
    <row r="77" spans="1:16" ht="20" customHeight="1" x14ac:dyDescent="0.2">
      <c r="A77" s="678"/>
      <c r="B77" s="722" t="s">
        <v>85</v>
      </c>
      <c r="C77" s="723" t="s">
        <v>79</v>
      </c>
      <c r="D77" s="723" t="s">
        <v>80</v>
      </c>
      <c r="E77" s="722">
        <v>2015</v>
      </c>
      <c r="F77" s="287">
        <v>10</v>
      </c>
      <c r="G77" s="65">
        <v>11</v>
      </c>
      <c r="H77" s="61" t="s">
        <v>194</v>
      </c>
      <c r="I77" s="62" t="s">
        <v>168</v>
      </c>
      <c r="J77" s="257"/>
      <c r="K77" s="255"/>
      <c r="L77" s="255"/>
      <c r="M77" s="255"/>
      <c r="N77" s="254"/>
      <c r="O77" s="254"/>
      <c r="P77" s="276"/>
    </row>
    <row r="78" spans="1:16" ht="20" customHeight="1" x14ac:dyDescent="0.2">
      <c r="A78" s="678"/>
      <c r="B78" s="722" t="s">
        <v>85</v>
      </c>
      <c r="C78" s="723" t="s">
        <v>526</v>
      </c>
      <c r="D78" s="723" t="s">
        <v>564</v>
      </c>
      <c r="E78" s="722">
        <v>1998</v>
      </c>
      <c r="F78" s="287"/>
      <c r="G78" s="65">
        <v>22</v>
      </c>
      <c r="H78" s="61" t="s">
        <v>184</v>
      </c>
      <c r="I78" s="62" t="s">
        <v>346</v>
      </c>
      <c r="J78" s="257"/>
      <c r="K78" s="255"/>
      <c r="L78" s="255"/>
      <c r="M78" s="255"/>
      <c r="N78" s="254"/>
      <c r="O78" s="255"/>
      <c r="P78" s="276"/>
    </row>
    <row r="79" spans="1:16" ht="20" customHeight="1" x14ac:dyDescent="0.2">
      <c r="A79" s="678"/>
      <c r="B79" s="722" t="s">
        <v>85</v>
      </c>
      <c r="C79" s="723" t="s">
        <v>81</v>
      </c>
      <c r="D79" s="723" t="s">
        <v>82</v>
      </c>
      <c r="E79" s="722">
        <v>1994</v>
      </c>
      <c r="F79" s="287">
        <v>292</v>
      </c>
      <c r="G79" s="65">
        <v>15</v>
      </c>
      <c r="H79" s="61" t="s">
        <v>195</v>
      </c>
      <c r="I79" s="62"/>
      <c r="J79" s="259"/>
      <c r="K79" s="253"/>
      <c r="L79" s="263"/>
      <c r="M79" s="254"/>
      <c r="N79" s="264"/>
      <c r="O79" s="264"/>
      <c r="P79" s="276"/>
    </row>
    <row r="80" spans="1:16" ht="20" customHeight="1" x14ac:dyDescent="0.2">
      <c r="A80" s="678"/>
      <c r="B80" s="722" t="s">
        <v>85</v>
      </c>
      <c r="C80" s="723" t="s">
        <v>83</v>
      </c>
      <c r="D80" s="723" t="s">
        <v>84</v>
      </c>
      <c r="E80" s="722">
        <v>2000</v>
      </c>
      <c r="F80" s="287">
        <v>146</v>
      </c>
      <c r="G80" s="65">
        <v>42</v>
      </c>
      <c r="H80" s="61" t="s">
        <v>352</v>
      </c>
      <c r="I80" s="62"/>
      <c r="J80" s="257"/>
      <c r="K80" s="255"/>
      <c r="L80" s="254"/>
      <c r="M80" s="254"/>
      <c r="N80" s="254"/>
      <c r="O80" s="254"/>
      <c r="P80" s="276" t="s">
        <v>642</v>
      </c>
    </row>
    <row r="81" spans="1:16" ht="20" customHeight="1" x14ac:dyDescent="0.2">
      <c r="A81" s="680"/>
      <c r="B81" s="722"/>
      <c r="C81" s="723" t="s">
        <v>643</v>
      </c>
      <c r="D81" s="723" t="s">
        <v>704</v>
      </c>
      <c r="E81" s="722">
        <v>2001</v>
      </c>
      <c r="F81" s="287"/>
      <c r="G81" s="65">
        <v>1</v>
      </c>
      <c r="H81" s="61"/>
      <c r="I81" s="62" t="s">
        <v>644</v>
      </c>
      <c r="J81" s="259"/>
      <c r="K81" s="253"/>
      <c r="L81" s="263"/>
      <c r="M81" s="254"/>
      <c r="N81" s="255"/>
      <c r="O81" s="254"/>
      <c r="P81" s="276"/>
    </row>
    <row r="82" spans="1:16" ht="20" customHeight="1" x14ac:dyDescent="0.2">
      <c r="A82" s="678"/>
      <c r="B82" s="727" t="s">
        <v>35</v>
      </c>
      <c r="C82" s="728" t="s">
        <v>87</v>
      </c>
      <c r="D82" s="728" t="s">
        <v>88</v>
      </c>
      <c r="E82" s="727">
        <v>1996</v>
      </c>
      <c r="F82" s="729">
        <v>187</v>
      </c>
      <c r="G82" s="65">
        <v>100</v>
      </c>
      <c r="H82" s="61" t="s">
        <v>197</v>
      </c>
      <c r="I82" s="62"/>
      <c r="J82" s="259"/>
      <c r="K82" s="253"/>
      <c r="L82" s="263"/>
      <c r="M82" s="263"/>
      <c r="N82" s="264"/>
      <c r="O82" s="264"/>
      <c r="P82" s="276"/>
    </row>
    <row r="83" spans="1:16" ht="20" customHeight="1" x14ac:dyDescent="0.2">
      <c r="A83" s="678"/>
      <c r="B83" s="722" t="s">
        <v>85</v>
      </c>
      <c r="C83" s="723" t="s">
        <v>89</v>
      </c>
      <c r="D83" s="723" t="s">
        <v>90</v>
      </c>
      <c r="E83" s="722">
        <v>2000</v>
      </c>
      <c r="F83" s="287">
        <v>79</v>
      </c>
      <c r="G83" s="65">
        <v>10</v>
      </c>
      <c r="H83" s="61" t="s">
        <v>167</v>
      </c>
      <c r="I83" s="62" t="s">
        <v>645</v>
      </c>
      <c r="J83" s="259"/>
      <c r="K83" s="253"/>
      <c r="L83" s="263"/>
      <c r="M83" s="254"/>
      <c r="N83" s="255"/>
      <c r="O83" s="254"/>
      <c r="P83" s="276"/>
    </row>
    <row r="84" spans="1:16" ht="20" customHeight="1" x14ac:dyDescent="0.2">
      <c r="A84" s="680"/>
      <c r="B84" s="722" t="s">
        <v>85</v>
      </c>
      <c r="C84" s="723" t="s">
        <v>528</v>
      </c>
      <c r="D84" s="723" t="s">
        <v>529</v>
      </c>
      <c r="E84" s="722">
        <v>2000</v>
      </c>
      <c r="F84" s="287"/>
      <c r="G84" s="65">
        <v>19</v>
      </c>
      <c r="H84" s="61" t="s">
        <v>340</v>
      </c>
      <c r="I84" s="62" t="s">
        <v>333</v>
      </c>
      <c r="J84" s="257"/>
      <c r="K84" s="256"/>
      <c r="L84" s="256"/>
      <c r="M84" s="254"/>
      <c r="N84" s="256"/>
      <c r="O84" s="254"/>
      <c r="P84" s="276"/>
    </row>
    <row r="85" spans="1:16" ht="20" customHeight="1" x14ac:dyDescent="0.2">
      <c r="A85" s="678"/>
      <c r="B85" s="722"/>
      <c r="C85" s="723" t="s">
        <v>284</v>
      </c>
      <c r="D85" s="723" t="s">
        <v>285</v>
      </c>
      <c r="E85" s="722">
        <v>2005</v>
      </c>
      <c r="F85" s="287"/>
      <c r="G85" s="65">
        <v>13</v>
      </c>
      <c r="H85" s="61" t="s">
        <v>353</v>
      </c>
      <c r="I85" s="62"/>
      <c r="J85" s="257"/>
      <c r="K85" s="255"/>
      <c r="L85" s="254"/>
      <c r="M85" s="254"/>
      <c r="N85" s="264"/>
      <c r="O85" s="254"/>
      <c r="P85" s="276"/>
    </row>
    <row r="86" spans="1:16" ht="20" customHeight="1" x14ac:dyDescent="0.2">
      <c r="A86" s="680"/>
      <c r="B86" s="722" t="s">
        <v>85</v>
      </c>
      <c r="C86" s="723" t="s">
        <v>646</v>
      </c>
      <c r="D86" s="723" t="s">
        <v>647</v>
      </c>
      <c r="E86" s="722">
        <v>1998</v>
      </c>
      <c r="F86" s="287"/>
      <c r="G86" s="65">
        <v>18</v>
      </c>
      <c r="H86" s="61" t="s">
        <v>217</v>
      </c>
      <c r="I86" s="62"/>
      <c r="J86" s="259"/>
      <c r="K86" s="265"/>
      <c r="L86" s="263"/>
      <c r="M86" s="255"/>
      <c r="N86" s="254"/>
      <c r="O86" s="255"/>
      <c r="P86" s="276"/>
    </row>
    <row r="87" spans="1:16" ht="20" customHeight="1" x14ac:dyDescent="0.2">
      <c r="A87" s="678"/>
      <c r="B87" s="722" t="s">
        <v>85</v>
      </c>
      <c r="C87" s="723" t="s">
        <v>91</v>
      </c>
      <c r="D87" s="723" t="s">
        <v>92</v>
      </c>
      <c r="E87" s="722">
        <v>2001</v>
      </c>
      <c r="F87" s="287">
        <v>170</v>
      </c>
      <c r="G87" s="65">
        <v>20</v>
      </c>
      <c r="H87" s="61" t="s">
        <v>175</v>
      </c>
      <c r="I87" s="62" t="s">
        <v>168</v>
      </c>
      <c r="J87" s="257"/>
      <c r="K87" s="253"/>
      <c r="L87" s="255"/>
      <c r="M87" s="255"/>
      <c r="N87" s="254"/>
      <c r="O87" s="254"/>
      <c r="P87" s="276"/>
    </row>
    <row r="88" spans="1:16" ht="20" customHeight="1" x14ac:dyDescent="0.2">
      <c r="A88" s="678"/>
      <c r="B88" s="727" t="s">
        <v>49</v>
      </c>
      <c r="C88" s="728" t="s">
        <v>93</v>
      </c>
      <c r="D88" s="728" t="s">
        <v>94</v>
      </c>
      <c r="E88" s="727">
        <v>2015</v>
      </c>
      <c r="F88" s="729">
        <v>22</v>
      </c>
      <c r="G88" s="65"/>
      <c r="H88" s="61"/>
      <c r="I88" s="62"/>
      <c r="J88" s="259"/>
      <c r="K88" s="265"/>
      <c r="L88" s="263"/>
      <c r="M88" s="263"/>
      <c r="N88" s="264"/>
      <c r="O88" s="264"/>
      <c r="P88" s="276"/>
    </row>
    <row r="89" spans="1:16" ht="20" customHeight="1" x14ac:dyDescent="0.2">
      <c r="A89" s="678"/>
      <c r="B89" s="722" t="s">
        <v>85</v>
      </c>
      <c r="C89" s="723" t="s">
        <v>286</v>
      </c>
      <c r="D89" s="723" t="s">
        <v>287</v>
      </c>
      <c r="E89" s="722">
        <v>2009</v>
      </c>
      <c r="F89" s="287"/>
      <c r="G89" s="65">
        <v>20</v>
      </c>
      <c r="H89" s="61" t="s">
        <v>213</v>
      </c>
      <c r="I89" s="62" t="s">
        <v>190</v>
      </c>
      <c r="J89" s="257"/>
      <c r="K89" s="253"/>
      <c r="L89" s="255"/>
      <c r="M89" s="255"/>
      <c r="N89" s="253"/>
      <c r="O89" s="253"/>
      <c r="P89" s="276"/>
    </row>
    <row r="90" spans="1:16" ht="20" customHeight="1" x14ac:dyDescent="0.2">
      <c r="A90" s="678"/>
      <c r="B90" s="722" t="s">
        <v>85</v>
      </c>
      <c r="C90" s="723" t="s">
        <v>288</v>
      </c>
      <c r="D90" s="723" t="s">
        <v>289</v>
      </c>
      <c r="E90" s="722">
        <v>2006</v>
      </c>
      <c r="F90" s="287"/>
      <c r="G90" s="65">
        <v>10</v>
      </c>
      <c r="H90" s="61" t="s">
        <v>356</v>
      </c>
      <c r="I90" s="62" t="s">
        <v>168</v>
      </c>
      <c r="J90" s="257"/>
      <c r="K90" s="253"/>
      <c r="L90" s="253"/>
      <c r="M90" s="255"/>
      <c r="N90" s="253"/>
      <c r="O90" s="253"/>
      <c r="P90" s="276" t="s">
        <v>648</v>
      </c>
    </row>
    <row r="91" spans="1:16" ht="20" customHeight="1" x14ac:dyDescent="0.2">
      <c r="A91" s="680"/>
      <c r="B91" s="722" t="s">
        <v>85</v>
      </c>
      <c r="C91" s="723" t="s">
        <v>531</v>
      </c>
      <c r="D91" s="723" t="s">
        <v>532</v>
      </c>
      <c r="E91" s="722">
        <v>2010</v>
      </c>
      <c r="F91" s="287"/>
      <c r="G91" s="65">
        <v>8</v>
      </c>
      <c r="H91" s="61" t="s">
        <v>213</v>
      </c>
      <c r="I91" s="62" t="s">
        <v>168</v>
      </c>
      <c r="J91" s="257"/>
      <c r="K91" s="253"/>
      <c r="L91" s="255"/>
      <c r="M91" s="255"/>
      <c r="N91" s="254"/>
      <c r="O91" s="254"/>
      <c r="P91" s="276"/>
    </row>
    <row r="92" spans="1:16" ht="20" customHeight="1" x14ac:dyDescent="0.2">
      <c r="A92" s="678"/>
      <c r="B92" s="722" t="s">
        <v>85</v>
      </c>
      <c r="C92" s="723" t="s">
        <v>292</v>
      </c>
      <c r="D92" s="723" t="s">
        <v>293</v>
      </c>
      <c r="E92" s="722">
        <v>2016</v>
      </c>
      <c r="F92" s="287"/>
      <c r="G92" s="65">
        <v>25</v>
      </c>
      <c r="H92" s="61" t="s">
        <v>213</v>
      </c>
      <c r="I92" s="62" t="s">
        <v>191</v>
      </c>
      <c r="J92" s="259"/>
      <c r="K92" s="265"/>
      <c r="L92" s="255"/>
      <c r="M92" s="255"/>
      <c r="N92" s="254"/>
      <c r="O92" s="254"/>
      <c r="P92" s="276"/>
    </row>
    <row r="93" spans="1:16" ht="20" customHeight="1" x14ac:dyDescent="0.2">
      <c r="A93" s="678"/>
      <c r="B93" s="727" t="s">
        <v>49</v>
      </c>
      <c r="C93" s="728" t="s">
        <v>95</v>
      </c>
      <c r="D93" s="728" t="s">
        <v>96</v>
      </c>
      <c r="E93" s="727">
        <v>1996</v>
      </c>
      <c r="F93" s="729">
        <v>71</v>
      </c>
      <c r="G93" s="65"/>
      <c r="H93" s="61"/>
      <c r="I93" s="62"/>
      <c r="J93" s="259"/>
      <c r="K93" s="265"/>
      <c r="L93" s="263"/>
      <c r="M93" s="263"/>
      <c r="N93" s="264"/>
      <c r="O93" s="264"/>
      <c r="P93" s="276"/>
    </row>
    <row r="94" spans="1:16" ht="20" customHeight="1" x14ac:dyDescent="0.2">
      <c r="A94" s="678"/>
      <c r="B94" s="727" t="s">
        <v>30</v>
      </c>
      <c r="C94" s="728" t="s">
        <v>97</v>
      </c>
      <c r="D94" s="728" t="s">
        <v>98</v>
      </c>
      <c r="E94" s="727">
        <v>2011</v>
      </c>
      <c r="F94" s="729">
        <v>74</v>
      </c>
      <c r="G94" s="65">
        <v>221</v>
      </c>
      <c r="H94" s="61"/>
      <c r="I94" s="62"/>
      <c r="J94" s="257"/>
      <c r="K94" s="253"/>
      <c r="L94" s="263"/>
      <c r="M94" s="263"/>
      <c r="N94" s="264"/>
      <c r="O94" s="264"/>
      <c r="P94" s="276"/>
    </row>
    <row r="95" spans="1:16" ht="20" customHeight="1" x14ac:dyDescent="0.2">
      <c r="A95" s="678"/>
      <c r="B95" s="722" t="s">
        <v>85</v>
      </c>
      <c r="C95" s="723" t="s">
        <v>290</v>
      </c>
      <c r="D95" s="723" t="s">
        <v>291</v>
      </c>
      <c r="E95" s="722">
        <v>2011</v>
      </c>
      <c r="F95" s="287"/>
      <c r="G95" s="65">
        <v>244</v>
      </c>
      <c r="H95" s="61" t="s">
        <v>210</v>
      </c>
      <c r="I95" s="62" t="s">
        <v>649</v>
      </c>
      <c r="J95" s="257"/>
      <c r="K95" s="255"/>
      <c r="L95" s="255"/>
      <c r="M95" s="254"/>
      <c r="N95" s="255"/>
      <c r="O95" s="254"/>
      <c r="P95" s="276"/>
    </row>
    <row r="96" spans="1:16" ht="20" customHeight="1" x14ac:dyDescent="0.2">
      <c r="A96" s="680"/>
      <c r="B96" s="722" t="s">
        <v>85</v>
      </c>
      <c r="C96" s="723" t="s">
        <v>650</v>
      </c>
      <c r="D96" s="723" t="s">
        <v>651</v>
      </c>
      <c r="E96" s="722">
        <v>2003</v>
      </c>
      <c r="F96" s="287"/>
      <c r="G96" s="65"/>
      <c r="H96" s="61" t="s">
        <v>210</v>
      </c>
      <c r="I96" s="62" t="s">
        <v>209</v>
      </c>
      <c r="J96" s="259"/>
      <c r="K96" s="265"/>
      <c r="L96" s="255"/>
      <c r="M96" s="256"/>
      <c r="N96" s="254"/>
      <c r="O96" s="254"/>
      <c r="P96" s="276"/>
    </row>
    <row r="97" spans="1:16" ht="20" customHeight="1" x14ac:dyDescent="0.2">
      <c r="A97" s="678"/>
      <c r="B97" s="722" t="s">
        <v>85</v>
      </c>
      <c r="C97" s="723" t="s">
        <v>99</v>
      </c>
      <c r="D97" s="723" t="s">
        <v>100</v>
      </c>
      <c r="E97" s="722">
        <v>2002</v>
      </c>
      <c r="F97" s="287">
        <v>103</v>
      </c>
      <c r="G97" s="65">
        <v>8</v>
      </c>
      <c r="H97" s="61" t="s">
        <v>213</v>
      </c>
      <c r="I97" s="62" t="s">
        <v>189</v>
      </c>
      <c r="J97" s="257"/>
      <c r="K97" s="255"/>
      <c r="L97" s="254"/>
      <c r="M97" s="256"/>
      <c r="N97" s="256"/>
      <c r="O97" s="254"/>
      <c r="P97" s="276"/>
    </row>
    <row r="98" spans="1:16" ht="20" customHeight="1" x14ac:dyDescent="0.2">
      <c r="A98" s="680"/>
      <c r="B98" s="722" t="s">
        <v>85</v>
      </c>
      <c r="C98" s="723" t="s">
        <v>652</v>
      </c>
      <c r="D98" s="723" t="s">
        <v>653</v>
      </c>
      <c r="E98" s="722">
        <v>1991</v>
      </c>
      <c r="F98" s="287"/>
      <c r="G98" s="65">
        <v>13</v>
      </c>
      <c r="H98" s="61" t="s">
        <v>655</v>
      </c>
      <c r="I98" s="62" t="s">
        <v>191</v>
      </c>
      <c r="J98" s="259"/>
      <c r="K98" s="265"/>
      <c r="L98" s="265"/>
      <c r="M98" s="256"/>
      <c r="N98" s="254"/>
      <c r="O98" s="254"/>
      <c r="P98" s="276"/>
    </row>
    <row r="99" spans="1:16" ht="20" customHeight="1" x14ac:dyDescent="0.2">
      <c r="A99" s="680"/>
      <c r="B99" s="722" t="s">
        <v>85</v>
      </c>
      <c r="C99" s="723" t="s">
        <v>533</v>
      </c>
      <c r="D99" s="723" t="s">
        <v>654</v>
      </c>
      <c r="E99" s="722">
        <v>1998</v>
      </c>
      <c r="F99" s="287"/>
      <c r="G99" s="65">
        <v>9</v>
      </c>
      <c r="H99" s="61" t="s">
        <v>535</v>
      </c>
      <c r="I99" s="62" t="s">
        <v>168</v>
      </c>
      <c r="J99" s="257"/>
      <c r="K99" s="254"/>
      <c r="L99" s="256"/>
      <c r="M99" s="256"/>
      <c r="N99" s="254"/>
      <c r="O99" s="254"/>
      <c r="P99" s="276"/>
    </row>
    <row r="100" spans="1:16" ht="20" customHeight="1" x14ac:dyDescent="0.2">
      <c r="A100" s="678"/>
      <c r="B100" s="727" t="s">
        <v>30</v>
      </c>
      <c r="C100" s="728" t="s">
        <v>101</v>
      </c>
      <c r="D100" s="728" t="s">
        <v>102</v>
      </c>
      <c r="E100" s="727">
        <v>2014</v>
      </c>
      <c r="F100" s="729">
        <v>30</v>
      </c>
      <c r="G100" s="65"/>
      <c r="H100" s="61"/>
      <c r="I100" s="62"/>
      <c r="J100" s="257"/>
      <c r="K100" s="253"/>
      <c r="L100" s="263"/>
      <c r="M100" s="263"/>
      <c r="N100" s="264"/>
      <c r="O100" s="264"/>
      <c r="P100" s="276"/>
    </row>
    <row r="101" spans="1:16" ht="20" customHeight="1" x14ac:dyDescent="0.2">
      <c r="A101" s="680"/>
      <c r="B101" s="722" t="s">
        <v>85</v>
      </c>
      <c r="C101" s="723" t="s">
        <v>656</v>
      </c>
      <c r="D101" s="723" t="s">
        <v>657</v>
      </c>
      <c r="E101" s="722">
        <v>2007</v>
      </c>
      <c r="F101" s="757"/>
      <c r="G101" s="65"/>
      <c r="H101" s="61" t="s">
        <v>213</v>
      </c>
      <c r="I101" s="62" t="s">
        <v>168</v>
      </c>
      <c r="J101" s="259"/>
      <c r="K101" s="265"/>
      <c r="L101" s="256"/>
      <c r="M101" s="256"/>
      <c r="N101" s="254"/>
      <c r="O101" s="254"/>
      <c r="P101" s="276"/>
    </row>
    <row r="102" spans="1:16" ht="20" customHeight="1" x14ac:dyDescent="0.2">
      <c r="A102" s="678"/>
      <c r="B102" s="722"/>
      <c r="C102" s="723" t="s">
        <v>294</v>
      </c>
      <c r="D102" s="723" t="s">
        <v>295</v>
      </c>
      <c r="E102" s="722">
        <v>2013</v>
      </c>
      <c r="F102" s="287"/>
      <c r="G102" s="65">
        <v>18</v>
      </c>
      <c r="H102" s="61"/>
      <c r="I102" s="62"/>
      <c r="J102" s="257"/>
      <c r="K102" s="253"/>
      <c r="L102" s="253"/>
      <c r="M102" s="253"/>
      <c r="N102" s="253"/>
      <c r="O102" s="256"/>
      <c r="P102" s="276"/>
    </row>
    <row r="103" spans="1:16" ht="20" customHeight="1" x14ac:dyDescent="0.2">
      <c r="A103" s="680"/>
      <c r="B103" s="722" t="s">
        <v>85</v>
      </c>
      <c r="C103" s="723" t="s">
        <v>658</v>
      </c>
      <c r="D103" s="723" t="s">
        <v>659</v>
      </c>
      <c r="E103" s="722">
        <v>2012</v>
      </c>
      <c r="F103" s="287"/>
      <c r="G103" s="65">
        <v>11</v>
      </c>
      <c r="H103" s="61"/>
      <c r="I103" s="62" t="s">
        <v>660</v>
      </c>
      <c r="J103" s="259"/>
      <c r="K103" s="265"/>
      <c r="L103" s="263"/>
      <c r="M103" s="256"/>
      <c r="N103" s="256"/>
      <c r="O103" s="254"/>
      <c r="P103" s="276"/>
    </row>
    <row r="104" spans="1:16" ht="20" customHeight="1" x14ac:dyDescent="0.2">
      <c r="A104" s="678"/>
      <c r="B104" s="722" t="s">
        <v>85</v>
      </c>
      <c r="C104" s="723" t="s">
        <v>296</v>
      </c>
      <c r="D104" s="723" t="s">
        <v>297</v>
      </c>
      <c r="E104" s="722">
        <v>2015</v>
      </c>
      <c r="F104" s="287"/>
      <c r="G104" s="65">
        <v>41</v>
      </c>
      <c r="H104" s="61" t="s">
        <v>184</v>
      </c>
      <c r="I104" s="62"/>
      <c r="J104" s="257"/>
      <c r="K104" s="253"/>
      <c r="L104" s="253"/>
      <c r="M104" s="253"/>
      <c r="N104" s="253"/>
      <c r="O104" s="264"/>
      <c r="P104" s="276"/>
    </row>
    <row r="105" spans="1:16" ht="20" customHeight="1" x14ac:dyDescent="0.2">
      <c r="A105" s="680"/>
      <c r="B105" s="722"/>
      <c r="C105" s="723" t="s">
        <v>661</v>
      </c>
      <c r="D105" s="723" t="s">
        <v>662</v>
      </c>
      <c r="E105" s="722">
        <v>1999</v>
      </c>
      <c r="F105" s="287"/>
      <c r="G105" s="65">
        <v>2</v>
      </c>
      <c r="H105" s="61" t="s">
        <v>664</v>
      </c>
      <c r="I105" s="62" t="s">
        <v>663</v>
      </c>
      <c r="J105" s="259"/>
      <c r="K105" s="253"/>
      <c r="L105" s="263"/>
      <c r="M105" s="256"/>
      <c r="N105" s="256"/>
      <c r="O105" s="254"/>
      <c r="P105" s="276"/>
    </row>
    <row r="106" spans="1:16" ht="20" customHeight="1" x14ac:dyDescent="0.2">
      <c r="A106" s="680"/>
      <c r="B106" s="722" t="s">
        <v>85</v>
      </c>
      <c r="C106" s="723" t="s">
        <v>665</v>
      </c>
      <c r="D106" s="723" t="s">
        <v>666</v>
      </c>
      <c r="E106" s="722">
        <v>2012</v>
      </c>
      <c r="F106" s="287"/>
      <c r="G106" s="65">
        <v>26</v>
      </c>
      <c r="H106" s="61" t="s">
        <v>220</v>
      </c>
      <c r="I106" s="62" t="s">
        <v>667</v>
      </c>
      <c r="J106" s="257"/>
      <c r="K106" s="256"/>
      <c r="L106" s="256"/>
      <c r="M106" s="256"/>
      <c r="N106" s="254"/>
      <c r="O106" s="254"/>
      <c r="P106" s="276"/>
    </row>
    <row r="107" spans="1:16" ht="20" customHeight="1" thickBot="1" x14ac:dyDescent="0.25">
      <c r="A107" s="678"/>
      <c r="B107" s="722" t="s">
        <v>85</v>
      </c>
      <c r="C107" s="723" t="s">
        <v>103</v>
      </c>
      <c r="D107" s="723" t="s">
        <v>104</v>
      </c>
      <c r="E107" s="722">
        <v>1996</v>
      </c>
      <c r="F107" s="287">
        <v>12</v>
      </c>
      <c r="G107" s="65">
        <v>97</v>
      </c>
      <c r="H107" s="61" t="s">
        <v>202</v>
      </c>
      <c r="I107" s="62" t="s">
        <v>203</v>
      </c>
      <c r="J107" s="257"/>
      <c r="K107" s="255"/>
      <c r="L107" s="254"/>
      <c r="M107" s="254"/>
      <c r="N107" s="256"/>
      <c r="O107" s="254"/>
      <c r="P107" s="276"/>
    </row>
    <row r="108" spans="1:16" ht="20" customHeight="1" x14ac:dyDescent="0.2">
      <c r="A108" s="680"/>
      <c r="B108" s="722" t="s">
        <v>85</v>
      </c>
      <c r="C108" s="723" t="s">
        <v>668</v>
      </c>
      <c r="D108" s="723" t="s">
        <v>669</v>
      </c>
      <c r="E108" s="722">
        <v>1998</v>
      </c>
      <c r="F108" s="287"/>
      <c r="G108" s="65">
        <v>25</v>
      </c>
      <c r="H108" s="61" t="s">
        <v>175</v>
      </c>
      <c r="I108" s="62" t="s">
        <v>191</v>
      </c>
      <c r="J108" s="257"/>
      <c r="K108" s="262"/>
      <c r="L108" s="256"/>
      <c r="M108" s="256"/>
      <c r="N108" s="254"/>
      <c r="O108" s="254"/>
      <c r="P108" s="276"/>
    </row>
    <row r="109" spans="1:16" ht="20" customHeight="1" x14ac:dyDescent="0.2">
      <c r="A109" s="678"/>
      <c r="B109" s="722" t="s">
        <v>85</v>
      </c>
      <c r="C109" s="723" t="s">
        <v>298</v>
      </c>
      <c r="D109" s="723" t="s">
        <v>299</v>
      </c>
      <c r="E109" s="722">
        <v>2009</v>
      </c>
      <c r="F109" s="287"/>
      <c r="G109" s="65">
        <v>68</v>
      </c>
      <c r="H109" s="61" t="s">
        <v>213</v>
      </c>
      <c r="I109" s="62" t="s">
        <v>360</v>
      </c>
      <c r="J109" s="257"/>
      <c r="K109" s="253"/>
      <c r="L109" s="253"/>
      <c r="M109" s="256"/>
      <c r="N109" s="254"/>
      <c r="O109" s="254"/>
      <c r="P109" s="276"/>
    </row>
    <row r="110" spans="1:16" ht="20" customHeight="1" x14ac:dyDescent="0.2">
      <c r="A110" s="678"/>
      <c r="B110" s="722" t="s">
        <v>85</v>
      </c>
      <c r="C110" s="723" t="s">
        <v>105</v>
      </c>
      <c r="D110" s="723" t="s">
        <v>106</v>
      </c>
      <c r="E110" s="722">
        <v>1989</v>
      </c>
      <c r="F110" s="287">
        <v>27</v>
      </c>
      <c r="G110" s="65"/>
      <c r="H110" s="61" t="s">
        <v>208</v>
      </c>
      <c r="I110" s="62" t="s">
        <v>177</v>
      </c>
      <c r="J110" s="259"/>
      <c r="K110" s="265"/>
      <c r="L110" s="256"/>
      <c r="M110" s="256"/>
      <c r="N110" s="254"/>
      <c r="O110" s="254"/>
      <c r="P110" s="276"/>
    </row>
    <row r="111" spans="1:16" ht="20" customHeight="1" x14ac:dyDescent="0.2">
      <c r="A111" s="678"/>
      <c r="B111" s="722" t="s">
        <v>85</v>
      </c>
      <c r="C111" s="723" t="s">
        <v>300</v>
      </c>
      <c r="D111" s="723" t="s">
        <v>301</v>
      </c>
      <c r="E111" s="722">
        <v>2011</v>
      </c>
      <c r="F111" s="287"/>
      <c r="G111" s="65"/>
      <c r="H111" s="61"/>
      <c r="I111" s="62"/>
      <c r="J111" s="259"/>
      <c r="K111" s="253"/>
      <c r="L111" s="254"/>
      <c r="M111" s="256"/>
      <c r="N111" s="254"/>
      <c r="O111" s="256"/>
      <c r="P111" s="276"/>
    </row>
    <row r="112" spans="1:16" ht="20" customHeight="1" x14ac:dyDescent="0.2">
      <c r="A112" s="680"/>
      <c r="B112" s="722" t="s">
        <v>85</v>
      </c>
      <c r="C112" s="723" t="s">
        <v>670</v>
      </c>
      <c r="D112" s="723" t="s">
        <v>671</v>
      </c>
      <c r="E112" s="722">
        <v>2003</v>
      </c>
      <c r="F112" s="287"/>
      <c r="G112" s="65"/>
      <c r="H112" s="61" t="s">
        <v>672</v>
      </c>
      <c r="I112" s="62" t="s">
        <v>177</v>
      </c>
      <c r="J112" s="259"/>
      <c r="K112" s="263"/>
      <c r="L112" s="256"/>
      <c r="M112" s="256"/>
      <c r="N112" s="254"/>
      <c r="O112" s="254"/>
      <c r="P112" s="276"/>
    </row>
    <row r="113" spans="1:16" ht="20" customHeight="1" x14ac:dyDescent="0.2">
      <c r="A113" s="678"/>
      <c r="B113" s="722" t="s">
        <v>85</v>
      </c>
      <c r="C113" s="723" t="s">
        <v>302</v>
      </c>
      <c r="D113" s="723" t="s">
        <v>303</v>
      </c>
      <c r="E113" s="722">
        <v>1977</v>
      </c>
      <c r="F113" s="287"/>
      <c r="G113" s="65">
        <v>5</v>
      </c>
      <c r="H113" s="61" t="s">
        <v>362</v>
      </c>
      <c r="I113" s="62"/>
      <c r="J113" s="259"/>
      <c r="K113" s="255"/>
      <c r="L113" s="254"/>
      <c r="M113" s="254"/>
      <c r="N113" s="264"/>
      <c r="O113" s="264"/>
      <c r="P113" s="276"/>
    </row>
    <row r="114" spans="1:16" ht="20" customHeight="1" x14ac:dyDescent="0.2">
      <c r="A114" s="678"/>
      <c r="B114" s="722" t="s">
        <v>85</v>
      </c>
      <c r="C114" s="723" t="s">
        <v>107</v>
      </c>
      <c r="D114" s="723" t="s">
        <v>108</v>
      </c>
      <c r="E114" s="722">
        <v>2008</v>
      </c>
      <c r="F114" s="287">
        <v>54</v>
      </c>
      <c r="G114" s="65">
        <v>12</v>
      </c>
      <c r="H114" s="61" t="s">
        <v>167</v>
      </c>
      <c r="I114" s="62" t="s">
        <v>209</v>
      </c>
      <c r="J114" s="257"/>
      <c r="K114" s="255"/>
      <c r="L114" s="256"/>
      <c r="M114" s="256"/>
      <c r="N114" s="254"/>
      <c r="O114" s="254"/>
      <c r="P114" s="276"/>
    </row>
    <row r="115" spans="1:16" ht="20" customHeight="1" x14ac:dyDescent="0.2">
      <c r="A115" s="678"/>
      <c r="B115" s="722" t="s">
        <v>85</v>
      </c>
      <c r="C115" s="723" t="s">
        <v>109</v>
      </c>
      <c r="D115" s="723" t="s">
        <v>110</v>
      </c>
      <c r="E115" s="722">
        <v>1999</v>
      </c>
      <c r="F115" s="287">
        <v>76</v>
      </c>
      <c r="G115" s="65">
        <v>7</v>
      </c>
      <c r="H115" s="61" t="s">
        <v>175</v>
      </c>
      <c r="I115" s="62" t="s">
        <v>191</v>
      </c>
      <c r="J115" s="257"/>
      <c r="K115" s="253"/>
      <c r="L115" s="256"/>
      <c r="M115" s="256"/>
      <c r="N115" s="254"/>
      <c r="O115" s="254"/>
      <c r="P115" s="276"/>
    </row>
    <row r="116" spans="1:16" ht="20" customHeight="1" x14ac:dyDescent="0.2">
      <c r="A116" s="678"/>
      <c r="B116" s="722" t="s">
        <v>85</v>
      </c>
      <c r="C116" s="723" t="s">
        <v>111</v>
      </c>
      <c r="D116" s="723" t="s">
        <v>112</v>
      </c>
      <c r="E116" s="722">
        <v>2008</v>
      </c>
      <c r="F116" s="287">
        <v>101</v>
      </c>
      <c r="G116" s="65">
        <v>16</v>
      </c>
      <c r="H116" s="61" t="s">
        <v>210</v>
      </c>
      <c r="I116" s="62"/>
      <c r="J116" s="259"/>
      <c r="K116" s="253"/>
      <c r="L116" s="254"/>
      <c r="M116" s="256"/>
      <c r="N116" s="254"/>
      <c r="O116" s="256"/>
      <c r="P116" s="276"/>
    </row>
    <row r="117" spans="1:16" ht="20" customHeight="1" x14ac:dyDescent="0.2">
      <c r="A117" s="680"/>
      <c r="B117" s="722" t="s">
        <v>85</v>
      </c>
      <c r="C117" s="723" t="s">
        <v>673</v>
      </c>
      <c r="D117" s="723" t="s">
        <v>674</v>
      </c>
      <c r="E117" s="722">
        <v>2003</v>
      </c>
      <c r="F117" s="287"/>
      <c r="G117" s="65">
        <v>15</v>
      </c>
      <c r="H117" s="61" t="s">
        <v>213</v>
      </c>
      <c r="I117" s="62" t="s">
        <v>675</v>
      </c>
      <c r="J117" s="259"/>
      <c r="K117" s="263"/>
      <c r="L117" s="256"/>
      <c r="M117" s="254"/>
      <c r="N117" s="254"/>
      <c r="O117" s="254"/>
      <c r="P117" s="276"/>
    </row>
    <row r="118" spans="1:16" ht="20" customHeight="1" x14ac:dyDescent="0.2">
      <c r="A118" s="678"/>
      <c r="B118" s="722" t="s">
        <v>85</v>
      </c>
      <c r="C118" s="723" t="s">
        <v>113</v>
      </c>
      <c r="D118" s="723" t="s">
        <v>114</v>
      </c>
      <c r="E118" s="722">
        <v>1997</v>
      </c>
      <c r="F118" s="287">
        <v>127</v>
      </c>
      <c r="G118" s="65">
        <v>8</v>
      </c>
      <c r="H118" s="61" t="s">
        <v>211</v>
      </c>
      <c r="I118" s="62" t="s">
        <v>676</v>
      </c>
      <c r="J118" s="257"/>
      <c r="K118" s="256"/>
      <c r="L118" s="263"/>
      <c r="M118" s="254"/>
      <c r="N118" s="256"/>
      <c r="O118" s="254"/>
      <c r="P118" s="276"/>
    </row>
    <row r="119" spans="1:16" ht="20" customHeight="1" x14ac:dyDescent="0.2">
      <c r="A119" s="680"/>
      <c r="B119" s="722" t="s">
        <v>85</v>
      </c>
      <c r="C119" s="723" t="s">
        <v>677</v>
      </c>
      <c r="D119" s="723" t="s">
        <v>678</v>
      </c>
      <c r="E119" s="722"/>
      <c r="F119" s="287"/>
      <c r="G119" s="65"/>
      <c r="H119" s="61" t="s">
        <v>340</v>
      </c>
      <c r="I119" s="62" t="s">
        <v>168</v>
      </c>
      <c r="J119" s="259"/>
      <c r="K119" s="265"/>
      <c r="L119" s="256"/>
      <c r="M119" s="256"/>
      <c r="N119" s="254"/>
      <c r="O119" s="254"/>
      <c r="P119" s="276"/>
    </row>
    <row r="120" spans="1:16" ht="20" customHeight="1" x14ac:dyDescent="0.2">
      <c r="A120" s="678"/>
      <c r="B120" s="722" t="s">
        <v>85</v>
      </c>
      <c r="C120" s="723" t="s">
        <v>115</v>
      </c>
      <c r="D120" s="723" t="s">
        <v>116</v>
      </c>
      <c r="E120" s="722">
        <v>2001</v>
      </c>
      <c r="F120" s="287">
        <v>143</v>
      </c>
      <c r="G120" s="65">
        <v>6</v>
      </c>
      <c r="H120" s="61" t="s">
        <v>213</v>
      </c>
      <c r="I120" s="62" t="s">
        <v>192</v>
      </c>
      <c r="J120" s="257"/>
      <c r="K120" s="265"/>
      <c r="L120" s="256"/>
      <c r="M120" s="254"/>
      <c r="N120" s="254"/>
      <c r="O120" s="254"/>
      <c r="P120" s="276"/>
    </row>
    <row r="121" spans="1:16" ht="20" customHeight="1" x14ac:dyDescent="0.2">
      <c r="A121" s="678"/>
      <c r="B121" s="727" t="s">
        <v>30</v>
      </c>
      <c r="C121" s="728" t="s">
        <v>117</v>
      </c>
      <c r="D121" s="728" t="s">
        <v>118</v>
      </c>
      <c r="E121" s="727">
        <v>2004</v>
      </c>
      <c r="F121" s="729">
        <v>100</v>
      </c>
      <c r="G121" s="65" t="s">
        <v>215</v>
      </c>
      <c r="H121" s="61" t="s">
        <v>216</v>
      </c>
      <c r="I121" s="62"/>
      <c r="J121" s="257"/>
      <c r="K121" s="265"/>
      <c r="L121" s="263"/>
      <c r="M121" s="263"/>
      <c r="N121" s="264"/>
      <c r="O121" s="264"/>
      <c r="P121" s="276"/>
    </row>
    <row r="122" spans="1:16" ht="20" customHeight="1" x14ac:dyDescent="0.2">
      <c r="A122" s="678"/>
      <c r="B122" s="722" t="s">
        <v>85</v>
      </c>
      <c r="C122" s="723" t="s">
        <v>119</v>
      </c>
      <c r="D122" s="723" t="s">
        <v>120</v>
      </c>
      <c r="E122" s="722">
        <v>2003</v>
      </c>
      <c r="F122" s="287">
        <v>45</v>
      </c>
      <c r="G122" s="65">
        <v>16</v>
      </c>
      <c r="H122" s="61" t="s">
        <v>175</v>
      </c>
      <c r="I122" s="62" t="s">
        <v>416</v>
      </c>
      <c r="J122" s="257"/>
      <c r="K122" s="255"/>
      <c r="L122" s="254"/>
      <c r="M122" s="256"/>
      <c r="N122" s="254"/>
      <c r="O122" s="256"/>
      <c r="P122" s="276"/>
    </row>
    <row r="123" spans="1:16" ht="20" customHeight="1" x14ac:dyDescent="0.2">
      <c r="A123" s="678"/>
      <c r="B123" s="722" t="s">
        <v>85</v>
      </c>
      <c r="C123" s="723" t="s">
        <v>121</v>
      </c>
      <c r="D123" s="723" t="s">
        <v>122</v>
      </c>
      <c r="E123" s="722">
        <v>2002</v>
      </c>
      <c r="F123" s="287">
        <v>73</v>
      </c>
      <c r="G123" s="65">
        <v>49</v>
      </c>
      <c r="H123" s="61" t="s">
        <v>197</v>
      </c>
      <c r="I123" s="62"/>
      <c r="J123" s="257"/>
      <c r="K123" s="253"/>
      <c r="L123" s="256"/>
      <c r="M123" s="254"/>
      <c r="N123" s="264"/>
      <c r="O123" s="264"/>
      <c r="P123" s="276"/>
    </row>
    <row r="124" spans="1:16" ht="20" customHeight="1" x14ac:dyDescent="0.2">
      <c r="A124" s="678"/>
      <c r="B124" s="722" t="s">
        <v>85</v>
      </c>
      <c r="C124" s="723" t="s">
        <v>304</v>
      </c>
      <c r="D124" s="723" t="s">
        <v>305</v>
      </c>
      <c r="E124" s="722">
        <v>2015</v>
      </c>
      <c r="F124" s="287"/>
      <c r="G124" s="65">
        <v>5</v>
      </c>
      <c r="H124" s="61" t="s">
        <v>210</v>
      </c>
      <c r="I124" s="62" t="s">
        <v>187</v>
      </c>
      <c r="J124" s="257"/>
      <c r="K124" s="255"/>
      <c r="L124" s="256"/>
      <c r="M124" s="256"/>
      <c r="N124" s="254"/>
      <c r="O124" s="254"/>
      <c r="P124" s="276"/>
    </row>
    <row r="125" spans="1:16" ht="20" customHeight="1" x14ac:dyDescent="0.2">
      <c r="A125" s="680"/>
      <c r="B125" s="722" t="s">
        <v>85</v>
      </c>
      <c r="C125" s="723" t="s">
        <v>679</v>
      </c>
      <c r="D125" s="723" t="s">
        <v>680</v>
      </c>
      <c r="E125" s="722">
        <v>1991</v>
      </c>
      <c r="F125" s="287"/>
      <c r="G125" s="65"/>
      <c r="H125" s="61" t="s">
        <v>175</v>
      </c>
      <c r="I125" s="62" t="s">
        <v>209</v>
      </c>
      <c r="J125" s="259"/>
      <c r="K125" s="263"/>
      <c r="L125" s="256"/>
      <c r="M125" s="256"/>
      <c r="N125" s="254"/>
      <c r="O125" s="254"/>
      <c r="P125" s="276"/>
    </row>
    <row r="126" spans="1:16" ht="20" customHeight="1" x14ac:dyDescent="0.2">
      <c r="A126" s="678"/>
      <c r="B126" s="722" t="s">
        <v>85</v>
      </c>
      <c r="C126" s="723" t="s">
        <v>306</v>
      </c>
      <c r="D126" s="723" t="s">
        <v>307</v>
      </c>
      <c r="E126" s="722">
        <v>2008</v>
      </c>
      <c r="F126" s="287"/>
      <c r="G126" s="65">
        <v>86</v>
      </c>
      <c r="H126" s="61" t="s">
        <v>175</v>
      </c>
      <c r="I126" s="62" t="s">
        <v>416</v>
      </c>
      <c r="J126" s="257"/>
      <c r="K126" s="253"/>
      <c r="L126" s="256"/>
      <c r="M126" s="256"/>
      <c r="N126" s="254"/>
      <c r="O126" s="256"/>
      <c r="P126" s="276"/>
    </row>
    <row r="127" spans="1:16" ht="20" customHeight="1" x14ac:dyDescent="0.2">
      <c r="A127" s="678"/>
      <c r="B127" s="727" t="s">
        <v>35</v>
      </c>
      <c r="C127" s="728" t="s">
        <v>123</v>
      </c>
      <c r="D127" s="728" t="s">
        <v>124</v>
      </c>
      <c r="E127" s="727">
        <v>2007</v>
      </c>
      <c r="F127" s="729">
        <v>60</v>
      </c>
      <c r="G127" s="65"/>
      <c r="H127" s="61"/>
      <c r="I127" s="62"/>
      <c r="J127" s="259"/>
      <c r="K127" s="265"/>
      <c r="L127" s="263"/>
      <c r="M127" s="263"/>
      <c r="N127" s="264"/>
      <c r="O127" s="264"/>
      <c r="P127" s="276"/>
    </row>
    <row r="128" spans="1:16" ht="20" customHeight="1" x14ac:dyDescent="0.2">
      <c r="A128" s="678"/>
      <c r="B128" s="727" t="s">
        <v>30</v>
      </c>
      <c r="C128" s="728" t="s">
        <v>125</v>
      </c>
      <c r="D128" s="728" t="s">
        <v>126</v>
      </c>
      <c r="E128" s="727">
        <v>2014</v>
      </c>
      <c r="F128" s="729"/>
      <c r="G128" s="65"/>
      <c r="H128" s="61"/>
      <c r="I128" s="62"/>
      <c r="J128" s="259"/>
      <c r="K128" s="265"/>
      <c r="L128" s="263"/>
      <c r="M128" s="263"/>
      <c r="N128" s="264"/>
      <c r="O128" s="264"/>
      <c r="P128" s="276"/>
    </row>
    <row r="129" spans="1:16" ht="20" customHeight="1" x14ac:dyDescent="0.2">
      <c r="A129" s="678"/>
      <c r="B129" s="722" t="s">
        <v>85</v>
      </c>
      <c r="C129" s="723" t="s">
        <v>308</v>
      </c>
      <c r="D129" s="723" t="s">
        <v>309</v>
      </c>
      <c r="E129" s="722">
        <v>2012</v>
      </c>
      <c r="F129" s="287"/>
      <c r="G129" s="65"/>
      <c r="H129" s="61" t="s">
        <v>365</v>
      </c>
      <c r="I129" s="62" t="s">
        <v>209</v>
      </c>
      <c r="J129" s="257"/>
      <c r="K129" s="253"/>
      <c r="L129" s="256"/>
      <c r="M129" s="256"/>
      <c r="N129" s="253"/>
      <c r="O129" s="253"/>
      <c r="P129" s="276"/>
    </row>
    <row r="130" spans="1:16" ht="20" customHeight="1" x14ac:dyDescent="0.2">
      <c r="A130" s="680"/>
      <c r="B130" s="722" t="s">
        <v>85</v>
      </c>
      <c r="C130" s="723" t="s">
        <v>681</v>
      </c>
      <c r="D130" s="723" t="s">
        <v>682</v>
      </c>
      <c r="E130" s="722">
        <v>2012</v>
      </c>
      <c r="F130" s="287"/>
      <c r="G130" s="65"/>
      <c r="H130" s="61" t="s">
        <v>213</v>
      </c>
      <c r="I130" s="62" t="s">
        <v>332</v>
      </c>
      <c r="J130" s="259"/>
      <c r="K130" s="265"/>
      <c r="L130" s="254"/>
      <c r="M130" s="256"/>
      <c r="N130" s="256"/>
      <c r="O130" s="254"/>
      <c r="P130" s="276"/>
    </row>
    <row r="131" spans="1:16" ht="20" customHeight="1" x14ac:dyDescent="0.2">
      <c r="A131" s="678"/>
      <c r="B131" s="722" t="s">
        <v>85</v>
      </c>
      <c r="C131" s="723" t="s">
        <v>127</v>
      </c>
      <c r="D131" s="723" t="s">
        <v>128</v>
      </c>
      <c r="E131" s="722">
        <v>2000</v>
      </c>
      <c r="F131" s="287">
        <v>252</v>
      </c>
      <c r="G131" s="65">
        <v>30</v>
      </c>
      <c r="H131" s="61" t="s">
        <v>217</v>
      </c>
      <c r="I131" s="62" t="s">
        <v>168</v>
      </c>
      <c r="J131" s="259"/>
      <c r="K131" s="265"/>
      <c r="L131" s="256"/>
      <c r="M131" s="256"/>
      <c r="N131" s="254"/>
      <c r="O131" s="254"/>
      <c r="P131" s="276"/>
    </row>
    <row r="132" spans="1:16" ht="20" customHeight="1" x14ac:dyDescent="0.2">
      <c r="A132" s="680"/>
      <c r="B132" s="722" t="s">
        <v>85</v>
      </c>
      <c r="C132" s="723" t="s">
        <v>683</v>
      </c>
      <c r="D132" s="723" t="s">
        <v>684</v>
      </c>
      <c r="E132" s="722">
        <v>2004</v>
      </c>
      <c r="F132" s="287"/>
      <c r="G132" s="65"/>
      <c r="H132" s="61" t="s">
        <v>213</v>
      </c>
      <c r="I132" s="62" t="s">
        <v>192</v>
      </c>
      <c r="J132" s="259"/>
      <c r="K132" s="265"/>
      <c r="L132" s="254"/>
      <c r="M132" s="256"/>
      <c r="N132" s="254"/>
      <c r="O132" s="254"/>
      <c r="P132" s="276"/>
    </row>
    <row r="133" spans="1:16" ht="20" customHeight="1" x14ac:dyDescent="0.2">
      <c r="A133" s="678"/>
      <c r="B133" s="722" t="s">
        <v>85</v>
      </c>
      <c r="C133" s="723" t="s">
        <v>568</v>
      </c>
      <c r="D133" s="723" t="s">
        <v>569</v>
      </c>
      <c r="E133" s="722">
        <v>2010</v>
      </c>
      <c r="F133" s="287"/>
      <c r="G133" s="65">
        <v>15</v>
      </c>
      <c r="H133" s="61" t="s">
        <v>184</v>
      </c>
      <c r="I133" s="62" t="s">
        <v>168</v>
      </c>
      <c r="J133" s="257"/>
      <c r="K133" s="253"/>
      <c r="L133" s="256"/>
      <c r="M133" s="256"/>
      <c r="N133" s="254"/>
      <c r="O133" s="254"/>
      <c r="P133" s="276"/>
    </row>
    <row r="134" spans="1:16" ht="20" customHeight="1" x14ac:dyDescent="0.2">
      <c r="A134" s="678"/>
      <c r="B134" s="727" t="s">
        <v>30</v>
      </c>
      <c r="C134" s="728" t="s">
        <v>129</v>
      </c>
      <c r="D134" s="728" t="s">
        <v>130</v>
      </c>
      <c r="E134" s="727">
        <v>2009</v>
      </c>
      <c r="F134" s="729">
        <v>13</v>
      </c>
      <c r="G134" s="65"/>
      <c r="H134" s="61"/>
      <c r="I134" s="62"/>
      <c r="J134" s="257"/>
      <c r="K134" s="265"/>
      <c r="L134" s="263"/>
      <c r="M134" s="263"/>
      <c r="N134" s="264"/>
      <c r="O134" s="264"/>
      <c r="P134" s="276"/>
    </row>
    <row r="135" spans="1:16" ht="20" customHeight="1" x14ac:dyDescent="0.2">
      <c r="A135" s="678"/>
      <c r="B135" s="722" t="s">
        <v>85</v>
      </c>
      <c r="C135" s="723" t="s">
        <v>131</v>
      </c>
      <c r="D135" s="723" t="s">
        <v>132</v>
      </c>
      <c r="E135" s="722">
        <v>1998</v>
      </c>
      <c r="F135" s="287">
        <v>213</v>
      </c>
      <c r="G135" s="65">
        <v>6</v>
      </c>
      <c r="H135" s="61" t="s">
        <v>175</v>
      </c>
      <c r="I135" s="62"/>
      <c r="J135" s="257"/>
      <c r="K135" s="255"/>
      <c r="L135" s="254"/>
      <c r="M135" s="254"/>
      <c r="N135" s="254"/>
      <c r="O135" s="254"/>
      <c r="P135" s="276"/>
    </row>
    <row r="136" spans="1:16" ht="20" customHeight="1" x14ac:dyDescent="0.2">
      <c r="A136" s="678"/>
      <c r="B136" s="722" t="s">
        <v>85</v>
      </c>
      <c r="C136" s="723" t="s">
        <v>133</v>
      </c>
      <c r="D136" s="723" t="s">
        <v>134</v>
      </c>
      <c r="E136" s="722">
        <v>2001</v>
      </c>
      <c r="F136" s="287">
        <v>192</v>
      </c>
      <c r="G136" s="65">
        <v>19</v>
      </c>
      <c r="H136" s="61" t="s">
        <v>175</v>
      </c>
      <c r="I136" s="62" t="s">
        <v>168</v>
      </c>
      <c r="J136" s="257"/>
      <c r="K136" s="255"/>
      <c r="L136" s="255"/>
      <c r="M136" s="255"/>
      <c r="N136" s="254"/>
      <c r="O136" s="254"/>
      <c r="P136" s="276"/>
    </row>
    <row r="137" spans="1:16" ht="20" customHeight="1" x14ac:dyDescent="0.2">
      <c r="A137" s="680"/>
      <c r="B137" s="722" t="s">
        <v>85</v>
      </c>
      <c r="C137" s="723" t="s">
        <v>685</v>
      </c>
      <c r="D137" s="723" t="s">
        <v>686</v>
      </c>
      <c r="E137" s="722">
        <v>2003</v>
      </c>
      <c r="F137" s="287"/>
      <c r="G137" s="65"/>
      <c r="H137" s="61" t="s">
        <v>175</v>
      </c>
      <c r="I137" s="62" t="s">
        <v>168</v>
      </c>
      <c r="J137" s="259"/>
      <c r="K137" s="263"/>
      <c r="L137" s="255"/>
      <c r="M137" s="255"/>
      <c r="N137" s="254"/>
      <c r="O137" s="254"/>
      <c r="P137" s="276"/>
    </row>
    <row r="138" spans="1:16" ht="20" customHeight="1" x14ac:dyDescent="0.2">
      <c r="A138" s="680"/>
      <c r="B138" s="722" t="s">
        <v>85</v>
      </c>
      <c r="C138" s="723" t="s">
        <v>687</v>
      </c>
      <c r="D138" s="723" t="s">
        <v>688</v>
      </c>
      <c r="E138" s="722">
        <v>2006</v>
      </c>
      <c r="F138" s="287"/>
      <c r="G138" s="65"/>
      <c r="H138" s="61" t="s">
        <v>664</v>
      </c>
      <c r="I138" s="62" t="s">
        <v>189</v>
      </c>
      <c r="J138" s="259"/>
      <c r="K138" s="263"/>
      <c r="L138" s="255"/>
      <c r="M138" s="254"/>
      <c r="N138" s="255"/>
      <c r="O138" s="254"/>
      <c r="P138" s="276"/>
    </row>
    <row r="139" spans="1:16" ht="20" customHeight="1" x14ac:dyDescent="0.2">
      <c r="A139" s="680"/>
      <c r="B139" s="722" t="s">
        <v>85</v>
      </c>
      <c r="C139" s="723" t="s">
        <v>689</v>
      </c>
      <c r="D139" s="723" t="s">
        <v>690</v>
      </c>
      <c r="E139" s="722">
        <v>2003</v>
      </c>
      <c r="F139" s="287"/>
      <c r="G139" s="65"/>
      <c r="H139" s="61"/>
      <c r="I139" s="62"/>
      <c r="J139" s="259"/>
      <c r="K139" s="263"/>
      <c r="L139" s="263"/>
      <c r="M139" s="263"/>
      <c r="N139" s="263"/>
      <c r="O139" s="263"/>
      <c r="P139" s="276"/>
    </row>
    <row r="140" spans="1:16" ht="20" customHeight="1" x14ac:dyDescent="0.2">
      <c r="A140" s="678"/>
      <c r="B140" s="722" t="s">
        <v>85</v>
      </c>
      <c r="C140" s="723" t="s">
        <v>151</v>
      </c>
      <c r="D140" s="723" t="s">
        <v>150</v>
      </c>
      <c r="E140" s="722">
        <v>1999</v>
      </c>
      <c r="F140" s="287"/>
      <c r="G140" s="65">
        <v>30</v>
      </c>
      <c r="H140" s="61" t="s">
        <v>420</v>
      </c>
      <c r="I140" s="62" t="s">
        <v>219</v>
      </c>
      <c r="J140" s="257"/>
      <c r="K140" s="253"/>
      <c r="L140" s="255"/>
      <c r="M140" s="254"/>
      <c r="N140" s="255"/>
      <c r="O140" s="254"/>
      <c r="P140" s="276"/>
    </row>
    <row r="141" spans="1:16" ht="20" customHeight="1" x14ac:dyDescent="0.2">
      <c r="A141" s="678"/>
      <c r="B141" s="722" t="s">
        <v>85</v>
      </c>
      <c r="C141" s="723" t="s">
        <v>135</v>
      </c>
      <c r="D141" s="723" t="s">
        <v>136</v>
      </c>
      <c r="E141" s="722">
        <v>2007</v>
      </c>
      <c r="F141" s="287">
        <v>240</v>
      </c>
      <c r="G141" s="65">
        <v>53</v>
      </c>
      <c r="H141" s="61" t="s">
        <v>220</v>
      </c>
      <c r="I141" s="62" t="s">
        <v>168</v>
      </c>
      <c r="J141" s="257"/>
      <c r="K141" s="255"/>
      <c r="L141" s="255"/>
      <c r="M141" s="255"/>
      <c r="N141" s="254"/>
      <c r="O141" s="254"/>
      <c r="P141" s="276"/>
    </row>
    <row r="142" spans="1:16" ht="20" customHeight="1" x14ac:dyDescent="0.2">
      <c r="A142" s="678"/>
      <c r="B142" s="722" t="s">
        <v>85</v>
      </c>
      <c r="C142" s="723" t="s">
        <v>137</v>
      </c>
      <c r="D142" s="723" t="s">
        <v>138</v>
      </c>
      <c r="E142" s="722">
        <v>2011</v>
      </c>
      <c r="F142" s="287">
        <v>42</v>
      </c>
      <c r="G142" s="65">
        <v>51</v>
      </c>
      <c r="H142" s="61" t="s">
        <v>221</v>
      </c>
      <c r="I142" s="62" t="s">
        <v>222</v>
      </c>
      <c r="J142" s="257"/>
      <c r="K142" s="255"/>
      <c r="L142" s="255"/>
      <c r="M142" s="254"/>
      <c r="N142" s="255"/>
      <c r="O142" s="254"/>
      <c r="P142" s="276"/>
    </row>
    <row r="143" spans="1:16" ht="20" customHeight="1" thickBot="1" x14ac:dyDescent="0.25">
      <c r="A143" s="678"/>
      <c r="B143" s="722" t="s">
        <v>85</v>
      </c>
      <c r="C143" s="723" t="s">
        <v>310</v>
      </c>
      <c r="D143" s="723" t="s">
        <v>311</v>
      </c>
      <c r="E143" s="722">
        <v>2010</v>
      </c>
      <c r="F143" s="287"/>
      <c r="G143" s="65">
        <v>53</v>
      </c>
      <c r="H143" s="78" t="s">
        <v>366</v>
      </c>
      <c r="I143" s="62" t="s">
        <v>177</v>
      </c>
      <c r="J143" s="257"/>
      <c r="K143" s="255"/>
      <c r="L143" s="255"/>
      <c r="M143" s="255"/>
      <c r="N143" s="254"/>
      <c r="O143" s="254"/>
      <c r="P143" s="276"/>
    </row>
    <row r="144" spans="1:16" ht="20" customHeight="1" x14ac:dyDescent="0.2">
      <c r="A144" s="678"/>
      <c r="B144" s="722" t="s">
        <v>85</v>
      </c>
      <c r="C144" s="723" t="s">
        <v>691</v>
      </c>
      <c r="D144" s="723" t="s">
        <v>692</v>
      </c>
      <c r="E144" s="722">
        <v>2017</v>
      </c>
      <c r="F144" s="287"/>
      <c r="G144" s="65">
        <v>26</v>
      </c>
      <c r="H144" s="78" t="s">
        <v>213</v>
      </c>
      <c r="I144" s="62"/>
      <c r="J144" s="257"/>
      <c r="K144" s="262"/>
      <c r="L144" s="255"/>
      <c r="M144" s="255"/>
      <c r="N144" s="254"/>
      <c r="O144" s="254"/>
      <c r="P144" s="276"/>
    </row>
    <row r="145" spans="1:16" ht="20" customHeight="1" x14ac:dyDescent="0.2">
      <c r="A145" s="678"/>
      <c r="B145" s="722" t="s">
        <v>85</v>
      </c>
      <c r="C145" s="723" t="s">
        <v>312</v>
      </c>
      <c r="D145" s="723" t="s">
        <v>313</v>
      </c>
      <c r="E145" s="722">
        <v>2014</v>
      </c>
      <c r="F145" s="287"/>
      <c r="G145" s="65">
        <v>39</v>
      </c>
      <c r="H145" s="61" t="s">
        <v>210</v>
      </c>
      <c r="I145" s="62" t="s">
        <v>368</v>
      </c>
      <c r="J145" s="257"/>
      <c r="K145" s="255"/>
      <c r="L145" s="255"/>
      <c r="M145" s="255"/>
      <c r="N145" s="255"/>
      <c r="O145" s="254"/>
      <c r="P145" s="276"/>
    </row>
    <row r="146" spans="1:16" ht="20" customHeight="1" x14ac:dyDescent="0.2">
      <c r="A146" s="678"/>
      <c r="B146" s="722" t="s">
        <v>85</v>
      </c>
      <c r="C146" s="723" t="s">
        <v>314</v>
      </c>
      <c r="D146" s="723" t="s">
        <v>315</v>
      </c>
      <c r="E146" s="722">
        <v>2010</v>
      </c>
      <c r="F146" s="287"/>
      <c r="G146" s="65">
        <v>789</v>
      </c>
      <c r="H146" s="61" t="s">
        <v>210</v>
      </c>
      <c r="I146" s="62" t="s">
        <v>693</v>
      </c>
      <c r="J146" s="257"/>
      <c r="K146" s="255"/>
      <c r="L146" s="255"/>
      <c r="M146" s="255"/>
      <c r="N146" s="255"/>
      <c r="O146" s="254"/>
      <c r="P146" s="276"/>
    </row>
    <row r="147" spans="1:16" ht="20" customHeight="1" x14ac:dyDescent="0.2">
      <c r="A147" s="680"/>
      <c r="B147" s="722" t="s">
        <v>85</v>
      </c>
      <c r="C147" s="723" t="s">
        <v>694</v>
      </c>
      <c r="D147" s="723" t="s">
        <v>695</v>
      </c>
      <c r="E147" s="722">
        <v>2007</v>
      </c>
      <c r="F147" s="287"/>
      <c r="G147" s="65">
        <v>171</v>
      </c>
      <c r="H147" s="61"/>
      <c r="I147" s="62" t="s">
        <v>209</v>
      </c>
      <c r="J147" s="259"/>
      <c r="K147" s="263"/>
      <c r="L147" s="255"/>
      <c r="M147" s="255"/>
      <c r="N147" s="253"/>
      <c r="O147" s="254"/>
      <c r="P147" s="276"/>
    </row>
    <row r="148" spans="1:16" ht="20" customHeight="1" x14ac:dyDescent="0.2">
      <c r="A148" s="678"/>
      <c r="B148" s="730" t="s">
        <v>374</v>
      </c>
      <c r="C148" s="723" t="s">
        <v>316</v>
      </c>
      <c r="D148" s="723" t="s">
        <v>317</v>
      </c>
      <c r="E148" s="722">
        <v>2016</v>
      </c>
      <c r="F148" s="287"/>
      <c r="G148" s="65">
        <v>16</v>
      </c>
      <c r="H148" s="61" t="s">
        <v>372</v>
      </c>
      <c r="I148" s="79" t="s">
        <v>373</v>
      </c>
      <c r="J148" s="257"/>
      <c r="K148" s="253"/>
      <c r="L148" s="253"/>
      <c r="M148" s="253"/>
      <c r="N148" s="255"/>
      <c r="O148" s="254"/>
      <c r="P148" s="276"/>
    </row>
    <row r="149" spans="1:16" ht="20" customHeight="1" x14ac:dyDescent="0.2">
      <c r="A149" s="678"/>
      <c r="B149" s="731" t="s">
        <v>376</v>
      </c>
      <c r="C149" s="728" t="s">
        <v>139</v>
      </c>
      <c r="D149" s="728" t="s">
        <v>140</v>
      </c>
      <c r="E149" s="727">
        <v>2005</v>
      </c>
      <c r="F149" s="729">
        <v>21</v>
      </c>
      <c r="G149" s="65"/>
      <c r="H149" s="61" t="s">
        <v>224</v>
      </c>
      <c r="I149" s="62"/>
      <c r="J149" s="257"/>
      <c r="K149" s="255"/>
      <c r="L149" s="253"/>
      <c r="M149" s="253"/>
      <c r="N149" s="264"/>
      <c r="O149" s="254"/>
      <c r="P149" s="276"/>
    </row>
    <row r="150" spans="1:16" ht="20" customHeight="1" x14ac:dyDescent="0.2">
      <c r="A150" s="678"/>
      <c r="B150" s="722" t="s">
        <v>35</v>
      </c>
      <c r="C150" s="723" t="s">
        <v>141</v>
      </c>
      <c r="D150" s="723" t="s">
        <v>142</v>
      </c>
      <c r="E150" s="722">
        <v>2015</v>
      </c>
      <c r="F150" s="287">
        <v>1</v>
      </c>
      <c r="G150" s="65">
        <v>119</v>
      </c>
      <c r="H150" s="61"/>
      <c r="I150" s="62"/>
      <c r="J150" s="259"/>
      <c r="K150" s="265"/>
      <c r="L150" s="253"/>
      <c r="M150" s="253"/>
      <c r="N150" s="264"/>
      <c r="O150" s="253"/>
      <c r="P150" s="276"/>
    </row>
    <row r="151" spans="1:16" ht="20" customHeight="1" x14ac:dyDescent="0.2">
      <c r="A151" s="678"/>
      <c r="B151" s="722" t="s">
        <v>85</v>
      </c>
      <c r="C151" s="723" t="s">
        <v>143</v>
      </c>
      <c r="D151" s="723" t="s">
        <v>144</v>
      </c>
      <c r="E151" s="722">
        <v>2008</v>
      </c>
      <c r="F151" s="287">
        <v>156</v>
      </c>
      <c r="G151" s="65">
        <v>50</v>
      </c>
      <c r="H151" s="61" t="s">
        <v>175</v>
      </c>
      <c r="I151" s="62" t="s">
        <v>587</v>
      </c>
      <c r="J151" s="257"/>
      <c r="K151" s="253"/>
      <c r="L151" s="255"/>
      <c r="M151" s="255"/>
      <c r="N151" s="253"/>
      <c r="O151" s="253"/>
      <c r="P151" s="276"/>
    </row>
    <row r="152" spans="1:16" ht="20" customHeight="1" x14ac:dyDescent="0.2">
      <c r="A152" s="678"/>
      <c r="B152" s="727" t="s">
        <v>49</v>
      </c>
      <c r="C152" s="728" t="s">
        <v>145</v>
      </c>
      <c r="D152" s="728" t="s">
        <v>146</v>
      </c>
      <c r="E152" s="727">
        <v>1997</v>
      </c>
      <c r="F152" s="729">
        <v>47</v>
      </c>
      <c r="G152" s="65"/>
      <c r="H152" s="61"/>
      <c r="I152" s="62"/>
      <c r="J152" s="259"/>
      <c r="K152" s="265"/>
      <c r="L152" s="263"/>
      <c r="M152" s="263"/>
      <c r="N152" s="264"/>
      <c r="O152" s="264"/>
      <c r="P152" s="276"/>
    </row>
    <row r="153" spans="1:16" ht="20" customHeight="1" x14ac:dyDescent="0.2">
      <c r="A153" s="680"/>
      <c r="B153" s="722" t="s">
        <v>85</v>
      </c>
      <c r="C153" s="723" t="s">
        <v>696</v>
      </c>
      <c r="D153" s="723" t="s">
        <v>697</v>
      </c>
      <c r="E153" s="722">
        <v>2006</v>
      </c>
      <c r="F153" s="287"/>
      <c r="G153" s="65">
        <v>27</v>
      </c>
      <c r="H153" s="61" t="s">
        <v>175</v>
      </c>
      <c r="I153" s="62" t="s">
        <v>702</v>
      </c>
      <c r="J153" s="259"/>
      <c r="K153" s="265"/>
      <c r="L153" s="255"/>
      <c r="M153" s="255"/>
      <c r="N153" s="253"/>
      <c r="O153" s="253"/>
      <c r="P153" s="276"/>
    </row>
    <row r="154" spans="1:16" ht="20" customHeight="1" x14ac:dyDescent="0.2">
      <c r="A154" s="678"/>
      <c r="B154" s="722" t="s">
        <v>85</v>
      </c>
      <c r="C154" s="723" t="s">
        <v>318</v>
      </c>
      <c r="D154" s="723" t="s">
        <v>319</v>
      </c>
      <c r="E154" s="722">
        <v>2009</v>
      </c>
      <c r="F154" s="287"/>
      <c r="G154" s="65">
        <v>12</v>
      </c>
      <c r="H154" s="61" t="s">
        <v>213</v>
      </c>
      <c r="I154" s="62" t="s">
        <v>191</v>
      </c>
      <c r="J154" s="257"/>
      <c r="K154" s="253"/>
      <c r="L154" s="255"/>
      <c r="M154" s="255"/>
      <c r="N154" s="253"/>
      <c r="O154" s="253"/>
      <c r="P154" s="276"/>
    </row>
    <row r="155" spans="1:16" ht="20" customHeight="1" x14ac:dyDescent="0.2">
      <c r="A155" s="678"/>
      <c r="B155" s="722" t="s">
        <v>85</v>
      </c>
      <c r="C155" s="723" t="s">
        <v>147</v>
      </c>
      <c r="D155" s="723" t="s">
        <v>148</v>
      </c>
      <c r="E155" s="722">
        <v>2011</v>
      </c>
      <c r="F155" s="287">
        <v>112</v>
      </c>
      <c r="G155" s="65">
        <v>17</v>
      </c>
      <c r="H155" s="279" t="s">
        <v>217</v>
      </c>
      <c r="I155" s="280" t="s">
        <v>192</v>
      </c>
      <c r="J155" s="260"/>
      <c r="K155" s="261"/>
      <c r="L155" s="255"/>
      <c r="M155" s="255"/>
      <c r="N155" s="253"/>
      <c r="O155" s="253"/>
      <c r="P155" s="278"/>
    </row>
    <row r="156" spans="1:16" ht="20" customHeight="1" x14ac:dyDescent="0.2">
      <c r="A156" s="680"/>
      <c r="B156" s="722" t="s">
        <v>85</v>
      </c>
      <c r="C156" s="723" t="s">
        <v>698</v>
      </c>
      <c r="D156" s="723" t="s">
        <v>701</v>
      </c>
      <c r="E156" s="722">
        <v>1998</v>
      </c>
      <c r="F156" s="287"/>
      <c r="G156" s="81">
        <v>15</v>
      </c>
      <c r="H156" s="76" t="s">
        <v>175</v>
      </c>
      <c r="I156" s="77" t="s">
        <v>333</v>
      </c>
      <c r="J156" s="259"/>
      <c r="K156" s="263"/>
      <c r="L156" s="255"/>
      <c r="M156" s="255"/>
      <c r="N156" s="253"/>
      <c r="O156" s="255"/>
      <c r="P156" s="276"/>
    </row>
    <row r="157" spans="1:16" ht="20" customHeight="1" thickBot="1" x14ac:dyDescent="0.25">
      <c r="A157" s="681"/>
      <c r="B157" s="734" t="s">
        <v>85</v>
      </c>
      <c r="C157" s="735" t="s">
        <v>699</v>
      </c>
      <c r="D157" s="735" t="s">
        <v>700</v>
      </c>
      <c r="E157" s="734">
        <v>1999</v>
      </c>
      <c r="F157" s="760"/>
      <c r="G157" s="66">
        <v>13</v>
      </c>
      <c r="H157" s="63" t="s">
        <v>703</v>
      </c>
      <c r="I157" s="64" t="s">
        <v>626</v>
      </c>
      <c r="J157" s="284"/>
      <c r="K157" s="282"/>
      <c r="L157" s="285"/>
      <c r="M157" s="281"/>
      <c r="N157" s="281"/>
      <c r="O157" s="281"/>
      <c r="P157" s="283"/>
    </row>
    <row r="158" spans="1:16" s="20" customFormat="1" x14ac:dyDescent="0.2">
      <c r="B158" s="39"/>
      <c r="C158" s="21"/>
      <c r="D158" s="21"/>
      <c r="E158" s="21"/>
      <c r="F158" s="21"/>
      <c r="G158" s="21"/>
      <c r="H158" s="21"/>
      <c r="I158" s="21"/>
      <c r="J158" s="21"/>
    </row>
    <row r="159" spans="1:16" s="20" customFormat="1" ht="18" customHeight="1" x14ac:dyDescent="0.2">
      <c r="B159" s="39"/>
      <c r="C159" s="21"/>
      <c r="D159" s="21"/>
      <c r="E159" s="21"/>
      <c r="F159" s="21"/>
      <c r="G159" s="21"/>
      <c r="H159" s="21"/>
      <c r="I159" s="21"/>
      <c r="J159" s="21"/>
    </row>
    <row r="160" spans="1:16" ht="18" customHeight="1" x14ac:dyDescent="0.2">
      <c r="E160" s="21"/>
      <c r="F160" s="21"/>
      <c r="G160" s="21"/>
      <c r="H160" s="21"/>
      <c r="I160" s="21"/>
    </row>
    <row r="161" spans="2:9" ht="18" customHeight="1" x14ac:dyDescent="0.2">
      <c r="E161" s="21"/>
      <c r="F161" s="21"/>
      <c r="G161" s="21"/>
      <c r="H161" s="21"/>
      <c r="I161" s="21"/>
    </row>
    <row r="162" spans="2:9" ht="18" customHeight="1" x14ac:dyDescent="0.2">
      <c r="E162" s="21"/>
      <c r="F162" s="21"/>
      <c r="G162" s="21"/>
      <c r="H162" s="21"/>
      <c r="I162" s="21"/>
    </row>
    <row r="163" spans="2:9" ht="18" customHeight="1" x14ac:dyDescent="0.2">
      <c r="E163" s="21"/>
      <c r="F163" s="21"/>
      <c r="G163" s="21"/>
      <c r="H163" s="21"/>
      <c r="I163" s="21"/>
    </row>
    <row r="164" spans="2:9" ht="18" customHeight="1" x14ac:dyDescent="0.2">
      <c r="E164" s="21"/>
      <c r="F164" s="21"/>
      <c r="G164" s="21"/>
      <c r="H164" s="21"/>
      <c r="I164" s="21"/>
    </row>
    <row r="165" spans="2:9" ht="18" customHeight="1" x14ac:dyDescent="0.2">
      <c r="E165" s="21"/>
      <c r="F165" s="21"/>
      <c r="G165" s="21"/>
      <c r="H165" s="21"/>
      <c r="I165" s="21"/>
    </row>
    <row r="166" spans="2:9" ht="18" customHeight="1" x14ac:dyDescent="0.2">
      <c r="E166" s="21"/>
      <c r="F166" s="21"/>
      <c r="G166" s="21"/>
      <c r="H166" s="21"/>
      <c r="I166" s="21"/>
    </row>
    <row r="167" spans="2:9" x14ac:dyDescent="0.2">
      <c r="B167" s="21"/>
      <c r="E167" s="21"/>
      <c r="F167" s="21"/>
      <c r="G167" s="21"/>
      <c r="H167" s="21"/>
      <c r="I167" s="21"/>
    </row>
    <row r="168" spans="2:9" x14ac:dyDescent="0.2">
      <c r="B168" s="21"/>
      <c r="E168" s="21"/>
      <c r="F168" s="21"/>
      <c r="G168" s="21"/>
      <c r="H168" s="21"/>
      <c r="I168" s="21"/>
    </row>
    <row r="169" spans="2:9" x14ac:dyDescent="0.2">
      <c r="B169" s="21"/>
      <c r="E169" s="21"/>
      <c r="F169" s="21"/>
      <c r="G169" s="21"/>
      <c r="H169" s="21"/>
      <c r="I169" s="21"/>
    </row>
    <row r="170" spans="2:9" x14ac:dyDescent="0.2">
      <c r="B170" s="21"/>
      <c r="E170" s="21"/>
      <c r="F170" s="21"/>
      <c r="G170" s="21"/>
      <c r="H170" s="21"/>
      <c r="I170" s="21"/>
    </row>
  </sheetData>
  <mergeCells count="19">
    <mergeCell ref="C2:C9"/>
    <mergeCell ref="B2:B9"/>
    <mergeCell ref="H2:I4"/>
    <mergeCell ref="G2:G4"/>
    <mergeCell ref="P2:P9"/>
    <mergeCell ref="F2:F4"/>
    <mergeCell ref="J5:J9"/>
    <mergeCell ref="K5:K9"/>
    <mergeCell ref="L5:L9"/>
    <mergeCell ref="A2:A9"/>
    <mergeCell ref="E2:E9"/>
    <mergeCell ref="D2:D9"/>
    <mergeCell ref="F5:F9"/>
    <mergeCell ref="G5:G9"/>
    <mergeCell ref="H5:H9"/>
    <mergeCell ref="I5:I9"/>
    <mergeCell ref="M5:M9"/>
    <mergeCell ref="N5:N9"/>
    <mergeCell ref="O5:O9"/>
  </mergeCells>
  <pageMargins left="0.7" right="0.7" top="0.75" bottom="0.75" header="0.3" footer="0.3"/>
  <ignoredErrors>
    <ignoredError sqref="H82:H157 H10:H77 H78:H80"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70"/>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314" t="s">
        <v>162</v>
      </c>
      <c r="M2" s="315"/>
      <c r="N2" s="315"/>
      <c r="O2" s="315"/>
      <c r="P2" s="315"/>
      <c r="Q2" s="315"/>
      <c r="R2" s="315"/>
      <c r="S2" s="315"/>
      <c r="T2" s="315"/>
      <c r="U2" s="315"/>
      <c r="V2" s="315"/>
      <c r="W2" s="315"/>
      <c r="X2" s="315"/>
      <c r="Y2" s="315"/>
      <c r="Z2" s="315"/>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6"/>
    </row>
    <row r="3" spans="1:54" ht="16" customHeight="1" x14ac:dyDescent="0.2">
      <c r="E3" s="374" t="s">
        <v>229</v>
      </c>
      <c r="L3" s="338" t="s">
        <v>157</v>
      </c>
      <c r="M3" s="339"/>
      <c r="N3" s="338" t="s">
        <v>206</v>
      </c>
      <c r="O3" s="339"/>
      <c r="P3" s="338" t="s">
        <v>159</v>
      </c>
      <c r="Q3" s="339"/>
      <c r="R3" s="338" t="s">
        <v>158</v>
      </c>
      <c r="S3" s="339"/>
      <c r="T3" s="338" t="s">
        <v>201</v>
      </c>
      <c r="U3" s="339"/>
      <c r="V3" s="338" t="s">
        <v>164</v>
      </c>
      <c r="W3" s="339"/>
      <c r="X3" s="320" t="s">
        <v>234</v>
      </c>
      <c r="Y3" s="339"/>
      <c r="Z3" s="338" t="s">
        <v>172</v>
      </c>
      <c r="AA3" s="339"/>
      <c r="AB3" s="320" t="s">
        <v>235</v>
      </c>
      <c r="AC3" s="339"/>
      <c r="AD3" s="338" t="s">
        <v>205</v>
      </c>
      <c r="AE3" s="339"/>
      <c r="AF3" s="320" t="s">
        <v>236</v>
      </c>
      <c r="AG3" s="339"/>
      <c r="AH3" s="338" t="s">
        <v>170</v>
      </c>
      <c r="AI3" s="339"/>
      <c r="AJ3" s="338" t="s">
        <v>204</v>
      </c>
      <c r="AK3" s="339"/>
      <c r="AL3" s="338" t="s">
        <v>163</v>
      </c>
      <c r="AM3" s="339"/>
      <c r="AN3" s="320" t="s">
        <v>233</v>
      </c>
      <c r="AO3" s="339"/>
      <c r="AP3" s="338" t="s">
        <v>173</v>
      </c>
      <c r="AQ3" s="339"/>
      <c r="AR3" s="338" t="s">
        <v>171</v>
      </c>
      <c r="AS3" s="339"/>
      <c r="AT3" s="338" t="s">
        <v>160</v>
      </c>
      <c r="AU3" s="339"/>
      <c r="AV3" s="338" t="s">
        <v>161</v>
      </c>
      <c r="AW3" s="339"/>
      <c r="AX3" s="343" t="s">
        <v>207</v>
      </c>
      <c r="AY3" s="339"/>
      <c r="AZ3" s="320" t="s">
        <v>371</v>
      </c>
      <c r="BA3" s="321"/>
    </row>
    <row r="4" spans="1:54" ht="20" customHeight="1" x14ac:dyDescent="0.2">
      <c r="C4" s="60"/>
      <c r="E4" s="375"/>
      <c r="L4" s="340"/>
      <c r="M4" s="335"/>
      <c r="N4" s="340"/>
      <c r="O4" s="335"/>
      <c r="P4" s="340"/>
      <c r="Q4" s="335"/>
      <c r="R4" s="340"/>
      <c r="S4" s="335"/>
      <c r="T4" s="340"/>
      <c r="U4" s="335"/>
      <c r="V4" s="340"/>
      <c r="W4" s="335"/>
      <c r="X4" s="340"/>
      <c r="Y4" s="335"/>
      <c r="Z4" s="340"/>
      <c r="AA4" s="335"/>
      <c r="AB4" s="340"/>
      <c r="AC4" s="335"/>
      <c r="AD4" s="340"/>
      <c r="AE4" s="335"/>
      <c r="AF4" s="340"/>
      <c r="AG4" s="335"/>
      <c r="AH4" s="340"/>
      <c r="AI4" s="335"/>
      <c r="AJ4" s="340"/>
      <c r="AK4" s="335"/>
      <c r="AL4" s="340"/>
      <c r="AM4" s="335"/>
      <c r="AN4" s="340"/>
      <c r="AO4" s="335"/>
      <c r="AP4" s="340"/>
      <c r="AQ4" s="335"/>
      <c r="AR4" s="340"/>
      <c r="AS4" s="335"/>
      <c r="AT4" s="340"/>
      <c r="AU4" s="335"/>
      <c r="AV4" s="340"/>
      <c r="AW4" s="335"/>
      <c r="AX4" s="334"/>
      <c r="AY4" s="335"/>
      <c r="AZ4" s="322"/>
      <c r="BA4" s="323"/>
    </row>
    <row r="5" spans="1:54" ht="20" customHeight="1" thickBot="1" x14ac:dyDescent="0.25">
      <c r="B5" s="46"/>
      <c r="C5" s="59"/>
      <c r="E5" s="372" t="s">
        <v>242</v>
      </c>
      <c r="J5" s="22"/>
      <c r="K5" s="22"/>
      <c r="L5" s="341"/>
      <c r="M5" s="342"/>
      <c r="N5" s="341"/>
      <c r="O5" s="342"/>
      <c r="P5" s="341"/>
      <c r="Q5" s="342"/>
      <c r="R5" s="341"/>
      <c r="S5" s="342"/>
      <c r="T5" s="341"/>
      <c r="U5" s="342"/>
      <c r="V5" s="341"/>
      <c r="W5" s="342"/>
      <c r="X5" s="341"/>
      <c r="Y5" s="342"/>
      <c r="Z5" s="341"/>
      <c r="AA5" s="342"/>
      <c r="AB5" s="341"/>
      <c r="AC5" s="342"/>
      <c r="AD5" s="341"/>
      <c r="AE5" s="342"/>
      <c r="AF5" s="341"/>
      <c r="AG5" s="342"/>
      <c r="AH5" s="341"/>
      <c r="AI5" s="342"/>
      <c r="AJ5" s="341"/>
      <c r="AK5" s="342"/>
      <c r="AL5" s="341"/>
      <c r="AM5" s="342"/>
      <c r="AN5" s="341"/>
      <c r="AO5" s="342"/>
      <c r="AP5" s="341"/>
      <c r="AQ5" s="342"/>
      <c r="AR5" s="341"/>
      <c r="AS5" s="342"/>
      <c r="AT5" s="341"/>
      <c r="AU5" s="342"/>
      <c r="AV5" s="341"/>
      <c r="AW5" s="342"/>
      <c r="AX5" s="344"/>
      <c r="AY5" s="342"/>
      <c r="AZ5" s="324"/>
      <c r="BA5" s="325"/>
    </row>
    <row r="6" spans="1:54" ht="20" customHeight="1" x14ac:dyDescent="0.2">
      <c r="A6" s="702"/>
      <c r="B6" s="45"/>
      <c r="C6" s="58"/>
      <c r="E6" s="372"/>
      <c r="H6" s="370" t="s">
        <v>24</v>
      </c>
      <c r="I6" s="306" t="s">
        <v>322</v>
      </c>
      <c r="J6" s="376" t="s">
        <v>320</v>
      </c>
      <c r="K6" s="377" t="s">
        <v>321</v>
      </c>
      <c r="L6" s="363" t="s">
        <v>237</v>
      </c>
      <c r="M6" s="345" t="s">
        <v>238</v>
      </c>
      <c r="N6" s="365" t="s">
        <v>237</v>
      </c>
      <c r="O6" s="327" t="s">
        <v>238</v>
      </c>
      <c r="P6" s="365" t="s">
        <v>237</v>
      </c>
      <c r="Q6" s="327" t="s">
        <v>238</v>
      </c>
      <c r="R6" s="365" t="s">
        <v>237</v>
      </c>
      <c r="S6" s="327" t="s">
        <v>238</v>
      </c>
      <c r="T6" s="365" t="s">
        <v>237</v>
      </c>
      <c r="U6" s="327" t="s">
        <v>238</v>
      </c>
      <c r="V6" s="365" t="s">
        <v>237</v>
      </c>
      <c r="W6" s="327" t="s">
        <v>238</v>
      </c>
      <c r="X6" s="366" t="s">
        <v>237</v>
      </c>
      <c r="Y6" s="327" t="s">
        <v>238</v>
      </c>
      <c r="Z6" s="367" t="s">
        <v>237</v>
      </c>
      <c r="AA6" s="327" t="s">
        <v>238</v>
      </c>
      <c r="AB6" s="366" t="s">
        <v>237</v>
      </c>
      <c r="AC6" s="327" t="s">
        <v>238</v>
      </c>
      <c r="AD6" s="365" t="s">
        <v>237</v>
      </c>
      <c r="AE6" s="327" t="s">
        <v>238</v>
      </c>
      <c r="AF6" s="365" t="s">
        <v>237</v>
      </c>
      <c r="AG6" s="327" t="s">
        <v>238</v>
      </c>
      <c r="AH6" s="365" t="s">
        <v>237</v>
      </c>
      <c r="AI6" s="327" t="s">
        <v>238</v>
      </c>
      <c r="AJ6" s="365" t="s">
        <v>237</v>
      </c>
      <c r="AK6" s="327" t="s">
        <v>238</v>
      </c>
      <c r="AL6" s="365" t="s">
        <v>237</v>
      </c>
      <c r="AM6" s="327" t="s">
        <v>238</v>
      </c>
      <c r="AN6" s="366" t="s">
        <v>237</v>
      </c>
      <c r="AO6" s="327" t="s">
        <v>238</v>
      </c>
      <c r="AP6" s="365" t="s">
        <v>237</v>
      </c>
      <c r="AQ6" s="327" t="s">
        <v>238</v>
      </c>
      <c r="AR6" s="365" t="s">
        <v>237</v>
      </c>
      <c r="AS6" s="327" t="s">
        <v>238</v>
      </c>
      <c r="AT6" s="365" t="s">
        <v>237</v>
      </c>
      <c r="AU6" s="327" t="s">
        <v>238</v>
      </c>
      <c r="AV6" s="363" t="s">
        <v>237</v>
      </c>
      <c r="AW6" s="327" t="s">
        <v>238</v>
      </c>
      <c r="AX6" s="326" t="s">
        <v>237</v>
      </c>
      <c r="AY6" s="327" t="s">
        <v>238</v>
      </c>
      <c r="AZ6" s="326" t="s">
        <v>237</v>
      </c>
      <c r="BA6" s="327" t="s">
        <v>238</v>
      </c>
    </row>
    <row r="7" spans="1:54" ht="23" customHeight="1" thickBot="1" x14ac:dyDescent="0.25">
      <c r="A7" s="370" t="s">
        <v>597</v>
      </c>
      <c r="B7" s="370" t="s">
        <v>245</v>
      </c>
      <c r="C7" s="371" t="s">
        <v>479</v>
      </c>
      <c r="E7" s="373"/>
      <c r="H7" s="370"/>
      <c r="I7" s="293"/>
      <c r="J7" s="294"/>
      <c r="K7" s="295"/>
      <c r="L7" s="364"/>
      <c r="M7" s="346"/>
      <c r="N7" s="365"/>
      <c r="O7" s="327"/>
      <c r="P7" s="365"/>
      <c r="Q7" s="327"/>
      <c r="R7" s="365"/>
      <c r="S7" s="327"/>
      <c r="T7" s="365"/>
      <c r="U7" s="327"/>
      <c r="V7" s="365"/>
      <c r="W7" s="327"/>
      <c r="X7" s="366"/>
      <c r="Y7" s="327"/>
      <c r="Z7" s="368"/>
      <c r="AA7" s="327"/>
      <c r="AB7" s="366"/>
      <c r="AC7" s="327"/>
      <c r="AD7" s="365"/>
      <c r="AE7" s="327"/>
      <c r="AF7" s="365"/>
      <c r="AG7" s="327"/>
      <c r="AH7" s="365"/>
      <c r="AI7" s="327"/>
      <c r="AJ7" s="365"/>
      <c r="AK7" s="327"/>
      <c r="AL7" s="365"/>
      <c r="AM7" s="327"/>
      <c r="AN7" s="365"/>
      <c r="AO7" s="327"/>
      <c r="AP7" s="365"/>
      <c r="AQ7" s="327"/>
      <c r="AR7" s="365"/>
      <c r="AS7" s="327"/>
      <c r="AT7" s="365"/>
      <c r="AU7" s="327"/>
      <c r="AV7" s="364"/>
      <c r="AW7" s="327"/>
      <c r="AX7" s="326"/>
      <c r="AY7" s="327"/>
      <c r="AZ7" s="326"/>
      <c r="BA7" s="327"/>
    </row>
    <row r="8" spans="1:54" ht="23" customHeight="1" x14ac:dyDescent="0.2">
      <c r="A8" s="370"/>
      <c r="B8" s="370"/>
      <c r="C8" s="371"/>
      <c r="H8" s="370"/>
      <c r="I8" s="293"/>
      <c r="J8" s="294"/>
      <c r="K8" s="295"/>
      <c r="L8" s="364"/>
      <c r="M8" s="346"/>
      <c r="N8" s="365"/>
      <c r="O8" s="327"/>
      <c r="P8" s="365"/>
      <c r="Q8" s="327"/>
      <c r="R8" s="365"/>
      <c r="S8" s="327"/>
      <c r="T8" s="365"/>
      <c r="U8" s="327"/>
      <c r="V8" s="365"/>
      <c r="W8" s="327"/>
      <c r="X8" s="366"/>
      <c r="Y8" s="327"/>
      <c r="Z8" s="368"/>
      <c r="AA8" s="327"/>
      <c r="AB8" s="366"/>
      <c r="AC8" s="327"/>
      <c r="AD8" s="365"/>
      <c r="AE8" s="327"/>
      <c r="AF8" s="365"/>
      <c r="AG8" s="327"/>
      <c r="AH8" s="365"/>
      <c r="AI8" s="327"/>
      <c r="AJ8" s="365"/>
      <c r="AK8" s="327"/>
      <c r="AL8" s="365"/>
      <c r="AM8" s="327"/>
      <c r="AN8" s="365"/>
      <c r="AO8" s="327"/>
      <c r="AP8" s="365"/>
      <c r="AQ8" s="327"/>
      <c r="AR8" s="365"/>
      <c r="AS8" s="327"/>
      <c r="AT8" s="365"/>
      <c r="AU8" s="327"/>
      <c r="AV8" s="364"/>
      <c r="AW8" s="327"/>
      <c r="AX8" s="326"/>
      <c r="AY8" s="327"/>
      <c r="AZ8" s="326"/>
      <c r="BA8" s="327"/>
    </row>
    <row r="9" spans="1:54" ht="23" customHeight="1" x14ac:dyDescent="0.2">
      <c r="A9" s="370"/>
      <c r="B9" s="370"/>
      <c r="C9" s="371"/>
      <c r="H9" s="370"/>
      <c r="I9" s="293"/>
      <c r="J9" s="294"/>
      <c r="K9" s="295"/>
      <c r="L9" s="364"/>
      <c r="M9" s="346"/>
      <c r="N9" s="365"/>
      <c r="O9" s="327"/>
      <c r="P9" s="365"/>
      <c r="Q9" s="327"/>
      <c r="R9" s="365"/>
      <c r="S9" s="327"/>
      <c r="T9" s="365"/>
      <c r="U9" s="327"/>
      <c r="V9" s="365"/>
      <c r="W9" s="327"/>
      <c r="X9" s="366"/>
      <c r="Y9" s="327"/>
      <c r="Z9" s="368"/>
      <c r="AA9" s="327"/>
      <c r="AB9" s="366"/>
      <c r="AC9" s="327"/>
      <c r="AD9" s="365"/>
      <c r="AE9" s="327"/>
      <c r="AF9" s="365"/>
      <c r="AG9" s="327"/>
      <c r="AH9" s="365"/>
      <c r="AI9" s="327"/>
      <c r="AJ9" s="365"/>
      <c r="AK9" s="327"/>
      <c r="AL9" s="365"/>
      <c r="AM9" s="327"/>
      <c r="AN9" s="365"/>
      <c r="AO9" s="327"/>
      <c r="AP9" s="365"/>
      <c r="AQ9" s="327"/>
      <c r="AR9" s="365"/>
      <c r="AS9" s="327"/>
      <c r="AT9" s="365"/>
      <c r="AU9" s="327"/>
      <c r="AV9" s="364"/>
      <c r="AW9" s="327"/>
      <c r="AX9" s="326"/>
      <c r="AY9" s="327"/>
      <c r="AZ9" s="326"/>
      <c r="BA9" s="327"/>
    </row>
    <row r="10" spans="1:54" s="20" customFormat="1" ht="23" customHeight="1" thickBot="1" x14ac:dyDescent="0.25">
      <c r="A10" s="370"/>
      <c r="B10" s="370"/>
      <c r="C10" s="371"/>
      <c r="D10" s="706" t="s">
        <v>20</v>
      </c>
      <c r="E10" s="174" t="s">
        <v>21</v>
      </c>
      <c r="F10" s="174" t="s">
        <v>22</v>
      </c>
      <c r="G10" s="706" t="s">
        <v>23</v>
      </c>
      <c r="H10" s="370"/>
      <c r="I10" s="293"/>
      <c r="J10" s="294"/>
      <c r="K10" s="295"/>
      <c r="L10" s="364"/>
      <c r="M10" s="346"/>
      <c r="N10" s="363"/>
      <c r="O10" s="345"/>
      <c r="P10" s="363"/>
      <c r="Q10" s="345"/>
      <c r="R10" s="363"/>
      <c r="S10" s="345"/>
      <c r="T10" s="363"/>
      <c r="U10" s="345"/>
      <c r="V10" s="363"/>
      <c r="W10" s="345"/>
      <c r="X10" s="367"/>
      <c r="Y10" s="345"/>
      <c r="Z10" s="368"/>
      <c r="AA10" s="345"/>
      <c r="AB10" s="367"/>
      <c r="AC10" s="345"/>
      <c r="AD10" s="363"/>
      <c r="AE10" s="345"/>
      <c r="AF10" s="363"/>
      <c r="AG10" s="345"/>
      <c r="AH10" s="363"/>
      <c r="AI10" s="345"/>
      <c r="AJ10" s="363"/>
      <c r="AK10" s="345"/>
      <c r="AL10" s="363"/>
      <c r="AM10" s="345"/>
      <c r="AN10" s="363"/>
      <c r="AO10" s="345"/>
      <c r="AP10" s="363"/>
      <c r="AQ10" s="345"/>
      <c r="AR10" s="363"/>
      <c r="AS10" s="345"/>
      <c r="AT10" s="363"/>
      <c r="AU10" s="345"/>
      <c r="AV10" s="364"/>
      <c r="AW10" s="345"/>
      <c r="AX10" s="707"/>
      <c r="AY10" s="345"/>
      <c r="AZ10" s="707"/>
      <c r="BA10" s="345"/>
      <c r="BB10" s="708" t="s">
        <v>25</v>
      </c>
    </row>
    <row r="11" spans="1:54" s="20" customFormat="1" ht="20" customHeight="1" x14ac:dyDescent="0.2">
      <c r="A11" s="761"/>
      <c r="B11" s="718"/>
      <c r="C11" s="262"/>
      <c r="D11" s="719" t="s">
        <v>85</v>
      </c>
      <c r="E11" s="720" t="s">
        <v>246</v>
      </c>
      <c r="F11" s="720" t="s">
        <v>247</v>
      </c>
      <c r="G11" s="719">
        <v>2015</v>
      </c>
      <c r="H11" s="286"/>
      <c r="I11" s="709">
        <v>40</v>
      </c>
      <c r="J11" s="710" t="s">
        <v>323</v>
      </c>
      <c r="K11" s="711" t="s">
        <v>324</v>
      </c>
      <c r="L11" s="714"/>
      <c r="M11" s="713" t="str">
        <f t="shared" ref="M11:M56" si="0">IF((ISERROR((L11/$I11)*100)), "", IF(AND(NOT(ISERROR((L11/$I11)*100)),((L11/$I11)*100) &lt;&gt; 0), (L11/$I11)*100, ""))</f>
        <v/>
      </c>
      <c r="N11" s="714"/>
      <c r="O11" s="713" t="str">
        <f>IF((ISERROR((N11/$I11)*100)), "", IF(AND(NOT(ISERROR((N11/$I11)*100)),((N11/$I11)*100) &lt;&gt; 0), (N11/$I11)*100, ""))</f>
        <v/>
      </c>
      <c r="P11" s="714"/>
      <c r="Q11" s="713" t="str">
        <f t="shared" ref="Q11:Q56" si="1">IF((ISERROR((P11/$I11)*100)), "", IF(AND(NOT(ISERROR((P11/$I11)*100)),((P11/$I11)*100) &lt;&gt; 0), (P11/$I11)*100, ""))</f>
        <v/>
      </c>
      <c r="R11" s="714"/>
      <c r="S11" s="713" t="str">
        <f t="shared" ref="S11:S56" si="2">IF((ISERROR((R11/$I11)*100)), "", IF(AND(NOT(ISERROR((R11/$I11)*100)),((R11/$I11)*100) &lt;&gt; 0), (R11/$I11)*100, ""))</f>
        <v/>
      </c>
      <c r="T11" s="714"/>
      <c r="U11" s="713" t="str">
        <f>IF((ISERROR((T11/$I11)*100)), "", IF(AND(NOT(ISERROR((T11/$I11)*100)),((T11/$I11)*100) &lt;&gt; 0), (T11/$I11)*100, ""))</f>
        <v/>
      </c>
      <c r="V11" s="714"/>
      <c r="W11" s="713" t="str">
        <f t="shared" ref="W11:W56" si="3">IF((ISERROR((V11/$I11)*100)), "", IF(AND(NOT(ISERROR((V11/$I11)*100)),((V11/$I11)*100) &lt;&gt; 0), (V11/$I11)*100, ""))</f>
        <v/>
      </c>
      <c r="X11" s="712"/>
      <c r="Y11" s="713" t="str">
        <f>IF((ISERROR((X11/$I11)*100)), "", IF(AND(NOT(ISERROR((X11/$I11)*100)),((X11/$I11)*100) &lt;&gt; 0), (X11/$I11)*100, ""))</f>
        <v/>
      </c>
      <c r="Z11" s="712"/>
      <c r="AA11" s="713" t="str">
        <f t="shared" ref="AA11:AA56" si="4">IF((ISERROR((Z11/$I11)*100)), "", IF(AND(NOT(ISERROR((Z11/$I11)*100)),((Z11/$I11)*100) &lt;&gt; 0), (Z11/$I11)*100, ""))</f>
        <v/>
      </c>
      <c r="AB11" s="712"/>
      <c r="AC11" s="713" t="str">
        <f>IF((ISERROR((AB11/$I11)*100)), "", IF(AND(NOT(ISERROR((AB11/$I11)*100)),((AB11/$I11)*100) &lt;&gt; 0), (AB11/$I11)*100, ""))</f>
        <v/>
      </c>
      <c r="AD11" s="714"/>
      <c r="AE11" s="713" t="str">
        <f>IF((ISERROR((AD11/$I11)*100)), "", IF(AND(NOT(ISERROR((AD11/$I11)*100)),((AD11/$I11)*100) &lt;&gt; 0), (AD11/$I11)*100, ""))</f>
        <v/>
      </c>
      <c r="AF11" s="714"/>
      <c r="AG11" s="713" t="str">
        <f>IF((ISERROR((AF11/$I11)*100)), "", IF(AND(NOT(ISERROR((AF11/$I11)*100)),((AF11/$I11)*100) &lt;&gt; 0), (AF11/$I11)*100, ""))</f>
        <v/>
      </c>
      <c r="AH11" s="714"/>
      <c r="AI11" s="713" t="str">
        <f>IF((ISERROR((AH11/$I11)*100)), "", IF(AND(NOT(ISERROR((AH11/$I11)*100)),((AH11/$I11)*100) &lt;&gt; 0), (AH11/$I11)*100, ""))</f>
        <v/>
      </c>
      <c r="AJ11" s="714"/>
      <c r="AK11" s="713" t="str">
        <f>IF((ISERROR((AJ11/$I11)*100)), "", IF(AND(NOT(ISERROR((AJ11/$I11)*100)),((AJ11/$I11)*100) &lt;&gt; 0), (AJ11/$I11)*100, ""))</f>
        <v/>
      </c>
      <c r="AL11" s="714"/>
      <c r="AM11" s="713" t="str">
        <f>IF((ISERROR((AL11/$I11)*100)), "", IF(AND(NOT(ISERROR((AL11/$I11)*100)),((AL11/$I11)*100) &lt;&gt; 0), (AL11/$I11)*100, ""))</f>
        <v/>
      </c>
      <c r="AN11" s="714"/>
      <c r="AO11" s="713" t="str">
        <f>IF((ISERROR((AN11/$I11)*100)), "", IF(AND(NOT(ISERROR((AN11/$I11)*100)),((AN11/$I11)*100) &lt;&gt; 0), (AN11/$I11)*100, ""))</f>
        <v/>
      </c>
      <c r="AP11" s="714"/>
      <c r="AQ11" s="713" t="str">
        <f>IF((ISERROR((AP11/$I11)*100)), "", IF(AND(NOT(ISERROR((AP11/$I11)*100)),((AP11/$I11)*100) &lt;&gt; 0), (AP11/$I11)*100, ""))</f>
        <v/>
      </c>
      <c r="AR11" s="714"/>
      <c r="AS11" s="713" t="str">
        <f>IF((ISERROR((AR11/$I11)*100)), "", IF(AND(NOT(ISERROR((AR11/$I11)*100)),((AR11/$I11)*100) &lt;&gt; 0), (AR11/$I11)*100, ""))</f>
        <v/>
      </c>
      <c r="AT11" s="714"/>
      <c r="AU11" s="713" t="str">
        <f>IF((ISERROR((AT11/$I11)*100)), "", IF(AND(NOT(ISERROR((AT11/$I11)*100)),((AT11/$I11)*100) &lt;&gt; 0), (AT11/$I11)*100, ""))</f>
        <v/>
      </c>
      <c r="AV11" s="714"/>
      <c r="AW11" s="713" t="str">
        <f>IF((ISERROR((AV11/$I11)*100)), "", IF(AND(NOT(ISERROR((AV11/$I11)*100)),((AV11/$I11)*100) &lt;&gt; 0), (AV11/$I11)*100, ""))</f>
        <v/>
      </c>
      <c r="AX11" s="715"/>
      <c r="AY11" s="716" t="str">
        <f t="shared" ref="AY11:AY56" si="5">IF((ISERROR((AX11/$I11)*100)), "", IF(AND(NOT(ISERROR((AX11/$I11)*100)),((AX11/$I11)*100) &lt;&gt; 0), (AX11/$I11)*100, ""))</f>
        <v/>
      </c>
      <c r="AZ11" s="715"/>
      <c r="BA11" s="716" t="str">
        <f t="shared" ref="BA11:BA56" si="6">IF((ISERROR((AZ11/$I11)*100)), "", IF(AND(NOT(ISERROR((AZ11/$I11)*100)),((AZ11/$I11)*100) &lt;&gt; 0), (AZ11/$I11)*100, ""))</f>
        <v/>
      </c>
      <c r="BB11" s="47" t="s">
        <v>325</v>
      </c>
    </row>
    <row r="12" spans="1:54" ht="20" customHeight="1" x14ac:dyDescent="0.2">
      <c r="A12" s="753"/>
      <c r="B12" s="725"/>
      <c r="C12" s="255"/>
      <c r="D12" s="722" t="s">
        <v>85</v>
      </c>
      <c r="E12" s="723" t="s">
        <v>26</v>
      </c>
      <c r="F12" s="723" t="s">
        <v>27</v>
      </c>
      <c r="G12" s="722">
        <v>2008</v>
      </c>
      <c r="H12" s="287">
        <v>165</v>
      </c>
      <c r="I12" s="81">
        <v>107</v>
      </c>
      <c r="J12" s="76" t="s">
        <v>165</v>
      </c>
      <c r="K12" s="77"/>
      <c r="L12" s="31"/>
      <c r="M12" s="34" t="str">
        <f t="shared" si="0"/>
        <v/>
      </c>
      <c r="N12" s="31"/>
      <c r="O12" s="34" t="str">
        <f>IF((ISERROR((N12/$I12)*100)), "", IF(AND(NOT(ISERROR((N12/$I12)*100)),((N12/$I12)*100) &lt;&gt; 0), (N12/$I12)*100, ""))</f>
        <v/>
      </c>
      <c r="P12" s="50"/>
      <c r="Q12" s="51" t="str">
        <f t="shared" si="1"/>
        <v/>
      </c>
      <c r="R12" s="50"/>
      <c r="S12" s="51" t="str">
        <f t="shared" si="2"/>
        <v/>
      </c>
      <c r="T12" s="50"/>
      <c r="U12" s="51" t="str">
        <f>IF((ISERROR((T12/$I12)*100)), "", IF(AND(NOT(ISERROR((T12/$I12)*100)),((T12/$I12)*100) &lt;&gt; 0), (T12/$I12)*100, ""))</f>
        <v/>
      </c>
      <c r="V12" s="31">
        <v>1</v>
      </c>
      <c r="W12" s="34">
        <f t="shared" si="3"/>
        <v>0.93457943925233633</v>
      </c>
      <c r="X12" s="31"/>
      <c r="Y12" s="34" t="str">
        <f>IF((ISERROR((X12/$I12)*100)), "", IF(AND(NOT(ISERROR((X12/$I12)*100)),((X12/$I12)*100) &lt;&gt; 0), (X12/$I12)*100, ""))</f>
        <v/>
      </c>
      <c r="Z12" s="31"/>
      <c r="AA12" s="34" t="str">
        <f t="shared" si="4"/>
        <v/>
      </c>
      <c r="AB12" s="50"/>
      <c r="AC12" s="51" t="str">
        <f>IF((ISERROR((AB12/$I12)*100)), "", IF(AND(NOT(ISERROR((AB12/$I12)*100)),((AB12/$I12)*100) &lt;&gt; 0), (AB12/$I12)*100, ""))</f>
        <v/>
      </c>
      <c r="AD12" s="50"/>
      <c r="AE12" s="51" t="str">
        <f>IF((ISERROR((AD12/$I12)*100)), "", IF(AND(NOT(ISERROR((AD12/$I12)*100)),((AD12/$I12)*100) &lt;&gt; 0), (AD12/$I12)*100, ""))</f>
        <v/>
      </c>
      <c r="AF12" s="50"/>
      <c r="AG12" s="51" t="str">
        <f>IF((ISERROR((AF12/$I12)*100)), "", IF(AND(NOT(ISERROR((AF12/$I12)*100)),((AF12/$I12)*100) &lt;&gt; 0), (AF12/$I12)*100, ""))</f>
        <v/>
      </c>
      <c r="AH12" s="50"/>
      <c r="AI12" s="51" t="str">
        <f>IF((ISERROR((AH12/$I12)*100)), "", IF(AND(NOT(ISERROR((AH12/$I12)*100)),((AH12/$I12)*100) &lt;&gt; 0), (AH12/$I12)*100, ""))</f>
        <v/>
      </c>
      <c r="AJ12" s="50"/>
      <c r="AK12" s="51" t="str">
        <f>IF((ISERROR((AJ12/$I12)*100)), "", IF(AND(NOT(ISERROR((AJ12/$I12)*100)),((AJ12/$I12)*100) &lt;&gt; 0), (AJ12/$I12)*100, ""))</f>
        <v/>
      </c>
      <c r="AL12" s="50">
        <v>1</v>
      </c>
      <c r="AM12" s="51">
        <f>IF((ISERROR((AL12/$I12)*100)), "", IF(AND(NOT(ISERROR((AL12/$I12)*100)),((AL12/$I12)*100) &lt;&gt; 0), (AL12/$I12)*100, ""))</f>
        <v>0.93457943925233633</v>
      </c>
      <c r="AN12" s="50"/>
      <c r="AO12" s="51" t="str">
        <f>IF((ISERROR((AN12/$I12)*100)), "", IF(AND(NOT(ISERROR((AN12/$I12)*100)),((AN12/$I12)*100) &lt;&gt; 0), (AN12/$I12)*100, ""))</f>
        <v/>
      </c>
      <c r="AP12" s="50"/>
      <c r="AQ12" s="51" t="str">
        <f>IF((ISERROR((AP12/$I12)*100)), "", IF(AND(NOT(ISERROR((AP12/$I12)*100)),((AP12/$I12)*100) &lt;&gt; 0), (AP12/$I12)*100, ""))</f>
        <v/>
      </c>
      <c r="AR12" s="50"/>
      <c r="AS12" s="51" t="str">
        <f>IF((ISERROR((AR12/$I12)*100)), "", IF(AND(NOT(ISERROR((AR12/$I12)*100)),((AR12/$I12)*100) &lt;&gt; 0), (AR12/$I12)*100, ""))</f>
        <v/>
      </c>
      <c r="AT12" s="50"/>
      <c r="AU12" s="51" t="str">
        <f>IF((ISERROR((AT12/$I12)*100)), "", IF(AND(NOT(ISERROR((AT12/$I12)*100)),((AT12/$I12)*100) &lt;&gt; 0), (AT12/$I12)*100, ""))</f>
        <v/>
      </c>
      <c r="AV12" s="50"/>
      <c r="AW12" s="51" t="str">
        <f>IF((ISERROR((AV12/$I12)*100)), "", IF(AND(NOT(ISERROR((AV12/$I12)*100)),((AV12/$I12)*100) &lt;&gt; 0), (AV12/$I12)*100, ""))</f>
        <v/>
      </c>
      <c r="AX12" s="52">
        <v>1</v>
      </c>
      <c r="AY12" s="34">
        <f t="shared" si="5"/>
        <v>0.93457943925233633</v>
      </c>
      <c r="AZ12" s="52"/>
      <c r="BA12" s="34" t="str">
        <f t="shared" si="6"/>
        <v/>
      </c>
      <c r="BB12" s="21" t="s">
        <v>552</v>
      </c>
    </row>
    <row r="13" spans="1:54" ht="20" customHeight="1" x14ac:dyDescent="0.2">
      <c r="A13" s="753"/>
      <c r="B13" s="721"/>
      <c r="C13" s="253"/>
      <c r="D13" s="722" t="s">
        <v>85</v>
      </c>
      <c r="E13" s="723" t="s">
        <v>248</v>
      </c>
      <c r="F13" s="723" t="s">
        <v>249</v>
      </c>
      <c r="G13" s="722">
        <v>2016</v>
      </c>
      <c r="H13" s="724"/>
      <c r="I13" s="65">
        <v>12</v>
      </c>
      <c r="J13" s="61" t="s">
        <v>327</v>
      </c>
      <c r="K13" s="62"/>
      <c r="L13" s="31"/>
      <c r="M13" s="34" t="str">
        <f t="shared" si="0"/>
        <v/>
      </c>
      <c r="N13" s="31"/>
      <c r="O13" s="34" t="str">
        <f>IF((ISERROR((N13/$I13)*100)), "", IF(AND(NOT(ISERROR((N13/$I13)*100)),((N13/$I13)*100) &lt;&gt; 0), (N13/$I13)*100, ""))</f>
        <v/>
      </c>
      <c r="P13" s="31"/>
      <c r="Q13" s="34" t="str">
        <f t="shared" si="1"/>
        <v/>
      </c>
      <c r="R13" s="31"/>
      <c r="S13" s="34" t="str">
        <f t="shared" si="2"/>
        <v/>
      </c>
      <c r="T13" s="31"/>
      <c r="U13" s="34" t="str">
        <f>IF((ISERROR((T13/$I13)*100)), "", IF(AND(NOT(ISERROR((T13/$I13)*100)),((T13/$I13)*100) &lt;&gt; 0), (T13/$I13)*100, ""))</f>
        <v/>
      </c>
      <c r="V13" s="31"/>
      <c r="W13" s="34" t="str">
        <f t="shared" si="3"/>
        <v/>
      </c>
      <c r="X13" s="31"/>
      <c r="Y13" s="34" t="str">
        <f>IF((ISERROR((X13/$I13)*100)), "", IF(AND(NOT(ISERROR((X13/$I13)*100)),((X13/$I13)*100) &lt;&gt; 0), (X13/$I13)*100, ""))</f>
        <v/>
      </c>
      <c r="Z13" s="31"/>
      <c r="AA13" s="34" t="str">
        <f t="shared" si="4"/>
        <v/>
      </c>
      <c r="AB13" s="31"/>
      <c r="AC13" s="34" t="str">
        <f>IF((ISERROR((AB13/$I13)*100)), "", IF(AND(NOT(ISERROR((AB13/$I13)*100)),((AB13/$I13)*100) &lt;&gt; 0), (AB13/$I13)*100, ""))</f>
        <v/>
      </c>
      <c r="AD13" s="31"/>
      <c r="AE13" s="34" t="str">
        <f>IF((ISERROR((AD13/$I13)*100)), "", IF(AND(NOT(ISERROR((AD13/$I13)*100)),((AD13/$I13)*100) &lt;&gt; 0), (AD13/$I13)*100, ""))</f>
        <v/>
      </c>
      <c r="AF13" s="31"/>
      <c r="AG13" s="34" t="str">
        <f>IF((ISERROR((AF13/$I13)*100)), "", IF(AND(NOT(ISERROR((AF13/$I13)*100)),((AF13/$I13)*100) &lt;&gt; 0), (AF13/$I13)*100, ""))</f>
        <v/>
      </c>
      <c r="AH13" s="31"/>
      <c r="AI13" s="34" t="str">
        <f>IF((ISERROR((AH13/$I13)*100)), "", IF(AND(NOT(ISERROR((AH13/$I13)*100)),((AH13/$I13)*100) &lt;&gt; 0), (AH13/$I13)*100, ""))</f>
        <v/>
      </c>
      <c r="AJ13" s="31"/>
      <c r="AK13" s="34" t="str">
        <f>IF((ISERROR((AJ13/$I13)*100)), "", IF(AND(NOT(ISERROR((AJ13/$I13)*100)),((AJ13/$I13)*100) &lt;&gt; 0), (AJ13/$I13)*100, ""))</f>
        <v/>
      </c>
      <c r="AL13" s="31"/>
      <c r="AM13" s="34" t="str">
        <f>IF((ISERROR((AL13/$I13)*100)), "", IF(AND(NOT(ISERROR((AL13/$I13)*100)),((AL13/$I13)*100) &lt;&gt; 0), (AL13/$I13)*100, ""))</f>
        <v/>
      </c>
      <c r="AN13" s="31"/>
      <c r="AO13" s="34" t="str">
        <f>IF((ISERROR((AN13/$I13)*100)), "", IF(AND(NOT(ISERROR((AN13/$I13)*100)),((AN13/$I13)*100) &lt;&gt; 0), (AN13/$I13)*100, ""))</f>
        <v/>
      </c>
      <c r="AP13" s="31"/>
      <c r="AQ13" s="34" t="str">
        <f>IF((ISERROR((AP13/$I13)*100)), "", IF(AND(NOT(ISERROR((AP13/$I13)*100)),((AP13/$I13)*100) &lt;&gt; 0), (AP13/$I13)*100, ""))</f>
        <v/>
      </c>
      <c r="AR13" s="31"/>
      <c r="AS13" s="34" t="str">
        <f>IF((ISERROR((AR13/$I13)*100)), "", IF(AND(NOT(ISERROR((AR13/$I13)*100)),((AR13/$I13)*100) &lt;&gt; 0), (AR13/$I13)*100, ""))</f>
        <v/>
      </c>
      <c r="AT13" s="31"/>
      <c r="AU13" s="34" t="str">
        <f>IF((ISERROR((AT13/$I13)*100)), "", IF(AND(NOT(ISERROR((AT13/$I13)*100)),((AT13/$I13)*100) &lt;&gt; 0), (AT13/$I13)*100, ""))</f>
        <v/>
      </c>
      <c r="AV13" s="31"/>
      <c r="AW13" s="34" t="str">
        <f>IF((ISERROR((AV13/$I13)*100)), "", IF(AND(NOT(ISERROR((AV13/$I13)*100)),((AV13/$I13)*100) &lt;&gt; 0), (AV13/$I13)*100, ""))</f>
        <v/>
      </c>
      <c r="AX13" s="28"/>
      <c r="AY13" s="34" t="str">
        <f t="shared" si="5"/>
        <v/>
      </c>
      <c r="AZ13" s="44"/>
      <c r="BA13" s="34" t="str">
        <f t="shared" si="6"/>
        <v/>
      </c>
      <c r="BB13" s="21" t="s">
        <v>328</v>
      </c>
    </row>
    <row r="14" spans="1:54" customFormat="1" ht="20" customHeight="1" x14ac:dyDescent="0.2">
      <c r="A14" s="754"/>
      <c r="B14" s="725"/>
      <c r="C14" s="722"/>
      <c r="D14" s="727" t="s">
        <v>30</v>
      </c>
      <c r="E14" s="728" t="s">
        <v>28</v>
      </c>
      <c r="F14" s="728" t="s">
        <v>29</v>
      </c>
      <c r="G14" s="727">
        <v>2016</v>
      </c>
      <c r="H14" s="729">
        <v>22</v>
      </c>
      <c r="I14" s="65"/>
      <c r="J14" s="61"/>
      <c r="K14" s="62"/>
      <c r="L14" s="31"/>
      <c r="M14" s="34" t="str">
        <f t="shared" si="0"/>
        <v/>
      </c>
      <c r="N14" s="31"/>
      <c r="O14" s="34" t="str">
        <f>IF((ISERROR((N14/$I14)*100)), "", IF(AND(NOT(ISERROR((N14/$I14)*100)),((N14/$I14)*100) &lt;&gt; 0), (N14/$I14)*100, ""))</f>
        <v/>
      </c>
      <c r="P14" s="31"/>
      <c r="Q14" s="34" t="str">
        <f t="shared" si="1"/>
        <v/>
      </c>
      <c r="R14" s="31"/>
      <c r="S14" s="34" t="str">
        <f t="shared" si="2"/>
        <v/>
      </c>
      <c r="T14" s="31"/>
      <c r="U14" s="34" t="str">
        <f>IF((ISERROR((T14/$I14)*100)), "", IF(AND(NOT(ISERROR((T14/$I14)*100)),((T14/$I14)*100) &lt;&gt; 0), (T14/$I14)*100, ""))</f>
        <v/>
      </c>
      <c r="V14" s="31"/>
      <c r="W14" s="34" t="str">
        <f t="shared" si="3"/>
        <v/>
      </c>
      <c r="X14" s="31"/>
      <c r="Y14" s="34" t="str">
        <f>IF((ISERROR((X14/$I14)*100)), "", IF(AND(NOT(ISERROR((X14/$I14)*100)),((X14/$I14)*100) &lt;&gt; 0), (X14/$I14)*100, ""))</f>
        <v/>
      </c>
      <c r="Z14" s="31"/>
      <c r="AA14" s="34" t="str">
        <f t="shared" si="4"/>
        <v/>
      </c>
      <c r="AB14" s="31"/>
      <c r="AC14" s="34" t="str">
        <f>IF((ISERROR((AB14/$I14)*100)), "", IF(AND(NOT(ISERROR((AB14/$I14)*100)),((AB14/$I14)*100) &lt;&gt; 0), (AB14/$I14)*100, ""))</f>
        <v/>
      </c>
      <c r="AD14" s="31"/>
      <c r="AE14" s="34" t="str">
        <f>IF((ISERROR((AD14/$I14)*100)), "", IF(AND(NOT(ISERROR((AD14/$I14)*100)),((AD14/$I14)*100) &lt;&gt; 0), (AD14/$I14)*100, ""))</f>
        <v/>
      </c>
      <c r="AF14" s="31"/>
      <c r="AG14" s="34" t="str">
        <f>IF((ISERROR((AF14/$I14)*100)), "", IF(AND(NOT(ISERROR((AF14/$I14)*100)),((AF14/$I14)*100) &lt;&gt; 0), (AF14/$I14)*100, ""))</f>
        <v/>
      </c>
      <c r="AH14" s="31"/>
      <c r="AI14" s="34" t="str">
        <f>IF((ISERROR((AH14/$I14)*100)), "", IF(AND(NOT(ISERROR((AH14/$I14)*100)),((AH14/$I14)*100) &lt;&gt; 0), (AH14/$I14)*100, ""))</f>
        <v/>
      </c>
      <c r="AJ14" s="31"/>
      <c r="AK14" s="34" t="str">
        <f>IF((ISERROR((AJ14/$I14)*100)), "", IF(AND(NOT(ISERROR((AJ14/$I14)*100)),((AJ14/$I14)*100) &lt;&gt; 0), (AJ14/$I14)*100, ""))</f>
        <v/>
      </c>
      <c r="AL14" s="31"/>
      <c r="AM14" s="34" t="str">
        <f>IF((ISERROR((AL14/$I14)*100)), "", IF(AND(NOT(ISERROR((AL14/$I14)*100)),((AL14/$I14)*100) &lt;&gt; 0), (AL14/$I14)*100, ""))</f>
        <v/>
      </c>
      <c r="AN14" s="31"/>
      <c r="AO14" s="34" t="str">
        <f>IF((ISERROR((AN14/$I14)*100)), "", IF(AND(NOT(ISERROR((AN14/$I14)*100)),((AN14/$I14)*100) &lt;&gt; 0), (AN14/$I14)*100, ""))</f>
        <v/>
      </c>
      <c r="AP14" s="31"/>
      <c r="AQ14" s="34" t="str">
        <f>IF((ISERROR((AP14/$I14)*100)), "", IF(AND(NOT(ISERROR((AP14/$I14)*100)),((AP14/$I14)*100) &lt;&gt; 0), (AP14/$I14)*100, ""))</f>
        <v/>
      </c>
      <c r="AR14" s="31"/>
      <c r="AS14" s="34" t="str">
        <f>IF((ISERROR((AR14/$I14)*100)), "", IF(AND(NOT(ISERROR((AR14/$I14)*100)),((AR14/$I14)*100) &lt;&gt; 0), (AR14/$I14)*100, ""))</f>
        <v/>
      </c>
      <c r="AT14" s="31"/>
      <c r="AU14" s="34" t="str">
        <f>IF((ISERROR((AT14/$I14)*100)), "", IF(AND(NOT(ISERROR((AT14/$I14)*100)),((AT14/$I14)*100) &lt;&gt; 0), (AT14/$I14)*100, ""))</f>
        <v/>
      </c>
      <c r="AV14" s="31"/>
      <c r="AW14" s="34" t="str">
        <f>IF((ISERROR((AV14/$I14)*100)), "", IF(AND(NOT(ISERROR((AV14/$I14)*100)),((AV14/$I14)*100) &lt;&gt; 0), (AV14/$I14)*100, ""))</f>
        <v/>
      </c>
      <c r="AX14" s="56"/>
      <c r="AY14" s="34" t="str">
        <f t="shared" si="5"/>
        <v/>
      </c>
      <c r="AZ14" s="56"/>
      <c r="BA14" s="34" t="str">
        <f t="shared" si="6"/>
        <v/>
      </c>
      <c r="BB14" s="21"/>
    </row>
    <row r="15" spans="1:54" customFormat="1" ht="20" customHeight="1" x14ac:dyDescent="0.2">
      <c r="A15" s="754"/>
      <c r="B15" s="725"/>
      <c r="C15" s="255"/>
      <c r="D15" s="722" t="s">
        <v>85</v>
      </c>
      <c r="E15" s="723" t="s">
        <v>553</v>
      </c>
      <c r="F15" s="723" t="s">
        <v>489</v>
      </c>
      <c r="G15" s="722">
        <v>2012</v>
      </c>
      <c r="H15" s="724"/>
      <c r="I15" s="65">
        <v>70</v>
      </c>
      <c r="J15" s="61" t="s">
        <v>181</v>
      </c>
      <c r="K15" s="62" t="s">
        <v>190</v>
      </c>
      <c r="L15" s="31">
        <v>10</v>
      </c>
      <c r="M15" s="34">
        <f t="shared" si="0"/>
        <v>14.285714285714285</v>
      </c>
      <c r="N15" s="31"/>
      <c r="O15" s="34"/>
      <c r="P15" s="31">
        <v>3</v>
      </c>
      <c r="Q15" s="34">
        <f t="shared" si="1"/>
        <v>4.2857142857142856</v>
      </c>
      <c r="R15" s="31">
        <v>1</v>
      </c>
      <c r="S15" s="34">
        <f t="shared" si="2"/>
        <v>1.4285714285714286</v>
      </c>
      <c r="T15" s="31"/>
      <c r="U15" s="34"/>
      <c r="V15" s="31">
        <v>9</v>
      </c>
      <c r="W15" s="34">
        <f t="shared" si="3"/>
        <v>12.857142857142856</v>
      </c>
      <c r="X15" s="31"/>
      <c r="Y15" s="34"/>
      <c r="Z15" s="31">
        <v>8</v>
      </c>
      <c r="AA15" s="34">
        <f t="shared" si="4"/>
        <v>11.428571428571429</v>
      </c>
      <c r="AB15" s="31"/>
      <c r="AC15" s="34"/>
      <c r="AD15" s="31"/>
      <c r="AE15" s="34"/>
      <c r="AF15" s="31"/>
      <c r="AG15" s="34"/>
      <c r="AH15" s="31"/>
      <c r="AI15" s="34"/>
      <c r="AJ15" s="31"/>
      <c r="AK15" s="34"/>
      <c r="AL15" s="31"/>
      <c r="AM15" s="34"/>
      <c r="AN15" s="31"/>
      <c r="AO15" s="34"/>
      <c r="AP15" s="31"/>
      <c r="AQ15" s="34"/>
      <c r="AR15" s="31"/>
      <c r="AS15" s="34"/>
      <c r="AT15" s="31"/>
      <c r="AU15" s="34"/>
      <c r="AV15" s="31"/>
      <c r="AW15" s="34"/>
      <c r="AX15" s="56">
        <v>101</v>
      </c>
      <c r="AY15" s="34">
        <f t="shared" si="5"/>
        <v>144.28571428571428</v>
      </c>
      <c r="AZ15" s="56">
        <v>31</v>
      </c>
      <c r="BA15" s="34">
        <f t="shared" si="6"/>
        <v>44.285714285714285</v>
      </c>
      <c r="BB15" s="21" t="s">
        <v>559</v>
      </c>
    </row>
    <row r="16" spans="1:54" customFormat="1" ht="20" customHeight="1" x14ac:dyDescent="0.2">
      <c r="A16" s="755"/>
      <c r="B16" s="721"/>
      <c r="C16" s="722"/>
      <c r="D16" s="722" t="s">
        <v>85</v>
      </c>
      <c r="E16" s="723" t="s">
        <v>595</v>
      </c>
      <c r="F16" s="723" t="s">
        <v>596</v>
      </c>
      <c r="G16" s="722">
        <v>1984</v>
      </c>
      <c r="H16" s="287"/>
      <c r="I16" s="65"/>
      <c r="J16" s="61" t="s">
        <v>210</v>
      </c>
      <c r="K16" s="62" t="s">
        <v>168</v>
      </c>
      <c r="L16" s="31"/>
      <c r="M16" s="34"/>
      <c r="N16" s="31"/>
      <c r="O16" s="34"/>
      <c r="P16" s="31"/>
      <c r="Q16" s="34"/>
      <c r="R16" s="31"/>
      <c r="S16" s="34"/>
      <c r="T16" s="31"/>
      <c r="U16" s="34"/>
      <c r="V16" s="31"/>
      <c r="W16" s="34"/>
      <c r="X16" s="31"/>
      <c r="Y16" s="34"/>
      <c r="Z16" s="31"/>
      <c r="AA16" s="34"/>
      <c r="AB16" s="31"/>
      <c r="AC16" s="34"/>
      <c r="AD16" s="31"/>
      <c r="AE16" s="34"/>
      <c r="AF16" s="31"/>
      <c r="AG16" s="34"/>
      <c r="AH16" s="31"/>
      <c r="AI16" s="34"/>
      <c r="AJ16" s="31"/>
      <c r="AK16" s="34"/>
      <c r="AL16" s="31"/>
      <c r="AM16" s="34"/>
      <c r="AN16" s="31"/>
      <c r="AO16" s="34"/>
      <c r="AP16" s="31"/>
      <c r="AQ16" s="34"/>
      <c r="AR16" s="31"/>
      <c r="AS16" s="34"/>
      <c r="AT16" s="31"/>
      <c r="AU16" s="34"/>
      <c r="AV16" s="31"/>
      <c r="AW16" s="34"/>
      <c r="AX16" s="56"/>
      <c r="AY16" s="34"/>
      <c r="AZ16" s="56"/>
      <c r="BA16" s="34"/>
      <c r="BB16" s="21"/>
    </row>
    <row r="17" spans="1:54" ht="20" customHeight="1" x14ac:dyDescent="0.2">
      <c r="A17" s="753"/>
      <c r="B17" s="725"/>
      <c r="C17" s="722"/>
      <c r="D17" s="727" t="s">
        <v>30</v>
      </c>
      <c r="E17" s="728" t="s">
        <v>31</v>
      </c>
      <c r="F17" s="728" t="s">
        <v>32</v>
      </c>
      <c r="G17" s="727">
        <v>2004</v>
      </c>
      <c r="H17" s="729">
        <v>21</v>
      </c>
      <c r="I17" s="65"/>
      <c r="J17" s="61"/>
      <c r="K17" s="62"/>
      <c r="L17" s="31"/>
      <c r="M17" s="34" t="str">
        <f t="shared" si="0"/>
        <v/>
      </c>
      <c r="N17" s="31"/>
      <c r="O17" s="34" t="str">
        <f t="shared" ref="O17:O62" si="7">IF((ISERROR((N17/$I17)*100)), "", IF(AND(NOT(ISERROR((N17/$I17)*100)),((N17/$I17)*100) &lt;&gt; 0), (N17/$I17)*100, ""))</f>
        <v/>
      </c>
      <c r="P17" s="31"/>
      <c r="Q17" s="34" t="str">
        <f t="shared" si="1"/>
        <v/>
      </c>
      <c r="R17" s="31"/>
      <c r="S17" s="34" t="str">
        <f t="shared" si="2"/>
        <v/>
      </c>
      <c r="T17" s="31"/>
      <c r="U17" s="34" t="str">
        <f t="shared" ref="U17:U62" si="8">IF((ISERROR((T17/$I17)*100)), "", IF(AND(NOT(ISERROR((T17/$I17)*100)),((T17/$I17)*100) &lt;&gt; 0), (T17/$I17)*100, ""))</f>
        <v/>
      </c>
      <c r="V17" s="31"/>
      <c r="W17" s="34" t="str">
        <f t="shared" si="3"/>
        <v/>
      </c>
      <c r="X17" s="31"/>
      <c r="Y17" s="34" t="str">
        <f t="shared" ref="Y17:Y62" si="9">IF((ISERROR((X17/$I17)*100)), "", IF(AND(NOT(ISERROR((X17/$I17)*100)),((X17/$I17)*100) &lt;&gt; 0), (X17/$I17)*100, ""))</f>
        <v/>
      </c>
      <c r="Z17" s="31"/>
      <c r="AA17" s="34" t="str">
        <f t="shared" si="4"/>
        <v/>
      </c>
      <c r="AB17" s="31"/>
      <c r="AC17" s="34" t="str">
        <f t="shared" ref="AC17:AC62" si="10">IF((ISERROR((AB17/$I17)*100)), "", IF(AND(NOT(ISERROR((AB17/$I17)*100)),((AB17/$I17)*100) &lt;&gt; 0), (AB17/$I17)*100, ""))</f>
        <v/>
      </c>
      <c r="AD17" s="31"/>
      <c r="AE17" s="34" t="str">
        <f t="shared" ref="AE17:AE62" si="11">IF((ISERROR((AD17/$I17)*100)), "", IF(AND(NOT(ISERROR((AD17/$I17)*100)),((AD17/$I17)*100) &lt;&gt; 0), (AD17/$I17)*100, ""))</f>
        <v/>
      </c>
      <c r="AF17" s="31"/>
      <c r="AG17" s="34" t="str">
        <f t="shared" ref="AG17:AG62" si="12">IF((ISERROR((AF17/$I17)*100)), "", IF(AND(NOT(ISERROR((AF17/$I17)*100)),((AF17/$I17)*100) &lt;&gt; 0), (AF17/$I17)*100, ""))</f>
        <v/>
      </c>
      <c r="AH17" s="31"/>
      <c r="AI17" s="34" t="str">
        <f t="shared" ref="AI17:AI62" si="13">IF((ISERROR((AH17/$I17)*100)), "", IF(AND(NOT(ISERROR((AH17/$I17)*100)),((AH17/$I17)*100) &lt;&gt; 0), (AH17/$I17)*100, ""))</f>
        <v/>
      </c>
      <c r="AJ17" s="31"/>
      <c r="AK17" s="34" t="str">
        <f t="shared" ref="AK17:AK62" si="14">IF((ISERROR((AJ17/$I17)*100)), "", IF(AND(NOT(ISERROR((AJ17/$I17)*100)),((AJ17/$I17)*100) &lt;&gt; 0), (AJ17/$I17)*100, ""))</f>
        <v/>
      </c>
      <c r="AL17" s="31"/>
      <c r="AM17" s="34" t="str">
        <f t="shared" ref="AM17:AM62" si="15">IF((ISERROR((AL17/$I17)*100)), "", IF(AND(NOT(ISERROR((AL17/$I17)*100)),((AL17/$I17)*100) &lt;&gt; 0), (AL17/$I17)*100, ""))</f>
        <v/>
      </c>
      <c r="AN17" s="31"/>
      <c r="AO17" s="34" t="str">
        <f t="shared" ref="AO17:AO62" si="16">IF((ISERROR((AN17/$I17)*100)), "", IF(AND(NOT(ISERROR((AN17/$I17)*100)),((AN17/$I17)*100) &lt;&gt; 0), (AN17/$I17)*100, ""))</f>
        <v/>
      </c>
      <c r="AP17" s="31"/>
      <c r="AQ17" s="34" t="str">
        <f t="shared" ref="AQ17:AQ62" si="17">IF((ISERROR((AP17/$I17)*100)), "", IF(AND(NOT(ISERROR((AP17/$I17)*100)),((AP17/$I17)*100) &lt;&gt; 0), (AP17/$I17)*100, ""))</f>
        <v/>
      </c>
      <c r="AR17" s="31"/>
      <c r="AS17" s="34" t="str">
        <f t="shared" ref="AS17:AS62" si="18">IF((ISERROR((AR17/$I17)*100)), "", IF(AND(NOT(ISERROR((AR17/$I17)*100)),((AR17/$I17)*100) &lt;&gt; 0), (AR17/$I17)*100, ""))</f>
        <v/>
      </c>
      <c r="AT17" s="31"/>
      <c r="AU17" s="34" t="str">
        <f t="shared" ref="AU17:AU62" si="19">IF((ISERROR((AT17/$I17)*100)), "", IF(AND(NOT(ISERROR((AT17/$I17)*100)),((AT17/$I17)*100) &lt;&gt; 0), (AT17/$I17)*100, ""))</f>
        <v/>
      </c>
      <c r="AV17" s="31"/>
      <c r="AW17" s="34" t="str">
        <f t="shared" ref="AW17:AW62" si="20">IF((ISERROR((AV17/$I17)*100)), "", IF(AND(NOT(ISERROR((AV17/$I17)*100)),((AV17/$I17)*100) &lt;&gt; 0), (AV17/$I17)*100, ""))</f>
        <v/>
      </c>
      <c r="AX17" s="28"/>
      <c r="AY17" s="34" t="str">
        <f t="shared" si="5"/>
        <v/>
      </c>
      <c r="AZ17" s="44"/>
      <c r="BA17" s="34" t="str">
        <f t="shared" si="6"/>
        <v/>
      </c>
    </row>
    <row r="18" spans="1:54" ht="20" customHeight="1" x14ac:dyDescent="0.2">
      <c r="A18" s="756"/>
      <c r="B18" s="721"/>
      <c r="C18" s="722"/>
      <c r="D18" s="722" t="s">
        <v>85</v>
      </c>
      <c r="E18" s="723" t="s">
        <v>598</v>
      </c>
      <c r="F18" s="723" t="s">
        <v>599</v>
      </c>
      <c r="G18" s="722">
        <v>2015</v>
      </c>
      <c r="H18" s="287"/>
      <c r="I18" s="65"/>
      <c r="J18" s="61" t="s">
        <v>600</v>
      </c>
      <c r="K18" s="62" t="s">
        <v>601</v>
      </c>
      <c r="L18" s="31"/>
      <c r="M18" s="34"/>
      <c r="N18" s="31"/>
      <c r="O18" s="34"/>
      <c r="P18" s="31"/>
      <c r="Q18" s="34"/>
      <c r="R18" s="31"/>
      <c r="S18" s="34"/>
      <c r="T18" s="31"/>
      <c r="U18" s="34"/>
      <c r="V18" s="31"/>
      <c r="W18" s="34"/>
      <c r="X18" s="31"/>
      <c r="Y18" s="34"/>
      <c r="Z18" s="31"/>
      <c r="AA18" s="34"/>
      <c r="AB18" s="31"/>
      <c r="AC18" s="34"/>
      <c r="AD18" s="31"/>
      <c r="AE18" s="34"/>
      <c r="AF18" s="31"/>
      <c r="AG18" s="34"/>
      <c r="AH18" s="31"/>
      <c r="AI18" s="34"/>
      <c r="AJ18" s="31"/>
      <c r="AK18" s="34"/>
      <c r="AL18" s="31"/>
      <c r="AM18" s="34"/>
      <c r="AN18" s="31"/>
      <c r="AO18" s="34"/>
      <c r="AP18" s="31"/>
      <c r="AQ18" s="34"/>
      <c r="AR18" s="31"/>
      <c r="AS18" s="34"/>
      <c r="AT18" s="31"/>
      <c r="AU18" s="34"/>
      <c r="AV18" s="31"/>
      <c r="AW18" s="34"/>
      <c r="AX18" s="56"/>
      <c r="AY18" s="34"/>
      <c r="AZ18" s="56"/>
      <c r="BA18" s="34"/>
    </row>
    <row r="19" spans="1:54" ht="20" customHeight="1" x14ac:dyDescent="0.2">
      <c r="A19" s="756"/>
      <c r="B19" s="721"/>
      <c r="C19" s="722"/>
      <c r="D19" s="722" t="s">
        <v>85</v>
      </c>
      <c r="E19" s="723" t="s">
        <v>602</v>
      </c>
      <c r="F19" s="723" t="s">
        <v>603</v>
      </c>
      <c r="G19" s="722">
        <v>2016</v>
      </c>
      <c r="H19" s="287"/>
      <c r="I19" s="65"/>
      <c r="J19" s="61" t="s">
        <v>184</v>
      </c>
      <c r="K19" s="62"/>
      <c r="L19" s="31"/>
      <c r="M19" s="34"/>
      <c r="N19" s="31"/>
      <c r="O19" s="34"/>
      <c r="P19" s="31"/>
      <c r="Q19" s="34"/>
      <c r="R19" s="31"/>
      <c r="S19" s="34"/>
      <c r="T19" s="31"/>
      <c r="U19" s="34"/>
      <c r="V19" s="31"/>
      <c r="W19" s="34"/>
      <c r="X19" s="31"/>
      <c r="Y19" s="34"/>
      <c r="Z19" s="31"/>
      <c r="AA19" s="34"/>
      <c r="AB19" s="31"/>
      <c r="AC19" s="34"/>
      <c r="AD19" s="31"/>
      <c r="AE19" s="34"/>
      <c r="AF19" s="31"/>
      <c r="AG19" s="34"/>
      <c r="AH19" s="31"/>
      <c r="AI19" s="34"/>
      <c r="AJ19" s="31"/>
      <c r="AK19" s="34"/>
      <c r="AL19" s="31"/>
      <c r="AM19" s="34"/>
      <c r="AN19" s="31"/>
      <c r="AO19" s="34"/>
      <c r="AP19" s="31"/>
      <c r="AQ19" s="34"/>
      <c r="AR19" s="31"/>
      <c r="AS19" s="34"/>
      <c r="AT19" s="31"/>
      <c r="AU19" s="34"/>
      <c r="AV19" s="31"/>
      <c r="AW19" s="34"/>
      <c r="AX19" s="56"/>
      <c r="AY19" s="34"/>
      <c r="AZ19" s="56"/>
      <c r="BA19" s="34"/>
    </row>
    <row r="20" spans="1:54" ht="20" customHeight="1" x14ac:dyDescent="0.2">
      <c r="A20" s="756"/>
      <c r="B20" s="721"/>
      <c r="C20" s="722"/>
      <c r="D20" s="722" t="s">
        <v>85</v>
      </c>
      <c r="E20" s="723" t="s">
        <v>604</v>
      </c>
      <c r="F20" s="723" t="s">
        <v>605</v>
      </c>
      <c r="G20" s="722">
        <v>2001</v>
      </c>
      <c r="H20" s="287"/>
      <c r="I20" s="65"/>
      <c r="J20" s="61" t="s">
        <v>213</v>
      </c>
      <c r="K20" s="62" t="s">
        <v>189</v>
      </c>
      <c r="L20" s="31"/>
      <c r="M20" s="34"/>
      <c r="N20" s="31"/>
      <c r="O20" s="34"/>
      <c r="P20" s="31"/>
      <c r="Q20" s="34"/>
      <c r="R20" s="31"/>
      <c r="S20" s="34"/>
      <c r="T20" s="31"/>
      <c r="U20" s="34"/>
      <c r="V20" s="31"/>
      <c r="W20" s="34"/>
      <c r="X20" s="31"/>
      <c r="Y20" s="34"/>
      <c r="Z20" s="31"/>
      <c r="AA20" s="34"/>
      <c r="AB20" s="31"/>
      <c r="AC20" s="34"/>
      <c r="AD20" s="31"/>
      <c r="AE20" s="34"/>
      <c r="AF20" s="31"/>
      <c r="AG20" s="34"/>
      <c r="AH20" s="31"/>
      <c r="AI20" s="34"/>
      <c r="AJ20" s="31"/>
      <c r="AK20" s="34"/>
      <c r="AL20" s="31"/>
      <c r="AM20" s="34"/>
      <c r="AN20" s="31"/>
      <c r="AO20" s="34"/>
      <c r="AP20" s="31"/>
      <c r="AQ20" s="34"/>
      <c r="AR20" s="31"/>
      <c r="AS20" s="34"/>
      <c r="AT20" s="31"/>
      <c r="AU20" s="34"/>
      <c r="AV20" s="31"/>
      <c r="AW20" s="34"/>
      <c r="AX20" s="56"/>
      <c r="AY20" s="34"/>
      <c r="AZ20" s="56"/>
      <c r="BA20" s="34"/>
    </row>
    <row r="21" spans="1:54" ht="20" customHeight="1" x14ac:dyDescent="0.2">
      <c r="A21" s="753"/>
      <c r="B21" s="721"/>
      <c r="C21" s="722"/>
      <c r="D21" s="727" t="s">
        <v>49</v>
      </c>
      <c r="E21" s="728" t="s">
        <v>65</v>
      </c>
      <c r="F21" s="728" t="s">
        <v>66</v>
      </c>
      <c r="G21" s="727">
        <v>1997</v>
      </c>
      <c r="H21" s="729"/>
      <c r="I21" s="65"/>
      <c r="J21" s="61"/>
      <c r="K21" s="62"/>
      <c r="L21" s="31"/>
      <c r="M21" s="34" t="str">
        <f t="shared" si="0"/>
        <v/>
      </c>
      <c r="N21" s="31"/>
      <c r="O21" s="34" t="str">
        <f t="shared" si="7"/>
        <v/>
      </c>
      <c r="P21" s="31"/>
      <c r="Q21" s="34" t="str">
        <f t="shared" si="1"/>
        <v/>
      </c>
      <c r="R21" s="31"/>
      <c r="S21" s="34" t="str">
        <f t="shared" si="2"/>
        <v/>
      </c>
      <c r="T21" s="31"/>
      <c r="U21" s="34" t="str">
        <f t="shared" si="8"/>
        <v/>
      </c>
      <c r="V21" s="31"/>
      <c r="W21" s="34" t="str">
        <f t="shared" si="3"/>
        <v/>
      </c>
      <c r="X21" s="31"/>
      <c r="Y21" s="34" t="str">
        <f t="shared" si="9"/>
        <v/>
      </c>
      <c r="Z21" s="31"/>
      <c r="AA21" s="34" t="str">
        <f t="shared" si="4"/>
        <v/>
      </c>
      <c r="AB21" s="31"/>
      <c r="AC21" s="34" t="str">
        <f t="shared" si="10"/>
        <v/>
      </c>
      <c r="AD21" s="31"/>
      <c r="AE21" s="34" t="str">
        <f t="shared" si="11"/>
        <v/>
      </c>
      <c r="AF21" s="31"/>
      <c r="AG21" s="34" t="str">
        <f t="shared" si="12"/>
        <v/>
      </c>
      <c r="AH21" s="31"/>
      <c r="AI21" s="34" t="str">
        <f t="shared" si="13"/>
        <v/>
      </c>
      <c r="AJ21" s="31"/>
      <c r="AK21" s="34" t="str">
        <f t="shared" si="14"/>
        <v/>
      </c>
      <c r="AL21" s="31"/>
      <c r="AM21" s="34" t="str">
        <f t="shared" si="15"/>
        <v/>
      </c>
      <c r="AN21" s="31"/>
      <c r="AO21" s="34" t="str">
        <f t="shared" si="16"/>
        <v/>
      </c>
      <c r="AP21" s="31"/>
      <c r="AQ21" s="34" t="str">
        <f t="shared" si="17"/>
        <v/>
      </c>
      <c r="AR21" s="31"/>
      <c r="AS21" s="34" t="str">
        <f t="shared" si="18"/>
        <v/>
      </c>
      <c r="AT21" s="31"/>
      <c r="AU21" s="34" t="str">
        <f t="shared" si="19"/>
        <v/>
      </c>
      <c r="AV21" s="31"/>
      <c r="AW21" s="34" t="str">
        <f t="shared" si="20"/>
        <v/>
      </c>
      <c r="AX21" s="28"/>
      <c r="AY21" s="34" t="str">
        <f t="shared" si="5"/>
        <v/>
      </c>
      <c r="AZ21" s="44"/>
      <c r="BA21" s="34" t="str">
        <f t="shared" si="6"/>
        <v/>
      </c>
    </row>
    <row r="22" spans="1:54" ht="20" customHeight="1" x14ac:dyDescent="0.2">
      <c r="A22" s="753"/>
      <c r="B22" s="725"/>
      <c r="C22" s="255"/>
      <c r="D22" s="722" t="s">
        <v>85</v>
      </c>
      <c r="E22" s="723" t="s">
        <v>33</v>
      </c>
      <c r="F22" s="723" t="s">
        <v>34</v>
      </c>
      <c r="G22" s="722">
        <v>2003</v>
      </c>
      <c r="H22" s="287">
        <v>291</v>
      </c>
      <c r="I22" s="65">
        <v>14</v>
      </c>
      <c r="J22" s="61" t="s">
        <v>166</v>
      </c>
      <c r="K22" s="62"/>
      <c r="L22" s="31">
        <v>2</v>
      </c>
      <c r="M22" s="34">
        <f t="shared" si="0"/>
        <v>14.285714285714285</v>
      </c>
      <c r="N22" s="31"/>
      <c r="O22" s="34" t="str">
        <f t="shared" si="7"/>
        <v/>
      </c>
      <c r="P22" s="31"/>
      <c r="Q22" s="34" t="str">
        <f t="shared" si="1"/>
        <v/>
      </c>
      <c r="R22" s="31"/>
      <c r="S22" s="34" t="str">
        <f t="shared" si="2"/>
        <v/>
      </c>
      <c r="T22" s="31"/>
      <c r="U22" s="34" t="str">
        <f t="shared" si="8"/>
        <v/>
      </c>
      <c r="V22" s="31">
        <v>2</v>
      </c>
      <c r="W22" s="34">
        <f t="shared" si="3"/>
        <v>14.285714285714285</v>
      </c>
      <c r="X22" s="31"/>
      <c r="Y22" s="34" t="str">
        <f t="shared" si="9"/>
        <v/>
      </c>
      <c r="Z22" s="31"/>
      <c r="AA22" s="34" t="str">
        <f t="shared" si="4"/>
        <v/>
      </c>
      <c r="AB22" s="31">
        <v>1</v>
      </c>
      <c r="AC22" s="34">
        <f t="shared" si="10"/>
        <v>7.1428571428571423</v>
      </c>
      <c r="AD22" s="31"/>
      <c r="AE22" s="34" t="str">
        <f t="shared" si="11"/>
        <v/>
      </c>
      <c r="AF22" s="31"/>
      <c r="AG22" s="34" t="str">
        <f t="shared" si="12"/>
        <v/>
      </c>
      <c r="AH22" s="31"/>
      <c r="AI22" s="34" t="str">
        <f t="shared" si="13"/>
        <v/>
      </c>
      <c r="AJ22" s="31"/>
      <c r="AK22" s="34" t="str">
        <f t="shared" si="14"/>
        <v/>
      </c>
      <c r="AL22" s="31"/>
      <c r="AM22" s="34" t="str">
        <f t="shared" si="15"/>
        <v/>
      </c>
      <c r="AN22" s="31"/>
      <c r="AO22" s="34" t="str">
        <f t="shared" si="16"/>
        <v/>
      </c>
      <c r="AP22" s="31"/>
      <c r="AQ22" s="34" t="str">
        <f t="shared" si="17"/>
        <v/>
      </c>
      <c r="AR22" s="31"/>
      <c r="AS22" s="34" t="str">
        <f t="shared" si="18"/>
        <v/>
      </c>
      <c r="AT22" s="31"/>
      <c r="AU22" s="34" t="str">
        <f t="shared" si="19"/>
        <v/>
      </c>
      <c r="AV22" s="31"/>
      <c r="AW22" s="34" t="str">
        <f t="shared" si="20"/>
        <v/>
      </c>
      <c r="AX22" s="28"/>
      <c r="AY22" s="34" t="str">
        <f t="shared" si="5"/>
        <v/>
      </c>
      <c r="AZ22" s="44"/>
      <c r="BA22" s="34" t="str">
        <f t="shared" si="6"/>
        <v/>
      </c>
      <c r="BB22" s="21" t="s">
        <v>329</v>
      </c>
    </row>
    <row r="23" spans="1:54" ht="20" customHeight="1" x14ac:dyDescent="0.2">
      <c r="A23" s="753"/>
      <c r="B23" s="725"/>
      <c r="C23" s="255"/>
      <c r="D23" s="722" t="s">
        <v>85</v>
      </c>
      <c r="E23" s="723" t="s">
        <v>250</v>
      </c>
      <c r="F23" s="723" t="s">
        <v>251</v>
      </c>
      <c r="G23" s="722">
        <v>2008</v>
      </c>
      <c r="H23" s="287"/>
      <c r="I23" s="65">
        <v>13</v>
      </c>
      <c r="J23" s="61" t="s">
        <v>217</v>
      </c>
      <c r="K23" s="62" t="s">
        <v>330</v>
      </c>
      <c r="L23" s="31">
        <v>1</v>
      </c>
      <c r="M23" s="34">
        <f t="shared" si="0"/>
        <v>7.6923076923076925</v>
      </c>
      <c r="N23" s="31"/>
      <c r="O23" s="34" t="str">
        <f t="shared" si="7"/>
        <v/>
      </c>
      <c r="P23" s="31"/>
      <c r="Q23" s="34" t="str">
        <f t="shared" si="1"/>
        <v/>
      </c>
      <c r="R23" s="31"/>
      <c r="S23" s="34" t="str">
        <f t="shared" si="2"/>
        <v/>
      </c>
      <c r="T23" s="31"/>
      <c r="U23" s="34" t="str">
        <f t="shared" si="8"/>
        <v/>
      </c>
      <c r="V23" s="31"/>
      <c r="W23" s="34" t="str">
        <f t="shared" si="3"/>
        <v/>
      </c>
      <c r="X23" s="31"/>
      <c r="Y23" s="34" t="str">
        <f t="shared" si="9"/>
        <v/>
      </c>
      <c r="Z23" s="31"/>
      <c r="AA23" s="34" t="str">
        <f t="shared" si="4"/>
        <v/>
      </c>
      <c r="AB23" s="31"/>
      <c r="AC23" s="34" t="str">
        <f t="shared" si="10"/>
        <v/>
      </c>
      <c r="AD23" s="31"/>
      <c r="AE23" s="34" t="str">
        <f t="shared" si="11"/>
        <v/>
      </c>
      <c r="AF23" s="31"/>
      <c r="AG23" s="34" t="str">
        <f t="shared" si="12"/>
        <v/>
      </c>
      <c r="AH23" s="31"/>
      <c r="AI23" s="34" t="str">
        <f t="shared" si="13"/>
        <v/>
      </c>
      <c r="AJ23" s="31"/>
      <c r="AK23" s="34" t="str">
        <f t="shared" si="14"/>
        <v/>
      </c>
      <c r="AL23" s="31"/>
      <c r="AM23" s="34" t="str">
        <f t="shared" si="15"/>
        <v/>
      </c>
      <c r="AN23" s="31"/>
      <c r="AO23" s="34" t="str">
        <f t="shared" si="16"/>
        <v/>
      </c>
      <c r="AP23" s="31"/>
      <c r="AQ23" s="34" t="str">
        <f t="shared" si="17"/>
        <v/>
      </c>
      <c r="AR23" s="31"/>
      <c r="AS23" s="34" t="str">
        <f t="shared" si="18"/>
        <v/>
      </c>
      <c r="AT23" s="31"/>
      <c r="AU23" s="34" t="str">
        <f t="shared" si="19"/>
        <v/>
      </c>
      <c r="AV23" s="31"/>
      <c r="AW23" s="34" t="str">
        <f t="shared" si="20"/>
        <v/>
      </c>
      <c r="AX23" s="56"/>
      <c r="AY23" s="34" t="str">
        <f t="shared" si="5"/>
        <v/>
      </c>
      <c r="AZ23" s="56"/>
      <c r="BA23" s="34" t="str">
        <f t="shared" si="6"/>
        <v/>
      </c>
    </row>
    <row r="24" spans="1:54" ht="20" customHeight="1" x14ac:dyDescent="0.2">
      <c r="A24" s="753"/>
      <c r="B24" s="725"/>
      <c r="C24" s="255"/>
      <c r="D24" s="722" t="s">
        <v>85</v>
      </c>
      <c r="E24" s="723" t="s">
        <v>36</v>
      </c>
      <c r="F24" s="723" t="s">
        <v>37</v>
      </c>
      <c r="G24" s="722">
        <v>2008</v>
      </c>
      <c r="H24" s="287">
        <v>40</v>
      </c>
      <c r="I24" s="65">
        <v>29</v>
      </c>
      <c r="J24" s="61" t="s">
        <v>175</v>
      </c>
      <c r="K24" s="62" t="s">
        <v>168</v>
      </c>
      <c r="L24" s="31"/>
      <c r="M24" s="34" t="str">
        <f t="shared" si="0"/>
        <v/>
      </c>
      <c r="N24" s="31"/>
      <c r="O24" s="34" t="str">
        <f t="shared" si="7"/>
        <v/>
      </c>
      <c r="P24" s="31"/>
      <c r="Q24" s="34" t="str">
        <f t="shared" si="1"/>
        <v/>
      </c>
      <c r="R24" s="31"/>
      <c r="S24" s="34" t="str">
        <f t="shared" si="2"/>
        <v/>
      </c>
      <c r="T24" s="31"/>
      <c r="U24" s="34" t="str">
        <f t="shared" si="8"/>
        <v/>
      </c>
      <c r="V24" s="31"/>
      <c r="W24" s="34" t="str">
        <f t="shared" si="3"/>
        <v/>
      </c>
      <c r="X24" s="31"/>
      <c r="Y24" s="34" t="str">
        <f t="shared" si="9"/>
        <v/>
      </c>
      <c r="Z24" s="31"/>
      <c r="AA24" s="34" t="str">
        <f t="shared" si="4"/>
        <v/>
      </c>
      <c r="AB24" s="31"/>
      <c r="AC24" s="34" t="str">
        <f t="shared" si="10"/>
        <v/>
      </c>
      <c r="AD24" s="31"/>
      <c r="AE24" s="34" t="str">
        <f t="shared" si="11"/>
        <v/>
      </c>
      <c r="AF24" s="31"/>
      <c r="AG24" s="34" t="str">
        <f t="shared" si="12"/>
        <v/>
      </c>
      <c r="AH24" s="31"/>
      <c r="AI24" s="34" t="str">
        <f t="shared" si="13"/>
        <v/>
      </c>
      <c r="AJ24" s="31"/>
      <c r="AK24" s="34" t="str">
        <f t="shared" si="14"/>
        <v/>
      </c>
      <c r="AL24" s="31"/>
      <c r="AM24" s="34" t="str">
        <f t="shared" si="15"/>
        <v/>
      </c>
      <c r="AN24" s="31"/>
      <c r="AO24" s="34" t="str">
        <f t="shared" si="16"/>
        <v/>
      </c>
      <c r="AP24" s="31">
        <v>5</v>
      </c>
      <c r="AQ24" s="34">
        <f t="shared" si="17"/>
        <v>17.241379310344829</v>
      </c>
      <c r="AR24" s="31"/>
      <c r="AS24" s="34" t="str">
        <f t="shared" si="18"/>
        <v/>
      </c>
      <c r="AT24" s="31"/>
      <c r="AU24" s="34" t="str">
        <f t="shared" si="19"/>
        <v/>
      </c>
      <c r="AV24" s="31"/>
      <c r="AW24" s="34" t="str">
        <f t="shared" si="20"/>
        <v/>
      </c>
      <c r="AX24" s="56">
        <v>5</v>
      </c>
      <c r="AY24" s="34">
        <f t="shared" si="5"/>
        <v>17.241379310344829</v>
      </c>
      <c r="AZ24" s="56"/>
      <c r="BA24" s="34" t="str">
        <f t="shared" si="6"/>
        <v/>
      </c>
      <c r="BB24" s="21" t="s">
        <v>472</v>
      </c>
    </row>
    <row r="25" spans="1:54" ht="20" customHeight="1" x14ac:dyDescent="0.2">
      <c r="A25" s="753"/>
      <c r="B25" s="725"/>
      <c r="C25" s="722"/>
      <c r="D25" s="727" t="s">
        <v>30</v>
      </c>
      <c r="E25" s="728" t="s">
        <v>38</v>
      </c>
      <c r="F25" s="728" t="s">
        <v>39</v>
      </c>
      <c r="G25" s="727">
        <v>2005</v>
      </c>
      <c r="H25" s="729">
        <v>282</v>
      </c>
      <c r="I25" s="65"/>
      <c r="J25" s="61"/>
      <c r="K25" s="62"/>
      <c r="L25" s="31"/>
      <c r="M25" s="34" t="str">
        <f t="shared" si="0"/>
        <v/>
      </c>
      <c r="N25" s="31"/>
      <c r="O25" s="34" t="str">
        <f t="shared" si="7"/>
        <v/>
      </c>
      <c r="P25" s="31"/>
      <c r="Q25" s="34" t="str">
        <f t="shared" si="1"/>
        <v/>
      </c>
      <c r="R25" s="31"/>
      <c r="S25" s="34" t="str">
        <f t="shared" si="2"/>
        <v/>
      </c>
      <c r="T25" s="31"/>
      <c r="U25" s="34" t="str">
        <f t="shared" si="8"/>
        <v/>
      </c>
      <c r="V25" s="31"/>
      <c r="W25" s="34" t="str">
        <f t="shared" si="3"/>
        <v/>
      </c>
      <c r="X25" s="31"/>
      <c r="Y25" s="34" t="str">
        <f t="shared" si="9"/>
        <v/>
      </c>
      <c r="Z25" s="31"/>
      <c r="AA25" s="34" t="str">
        <f t="shared" si="4"/>
        <v/>
      </c>
      <c r="AB25" s="31"/>
      <c r="AC25" s="34" t="str">
        <f t="shared" si="10"/>
        <v/>
      </c>
      <c r="AD25" s="31"/>
      <c r="AE25" s="34" t="str">
        <f t="shared" si="11"/>
        <v/>
      </c>
      <c r="AF25" s="31"/>
      <c r="AG25" s="34" t="str">
        <f t="shared" si="12"/>
        <v/>
      </c>
      <c r="AH25" s="31"/>
      <c r="AI25" s="34" t="str">
        <f t="shared" si="13"/>
        <v/>
      </c>
      <c r="AJ25" s="31"/>
      <c r="AK25" s="34" t="str">
        <f t="shared" si="14"/>
        <v/>
      </c>
      <c r="AL25" s="31"/>
      <c r="AM25" s="34" t="str">
        <f t="shared" si="15"/>
        <v/>
      </c>
      <c r="AN25" s="31"/>
      <c r="AO25" s="34" t="str">
        <f t="shared" si="16"/>
        <v/>
      </c>
      <c r="AP25" s="31"/>
      <c r="AQ25" s="34" t="str">
        <f t="shared" si="17"/>
        <v/>
      </c>
      <c r="AR25" s="31"/>
      <c r="AS25" s="34" t="str">
        <f t="shared" si="18"/>
        <v/>
      </c>
      <c r="AT25" s="31"/>
      <c r="AU25" s="34" t="str">
        <f t="shared" si="19"/>
        <v/>
      </c>
      <c r="AV25" s="31"/>
      <c r="AW25" s="34" t="str">
        <f t="shared" si="20"/>
        <v/>
      </c>
      <c r="AX25" s="56"/>
      <c r="AY25" s="34" t="str">
        <f t="shared" si="5"/>
        <v/>
      </c>
      <c r="AZ25" s="44"/>
      <c r="BA25" s="34" t="str">
        <f t="shared" si="6"/>
        <v/>
      </c>
      <c r="BB25" s="21" t="s">
        <v>377</v>
      </c>
    </row>
    <row r="26" spans="1:54" ht="20" customHeight="1" x14ac:dyDescent="0.2">
      <c r="A26" s="753"/>
      <c r="B26" s="725"/>
      <c r="C26" s="722"/>
      <c r="D26" s="727" t="s">
        <v>30</v>
      </c>
      <c r="E26" s="728" t="s">
        <v>40</v>
      </c>
      <c r="F26" s="728" t="s">
        <v>39</v>
      </c>
      <c r="G26" s="727">
        <v>2006</v>
      </c>
      <c r="H26" s="729">
        <v>380</v>
      </c>
      <c r="I26" s="65"/>
      <c r="J26" s="61"/>
      <c r="K26" s="62"/>
      <c r="L26" s="36"/>
      <c r="M26" s="37" t="str">
        <f t="shared" si="0"/>
        <v/>
      </c>
      <c r="N26" s="36"/>
      <c r="O26" s="37" t="str">
        <f t="shared" si="7"/>
        <v/>
      </c>
      <c r="P26" s="36"/>
      <c r="Q26" s="37" t="str">
        <f t="shared" si="1"/>
        <v/>
      </c>
      <c r="R26" s="36"/>
      <c r="S26" s="37" t="str">
        <f t="shared" si="2"/>
        <v/>
      </c>
      <c r="T26" s="36"/>
      <c r="U26" s="37" t="str">
        <f t="shared" si="8"/>
        <v/>
      </c>
      <c r="V26" s="36"/>
      <c r="W26" s="37" t="str">
        <f t="shared" si="3"/>
        <v/>
      </c>
      <c r="X26" s="36"/>
      <c r="Y26" s="37" t="str">
        <f t="shared" si="9"/>
        <v/>
      </c>
      <c r="Z26" s="36"/>
      <c r="AA26" s="37" t="str">
        <f t="shared" si="4"/>
        <v/>
      </c>
      <c r="AB26" s="31"/>
      <c r="AC26" s="34" t="str">
        <f t="shared" si="10"/>
        <v/>
      </c>
      <c r="AD26" s="31"/>
      <c r="AE26" s="34" t="str">
        <f t="shared" si="11"/>
        <v/>
      </c>
      <c r="AF26" s="31"/>
      <c r="AG26" s="34" t="str">
        <f t="shared" si="12"/>
        <v/>
      </c>
      <c r="AH26" s="31"/>
      <c r="AI26" s="34" t="str">
        <f t="shared" si="13"/>
        <v/>
      </c>
      <c r="AJ26" s="31"/>
      <c r="AK26" s="34" t="str">
        <f t="shared" si="14"/>
        <v/>
      </c>
      <c r="AL26" s="31"/>
      <c r="AM26" s="34" t="str">
        <f t="shared" si="15"/>
        <v/>
      </c>
      <c r="AN26" s="31"/>
      <c r="AO26" s="34" t="str">
        <f t="shared" si="16"/>
        <v/>
      </c>
      <c r="AP26" s="31"/>
      <c r="AQ26" s="34" t="str">
        <f t="shared" si="17"/>
        <v/>
      </c>
      <c r="AR26" s="31"/>
      <c r="AS26" s="34" t="str">
        <f t="shared" si="18"/>
        <v/>
      </c>
      <c r="AT26" s="31"/>
      <c r="AU26" s="34" t="str">
        <f t="shared" si="19"/>
        <v/>
      </c>
      <c r="AV26" s="31"/>
      <c r="AW26" s="34" t="str">
        <f t="shared" si="20"/>
        <v/>
      </c>
      <c r="AX26" s="28"/>
      <c r="AY26" s="34" t="str">
        <f t="shared" si="5"/>
        <v/>
      </c>
      <c r="AZ26" s="44"/>
      <c r="BA26" s="34" t="str">
        <f t="shared" si="6"/>
        <v/>
      </c>
      <c r="BB26" s="21" t="s">
        <v>378</v>
      </c>
    </row>
    <row r="27" spans="1:54" ht="20" customHeight="1" x14ac:dyDescent="0.2">
      <c r="A27" s="756"/>
      <c r="B27" s="721"/>
      <c r="C27" s="722"/>
      <c r="D27" s="722" t="s">
        <v>85</v>
      </c>
      <c r="E27" s="723" t="s">
        <v>607</v>
      </c>
      <c r="F27" s="723" t="s">
        <v>608</v>
      </c>
      <c r="G27" s="722">
        <v>1996</v>
      </c>
      <c r="H27" s="287"/>
      <c r="I27" s="65">
        <v>6</v>
      </c>
      <c r="J27" s="61"/>
      <c r="K27" s="62"/>
      <c r="L27" s="31"/>
      <c r="M27" s="34"/>
      <c r="N27" s="31"/>
      <c r="O27" s="34"/>
      <c r="P27" s="31"/>
      <c r="Q27" s="34"/>
      <c r="R27" s="31"/>
      <c r="S27" s="34"/>
      <c r="T27" s="31"/>
      <c r="U27" s="34"/>
      <c r="V27" s="31"/>
      <c r="W27" s="34"/>
      <c r="X27" s="31"/>
      <c r="Y27" s="34"/>
      <c r="Z27" s="31"/>
      <c r="AA27" s="34"/>
      <c r="AB27" s="31"/>
      <c r="AC27" s="34"/>
      <c r="AD27" s="31"/>
      <c r="AE27" s="34"/>
      <c r="AF27" s="31"/>
      <c r="AG27" s="34"/>
      <c r="AH27" s="31"/>
      <c r="AI27" s="34"/>
      <c r="AJ27" s="31"/>
      <c r="AK27" s="34"/>
      <c r="AL27" s="31"/>
      <c r="AM27" s="34"/>
      <c r="AN27" s="31"/>
      <c r="AO27" s="34"/>
      <c r="AP27" s="31"/>
      <c r="AQ27" s="34"/>
      <c r="AR27" s="31"/>
      <c r="AS27" s="34"/>
      <c r="AT27" s="31"/>
      <c r="AU27" s="34"/>
      <c r="AV27" s="31"/>
      <c r="AW27" s="34"/>
      <c r="AX27" s="56"/>
      <c r="AY27" s="34"/>
      <c r="AZ27" s="56"/>
      <c r="BA27" s="34"/>
    </row>
    <row r="28" spans="1:54" ht="20" customHeight="1" x14ac:dyDescent="0.2">
      <c r="A28" s="753"/>
      <c r="B28" s="725"/>
      <c r="C28" s="255"/>
      <c r="D28" s="722" t="s">
        <v>85</v>
      </c>
      <c r="E28" s="723" t="s">
        <v>43</v>
      </c>
      <c r="F28" s="723" t="s">
        <v>44</v>
      </c>
      <c r="G28" s="722">
        <v>1976</v>
      </c>
      <c r="H28" s="287">
        <v>179</v>
      </c>
      <c r="I28" s="65">
        <v>8</v>
      </c>
      <c r="J28" s="78" t="s">
        <v>331</v>
      </c>
      <c r="K28" s="62"/>
      <c r="L28" s="31"/>
      <c r="M28" s="34" t="str">
        <f t="shared" si="0"/>
        <v/>
      </c>
      <c r="N28" s="31"/>
      <c r="O28" s="34" t="str">
        <f t="shared" si="7"/>
        <v/>
      </c>
      <c r="P28" s="31"/>
      <c r="Q28" s="34" t="str">
        <f t="shared" si="1"/>
        <v/>
      </c>
      <c r="R28" s="31"/>
      <c r="S28" s="34" t="str">
        <f t="shared" si="2"/>
        <v/>
      </c>
      <c r="T28" s="31"/>
      <c r="U28" s="34" t="str">
        <f t="shared" si="8"/>
        <v/>
      </c>
      <c r="V28" s="36">
        <v>1</v>
      </c>
      <c r="W28" s="37">
        <f t="shared" si="3"/>
        <v>12.5</v>
      </c>
      <c r="X28" s="36">
        <v>2</v>
      </c>
      <c r="Y28" s="37">
        <f t="shared" si="9"/>
        <v>25</v>
      </c>
      <c r="Z28" s="36">
        <v>1</v>
      </c>
      <c r="AA28" s="37">
        <f t="shared" si="4"/>
        <v>12.5</v>
      </c>
      <c r="AB28" s="36">
        <v>1</v>
      </c>
      <c r="AC28" s="37">
        <f t="shared" si="10"/>
        <v>12.5</v>
      </c>
      <c r="AD28" s="36"/>
      <c r="AE28" s="37" t="str">
        <f t="shared" si="11"/>
        <v/>
      </c>
      <c r="AF28" s="36">
        <v>5</v>
      </c>
      <c r="AG28" s="37">
        <f t="shared" si="12"/>
        <v>62.5</v>
      </c>
      <c r="AH28" s="36">
        <v>1</v>
      </c>
      <c r="AI28" s="37">
        <f t="shared" si="13"/>
        <v>12.5</v>
      </c>
      <c r="AJ28" s="36"/>
      <c r="AK28" s="37" t="str">
        <f t="shared" si="14"/>
        <v/>
      </c>
      <c r="AL28" s="36">
        <v>1</v>
      </c>
      <c r="AM28" s="37">
        <f t="shared" si="15"/>
        <v>12.5</v>
      </c>
      <c r="AN28" s="31"/>
      <c r="AO28" s="34" t="str">
        <f t="shared" si="16"/>
        <v/>
      </c>
      <c r="AP28" s="36">
        <v>1</v>
      </c>
      <c r="AQ28" s="37">
        <f t="shared" si="17"/>
        <v>12.5</v>
      </c>
      <c r="AR28" s="36">
        <v>2</v>
      </c>
      <c r="AS28" s="37">
        <f t="shared" si="18"/>
        <v>25</v>
      </c>
      <c r="AT28" s="31"/>
      <c r="AU28" s="34" t="str">
        <f t="shared" si="19"/>
        <v/>
      </c>
      <c r="AV28" s="31"/>
      <c r="AW28" s="34" t="str">
        <f t="shared" si="20"/>
        <v/>
      </c>
      <c r="AX28" s="56">
        <v>1</v>
      </c>
      <c r="AY28" s="34">
        <f t="shared" si="5"/>
        <v>12.5</v>
      </c>
      <c r="AZ28" s="56"/>
      <c r="BA28" s="34" t="str">
        <f t="shared" si="6"/>
        <v/>
      </c>
      <c r="BB28" s="21" t="s">
        <v>182</v>
      </c>
    </row>
    <row r="29" spans="1:54" ht="20" customHeight="1" x14ac:dyDescent="0.2">
      <c r="A29" s="753"/>
      <c r="B29" s="725"/>
      <c r="C29" s="258"/>
      <c r="D29" s="722" t="s">
        <v>85</v>
      </c>
      <c r="E29" s="723" t="s">
        <v>152</v>
      </c>
      <c r="F29" s="723" t="s">
        <v>153</v>
      </c>
      <c r="G29" s="722">
        <v>2007</v>
      </c>
      <c r="H29" s="287"/>
      <c r="I29" s="65">
        <v>44</v>
      </c>
      <c r="J29" s="61" t="s">
        <v>561</v>
      </c>
      <c r="K29" s="62" t="s">
        <v>560</v>
      </c>
      <c r="L29" s="31"/>
      <c r="M29" s="34" t="str">
        <f t="shared" si="0"/>
        <v/>
      </c>
      <c r="N29" s="31"/>
      <c r="O29" s="34" t="str">
        <f t="shared" si="7"/>
        <v/>
      </c>
      <c r="P29" s="31"/>
      <c r="Q29" s="34" t="str">
        <f t="shared" si="1"/>
        <v/>
      </c>
      <c r="R29" s="31"/>
      <c r="S29" s="34" t="str">
        <f t="shared" si="2"/>
        <v/>
      </c>
      <c r="T29" s="31"/>
      <c r="U29" s="34" t="str">
        <f t="shared" si="8"/>
        <v/>
      </c>
      <c r="V29" s="31"/>
      <c r="W29" s="34" t="str">
        <f t="shared" si="3"/>
        <v/>
      </c>
      <c r="X29" s="31"/>
      <c r="Y29" s="34" t="str">
        <f t="shared" si="9"/>
        <v/>
      </c>
      <c r="Z29" s="31"/>
      <c r="AA29" s="34" t="str">
        <f t="shared" si="4"/>
        <v/>
      </c>
      <c r="AB29" s="31"/>
      <c r="AC29" s="34" t="str">
        <f t="shared" si="10"/>
        <v/>
      </c>
      <c r="AD29" s="31"/>
      <c r="AE29" s="34" t="str">
        <f t="shared" si="11"/>
        <v/>
      </c>
      <c r="AF29" s="31"/>
      <c r="AG29" s="34" t="str">
        <f t="shared" si="12"/>
        <v/>
      </c>
      <c r="AH29" s="31"/>
      <c r="AI29" s="34" t="str">
        <f t="shared" si="13"/>
        <v/>
      </c>
      <c r="AJ29" s="31"/>
      <c r="AK29" s="34" t="str">
        <f t="shared" si="14"/>
        <v/>
      </c>
      <c r="AL29" s="31"/>
      <c r="AM29" s="34" t="str">
        <f t="shared" si="15"/>
        <v/>
      </c>
      <c r="AN29" s="31"/>
      <c r="AO29" s="34" t="str">
        <f t="shared" si="16"/>
        <v/>
      </c>
      <c r="AP29" s="31"/>
      <c r="AQ29" s="34" t="str">
        <f t="shared" si="17"/>
        <v/>
      </c>
      <c r="AR29" s="31"/>
      <c r="AS29" s="34" t="str">
        <f t="shared" si="18"/>
        <v/>
      </c>
      <c r="AT29" s="31"/>
      <c r="AU29" s="34" t="str">
        <f t="shared" si="19"/>
        <v/>
      </c>
      <c r="AV29" s="31"/>
      <c r="AW29" s="34" t="str">
        <f t="shared" si="20"/>
        <v/>
      </c>
      <c r="AX29" s="56"/>
      <c r="AY29" s="34" t="str">
        <f t="shared" si="5"/>
        <v/>
      </c>
      <c r="AZ29" s="56"/>
      <c r="BA29" s="34" t="str">
        <f t="shared" si="6"/>
        <v/>
      </c>
      <c r="BB29" s="21" t="s">
        <v>174</v>
      </c>
    </row>
    <row r="30" spans="1:54" ht="20" customHeight="1" x14ac:dyDescent="0.2">
      <c r="A30" s="753"/>
      <c r="B30" s="725"/>
      <c r="C30" s="253"/>
      <c r="D30" s="722" t="s">
        <v>85</v>
      </c>
      <c r="E30" s="723" t="s">
        <v>252</v>
      </c>
      <c r="F30" s="723" t="s">
        <v>253</v>
      </c>
      <c r="G30" s="722">
        <v>2014</v>
      </c>
      <c r="H30" s="287"/>
      <c r="I30" s="65">
        <v>48</v>
      </c>
      <c r="J30" s="61" t="s">
        <v>213</v>
      </c>
      <c r="K30" s="62" t="s">
        <v>332</v>
      </c>
      <c r="L30" s="36"/>
      <c r="M30" s="248" t="str">
        <f t="shared" si="0"/>
        <v/>
      </c>
      <c r="N30" s="31"/>
      <c r="O30" s="34" t="str">
        <f t="shared" si="7"/>
        <v/>
      </c>
      <c r="P30" s="31"/>
      <c r="Q30" s="34" t="str">
        <f t="shared" si="1"/>
        <v/>
      </c>
      <c r="R30" s="31"/>
      <c r="S30" s="34" t="str">
        <f t="shared" si="2"/>
        <v/>
      </c>
      <c r="T30" s="31"/>
      <c r="U30" s="34" t="str">
        <f t="shared" si="8"/>
        <v/>
      </c>
      <c r="V30" s="31"/>
      <c r="W30" s="34" t="str">
        <f t="shared" si="3"/>
        <v/>
      </c>
      <c r="X30" s="36"/>
      <c r="Y30" s="248" t="str">
        <f t="shared" si="9"/>
        <v/>
      </c>
      <c r="Z30" s="31"/>
      <c r="AA30" s="34" t="str">
        <f t="shared" si="4"/>
        <v/>
      </c>
      <c r="AB30" s="31"/>
      <c r="AC30" s="34" t="str">
        <f t="shared" si="10"/>
        <v/>
      </c>
      <c r="AD30" s="31"/>
      <c r="AE30" s="34" t="str">
        <f t="shared" si="11"/>
        <v/>
      </c>
      <c r="AF30" s="31"/>
      <c r="AG30" s="34" t="str">
        <f t="shared" si="12"/>
        <v/>
      </c>
      <c r="AH30" s="31"/>
      <c r="AI30" s="34" t="str">
        <f t="shared" si="13"/>
        <v/>
      </c>
      <c r="AJ30" s="31"/>
      <c r="AK30" s="34" t="str">
        <f t="shared" si="14"/>
        <v/>
      </c>
      <c r="AL30" s="31"/>
      <c r="AM30" s="34" t="str">
        <f t="shared" si="15"/>
        <v/>
      </c>
      <c r="AN30" s="31"/>
      <c r="AO30" s="34" t="str">
        <f t="shared" si="16"/>
        <v/>
      </c>
      <c r="AP30" s="31"/>
      <c r="AQ30" s="34" t="str">
        <f t="shared" si="17"/>
        <v/>
      </c>
      <c r="AR30" s="31"/>
      <c r="AS30" s="34" t="str">
        <f t="shared" si="18"/>
        <v/>
      </c>
      <c r="AT30" s="31"/>
      <c r="AU30" s="34" t="str">
        <f t="shared" si="19"/>
        <v/>
      </c>
      <c r="AV30" s="31"/>
      <c r="AW30" s="34" t="str">
        <f t="shared" si="20"/>
        <v/>
      </c>
      <c r="AX30" s="28"/>
      <c r="AY30" s="34" t="str">
        <f t="shared" si="5"/>
        <v/>
      </c>
      <c r="AZ30" s="44"/>
      <c r="BA30" s="34" t="str">
        <f t="shared" si="6"/>
        <v/>
      </c>
      <c r="BB30" s="21" t="s">
        <v>395</v>
      </c>
    </row>
    <row r="31" spans="1:54" ht="20" customHeight="1" x14ac:dyDescent="0.2">
      <c r="A31" s="753"/>
      <c r="B31" s="721"/>
      <c r="C31" s="722"/>
      <c r="D31" s="722"/>
      <c r="E31" s="723" t="s">
        <v>254</v>
      </c>
      <c r="F31" s="723" t="s">
        <v>255</v>
      </c>
      <c r="G31" s="722">
        <v>2015</v>
      </c>
      <c r="H31" s="287"/>
      <c r="I31" s="65"/>
      <c r="J31" s="61"/>
      <c r="K31" s="62"/>
      <c r="L31" s="31"/>
      <c r="M31" s="108" t="str">
        <f t="shared" si="0"/>
        <v/>
      </c>
      <c r="N31" s="31"/>
      <c r="O31" s="34" t="str">
        <f t="shared" si="7"/>
        <v/>
      </c>
      <c r="P31" s="31"/>
      <c r="Q31" s="34" t="str">
        <f t="shared" si="1"/>
        <v/>
      </c>
      <c r="R31" s="31"/>
      <c r="S31" s="34" t="str">
        <f t="shared" si="2"/>
        <v/>
      </c>
      <c r="T31" s="31"/>
      <c r="U31" s="34" t="str">
        <f t="shared" si="8"/>
        <v/>
      </c>
      <c r="V31" s="31"/>
      <c r="W31" s="34" t="str">
        <f t="shared" si="3"/>
        <v/>
      </c>
      <c r="X31" s="31"/>
      <c r="Y31" s="108" t="str">
        <f t="shared" si="9"/>
        <v/>
      </c>
      <c r="Z31" s="31"/>
      <c r="AA31" s="34" t="str">
        <f t="shared" si="4"/>
        <v/>
      </c>
      <c r="AB31" s="31"/>
      <c r="AC31" s="34" t="str">
        <f t="shared" si="10"/>
        <v/>
      </c>
      <c r="AD31" s="31"/>
      <c r="AE31" s="34" t="str">
        <f t="shared" si="11"/>
        <v/>
      </c>
      <c r="AF31" s="31"/>
      <c r="AG31" s="34" t="str">
        <f t="shared" si="12"/>
        <v/>
      </c>
      <c r="AH31" s="31"/>
      <c r="AI31" s="34" t="str">
        <f t="shared" si="13"/>
        <v/>
      </c>
      <c r="AJ31" s="31"/>
      <c r="AK31" s="34" t="str">
        <f t="shared" si="14"/>
        <v/>
      </c>
      <c r="AL31" s="31"/>
      <c r="AM31" s="34" t="str">
        <f t="shared" si="15"/>
        <v/>
      </c>
      <c r="AN31" s="31"/>
      <c r="AO31" s="34" t="str">
        <f t="shared" si="16"/>
        <v/>
      </c>
      <c r="AP31" s="31"/>
      <c r="AQ31" s="34" t="str">
        <f t="shared" si="17"/>
        <v/>
      </c>
      <c r="AR31" s="31"/>
      <c r="AS31" s="34" t="str">
        <f t="shared" si="18"/>
        <v/>
      </c>
      <c r="AT31" s="31"/>
      <c r="AU31" s="34" t="str">
        <f t="shared" si="19"/>
        <v/>
      </c>
      <c r="AV31" s="31"/>
      <c r="AW31" s="34" t="str">
        <f t="shared" si="20"/>
        <v/>
      </c>
      <c r="AX31" s="56"/>
      <c r="AY31" s="34" t="str">
        <f t="shared" si="5"/>
        <v/>
      </c>
      <c r="AZ31" s="56"/>
      <c r="BA31" s="34" t="str">
        <f t="shared" si="6"/>
        <v/>
      </c>
    </row>
    <row r="32" spans="1:54" ht="20" customHeight="1" x14ac:dyDescent="0.2">
      <c r="A32" s="756"/>
      <c r="B32" s="721"/>
      <c r="C32" s="722"/>
      <c r="D32" s="722" t="s">
        <v>85</v>
      </c>
      <c r="E32" s="723" t="s">
        <v>612</v>
      </c>
      <c r="F32" s="723" t="s">
        <v>613</v>
      </c>
      <c r="G32" s="722">
        <v>2004</v>
      </c>
      <c r="H32" s="287"/>
      <c r="I32" s="65"/>
      <c r="J32" s="61" t="s">
        <v>614</v>
      </c>
      <c r="K32" s="62"/>
      <c r="L32" s="31"/>
      <c r="M32" s="737"/>
      <c r="N32" s="31"/>
      <c r="O32" s="34"/>
      <c r="P32" s="31"/>
      <c r="Q32" s="34"/>
      <c r="R32" s="31"/>
      <c r="S32" s="34"/>
      <c r="T32" s="31"/>
      <c r="U32" s="34"/>
      <c r="V32" s="31"/>
      <c r="W32" s="34"/>
      <c r="X32" s="31"/>
      <c r="Y32" s="737"/>
      <c r="Z32" s="31"/>
      <c r="AA32" s="34"/>
      <c r="AB32" s="31"/>
      <c r="AC32" s="34"/>
      <c r="AD32" s="31"/>
      <c r="AE32" s="34"/>
      <c r="AF32" s="31"/>
      <c r="AG32" s="34"/>
      <c r="AH32" s="31"/>
      <c r="AI32" s="34"/>
      <c r="AJ32" s="31"/>
      <c r="AK32" s="34"/>
      <c r="AL32" s="31"/>
      <c r="AM32" s="34"/>
      <c r="AN32" s="31"/>
      <c r="AO32" s="34"/>
      <c r="AP32" s="31"/>
      <c r="AQ32" s="34"/>
      <c r="AR32" s="31"/>
      <c r="AS32" s="34"/>
      <c r="AT32" s="31"/>
      <c r="AU32" s="34"/>
      <c r="AV32" s="31"/>
      <c r="AW32" s="34"/>
      <c r="AX32" s="56"/>
      <c r="AY32" s="34"/>
      <c r="AZ32" s="56"/>
      <c r="BA32" s="34"/>
    </row>
    <row r="33" spans="1:54" ht="20" customHeight="1" x14ac:dyDescent="0.2">
      <c r="A33" s="753"/>
      <c r="B33" s="725"/>
      <c r="C33" s="253"/>
      <c r="D33" s="722" t="s">
        <v>85</v>
      </c>
      <c r="E33" s="723" t="s">
        <v>256</v>
      </c>
      <c r="F33" s="723" t="s">
        <v>257</v>
      </c>
      <c r="G33" s="722">
        <v>2012</v>
      </c>
      <c r="H33" s="287"/>
      <c r="I33" s="65">
        <v>80</v>
      </c>
      <c r="J33" s="61" t="s">
        <v>213</v>
      </c>
      <c r="K33" s="62" t="s">
        <v>190</v>
      </c>
      <c r="L33" s="31"/>
      <c r="M33" s="34" t="str">
        <f t="shared" si="0"/>
        <v/>
      </c>
      <c r="N33" s="31"/>
      <c r="O33" s="34" t="str">
        <f t="shared" si="7"/>
        <v/>
      </c>
      <c r="P33" s="31"/>
      <c r="Q33" s="34" t="str">
        <f t="shared" si="1"/>
        <v/>
      </c>
      <c r="R33" s="31"/>
      <c r="S33" s="34" t="str">
        <f t="shared" si="2"/>
        <v/>
      </c>
      <c r="T33" s="31"/>
      <c r="U33" s="34" t="str">
        <f t="shared" si="8"/>
        <v/>
      </c>
      <c r="V33" s="31"/>
      <c r="W33" s="34" t="str">
        <f t="shared" si="3"/>
        <v/>
      </c>
      <c r="X33" s="31"/>
      <c r="Y33" s="34" t="str">
        <f t="shared" si="9"/>
        <v/>
      </c>
      <c r="Z33" s="31"/>
      <c r="AA33" s="34" t="str">
        <f t="shared" si="4"/>
        <v/>
      </c>
      <c r="AB33" s="31"/>
      <c r="AC33" s="34" t="str">
        <f t="shared" si="10"/>
        <v/>
      </c>
      <c r="AD33" s="31"/>
      <c r="AE33" s="34" t="str">
        <f t="shared" si="11"/>
        <v/>
      </c>
      <c r="AF33" s="31"/>
      <c r="AG33" s="34" t="str">
        <f t="shared" si="12"/>
        <v/>
      </c>
      <c r="AH33" s="31"/>
      <c r="AI33" s="34" t="str">
        <f t="shared" si="13"/>
        <v/>
      </c>
      <c r="AJ33" s="31"/>
      <c r="AK33" s="34" t="str">
        <f t="shared" si="14"/>
        <v/>
      </c>
      <c r="AL33" s="31"/>
      <c r="AM33" s="34" t="str">
        <f t="shared" si="15"/>
        <v/>
      </c>
      <c r="AN33" s="31"/>
      <c r="AO33" s="34" t="str">
        <f t="shared" si="16"/>
        <v/>
      </c>
      <c r="AP33" s="31"/>
      <c r="AQ33" s="34" t="str">
        <f t="shared" si="17"/>
        <v/>
      </c>
      <c r="AR33" s="31"/>
      <c r="AS33" s="34" t="str">
        <f t="shared" si="18"/>
        <v/>
      </c>
      <c r="AT33" s="31"/>
      <c r="AU33" s="34" t="str">
        <f t="shared" si="19"/>
        <v/>
      </c>
      <c r="AV33" s="31"/>
      <c r="AW33" s="34" t="str">
        <f t="shared" si="20"/>
        <v/>
      </c>
      <c r="AX33" s="56"/>
      <c r="AY33" s="34" t="str">
        <f t="shared" si="5"/>
        <v/>
      </c>
      <c r="AZ33" s="56"/>
      <c r="BA33" s="34" t="str">
        <f t="shared" si="6"/>
        <v/>
      </c>
    </row>
    <row r="34" spans="1:54" ht="20" customHeight="1" x14ac:dyDescent="0.2">
      <c r="A34" s="753"/>
      <c r="B34" s="725"/>
      <c r="C34" s="255"/>
      <c r="D34" s="722" t="s">
        <v>85</v>
      </c>
      <c r="E34" s="723" t="s">
        <v>258</v>
      </c>
      <c r="F34" s="723" t="s">
        <v>259</v>
      </c>
      <c r="G34" s="722">
        <v>2013</v>
      </c>
      <c r="H34" s="287"/>
      <c r="I34" s="65">
        <v>12</v>
      </c>
      <c r="J34" s="61" t="s">
        <v>213</v>
      </c>
      <c r="K34" s="62" t="s">
        <v>333</v>
      </c>
      <c r="L34" s="31"/>
      <c r="M34" s="34" t="str">
        <f t="shared" si="0"/>
        <v/>
      </c>
      <c r="N34" s="31"/>
      <c r="O34" s="34" t="str">
        <f t="shared" si="7"/>
        <v/>
      </c>
      <c r="P34" s="31"/>
      <c r="Q34" s="34" t="str">
        <f t="shared" si="1"/>
        <v/>
      </c>
      <c r="R34" s="31"/>
      <c r="S34" s="34" t="str">
        <f t="shared" si="2"/>
        <v/>
      </c>
      <c r="T34" s="31"/>
      <c r="U34" s="34" t="str">
        <f t="shared" si="8"/>
        <v/>
      </c>
      <c r="V34" s="36"/>
      <c r="W34" s="37" t="str">
        <f t="shared" si="3"/>
        <v/>
      </c>
      <c r="X34" s="31"/>
      <c r="Y34" s="34" t="str">
        <f t="shared" si="9"/>
        <v/>
      </c>
      <c r="Z34" s="31"/>
      <c r="AA34" s="34" t="str">
        <f t="shared" si="4"/>
        <v/>
      </c>
      <c r="AB34" s="31"/>
      <c r="AC34" s="34" t="str">
        <f t="shared" si="10"/>
        <v/>
      </c>
      <c r="AD34" s="31"/>
      <c r="AE34" s="34" t="str">
        <f t="shared" si="11"/>
        <v/>
      </c>
      <c r="AF34" s="31"/>
      <c r="AG34" s="34" t="str">
        <f t="shared" si="12"/>
        <v/>
      </c>
      <c r="AH34" s="31"/>
      <c r="AI34" s="34" t="str">
        <f t="shared" si="13"/>
        <v/>
      </c>
      <c r="AJ34" s="31"/>
      <c r="AK34" s="34" t="str">
        <f t="shared" si="14"/>
        <v/>
      </c>
      <c r="AL34" s="31"/>
      <c r="AM34" s="34" t="str">
        <f t="shared" si="15"/>
        <v/>
      </c>
      <c r="AN34" s="31"/>
      <c r="AO34" s="34" t="str">
        <f t="shared" si="16"/>
        <v/>
      </c>
      <c r="AP34" s="31"/>
      <c r="AQ34" s="34" t="str">
        <f t="shared" si="17"/>
        <v/>
      </c>
      <c r="AR34" s="31"/>
      <c r="AS34" s="34" t="str">
        <f t="shared" si="18"/>
        <v/>
      </c>
      <c r="AT34" s="31"/>
      <c r="AU34" s="34" t="str">
        <f t="shared" si="19"/>
        <v/>
      </c>
      <c r="AV34" s="31"/>
      <c r="AW34" s="34" t="str">
        <f t="shared" si="20"/>
        <v/>
      </c>
      <c r="AX34" s="38"/>
      <c r="AY34" s="37" t="str">
        <f t="shared" si="5"/>
        <v/>
      </c>
      <c r="AZ34" s="56"/>
      <c r="BA34" s="34" t="str">
        <f t="shared" si="6"/>
        <v/>
      </c>
      <c r="BB34" s="21" t="s">
        <v>396</v>
      </c>
    </row>
    <row r="35" spans="1:54" ht="20" customHeight="1" x14ac:dyDescent="0.2">
      <c r="A35" s="753"/>
      <c r="B35" s="721"/>
      <c r="C35" s="258"/>
      <c r="D35" s="722" t="s">
        <v>85</v>
      </c>
      <c r="E35" s="723" t="s">
        <v>45</v>
      </c>
      <c r="F35" s="723" t="s">
        <v>46</v>
      </c>
      <c r="G35" s="722">
        <v>1998</v>
      </c>
      <c r="H35" s="287">
        <v>96</v>
      </c>
      <c r="I35" s="65">
        <v>61</v>
      </c>
      <c r="J35" s="61" t="s">
        <v>175</v>
      </c>
      <c r="K35" s="62" t="s">
        <v>187</v>
      </c>
      <c r="L35" s="31"/>
      <c r="M35" s="34" t="str">
        <f t="shared" si="0"/>
        <v/>
      </c>
      <c r="N35" s="31"/>
      <c r="O35" s="34" t="str">
        <f t="shared" si="7"/>
        <v/>
      </c>
      <c r="P35" s="31"/>
      <c r="Q35" s="34" t="str">
        <f t="shared" si="1"/>
        <v/>
      </c>
      <c r="R35" s="31"/>
      <c r="S35" s="34" t="str">
        <f t="shared" si="2"/>
        <v/>
      </c>
      <c r="T35" s="31"/>
      <c r="U35" s="34" t="str">
        <f t="shared" si="8"/>
        <v/>
      </c>
      <c r="V35" s="31"/>
      <c r="W35" s="34" t="str">
        <f t="shared" si="3"/>
        <v/>
      </c>
      <c r="X35" s="31"/>
      <c r="Y35" s="34" t="str">
        <f t="shared" si="9"/>
        <v/>
      </c>
      <c r="Z35" s="31"/>
      <c r="AA35" s="34" t="str">
        <f t="shared" si="4"/>
        <v/>
      </c>
      <c r="AB35" s="31"/>
      <c r="AC35" s="34" t="str">
        <f t="shared" si="10"/>
        <v/>
      </c>
      <c r="AD35" s="31"/>
      <c r="AE35" s="34" t="str">
        <f t="shared" si="11"/>
        <v/>
      </c>
      <c r="AF35" s="31"/>
      <c r="AG35" s="34" t="str">
        <f t="shared" si="12"/>
        <v/>
      </c>
      <c r="AH35" s="31"/>
      <c r="AI35" s="34" t="str">
        <f t="shared" si="13"/>
        <v/>
      </c>
      <c r="AJ35" s="31"/>
      <c r="AK35" s="34" t="str">
        <f t="shared" si="14"/>
        <v/>
      </c>
      <c r="AL35" s="31"/>
      <c r="AM35" s="34" t="str">
        <f t="shared" si="15"/>
        <v/>
      </c>
      <c r="AN35" s="31"/>
      <c r="AO35" s="34" t="str">
        <f t="shared" si="16"/>
        <v/>
      </c>
      <c r="AP35" s="31"/>
      <c r="AQ35" s="34" t="str">
        <f t="shared" si="17"/>
        <v/>
      </c>
      <c r="AR35" s="31"/>
      <c r="AS35" s="34" t="str">
        <f t="shared" si="18"/>
        <v/>
      </c>
      <c r="AT35" s="31"/>
      <c r="AU35" s="34" t="str">
        <f t="shared" si="19"/>
        <v/>
      </c>
      <c r="AV35" s="31"/>
      <c r="AW35" s="34" t="str">
        <f t="shared" si="20"/>
        <v/>
      </c>
      <c r="AX35" s="56"/>
      <c r="AY35" s="34" t="str">
        <f t="shared" si="5"/>
        <v/>
      </c>
      <c r="AZ35" s="56"/>
      <c r="BA35" s="34" t="str">
        <f t="shared" si="6"/>
        <v/>
      </c>
      <c r="BB35" s="21" t="s">
        <v>176</v>
      </c>
    </row>
    <row r="36" spans="1:54" ht="20" customHeight="1" x14ac:dyDescent="0.2">
      <c r="A36" s="753"/>
      <c r="B36" s="725"/>
      <c r="C36" s="255"/>
      <c r="D36" s="722" t="s">
        <v>85</v>
      </c>
      <c r="E36" s="723" t="s">
        <v>260</v>
      </c>
      <c r="F36" s="723" t="s">
        <v>261</v>
      </c>
      <c r="G36" s="722">
        <v>2000</v>
      </c>
      <c r="H36" s="287"/>
      <c r="I36" s="65">
        <v>9</v>
      </c>
      <c r="J36" s="61" t="s">
        <v>217</v>
      </c>
      <c r="K36" s="62" t="s">
        <v>168</v>
      </c>
      <c r="L36" s="31"/>
      <c r="M36" s="34" t="str">
        <f t="shared" si="0"/>
        <v/>
      </c>
      <c r="N36" s="31"/>
      <c r="O36" s="34" t="str">
        <f t="shared" si="7"/>
        <v/>
      </c>
      <c r="P36" s="31"/>
      <c r="Q36" s="34" t="str">
        <f t="shared" si="1"/>
        <v/>
      </c>
      <c r="R36" s="31"/>
      <c r="S36" s="34" t="str">
        <f t="shared" si="2"/>
        <v/>
      </c>
      <c r="T36" s="31"/>
      <c r="U36" s="34" t="str">
        <f t="shared" si="8"/>
        <v/>
      </c>
      <c r="V36" s="31">
        <v>1</v>
      </c>
      <c r="W36" s="34">
        <f t="shared" si="3"/>
        <v>11.111111111111111</v>
      </c>
      <c r="X36" s="31"/>
      <c r="Y36" s="34" t="str">
        <f t="shared" si="9"/>
        <v/>
      </c>
      <c r="Z36" s="31"/>
      <c r="AA36" s="34" t="str">
        <f t="shared" si="4"/>
        <v/>
      </c>
      <c r="AB36" s="31"/>
      <c r="AC36" s="34" t="str">
        <f t="shared" si="10"/>
        <v/>
      </c>
      <c r="AD36" s="31"/>
      <c r="AE36" s="34" t="str">
        <f t="shared" si="11"/>
        <v/>
      </c>
      <c r="AF36" s="31">
        <v>1</v>
      </c>
      <c r="AG36" s="34">
        <f t="shared" si="12"/>
        <v>11.111111111111111</v>
      </c>
      <c r="AH36" s="31"/>
      <c r="AI36" s="34" t="str">
        <f t="shared" si="13"/>
        <v/>
      </c>
      <c r="AJ36" s="31"/>
      <c r="AK36" s="34" t="str">
        <f t="shared" si="14"/>
        <v/>
      </c>
      <c r="AL36" s="31"/>
      <c r="AM36" s="34" t="str">
        <f t="shared" si="15"/>
        <v/>
      </c>
      <c r="AN36" s="31"/>
      <c r="AO36" s="34" t="str">
        <f t="shared" si="16"/>
        <v/>
      </c>
      <c r="AP36" s="31"/>
      <c r="AQ36" s="34" t="str">
        <f t="shared" si="17"/>
        <v/>
      </c>
      <c r="AR36" s="31"/>
      <c r="AS36" s="34" t="str">
        <f t="shared" si="18"/>
        <v/>
      </c>
      <c r="AT36" s="31"/>
      <c r="AU36" s="34" t="str">
        <f t="shared" si="19"/>
        <v/>
      </c>
      <c r="AV36" s="31"/>
      <c r="AW36" s="34" t="str">
        <f t="shared" si="20"/>
        <v/>
      </c>
      <c r="AX36" s="28">
        <v>1</v>
      </c>
      <c r="AY36" s="34">
        <f t="shared" si="5"/>
        <v>11.111111111111111</v>
      </c>
      <c r="AZ36" s="44"/>
      <c r="BA36" s="34" t="str">
        <f t="shared" si="6"/>
        <v/>
      </c>
      <c r="BB36" s="21" t="s">
        <v>334</v>
      </c>
    </row>
    <row r="37" spans="1:54" ht="20" customHeight="1" x14ac:dyDescent="0.2">
      <c r="A37" s="753"/>
      <c r="B37" s="721"/>
      <c r="C37" s="722"/>
      <c r="D37" s="727" t="s">
        <v>49</v>
      </c>
      <c r="E37" s="728" t="s">
        <v>47</v>
      </c>
      <c r="F37" s="728" t="s">
        <v>48</v>
      </c>
      <c r="G37" s="727">
        <v>1997</v>
      </c>
      <c r="H37" s="729">
        <v>91</v>
      </c>
      <c r="I37" s="65"/>
      <c r="J37" s="61"/>
      <c r="K37" s="62"/>
      <c r="L37" s="31"/>
      <c r="M37" s="34" t="str">
        <f t="shared" si="0"/>
        <v/>
      </c>
      <c r="N37" s="31"/>
      <c r="O37" s="34" t="str">
        <f t="shared" si="7"/>
        <v/>
      </c>
      <c r="P37" s="31"/>
      <c r="Q37" s="34" t="str">
        <f t="shared" si="1"/>
        <v/>
      </c>
      <c r="R37" s="31"/>
      <c r="S37" s="34" t="str">
        <f t="shared" si="2"/>
        <v/>
      </c>
      <c r="T37" s="31"/>
      <c r="U37" s="34" t="str">
        <f t="shared" si="8"/>
        <v/>
      </c>
      <c r="V37" s="31"/>
      <c r="W37" s="34" t="str">
        <f t="shared" si="3"/>
        <v/>
      </c>
      <c r="X37" s="31"/>
      <c r="Y37" s="34" t="str">
        <f t="shared" si="9"/>
        <v/>
      </c>
      <c r="Z37" s="31"/>
      <c r="AA37" s="34" t="str">
        <f t="shared" si="4"/>
        <v/>
      </c>
      <c r="AB37" s="31"/>
      <c r="AC37" s="34" t="str">
        <f t="shared" si="10"/>
        <v/>
      </c>
      <c r="AD37" s="31"/>
      <c r="AE37" s="34" t="str">
        <f t="shared" si="11"/>
        <v/>
      </c>
      <c r="AF37" s="31"/>
      <c r="AG37" s="34" t="str">
        <f t="shared" si="12"/>
        <v/>
      </c>
      <c r="AH37" s="31"/>
      <c r="AI37" s="34" t="str">
        <f t="shared" si="13"/>
        <v/>
      </c>
      <c r="AJ37" s="31"/>
      <c r="AK37" s="34" t="str">
        <f t="shared" si="14"/>
        <v/>
      </c>
      <c r="AL37" s="31"/>
      <c r="AM37" s="34" t="str">
        <f t="shared" si="15"/>
        <v/>
      </c>
      <c r="AN37" s="31"/>
      <c r="AO37" s="34" t="str">
        <f t="shared" si="16"/>
        <v/>
      </c>
      <c r="AP37" s="31"/>
      <c r="AQ37" s="34" t="str">
        <f t="shared" si="17"/>
        <v/>
      </c>
      <c r="AR37" s="31"/>
      <c r="AS37" s="34" t="str">
        <f t="shared" si="18"/>
        <v/>
      </c>
      <c r="AT37" s="31"/>
      <c r="AU37" s="34" t="str">
        <f t="shared" si="19"/>
        <v/>
      </c>
      <c r="AV37" s="31"/>
      <c r="AW37" s="34" t="str">
        <f t="shared" si="20"/>
        <v/>
      </c>
      <c r="AX37" s="56"/>
      <c r="AY37" s="34" t="str">
        <f t="shared" si="5"/>
        <v/>
      </c>
      <c r="AZ37" s="44"/>
      <c r="BA37" s="34" t="str">
        <f t="shared" si="6"/>
        <v/>
      </c>
    </row>
    <row r="38" spans="1:54" ht="20" customHeight="1" x14ac:dyDescent="0.2">
      <c r="A38" s="753"/>
      <c r="B38" s="725"/>
      <c r="C38" s="722"/>
      <c r="D38" s="727" t="s">
        <v>30</v>
      </c>
      <c r="E38" s="728" t="s">
        <v>50</v>
      </c>
      <c r="F38" s="728" t="s">
        <v>51</v>
      </c>
      <c r="G38" s="727">
        <v>1993</v>
      </c>
      <c r="H38" s="729">
        <v>306</v>
      </c>
      <c r="I38" s="65"/>
      <c r="J38" s="61"/>
      <c r="K38" s="62"/>
      <c r="L38" s="31"/>
      <c r="M38" s="34" t="str">
        <f t="shared" si="0"/>
        <v/>
      </c>
      <c r="N38" s="31"/>
      <c r="O38" s="34" t="str">
        <f t="shared" si="7"/>
        <v/>
      </c>
      <c r="P38" s="31"/>
      <c r="Q38" s="34" t="str">
        <f t="shared" si="1"/>
        <v/>
      </c>
      <c r="R38" s="31"/>
      <c r="S38" s="34" t="str">
        <f t="shared" si="2"/>
        <v/>
      </c>
      <c r="T38" s="31"/>
      <c r="U38" s="34" t="str">
        <f t="shared" si="8"/>
        <v/>
      </c>
      <c r="V38" s="31"/>
      <c r="W38" s="34" t="str">
        <f t="shared" si="3"/>
        <v/>
      </c>
      <c r="X38" s="31"/>
      <c r="Y38" s="34" t="str">
        <f t="shared" si="9"/>
        <v/>
      </c>
      <c r="Z38" s="31"/>
      <c r="AA38" s="34" t="str">
        <f t="shared" si="4"/>
        <v/>
      </c>
      <c r="AB38" s="31"/>
      <c r="AC38" s="34" t="str">
        <f t="shared" si="10"/>
        <v/>
      </c>
      <c r="AD38" s="31"/>
      <c r="AE38" s="34" t="str">
        <f t="shared" si="11"/>
        <v/>
      </c>
      <c r="AF38" s="31"/>
      <c r="AG38" s="34" t="str">
        <f t="shared" si="12"/>
        <v/>
      </c>
      <c r="AH38" s="31"/>
      <c r="AI38" s="34" t="str">
        <f t="shared" si="13"/>
        <v/>
      </c>
      <c r="AJ38" s="31"/>
      <c r="AK38" s="34" t="str">
        <f t="shared" si="14"/>
        <v/>
      </c>
      <c r="AL38" s="31"/>
      <c r="AM38" s="34" t="str">
        <f t="shared" si="15"/>
        <v/>
      </c>
      <c r="AN38" s="31"/>
      <c r="AO38" s="34" t="str">
        <f t="shared" si="16"/>
        <v/>
      </c>
      <c r="AP38" s="31"/>
      <c r="AQ38" s="34" t="str">
        <f t="shared" si="17"/>
        <v/>
      </c>
      <c r="AR38" s="31"/>
      <c r="AS38" s="34" t="str">
        <f t="shared" si="18"/>
        <v/>
      </c>
      <c r="AT38" s="31"/>
      <c r="AU38" s="34" t="str">
        <f t="shared" si="19"/>
        <v/>
      </c>
      <c r="AV38" s="31"/>
      <c r="AW38" s="34" t="str">
        <f t="shared" si="20"/>
        <v/>
      </c>
      <c r="AX38" s="29"/>
      <c r="AY38" s="34" t="str">
        <f t="shared" si="5"/>
        <v/>
      </c>
      <c r="AZ38" s="44"/>
      <c r="BA38" s="34" t="str">
        <f t="shared" si="6"/>
        <v/>
      </c>
    </row>
    <row r="39" spans="1:54" ht="20" customHeight="1" x14ac:dyDescent="0.2">
      <c r="A39" s="753"/>
      <c r="B39" s="725"/>
      <c r="C39" s="253"/>
      <c r="D39" s="722" t="s">
        <v>85</v>
      </c>
      <c r="E39" s="723" t="s">
        <v>262</v>
      </c>
      <c r="F39" s="723" t="s">
        <v>263</v>
      </c>
      <c r="G39" s="722">
        <v>2003</v>
      </c>
      <c r="H39" s="287"/>
      <c r="I39" s="65">
        <v>10</v>
      </c>
      <c r="J39" s="61" t="s">
        <v>184</v>
      </c>
      <c r="K39" s="62" t="s">
        <v>189</v>
      </c>
      <c r="L39" s="31"/>
      <c r="M39" s="34" t="str">
        <f t="shared" si="0"/>
        <v/>
      </c>
      <c r="N39" s="31"/>
      <c r="O39" s="34" t="str">
        <f t="shared" si="7"/>
        <v/>
      </c>
      <c r="P39" s="31"/>
      <c r="Q39" s="34" t="str">
        <f t="shared" si="1"/>
        <v/>
      </c>
      <c r="R39" s="31"/>
      <c r="S39" s="34" t="str">
        <f t="shared" si="2"/>
        <v/>
      </c>
      <c r="T39" s="31"/>
      <c r="U39" s="34" t="str">
        <f t="shared" si="8"/>
        <v/>
      </c>
      <c r="V39" s="31"/>
      <c r="W39" s="34" t="str">
        <f t="shared" si="3"/>
        <v/>
      </c>
      <c r="X39" s="31"/>
      <c r="Y39" s="34" t="str">
        <f t="shared" si="9"/>
        <v/>
      </c>
      <c r="Z39" s="31"/>
      <c r="AA39" s="34" t="str">
        <f t="shared" si="4"/>
        <v/>
      </c>
      <c r="AB39" s="31"/>
      <c r="AC39" s="34" t="str">
        <f t="shared" si="10"/>
        <v/>
      </c>
      <c r="AD39" s="31"/>
      <c r="AE39" s="34" t="str">
        <f t="shared" si="11"/>
        <v/>
      </c>
      <c r="AF39" s="31"/>
      <c r="AG39" s="34" t="str">
        <f t="shared" si="12"/>
        <v/>
      </c>
      <c r="AH39" s="31"/>
      <c r="AI39" s="34" t="str">
        <f t="shared" si="13"/>
        <v/>
      </c>
      <c r="AJ39" s="31"/>
      <c r="AK39" s="34" t="str">
        <f t="shared" si="14"/>
        <v/>
      </c>
      <c r="AL39" s="31"/>
      <c r="AM39" s="34" t="str">
        <f t="shared" si="15"/>
        <v/>
      </c>
      <c r="AN39" s="31"/>
      <c r="AO39" s="34" t="str">
        <f t="shared" si="16"/>
        <v/>
      </c>
      <c r="AP39" s="31"/>
      <c r="AQ39" s="34" t="str">
        <f t="shared" si="17"/>
        <v/>
      </c>
      <c r="AR39" s="31"/>
      <c r="AS39" s="34" t="str">
        <f t="shared" si="18"/>
        <v/>
      </c>
      <c r="AT39" s="31"/>
      <c r="AU39" s="34" t="str">
        <f t="shared" si="19"/>
        <v/>
      </c>
      <c r="AV39" s="31"/>
      <c r="AW39" s="34" t="str">
        <f t="shared" si="20"/>
        <v/>
      </c>
      <c r="AX39" s="56"/>
      <c r="AY39" s="34" t="str">
        <f t="shared" si="5"/>
        <v/>
      </c>
      <c r="AZ39" s="56"/>
      <c r="BA39" s="34" t="str">
        <f t="shared" si="6"/>
        <v/>
      </c>
      <c r="BB39" s="21" t="s">
        <v>199</v>
      </c>
    </row>
    <row r="40" spans="1:54" ht="20" customHeight="1" x14ac:dyDescent="0.2">
      <c r="A40" s="756"/>
      <c r="B40" s="721"/>
      <c r="C40" s="722"/>
      <c r="D40" s="722" t="s">
        <v>85</v>
      </c>
      <c r="E40" s="723" t="s">
        <v>618</v>
      </c>
      <c r="F40" s="723" t="s">
        <v>619</v>
      </c>
      <c r="G40" s="722">
        <v>2011</v>
      </c>
      <c r="H40" s="287"/>
      <c r="I40" s="65">
        <v>80</v>
      </c>
      <c r="J40" s="61" t="s">
        <v>620</v>
      </c>
      <c r="K40" s="62" t="s">
        <v>621</v>
      </c>
      <c r="L40" s="31"/>
      <c r="M40" s="34"/>
      <c r="N40" s="31"/>
      <c r="O40" s="34"/>
      <c r="P40" s="31"/>
      <c r="Q40" s="34"/>
      <c r="R40" s="31"/>
      <c r="S40" s="34"/>
      <c r="T40" s="31"/>
      <c r="U40" s="34"/>
      <c r="V40" s="31"/>
      <c r="W40" s="34"/>
      <c r="X40" s="31"/>
      <c r="Y40" s="34"/>
      <c r="Z40" s="31"/>
      <c r="AA40" s="34"/>
      <c r="AB40" s="31"/>
      <c r="AC40" s="34"/>
      <c r="AD40" s="31"/>
      <c r="AE40" s="34"/>
      <c r="AF40" s="31"/>
      <c r="AG40" s="34"/>
      <c r="AH40" s="31"/>
      <c r="AI40" s="34"/>
      <c r="AJ40" s="31"/>
      <c r="AK40" s="34"/>
      <c r="AL40" s="31"/>
      <c r="AM40" s="34"/>
      <c r="AN40" s="31"/>
      <c r="AO40" s="34"/>
      <c r="AP40" s="31"/>
      <c r="AQ40" s="34"/>
      <c r="AR40" s="31"/>
      <c r="AS40" s="34"/>
      <c r="AT40" s="31"/>
      <c r="AU40" s="34"/>
      <c r="AV40" s="31"/>
      <c r="AW40" s="34"/>
      <c r="AX40" s="56"/>
      <c r="AY40" s="34"/>
      <c r="AZ40" s="56"/>
      <c r="BA40" s="34"/>
    </row>
    <row r="41" spans="1:54" ht="20" customHeight="1" x14ac:dyDescent="0.2">
      <c r="A41" s="756"/>
      <c r="B41" s="721"/>
      <c r="C41" s="722"/>
      <c r="D41" s="722" t="s">
        <v>85</v>
      </c>
      <c r="E41" s="723" t="s">
        <v>622</v>
      </c>
      <c r="F41" s="723" t="s">
        <v>705</v>
      </c>
      <c r="G41" s="722">
        <v>2012</v>
      </c>
      <c r="H41" s="287"/>
      <c r="I41" s="65"/>
      <c r="J41" s="61" t="s">
        <v>213</v>
      </c>
      <c r="K41" s="62" t="s">
        <v>192</v>
      </c>
      <c r="L41" s="31"/>
      <c r="M41" s="34"/>
      <c r="N41" s="31"/>
      <c r="O41" s="34"/>
      <c r="P41" s="31"/>
      <c r="Q41" s="34"/>
      <c r="R41" s="31"/>
      <c r="S41" s="34"/>
      <c r="T41" s="31"/>
      <c r="U41" s="34"/>
      <c r="V41" s="31"/>
      <c r="W41" s="34"/>
      <c r="X41" s="31"/>
      <c r="Y41" s="34"/>
      <c r="Z41" s="31"/>
      <c r="AA41" s="34"/>
      <c r="AB41" s="31"/>
      <c r="AC41" s="34"/>
      <c r="AD41" s="31"/>
      <c r="AE41" s="34"/>
      <c r="AF41" s="31"/>
      <c r="AG41" s="34"/>
      <c r="AH41" s="31"/>
      <c r="AI41" s="34"/>
      <c r="AJ41" s="31"/>
      <c r="AK41" s="34"/>
      <c r="AL41" s="31"/>
      <c r="AM41" s="34"/>
      <c r="AN41" s="31"/>
      <c r="AO41" s="34"/>
      <c r="AP41" s="31"/>
      <c r="AQ41" s="34"/>
      <c r="AR41" s="31"/>
      <c r="AS41" s="34"/>
      <c r="AT41" s="31"/>
      <c r="AU41" s="34"/>
      <c r="AV41" s="31"/>
      <c r="AW41" s="34"/>
      <c r="AX41" s="56"/>
      <c r="AY41" s="34"/>
      <c r="AZ41" s="56"/>
      <c r="BA41" s="34"/>
    </row>
    <row r="42" spans="1:54" ht="20" customHeight="1" x14ac:dyDescent="0.2">
      <c r="A42" s="753"/>
      <c r="B42" s="725"/>
      <c r="C42" s="255"/>
      <c r="D42" s="722" t="s">
        <v>85</v>
      </c>
      <c r="E42" s="723" t="s">
        <v>397</v>
      </c>
      <c r="F42" s="723" t="s">
        <v>398</v>
      </c>
      <c r="G42" s="722">
        <v>2013</v>
      </c>
      <c r="H42" s="287"/>
      <c r="I42" s="65">
        <v>38</v>
      </c>
      <c r="J42" s="61" t="s">
        <v>399</v>
      </c>
      <c r="K42" s="62" t="s">
        <v>168</v>
      </c>
      <c r="L42" s="31"/>
      <c r="M42" s="34" t="str">
        <f t="shared" si="0"/>
        <v/>
      </c>
      <c r="N42" s="31"/>
      <c r="O42" s="34" t="str">
        <f t="shared" si="7"/>
        <v/>
      </c>
      <c r="P42" s="31"/>
      <c r="Q42" s="34" t="str">
        <f t="shared" si="1"/>
        <v/>
      </c>
      <c r="R42" s="31"/>
      <c r="S42" s="34" t="str">
        <f t="shared" si="2"/>
        <v/>
      </c>
      <c r="T42" s="31"/>
      <c r="U42" s="34" t="str">
        <f t="shared" si="8"/>
        <v/>
      </c>
      <c r="V42" s="31"/>
      <c r="W42" s="34" t="str">
        <f t="shared" si="3"/>
        <v/>
      </c>
      <c r="X42" s="31"/>
      <c r="Y42" s="34" t="str">
        <f t="shared" si="9"/>
        <v/>
      </c>
      <c r="Z42" s="31"/>
      <c r="AA42" s="34" t="str">
        <f t="shared" si="4"/>
        <v/>
      </c>
      <c r="AB42" s="31"/>
      <c r="AC42" s="34" t="str">
        <f t="shared" si="10"/>
        <v/>
      </c>
      <c r="AD42" s="31"/>
      <c r="AE42" s="34" t="str">
        <f t="shared" si="11"/>
        <v/>
      </c>
      <c r="AF42" s="31"/>
      <c r="AG42" s="34" t="str">
        <f t="shared" si="12"/>
        <v/>
      </c>
      <c r="AH42" s="31"/>
      <c r="AI42" s="34" t="str">
        <f t="shared" si="13"/>
        <v/>
      </c>
      <c r="AJ42" s="31"/>
      <c r="AK42" s="34" t="str">
        <f t="shared" si="14"/>
        <v/>
      </c>
      <c r="AL42" s="31"/>
      <c r="AM42" s="34" t="str">
        <f t="shared" si="15"/>
        <v/>
      </c>
      <c r="AN42" s="31"/>
      <c r="AO42" s="34" t="str">
        <f t="shared" si="16"/>
        <v/>
      </c>
      <c r="AP42" s="31"/>
      <c r="AQ42" s="34" t="str">
        <f t="shared" si="17"/>
        <v/>
      </c>
      <c r="AR42" s="31"/>
      <c r="AS42" s="34" t="str">
        <f t="shared" si="18"/>
        <v/>
      </c>
      <c r="AT42" s="31"/>
      <c r="AU42" s="34" t="str">
        <f t="shared" si="19"/>
        <v/>
      </c>
      <c r="AV42" s="31"/>
      <c r="AW42" s="34" t="str">
        <f t="shared" si="20"/>
        <v/>
      </c>
      <c r="AX42" s="28"/>
      <c r="AY42" s="34" t="str">
        <f t="shared" si="5"/>
        <v/>
      </c>
      <c r="AZ42" s="44">
        <v>37</v>
      </c>
      <c r="BA42" s="34">
        <f t="shared" si="6"/>
        <v>97.368421052631575</v>
      </c>
      <c r="BB42" s="21" t="s">
        <v>407</v>
      </c>
    </row>
    <row r="43" spans="1:54" ht="20" customHeight="1" x14ac:dyDescent="0.2">
      <c r="A43" s="756"/>
      <c r="B43" s="721"/>
      <c r="C43" s="722"/>
      <c r="D43" s="722" t="s">
        <v>85</v>
      </c>
      <c r="E43" s="723" t="s">
        <v>623</v>
      </c>
      <c r="F43" s="723" t="s">
        <v>624</v>
      </c>
      <c r="G43" s="722">
        <v>2000</v>
      </c>
      <c r="H43" s="287"/>
      <c r="I43" s="65">
        <v>12</v>
      </c>
      <c r="J43" s="61" t="s">
        <v>625</v>
      </c>
      <c r="K43" s="62"/>
      <c r="L43" s="31"/>
      <c r="M43" s="34"/>
      <c r="N43" s="31"/>
      <c r="O43" s="34"/>
      <c r="P43" s="31"/>
      <c r="Q43" s="34"/>
      <c r="R43" s="31"/>
      <c r="S43" s="34"/>
      <c r="T43" s="31"/>
      <c r="U43" s="34"/>
      <c r="V43" s="31"/>
      <c r="W43" s="34"/>
      <c r="X43" s="31"/>
      <c r="Y43" s="34"/>
      <c r="Z43" s="31"/>
      <c r="AA43" s="34"/>
      <c r="AB43" s="31"/>
      <c r="AC43" s="34"/>
      <c r="AD43" s="31"/>
      <c r="AE43" s="34"/>
      <c r="AF43" s="31"/>
      <c r="AG43" s="34"/>
      <c r="AH43" s="31"/>
      <c r="AI43" s="34"/>
      <c r="AJ43" s="31"/>
      <c r="AK43" s="34"/>
      <c r="AL43" s="31"/>
      <c r="AM43" s="34"/>
      <c r="AN43" s="31"/>
      <c r="AO43" s="34"/>
      <c r="AP43" s="31"/>
      <c r="AQ43" s="34"/>
      <c r="AR43" s="31"/>
      <c r="AS43" s="34"/>
      <c r="AT43" s="31"/>
      <c r="AU43" s="34"/>
      <c r="AV43" s="31"/>
      <c r="AW43" s="34"/>
      <c r="AX43" s="56"/>
      <c r="AY43" s="34"/>
      <c r="AZ43" s="56"/>
      <c r="BA43" s="34"/>
    </row>
    <row r="44" spans="1:54" ht="20" customHeight="1" x14ac:dyDescent="0.2">
      <c r="A44" s="753"/>
      <c r="B44" s="725"/>
      <c r="C44" s="253"/>
      <c r="D44" s="722" t="s">
        <v>85</v>
      </c>
      <c r="E44" s="723" t="s">
        <v>52</v>
      </c>
      <c r="F44" s="723" t="s">
        <v>53</v>
      </c>
      <c r="G44" s="722">
        <v>2001</v>
      </c>
      <c r="H44" s="287">
        <v>118</v>
      </c>
      <c r="I44" s="65">
        <v>20</v>
      </c>
      <c r="J44" s="61" t="s">
        <v>175</v>
      </c>
      <c r="K44" s="62" t="s">
        <v>191</v>
      </c>
      <c r="L44" s="31"/>
      <c r="M44" s="34" t="str">
        <f t="shared" si="0"/>
        <v/>
      </c>
      <c r="N44" s="31"/>
      <c r="O44" s="34" t="str">
        <f t="shared" si="7"/>
        <v/>
      </c>
      <c r="P44" s="31"/>
      <c r="Q44" s="34" t="str">
        <f t="shared" si="1"/>
        <v/>
      </c>
      <c r="R44" s="31"/>
      <c r="S44" s="34" t="str">
        <f t="shared" si="2"/>
        <v/>
      </c>
      <c r="T44" s="31"/>
      <c r="U44" s="34" t="str">
        <f t="shared" si="8"/>
        <v/>
      </c>
      <c r="V44" s="31"/>
      <c r="W44" s="34" t="str">
        <f t="shared" si="3"/>
        <v/>
      </c>
      <c r="X44" s="31"/>
      <c r="Y44" s="34" t="str">
        <f t="shared" si="9"/>
        <v/>
      </c>
      <c r="Z44" s="31"/>
      <c r="AA44" s="34" t="str">
        <f t="shared" si="4"/>
        <v/>
      </c>
      <c r="AB44" s="31"/>
      <c r="AC44" s="34" t="str">
        <f t="shared" si="10"/>
        <v/>
      </c>
      <c r="AD44" s="31"/>
      <c r="AE44" s="34" t="str">
        <f t="shared" si="11"/>
        <v/>
      </c>
      <c r="AF44" s="31"/>
      <c r="AG44" s="34" t="str">
        <f t="shared" si="12"/>
        <v/>
      </c>
      <c r="AH44" s="31"/>
      <c r="AI44" s="34" t="str">
        <f t="shared" si="13"/>
        <v/>
      </c>
      <c r="AJ44" s="31"/>
      <c r="AK44" s="34" t="str">
        <f t="shared" si="14"/>
        <v/>
      </c>
      <c r="AL44" s="31"/>
      <c r="AM44" s="34" t="str">
        <f t="shared" si="15"/>
        <v/>
      </c>
      <c r="AN44" s="31"/>
      <c r="AO44" s="34" t="str">
        <f t="shared" si="16"/>
        <v/>
      </c>
      <c r="AP44" s="31"/>
      <c r="AQ44" s="34" t="str">
        <f t="shared" si="17"/>
        <v/>
      </c>
      <c r="AR44" s="31"/>
      <c r="AS44" s="34" t="str">
        <f t="shared" si="18"/>
        <v/>
      </c>
      <c r="AT44" s="31"/>
      <c r="AU44" s="34" t="str">
        <f t="shared" si="19"/>
        <v/>
      </c>
      <c r="AV44" s="31"/>
      <c r="AW44" s="34" t="str">
        <f t="shared" si="20"/>
        <v/>
      </c>
      <c r="AX44" s="31"/>
      <c r="AY44" s="34" t="str">
        <f t="shared" si="5"/>
        <v/>
      </c>
      <c r="AZ44" s="56"/>
      <c r="BA44" s="34" t="str">
        <f t="shared" si="6"/>
        <v/>
      </c>
      <c r="BB44" s="21" t="s">
        <v>179</v>
      </c>
    </row>
    <row r="45" spans="1:54" ht="20" customHeight="1" x14ac:dyDescent="0.2">
      <c r="A45" s="756"/>
      <c r="B45" s="721"/>
      <c r="C45" s="255"/>
      <c r="D45" s="722" t="s">
        <v>85</v>
      </c>
      <c r="E45" s="723" t="s">
        <v>628</v>
      </c>
      <c r="F45" s="723" t="s">
        <v>629</v>
      </c>
      <c r="G45" s="722">
        <v>1993</v>
      </c>
      <c r="H45" s="287"/>
      <c r="I45" s="65"/>
      <c r="J45" s="61" t="s">
        <v>627</v>
      </c>
      <c r="K45" s="62" t="s">
        <v>626</v>
      </c>
      <c r="L45" s="31"/>
      <c r="M45" s="34"/>
      <c r="N45" s="31"/>
      <c r="O45" s="34"/>
      <c r="P45" s="31"/>
      <c r="Q45" s="34"/>
      <c r="R45" s="31"/>
      <c r="S45" s="34"/>
      <c r="T45" s="31"/>
      <c r="U45" s="34"/>
      <c r="V45" s="31"/>
      <c r="W45" s="34"/>
      <c r="X45" s="31"/>
      <c r="Y45" s="34"/>
      <c r="Z45" s="31"/>
      <c r="AA45" s="34"/>
      <c r="AB45" s="31"/>
      <c r="AC45" s="34"/>
      <c r="AD45" s="31"/>
      <c r="AE45" s="34"/>
      <c r="AF45" s="31"/>
      <c r="AG45" s="34"/>
      <c r="AH45" s="31"/>
      <c r="AI45" s="34"/>
      <c r="AJ45" s="31"/>
      <c r="AK45" s="34"/>
      <c r="AL45" s="31"/>
      <c r="AM45" s="34"/>
      <c r="AN45" s="31"/>
      <c r="AO45" s="34"/>
      <c r="AP45" s="31"/>
      <c r="AQ45" s="34"/>
      <c r="AR45" s="31"/>
      <c r="AS45" s="34"/>
      <c r="AT45" s="31"/>
      <c r="AU45" s="34"/>
      <c r="AV45" s="31"/>
      <c r="AW45" s="34"/>
      <c r="AX45" s="56"/>
      <c r="AY45" s="34"/>
      <c r="AZ45" s="56"/>
      <c r="BA45" s="34"/>
    </row>
    <row r="46" spans="1:54" ht="20" customHeight="1" x14ac:dyDescent="0.2">
      <c r="A46" s="753"/>
      <c r="B46" s="725"/>
      <c r="C46" s="255"/>
      <c r="D46" s="722" t="s">
        <v>85</v>
      </c>
      <c r="E46" s="723" t="s">
        <v>264</v>
      </c>
      <c r="F46" s="723" t="s">
        <v>265</v>
      </c>
      <c r="G46" s="722">
        <v>1994</v>
      </c>
      <c r="H46" s="287"/>
      <c r="I46" s="65">
        <v>20</v>
      </c>
      <c r="J46" s="61" t="s">
        <v>335</v>
      </c>
      <c r="K46" s="62"/>
      <c r="L46" s="31"/>
      <c r="M46" s="34" t="str">
        <f t="shared" si="0"/>
        <v/>
      </c>
      <c r="N46" s="31"/>
      <c r="O46" s="34" t="str">
        <f t="shared" si="7"/>
        <v/>
      </c>
      <c r="P46" s="31"/>
      <c r="Q46" s="34" t="str">
        <f t="shared" si="1"/>
        <v/>
      </c>
      <c r="R46" s="31"/>
      <c r="S46" s="34" t="str">
        <f t="shared" si="2"/>
        <v/>
      </c>
      <c r="T46" s="31"/>
      <c r="U46" s="34" t="str">
        <f t="shared" si="8"/>
        <v/>
      </c>
      <c r="V46" s="36"/>
      <c r="W46" s="37" t="str">
        <f t="shared" si="3"/>
        <v/>
      </c>
      <c r="X46" s="31"/>
      <c r="Y46" s="34" t="str">
        <f t="shared" si="9"/>
        <v/>
      </c>
      <c r="Z46" s="36"/>
      <c r="AA46" s="37" t="str">
        <f t="shared" si="4"/>
        <v/>
      </c>
      <c r="AB46" s="31"/>
      <c r="AC46" s="34" t="str">
        <f t="shared" si="10"/>
        <v/>
      </c>
      <c r="AD46" s="31"/>
      <c r="AE46" s="34" t="str">
        <f t="shared" si="11"/>
        <v/>
      </c>
      <c r="AF46" s="31"/>
      <c r="AG46" s="34" t="str">
        <f t="shared" si="12"/>
        <v/>
      </c>
      <c r="AH46" s="31"/>
      <c r="AI46" s="34" t="str">
        <f t="shared" si="13"/>
        <v/>
      </c>
      <c r="AJ46" s="31"/>
      <c r="AK46" s="34" t="str">
        <f t="shared" si="14"/>
        <v/>
      </c>
      <c r="AL46" s="31"/>
      <c r="AM46" s="34" t="str">
        <f t="shared" si="15"/>
        <v/>
      </c>
      <c r="AN46" s="31"/>
      <c r="AO46" s="34" t="str">
        <f t="shared" si="16"/>
        <v/>
      </c>
      <c r="AP46" s="31"/>
      <c r="AQ46" s="34" t="str">
        <f t="shared" si="17"/>
        <v/>
      </c>
      <c r="AR46" s="31"/>
      <c r="AS46" s="34" t="str">
        <f t="shared" si="18"/>
        <v/>
      </c>
      <c r="AT46" s="31"/>
      <c r="AU46" s="34" t="str">
        <f t="shared" si="19"/>
        <v/>
      </c>
      <c r="AV46" s="31"/>
      <c r="AW46" s="34" t="str">
        <f t="shared" si="20"/>
        <v/>
      </c>
      <c r="AX46" s="38"/>
      <c r="AY46" s="37" t="str">
        <f t="shared" si="5"/>
        <v/>
      </c>
      <c r="AZ46" s="56"/>
      <c r="BA46" s="34" t="str">
        <f t="shared" si="6"/>
        <v/>
      </c>
      <c r="BB46" s="21" t="s">
        <v>400</v>
      </c>
    </row>
    <row r="47" spans="1:54" ht="20" customHeight="1" x14ac:dyDescent="0.2">
      <c r="A47" s="756"/>
      <c r="B47" s="721"/>
      <c r="C47" s="255"/>
      <c r="D47" s="722" t="s">
        <v>85</v>
      </c>
      <c r="E47" s="723" t="s">
        <v>630</v>
      </c>
      <c r="F47" s="723" t="s">
        <v>631</v>
      </c>
      <c r="G47" s="722">
        <v>2013</v>
      </c>
      <c r="H47" s="287"/>
      <c r="I47" s="65">
        <v>30</v>
      </c>
      <c r="J47" s="61" t="s">
        <v>213</v>
      </c>
      <c r="K47" s="62" t="s">
        <v>632</v>
      </c>
      <c r="L47" s="31"/>
      <c r="M47" s="34"/>
      <c r="N47" s="31"/>
      <c r="O47" s="34"/>
      <c r="P47" s="31"/>
      <c r="Q47" s="34"/>
      <c r="R47" s="31"/>
      <c r="S47" s="34"/>
      <c r="T47" s="31"/>
      <c r="U47" s="34"/>
      <c r="V47" s="31"/>
      <c r="W47" s="34"/>
      <c r="X47" s="31"/>
      <c r="Y47" s="34"/>
      <c r="Z47" s="31"/>
      <c r="AA47" s="34"/>
      <c r="AB47" s="31"/>
      <c r="AC47" s="34"/>
      <c r="AD47" s="31"/>
      <c r="AE47" s="34"/>
      <c r="AF47" s="31"/>
      <c r="AG47" s="34"/>
      <c r="AH47" s="31"/>
      <c r="AI47" s="34"/>
      <c r="AJ47" s="31"/>
      <c r="AK47" s="34"/>
      <c r="AL47" s="31"/>
      <c r="AM47" s="34"/>
      <c r="AN47" s="31"/>
      <c r="AO47" s="34"/>
      <c r="AP47" s="31"/>
      <c r="AQ47" s="34"/>
      <c r="AR47" s="31"/>
      <c r="AS47" s="34"/>
      <c r="AT47" s="31"/>
      <c r="AU47" s="34"/>
      <c r="AV47" s="31"/>
      <c r="AW47" s="34"/>
      <c r="AX47" s="56"/>
      <c r="AY47" s="34"/>
      <c r="AZ47" s="56"/>
      <c r="BA47" s="34"/>
    </row>
    <row r="48" spans="1:54" ht="20" customHeight="1" x14ac:dyDescent="0.2">
      <c r="A48" s="753"/>
      <c r="B48" s="725"/>
      <c r="C48" s="253"/>
      <c r="D48" s="722" t="s">
        <v>85</v>
      </c>
      <c r="E48" s="723" t="s">
        <v>336</v>
      </c>
      <c r="F48" s="723" t="s">
        <v>337</v>
      </c>
      <c r="G48" s="722">
        <v>2008</v>
      </c>
      <c r="H48" s="287"/>
      <c r="I48" s="65">
        <v>16</v>
      </c>
      <c r="J48" s="61" t="s">
        <v>175</v>
      </c>
      <c r="K48" s="62" t="s">
        <v>338</v>
      </c>
      <c r="L48" s="31"/>
      <c r="M48" s="34" t="str">
        <f t="shared" si="0"/>
        <v/>
      </c>
      <c r="N48" s="31"/>
      <c r="O48" s="34" t="str">
        <f t="shared" si="7"/>
        <v/>
      </c>
      <c r="P48" s="31"/>
      <c r="Q48" s="34" t="str">
        <f t="shared" si="1"/>
        <v/>
      </c>
      <c r="R48" s="31"/>
      <c r="S48" s="34" t="str">
        <f t="shared" si="2"/>
        <v/>
      </c>
      <c r="T48" s="31"/>
      <c r="U48" s="34" t="str">
        <f t="shared" si="8"/>
        <v/>
      </c>
      <c r="V48" s="31"/>
      <c r="W48" s="34" t="str">
        <f t="shared" si="3"/>
        <v/>
      </c>
      <c r="X48" s="31"/>
      <c r="Y48" s="34" t="str">
        <f t="shared" si="9"/>
        <v/>
      </c>
      <c r="Z48" s="31"/>
      <c r="AA48" s="34" t="str">
        <f t="shared" si="4"/>
        <v/>
      </c>
      <c r="AB48" s="31"/>
      <c r="AC48" s="34" t="str">
        <f t="shared" si="10"/>
        <v/>
      </c>
      <c r="AD48" s="31"/>
      <c r="AE48" s="34" t="str">
        <f t="shared" si="11"/>
        <v/>
      </c>
      <c r="AF48" s="31"/>
      <c r="AG48" s="34" t="str">
        <f t="shared" si="12"/>
        <v/>
      </c>
      <c r="AH48" s="31"/>
      <c r="AI48" s="34" t="str">
        <f t="shared" si="13"/>
        <v/>
      </c>
      <c r="AJ48" s="31"/>
      <c r="AK48" s="34" t="str">
        <f t="shared" si="14"/>
        <v/>
      </c>
      <c r="AL48" s="31"/>
      <c r="AM48" s="34" t="str">
        <f t="shared" si="15"/>
        <v/>
      </c>
      <c r="AN48" s="31"/>
      <c r="AO48" s="34" t="str">
        <f t="shared" si="16"/>
        <v/>
      </c>
      <c r="AP48" s="31"/>
      <c r="AQ48" s="34" t="str">
        <f t="shared" si="17"/>
        <v/>
      </c>
      <c r="AR48" s="31"/>
      <c r="AS48" s="34" t="str">
        <f t="shared" si="18"/>
        <v/>
      </c>
      <c r="AT48" s="31"/>
      <c r="AU48" s="34" t="str">
        <f t="shared" si="19"/>
        <v/>
      </c>
      <c r="AV48" s="31"/>
      <c r="AW48" s="34" t="str">
        <f t="shared" si="20"/>
        <v/>
      </c>
      <c r="AX48" s="56"/>
      <c r="AY48" s="34" t="str">
        <f t="shared" si="5"/>
        <v/>
      </c>
      <c r="AZ48" s="56"/>
      <c r="BA48" s="34" t="str">
        <f t="shared" si="6"/>
        <v/>
      </c>
      <c r="BB48" s="21" t="s">
        <v>408</v>
      </c>
    </row>
    <row r="49" spans="1:54" ht="20" customHeight="1" x14ac:dyDescent="0.2">
      <c r="A49" s="753"/>
      <c r="B49" s="725"/>
      <c r="C49" s="255"/>
      <c r="D49" s="722" t="s">
        <v>85</v>
      </c>
      <c r="E49" s="723" t="s">
        <v>54</v>
      </c>
      <c r="F49" s="723" t="s">
        <v>55</v>
      </c>
      <c r="G49" s="722">
        <v>1996</v>
      </c>
      <c r="H49" s="287">
        <v>82</v>
      </c>
      <c r="I49" s="65">
        <v>15</v>
      </c>
      <c r="J49" s="61" t="s">
        <v>175</v>
      </c>
      <c r="K49" s="62" t="s">
        <v>177</v>
      </c>
      <c r="L49" s="31">
        <v>3</v>
      </c>
      <c r="M49" s="34">
        <f t="shared" si="0"/>
        <v>20</v>
      </c>
      <c r="N49" s="31"/>
      <c r="O49" s="34" t="str">
        <f t="shared" si="7"/>
        <v/>
      </c>
      <c r="P49" s="31"/>
      <c r="Q49" s="34" t="str">
        <f t="shared" si="1"/>
        <v/>
      </c>
      <c r="R49" s="31"/>
      <c r="S49" s="34" t="str">
        <f t="shared" si="2"/>
        <v/>
      </c>
      <c r="T49" s="31"/>
      <c r="U49" s="34" t="str">
        <f t="shared" si="8"/>
        <v/>
      </c>
      <c r="V49" s="31"/>
      <c r="W49" s="34" t="str">
        <f t="shared" si="3"/>
        <v/>
      </c>
      <c r="X49" s="31">
        <v>1</v>
      </c>
      <c r="Y49" s="34">
        <f t="shared" si="9"/>
        <v>6.666666666666667</v>
      </c>
      <c r="Z49" s="31"/>
      <c r="AA49" s="34" t="str">
        <f t="shared" si="4"/>
        <v/>
      </c>
      <c r="AB49" s="31"/>
      <c r="AC49" s="34" t="str">
        <f t="shared" si="10"/>
        <v/>
      </c>
      <c r="AD49" s="31"/>
      <c r="AE49" s="34" t="str">
        <f t="shared" si="11"/>
        <v/>
      </c>
      <c r="AF49" s="31"/>
      <c r="AG49" s="34" t="str">
        <f t="shared" si="12"/>
        <v/>
      </c>
      <c r="AH49" s="31"/>
      <c r="AI49" s="34" t="str">
        <f t="shared" si="13"/>
        <v/>
      </c>
      <c r="AJ49" s="31"/>
      <c r="AK49" s="34" t="str">
        <f t="shared" si="14"/>
        <v/>
      </c>
      <c r="AL49" s="31"/>
      <c r="AM49" s="34" t="str">
        <f t="shared" si="15"/>
        <v/>
      </c>
      <c r="AN49" s="31">
        <v>1</v>
      </c>
      <c r="AO49" s="34">
        <f t="shared" si="16"/>
        <v>6.666666666666667</v>
      </c>
      <c r="AP49" s="31"/>
      <c r="AQ49" s="34" t="str">
        <f t="shared" si="17"/>
        <v/>
      </c>
      <c r="AR49" s="31"/>
      <c r="AS49" s="34" t="str">
        <f t="shared" si="18"/>
        <v/>
      </c>
      <c r="AT49" s="31"/>
      <c r="AU49" s="34" t="str">
        <f t="shared" si="19"/>
        <v/>
      </c>
      <c r="AV49" s="31"/>
      <c r="AW49" s="34" t="str">
        <f t="shared" si="20"/>
        <v/>
      </c>
      <c r="AX49" s="56">
        <v>1</v>
      </c>
      <c r="AY49" s="34">
        <f t="shared" si="5"/>
        <v>6.666666666666667</v>
      </c>
      <c r="AZ49" s="56"/>
      <c r="BA49" s="34" t="str">
        <f t="shared" si="6"/>
        <v/>
      </c>
      <c r="BB49" s="21" t="s">
        <v>339</v>
      </c>
    </row>
    <row r="50" spans="1:54" ht="20" customHeight="1" x14ac:dyDescent="0.2">
      <c r="A50" s="753"/>
      <c r="B50" s="725"/>
      <c r="C50" s="253"/>
      <c r="D50" s="722" t="s">
        <v>85</v>
      </c>
      <c r="E50" s="723" t="s">
        <v>266</v>
      </c>
      <c r="F50" s="723" t="s">
        <v>267</v>
      </c>
      <c r="G50" s="722">
        <v>2016</v>
      </c>
      <c r="H50" s="287"/>
      <c r="I50" s="65">
        <v>49</v>
      </c>
      <c r="J50" s="61" t="s">
        <v>340</v>
      </c>
      <c r="K50" s="62" t="s">
        <v>192</v>
      </c>
      <c r="L50" s="31"/>
      <c r="M50" s="34" t="str">
        <f t="shared" si="0"/>
        <v/>
      </c>
      <c r="N50" s="31"/>
      <c r="O50" s="34" t="str">
        <f t="shared" si="7"/>
        <v/>
      </c>
      <c r="P50" s="31"/>
      <c r="Q50" s="34" t="str">
        <f t="shared" si="1"/>
        <v/>
      </c>
      <c r="R50" s="31"/>
      <c r="S50" s="34" t="str">
        <f t="shared" si="2"/>
        <v/>
      </c>
      <c r="T50" s="31"/>
      <c r="U50" s="34" t="str">
        <f t="shared" si="8"/>
        <v/>
      </c>
      <c r="V50" s="31"/>
      <c r="W50" s="34" t="str">
        <f t="shared" si="3"/>
        <v/>
      </c>
      <c r="X50" s="31"/>
      <c r="Y50" s="34" t="str">
        <f t="shared" si="9"/>
        <v/>
      </c>
      <c r="Z50" s="31"/>
      <c r="AA50" s="34" t="str">
        <f t="shared" si="4"/>
        <v/>
      </c>
      <c r="AB50" s="31"/>
      <c r="AC50" s="34" t="str">
        <f t="shared" si="10"/>
        <v/>
      </c>
      <c r="AD50" s="31"/>
      <c r="AE50" s="34" t="str">
        <f t="shared" si="11"/>
        <v/>
      </c>
      <c r="AF50" s="31"/>
      <c r="AG50" s="34" t="str">
        <f t="shared" si="12"/>
        <v/>
      </c>
      <c r="AH50" s="31"/>
      <c r="AI50" s="34" t="str">
        <f t="shared" si="13"/>
        <v/>
      </c>
      <c r="AJ50" s="31"/>
      <c r="AK50" s="34" t="str">
        <f t="shared" si="14"/>
        <v/>
      </c>
      <c r="AL50" s="31"/>
      <c r="AM50" s="34" t="str">
        <f t="shared" si="15"/>
        <v/>
      </c>
      <c r="AN50" s="31"/>
      <c r="AO50" s="34" t="str">
        <f t="shared" si="16"/>
        <v/>
      </c>
      <c r="AP50" s="31"/>
      <c r="AQ50" s="34" t="str">
        <f t="shared" si="17"/>
        <v/>
      </c>
      <c r="AR50" s="31"/>
      <c r="AS50" s="34" t="str">
        <f t="shared" si="18"/>
        <v/>
      </c>
      <c r="AT50" s="31"/>
      <c r="AU50" s="34" t="str">
        <f t="shared" si="19"/>
        <v/>
      </c>
      <c r="AV50" s="31"/>
      <c r="AW50" s="34" t="str">
        <f t="shared" si="20"/>
        <v/>
      </c>
      <c r="AX50" s="56"/>
      <c r="AY50" s="34" t="str">
        <f t="shared" si="5"/>
        <v/>
      </c>
      <c r="AZ50" s="56"/>
      <c r="BA50" s="34" t="str">
        <f t="shared" si="6"/>
        <v/>
      </c>
      <c r="BB50" s="21" t="s">
        <v>341</v>
      </c>
    </row>
    <row r="51" spans="1:54" ht="20" customHeight="1" x14ac:dyDescent="0.2">
      <c r="A51" s="753"/>
      <c r="B51" s="725"/>
      <c r="C51" s="255"/>
      <c r="D51" s="722" t="s">
        <v>85</v>
      </c>
      <c r="E51" s="723" t="s">
        <v>41</v>
      </c>
      <c r="F51" s="723" t="s">
        <v>42</v>
      </c>
      <c r="G51" s="722">
        <v>2004</v>
      </c>
      <c r="H51" s="287">
        <v>79</v>
      </c>
      <c r="I51" s="65">
        <v>12</v>
      </c>
      <c r="J51" s="61" t="s">
        <v>167</v>
      </c>
      <c r="K51" s="62" t="s">
        <v>168</v>
      </c>
      <c r="L51" s="31">
        <v>5</v>
      </c>
      <c r="M51" s="34">
        <f t="shared" si="0"/>
        <v>41.666666666666671</v>
      </c>
      <c r="N51" s="31"/>
      <c r="O51" s="34" t="str">
        <f t="shared" si="7"/>
        <v/>
      </c>
      <c r="P51" s="31"/>
      <c r="Q51" s="34" t="str">
        <f t="shared" si="1"/>
        <v/>
      </c>
      <c r="R51" s="31"/>
      <c r="S51" s="34" t="str">
        <f t="shared" si="2"/>
        <v/>
      </c>
      <c r="T51" s="31"/>
      <c r="U51" s="34" t="str">
        <f t="shared" si="8"/>
        <v/>
      </c>
      <c r="V51" s="31"/>
      <c r="W51" s="34" t="str">
        <f t="shared" si="3"/>
        <v/>
      </c>
      <c r="X51" s="31"/>
      <c r="Y51" s="34" t="str">
        <f t="shared" si="9"/>
        <v/>
      </c>
      <c r="Z51" s="31"/>
      <c r="AA51" s="34" t="str">
        <f t="shared" si="4"/>
        <v/>
      </c>
      <c r="AB51" s="31"/>
      <c r="AC51" s="34" t="str">
        <f t="shared" si="10"/>
        <v/>
      </c>
      <c r="AD51" s="31"/>
      <c r="AE51" s="34" t="str">
        <f t="shared" si="11"/>
        <v/>
      </c>
      <c r="AF51" s="31"/>
      <c r="AG51" s="34" t="str">
        <f t="shared" si="12"/>
        <v/>
      </c>
      <c r="AH51" s="31"/>
      <c r="AI51" s="34" t="str">
        <f t="shared" si="13"/>
        <v/>
      </c>
      <c r="AJ51" s="31"/>
      <c r="AK51" s="34" t="str">
        <f t="shared" si="14"/>
        <v/>
      </c>
      <c r="AL51" s="31"/>
      <c r="AM51" s="34" t="str">
        <f t="shared" si="15"/>
        <v/>
      </c>
      <c r="AN51" s="31"/>
      <c r="AO51" s="34" t="str">
        <f t="shared" si="16"/>
        <v/>
      </c>
      <c r="AP51" s="31"/>
      <c r="AQ51" s="34" t="str">
        <f t="shared" si="17"/>
        <v/>
      </c>
      <c r="AR51" s="31"/>
      <c r="AS51" s="34" t="str">
        <f t="shared" si="18"/>
        <v/>
      </c>
      <c r="AT51" s="31"/>
      <c r="AU51" s="34" t="str">
        <f t="shared" si="19"/>
        <v/>
      </c>
      <c r="AV51" s="31"/>
      <c r="AW51" s="34" t="str">
        <f t="shared" si="20"/>
        <v/>
      </c>
      <c r="AX51" s="29"/>
      <c r="AY51" s="34" t="str">
        <f t="shared" si="5"/>
        <v/>
      </c>
      <c r="AZ51" s="44"/>
      <c r="BA51" s="34" t="str">
        <f t="shared" si="6"/>
        <v/>
      </c>
      <c r="BB51" s="21" t="s">
        <v>169</v>
      </c>
    </row>
    <row r="52" spans="1:54" ht="20" customHeight="1" x14ac:dyDescent="0.2">
      <c r="A52" s="753"/>
      <c r="B52" s="721"/>
      <c r="C52" s="253"/>
      <c r="D52" s="722" t="s">
        <v>85</v>
      </c>
      <c r="E52" s="723" t="s">
        <v>86</v>
      </c>
      <c r="F52" s="723" t="s">
        <v>56</v>
      </c>
      <c r="G52" s="722">
        <v>2014</v>
      </c>
      <c r="H52" s="287">
        <v>41</v>
      </c>
      <c r="I52" s="65">
        <v>20</v>
      </c>
      <c r="J52" s="61" t="s">
        <v>178</v>
      </c>
      <c r="K52" s="62"/>
      <c r="L52" s="31"/>
      <c r="M52" s="34" t="str">
        <f t="shared" si="0"/>
        <v/>
      </c>
      <c r="N52" s="31"/>
      <c r="O52" s="34" t="str">
        <f t="shared" si="7"/>
        <v/>
      </c>
      <c r="P52" s="31"/>
      <c r="Q52" s="34" t="str">
        <f t="shared" si="1"/>
        <v/>
      </c>
      <c r="R52" s="31"/>
      <c r="S52" s="34" t="str">
        <f t="shared" si="2"/>
        <v/>
      </c>
      <c r="T52" s="31"/>
      <c r="U52" s="34" t="str">
        <f t="shared" si="8"/>
        <v/>
      </c>
      <c r="V52" s="36"/>
      <c r="W52" s="37" t="str">
        <f t="shared" si="3"/>
        <v/>
      </c>
      <c r="X52" s="31"/>
      <c r="Y52" s="34" t="str">
        <f t="shared" si="9"/>
        <v/>
      </c>
      <c r="Z52" s="31"/>
      <c r="AA52" s="34" t="str">
        <f t="shared" si="4"/>
        <v/>
      </c>
      <c r="AB52" s="31"/>
      <c r="AC52" s="34" t="str">
        <f t="shared" si="10"/>
        <v/>
      </c>
      <c r="AD52" s="31"/>
      <c r="AE52" s="34" t="str">
        <f t="shared" si="11"/>
        <v/>
      </c>
      <c r="AF52" s="31"/>
      <c r="AG52" s="34" t="str">
        <f t="shared" si="12"/>
        <v/>
      </c>
      <c r="AH52" s="31"/>
      <c r="AI52" s="34" t="str">
        <f t="shared" si="13"/>
        <v/>
      </c>
      <c r="AJ52" s="31"/>
      <c r="AK52" s="34" t="str">
        <f t="shared" si="14"/>
        <v/>
      </c>
      <c r="AL52" s="31"/>
      <c r="AM52" s="34" t="str">
        <f t="shared" si="15"/>
        <v/>
      </c>
      <c r="AN52" s="31"/>
      <c r="AO52" s="34" t="str">
        <f t="shared" si="16"/>
        <v/>
      </c>
      <c r="AP52" s="31"/>
      <c r="AQ52" s="34" t="str">
        <f t="shared" si="17"/>
        <v/>
      </c>
      <c r="AR52" s="31"/>
      <c r="AS52" s="34" t="str">
        <f t="shared" si="18"/>
        <v/>
      </c>
      <c r="AT52" s="31"/>
      <c r="AU52" s="34" t="str">
        <f t="shared" si="19"/>
        <v/>
      </c>
      <c r="AV52" s="31"/>
      <c r="AW52" s="34" t="str">
        <f t="shared" si="20"/>
        <v/>
      </c>
      <c r="AX52" s="28"/>
      <c r="AY52" s="34" t="str">
        <f t="shared" si="5"/>
        <v/>
      </c>
      <c r="AZ52" s="44"/>
      <c r="BA52" s="34" t="str">
        <f t="shared" si="6"/>
        <v/>
      </c>
      <c r="BB52" s="21" t="s">
        <v>342</v>
      </c>
    </row>
    <row r="53" spans="1:54" ht="20" customHeight="1" x14ac:dyDescent="0.2">
      <c r="A53" s="756"/>
      <c r="B53" s="721"/>
      <c r="C53" s="255"/>
      <c r="D53" s="722" t="s">
        <v>85</v>
      </c>
      <c r="E53" s="723" t="s">
        <v>633</v>
      </c>
      <c r="F53" s="723" t="s">
        <v>514</v>
      </c>
      <c r="G53" s="722">
        <v>1995</v>
      </c>
      <c r="H53" s="287"/>
      <c r="I53" s="65">
        <v>12</v>
      </c>
      <c r="J53" s="61" t="s">
        <v>210</v>
      </c>
      <c r="K53" s="62" t="s">
        <v>209</v>
      </c>
      <c r="L53" s="31"/>
      <c r="M53" s="34"/>
      <c r="N53" s="31"/>
      <c r="O53" s="34"/>
      <c r="P53" s="31"/>
      <c r="Q53" s="34"/>
      <c r="R53" s="31"/>
      <c r="S53" s="34"/>
      <c r="T53" s="31"/>
      <c r="U53" s="34"/>
      <c r="V53" s="31"/>
      <c r="W53" s="34"/>
      <c r="X53" s="31"/>
      <c r="Y53" s="34"/>
      <c r="Z53" s="31"/>
      <c r="AA53" s="34"/>
      <c r="AB53" s="31"/>
      <c r="AC53" s="34"/>
      <c r="AD53" s="31"/>
      <c r="AE53" s="34"/>
      <c r="AF53" s="31"/>
      <c r="AG53" s="34"/>
      <c r="AH53" s="31"/>
      <c r="AI53" s="34"/>
      <c r="AJ53" s="31"/>
      <c r="AK53" s="34"/>
      <c r="AL53" s="31"/>
      <c r="AM53" s="34"/>
      <c r="AN53" s="31"/>
      <c r="AO53" s="34"/>
      <c r="AP53" s="31"/>
      <c r="AQ53" s="34"/>
      <c r="AR53" s="31"/>
      <c r="AS53" s="34"/>
      <c r="AT53" s="31"/>
      <c r="AU53" s="34"/>
      <c r="AV53" s="31"/>
      <c r="AW53" s="34"/>
      <c r="AX53" s="56"/>
      <c r="AY53" s="34"/>
      <c r="AZ53" s="56"/>
      <c r="BA53" s="34"/>
    </row>
    <row r="54" spans="1:54" ht="20" customHeight="1" x14ac:dyDescent="0.2">
      <c r="A54" s="756"/>
      <c r="B54" s="725"/>
      <c r="C54" s="255"/>
      <c r="D54" s="722" t="s">
        <v>85</v>
      </c>
      <c r="E54" s="723" t="s">
        <v>634</v>
      </c>
      <c r="F54" s="723" t="s">
        <v>514</v>
      </c>
      <c r="G54" s="722">
        <v>1999</v>
      </c>
      <c r="H54" s="287"/>
      <c r="I54" s="65">
        <v>34</v>
      </c>
      <c r="J54" s="61" t="s">
        <v>210</v>
      </c>
      <c r="K54" s="62" t="s">
        <v>636</v>
      </c>
      <c r="L54" s="31"/>
      <c r="M54" s="34"/>
      <c r="N54" s="31"/>
      <c r="O54" s="34"/>
      <c r="P54" s="31"/>
      <c r="Q54" s="34"/>
      <c r="R54" s="31"/>
      <c r="S54" s="34"/>
      <c r="T54" s="31"/>
      <c r="U54" s="34"/>
      <c r="V54" s="31"/>
      <c r="W54" s="34"/>
      <c r="X54" s="31"/>
      <c r="Y54" s="34"/>
      <c r="Z54" s="31"/>
      <c r="AA54" s="34"/>
      <c r="AB54" s="31"/>
      <c r="AC54" s="34"/>
      <c r="AD54" s="31"/>
      <c r="AE54" s="34"/>
      <c r="AF54" s="31"/>
      <c r="AG54" s="34"/>
      <c r="AH54" s="31"/>
      <c r="AI54" s="34"/>
      <c r="AJ54" s="31"/>
      <c r="AK54" s="34"/>
      <c r="AL54" s="31"/>
      <c r="AM54" s="34"/>
      <c r="AN54" s="31"/>
      <c r="AO54" s="34"/>
      <c r="AP54" s="31"/>
      <c r="AQ54" s="34"/>
      <c r="AR54" s="31"/>
      <c r="AS54" s="34"/>
      <c r="AT54" s="31"/>
      <c r="AU54" s="34"/>
      <c r="AV54" s="31"/>
      <c r="AW54" s="34"/>
      <c r="AX54" s="56"/>
      <c r="AY54" s="34"/>
      <c r="AZ54" s="56"/>
      <c r="BA54" s="34"/>
    </row>
    <row r="55" spans="1:54" ht="20" customHeight="1" x14ac:dyDescent="0.2">
      <c r="A55" s="756"/>
      <c r="B55" s="725"/>
      <c r="C55" s="255"/>
      <c r="D55" s="722" t="s">
        <v>85</v>
      </c>
      <c r="E55" s="723" t="s">
        <v>635</v>
      </c>
      <c r="F55" s="723" t="s">
        <v>514</v>
      </c>
      <c r="G55" s="722">
        <v>2011</v>
      </c>
      <c r="H55" s="287"/>
      <c r="I55" s="65">
        <v>36</v>
      </c>
      <c r="J55" s="61" t="s">
        <v>210</v>
      </c>
      <c r="K55" s="62" t="s">
        <v>637</v>
      </c>
      <c r="L55" s="31"/>
      <c r="M55" s="34"/>
      <c r="N55" s="31"/>
      <c r="O55" s="34"/>
      <c r="P55" s="31"/>
      <c r="Q55" s="34"/>
      <c r="R55" s="31"/>
      <c r="S55" s="34"/>
      <c r="T55" s="31"/>
      <c r="U55" s="34"/>
      <c r="V55" s="31"/>
      <c r="W55" s="34"/>
      <c r="X55" s="31"/>
      <c r="Y55" s="34"/>
      <c r="Z55" s="31"/>
      <c r="AA55" s="34"/>
      <c r="AB55" s="31"/>
      <c r="AC55" s="34"/>
      <c r="AD55" s="31"/>
      <c r="AE55" s="34"/>
      <c r="AF55" s="31"/>
      <c r="AG55" s="34"/>
      <c r="AH55" s="31"/>
      <c r="AI55" s="34"/>
      <c r="AJ55" s="31"/>
      <c r="AK55" s="34"/>
      <c r="AL55" s="31"/>
      <c r="AM55" s="34"/>
      <c r="AN55" s="31"/>
      <c r="AO55" s="34"/>
      <c r="AP55" s="31"/>
      <c r="AQ55" s="34"/>
      <c r="AR55" s="31"/>
      <c r="AS55" s="34"/>
      <c r="AT55" s="31"/>
      <c r="AU55" s="34"/>
      <c r="AV55" s="31"/>
      <c r="AW55" s="34"/>
      <c r="AX55" s="56"/>
      <c r="AY55" s="34"/>
      <c r="AZ55" s="56"/>
      <c r="BA55" s="34"/>
    </row>
    <row r="56" spans="1:54" ht="20" customHeight="1" x14ac:dyDescent="0.2">
      <c r="A56" s="753"/>
      <c r="B56" s="725"/>
      <c r="C56" s="258"/>
      <c r="D56" s="722" t="s">
        <v>85</v>
      </c>
      <c r="E56" s="723" t="s">
        <v>57</v>
      </c>
      <c r="F56" s="723" t="s">
        <v>58</v>
      </c>
      <c r="G56" s="722">
        <v>2006</v>
      </c>
      <c r="H56" s="287">
        <v>132</v>
      </c>
      <c r="I56" s="65">
        <v>7</v>
      </c>
      <c r="J56" s="61" t="s">
        <v>175</v>
      </c>
      <c r="K56" s="62" t="s">
        <v>168</v>
      </c>
      <c r="L56" s="31"/>
      <c r="M56" s="34" t="str">
        <f t="shared" si="0"/>
        <v/>
      </c>
      <c r="N56" s="31"/>
      <c r="O56" s="34" t="str">
        <f t="shared" si="7"/>
        <v/>
      </c>
      <c r="P56" s="31"/>
      <c r="Q56" s="34" t="str">
        <f t="shared" si="1"/>
        <v/>
      </c>
      <c r="R56" s="31"/>
      <c r="S56" s="34" t="str">
        <f t="shared" si="2"/>
        <v/>
      </c>
      <c r="T56" s="31"/>
      <c r="U56" s="34" t="str">
        <f t="shared" si="8"/>
        <v/>
      </c>
      <c r="V56" s="31"/>
      <c r="W56" s="34" t="str">
        <f t="shared" si="3"/>
        <v/>
      </c>
      <c r="X56" s="31"/>
      <c r="Y56" s="34" t="str">
        <f t="shared" si="9"/>
        <v/>
      </c>
      <c r="Z56" s="31"/>
      <c r="AA56" s="34" t="str">
        <f t="shared" si="4"/>
        <v/>
      </c>
      <c r="AB56" s="31"/>
      <c r="AC56" s="34" t="str">
        <f t="shared" si="10"/>
        <v/>
      </c>
      <c r="AD56" s="31"/>
      <c r="AE56" s="34" t="str">
        <f t="shared" si="11"/>
        <v/>
      </c>
      <c r="AF56" s="31"/>
      <c r="AG56" s="34" t="str">
        <f t="shared" si="12"/>
        <v/>
      </c>
      <c r="AH56" s="31"/>
      <c r="AI56" s="34" t="str">
        <f t="shared" si="13"/>
        <v/>
      </c>
      <c r="AJ56" s="31"/>
      <c r="AK56" s="34" t="str">
        <f t="shared" si="14"/>
        <v/>
      </c>
      <c r="AL56" s="31"/>
      <c r="AM56" s="34" t="str">
        <f t="shared" si="15"/>
        <v/>
      </c>
      <c r="AN56" s="31"/>
      <c r="AO56" s="34" t="str">
        <f t="shared" si="16"/>
        <v/>
      </c>
      <c r="AP56" s="31"/>
      <c r="AQ56" s="34" t="str">
        <f t="shared" si="17"/>
        <v/>
      </c>
      <c r="AR56" s="31"/>
      <c r="AS56" s="34" t="str">
        <f t="shared" si="18"/>
        <v/>
      </c>
      <c r="AT56" s="31"/>
      <c r="AU56" s="34" t="str">
        <f t="shared" si="19"/>
        <v/>
      </c>
      <c r="AV56" s="31"/>
      <c r="AW56" s="34" t="str">
        <f t="shared" si="20"/>
        <v/>
      </c>
      <c r="AX56" s="56"/>
      <c r="AY56" s="34" t="str">
        <f t="shared" si="5"/>
        <v/>
      </c>
      <c r="AZ56" s="56"/>
      <c r="BA56" s="34" t="str">
        <f t="shared" si="6"/>
        <v/>
      </c>
      <c r="BB56" s="21" t="s">
        <v>473</v>
      </c>
    </row>
    <row r="57" spans="1:54" ht="20" customHeight="1" x14ac:dyDescent="0.2">
      <c r="A57" s="753"/>
      <c r="B57" s="725"/>
      <c r="C57" s="253"/>
      <c r="D57" s="722" t="s">
        <v>85</v>
      </c>
      <c r="E57" s="723" t="s">
        <v>59</v>
      </c>
      <c r="F57" s="723" t="s">
        <v>60</v>
      </c>
      <c r="G57" s="722">
        <v>2009</v>
      </c>
      <c r="H57" s="287">
        <v>49</v>
      </c>
      <c r="I57" s="65">
        <v>22</v>
      </c>
      <c r="J57" s="61" t="s">
        <v>175</v>
      </c>
      <c r="K57" s="62" t="s">
        <v>188</v>
      </c>
      <c r="L57" s="31"/>
      <c r="M57" s="34" t="str">
        <f t="shared" ref="M57:M77" si="21">IF((ISERROR((L57/$I57)*100)), "", IF(AND(NOT(ISERROR((L57/$I57)*100)),((L57/$I57)*100) &lt;&gt; 0), (L57/$I57)*100, ""))</f>
        <v/>
      </c>
      <c r="N57" s="31"/>
      <c r="O57" s="34" t="str">
        <f t="shared" si="7"/>
        <v/>
      </c>
      <c r="P57" s="31"/>
      <c r="Q57" s="34" t="str">
        <f t="shared" ref="Q57:Q93" si="22">IF((ISERROR((P57/$I57)*100)), "", IF(AND(NOT(ISERROR((P57/$I57)*100)),((P57/$I57)*100) &lt;&gt; 0), (P57/$I57)*100, ""))</f>
        <v/>
      </c>
      <c r="R57" s="31"/>
      <c r="S57" s="34" t="str">
        <f t="shared" ref="S57:S93" si="23">IF((ISERROR((R57/$I57)*100)), "", IF(AND(NOT(ISERROR((R57/$I57)*100)),((R57/$I57)*100) &lt;&gt; 0), (R57/$I57)*100, ""))</f>
        <v/>
      </c>
      <c r="T57" s="31"/>
      <c r="U57" s="34" t="str">
        <f t="shared" si="8"/>
        <v/>
      </c>
      <c r="V57" s="31"/>
      <c r="W57" s="34" t="str">
        <f t="shared" ref="W57:W93" si="24">IF((ISERROR((V57/$I57)*100)), "", IF(AND(NOT(ISERROR((V57/$I57)*100)),((V57/$I57)*100) &lt;&gt; 0), (V57/$I57)*100, ""))</f>
        <v/>
      </c>
      <c r="X57" s="31"/>
      <c r="Y57" s="34" t="str">
        <f t="shared" si="9"/>
        <v/>
      </c>
      <c r="Z57" s="31"/>
      <c r="AA57" s="34" t="str">
        <f t="shared" ref="AA57:AA93" si="25">IF((ISERROR((Z57/$I57)*100)), "", IF(AND(NOT(ISERROR((Z57/$I57)*100)),((Z57/$I57)*100) &lt;&gt; 0), (Z57/$I57)*100, ""))</f>
        <v/>
      </c>
      <c r="AB57" s="31"/>
      <c r="AC57" s="34" t="str">
        <f t="shared" si="10"/>
        <v/>
      </c>
      <c r="AD57" s="31"/>
      <c r="AE57" s="34" t="str">
        <f t="shared" si="11"/>
        <v/>
      </c>
      <c r="AF57" s="31"/>
      <c r="AG57" s="34" t="str">
        <f t="shared" si="12"/>
        <v/>
      </c>
      <c r="AH57" s="31"/>
      <c r="AI57" s="34" t="str">
        <f t="shared" si="13"/>
        <v/>
      </c>
      <c r="AJ57" s="31"/>
      <c r="AK57" s="34" t="str">
        <f t="shared" si="14"/>
        <v/>
      </c>
      <c r="AL57" s="31"/>
      <c r="AM57" s="34" t="str">
        <f t="shared" si="15"/>
        <v/>
      </c>
      <c r="AN57" s="31"/>
      <c r="AO57" s="34" t="str">
        <f t="shared" si="16"/>
        <v/>
      </c>
      <c r="AP57" s="31"/>
      <c r="AQ57" s="34" t="str">
        <f t="shared" si="17"/>
        <v/>
      </c>
      <c r="AR57" s="31"/>
      <c r="AS57" s="34" t="str">
        <f t="shared" si="18"/>
        <v/>
      </c>
      <c r="AT57" s="31"/>
      <c r="AU57" s="34" t="str">
        <f t="shared" si="19"/>
        <v/>
      </c>
      <c r="AV57" s="31"/>
      <c r="AW57" s="34" t="str">
        <f t="shared" si="20"/>
        <v/>
      </c>
      <c r="AX57" s="56"/>
      <c r="AY57" s="34" t="str">
        <f t="shared" ref="AY57:AY93" si="26">IF((ISERROR((AX57/$I57)*100)), "", IF(AND(NOT(ISERROR((AX57/$I57)*100)),((AX57/$I57)*100) &lt;&gt; 0), (AX57/$I57)*100, ""))</f>
        <v/>
      </c>
      <c r="AZ57" s="56"/>
      <c r="BA57" s="34" t="str">
        <f t="shared" ref="BA57:BA77" si="27">IF((ISERROR((AZ57/$I57)*100)), "", IF(AND(NOT(ISERROR((AZ57/$I57)*100)),((AZ57/$I57)*100) &lt;&gt; 0), (AZ57/$I57)*100, ""))</f>
        <v/>
      </c>
      <c r="BB57" s="21" t="s">
        <v>401</v>
      </c>
    </row>
    <row r="58" spans="1:54" ht="20" customHeight="1" x14ac:dyDescent="0.2">
      <c r="A58" s="753"/>
      <c r="B58" s="721"/>
      <c r="C58" s="253"/>
      <c r="D58" s="722" t="s">
        <v>85</v>
      </c>
      <c r="E58" s="723" t="s">
        <v>61</v>
      </c>
      <c r="F58" s="723" t="s">
        <v>62</v>
      </c>
      <c r="G58" s="722">
        <v>2006</v>
      </c>
      <c r="H58" s="287">
        <v>144</v>
      </c>
      <c r="I58" s="65">
        <v>25</v>
      </c>
      <c r="J58" s="61"/>
      <c r="K58" s="62" t="s">
        <v>189</v>
      </c>
      <c r="L58" s="31"/>
      <c r="M58" s="34" t="str">
        <f t="shared" si="21"/>
        <v/>
      </c>
      <c r="N58" s="31"/>
      <c r="O58" s="34" t="str">
        <f t="shared" si="7"/>
        <v/>
      </c>
      <c r="P58" s="31"/>
      <c r="Q58" s="34" t="str">
        <f t="shared" si="22"/>
        <v/>
      </c>
      <c r="R58" s="31"/>
      <c r="S58" s="34" t="str">
        <f t="shared" si="23"/>
        <v/>
      </c>
      <c r="T58" s="31"/>
      <c r="U58" s="34" t="str">
        <f t="shared" si="8"/>
        <v/>
      </c>
      <c r="V58" s="31"/>
      <c r="W58" s="34" t="str">
        <f t="shared" si="24"/>
        <v/>
      </c>
      <c r="X58" s="31"/>
      <c r="Y58" s="34" t="str">
        <f t="shared" si="9"/>
        <v/>
      </c>
      <c r="Z58" s="31"/>
      <c r="AA58" s="34" t="str">
        <f t="shared" si="25"/>
        <v/>
      </c>
      <c r="AB58" s="31"/>
      <c r="AC58" s="34" t="str">
        <f t="shared" si="10"/>
        <v/>
      </c>
      <c r="AD58" s="31"/>
      <c r="AE58" s="34" t="str">
        <f t="shared" si="11"/>
        <v/>
      </c>
      <c r="AF58" s="31"/>
      <c r="AG58" s="34" t="str">
        <f t="shared" si="12"/>
        <v/>
      </c>
      <c r="AH58" s="31"/>
      <c r="AI58" s="34" t="str">
        <f t="shared" si="13"/>
        <v/>
      </c>
      <c r="AJ58" s="31"/>
      <c r="AK58" s="34" t="str">
        <f t="shared" si="14"/>
        <v/>
      </c>
      <c r="AL58" s="31"/>
      <c r="AM58" s="34" t="str">
        <f t="shared" si="15"/>
        <v/>
      </c>
      <c r="AN58" s="31"/>
      <c r="AO58" s="34" t="str">
        <f t="shared" si="16"/>
        <v/>
      </c>
      <c r="AP58" s="31"/>
      <c r="AQ58" s="34" t="str">
        <f t="shared" si="17"/>
        <v/>
      </c>
      <c r="AR58" s="31"/>
      <c r="AS58" s="34" t="str">
        <f t="shared" si="18"/>
        <v/>
      </c>
      <c r="AT58" s="31"/>
      <c r="AU58" s="34" t="str">
        <f t="shared" si="19"/>
        <v/>
      </c>
      <c r="AV58" s="31"/>
      <c r="AW58" s="34" t="str">
        <f t="shared" si="20"/>
        <v/>
      </c>
      <c r="AX58" s="28"/>
      <c r="AY58" s="34" t="str">
        <f t="shared" si="26"/>
        <v/>
      </c>
      <c r="AZ58" s="44"/>
      <c r="BA58" s="34" t="str">
        <f t="shared" si="27"/>
        <v/>
      </c>
      <c r="BB58" s="21" t="s">
        <v>180</v>
      </c>
    </row>
    <row r="59" spans="1:54" ht="20" customHeight="1" x14ac:dyDescent="0.2">
      <c r="A59" s="753"/>
      <c r="B59" s="721"/>
      <c r="C59" s="722"/>
      <c r="D59" s="722"/>
      <c r="E59" s="723" t="s">
        <v>268</v>
      </c>
      <c r="F59" s="723" t="s">
        <v>269</v>
      </c>
      <c r="G59" s="722">
        <v>2004</v>
      </c>
      <c r="H59" s="287"/>
      <c r="I59" s="65"/>
      <c r="J59" s="61"/>
      <c r="K59" s="62"/>
      <c r="L59" s="31"/>
      <c r="M59" s="34" t="str">
        <f t="shared" si="21"/>
        <v/>
      </c>
      <c r="N59" s="31"/>
      <c r="O59" s="34" t="str">
        <f t="shared" si="7"/>
        <v/>
      </c>
      <c r="P59" s="31"/>
      <c r="Q59" s="34" t="str">
        <f t="shared" si="22"/>
        <v/>
      </c>
      <c r="R59" s="31"/>
      <c r="S59" s="34" t="str">
        <f t="shared" si="23"/>
        <v/>
      </c>
      <c r="T59" s="31"/>
      <c r="U59" s="34" t="str">
        <f t="shared" si="8"/>
        <v/>
      </c>
      <c r="V59" s="31"/>
      <c r="W59" s="34" t="str">
        <f t="shared" si="24"/>
        <v/>
      </c>
      <c r="X59" s="31"/>
      <c r="Y59" s="34" t="str">
        <f t="shared" si="9"/>
        <v/>
      </c>
      <c r="Z59" s="31"/>
      <c r="AA59" s="34" t="str">
        <f t="shared" si="25"/>
        <v/>
      </c>
      <c r="AB59" s="31"/>
      <c r="AC59" s="34" t="str">
        <f t="shared" si="10"/>
        <v/>
      </c>
      <c r="AD59" s="31"/>
      <c r="AE59" s="34" t="str">
        <f t="shared" si="11"/>
        <v/>
      </c>
      <c r="AF59" s="31"/>
      <c r="AG59" s="34" t="str">
        <f t="shared" si="12"/>
        <v/>
      </c>
      <c r="AH59" s="31"/>
      <c r="AI59" s="34" t="str">
        <f t="shared" si="13"/>
        <v/>
      </c>
      <c r="AJ59" s="31"/>
      <c r="AK59" s="34" t="str">
        <f t="shared" si="14"/>
        <v/>
      </c>
      <c r="AL59" s="31"/>
      <c r="AM59" s="34" t="str">
        <f t="shared" si="15"/>
        <v/>
      </c>
      <c r="AN59" s="31"/>
      <c r="AO59" s="34" t="str">
        <f t="shared" si="16"/>
        <v/>
      </c>
      <c r="AP59" s="31"/>
      <c r="AQ59" s="34" t="str">
        <f t="shared" si="17"/>
        <v/>
      </c>
      <c r="AR59" s="31"/>
      <c r="AS59" s="34" t="str">
        <f t="shared" si="18"/>
        <v/>
      </c>
      <c r="AT59" s="31"/>
      <c r="AU59" s="34" t="str">
        <f t="shared" si="19"/>
        <v/>
      </c>
      <c r="AV59" s="31"/>
      <c r="AW59" s="34" t="str">
        <f t="shared" si="20"/>
        <v/>
      </c>
      <c r="AX59" s="29"/>
      <c r="AY59" s="34" t="str">
        <f t="shared" si="26"/>
        <v/>
      </c>
      <c r="AZ59" s="44"/>
      <c r="BA59" s="34" t="str">
        <f t="shared" si="27"/>
        <v/>
      </c>
    </row>
    <row r="60" spans="1:54" ht="20" customHeight="1" x14ac:dyDescent="0.2">
      <c r="A60" s="756"/>
      <c r="B60" s="725"/>
      <c r="C60" s="253"/>
      <c r="D60" s="722" t="s">
        <v>85</v>
      </c>
      <c r="E60" s="723" t="s">
        <v>517</v>
      </c>
      <c r="F60" s="723" t="s">
        <v>638</v>
      </c>
      <c r="G60" s="722">
        <v>2012</v>
      </c>
      <c r="H60" s="287"/>
      <c r="I60" s="65">
        <v>18</v>
      </c>
      <c r="J60" s="61" t="s">
        <v>519</v>
      </c>
      <c r="K60" s="62"/>
      <c r="L60" s="31"/>
      <c r="M60" s="34"/>
      <c r="N60" s="31"/>
      <c r="O60" s="34"/>
      <c r="P60" s="31"/>
      <c r="Q60" s="34"/>
      <c r="R60" s="31"/>
      <c r="S60" s="34"/>
      <c r="T60" s="31"/>
      <c r="U60" s="34"/>
      <c r="V60" s="31"/>
      <c r="W60" s="34"/>
      <c r="X60" s="31"/>
      <c r="Y60" s="34"/>
      <c r="Z60" s="31"/>
      <c r="AA60" s="34"/>
      <c r="AB60" s="31"/>
      <c r="AC60" s="34"/>
      <c r="AD60" s="31"/>
      <c r="AE60" s="34"/>
      <c r="AF60" s="31"/>
      <c r="AG60" s="34"/>
      <c r="AH60" s="31"/>
      <c r="AI60" s="34"/>
      <c r="AJ60" s="31"/>
      <c r="AK60" s="34"/>
      <c r="AL60" s="31"/>
      <c r="AM60" s="34"/>
      <c r="AN60" s="31"/>
      <c r="AO60" s="34"/>
      <c r="AP60" s="31"/>
      <c r="AQ60" s="34"/>
      <c r="AR60" s="31"/>
      <c r="AS60" s="34"/>
      <c r="AT60" s="31"/>
      <c r="AU60" s="34"/>
      <c r="AV60" s="31"/>
      <c r="AW60" s="34"/>
      <c r="AX60" s="56"/>
      <c r="AY60" s="34"/>
      <c r="AZ60" s="56"/>
      <c r="BA60" s="34"/>
    </row>
    <row r="61" spans="1:54" ht="20" customHeight="1" x14ac:dyDescent="0.2">
      <c r="A61" s="753"/>
      <c r="B61" s="725"/>
      <c r="C61" s="255"/>
      <c r="D61" s="722" t="s">
        <v>85</v>
      </c>
      <c r="E61" s="723" t="s">
        <v>270</v>
      </c>
      <c r="F61" s="723" t="s">
        <v>271</v>
      </c>
      <c r="G61" s="722">
        <v>2014</v>
      </c>
      <c r="H61" s="287"/>
      <c r="I61" s="65">
        <v>39</v>
      </c>
      <c r="J61" s="61" t="s">
        <v>402</v>
      </c>
      <c r="K61" s="62" t="s">
        <v>338</v>
      </c>
      <c r="L61" s="31"/>
      <c r="M61" s="34" t="str">
        <f t="shared" si="21"/>
        <v/>
      </c>
      <c r="N61" s="31"/>
      <c r="O61" s="34" t="str">
        <f t="shared" si="7"/>
        <v/>
      </c>
      <c r="P61" s="31">
        <v>3</v>
      </c>
      <c r="Q61" s="34">
        <f t="shared" si="22"/>
        <v>7.6923076923076925</v>
      </c>
      <c r="R61" s="31">
        <v>8</v>
      </c>
      <c r="S61" s="34">
        <f t="shared" si="23"/>
        <v>20.512820512820511</v>
      </c>
      <c r="T61" s="31"/>
      <c r="U61" s="34" t="str">
        <f t="shared" si="8"/>
        <v/>
      </c>
      <c r="V61" s="31">
        <v>22</v>
      </c>
      <c r="W61" s="34">
        <f t="shared" si="24"/>
        <v>56.410256410256409</v>
      </c>
      <c r="X61" s="31">
        <v>22</v>
      </c>
      <c r="Y61" s="34">
        <f t="shared" si="9"/>
        <v>56.410256410256409</v>
      </c>
      <c r="Z61" s="31">
        <v>23</v>
      </c>
      <c r="AA61" s="34">
        <f t="shared" si="25"/>
        <v>58.974358974358978</v>
      </c>
      <c r="AB61" s="31"/>
      <c r="AC61" s="34" t="str">
        <f t="shared" si="10"/>
        <v/>
      </c>
      <c r="AD61" s="31"/>
      <c r="AE61" s="34" t="str">
        <f t="shared" si="11"/>
        <v/>
      </c>
      <c r="AF61" s="31"/>
      <c r="AG61" s="34" t="str">
        <f t="shared" si="12"/>
        <v/>
      </c>
      <c r="AH61" s="31"/>
      <c r="AI61" s="34" t="str">
        <f t="shared" si="13"/>
        <v/>
      </c>
      <c r="AJ61" s="31"/>
      <c r="AK61" s="34" t="str">
        <f t="shared" si="14"/>
        <v/>
      </c>
      <c r="AL61" s="31"/>
      <c r="AM61" s="34" t="str">
        <f t="shared" si="15"/>
        <v/>
      </c>
      <c r="AN61" s="31"/>
      <c r="AO61" s="34" t="str">
        <f t="shared" si="16"/>
        <v/>
      </c>
      <c r="AP61" s="31"/>
      <c r="AQ61" s="34" t="str">
        <f t="shared" si="17"/>
        <v/>
      </c>
      <c r="AR61" s="31"/>
      <c r="AS61" s="34" t="str">
        <f t="shared" si="18"/>
        <v/>
      </c>
      <c r="AT61" s="31"/>
      <c r="AU61" s="34" t="str">
        <f t="shared" si="19"/>
        <v/>
      </c>
      <c r="AV61" s="31"/>
      <c r="AW61" s="34" t="str">
        <f t="shared" si="20"/>
        <v/>
      </c>
      <c r="AX61" s="56"/>
      <c r="AY61" s="34" t="str">
        <f t="shared" si="26"/>
        <v/>
      </c>
      <c r="AZ61" s="56"/>
      <c r="BA61" s="34" t="str">
        <f t="shared" si="27"/>
        <v/>
      </c>
      <c r="BB61" s="21" t="s">
        <v>344</v>
      </c>
    </row>
    <row r="62" spans="1:54" ht="20" customHeight="1" x14ac:dyDescent="0.2">
      <c r="A62" s="753"/>
      <c r="B62" s="725"/>
      <c r="C62" s="722"/>
      <c r="D62" s="722" t="s">
        <v>85</v>
      </c>
      <c r="E62" s="723" t="s">
        <v>272</v>
      </c>
      <c r="F62" s="723" t="s">
        <v>273</v>
      </c>
      <c r="G62" s="722">
        <v>2015</v>
      </c>
      <c r="H62" s="287"/>
      <c r="I62" s="65">
        <v>8</v>
      </c>
      <c r="J62" s="61" t="s">
        <v>213</v>
      </c>
      <c r="K62" s="62" t="s">
        <v>345</v>
      </c>
      <c r="L62" s="31"/>
      <c r="M62" s="34" t="str">
        <f t="shared" si="21"/>
        <v/>
      </c>
      <c r="N62" s="31"/>
      <c r="O62" s="34" t="str">
        <f t="shared" si="7"/>
        <v/>
      </c>
      <c r="P62" s="31"/>
      <c r="Q62" s="34" t="str">
        <f t="shared" si="22"/>
        <v/>
      </c>
      <c r="R62" s="31"/>
      <c r="S62" s="34" t="str">
        <f t="shared" si="23"/>
        <v/>
      </c>
      <c r="T62" s="31"/>
      <c r="U62" s="34" t="str">
        <f t="shared" si="8"/>
        <v/>
      </c>
      <c r="V62" s="31">
        <v>2</v>
      </c>
      <c r="W62" s="34">
        <f t="shared" si="24"/>
        <v>25</v>
      </c>
      <c r="X62" s="31"/>
      <c r="Y62" s="34" t="str">
        <f t="shared" si="9"/>
        <v/>
      </c>
      <c r="Z62" s="31"/>
      <c r="AA62" s="34" t="str">
        <f t="shared" si="25"/>
        <v/>
      </c>
      <c r="AB62" s="31"/>
      <c r="AC62" s="34" t="str">
        <f t="shared" si="10"/>
        <v/>
      </c>
      <c r="AD62" s="31"/>
      <c r="AE62" s="34" t="str">
        <f t="shared" si="11"/>
        <v/>
      </c>
      <c r="AF62" s="31"/>
      <c r="AG62" s="34" t="str">
        <f t="shared" si="12"/>
        <v/>
      </c>
      <c r="AH62" s="31"/>
      <c r="AI62" s="34" t="str">
        <f t="shared" si="13"/>
        <v/>
      </c>
      <c r="AJ62" s="31"/>
      <c r="AK62" s="34" t="str">
        <f t="shared" si="14"/>
        <v/>
      </c>
      <c r="AL62" s="31"/>
      <c r="AM62" s="34" t="str">
        <f t="shared" si="15"/>
        <v/>
      </c>
      <c r="AN62" s="31"/>
      <c r="AO62" s="34" t="str">
        <f t="shared" si="16"/>
        <v/>
      </c>
      <c r="AP62" s="31"/>
      <c r="AQ62" s="34" t="str">
        <f t="shared" si="17"/>
        <v/>
      </c>
      <c r="AR62" s="31"/>
      <c r="AS62" s="34" t="str">
        <f t="shared" si="18"/>
        <v/>
      </c>
      <c r="AT62" s="31"/>
      <c r="AU62" s="34" t="str">
        <f t="shared" si="19"/>
        <v/>
      </c>
      <c r="AV62" s="31"/>
      <c r="AW62" s="34" t="str">
        <f t="shared" si="20"/>
        <v/>
      </c>
      <c r="AX62" s="56"/>
      <c r="AY62" s="34" t="str">
        <f t="shared" si="26"/>
        <v/>
      </c>
      <c r="AZ62" s="56"/>
      <c r="BA62" s="34" t="str">
        <f t="shared" si="27"/>
        <v/>
      </c>
      <c r="BB62" s="21" t="s">
        <v>403</v>
      </c>
    </row>
    <row r="63" spans="1:54" ht="20" customHeight="1" x14ac:dyDescent="0.2">
      <c r="A63" s="753"/>
      <c r="B63" s="721"/>
      <c r="C63" s="255"/>
      <c r="D63" s="722" t="s">
        <v>85</v>
      </c>
      <c r="E63" s="723" t="s">
        <v>274</v>
      </c>
      <c r="F63" s="723" t="s">
        <v>275</v>
      </c>
      <c r="G63" s="722">
        <v>2001</v>
      </c>
      <c r="H63" s="287"/>
      <c r="I63" s="65">
        <v>9</v>
      </c>
      <c r="J63" s="61"/>
      <c r="K63" s="62" t="s">
        <v>346</v>
      </c>
      <c r="L63" s="31"/>
      <c r="M63" s="34" t="str">
        <f t="shared" si="21"/>
        <v/>
      </c>
      <c r="N63" s="31"/>
      <c r="O63" s="34" t="str">
        <f t="shared" ref="O63:O101" si="28">IF((ISERROR((N63/$I63)*100)), "", IF(AND(NOT(ISERROR((N63/$I63)*100)),((N63/$I63)*100) &lt;&gt; 0), (N63/$I63)*100, ""))</f>
        <v/>
      </c>
      <c r="P63" s="31"/>
      <c r="Q63" s="34" t="str">
        <f t="shared" si="22"/>
        <v/>
      </c>
      <c r="R63" s="31"/>
      <c r="S63" s="34" t="str">
        <f t="shared" si="23"/>
        <v/>
      </c>
      <c r="T63" s="31"/>
      <c r="U63" s="34" t="str">
        <f t="shared" ref="U63:U101" si="29">IF((ISERROR((T63/$I63)*100)), "", IF(AND(NOT(ISERROR((T63/$I63)*100)),((T63/$I63)*100) &lt;&gt; 0), (T63/$I63)*100, ""))</f>
        <v/>
      </c>
      <c r="V63" s="31"/>
      <c r="W63" s="34" t="str">
        <f t="shared" si="24"/>
        <v/>
      </c>
      <c r="X63" s="31"/>
      <c r="Y63" s="34" t="str">
        <f t="shared" ref="Y63:Y101" si="30">IF((ISERROR((X63/$I63)*100)), "", IF(AND(NOT(ISERROR((X63/$I63)*100)),((X63/$I63)*100) &lt;&gt; 0), (X63/$I63)*100, ""))</f>
        <v/>
      </c>
      <c r="Z63" s="31"/>
      <c r="AA63" s="34" t="str">
        <f t="shared" si="25"/>
        <v/>
      </c>
      <c r="AB63" s="31"/>
      <c r="AC63" s="34" t="str">
        <f t="shared" ref="AC63:AC101" si="31">IF((ISERROR((AB63/$I63)*100)), "", IF(AND(NOT(ISERROR((AB63/$I63)*100)),((AB63/$I63)*100) &lt;&gt; 0), (AB63/$I63)*100, ""))</f>
        <v/>
      </c>
      <c r="AD63" s="31"/>
      <c r="AE63" s="34" t="str">
        <f t="shared" ref="AE63:AE101" si="32">IF((ISERROR((AD63/$I63)*100)), "", IF(AND(NOT(ISERROR((AD63/$I63)*100)),((AD63/$I63)*100) &lt;&gt; 0), (AD63/$I63)*100, ""))</f>
        <v/>
      </c>
      <c r="AF63" s="31"/>
      <c r="AG63" s="34" t="str">
        <f t="shared" ref="AG63:AG101" si="33">IF((ISERROR((AF63/$I63)*100)), "", IF(AND(NOT(ISERROR((AF63/$I63)*100)),((AF63/$I63)*100) &lt;&gt; 0), (AF63/$I63)*100, ""))</f>
        <v/>
      </c>
      <c r="AH63" s="31"/>
      <c r="AI63" s="34" t="str">
        <f t="shared" ref="AI63:AI101" si="34">IF((ISERROR((AH63/$I63)*100)), "", IF(AND(NOT(ISERROR((AH63/$I63)*100)),((AH63/$I63)*100) &lt;&gt; 0), (AH63/$I63)*100, ""))</f>
        <v/>
      </c>
      <c r="AJ63" s="31"/>
      <c r="AK63" s="34" t="str">
        <f t="shared" ref="AK63:AK101" si="35">IF((ISERROR((AJ63/$I63)*100)), "", IF(AND(NOT(ISERROR((AJ63/$I63)*100)),((AJ63/$I63)*100) &lt;&gt; 0), (AJ63/$I63)*100, ""))</f>
        <v/>
      </c>
      <c r="AL63" s="31"/>
      <c r="AM63" s="34" t="str">
        <f t="shared" ref="AM63:AM101" si="36">IF((ISERROR((AL63/$I63)*100)), "", IF(AND(NOT(ISERROR((AL63/$I63)*100)),((AL63/$I63)*100) &lt;&gt; 0), (AL63/$I63)*100, ""))</f>
        <v/>
      </c>
      <c r="AN63" s="31"/>
      <c r="AO63" s="34" t="str">
        <f t="shared" ref="AO63:AO101" si="37">IF((ISERROR((AN63/$I63)*100)), "", IF(AND(NOT(ISERROR((AN63/$I63)*100)),((AN63/$I63)*100) &lt;&gt; 0), (AN63/$I63)*100, ""))</f>
        <v/>
      </c>
      <c r="AP63" s="31"/>
      <c r="AQ63" s="34" t="str">
        <f t="shared" ref="AQ63:AQ101" si="38">IF((ISERROR((AP63/$I63)*100)), "", IF(AND(NOT(ISERROR((AP63/$I63)*100)),((AP63/$I63)*100) &lt;&gt; 0), (AP63/$I63)*100, ""))</f>
        <v/>
      </c>
      <c r="AR63" s="31"/>
      <c r="AS63" s="34" t="str">
        <f t="shared" ref="AS63:AS101" si="39">IF((ISERROR((AR63/$I63)*100)), "", IF(AND(NOT(ISERROR((AR63/$I63)*100)),((AR63/$I63)*100) &lt;&gt; 0), (AR63/$I63)*100, ""))</f>
        <v/>
      </c>
      <c r="AT63" s="31"/>
      <c r="AU63" s="34" t="str">
        <f t="shared" ref="AU63:AU101" si="40">IF((ISERROR((AT63/$I63)*100)), "", IF(AND(NOT(ISERROR((AT63/$I63)*100)),((AT63/$I63)*100) &lt;&gt; 0), (AT63/$I63)*100, ""))</f>
        <v/>
      </c>
      <c r="AV63" s="31"/>
      <c r="AW63" s="34" t="str">
        <f t="shared" ref="AW63:AW101" si="41">IF((ISERROR((AV63/$I63)*100)), "", IF(AND(NOT(ISERROR((AV63/$I63)*100)),((AV63/$I63)*100) &lt;&gt; 0), (AV63/$I63)*100, ""))</f>
        <v/>
      </c>
      <c r="AX63" s="38"/>
      <c r="AY63" s="37" t="str">
        <f t="shared" si="26"/>
        <v/>
      </c>
      <c r="AZ63" s="56"/>
      <c r="BA63" s="34" t="str">
        <f t="shared" si="27"/>
        <v/>
      </c>
      <c r="BB63" s="21" t="s">
        <v>347</v>
      </c>
    </row>
    <row r="64" spans="1:54" ht="20" customHeight="1" x14ac:dyDescent="0.2">
      <c r="A64" s="753"/>
      <c r="B64" s="725"/>
      <c r="C64" s="255"/>
      <c r="D64" s="722" t="s">
        <v>85</v>
      </c>
      <c r="E64" s="723" t="s">
        <v>63</v>
      </c>
      <c r="F64" s="723" t="s">
        <v>64</v>
      </c>
      <c r="G64" s="722">
        <v>2012</v>
      </c>
      <c r="H64" s="287">
        <v>83</v>
      </c>
      <c r="I64" s="65">
        <v>70</v>
      </c>
      <c r="J64" s="61" t="s">
        <v>181</v>
      </c>
      <c r="K64" s="62" t="s">
        <v>190</v>
      </c>
      <c r="L64" s="31">
        <v>10</v>
      </c>
      <c r="M64" s="34">
        <f t="shared" si="21"/>
        <v>14.285714285714285</v>
      </c>
      <c r="N64" s="31"/>
      <c r="O64" s="34" t="str">
        <f t="shared" si="28"/>
        <v/>
      </c>
      <c r="P64" s="31">
        <v>3</v>
      </c>
      <c r="Q64" s="34">
        <f t="shared" si="22"/>
        <v>4.2857142857142856</v>
      </c>
      <c r="R64" s="31">
        <v>1</v>
      </c>
      <c r="S64" s="34">
        <f t="shared" si="23"/>
        <v>1.4285714285714286</v>
      </c>
      <c r="T64" s="31"/>
      <c r="U64" s="34" t="str">
        <f t="shared" si="29"/>
        <v/>
      </c>
      <c r="V64" s="31">
        <v>9</v>
      </c>
      <c r="W64" s="34">
        <f t="shared" si="24"/>
        <v>12.857142857142856</v>
      </c>
      <c r="X64" s="31"/>
      <c r="Y64" s="34" t="str">
        <f t="shared" si="30"/>
        <v/>
      </c>
      <c r="Z64" s="31">
        <v>8</v>
      </c>
      <c r="AA64" s="34">
        <f t="shared" si="25"/>
        <v>11.428571428571429</v>
      </c>
      <c r="AB64" s="31"/>
      <c r="AC64" s="34" t="str">
        <f t="shared" si="31"/>
        <v/>
      </c>
      <c r="AD64" s="31"/>
      <c r="AE64" s="34" t="str">
        <f t="shared" si="32"/>
        <v/>
      </c>
      <c r="AF64" s="31"/>
      <c r="AG64" s="34" t="str">
        <f t="shared" si="33"/>
        <v/>
      </c>
      <c r="AH64" s="31"/>
      <c r="AI64" s="34" t="str">
        <f t="shared" si="34"/>
        <v/>
      </c>
      <c r="AJ64" s="31"/>
      <c r="AK64" s="34" t="str">
        <f t="shared" si="35"/>
        <v/>
      </c>
      <c r="AL64" s="31"/>
      <c r="AM64" s="34" t="str">
        <f t="shared" si="36"/>
        <v/>
      </c>
      <c r="AN64" s="31"/>
      <c r="AO64" s="34" t="str">
        <f t="shared" si="37"/>
        <v/>
      </c>
      <c r="AP64" s="31"/>
      <c r="AQ64" s="34" t="str">
        <f t="shared" si="38"/>
        <v/>
      </c>
      <c r="AR64" s="31"/>
      <c r="AS64" s="34" t="str">
        <f t="shared" si="39"/>
        <v/>
      </c>
      <c r="AT64" s="31"/>
      <c r="AU64" s="34" t="str">
        <f t="shared" si="40"/>
        <v/>
      </c>
      <c r="AV64" s="31"/>
      <c r="AW64" s="34" t="str">
        <f t="shared" si="41"/>
        <v/>
      </c>
      <c r="AX64" s="56">
        <v>31</v>
      </c>
      <c r="AY64" s="34">
        <f t="shared" si="26"/>
        <v>44.285714285714285</v>
      </c>
      <c r="AZ64" s="56">
        <v>1</v>
      </c>
      <c r="BA64" s="34">
        <f t="shared" si="27"/>
        <v>1.4285714285714286</v>
      </c>
      <c r="BB64" s="21" t="s">
        <v>409</v>
      </c>
    </row>
    <row r="65" spans="1:54" ht="20" customHeight="1" x14ac:dyDescent="0.2">
      <c r="A65" s="753"/>
      <c r="B65" s="721"/>
      <c r="C65" s="722"/>
      <c r="D65" s="727" t="s">
        <v>30</v>
      </c>
      <c r="E65" s="728" t="s">
        <v>67</v>
      </c>
      <c r="F65" s="728" t="s">
        <v>68</v>
      </c>
      <c r="G65" s="727">
        <v>2011</v>
      </c>
      <c r="H65" s="729">
        <v>54</v>
      </c>
      <c r="I65" s="65"/>
      <c r="J65" s="61"/>
      <c r="K65" s="62"/>
      <c r="L65" s="31"/>
      <c r="M65" s="34" t="str">
        <f t="shared" si="21"/>
        <v/>
      </c>
      <c r="N65" s="31"/>
      <c r="O65" s="34" t="str">
        <f t="shared" si="28"/>
        <v/>
      </c>
      <c r="P65" s="31"/>
      <c r="Q65" s="34" t="str">
        <f t="shared" si="22"/>
        <v/>
      </c>
      <c r="R65" s="31"/>
      <c r="S65" s="34" t="str">
        <f t="shared" si="23"/>
        <v/>
      </c>
      <c r="T65" s="31"/>
      <c r="U65" s="34" t="str">
        <f t="shared" si="29"/>
        <v/>
      </c>
      <c r="V65" s="31"/>
      <c r="W65" s="34" t="str">
        <f t="shared" si="24"/>
        <v/>
      </c>
      <c r="X65" s="31"/>
      <c r="Y65" s="34" t="str">
        <f t="shared" si="30"/>
        <v/>
      </c>
      <c r="Z65" s="31"/>
      <c r="AA65" s="34" t="str">
        <f t="shared" si="25"/>
        <v/>
      </c>
      <c r="AB65" s="31"/>
      <c r="AC65" s="34" t="str">
        <f t="shared" si="31"/>
        <v/>
      </c>
      <c r="AD65" s="31"/>
      <c r="AE65" s="34" t="str">
        <f t="shared" si="32"/>
        <v/>
      </c>
      <c r="AF65" s="31"/>
      <c r="AG65" s="34" t="str">
        <f t="shared" si="33"/>
        <v/>
      </c>
      <c r="AH65" s="31"/>
      <c r="AI65" s="34" t="str">
        <f t="shared" si="34"/>
        <v/>
      </c>
      <c r="AJ65" s="31"/>
      <c r="AK65" s="34" t="str">
        <f t="shared" si="35"/>
        <v/>
      </c>
      <c r="AL65" s="31"/>
      <c r="AM65" s="34" t="str">
        <f t="shared" si="36"/>
        <v/>
      </c>
      <c r="AN65" s="31"/>
      <c r="AO65" s="34" t="str">
        <f t="shared" si="37"/>
        <v/>
      </c>
      <c r="AP65" s="31"/>
      <c r="AQ65" s="34" t="str">
        <f t="shared" si="38"/>
        <v/>
      </c>
      <c r="AR65" s="31"/>
      <c r="AS65" s="34" t="str">
        <f t="shared" si="39"/>
        <v/>
      </c>
      <c r="AT65" s="31"/>
      <c r="AU65" s="34" t="str">
        <f t="shared" si="40"/>
        <v/>
      </c>
      <c r="AV65" s="31"/>
      <c r="AW65" s="34" t="str">
        <f t="shared" si="41"/>
        <v/>
      </c>
      <c r="AX65" s="28"/>
      <c r="AY65" s="34" t="str">
        <f t="shared" si="26"/>
        <v/>
      </c>
      <c r="AZ65" s="44"/>
      <c r="BA65" s="34" t="str">
        <f t="shared" si="27"/>
        <v/>
      </c>
      <c r="BB65" s="21" t="s">
        <v>379</v>
      </c>
    </row>
    <row r="66" spans="1:54" ht="20" customHeight="1" x14ac:dyDescent="0.2">
      <c r="A66" s="753"/>
      <c r="B66" s="725"/>
      <c r="C66" s="258"/>
      <c r="D66" s="722" t="s">
        <v>85</v>
      </c>
      <c r="E66" s="723" t="s">
        <v>69</v>
      </c>
      <c r="F66" s="723" t="s">
        <v>70</v>
      </c>
      <c r="G66" s="722">
        <v>2004</v>
      </c>
      <c r="H66" s="287">
        <v>61</v>
      </c>
      <c r="I66" s="65">
        <v>15</v>
      </c>
      <c r="J66" s="61" t="s">
        <v>183</v>
      </c>
      <c r="K66" s="62" t="s">
        <v>191</v>
      </c>
      <c r="L66" s="31"/>
      <c r="M66" s="34" t="str">
        <f t="shared" si="21"/>
        <v/>
      </c>
      <c r="N66" s="31"/>
      <c r="O66" s="34" t="str">
        <f t="shared" si="28"/>
        <v/>
      </c>
      <c r="P66" s="31"/>
      <c r="Q66" s="34" t="str">
        <f t="shared" si="22"/>
        <v/>
      </c>
      <c r="R66" s="31"/>
      <c r="S66" s="34" t="str">
        <f t="shared" si="23"/>
        <v/>
      </c>
      <c r="T66" s="31"/>
      <c r="U66" s="34" t="str">
        <f t="shared" si="29"/>
        <v/>
      </c>
      <c r="V66" s="31"/>
      <c r="W66" s="34" t="str">
        <f t="shared" si="24"/>
        <v/>
      </c>
      <c r="X66" s="31"/>
      <c r="Y66" s="34" t="str">
        <f t="shared" si="30"/>
        <v/>
      </c>
      <c r="Z66" s="31"/>
      <c r="AA66" s="34" t="str">
        <f t="shared" si="25"/>
        <v/>
      </c>
      <c r="AB66" s="31"/>
      <c r="AC66" s="34" t="str">
        <f t="shared" si="31"/>
        <v/>
      </c>
      <c r="AD66" s="31"/>
      <c r="AE66" s="34" t="str">
        <f t="shared" si="32"/>
        <v/>
      </c>
      <c r="AF66" s="31"/>
      <c r="AG66" s="34" t="str">
        <f t="shared" si="33"/>
        <v/>
      </c>
      <c r="AH66" s="31"/>
      <c r="AI66" s="34" t="str">
        <f t="shared" si="34"/>
        <v/>
      </c>
      <c r="AJ66" s="31"/>
      <c r="AK66" s="34" t="str">
        <f t="shared" si="35"/>
        <v/>
      </c>
      <c r="AL66" s="31"/>
      <c r="AM66" s="34" t="str">
        <f t="shared" si="36"/>
        <v/>
      </c>
      <c r="AN66" s="31"/>
      <c r="AO66" s="34" t="str">
        <f t="shared" si="37"/>
        <v/>
      </c>
      <c r="AP66" s="31"/>
      <c r="AQ66" s="34" t="str">
        <f t="shared" si="38"/>
        <v/>
      </c>
      <c r="AR66" s="31"/>
      <c r="AS66" s="34" t="str">
        <f t="shared" si="39"/>
        <v/>
      </c>
      <c r="AT66" s="31"/>
      <c r="AU66" s="34" t="str">
        <f t="shared" si="40"/>
        <v/>
      </c>
      <c r="AV66" s="31"/>
      <c r="AW66" s="34" t="str">
        <f t="shared" si="41"/>
        <v/>
      </c>
      <c r="AX66" s="28">
        <v>13</v>
      </c>
      <c r="AY66" s="34">
        <f t="shared" si="26"/>
        <v>86.666666666666671</v>
      </c>
      <c r="AZ66" s="44"/>
      <c r="BA66" s="34" t="str">
        <f t="shared" si="27"/>
        <v/>
      </c>
      <c r="BB66" s="21" t="s">
        <v>410</v>
      </c>
    </row>
    <row r="67" spans="1:54" ht="20" customHeight="1" x14ac:dyDescent="0.2">
      <c r="A67" s="753"/>
      <c r="B67" s="725"/>
      <c r="C67" s="253"/>
      <c r="D67" s="727" t="s">
        <v>85</v>
      </c>
      <c r="E67" s="728" t="s">
        <v>71</v>
      </c>
      <c r="F67" s="728" t="s">
        <v>70</v>
      </c>
      <c r="G67" s="727">
        <v>2004</v>
      </c>
      <c r="H67" s="729">
        <v>45</v>
      </c>
      <c r="I67" s="65">
        <v>15</v>
      </c>
      <c r="J67" s="61" t="s">
        <v>183</v>
      </c>
      <c r="K67" s="62" t="s">
        <v>191</v>
      </c>
      <c r="L67" s="31"/>
      <c r="M67" s="34" t="str">
        <f t="shared" si="21"/>
        <v/>
      </c>
      <c r="N67" s="31"/>
      <c r="O67" s="34" t="str">
        <f t="shared" si="28"/>
        <v/>
      </c>
      <c r="P67" s="31"/>
      <c r="Q67" s="34" t="str">
        <f t="shared" si="22"/>
        <v/>
      </c>
      <c r="R67" s="31"/>
      <c r="S67" s="34" t="str">
        <f t="shared" si="23"/>
        <v/>
      </c>
      <c r="T67" s="31"/>
      <c r="U67" s="34" t="str">
        <f t="shared" si="29"/>
        <v/>
      </c>
      <c r="V67" s="31"/>
      <c r="W67" s="34" t="str">
        <f t="shared" si="24"/>
        <v/>
      </c>
      <c r="X67" s="31"/>
      <c r="Y67" s="34" t="str">
        <f t="shared" si="30"/>
        <v/>
      </c>
      <c r="Z67" s="31"/>
      <c r="AA67" s="34" t="str">
        <f t="shared" si="25"/>
        <v/>
      </c>
      <c r="AB67" s="31"/>
      <c r="AC67" s="34" t="str">
        <f t="shared" si="31"/>
        <v/>
      </c>
      <c r="AD67" s="31"/>
      <c r="AE67" s="34" t="str">
        <f t="shared" si="32"/>
        <v/>
      </c>
      <c r="AF67" s="31"/>
      <c r="AG67" s="34" t="str">
        <f t="shared" si="33"/>
        <v/>
      </c>
      <c r="AH67" s="31"/>
      <c r="AI67" s="34" t="str">
        <f t="shared" si="34"/>
        <v/>
      </c>
      <c r="AJ67" s="31"/>
      <c r="AK67" s="34" t="str">
        <f t="shared" si="35"/>
        <v/>
      </c>
      <c r="AL67" s="31"/>
      <c r="AM67" s="34" t="str">
        <f t="shared" si="36"/>
        <v/>
      </c>
      <c r="AN67" s="31"/>
      <c r="AO67" s="34" t="str">
        <f t="shared" si="37"/>
        <v/>
      </c>
      <c r="AP67" s="31"/>
      <c r="AQ67" s="34" t="str">
        <f t="shared" si="38"/>
        <v/>
      </c>
      <c r="AR67" s="31"/>
      <c r="AS67" s="34" t="str">
        <f t="shared" si="39"/>
        <v/>
      </c>
      <c r="AT67" s="31"/>
      <c r="AU67" s="34" t="str">
        <f t="shared" si="40"/>
        <v/>
      </c>
      <c r="AV67" s="31"/>
      <c r="AW67" s="34" t="str">
        <f t="shared" si="41"/>
        <v/>
      </c>
      <c r="AX67" s="56"/>
      <c r="AY67" s="34" t="str">
        <f t="shared" si="26"/>
        <v/>
      </c>
      <c r="AZ67" s="56"/>
      <c r="BA67" s="34" t="str">
        <f t="shared" si="27"/>
        <v/>
      </c>
      <c r="BB67" s="21" t="s">
        <v>411</v>
      </c>
    </row>
    <row r="68" spans="1:54" ht="20" customHeight="1" x14ac:dyDescent="0.2">
      <c r="A68" s="753"/>
      <c r="B68" s="725"/>
      <c r="C68" s="255"/>
      <c r="D68" s="722"/>
      <c r="E68" s="723" t="s">
        <v>276</v>
      </c>
      <c r="F68" s="723" t="s">
        <v>279</v>
      </c>
      <c r="G68" s="722">
        <v>2008</v>
      </c>
      <c r="H68" s="287"/>
      <c r="I68" s="65"/>
      <c r="J68" s="61"/>
      <c r="K68" s="62" t="s">
        <v>348</v>
      </c>
      <c r="L68" s="31"/>
      <c r="M68" s="34" t="str">
        <f t="shared" si="21"/>
        <v/>
      </c>
      <c r="N68" s="31"/>
      <c r="O68" s="34" t="str">
        <f t="shared" si="28"/>
        <v/>
      </c>
      <c r="P68" s="31"/>
      <c r="Q68" s="34" t="str">
        <f t="shared" si="22"/>
        <v/>
      </c>
      <c r="R68" s="31"/>
      <c r="S68" s="34" t="str">
        <f t="shared" si="23"/>
        <v/>
      </c>
      <c r="T68" s="31"/>
      <c r="U68" s="34" t="str">
        <f t="shared" si="29"/>
        <v/>
      </c>
      <c r="V68" s="31">
        <v>2</v>
      </c>
      <c r="W68" s="34" t="str">
        <f t="shared" si="24"/>
        <v/>
      </c>
      <c r="X68" s="31"/>
      <c r="Y68" s="34" t="str">
        <f t="shared" si="30"/>
        <v/>
      </c>
      <c r="Z68" s="31"/>
      <c r="AA68" s="34" t="str">
        <f t="shared" si="25"/>
        <v/>
      </c>
      <c r="AB68" s="31"/>
      <c r="AC68" s="34" t="str">
        <f t="shared" si="31"/>
        <v/>
      </c>
      <c r="AD68" s="31"/>
      <c r="AE68" s="34" t="str">
        <f t="shared" si="32"/>
        <v/>
      </c>
      <c r="AF68" s="31"/>
      <c r="AG68" s="34" t="str">
        <f t="shared" si="33"/>
        <v/>
      </c>
      <c r="AH68" s="31"/>
      <c r="AI68" s="34" t="str">
        <f t="shared" si="34"/>
        <v/>
      </c>
      <c r="AJ68" s="31"/>
      <c r="AK68" s="34" t="str">
        <f t="shared" si="35"/>
        <v/>
      </c>
      <c r="AL68" s="31"/>
      <c r="AM68" s="34" t="str">
        <f t="shared" si="36"/>
        <v/>
      </c>
      <c r="AN68" s="31"/>
      <c r="AO68" s="34" t="str">
        <f t="shared" si="37"/>
        <v/>
      </c>
      <c r="AP68" s="31"/>
      <c r="AQ68" s="34" t="str">
        <f t="shared" si="38"/>
        <v/>
      </c>
      <c r="AR68" s="31"/>
      <c r="AS68" s="34" t="str">
        <f t="shared" si="39"/>
        <v/>
      </c>
      <c r="AT68" s="31"/>
      <c r="AU68" s="34" t="str">
        <f t="shared" si="40"/>
        <v/>
      </c>
      <c r="AV68" s="31"/>
      <c r="AW68" s="34" t="str">
        <f t="shared" si="41"/>
        <v/>
      </c>
      <c r="AX68" s="56"/>
      <c r="AY68" s="34" t="str">
        <f t="shared" si="26"/>
        <v/>
      </c>
      <c r="AZ68" s="56"/>
      <c r="BA68" s="34" t="str">
        <f t="shared" si="27"/>
        <v/>
      </c>
    </row>
    <row r="69" spans="1:54" ht="20" customHeight="1" x14ac:dyDescent="0.2">
      <c r="A69" s="753"/>
      <c r="B69" s="725"/>
      <c r="C69" s="253"/>
      <c r="D69" s="722" t="s">
        <v>85</v>
      </c>
      <c r="E69" s="723" t="s">
        <v>277</v>
      </c>
      <c r="F69" s="723" t="s">
        <v>278</v>
      </c>
      <c r="G69" s="722">
        <v>2013</v>
      </c>
      <c r="H69" s="287"/>
      <c r="I69" s="65">
        <v>23</v>
      </c>
      <c r="J69" s="61"/>
      <c r="K69" s="62"/>
      <c r="L69" s="31"/>
      <c r="M69" s="34" t="str">
        <f t="shared" si="21"/>
        <v/>
      </c>
      <c r="N69" s="31"/>
      <c r="O69" s="34" t="str">
        <f t="shared" si="28"/>
        <v/>
      </c>
      <c r="P69" s="31"/>
      <c r="Q69" s="34" t="str">
        <f t="shared" si="22"/>
        <v/>
      </c>
      <c r="R69" s="31"/>
      <c r="S69" s="34" t="str">
        <f t="shared" si="23"/>
        <v/>
      </c>
      <c r="T69" s="31"/>
      <c r="U69" s="34" t="str">
        <f t="shared" si="29"/>
        <v/>
      </c>
      <c r="V69" s="31"/>
      <c r="W69" s="34" t="str">
        <f t="shared" si="24"/>
        <v/>
      </c>
      <c r="X69" s="31"/>
      <c r="Y69" s="34" t="str">
        <f t="shared" si="30"/>
        <v/>
      </c>
      <c r="Z69" s="31"/>
      <c r="AA69" s="34" t="str">
        <f t="shared" si="25"/>
        <v/>
      </c>
      <c r="AB69" s="31"/>
      <c r="AC69" s="34" t="str">
        <f t="shared" si="31"/>
        <v/>
      </c>
      <c r="AD69" s="31"/>
      <c r="AE69" s="34" t="str">
        <f t="shared" si="32"/>
        <v/>
      </c>
      <c r="AF69" s="31"/>
      <c r="AG69" s="34" t="str">
        <f t="shared" si="33"/>
        <v/>
      </c>
      <c r="AH69" s="31"/>
      <c r="AI69" s="34" t="str">
        <f t="shared" si="34"/>
        <v/>
      </c>
      <c r="AJ69" s="31"/>
      <c r="AK69" s="34" t="str">
        <f t="shared" si="35"/>
        <v/>
      </c>
      <c r="AL69" s="31"/>
      <c r="AM69" s="34" t="str">
        <f t="shared" si="36"/>
        <v/>
      </c>
      <c r="AN69" s="31"/>
      <c r="AO69" s="34" t="str">
        <f t="shared" si="37"/>
        <v/>
      </c>
      <c r="AP69" s="31"/>
      <c r="AQ69" s="34" t="str">
        <f t="shared" si="38"/>
        <v/>
      </c>
      <c r="AR69" s="31"/>
      <c r="AS69" s="34" t="str">
        <f t="shared" si="39"/>
        <v/>
      </c>
      <c r="AT69" s="31"/>
      <c r="AU69" s="34" t="str">
        <f t="shared" si="40"/>
        <v/>
      </c>
      <c r="AV69" s="31"/>
      <c r="AW69" s="34" t="str">
        <f t="shared" si="41"/>
        <v/>
      </c>
      <c r="AX69" s="29"/>
      <c r="AY69" s="34" t="str">
        <f t="shared" si="26"/>
        <v/>
      </c>
      <c r="AZ69" s="44"/>
      <c r="BA69" s="34" t="str">
        <f t="shared" si="27"/>
        <v/>
      </c>
      <c r="BB69" s="21" t="s">
        <v>412</v>
      </c>
    </row>
    <row r="70" spans="1:54" ht="20" customHeight="1" x14ac:dyDescent="0.2">
      <c r="A70" s="756"/>
      <c r="B70" s="721"/>
      <c r="C70" s="253"/>
      <c r="D70" s="722" t="s">
        <v>85</v>
      </c>
      <c r="E70" s="723" t="s">
        <v>639</v>
      </c>
      <c r="F70" s="723" t="s">
        <v>640</v>
      </c>
      <c r="G70" s="722">
        <v>2005</v>
      </c>
      <c r="H70" s="287"/>
      <c r="I70" s="65">
        <v>8</v>
      </c>
      <c r="J70" s="61" t="s">
        <v>641</v>
      </c>
      <c r="K70" s="62"/>
      <c r="L70" s="31"/>
      <c r="M70" s="34"/>
      <c r="N70" s="31"/>
      <c r="O70" s="34"/>
      <c r="P70" s="31"/>
      <c r="Q70" s="34"/>
      <c r="R70" s="31"/>
      <c r="S70" s="34"/>
      <c r="T70" s="31"/>
      <c r="U70" s="34"/>
      <c r="V70" s="31"/>
      <c r="W70" s="34"/>
      <c r="X70" s="31"/>
      <c r="Y70" s="34"/>
      <c r="Z70" s="31"/>
      <c r="AA70" s="34"/>
      <c r="AB70" s="31"/>
      <c r="AC70" s="34"/>
      <c r="AD70" s="31"/>
      <c r="AE70" s="34"/>
      <c r="AF70" s="31"/>
      <c r="AG70" s="34"/>
      <c r="AH70" s="31"/>
      <c r="AI70" s="34"/>
      <c r="AJ70" s="31"/>
      <c r="AK70" s="34"/>
      <c r="AL70" s="31"/>
      <c r="AM70" s="34"/>
      <c r="AN70" s="31"/>
      <c r="AO70" s="34"/>
      <c r="AP70" s="31"/>
      <c r="AQ70" s="34"/>
      <c r="AR70" s="31"/>
      <c r="AS70" s="34"/>
      <c r="AT70" s="31"/>
      <c r="AU70" s="34"/>
      <c r="AV70" s="31"/>
      <c r="AW70" s="34"/>
      <c r="AX70" s="56"/>
      <c r="AY70" s="34"/>
      <c r="AZ70" s="56"/>
      <c r="BA70" s="34"/>
    </row>
    <row r="71" spans="1:54" ht="20" customHeight="1" x14ac:dyDescent="0.2">
      <c r="A71" s="753"/>
      <c r="B71" s="721"/>
      <c r="C71" s="722"/>
      <c r="D71" s="727" t="s">
        <v>85</v>
      </c>
      <c r="E71" s="728" t="s">
        <v>349</v>
      </c>
      <c r="F71" s="728" t="s">
        <v>72</v>
      </c>
      <c r="G71" s="727">
        <v>2014</v>
      </c>
      <c r="H71" s="729">
        <v>23</v>
      </c>
      <c r="I71" s="65">
        <v>28</v>
      </c>
      <c r="J71" s="61" t="s">
        <v>184</v>
      </c>
      <c r="K71" s="62" t="s">
        <v>192</v>
      </c>
      <c r="L71" s="31"/>
      <c r="M71" s="34" t="str">
        <f t="shared" si="21"/>
        <v/>
      </c>
      <c r="N71" s="31"/>
      <c r="O71" s="34" t="str">
        <f t="shared" si="28"/>
        <v/>
      </c>
      <c r="P71" s="31"/>
      <c r="Q71" s="34" t="str">
        <f t="shared" si="22"/>
        <v/>
      </c>
      <c r="R71" s="31"/>
      <c r="S71" s="34" t="str">
        <f t="shared" si="23"/>
        <v/>
      </c>
      <c r="T71" s="31"/>
      <c r="U71" s="34" t="str">
        <f t="shared" si="29"/>
        <v/>
      </c>
      <c r="V71" s="31"/>
      <c r="W71" s="34" t="str">
        <f t="shared" si="24"/>
        <v/>
      </c>
      <c r="X71" s="31"/>
      <c r="Y71" s="34" t="str">
        <f t="shared" si="30"/>
        <v/>
      </c>
      <c r="Z71" s="31"/>
      <c r="AA71" s="34" t="str">
        <f t="shared" si="25"/>
        <v/>
      </c>
      <c r="AB71" s="31"/>
      <c r="AC71" s="34" t="str">
        <f t="shared" si="31"/>
        <v/>
      </c>
      <c r="AD71" s="31"/>
      <c r="AE71" s="34" t="str">
        <f t="shared" si="32"/>
        <v/>
      </c>
      <c r="AF71" s="31"/>
      <c r="AG71" s="34" t="str">
        <f t="shared" si="33"/>
        <v/>
      </c>
      <c r="AH71" s="31"/>
      <c r="AI71" s="34" t="str">
        <f t="shared" si="34"/>
        <v/>
      </c>
      <c r="AJ71" s="31"/>
      <c r="AK71" s="34" t="str">
        <f t="shared" si="35"/>
        <v/>
      </c>
      <c r="AL71" s="31"/>
      <c r="AM71" s="34" t="str">
        <f t="shared" si="36"/>
        <v/>
      </c>
      <c r="AN71" s="31"/>
      <c r="AO71" s="34" t="str">
        <f t="shared" si="37"/>
        <v/>
      </c>
      <c r="AP71" s="31"/>
      <c r="AQ71" s="34" t="str">
        <f t="shared" si="38"/>
        <v/>
      </c>
      <c r="AR71" s="31"/>
      <c r="AS71" s="34" t="str">
        <f t="shared" si="39"/>
        <v/>
      </c>
      <c r="AT71" s="31"/>
      <c r="AU71" s="34" t="str">
        <f t="shared" si="40"/>
        <v/>
      </c>
      <c r="AV71" s="31"/>
      <c r="AW71" s="34" t="str">
        <f t="shared" si="41"/>
        <v/>
      </c>
      <c r="AX71" s="56"/>
      <c r="AY71" s="34" t="str">
        <f t="shared" si="26"/>
        <v/>
      </c>
      <c r="AZ71" s="56"/>
      <c r="BA71" s="34" t="str">
        <f t="shared" si="27"/>
        <v/>
      </c>
      <c r="BB71" s="21" t="s">
        <v>413</v>
      </c>
    </row>
    <row r="72" spans="1:54" ht="20" customHeight="1" x14ac:dyDescent="0.2">
      <c r="A72" s="753"/>
      <c r="B72" s="725"/>
      <c r="C72" s="255"/>
      <c r="D72" s="722" t="s">
        <v>85</v>
      </c>
      <c r="E72" s="723" t="s">
        <v>280</v>
      </c>
      <c r="F72" s="723" t="s">
        <v>281</v>
      </c>
      <c r="G72" s="722">
        <v>2014</v>
      </c>
      <c r="H72" s="287"/>
      <c r="I72" s="65">
        <v>28</v>
      </c>
      <c r="J72" s="61" t="s">
        <v>184</v>
      </c>
      <c r="K72" s="62" t="s">
        <v>192</v>
      </c>
      <c r="L72" s="31">
        <v>3</v>
      </c>
      <c r="M72" s="34">
        <f t="shared" si="21"/>
        <v>10.714285714285714</v>
      </c>
      <c r="N72" s="31"/>
      <c r="O72" s="34" t="str">
        <f t="shared" si="28"/>
        <v/>
      </c>
      <c r="P72" s="31"/>
      <c r="Q72" s="34" t="str">
        <f t="shared" si="22"/>
        <v/>
      </c>
      <c r="R72" s="31">
        <v>4</v>
      </c>
      <c r="S72" s="34">
        <f t="shared" si="23"/>
        <v>14.285714285714285</v>
      </c>
      <c r="T72" s="31"/>
      <c r="U72" s="34" t="str">
        <f t="shared" si="29"/>
        <v/>
      </c>
      <c r="V72" s="31"/>
      <c r="W72" s="34" t="str">
        <f t="shared" si="24"/>
        <v/>
      </c>
      <c r="X72" s="31"/>
      <c r="Y72" s="34" t="str">
        <f t="shared" si="30"/>
        <v/>
      </c>
      <c r="Z72" s="31"/>
      <c r="AA72" s="34" t="str">
        <f t="shared" si="25"/>
        <v/>
      </c>
      <c r="AB72" s="31"/>
      <c r="AC72" s="34" t="str">
        <f t="shared" si="31"/>
        <v/>
      </c>
      <c r="AD72" s="31"/>
      <c r="AE72" s="34" t="str">
        <f t="shared" si="32"/>
        <v/>
      </c>
      <c r="AF72" s="31"/>
      <c r="AG72" s="34" t="str">
        <f t="shared" si="33"/>
        <v/>
      </c>
      <c r="AH72" s="31"/>
      <c r="AI72" s="34" t="str">
        <f t="shared" si="34"/>
        <v/>
      </c>
      <c r="AJ72" s="31"/>
      <c r="AK72" s="34" t="str">
        <f t="shared" si="35"/>
        <v/>
      </c>
      <c r="AL72" s="31"/>
      <c r="AM72" s="34" t="str">
        <f t="shared" si="36"/>
        <v/>
      </c>
      <c r="AN72" s="31"/>
      <c r="AO72" s="34" t="str">
        <f t="shared" si="37"/>
        <v/>
      </c>
      <c r="AP72" s="31"/>
      <c r="AQ72" s="34" t="str">
        <f t="shared" si="38"/>
        <v/>
      </c>
      <c r="AR72" s="31"/>
      <c r="AS72" s="34" t="str">
        <f t="shared" si="39"/>
        <v/>
      </c>
      <c r="AT72" s="31"/>
      <c r="AU72" s="34" t="str">
        <f t="shared" si="40"/>
        <v/>
      </c>
      <c r="AV72" s="31"/>
      <c r="AW72" s="34" t="str">
        <f t="shared" si="41"/>
        <v/>
      </c>
      <c r="AX72" s="56">
        <v>3</v>
      </c>
      <c r="AY72" s="34">
        <f t="shared" si="26"/>
        <v>10.714285714285714</v>
      </c>
      <c r="AZ72" s="56">
        <v>5</v>
      </c>
      <c r="BA72" s="34">
        <f t="shared" si="27"/>
        <v>17.857142857142858</v>
      </c>
      <c r="BB72" s="21" t="s">
        <v>350</v>
      </c>
    </row>
    <row r="73" spans="1:54" ht="20" customHeight="1" x14ac:dyDescent="0.2">
      <c r="A73" s="753"/>
      <c r="B73" s="725"/>
      <c r="C73" s="722"/>
      <c r="D73" s="727" t="s">
        <v>35</v>
      </c>
      <c r="E73" s="728" t="s">
        <v>73</v>
      </c>
      <c r="F73" s="728" t="s">
        <v>74</v>
      </c>
      <c r="G73" s="727">
        <v>2015</v>
      </c>
      <c r="H73" s="729">
        <v>6</v>
      </c>
      <c r="I73" s="65"/>
      <c r="J73" s="61"/>
      <c r="K73" s="62"/>
      <c r="L73" s="31"/>
      <c r="M73" s="34" t="str">
        <f t="shared" si="21"/>
        <v/>
      </c>
      <c r="N73" s="31"/>
      <c r="O73" s="34" t="str">
        <f t="shared" si="28"/>
        <v/>
      </c>
      <c r="P73" s="31"/>
      <c r="Q73" s="34" t="str">
        <f t="shared" si="22"/>
        <v/>
      </c>
      <c r="R73" s="31"/>
      <c r="S73" s="34" t="str">
        <f t="shared" si="23"/>
        <v/>
      </c>
      <c r="T73" s="31"/>
      <c r="U73" s="34" t="str">
        <f t="shared" si="29"/>
        <v/>
      </c>
      <c r="V73" s="31"/>
      <c r="W73" s="34" t="str">
        <f t="shared" si="24"/>
        <v/>
      </c>
      <c r="X73" s="31"/>
      <c r="Y73" s="34" t="str">
        <f t="shared" si="30"/>
        <v/>
      </c>
      <c r="Z73" s="31"/>
      <c r="AA73" s="34" t="str">
        <f t="shared" si="25"/>
        <v/>
      </c>
      <c r="AB73" s="31"/>
      <c r="AC73" s="34" t="str">
        <f t="shared" si="31"/>
        <v/>
      </c>
      <c r="AD73" s="31"/>
      <c r="AE73" s="34" t="str">
        <f t="shared" si="32"/>
        <v/>
      </c>
      <c r="AF73" s="31"/>
      <c r="AG73" s="34" t="str">
        <f t="shared" si="33"/>
        <v/>
      </c>
      <c r="AH73" s="31"/>
      <c r="AI73" s="34" t="str">
        <f t="shared" si="34"/>
        <v/>
      </c>
      <c r="AJ73" s="31"/>
      <c r="AK73" s="34" t="str">
        <f t="shared" si="35"/>
        <v/>
      </c>
      <c r="AL73" s="31"/>
      <c r="AM73" s="34" t="str">
        <f t="shared" si="36"/>
        <v/>
      </c>
      <c r="AN73" s="31"/>
      <c r="AO73" s="34" t="str">
        <f t="shared" si="37"/>
        <v/>
      </c>
      <c r="AP73" s="31"/>
      <c r="AQ73" s="34" t="str">
        <f t="shared" si="38"/>
        <v/>
      </c>
      <c r="AR73" s="31"/>
      <c r="AS73" s="34" t="str">
        <f t="shared" si="39"/>
        <v/>
      </c>
      <c r="AT73" s="31"/>
      <c r="AU73" s="34" t="str">
        <f t="shared" si="40"/>
        <v/>
      </c>
      <c r="AV73" s="31"/>
      <c r="AW73" s="34" t="str">
        <f t="shared" si="41"/>
        <v/>
      </c>
      <c r="AX73" s="56"/>
      <c r="AY73" s="34" t="str">
        <f t="shared" si="26"/>
        <v/>
      </c>
      <c r="AZ73" s="56"/>
      <c r="BA73" s="34" t="str">
        <f t="shared" si="27"/>
        <v/>
      </c>
    </row>
    <row r="74" spans="1:54" ht="20" customHeight="1" x14ac:dyDescent="0.2">
      <c r="A74" s="753"/>
      <c r="B74" s="725"/>
      <c r="C74" s="722"/>
      <c r="D74" s="727" t="s">
        <v>30</v>
      </c>
      <c r="E74" s="728" t="s">
        <v>75</v>
      </c>
      <c r="F74" s="728" t="s">
        <v>76</v>
      </c>
      <c r="G74" s="727">
        <v>2002</v>
      </c>
      <c r="H74" s="729">
        <v>434</v>
      </c>
      <c r="I74" s="65"/>
      <c r="J74" s="61" t="s">
        <v>185</v>
      </c>
      <c r="K74" s="62"/>
      <c r="L74" s="31"/>
      <c r="M74" s="34" t="str">
        <f t="shared" si="21"/>
        <v/>
      </c>
      <c r="N74" s="31"/>
      <c r="O74" s="34" t="str">
        <f t="shared" si="28"/>
        <v/>
      </c>
      <c r="P74" s="31"/>
      <c r="Q74" s="34" t="str">
        <f t="shared" si="22"/>
        <v/>
      </c>
      <c r="R74" s="31"/>
      <c r="S74" s="34" t="str">
        <f t="shared" si="23"/>
        <v/>
      </c>
      <c r="T74" s="31"/>
      <c r="U74" s="34" t="str">
        <f t="shared" si="29"/>
        <v/>
      </c>
      <c r="V74" s="36"/>
      <c r="W74" s="37" t="str">
        <f t="shared" si="24"/>
        <v/>
      </c>
      <c r="X74" s="31"/>
      <c r="Y74" s="34" t="str">
        <f t="shared" si="30"/>
        <v/>
      </c>
      <c r="Z74" s="31"/>
      <c r="AA74" s="34" t="str">
        <f t="shared" si="25"/>
        <v/>
      </c>
      <c r="AB74" s="31"/>
      <c r="AC74" s="34" t="str">
        <f t="shared" si="31"/>
        <v/>
      </c>
      <c r="AD74" s="31"/>
      <c r="AE74" s="34" t="str">
        <f t="shared" si="32"/>
        <v/>
      </c>
      <c r="AF74" s="31"/>
      <c r="AG74" s="34" t="str">
        <f t="shared" si="33"/>
        <v/>
      </c>
      <c r="AH74" s="31"/>
      <c r="AI74" s="34" t="str">
        <f t="shared" si="34"/>
        <v/>
      </c>
      <c r="AJ74" s="31"/>
      <c r="AK74" s="34" t="str">
        <f t="shared" si="35"/>
        <v/>
      </c>
      <c r="AL74" s="31"/>
      <c r="AM74" s="34" t="str">
        <f t="shared" si="36"/>
        <v/>
      </c>
      <c r="AN74" s="31"/>
      <c r="AO74" s="34" t="str">
        <f t="shared" si="37"/>
        <v/>
      </c>
      <c r="AP74" s="31"/>
      <c r="AQ74" s="34" t="str">
        <f t="shared" si="38"/>
        <v/>
      </c>
      <c r="AR74" s="31"/>
      <c r="AS74" s="34" t="str">
        <f t="shared" si="39"/>
        <v/>
      </c>
      <c r="AT74" s="31"/>
      <c r="AU74" s="34" t="str">
        <f t="shared" si="40"/>
        <v/>
      </c>
      <c r="AV74" s="31"/>
      <c r="AW74" s="34" t="str">
        <f t="shared" si="41"/>
        <v/>
      </c>
      <c r="AX74" s="28"/>
      <c r="AY74" s="34" t="str">
        <f t="shared" si="26"/>
        <v/>
      </c>
      <c r="AZ74" s="44"/>
      <c r="BA74" s="34" t="str">
        <f t="shared" si="27"/>
        <v/>
      </c>
      <c r="BB74" s="21" t="s">
        <v>186</v>
      </c>
    </row>
    <row r="75" spans="1:54" ht="20" customHeight="1" x14ac:dyDescent="0.2">
      <c r="A75" s="753"/>
      <c r="B75" s="725"/>
      <c r="C75" s="255"/>
      <c r="D75" s="722" t="s">
        <v>476</v>
      </c>
      <c r="E75" s="723" t="s">
        <v>77</v>
      </c>
      <c r="F75" s="723" t="s">
        <v>78</v>
      </c>
      <c r="G75" s="722">
        <v>2009</v>
      </c>
      <c r="H75" s="287">
        <v>134</v>
      </c>
      <c r="I75" s="65">
        <v>94</v>
      </c>
      <c r="J75" s="61" t="s">
        <v>474</v>
      </c>
      <c r="K75" s="62" t="s">
        <v>475</v>
      </c>
      <c r="L75" s="31">
        <v>2</v>
      </c>
      <c r="M75" s="34">
        <f t="shared" si="21"/>
        <v>2.1276595744680851</v>
      </c>
      <c r="N75" s="31"/>
      <c r="O75" s="34" t="str">
        <f t="shared" si="28"/>
        <v/>
      </c>
      <c r="P75" s="31">
        <v>2</v>
      </c>
      <c r="Q75" s="34">
        <f t="shared" si="22"/>
        <v>2.1276595744680851</v>
      </c>
      <c r="R75" s="31">
        <v>4</v>
      </c>
      <c r="S75" s="34">
        <f t="shared" si="23"/>
        <v>4.2553191489361701</v>
      </c>
      <c r="T75" s="31"/>
      <c r="U75" s="34" t="str">
        <f t="shared" si="29"/>
        <v/>
      </c>
      <c r="V75" s="31">
        <v>2</v>
      </c>
      <c r="W75" s="34">
        <f t="shared" si="24"/>
        <v>2.1276595744680851</v>
      </c>
      <c r="X75" s="31">
        <v>3</v>
      </c>
      <c r="Y75" s="34">
        <f t="shared" si="30"/>
        <v>3.1914893617021276</v>
      </c>
      <c r="Z75" s="31">
        <v>1</v>
      </c>
      <c r="AA75" s="34">
        <f t="shared" si="25"/>
        <v>1.0638297872340425</v>
      </c>
      <c r="AB75" s="31"/>
      <c r="AC75" s="34" t="str">
        <f t="shared" si="31"/>
        <v/>
      </c>
      <c r="AD75" s="31">
        <v>2</v>
      </c>
      <c r="AE75" s="34">
        <f t="shared" si="32"/>
        <v>2.1276595744680851</v>
      </c>
      <c r="AF75" s="31"/>
      <c r="AG75" s="34" t="str">
        <f t="shared" si="33"/>
        <v/>
      </c>
      <c r="AH75" s="31"/>
      <c r="AI75" s="34" t="str">
        <f t="shared" si="34"/>
        <v/>
      </c>
      <c r="AJ75" s="31"/>
      <c r="AK75" s="34" t="str">
        <f t="shared" si="35"/>
        <v/>
      </c>
      <c r="AL75" s="31">
        <v>3</v>
      </c>
      <c r="AM75" s="34">
        <f t="shared" si="36"/>
        <v>3.1914893617021276</v>
      </c>
      <c r="AN75" s="31"/>
      <c r="AO75" s="34" t="str">
        <f t="shared" si="37"/>
        <v/>
      </c>
      <c r="AP75" s="31"/>
      <c r="AQ75" s="34" t="str">
        <f t="shared" si="38"/>
        <v/>
      </c>
      <c r="AR75" s="31"/>
      <c r="AS75" s="34" t="str">
        <f t="shared" si="39"/>
        <v/>
      </c>
      <c r="AT75" s="31"/>
      <c r="AU75" s="34" t="str">
        <f t="shared" si="40"/>
        <v/>
      </c>
      <c r="AV75" s="31"/>
      <c r="AW75" s="34" t="str">
        <f t="shared" si="41"/>
        <v/>
      </c>
      <c r="AX75" s="28">
        <v>8</v>
      </c>
      <c r="AY75" s="34">
        <f t="shared" si="26"/>
        <v>8.5106382978723403</v>
      </c>
      <c r="AZ75" s="44"/>
      <c r="BA75" s="34" t="str">
        <f t="shared" si="27"/>
        <v/>
      </c>
      <c r="BB75" s="21" t="s">
        <v>477</v>
      </c>
    </row>
    <row r="76" spans="1:54" ht="20" customHeight="1" x14ac:dyDescent="0.2">
      <c r="A76" s="753"/>
      <c r="B76" s="725"/>
      <c r="C76" s="253"/>
      <c r="D76" s="722" t="s">
        <v>85</v>
      </c>
      <c r="E76" s="723" t="s">
        <v>282</v>
      </c>
      <c r="F76" s="723" t="s">
        <v>283</v>
      </c>
      <c r="G76" s="722">
        <v>2015</v>
      </c>
      <c r="H76" s="287"/>
      <c r="I76" s="65">
        <v>10</v>
      </c>
      <c r="J76" s="61" t="s">
        <v>340</v>
      </c>
      <c r="K76" s="62" t="s">
        <v>351</v>
      </c>
      <c r="L76" s="31"/>
      <c r="M76" s="34" t="str">
        <f t="shared" si="21"/>
        <v/>
      </c>
      <c r="N76" s="31"/>
      <c r="O76" s="34" t="str">
        <f t="shared" si="28"/>
        <v/>
      </c>
      <c r="P76" s="31"/>
      <c r="Q76" s="34" t="str">
        <f t="shared" si="22"/>
        <v/>
      </c>
      <c r="R76" s="31"/>
      <c r="S76" s="34" t="str">
        <f t="shared" si="23"/>
        <v/>
      </c>
      <c r="T76" s="31"/>
      <c r="U76" s="34" t="str">
        <f t="shared" si="29"/>
        <v/>
      </c>
      <c r="V76" s="31"/>
      <c r="W76" s="34" t="str">
        <f t="shared" si="24"/>
        <v/>
      </c>
      <c r="X76" s="31"/>
      <c r="Y76" s="34" t="str">
        <f t="shared" si="30"/>
        <v/>
      </c>
      <c r="Z76" s="31"/>
      <c r="AA76" s="34" t="str">
        <f t="shared" si="25"/>
        <v/>
      </c>
      <c r="AB76" s="31"/>
      <c r="AC76" s="34" t="str">
        <f t="shared" si="31"/>
        <v/>
      </c>
      <c r="AD76" s="31"/>
      <c r="AE76" s="34" t="str">
        <f t="shared" si="32"/>
        <v/>
      </c>
      <c r="AF76" s="31"/>
      <c r="AG76" s="34" t="str">
        <f t="shared" si="33"/>
        <v/>
      </c>
      <c r="AH76" s="31"/>
      <c r="AI76" s="34" t="str">
        <f t="shared" si="34"/>
        <v/>
      </c>
      <c r="AJ76" s="31"/>
      <c r="AK76" s="34" t="str">
        <f t="shared" si="35"/>
        <v/>
      </c>
      <c r="AL76" s="31"/>
      <c r="AM76" s="34" t="str">
        <f t="shared" si="36"/>
        <v/>
      </c>
      <c r="AN76" s="31"/>
      <c r="AO76" s="34" t="str">
        <f t="shared" si="37"/>
        <v/>
      </c>
      <c r="AP76" s="31"/>
      <c r="AQ76" s="34" t="str">
        <f t="shared" si="38"/>
        <v/>
      </c>
      <c r="AR76" s="31"/>
      <c r="AS76" s="34" t="str">
        <f t="shared" si="39"/>
        <v/>
      </c>
      <c r="AT76" s="31"/>
      <c r="AU76" s="34" t="str">
        <f t="shared" si="40"/>
        <v/>
      </c>
      <c r="AV76" s="31"/>
      <c r="AW76" s="34" t="str">
        <f t="shared" si="41"/>
        <v/>
      </c>
      <c r="AX76" s="56"/>
      <c r="AY76" s="34" t="str">
        <f t="shared" si="26"/>
        <v/>
      </c>
      <c r="AZ76" s="44"/>
      <c r="BA76" s="34" t="str">
        <f t="shared" si="27"/>
        <v/>
      </c>
    </row>
    <row r="77" spans="1:54" ht="20" customHeight="1" x14ac:dyDescent="0.2">
      <c r="A77" s="753"/>
      <c r="B77" s="725"/>
      <c r="C77" s="255"/>
      <c r="D77" s="722" t="s">
        <v>85</v>
      </c>
      <c r="E77" s="723" t="s">
        <v>79</v>
      </c>
      <c r="F77" s="723" t="s">
        <v>80</v>
      </c>
      <c r="G77" s="722">
        <v>2015</v>
      </c>
      <c r="H77" s="287">
        <v>10</v>
      </c>
      <c r="I77" s="65">
        <v>11</v>
      </c>
      <c r="J77" s="61" t="s">
        <v>194</v>
      </c>
      <c r="K77" s="62" t="s">
        <v>168</v>
      </c>
      <c r="L77" s="36">
        <v>1</v>
      </c>
      <c r="M77" s="37">
        <f t="shared" si="21"/>
        <v>9.0909090909090917</v>
      </c>
      <c r="N77" s="31"/>
      <c r="O77" s="34" t="str">
        <f t="shared" si="28"/>
        <v/>
      </c>
      <c r="P77" s="31"/>
      <c r="Q77" s="34" t="str">
        <f t="shared" si="22"/>
        <v/>
      </c>
      <c r="R77" s="31"/>
      <c r="S77" s="34" t="str">
        <f t="shared" si="23"/>
        <v/>
      </c>
      <c r="T77" s="31"/>
      <c r="U77" s="34" t="str">
        <f t="shared" si="29"/>
        <v/>
      </c>
      <c r="V77" s="31"/>
      <c r="W77" s="34" t="str">
        <f t="shared" si="24"/>
        <v/>
      </c>
      <c r="X77" s="31"/>
      <c r="Y77" s="34" t="str">
        <f t="shared" si="30"/>
        <v/>
      </c>
      <c r="Z77" s="31"/>
      <c r="AA77" s="34" t="str">
        <f t="shared" si="25"/>
        <v/>
      </c>
      <c r="AB77" s="31"/>
      <c r="AC77" s="34" t="str">
        <f t="shared" si="31"/>
        <v/>
      </c>
      <c r="AD77" s="31"/>
      <c r="AE77" s="34" t="str">
        <f t="shared" si="32"/>
        <v/>
      </c>
      <c r="AF77" s="31"/>
      <c r="AG77" s="34" t="str">
        <f t="shared" si="33"/>
        <v/>
      </c>
      <c r="AH77" s="31"/>
      <c r="AI77" s="34" t="str">
        <f t="shared" si="34"/>
        <v/>
      </c>
      <c r="AJ77" s="31"/>
      <c r="AK77" s="34" t="str">
        <f t="shared" si="35"/>
        <v/>
      </c>
      <c r="AL77" s="31"/>
      <c r="AM77" s="34" t="str">
        <f t="shared" si="36"/>
        <v/>
      </c>
      <c r="AN77" s="31"/>
      <c r="AO77" s="34" t="str">
        <f t="shared" si="37"/>
        <v/>
      </c>
      <c r="AP77" s="31"/>
      <c r="AQ77" s="34" t="str">
        <f t="shared" si="38"/>
        <v/>
      </c>
      <c r="AR77" s="31"/>
      <c r="AS77" s="34" t="str">
        <f t="shared" si="39"/>
        <v/>
      </c>
      <c r="AT77" s="31"/>
      <c r="AU77" s="34" t="str">
        <f t="shared" si="40"/>
        <v/>
      </c>
      <c r="AV77" s="31"/>
      <c r="AW77" s="34" t="str">
        <f t="shared" si="41"/>
        <v/>
      </c>
      <c r="AX77" s="56"/>
      <c r="AY77" s="34" t="str">
        <f t="shared" si="26"/>
        <v/>
      </c>
      <c r="AZ77" s="56">
        <v>3</v>
      </c>
      <c r="BA77" s="34">
        <f t="shared" si="27"/>
        <v>27.27272727272727</v>
      </c>
      <c r="BB77" s="21" t="s">
        <v>193</v>
      </c>
    </row>
    <row r="78" spans="1:54" ht="20" customHeight="1" x14ac:dyDescent="0.2">
      <c r="A78" s="753"/>
      <c r="B78" s="725"/>
      <c r="C78" s="255"/>
      <c r="D78" s="722" t="s">
        <v>85</v>
      </c>
      <c r="E78" s="723" t="s">
        <v>526</v>
      </c>
      <c r="F78" s="723" t="s">
        <v>564</v>
      </c>
      <c r="G78" s="722">
        <v>1998</v>
      </c>
      <c r="H78" s="287"/>
      <c r="I78" s="65">
        <v>22</v>
      </c>
      <c r="J78" s="61" t="s">
        <v>184</v>
      </c>
      <c r="K78" s="62" t="s">
        <v>346</v>
      </c>
      <c r="L78" s="31"/>
      <c r="M78" s="34"/>
      <c r="N78" s="31"/>
      <c r="O78" s="34" t="str">
        <f t="shared" si="28"/>
        <v/>
      </c>
      <c r="P78" s="31"/>
      <c r="Q78" s="34" t="str">
        <f t="shared" si="22"/>
        <v/>
      </c>
      <c r="R78" s="31"/>
      <c r="S78" s="34" t="str">
        <f t="shared" si="23"/>
        <v/>
      </c>
      <c r="T78" s="31"/>
      <c r="U78" s="34" t="str">
        <f t="shared" si="29"/>
        <v/>
      </c>
      <c r="V78" s="31">
        <v>1</v>
      </c>
      <c r="W78" s="34">
        <f t="shared" si="24"/>
        <v>4.5454545454545459</v>
      </c>
      <c r="X78" s="31"/>
      <c r="Y78" s="34" t="str">
        <f t="shared" si="30"/>
        <v/>
      </c>
      <c r="Z78" s="31"/>
      <c r="AA78" s="34" t="str">
        <f t="shared" si="25"/>
        <v/>
      </c>
      <c r="AB78" s="31"/>
      <c r="AC78" s="34" t="str">
        <f t="shared" si="31"/>
        <v/>
      </c>
      <c r="AD78" s="31"/>
      <c r="AE78" s="34" t="str">
        <f t="shared" si="32"/>
        <v/>
      </c>
      <c r="AF78" s="31"/>
      <c r="AG78" s="34" t="str">
        <f t="shared" si="33"/>
        <v/>
      </c>
      <c r="AH78" s="31"/>
      <c r="AI78" s="34" t="str">
        <f t="shared" si="34"/>
        <v/>
      </c>
      <c r="AJ78" s="31"/>
      <c r="AK78" s="34" t="str">
        <f t="shared" si="35"/>
        <v/>
      </c>
      <c r="AL78" s="31"/>
      <c r="AM78" s="34" t="str">
        <f t="shared" si="36"/>
        <v/>
      </c>
      <c r="AN78" s="31"/>
      <c r="AO78" s="34" t="str">
        <f t="shared" si="37"/>
        <v/>
      </c>
      <c r="AP78" s="31"/>
      <c r="AQ78" s="34" t="str">
        <f t="shared" si="38"/>
        <v/>
      </c>
      <c r="AR78" s="31"/>
      <c r="AS78" s="34" t="str">
        <f t="shared" si="39"/>
        <v/>
      </c>
      <c r="AT78" s="31"/>
      <c r="AU78" s="34" t="str">
        <f t="shared" si="40"/>
        <v/>
      </c>
      <c r="AV78" s="31"/>
      <c r="AW78" s="34" t="str">
        <f t="shared" si="41"/>
        <v/>
      </c>
      <c r="AX78" s="56"/>
      <c r="AY78" s="34" t="str">
        <f t="shared" si="26"/>
        <v/>
      </c>
      <c r="AZ78" s="56"/>
      <c r="BA78" s="34"/>
    </row>
    <row r="79" spans="1:54" ht="20" customHeight="1" x14ac:dyDescent="0.2">
      <c r="A79" s="753"/>
      <c r="B79" s="721"/>
      <c r="C79" s="253"/>
      <c r="D79" s="722" t="s">
        <v>85</v>
      </c>
      <c r="E79" s="723" t="s">
        <v>81</v>
      </c>
      <c r="F79" s="723" t="s">
        <v>82</v>
      </c>
      <c r="G79" s="722">
        <v>1994</v>
      </c>
      <c r="H79" s="287">
        <v>292</v>
      </c>
      <c r="I79" s="65">
        <v>15</v>
      </c>
      <c r="J79" s="61" t="s">
        <v>195</v>
      </c>
      <c r="K79" s="62"/>
      <c r="L79" s="31"/>
      <c r="M79" s="34" t="str">
        <f t="shared" ref="M79:M137" si="42">IF((ISERROR((L79/$I79)*100)), "", IF(AND(NOT(ISERROR((L79/$I79)*100)),((L79/$I79)*100) &lt;&gt; 0), (L79/$I79)*100, ""))</f>
        <v/>
      </c>
      <c r="N79" s="31"/>
      <c r="O79" s="34" t="str">
        <f t="shared" si="28"/>
        <v/>
      </c>
      <c r="P79" s="31"/>
      <c r="Q79" s="34" t="str">
        <f t="shared" si="22"/>
        <v/>
      </c>
      <c r="R79" s="31"/>
      <c r="S79" s="34" t="str">
        <f t="shared" si="23"/>
        <v/>
      </c>
      <c r="T79" s="31"/>
      <c r="U79" s="34" t="str">
        <f t="shared" si="29"/>
        <v/>
      </c>
      <c r="V79" s="31"/>
      <c r="W79" s="34" t="str">
        <f t="shared" si="24"/>
        <v/>
      </c>
      <c r="X79" s="31"/>
      <c r="Y79" s="34" t="str">
        <f t="shared" si="30"/>
        <v/>
      </c>
      <c r="Z79" s="31"/>
      <c r="AA79" s="34" t="str">
        <f t="shared" si="25"/>
        <v/>
      </c>
      <c r="AB79" s="31"/>
      <c r="AC79" s="34" t="str">
        <f t="shared" si="31"/>
        <v/>
      </c>
      <c r="AD79" s="31"/>
      <c r="AE79" s="34" t="str">
        <f t="shared" si="32"/>
        <v/>
      </c>
      <c r="AF79" s="31"/>
      <c r="AG79" s="34" t="str">
        <f t="shared" si="33"/>
        <v/>
      </c>
      <c r="AH79" s="31"/>
      <c r="AI79" s="34" t="str">
        <f t="shared" si="34"/>
        <v/>
      </c>
      <c r="AJ79" s="31"/>
      <c r="AK79" s="34" t="str">
        <f t="shared" si="35"/>
        <v/>
      </c>
      <c r="AL79" s="31"/>
      <c r="AM79" s="34" t="str">
        <f t="shared" si="36"/>
        <v/>
      </c>
      <c r="AN79" s="31"/>
      <c r="AO79" s="34" t="str">
        <f t="shared" si="37"/>
        <v/>
      </c>
      <c r="AP79" s="31"/>
      <c r="AQ79" s="34" t="str">
        <f t="shared" si="38"/>
        <v/>
      </c>
      <c r="AR79" s="31"/>
      <c r="AS79" s="34" t="str">
        <f t="shared" si="39"/>
        <v/>
      </c>
      <c r="AT79" s="31"/>
      <c r="AU79" s="34" t="str">
        <f t="shared" si="40"/>
        <v/>
      </c>
      <c r="AV79" s="31"/>
      <c r="AW79" s="34" t="str">
        <f t="shared" si="41"/>
        <v/>
      </c>
      <c r="AX79" s="56"/>
      <c r="AY79" s="34" t="str">
        <f t="shared" si="26"/>
        <v/>
      </c>
      <c r="AZ79" s="56"/>
      <c r="BA79" s="34" t="str">
        <f t="shared" ref="BA79:BA137" si="43">IF((ISERROR((AZ79/$I79)*100)), "", IF(AND(NOT(ISERROR((AZ79/$I79)*100)),((AZ79/$I79)*100) &lt;&gt; 0), (AZ79/$I79)*100, ""))</f>
        <v/>
      </c>
      <c r="BB79" s="21" t="s">
        <v>196</v>
      </c>
    </row>
    <row r="80" spans="1:54" ht="20" customHeight="1" x14ac:dyDescent="0.2">
      <c r="A80" s="753"/>
      <c r="B80" s="725"/>
      <c r="C80" s="255"/>
      <c r="D80" s="722" t="s">
        <v>85</v>
      </c>
      <c r="E80" s="723" t="s">
        <v>83</v>
      </c>
      <c r="F80" s="723" t="s">
        <v>84</v>
      </c>
      <c r="G80" s="722">
        <v>2000</v>
      </c>
      <c r="H80" s="287">
        <v>146</v>
      </c>
      <c r="I80" s="65">
        <v>42</v>
      </c>
      <c r="J80" s="61" t="s">
        <v>352</v>
      </c>
      <c r="K80" s="62"/>
      <c r="L80" s="31"/>
      <c r="M80" s="34" t="str">
        <f t="shared" si="42"/>
        <v/>
      </c>
      <c r="N80" s="31"/>
      <c r="O80" s="34" t="str">
        <f t="shared" si="28"/>
        <v/>
      </c>
      <c r="P80" s="31"/>
      <c r="Q80" s="34" t="str">
        <f t="shared" si="22"/>
        <v/>
      </c>
      <c r="R80" s="31"/>
      <c r="S80" s="34" t="str">
        <f t="shared" si="23"/>
        <v/>
      </c>
      <c r="T80" s="31"/>
      <c r="U80" s="34" t="str">
        <f t="shared" si="29"/>
        <v/>
      </c>
      <c r="V80" s="31">
        <v>1</v>
      </c>
      <c r="W80" s="34">
        <f t="shared" si="24"/>
        <v>2.3809523809523809</v>
      </c>
      <c r="X80" s="31"/>
      <c r="Y80" s="34" t="str">
        <f t="shared" si="30"/>
        <v/>
      </c>
      <c r="Z80" s="31"/>
      <c r="AA80" s="34" t="str">
        <f t="shared" si="25"/>
        <v/>
      </c>
      <c r="AB80" s="31"/>
      <c r="AC80" s="34" t="str">
        <f t="shared" si="31"/>
        <v/>
      </c>
      <c r="AD80" s="31"/>
      <c r="AE80" s="34" t="str">
        <f t="shared" si="32"/>
        <v/>
      </c>
      <c r="AF80" s="31"/>
      <c r="AG80" s="34" t="str">
        <f t="shared" si="33"/>
        <v/>
      </c>
      <c r="AH80" s="31"/>
      <c r="AI80" s="34" t="str">
        <f t="shared" si="34"/>
        <v/>
      </c>
      <c r="AJ80" s="31"/>
      <c r="AK80" s="34" t="str">
        <f t="shared" si="35"/>
        <v/>
      </c>
      <c r="AL80" s="31"/>
      <c r="AM80" s="34" t="str">
        <f t="shared" si="36"/>
        <v/>
      </c>
      <c r="AN80" s="31"/>
      <c r="AO80" s="34" t="str">
        <f t="shared" si="37"/>
        <v/>
      </c>
      <c r="AP80" s="31"/>
      <c r="AQ80" s="34" t="str">
        <f t="shared" si="38"/>
        <v/>
      </c>
      <c r="AR80" s="31"/>
      <c r="AS80" s="34" t="str">
        <f t="shared" si="39"/>
        <v/>
      </c>
      <c r="AT80" s="31"/>
      <c r="AU80" s="34" t="str">
        <f t="shared" si="40"/>
        <v/>
      </c>
      <c r="AV80" s="31"/>
      <c r="AW80" s="34" t="str">
        <f t="shared" si="41"/>
        <v/>
      </c>
      <c r="AX80" s="56"/>
      <c r="AY80" s="34" t="str">
        <f t="shared" si="26"/>
        <v/>
      </c>
      <c r="AZ80" s="56"/>
      <c r="BA80" s="34" t="str">
        <f t="shared" si="43"/>
        <v/>
      </c>
      <c r="BB80" s="21" t="s">
        <v>478</v>
      </c>
    </row>
    <row r="81" spans="1:54" ht="20" customHeight="1" x14ac:dyDescent="0.2">
      <c r="A81" s="756"/>
      <c r="B81" s="721"/>
      <c r="C81" s="253"/>
      <c r="D81" s="722"/>
      <c r="E81" s="723" t="s">
        <v>643</v>
      </c>
      <c r="F81" s="723" t="s">
        <v>704</v>
      </c>
      <c r="G81" s="722">
        <v>2001</v>
      </c>
      <c r="H81" s="287"/>
      <c r="I81" s="65">
        <v>1</v>
      </c>
      <c r="J81" s="61"/>
      <c r="K81" s="62" t="s">
        <v>644</v>
      </c>
      <c r="L81" s="31"/>
      <c r="M81" s="34"/>
      <c r="N81" s="31"/>
      <c r="O81" s="34"/>
      <c r="P81" s="31"/>
      <c r="Q81" s="34"/>
      <c r="R81" s="31"/>
      <c r="S81" s="34"/>
      <c r="T81" s="31"/>
      <c r="U81" s="34"/>
      <c r="V81" s="31"/>
      <c r="W81" s="34"/>
      <c r="X81" s="31"/>
      <c r="Y81" s="34"/>
      <c r="Z81" s="31"/>
      <c r="AA81" s="34"/>
      <c r="AB81" s="31"/>
      <c r="AC81" s="34"/>
      <c r="AD81" s="31"/>
      <c r="AE81" s="34"/>
      <c r="AF81" s="31"/>
      <c r="AG81" s="34"/>
      <c r="AH81" s="31"/>
      <c r="AI81" s="34"/>
      <c r="AJ81" s="31"/>
      <c r="AK81" s="34"/>
      <c r="AL81" s="31"/>
      <c r="AM81" s="34"/>
      <c r="AN81" s="31"/>
      <c r="AO81" s="34"/>
      <c r="AP81" s="31"/>
      <c r="AQ81" s="34"/>
      <c r="AR81" s="31"/>
      <c r="AS81" s="34"/>
      <c r="AT81" s="31"/>
      <c r="AU81" s="34"/>
      <c r="AV81" s="31"/>
      <c r="AW81" s="34"/>
      <c r="AX81" s="56"/>
      <c r="AY81" s="34"/>
      <c r="AZ81" s="56"/>
      <c r="BA81" s="34"/>
    </row>
    <row r="82" spans="1:54" ht="20" customHeight="1" x14ac:dyDescent="0.2">
      <c r="A82" s="753"/>
      <c r="B82" s="721"/>
      <c r="C82" s="253"/>
      <c r="D82" s="727" t="s">
        <v>35</v>
      </c>
      <c r="E82" s="728" t="s">
        <v>87</v>
      </c>
      <c r="F82" s="728" t="s">
        <v>88</v>
      </c>
      <c r="G82" s="727">
        <v>1996</v>
      </c>
      <c r="H82" s="729">
        <v>187</v>
      </c>
      <c r="I82" s="65">
        <v>100</v>
      </c>
      <c r="J82" s="61" t="s">
        <v>197</v>
      </c>
      <c r="K82" s="62"/>
      <c r="L82" s="31"/>
      <c r="M82" s="34" t="str">
        <f t="shared" si="42"/>
        <v/>
      </c>
      <c r="N82" s="31"/>
      <c r="O82" s="34" t="str">
        <f t="shared" si="28"/>
        <v/>
      </c>
      <c r="P82" s="31"/>
      <c r="Q82" s="34" t="str">
        <f t="shared" si="22"/>
        <v/>
      </c>
      <c r="R82" s="31"/>
      <c r="S82" s="34" t="str">
        <f t="shared" si="23"/>
        <v/>
      </c>
      <c r="T82" s="31"/>
      <c r="U82" s="34" t="str">
        <f t="shared" si="29"/>
        <v/>
      </c>
      <c r="V82" s="31"/>
      <c r="W82" s="34" t="str">
        <f t="shared" si="24"/>
        <v/>
      </c>
      <c r="X82" s="31"/>
      <c r="Y82" s="34" t="str">
        <f t="shared" si="30"/>
        <v/>
      </c>
      <c r="Z82" s="31"/>
      <c r="AA82" s="34" t="str">
        <f t="shared" si="25"/>
        <v/>
      </c>
      <c r="AB82" s="31"/>
      <c r="AC82" s="34" t="str">
        <f t="shared" si="31"/>
        <v/>
      </c>
      <c r="AD82" s="31"/>
      <c r="AE82" s="34" t="str">
        <f t="shared" si="32"/>
        <v/>
      </c>
      <c r="AF82" s="31"/>
      <c r="AG82" s="34" t="str">
        <f t="shared" si="33"/>
        <v/>
      </c>
      <c r="AH82" s="31"/>
      <c r="AI82" s="34" t="str">
        <f t="shared" si="34"/>
        <v/>
      </c>
      <c r="AJ82" s="31"/>
      <c r="AK82" s="34" t="str">
        <f t="shared" si="35"/>
        <v/>
      </c>
      <c r="AL82" s="31"/>
      <c r="AM82" s="34" t="str">
        <f t="shared" si="36"/>
        <v/>
      </c>
      <c r="AN82" s="31"/>
      <c r="AO82" s="34" t="str">
        <f t="shared" si="37"/>
        <v/>
      </c>
      <c r="AP82" s="31"/>
      <c r="AQ82" s="34" t="str">
        <f t="shared" si="38"/>
        <v/>
      </c>
      <c r="AR82" s="31"/>
      <c r="AS82" s="34" t="str">
        <f t="shared" si="39"/>
        <v/>
      </c>
      <c r="AT82" s="31"/>
      <c r="AU82" s="34" t="str">
        <f t="shared" si="40"/>
        <v/>
      </c>
      <c r="AV82" s="31"/>
      <c r="AW82" s="34" t="str">
        <f t="shared" si="41"/>
        <v/>
      </c>
      <c r="AX82" s="28"/>
      <c r="AY82" s="34" t="str">
        <f t="shared" si="26"/>
        <v/>
      </c>
      <c r="AZ82" s="44"/>
      <c r="BA82" s="34" t="str">
        <f t="shared" si="43"/>
        <v/>
      </c>
      <c r="BB82" s="21" t="s">
        <v>198</v>
      </c>
    </row>
    <row r="83" spans="1:54" ht="20" customHeight="1" x14ac:dyDescent="0.2">
      <c r="A83" s="753"/>
      <c r="B83" s="721"/>
      <c r="C83" s="253"/>
      <c r="D83" s="722" t="s">
        <v>85</v>
      </c>
      <c r="E83" s="723" t="s">
        <v>89</v>
      </c>
      <c r="F83" s="723" t="s">
        <v>90</v>
      </c>
      <c r="G83" s="722">
        <v>2000</v>
      </c>
      <c r="H83" s="287">
        <v>79</v>
      </c>
      <c r="I83" s="65">
        <v>10</v>
      </c>
      <c r="J83" s="61" t="s">
        <v>167</v>
      </c>
      <c r="K83" s="62"/>
      <c r="L83" s="31"/>
      <c r="M83" s="34" t="str">
        <f t="shared" si="42"/>
        <v/>
      </c>
      <c r="N83" s="31"/>
      <c r="O83" s="34" t="str">
        <f t="shared" si="28"/>
        <v/>
      </c>
      <c r="P83" s="31"/>
      <c r="Q83" s="34" t="str">
        <f t="shared" si="22"/>
        <v/>
      </c>
      <c r="R83" s="31"/>
      <c r="S83" s="34" t="str">
        <f t="shared" si="23"/>
        <v/>
      </c>
      <c r="T83" s="31"/>
      <c r="U83" s="34" t="str">
        <f t="shared" si="29"/>
        <v/>
      </c>
      <c r="V83" s="31"/>
      <c r="W83" s="34" t="str">
        <f t="shared" si="24"/>
        <v/>
      </c>
      <c r="X83" s="31"/>
      <c r="Y83" s="34" t="str">
        <f t="shared" si="30"/>
        <v/>
      </c>
      <c r="Z83" s="31"/>
      <c r="AA83" s="34" t="str">
        <f t="shared" si="25"/>
        <v/>
      </c>
      <c r="AB83" s="31"/>
      <c r="AC83" s="34" t="str">
        <f t="shared" si="31"/>
        <v/>
      </c>
      <c r="AD83" s="31"/>
      <c r="AE83" s="34" t="str">
        <f t="shared" si="32"/>
        <v/>
      </c>
      <c r="AF83" s="31"/>
      <c r="AG83" s="34" t="str">
        <f t="shared" si="33"/>
        <v/>
      </c>
      <c r="AH83" s="31"/>
      <c r="AI83" s="34" t="str">
        <f t="shared" si="34"/>
        <v/>
      </c>
      <c r="AJ83" s="31"/>
      <c r="AK83" s="34" t="str">
        <f t="shared" si="35"/>
        <v/>
      </c>
      <c r="AL83" s="31"/>
      <c r="AM83" s="34" t="str">
        <f t="shared" si="36"/>
        <v/>
      </c>
      <c r="AN83" s="31"/>
      <c r="AO83" s="34" t="str">
        <f t="shared" si="37"/>
        <v/>
      </c>
      <c r="AP83" s="31"/>
      <c r="AQ83" s="34" t="str">
        <f t="shared" si="38"/>
        <v/>
      </c>
      <c r="AR83" s="31"/>
      <c r="AS83" s="34" t="str">
        <f t="shared" si="39"/>
        <v/>
      </c>
      <c r="AT83" s="31"/>
      <c r="AU83" s="34" t="str">
        <f t="shared" si="40"/>
        <v/>
      </c>
      <c r="AV83" s="31"/>
      <c r="AW83" s="34" t="str">
        <f t="shared" si="41"/>
        <v/>
      </c>
      <c r="AX83" s="28"/>
      <c r="AY83" s="34" t="str">
        <f t="shared" si="26"/>
        <v/>
      </c>
      <c r="AZ83" s="44"/>
      <c r="BA83" s="34" t="str">
        <f t="shared" si="43"/>
        <v/>
      </c>
      <c r="BB83" s="21" t="s">
        <v>199</v>
      </c>
    </row>
    <row r="84" spans="1:54" ht="20" customHeight="1" x14ac:dyDescent="0.2">
      <c r="A84" s="756"/>
      <c r="B84" s="725"/>
      <c r="C84" s="255"/>
      <c r="D84" s="722" t="s">
        <v>85</v>
      </c>
      <c r="E84" s="723" t="s">
        <v>528</v>
      </c>
      <c r="F84" s="723" t="s">
        <v>529</v>
      </c>
      <c r="G84" s="722">
        <v>2000</v>
      </c>
      <c r="H84" s="287"/>
      <c r="I84" s="65">
        <v>19</v>
      </c>
      <c r="J84" s="61" t="s">
        <v>340</v>
      </c>
      <c r="K84" s="62" t="s">
        <v>333</v>
      </c>
      <c r="L84" s="31"/>
      <c r="M84" s="34"/>
      <c r="N84" s="31"/>
      <c r="O84" s="34"/>
      <c r="P84" s="31"/>
      <c r="Q84" s="34"/>
      <c r="R84" s="31"/>
      <c r="S84" s="34"/>
      <c r="T84" s="31"/>
      <c r="U84" s="34"/>
      <c r="V84" s="31"/>
      <c r="W84" s="34"/>
      <c r="X84" s="31"/>
      <c r="Y84" s="34"/>
      <c r="Z84" s="31"/>
      <c r="AA84" s="34"/>
      <c r="AB84" s="31"/>
      <c r="AC84" s="34"/>
      <c r="AD84" s="31"/>
      <c r="AE84" s="34"/>
      <c r="AF84" s="31"/>
      <c r="AG84" s="34"/>
      <c r="AH84" s="31"/>
      <c r="AI84" s="34"/>
      <c r="AJ84" s="31"/>
      <c r="AK84" s="34"/>
      <c r="AL84" s="31"/>
      <c r="AM84" s="34"/>
      <c r="AN84" s="31"/>
      <c r="AO84" s="34"/>
      <c r="AP84" s="31"/>
      <c r="AQ84" s="34"/>
      <c r="AR84" s="31"/>
      <c r="AS84" s="34"/>
      <c r="AT84" s="31"/>
      <c r="AU84" s="34"/>
      <c r="AV84" s="31"/>
      <c r="AW84" s="34"/>
      <c r="AX84" s="56"/>
      <c r="AY84" s="34"/>
      <c r="AZ84" s="56"/>
      <c r="BA84" s="34"/>
    </row>
    <row r="85" spans="1:54" ht="20" customHeight="1" x14ac:dyDescent="0.2">
      <c r="A85" s="753"/>
      <c r="B85" s="725"/>
      <c r="C85" s="255"/>
      <c r="D85" s="722"/>
      <c r="E85" s="723" t="s">
        <v>284</v>
      </c>
      <c r="F85" s="723" t="s">
        <v>285</v>
      </c>
      <c r="G85" s="722">
        <v>2005</v>
      </c>
      <c r="H85" s="287"/>
      <c r="I85" s="65">
        <v>13</v>
      </c>
      <c r="J85" s="61" t="s">
        <v>353</v>
      </c>
      <c r="K85" s="62"/>
      <c r="L85" s="31"/>
      <c r="M85" s="34" t="str">
        <f t="shared" si="42"/>
        <v/>
      </c>
      <c r="N85" s="31"/>
      <c r="O85" s="34" t="str">
        <f t="shared" si="28"/>
        <v/>
      </c>
      <c r="P85" s="31"/>
      <c r="Q85" s="34" t="str">
        <f t="shared" si="22"/>
        <v/>
      </c>
      <c r="R85" s="31"/>
      <c r="S85" s="34" t="str">
        <f t="shared" si="23"/>
        <v/>
      </c>
      <c r="T85" s="31"/>
      <c r="U85" s="34" t="str">
        <f t="shared" si="29"/>
        <v/>
      </c>
      <c r="V85" s="31"/>
      <c r="W85" s="34" t="str">
        <f t="shared" si="24"/>
        <v/>
      </c>
      <c r="X85" s="31"/>
      <c r="Y85" s="34" t="str">
        <f t="shared" si="30"/>
        <v/>
      </c>
      <c r="Z85" s="31"/>
      <c r="AA85" s="34" t="str">
        <f t="shared" si="25"/>
        <v/>
      </c>
      <c r="AB85" s="31"/>
      <c r="AC85" s="34" t="str">
        <f t="shared" si="31"/>
        <v/>
      </c>
      <c r="AD85" s="31"/>
      <c r="AE85" s="34" t="str">
        <f t="shared" si="32"/>
        <v/>
      </c>
      <c r="AF85" s="31"/>
      <c r="AG85" s="34" t="str">
        <f t="shared" si="33"/>
        <v/>
      </c>
      <c r="AH85" s="31"/>
      <c r="AI85" s="34" t="str">
        <f t="shared" si="34"/>
        <v/>
      </c>
      <c r="AJ85" s="31"/>
      <c r="AK85" s="34" t="str">
        <f t="shared" si="35"/>
        <v/>
      </c>
      <c r="AL85" s="31"/>
      <c r="AM85" s="34" t="str">
        <f t="shared" si="36"/>
        <v/>
      </c>
      <c r="AN85" s="31"/>
      <c r="AO85" s="34" t="str">
        <f t="shared" si="37"/>
        <v/>
      </c>
      <c r="AP85" s="31"/>
      <c r="AQ85" s="34" t="str">
        <f t="shared" si="38"/>
        <v/>
      </c>
      <c r="AR85" s="31"/>
      <c r="AS85" s="34" t="str">
        <f t="shared" si="39"/>
        <v/>
      </c>
      <c r="AT85" s="31">
        <v>3</v>
      </c>
      <c r="AU85" s="34">
        <f t="shared" si="40"/>
        <v>23.076923076923077</v>
      </c>
      <c r="AV85" s="31"/>
      <c r="AW85" s="34" t="str">
        <f t="shared" si="41"/>
        <v/>
      </c>
      <c r="AX85" s="56">
        <v>1</v>
      </c>
      <c r="AY85" s="34">
        <f t="shared" si="26"/>
        <v>7.6923076923076925</v>
      </c>
      <c r="AZ85" s="44"/>
      <c r="BA85" s="34" t="str">
        <f t="shared" si="43"/>
        <v/>
      </c>
      <c r="BB85" s="21" t="s">
        <v>354</v>
      </c>
    </row>
    <row r="86" spans="1:54" ht="20" customHeight="1" x14ac:dyDescent="0.2">
      <c r="A86" s="756"/>
      <c r="B86" s="721"/>
      <c r="C86" s="722"/>
      <c r="D86" s="722" t="s">
        <v>85</v>
      </c>
      <c r="E86" s="723" t="s">
        <v>646</v>
      </c>
      <c r="F86" s="723" t="s">
        <v>647</v>
      </c>
      <c r="G86" s="722">
        <v>1998</v>
      </c>
      <c r="H86" s="287"/>
      <c r="I86" s="65">
        <v>18</v>
      </c>
      <c r="J86" s="61" t="s">
        <v>217</v>
      </c>
      <c r="K86" s="62"/>
      <c r="L86" s="31"/>
      <c r="M86" s="34"/>
      <c r="N86" s="31"/>
      <c r="O86" s="34"/>
      <c r="P86" s="31"/>
      <c r="Q86" s="34"/>
      <c r="R86" s="31"/>
      <c r="S86" s="34"/>
      <c r="T86" s="31"/>
      <c r="U86" s="34"/>
      <c r="V86" s="31"/>
      <c r="W86" s="34"/>
      <c r="X86" s="31"/>
      <c r="Y86" s="34"/>
      <c r="Z86" s="31"/>
      <c r="AA86" s="34"/>
      <c r="AB86" s="31"/>
      <c r="AC86" s="34"/>
      <c r="AD86" s="31"/>
      <c r="AE86" s="34"/>
      <c r="AF86" s="31"/>
      <c r="AG86" s="34"/>
      <c r="AH86" s="31"/>
      <c r="AI86" s="34"/>
      <c r="AJ86" s="31"/>
      <c r="AK86" s="34"/>
      <c r="AL86" s="31"/>
      <c r="AM86" s="34"/>
      <c r="AN86" s="31"/>
      <c r="AO86" s="34"/>
      <c r="AP86" s="31"/>
      <c r="AQ86" s="34"/>
      <c r="AR86" s="31"/>
      <c r="AS86" s="34"/>
      <c r="AT86" s="31"/>
      <c r="AU86" s="34"/>
      <c r="AV86" s="31"/>
      <c r="AW86" s="34"/>
      <c r="AX86" s="56"/>
      <c r="AY86" s="34"/>
      <c r="AZ86" s="56"/>
      <c r="BA86" s="34"/>
    </row>
    <row r="87" spans="1:54" ht="20" customHeight="1" x14ac:dyDescent="0.2">
      <c r="A87" s="753"/>
      <c r="B87" s="721"/>
      <c r="C87" s="722"/>
      <c r="D87" s="727"/>
      <c r="E87" s="728" t="s">
        <v>155</v>
      </c>
      <c r="F87" s="728" t="s">
        <v>156</v>
      </c>
      <c r="G87" s="727">
        <v>1997</v>
      </c>
      <c r="H87" s="729"/>
      <c r="I87" s="65"/>
      <c r="J87" s="61"/>
      <c r="K87" s="62"/>
      <c r="L87" s="31"/>
      <c r="M87" s="34" t="str">
        <f t="shared" si="42"/>
        <v/>
      </c>
      <c r="N87" s="31"/>
      <c r="O87" s="34" t="str">
        <f t="shared" si="28"/>
        <v/>
      </c>
      <c r="P87" s="31"/>
      <c r="Q87" s="34" t="str">
        <f t="shared" si="22"/>
        <v/>
      </c>
      <c r="R87" s="31"/>
      <c r="S87" s="34" t="str">
        <f t="shared" si="23"/>
        <v/>
      </c>
      <c r="T87" s="31"/>
      <c r="U87" s="34" t="str">
        <f t="shared" si="29"/>
        <v/>
      </c>
      <c r="V87" s="31"/>
      <c r="W87" s="34" t="str">
        <f t="shared" si="24"/>
        <v/>
      </c>
      <c r="X87" s="31"/>
      <c r="Y87" s="34" t="str">
        <f t="shared" si="30"/>
        <v/>
      </c>
      <c r="Z87" s="31"/>
      <c r="AA87" s="34" t="str">
        <f t="shared" si="25"/>
        <v/>
      </c>
      <c r="AB87" s="31"/>
      <c r="AC87" s="34" t="str">
        <f t="shared" si="31"/>
        <v/>
      </c>
      <c r="AD87" s="31"/>
      <c r="AE87" s="34" t="str">
        <f t="shared" si="32"/>
        <v/>
      </c>
      <c r="AF87" s="31"/>
      <c r="AG87" s="34" t="str">
        <f t="shared" si="33"/>
        <v/>
      </c>
      <c r="AH87" s="31"/>
      <c r="AI87" s="34" t="str">
        <f t="shared" si="34"/>
        <v/>
      </c>
      <c r="AJ87" s="31"/>
      <c r="AK87" s="34" t="str">
        <f t="shared" si="35"/>
        <v/>
      </c>
      <c r="AL87" s="31"/>
      <c r="AM87" s="34" t="str">
        <f t="shared" si="36"/>
        <v/>
      </c>
      <c r="AN87" s="31"/>
      <c r="AO87" s="34" t="str">
        <f t="shared" si="37"/>
        <v/>
      </c>
      <c r="AP87" s="31"/>
      <c r="AQ87" s="34" t="str">
        <f t="shared" si="38"/>
        <v/>
      </c>
      <c r="AR87" s="31"/>
      <c r="AS87" s="34" t="str">
        <f t="shared" si="39"/>
        <v/>
      </c>
      <c r="AT87" s="31"/>
      <c r="AU87" s="34" t="str">
        <f t="shared" si="40"/>
        <v/>
      </c>
      <c r="AV87" s="31"/>
      <c r="AW87" s="34" t="str">
        <f t="shared" si="41"/>
        <v/>
      </c>
      <c r="AX87" s="29"/>
      <c r="AY87" s="34" t="str">
        <f t="shared" si="26"/>
        <v/>
      </c>
      <c r="AZ87" s="44"/>
      <c r="BA87" s="34" t="str">
        <f t="shared" si="43"/>
        <v/>
      </c>
    </row>
    <row r="88" spans="1:54" ht="20" customHeight="1" x14ac:dyDescent="0.2">
      <c r="A88" s="753"/>
      <c r="B88" s="725"/>
      <c r="C88" s="253"/>
      <c r="D88" s="722" t="s">
        <v>85</v>
      </c>
      <c r="E88" s="723" t="s">
        <v>91</v>
      </c>
      <c r="F88" s="723" t="s">
        <v>92</v>
      </c>
      <c r="G88" s="722">
        <v>2001</v>
      </c>
      <c r="H88" s="287">
        <v>170</v>
      </c>
      <c r="I88" s="65">
        <v>20</v>
      </c>
      <c r="J88" s="61" t="s">
        <v>175</v>
      </c>
      <c r="K88" s="62" t="s">
        <v>168</v>
      </c>
      <c r="L88" s="31"/>
      <c r="M88" s="34" t="str">
        <f t="shared" si="42"/>
        <v/>
      </c>
      <c r="N88" s="31"/>
      <c r="O88" s="34" t="str">
        <f t="shared" si="28"/>
        <v/>
      </c>
      <c r="P88" s="31"/>
      <c r="Q88" s="34" t="str">
        <f t="shared" si="22"/>
        <v/>
      </c>
      <c r="R88" s="31"/>
      <c r="S88" s="34" t="str">
        <f t="shared" si="23"/>
        <v/>
      </c>
      <c r="T88" s="31"/>
      <c r="U88" s="34" t="str">
        <f t="shared" si="29"/>
        <v/>
      </c>
      <c r="V88" s="31"/>
      <c r="W88" s="34" t="str">
        <f t="shared" si="24"/>
        <v/>
      </c>
      <c r="X88" s="31"/>
      <c r="Y88" s="34" t="str">
        <f t="shared" si="30"/>
        <v/>
      </c>
      <c r="Z88" s="31"/>
      <c r="AA88" s="34" t="str">
        <f t="shared" si="25"/>
        <v/>
      </c>
      <c r="AB88" s="31"/>
      <c r="AC88" s="34" t="str">
        <f t="shared" si="31"/>
        <v/>
      </c>
      <c r="AD88" s="31"/>
      <c r="AE88" s="34" t="str">
        <f t="shared" si="32"/>
        <v/>
      </c>
      <c r="AF88" s="31"/>
      <c r="AG88" s="34" t="str">
        <f t="shared" si="33"/>
        <v/>
      </c>
      <c r="AH88" s="31"/>
      <c r="AI88" s="34" t="str">
        <f t="shared" si="34"/>
        <v/>
      </c>
      <c r="AJ88" s="31"/>
      <c r="AK88" s="34" t="str">
        <f t="shared" si="35"/>
        <v/>
      </c>
      <c r="AL88" s="31"/>
      <c r="AM88" s="34" t="str">
        <f t="shared" si="36"/>
        <v/>
      </c>
      <c r="AN88" s="31"/>
      <c r="AO88" s="34" t="str">
        <f t="shared" si="37"/>
        <v/>
      </c>
      <c r="AP88" s="31"/>
      <c r="AQ88" s="34" t="str">
        <f t="shared" si="38"/>
        <v/>
      </c>
      <c r="AR88" s="31"/>
      <c r="AS88" s="34" t="str">
        <f t="shared" si="39"/>
        <v/>
      </c>
      <c r="AT88" s="31"/>
      <c r="AU88" s="34" t="str">
        <f t="shared" si="40"/>
        <v/>
      </c>
      <c r="AV88" s="31"/>
      <c r="AW88" s="34" t="str">
        <f t="shared" si="41"/>
        <v/>
      </c>
      <c r="AX88" s="56"/>
      <c r="AY88" s="34" t="str">
        <f t="shared" si="26"/>
        <v/>
      </c>
      <c r="AZ88" s="56"/>
      <c r="BA88" s="34" t="str">
        <f t="shared" si="43"/>
        <v/>
      </c>
      <c r="BB88" s="21" t="s">
        <v>180</v>
      </c>
    </row>
    <row r="89" spans="1:54" ht="20" customHeight="1" x14ac:dyDescent="0.2">
      <c r="A89" s="753"/>
      <c r="B89" s="721"/>
      <c r="C89" s="722"/>
      <c r="D89" s="727" t="s">
        <v>49</v>
      </c>
      <c r="E89" s="728" t="s">
        <v>93</v>
      </c>
      <c r="F89" s="728" t="s">
        <v>94</v>
      </c>
      <c r="G89" s="727">
        <v>2015</v>
      </c>
      <c r="H89" s="729">
        <v>22</v>
      </c>
      <c r="I89" s="65"/>
      <c r="J89" s="61"/>
      <c r="K89" s="62"/>
      <c r="L89" s="31"/>
      <c r="M89" s="34" t="str">
        <f t="shared" si="42"/>
        <v/>
      </c>
      <c r="N89" s="31"/>
      <c r="O89" s="34" t="str">
        <f t="shared" si="28"/>
        <v/>
      </c>
      <c r="P89" s="31"/>
      <c r="Q89" s="34" t="str">
        <f t="shared" si="22"/>
        <v/>
      </c>
      <c r="R89" s="31"/>
      <c r="S89" s="34" t="str">
        <f t="shared" si="23"/>
        <v/>
      </c>
      <c r="T89" s="31"/>
      <c r="U89" s="34" t="str">
        <f t="shared" si="29"/>
        <v/>
      </c>
      <c r="V89" s="31"/>
      <c r="W89" s="34" t="str">
        <f t="shared" si="24"/>
        <v/>
      </c>
      <c r="X89" s="31"/>
      <c r="Y89" s="34" t="str">
        <f t="shared" si="30"/>
        <v/>
      </c>
      <c r="Z89" s="31"/>
      <c r="AA89" s="34" t="str">
        <f t="shared" si="25"/>
        <v/>
      </c>
      <c r="AB89" s="31"/>
      <c r="AC89" s="34" t="str">
        <f t="shared" si="31"/>
        <v/>
      </c>
      <c r="AD89" s="31"/>
      <c r="AE89" s="34" t="str">
        <f t="shared" si="32"/>
        <v/>
      </c>
      <c r="AF89" s="31"/>
      <c r="AG89" s="34" t="str">
        <f t="shared" si="33"/>
        <v/>
      </c>
      <c r="AH89" s="31"/>
      <c r="AI89" s="34" t="str">
        <f t="shared" si="34"/>
        <v/>
      </c>
      <c r="AJ89" s="31"/>
      <c r="AK89" s="34" t="str">
        <f t="shared" si="35"/>
        <v/>
      </c>
      <c r="AL89" s="31"/>
      <c r="AM89" s="34" t="str">
        <f t="shared" si="36"/>
        <v/>
      </c>
      <c r="AN89" s="31"/>
      <c r="AO89" s="34" t="str">
        <f t="shared" si="37"/>
        <v/>
      </c>
      <c r="AP89" s="31"/>
      <c r="AQ89" s="34" t="str">
        <f t="shared" si="38"/>
        <v/>
      </c>
      <c r="AR89" s="31"/>
      <c r="AS89" s="34" t="str">
        <f t="shared" si="39"/>
        <v/>
      </c>
      <c r="AT89" s="31"/>
      <c r="AU89" s="34" t="str">
        <f t="shared" si="40"/>
        <v/>
      </c>
      <c r="AV89" s="31"/>
      <c r="AW89" s="34" t="str">
        <f t="shared" si="41"/>
        <v/>
      </c>
      <c r="AX89" s="56"/>
      <c r="AY89" s="34" t="str">
        <f t="shared" si="26"/>
        <v/>
      </c>
      <c r="AZ89" s="56"/>
      <c r="BA89" s="34" t="str">
        <f t="shared" si="43"/>
        <v/>
      </c>
    </row>
    <row r="90" spans="1:54" ht="20" customHeight="1" x14ac:dyDescent="0.2">
      <c r="A90" s="753"/>
      <c r="B90" s="725"/>
      <c r="C90" s="253"/>
      <c r="D90" s="722" t="s">
        <v>85</v>
      </c>
      <c r="E90" s="723" t="s">
        <v>286</v>
      </c>
      <c r="F90" s="723" t="s">
        <v>287</v>
      </c>
      <c r="G90" s="722">
        <v>2009</v>
      </c>
      <c r="H90" s="287"/>
      <c r="I90" s="65">
        <v>20</v>
      </c>
      <c r="J90" s="61" t="s">
        <v>213</v>
      </c>
      <c r="K90" s="62" t="s">
        <v>190</v>
      </c>
      <c r="L90" s="31"/>
      <c r="M90" s="34" t="str">
        <f t="shared" si="42"/>
        <v/>
      </c>
      <c r="N90" s="31"/>
      <c r="O90" s="34" t="str">
        <f t="shared" si="28"/>
        <v/>
      </c>
      <c r="P90" s="31"/>
      <c r="Q90" s="34" t="str">
        <f t="shared" si="22"/>
        <v/>
      </c>
      <c r="R90" s="31"/>
      <c r="S90" s="34" t="str">
        <f t="shared" si="23"/>
        <v/>
      </c>
      <c r="T90" s="31"/>
      <c r="U90" s="34" t="str">
        <f t="shared" si="29"/>
        <v/>
      </c>
      <c r="V90" s="31"/>
      <c r="W90" s="34" t="str">
        <f t="shared" si="24"/>
        <v/>
      </c>
      <c r="X90" s="31"/>
      <c r="Y90" s="34" t="str">
        <f t="shared" si="30"/>
        <v/>
      </c>
      <c r="Z90" s="31"/>
      <c r="AA90" s="34" t="str">
        <f t="shared" si="25"/>
        <v/>
      </c>
      <c r="AB90" s="31"/>
      <c r="AC90" s="34" t="str">
        <f t="shared" si="31"/>
        <v/>
      </c>
      <c r="AD90" s="31"/>
      <c r="AE90" s="34" t="str">
        <f t="shared" si="32"/>
        <v/>
      </c>
      <c r="AF90" s="31"/>
      <c r="AG90" s="34" t="str">
        <f t="shared" si="33"/>
        <v/>
      </c>
      <c r="AH90" s="31"/>
      <c r="AI90" s="34" t="str">
        <f t="shared" si="34"/>
        <v/>
      </c>
      <c r="AJ90" s="31"/>
      <c r="AK90" s="34" t="str">
        <f t="shared" si="35"/>
        <v/>
      </c>
      <c r="AL90" s="31"/>
      <c r="AM90" s="34" t="str">
        <f t="shared" si="36"/>
        <v/>
      </c>
      <c r="AN90" s="31"/>
      <c r="AO90" s="34" t="str">
        <f t="shared" si="37"/>
        <v/>
      </c>
      <c r="AP90" s="31"/>
      <c r="AQ90" s="34" t="str">
        <f t="shared" si="38"/>
        <v/>
      </c>
      <c r="AR90" s="31"/>
      <c r="AS90" s="34" t="str">
        <f t="shared" si="39"/>
        <v/>
      </c>
      <c r="AT90" s="31"/>
      <c r="AU90" s="34" t="str">
        <f t="shared" si="40"/>
        <v/>
      </c>
      <c r="AV90" s="31"/>
      <c r="AW90" s="34" t="str">
        <f t="shared" si="41"/>
        <v/>
      </c>
      <c r="AX90" s="56"/>
      <c r="AY90" s="34" t="str">
        <f t="shared" si="26"/>
        <v/>
      </c>
      <c r="AZ90" s="56"/>
      <c r="BA90" s="34" t="str">
        <f t="shared" si="43"/>
        <v/>
      </c>
      <c r="BB90" s="21" t="s">
        <v>355</v>
      </c>
    </row>
    <row r="91" spans="1:54" ht="20" customHeight="1" x14ac:dyDescent="0.2">
      <c r="A91" s="753"/>
      <c r="B91" s="725"/>
      <c r="C91" s="722"/>
      <c r="D91" s="722" t="s">
        <v>85</v>
      </c>
      <c r="E91" s="723" t="s">
        <v>288</v>
      </c>
      <c r="F91" s="723" t="s">
        <v>289</v>
      </c>
      <c r="G91" s="722">
        <v>2006</v>
      </c>
      <c r="H91" s="287"/>
      <c r="I91" s="65">
        <v>10</v>
      </c>
      <c r="J91" s="61" t="s">
        <v>356</v>
      </c>
      <c r="K91" s="62" t="s">
        <v>168</v>
      </c>
      <c r="L91" s="31"/>
      <c r="M91" s="34" t="str">
        <f t="shared" si="42"/>
        <v/>
      </c>
      <c r="N91" s="31"/>
      <c r="O91" s="34" t="str">
        <f t="shared" si="28"/>
        <v/>
      </c>
      <c r="P91" s="31"/>
      <c r="Q91" s="34" t="str">
        <f t="shared" si="22"/>
        <v/>
      </c>
      <c r="R91" s="31"/>
      <c r="S91" s="34" t="str">
        <f t="shared" si="23"/>
        <v/>
      </c>
      <c r="T91" s="31"/>
      <c r="U91" s="34" t="str">
        <f t="shared" si="29"/>
        <v/>
      </c>
      <c r="V91" s="36"/>
      <c r="W91" s="37" t="str">
        <f t="shared" si="24"/>
        <v/>
      </c>
      <c r="X91" s="31"/>
      <c r="Y91" s="34" t="str">
        <f t="shared" si="30"/>
        <v/>
      </c>
      <c r="Z91" s="31"/>
      <c r="AA91" s="34" t="str">
        <f t="shared" si="25"/>
        <v/>
      </c>
      <c r="AB91" s="31"/>
      <c r="AC91" s="34" t="str">
        <f t="shared" si="31"/>
        <v/>
      </c>
      <c r="AD91" s="31"/>
      <c r="AE91" s="34" t="str">
        <f t="shared" si="32"/>
        <v/>
      </c>
      <c r="AF91" s="31"/>
      <c r="AG91" s="34" t="str">
        <f t="shared" si="33"/>
        <v/>
      </c>
      <c r="AH91" s="31"/>
      <c r="AI91" s="34" t="str">
        <f t="shared" si="34"/>
        <v/>
      </c>
      <c r="AJ91" s="31"/>
      <c r="AK91" s="34" t="str">
        <f t="shared" si="35"/>
        <v/>
      </c>
      <c r="AL91" s="31"/>
      <c r="AM91" s="34" t="str">
        <f t="shared" si="36"/>
        <v/>
      </c>
      <c r="AN91" s="31"/>
      <c r="AO91" s="34" t="str">
        <f t="shared" si="37"/>
        <v/>
      </c>
      <c r="AP91" s="31"/>
      <c r="AQ91" s="34" t="str">
        <f t="shared" si="38"/>
        <v/>
      </c>
      <c r="AR91" s="31"/>
      <c r="AS91" s="34" t="str">
        <f t="shared" si="39"/>
        <v/>
      </c>
      <c r="AT91" s="31"/>
      <c r="AU91" s="34" t="str">
        <f t="shared" si="40"/>
        <v/>
      </c>
      <c r="AV91" s="31"/>
      <c r="AW91" s="34" t="str">
        <f t="shared" si="41"/>
        <v/>
      </c>
      <c r="AX91" s="56"/>
      <c r="AY91" s="34" t="str">
        <f t="shared" si="26"/>
        <v/>
      </c>
      <c r="AZ91" s="56"/>
      <c r="BA91" s="34" t="str">
        <f t="shared" si="43"/>
        <v/>
      </c>
      <c r="BB91" s="21" t="s">
        <v>357</v>
      </c>
    </row>
    <row r="92" spans="1:54" ht="20" customHeight="1" x14ac:dyDescent="0.2">
      <c r="A92" s="756"/>
      <c r="B92" s="725"/>
      <c r="C92" s="253"/>
      <c r="D92" s="722" t="s">
        <v>85</v>
      </c>
      <c r="E92" s="723" t="s">
        <v>531</v>
      </c>
      <c r="F92" s="723" t="s">
        <v>532</v>
      </c>
      <c r="G92" s="722">
        <v>2010</v>
      </c>
      <c r="H92" s="287"/>
      <c r="I92" s="65">
        <v>8</v>
      </c>
      <c r="J92" s="61" t="s">
        <v>213</v>
      </c>
      <c r="K92" s="62" t="s">
        <v>168</v>
      </c>
      <c r="L92" s="31"/>
      <c r="M92" s="34"/>
      <c r="N92" s="31"/>
      <c r="O92" s="34"/>
      <c r="P92" s="31"/>
      <c r="Q92" s="34"/>
      <c r="R92" s="31"/>
      <c r="S92" s="34"/>
      <c r="T92" s="31"/>
      <c r="U92" s="34"/>
      <c r="V92" s="31"/>
      <c r="W92" s="34"/>
      <c r="X92" s="31"/>
      <c r="Y92" s="34"/>
      <c r="Z92" s="31"/>
      <c r="AA92" s="34"/>
      <c r="AB92" s="31"/>
      <c r="AC92" s="34"/>
      <c r="AD92" s="31"/>
      <c r="AE92" s="34"/>
      <c r="AF92" s="31"/>
      <c r="AG92" s="34"/>
      <c r="AH92" s="31"/>
      <c r="AI92" s="34"/>
      <c r="AJ92" s="31"/>
      <c r="AK92" s="34"/>
      <c r="AL92" s="31"/>
      <c r="AM92" s="34"/>
      <c r="AN92" s="31"/>
      <c r="AO92" s="34"/>
      <c r="AP92" s="31"/>
      <c r="AQ92" s="34"/>
      <c r="AR92" s="31"/>
      <c r="AS92" s="34"/>
      <c r="AT92" s="31"/>
      <c r="AU92" s="34"/>
      <c r="AV92" s="31"/>
      <c r="AW92" s="34"/>
      <c r="AX92" s="56"/>
      <c r="AY92" s="34"/>
      <c r="AZ92" s="56"/>
      <c r="BA92" s="34"/>
    </row>
    <row r="93" spans="1:54" ht="20" customHeight="1" x14ac:dyDescent="0.2">
      <c r="A93" s="753"/>
      <c r="B93" s="721"/>
      <c r="C93" s="722"/>
      <c r="D93" s="722" t="s">
        <v>85</v>
      </c>
      <c r="E93" s="723" t="s">
        <v>292</v>
      </c>
      <c r="F93" s="723" t="s">
        <v>293</v>
      </c>
      <c r="G93" s="722">
        <v>2016</v>
      </c>
      <c r="H93" s="287"/>
      <c r="I93" s="65">
        <v>25</v>
      </c>
      <c r="J93" s="61" t="s">
        <v>213</v>
      </c>
      <c r="K93" s="62" t="s">
        <v>191</v>
      </c>
      <c r="L93" s="31"/>
      <c r="M93" s="34" t="str">
        <f t="shared" si="42"/>
        <v/>
      </c>
      <c r="N93" s="31"/>
      <c r="O93" s="34" t="str">
        <f t="shared" si="28"/>
        <v/>
      </c>
      <c r="P93" s="31"/>
      <c r="Q93" s="34" t="str">
        <f t="shared" si="22"/>
        <v/>
      </c>
      <c r="R93" s="31"/>
      <c r="S93" s="34" t="str">
        <f t="shared" si="23"/>
        <v/>
      </c>
      <c r="T93" s="31"/>
      <c r="U93" s="34" t="str">
        <f t="shared" si="29"/>
        <v/>
      </c>
      <c r="V93" s="31"/>
      <c r="W93" s="34" t="str">
        <f t="shared" si="24"/>
        <v/>
      </c>
      <c r="X93" s="31"/>
      <c r="Y93" s="34" t="str">
        <f t="shared" si="30"/>
        <v/>
      </c>
      <c r="Z93" s="31"/>
      <c r="AA93" s="34" t="str">
        <f t="shared" si="25"/>
        <v/>
      </c>
      <c r="AB93" s="31"/>
      <c r="AC93" s="34" t="str">
        <f t="shared" si="31"/>
        <v/>
      </c>
      <c r="AD93" s="31"/>
      <c r="AE93" s="34" t="str">
        <f t="shared" si="32"/>
        <v/>
      </c>
      <c r="AF93" s="31"/>
      <c r="AG93" s="34" t="str">
        <f t="shared" si="33"/>
        <v/>
      </c>
      <c r="AH93" s="31"/>
      <c r="AI93" s="34" t="str">
        <f t="shared" si="34"/>
        <v/>
      </c>
      <c r="AJ93" s="31"/>
      <c r="AK93" s="34" t="str">
        <f t="shared" si="35"/>
        <v/>
      </c>
      <c r="AL93" s="31"/>
      <c r="AM93" s="34" t="str">
        <f t="shared" si="36"/>
        <v/>
      </c>
      <c r="AN93" s="31"/>
      <c r="AO93" s="34" t="str">
        <f t="shared" si="37"/>
        <v/>
      </c>
      <c r="AP93" s="31"/>
      <c r="AQ93" s="34" t="str">
        <f t="shared" si="38"/>
        <v/>
      </c>
      <c r="AR93" s="31"/>
      <c r="AS93" s="34" t="str">
        <f t="shared" si="39"/>
        <v/>
      </c>
      <c r="AT93" s="31"/>
      <c r="AU93" s="34" t="str">
        <f t="shared" si="40"/>
        <v/>
      </c>
      <c r="AV93" s="31"/>
      <c r="AW93" s="34" t="str">
        <f t="shared" si="41"/>
        <v/>
      </c>
      <c r="AX93" s="29"/>
      <c r="AY93" s="34" t="str">
        <f t="shared" si="26"/>
        <v/>
      </c>
      <c r="AZ93" s="44"/>
      <c r="BA93" s="34" t="str">
        <f t="shared" si="43"/>
        <v/>
      </c>
    </row>
    <row r="94" spans="1:54" ht="20" customHeight="1" x14ac:dyDescent="0.2">
      <c r="A94" s="753"/>
      <c r="B94" s="721"/>
      <c r="C94" s="722"/>
      <c r="D94" s="727" t="s">
        <v>49</v>
      </c>
      <c r="E94" s="728" t="s">
        <v>95</v>
      </c>
      <c r="F94" s="728" t="s">
        <v>96</v>
      </c>
      <c r="G94" s="727">
        <v>1996</v>
      </c>
      <c r="H94" s="729">
        <v>71</v>
      </c>
      <c r="I94" s="65"/>
      <c r="J94" s="61"/>
      <c r="K94" s="62"/>
      <c r="L94" s="31"/>
      <c r="M94" s="34" t="str">
        <f t="shared" si="42"/>
        <v/>
      </c>
      <c r="N94" s="31"/>
      <c r="O94" s="34" t="str">
        <f t="shared" si="28"/>
        <v/>
      </c>
      <c r="P94" s="31"/>
      <c r="Q94" s="34" t="str">
        <f t="shared" ref="Q94:Q137" si="44">IF((ISERROR((P94/$I94)*100)), "", IF(AND(NOT(ISERROR((P94/$I94)*100)),((P94/$I94)*100) &lt;&gt; 0), (P94/$I94)*100, ""))</f>
        <v/>
      </c>
      <c r="R94" s="31"/>
      <c r="S94" s="34" t="str">
        <f t="shared" ref="S94:S137" si="45">IF((ISERROR((R94/$I94)*100)), "", IF(AND(NOT(ISERROR((R94/$I94)*100)),((R94/$I94)*100) &lt;&gt; 0), (R94/$I94)*100, ""))</f>
        <v/>
      </c>
      <c r="T94" s="31"/>
      <c r="U94" s="34" t="str">
        <f t="shared" si="29"/>
        <v/>
      </c>
      <c r="V94" s="31"/>
      <c r="W94" s="34" t="str">
        <f t="shared" ref="W94:W137" si="46">IF((ISERROR((V94/$I94)*100)), "", IF(AND(NOT(ISERROR((V94/$I94)*100)),((V94/$I94)*100) &lt;&gt; 0), (V94/$I94)*100, ""))</f>
        <v/>
      </c>
      <c r="X94" s="31"/>
      <c r="Y94" s="34" t="str">
        <f t="shared" si="30"/>
        <v/>
      </c>
      <c r="Z94" s="31"/>
      <c r="AA94" s="34" t="str">
        <f t="shared" ref="AA94:AA137" si="47">IF((ISERROR((Z94/$I94)*100)), "", IF(AND(NOT(ISERROR((Z94/$I94)*100)),((Z94/$I94)*100) &lt;&gt; 0), (Z94/$I94)*100, ""))</f>
        <v/>
      </c>
      <c r="AB94" s="31"/>
      <c r="AC94" s="34" t="str">
        <f t="shared" si="31"/>
        <v/>
      </c>
      <c r="AD94" s="31"/>
      <c r="AE94" s="34" t="str">
        <f t="shared" si="32"/>
        <v/>
      </c>
      <c r="AF94" s="31"/>
      <c r="AG94" s="34" t="str">
        <f t="shared" si="33"/>
        <v/>
      </c>
      <c r="AH94" s="31"/>
      <c r="AI94" s="34" t="str">
        <f t="shared" si="34"/>
        <v/>
      </c>
      <c r="AJ94" s="31"/>
      <c r="AK94" s="34" t="str">
        <f t="shared" si="35"/>
        <v/>
      </c>
      <c r="AL94" s="31"/>
      <c r="AM94" s="34" t="str">
        <f t="shared" si="36"/>
        <v/>
      </c>
      <c r="AN94" s="31"/>
      <c r="AO94" s="34" t="str">
        <f t="shared" si="37"/>
        <v/>
      </c>
      <c r="AP94" s="31"/>
      <c r="AQ94" s="34" t="str">
        <f t="shared" si="38"/>
        <v/>
      </c>
      <c r="AR94" s="31"/>
      <c r="AS94" s="34" t="str">
        <f t="shared" si="39"/>
        <v/>
      </c>
      <c r="AT94" s="31"/>
      <c r="AU94" s="34" t="str">
        <f t="shared" si="40"/>
        <v/>
      </c>
      <c r="AV94" s="31"/>
      <c r="AW94" s="34" t="str">
        <f t="shared" si="41"/>
        <v/>
      </c>
      <c r="AX94" s="28"/>
      <c r="AY94" s="34" t="str">
        <f t="shared" ref="AY94:AY108" si="48">IF((ISERROR((AX94/$I94)*100)), "", IF(AND(NOT(ISERROR((AX94/$I94)*100)),((AX94/$I94)*100) &lt;&gt; 0), (AX94/$I94)*100, ""))</f>
        <v/>
      </c>
      <c r="AZ94" s="44"/>
      <c r="BA94" s="34" t="str">
        <f t="shared" si="43"/>
        <v/>
      </c>
    </row>
    <row r="95" spans="1:54" ht="20" customHeight="1" x14ac:dyDescent="0.2">
      <c r="A95" s="753"/>
      <c r="B95" s="725"/>
      <c r="C95" s="253"/>
      <c r="D95" s="727" t="s">
        <v>30</v>
      </c>
      <c r="E95" s="728" t="s">
        <v>97</v>
      </c>
      <c r="F95" s="728" t="s">
        <v>98</v>
      </c>
      <c r="G95" s="727">
        <v>2011</v>
      </c>
      <c r="H95" s="729">
        <v>74</v>
      </c>
      <c r="I95" s="65">
        <v>221</v>
      </c>
      <c r="J95" s="61"/>
      <c r="K95" s="62"/>
      <c r="L95" s="31"/>
      <c r="M95" s="34" t="str">
        <f t="shared" si="42"/>
        <v/>
      </c>
      <c r="N95" s="31"/>
      <c r="O95" s="34" t="str">
        <f t="shared" si="28"/>
        <v/>
      </c>
      <c r="P95" s="31"/>
      <c r="Q95" s="34" t="str">
        <f t="shared" si="44"/>
        <v/>
      </c>
      <c r="R95" s="31"/>
      <c r="S95" s="34" t="str">
        <f t="shared" si="45"/>
        <v/>
      </c>
      <c r="T95" s="31"/>
      <c r="U95" s="34" t="str">
        <f t="shared" si="29"/>
        <v/>
      </c>
      <c r="V95" s="31"/>
      <c r="W95" s="34" t="str">
        <f t="shared" si="46"/>
        <v/>
      </c>
      <c r="X95" s="31"/>
      <c r="Y95" s="34" t="str">
        <f t="shared" si="30"/>
        <v/>
      </c>
      <c r="Z95" s="31"/>
      <c r="AA95" s="34" t="str">
        <f t="shared" si="47"/>
        <v/>
      </c>
      <c r="AB95" s="31"/>
      <c r="AC95" s="34" t="str">
        <f t="shared" si="31"/>
        <v/>
      </c>
      <c r="AD95" s="31"/>
      <c r="AE95" s="34" t="str">
        <f t="shared" si="32"/>
        <v/>
      </c>
      <c r="AF95" s="31"/>
      <c r="AG95" s="34" t="str">
        <f t="shared" si="33"/>
        <v/>
      </c>
      <c r="AH95" s="31"/>
      <c r="AI95" s="34" t="str">
        <f t="shared" si="34"/>
        <v/>
      </c>
      <c r="AJ95" s="31"/>
      <c r="AK95" s="34" t="str">
        <f t="shared" si="35"/>
        <v/>
      </c>
      <c r="AL95" s="31"/>
      <c r="AM95" s="34" t="str">
        <f t="shared" si="36"/>
        <v/>
      </c>
      <c r="AN95" s="31"/>
      <c r="AO95" s="34" t="str">
        <f t="shared" si="37"/>
        <v/>
      </c>
      <c r="AP95" s="31"/>
      <c r="AQ95" s="34" t="str">
        <f t="shared" si="38"/>
        <v/>
      </c>
      <c r="AR95" s="31"/>
      <c r="AS95" s="34" t="str">
        <f t="shared" si="39"/>
        <v/>
      </c>
      <c r="AT95" s="31"/>
      <c r="AU95" s="34" t="str">
        <f t="shared" si="40"/>
        <v/>
      </c>
      <c r="AV95" s="31"/>
      <c r="AW95" s="34" t="str">
        <f t="shared" si="41"/>
        <v/>
      </c>
      <c r="AX95" s="28"/>
      <c r="AY95" s="34" t="str">
        <f t="shared" si="48"/>
        <v/>
      </c>
      <c r="AZ95" s="44"/>
      <c r="BA95" s="34" t="str">
        <f t="shared" si="43"/>
        <v/>
      </c>
      <c r="BB95" s="21" t="s">
        <v>380</v>
      </c>
    </row>
    <row r="96" spans="1:54" ht="20" customHeight="1" x14ac:dyDescent="0.2">
      <c r="A96" s="753"/>
      <c r="B96" s="725"/>
      <c r="C96" s="255"/>
      <c r="D96" s="722" t="s">
        <v>85</v>
      </c>
      <c r="E96" s="723" t="s">
        <v>290</v>
      </c>
      <c r="F96" s="723" t="s">
        <v>291</v>
      </c>
      <c r="G96" s="722">
        <v>2011</v>
      </c>
      <c r="H96" s="287"/>
      <c r="I96" s="65">
        <v>244</v>
      </c>
      <c r="J96" s="61" t="s">
        <v>210</v>
      </c>
      <c r="K96" s="62" t="s">
        <v>189</v>
      </c>
      <c r="L96" s="31">
        <v>3</v>
      </c>
      <c r="M96" s="34">
        <f t="shared" si="42"/>
        <v>1.2295081967213115</v>
      </c>
      <c r="N96" s="31"/>
      <c r="O96" s="34" t="str">
        <f t="shared" si="28"/>
        <v/>
      </c>
      <c r="P96" s="31"/>
      <c r="Q96" s="34" t="str">
        <f t="shared" si="44"/>
        <v/>
      </c>
      <c r="R96" s="31">
        <v>4</v>
      </c>
      <c r="S96" s="34">
        <f t="shared" si="45"/>
        <v>1.639344262295082</v>
      </c>
      <c r="T96" s="31"/>
      <c r="U96" s="34" t="str">
        <f t="shared" si="29"/>
        <v/>
      </c>
      <c r="V96" s="31"/>
      <c r="W96" s="34" t="str">
        <f t="shared" si="46"/>
        <v/>
      </c>
      <c r="X96" s="31"/>
      <c r="Y96" s="34" t="str">
        <f t="shared" si="30"/>
        <v/>
      </c>
      <c r="Z96" s="31"/>
      <c r="AA96" s="34" t="str">
        <f t="shared" si="47"/>
        <v/>
      </c>
      <c r="AB96" s="31"/>
      <c r="AC96" s="34" t="str">
        <f t="shared" si="31"/>
        <v/>
      </c>
      <c r="AD96" s="31"/>
      <c r="AE96" s="34" t="str">
        <f t="shared" si="32"/>
        <v/>
      </c>
      <c r="AF96" s="31"/>
      <c r="AG96" s="34" t="str">
        <f t="shared" si="33"/>
        <v/>
      </c>
      <c r="AH96" s="31"/>
      <c r="AI96" s="34" t="str">
        <f t="shared" si="34"/>
        <v/>
      </c>
      <c r="AJ96" s="31"/>
      <c r="AK96" s="34" t="str">
        <f t="shared" si="35"/>
        <v/>
      </c>
      <c r="AL96" s="31"/>
      <c r="AM96" s="34" t="str">
        <f t="shared" si="36"/>
        <v/>
      </c>
      <c r="AN96" s="31"/>
      <c r="AO96" s="34" t="str">
        <f t="shared" si="37"/>
        <v/>
      </c>
      <c r="AP96" s="31"/>
      <c r="AQ96" s="34" t="str">
        <f t="shared" si="38"/>
        <v/>
      </c>
      <c r="AR96" s="31"/>
      <c r="AS96" s="34" t="str">
        <f t="shared" si="39"/>
        <v/>
      </c>
      <c r="AT96" s="31"/>
      <c r="AU96" s="34" t="str">
        <f t="shared" si="40"/>
        <v/>
      </c>
      <c r="AV96" s="31"/>
      <c r="AW96" s="34" t="str">
        <f t="shared" si="41"/>
        <v/>
      </c>
      <c r="AX96" s="28"/>
      <c r="AY96" s="34" t="str">
        <f t="shared" si="48"/>
        <v/>
      </c>
      <c r="AZ96" s="44"/>
      <c r="BA96" s="34" t="str">
        <f t="shared" si="43"/>
        <v/>
      </c>
    </row>
    <row r="97" spans="1:54" ht="20" customHeight="1" x14ac:dyDescent="0.2">
      <c r="A97" s="756"/>
      <c r="B97" s="721"/>
      <c r="C97" s="722"/>
      <c r="D97" s="722" t="s">
        <v>85</v>
      </c>
      <c r="E97" s="723" t="s">
        <v>650</v>
      </c>
      <c r="F97" s="723" t="s">
        <v>651</v>
      </c>
      <c r="G97" s="722">
        <v>2003</v>
      </c>
      <c r="H97" s="287"/>
      <c r="I97" s="65"/>
      <c r="J97" s="61" t="s">
        <v>210</v>
      </c>
      <c r="K97" s="62" t="s">
        <v>209</v>
      </c>
      <c r="L97" s="31"/>
      <c r="M97" s="34"/>
      <c r="N97" s="31"/>
      <c r="O97" s="34"/>
      <c r="P97" s="31"/>
      <c r="Q97" s="34"/>
      <c r="R97" s="31"/>
      <c r="S97" s="34"/>
      <c r="T97" s="31"/>
      <c r="U97" s="34"/>
      <c r="V97" s="31"/>
      <c r="W97" s="34"/>
      <c r="X97" s="31"/>
      <c r="Y97" s="34"/>
      <c r="Z97" s="31"/>
      <c r="AA97" s="34"/>
      <c r="AB97" s="31"/>
      <c r="AC97" s="34"/>
      <c r="AD97" s="31"/>
      <c r="AE97" s="34"/>
      <c r="AF97" s="31"/>
      <c r="AG97" s="34"/>
      <c r="AH97" s="31"/>
      <c r="AI97" s="34"/>
      <c r="AJ97" s="31"/>
      <c r="AK97" s="34"/>
      <c r="AL97" s="31"/>
      <c r="AM97" s="34"/>
      <c r="AN97" s="31"/>
      <c r="AO97" s="34"/>
      <c r="AP97" s="31"/>
      <c r="AQ97" s="34"/>
      <c r="AR97" s="31"/>
      <c r="AS97" s="34"/>
      <c r="AT97" s="31"/>
      <c r="AU97" s="34"/>
      <c r="AV97" s="31"/>
      <c r="AW97" s="34"/>
      <c r="AX97" s="56"/>
      <c r="AY97" s="34"/>
      <c r="AZ97" s="56"/>
      <c r="BA97" s="34"/>
    </row>
    <row r="98" spans="1:54" ht="20" customHeight="1" x14ac:dyDescent="0.2">
      <c r="A98" s="753"/>
      <c r="B98" s="725"/>
      <c r="C98" s="255"/>
      <c r="D98" s="722" t="s">
        <v>85</v>
      </c>
      <c r="E98" s="723" t="s">
        <v>99</v>
      </c>
      <c r="F98" s="723" t="s">
        <v>100</v>
      </c>
      <c r="G98" s="722">
        <v>2002</v>
      </c>
      <c r="H98" s="287">
        <v>103</v>
      </c>
      <c r="I98" s="65">
        <v>8</v>
      </c>
      <c r="J98" s="61"/>
      <c r="K98" s="62"/>
      <c r="L98" s="31"/>
      <c r="M98" s="34" t="str">
        <f t="shared" si="42"/>
        <v/>
      </c>
      <c r="N98" s="31"/>
      <c r="O98" s="34" t="str">
        <f t="shared" si="28"/>
        <v/>
      </c>
      <c r="P98" s="31"/>
      <c r="Q98" s="34" t="str">
        <f t="shared" si="44"/>
        <v/>
      </c>
      <c r="R98" s="31"/>
      <c r="S98" s="34" t="str">
        <f t="shared" si="45"/>
        <v/>
      </c>
      <c r="T98" s="31"/>
      <c r="U98" s="34" t="str">
        <f t="shared" si="29"/>
        <v/>
      </c>
      <c r="V98" s="31"/>
      <c r="W98" s="34" t="str">
        <f t="shared" si="46"/>
        <v/>
      </c>
      <c r="X98" s="31"/>
      <c r="Y98" s="34" t="str">
        <f t="shared" si="30"/>
        <v/>
      </c>
      <c r="Z98" s="31"/>
      <c r="AA98" s="34" t="str">
        <f t="shared" si="47"/>
        <v/>
      </c>
      <c r="AB98" s="31"/>
      <c r="AC98" s="34" t="str">
        <f t="shared" si="31"/>
        <v/>
      </c>
      <c r="AD98" s="31"/>
      <c r="AE98" s="34" t="str">
        <f t="shared" si="32"/>
        <v/>
      </c>
      <c r="AF98" s="31"/>
      <c r="AG98" s="34" t="str">
        <f t="shared" si="33"/>
        <v/>
      </c>
      <c r="AH98" s="31"/>
      <c r="AI98" s="34" t="str">
        <f t="shared" si="34"/>
        <v/>
      </c>
      <c r="AJ98" s="31"/>
      <c r="AK98" s="34" t="str">
        <f t="shared" si="35"/>
        <v/>
      </c>
      <c r="AL98" s="31"/>
      <c r="AM98" s="34" t="str">
        <f t="shared" si="36"/>
        <v/>
      </c>
      <c r="AN98" s="31"/>
      <c r="AO98" s="34" t="str">
        <f t="shared" si="37"/>
        <v/>
      </c>
      <c r="AP98" s="31"/>
      <c r="AQ98" s="34" t="str">
        <f t="shared" si="38"/>
        <v/>
      </c>
      <c r="AR98" s="31"/>
      <c r="AS98" s="34" t="str">
        <f t="shared" si="39"/>
        <v/>
      </c>
      <c r="AT98" s="31"/>
      <c r="AU98" s="34" t="str">
        <f t="shared" si="40"/>
        <v/>
      </c>
      <c r="AV98" s="31"/>
      <c r="AW98" s="34" t="str">
        <f t="shared" si="41"/>
        <v/>
      </c>
      <c r="AX98" s="56">
        <v>2</v>
      </c>
      <c r="AY98" s="34">
        <f t="shared" si="48"/>
        <v>25</v>
      </c>
      <c r="AZ98" s="56"/>
      <c r="BA98" s="34" t="str">
        <f t="shared" si="43"/>
        <v/>
      </c>
      <c r="BB98" s="21" t="s">
        <v>200</v>
      </c>
    </row>
    <row r="99" spans="1:54" ht="20" customHeight="1" x14ac:dyDescent="0.2">
      <c r="A99" s="756"/>
      <c r="B99" s="721"/>
      <c r="C99" s="722"/>
      <c r="D99" s="722" t="s">
        <v>85</v>
      </c>
      <c r="E99" s="723" t="s">
        <v>652</v>
      </c>
      <c r="F99" s="723" t="s">
        <v>653</v>
      </c>
      <c r="G99" s="722">
        <v>1991</v>
      </c>
      <c r="H99" s="287"/>
      <c r="I99" s="65">
        <v>13</v>
      </c>
      <c r="J99" s="61" t="s">
        <v>655</v>
      </c>
      <c r="K99" s="62" t="s">
        <v>191</v>
      </c>
      <c r="L99" s="31"/>
      <c r="M99" s="34"/>
      <c r="N99" s="31"/>
      <c r="O99" s="34"/>
      <c r="P99" s="31"/>
      <c r="Q99" s="34"/>
      <c r="R99" s="31"/>
      <c r="S99" s="34"/>
      <c r="T99" s="31"/>
      <c r="U99" s="34"/>
      <c r="V99" s="31"/>
      <c r="W99" s="34"/>
      <c r="X99" s="31"/>
      <c r="Y99" s="34"/>
      <c r="Z99" s="31"/>
      <c r="AA99" s="34"/>
      <c r="AB99" s="31"/>
      <c r="AC99" s="34"/>
      <c r="AD99" s="31"/>
      <c r="AE99" s="34"/>
      <c r="AF99" s="31"/>
      <c r="AG99" s="34"/>
      <c r="AH99" s="31"/>
      <c r="AI99" s="34"/>
      <c r="AJ99" s="31"/>
      <c r="AK99" s="34"/>
      <c r="AL99" s="31"/>
      <c r="AM99" s="34"/>
      <c r="AN99" s="31"/>
      <c r="AO99" s="34"/>
      <c r="AP99" s="31"/>
      <c r="AQ99" s="34"/>
      <c r="AR99" s="31"/>
      <c r="AS99" s="34"/>
      <c r="AT99" s="31"/>
      <c r="AU99" s="34"/>
      <c r="AV99" s="31"/>
      <c r="AW99" s="34"/>
      <c r="AX99" s="56"/>
      <c r="AY99" s="34"/>
      <c r="AZ99" s="56"/>
      <c r="BA99" s="34"/>
    </row>
    <row r="100" spans="1:54" ht="20" customHeight="1" x14ac:dyDescent="0.2">
      <c r="A100" s="756"/>
      <c r="B100" s="725"/>
      <c r="C100" s="253"/>
      <c r="D100" s="722" t="s">
        <v>85</v>
      </c>
      <c r="E100" s="723" t="s">
        <v>533</v>
      </c>
      <c r="F100" s="723" t="s">
        <v>654</v>
      </c>
      <c r="G100" s="722">
        <v>1998</v>
      </c>
      <c r="H100" s="287"/>
      <c r="I100" s="65">
        <v>9</v>
      </c>
      <c r="J100" s="61" t="s">
        <v>535</v>
      </c>
      <c r="K100" s="62" t="s">
        <v>168</v>
      </c>
      <c r="L100" s="31"/>
      <c r="M100" s="34"/>
      <c r="N100" s="31"/>
      <c r="O100" s="34"/>
      <c r="P100" s="31"/>
      <c r="Q100" s="34"/>
      <c r="R100" s="31"/>
      <c r="S100" s="34"/>
      <c r="T100" s="31"/>
      <c r="U100" s="34"/>
      <c r="V100" s="31"/>
      <c r="W100" s="34"/>
      <c r="X100" s="31"/>
      <c r="Y100" s="34"/>
      <c r="Z100" s="31"/>
      <c r="AA100" s="34"/>
      <c r="AB100" s="31"/>
      <c r="AC100" s="34"/>
      <c r="AD100" s="31"/>
      <c r="AE100" s="34"/>
      <c r="AF100" s="31"/>
      <c r="AG100" s="34"/>
      <c r="AH100" s="31"/>
      <c r="AI100" s="34"/>
      <c r="AJ100" s="31"/>
      <c r="AK100" s="34"/>
      <c r="AL100" s="31"/>
      <c r="AM100" s="34"/>
      <c r="AN100" s="31"/>
      <c r="AO100" s="34"/>
      <c r="AP100" s="31"/>
      <c r="AQ100" s="34"/>
      <c r="AR100" s="31"/>
      <c r="AS100" s="34"/>
      <c r="AT100" s="31"/>
      <c r="AU100" s="34"/>
      <c r="AV100" s="31"/>
      <c r="AW100" s="34"/>
      <c r="AX100" s="56"/>
      <c r="AY100" s="34"/>
      <c r="AZ100" s="56"/>
      <c r="BA100" s="34"/>
    </row>
    <row r="101" spans="1:54" ht="20" customHeight="1" x14ac:dyDescent="0.2">
      <c r="A101" s="753"/>
      <c r="B101" s="725"/>
      <c r="C101" s="253"/>
      <c r="D101" s="727" t="s">
        <v>30</v>
      </c>
      <c r="E101" s="728" t="s">
        <v>101</v>
      </c>
      <c r="F101" s="728" t="s">
        <v>102</v>
      </c>
      <c r="G101" s="727">
        <v>2014</v>
      </c>
      <c r="H101" s="729">
        <v>30</v>
      </c>
      <c r="I101" s="65"/>
      <c r="J101" s="61"/>
      <c r="K101" s="62"/>
      <c r="L101" s="31">
        <v>2</v>
      </c>
      <c r="M101" s="34" t="str">
        <f t="shared" si="42"/>
        <v/>
      </c>
      <c r="N101" s="31"/>
      <c r="O101" s="34" t="str">
        <f t="shared" si="28"/>
        <v/>
      </c>
      <c r="P101" s="31"/>
      <c r="Q101" s="34" t="str">
        <f t="shared" si="44"/>
        <v/>
      </c>
      <c r="R101" s="36"/>
      <c r="S101" s="37" t="str">
        <f t="shared" si="45"/>
        <v/>
      </c>
      <c r="T101" s="36"/>
      <c r="U101" s="37" t="str">
        <f t="shared" si="29"/>
        <v/>
      </c>
      <c r="V101" s="31">
        <v>2</v>
      </c>
      <c r="W101" s="34" t="str">
        <f t="shared" si="46"/>
        <v/>
      </c>
      <c r="X101" s="31"/>
      <c r="Y101" s="34" t="str">
        <f t="shared" si="30"/>
        <v/>
      </c>
      <c r="Z101" s="31"/>
      <c r="AA101" s="34" t="str">
        <f t="shared" si="47"/>
        <v/>
      </c>
      <c r="AB101" s="31">
        <v>1</v>
      </c>
      <c r="AC101" s="34" t="str">
        <f t="shared" si="31"/>
        <v/>
      </c>
      <c r="AD101" s="31"/>
      <c r="AE101" s="34" t="str">
        <f t="shared" si="32"/>
        <v/>
      </c>
      <c r="AF101" s="31"/>
      <c r="AG101" s="34" t="str">
        <f t="shared" si="33"/>
        <v/>
      </c>
      <c r="AH101" s="31"/>
      <c r="AI101" s="34" t="str">
        <f t="shared" si="34"/>
        <v/>
      </c>
      <c r="AJ101" s="31"/>
      <c r="AK101" s="34" t="str">
        <f t="shared" si="35"/>
        <v/>
      </c>
      <c r="AL101" s="31"/>
      <c r="AM101" s="34" t="str">
        <f t="shared" si="36"/>
        <v/>
      </c>
      <c r="AN101" s="31"/>
      <c r="AO101" s="34" t="str">
        <f t="shared" si="37"/>
        <v/>
      </c>
      <c r="AP101" s="31"/>
      <c r="AQ101" s="34" t="str">
        <f t="shared" si="38"/>
        <v/>
      </c>
      <c r="AR101" s="31"/>
      <c r="AS101" s="34" t="str">
        <f t="shared" si="39"/>
        <v/>
      </c>
      <c r="AT101" s="31"/>
      <c r="AU101" s="34" t="str">
        <f t="shared" si="40"/>
        <v/>
      </c>
      <c r="AV101" s="31"/>
      <c r="AW101" s="34" t="str">
        <f t="shared" si="41"/>
        <v/>
      </c>
      <c r="AX101" s="28"/>
      <c r="AY101" s="34" t="str">
        <f t="shared" si="48"/>
        <v/>
      </c>
      <c r="AZ101" s="44"/>
      <c r="BA101" s="34" t="str">
        <f t="shared" si="43"/>
        <v/>
      </c>
      <c r="BB101" s="21" t="s">
        <v>381</v>
      </c>
    </row>
    <row r="102" spans="1:54" ht="20" customHeight="1" x14ac:dyDescent="0.2">
      <c r="A102" s="756"/>
      <c r="B102" s="721"/>
      <c r="C102" s="722"/>
      <c r="D102" s="722" t="s">
        <v>85</v>
      </c>
      <c r="E102" s="723" t="s">
        <v>656</v>
      </c>
      <c r="F102" s="723" t="s">
        <v>657</v>
      </c>
      <c r="G102" s="722">
        <v>2007</v>
      </c>
      <c r="H102" s="757"/>
      <c r="I102" s="65"/>
      <c r="J102" s="61" t="s">
        <v>213</v>
      </c>
      <c r="K102" s="62" t="s">
        <v>168</v>
      </c>
      <c r="L102" s="31"/>
      <c r="M102" s="34"/>
      <c r="N102" s="31"/>
      <c r="O102" s="34"/>
      <c r="P102" s="31"/>
      <c r="Q102" s="34"/>
      <c r="R102" s="31"/>
      <c r="S102" s="34"/>
      <c r="T102" s="31"/>
      <c r="U102" s="34"/>
      <c r="V102" s="31"/>
      <c r="W102" s="34"/>
      <c r="X102" s="31"/>
      <c r="Y102" s="34"/>
      <c r="Z102" s="31"/>
      <c r="AA102" s="34"/>
      <c r="AB102" s="31"/>
      <c r="AC102" s="34"/>
      <c r="AD102" s="31"/>
      <c r="AE102" s="34"/>
      <c r="AF102" s="31"/>
      <c r="AG102" s="34"/>
      <c r="AH102" s="31"/>
      <c r="AI102" s="34"/>
      <c r="AJ102" s="31"/>
      <c r="AK102" s="34"/>
      <c r="AL102" s="31"/>
      <c r="AM102" s="34"/>
      <c r="AN102" s="31"/>
      <c r="AO102" s="34"/>
      <c r="AP102" s="31"/>
      <c r="AQ102" s="34"/>
      <c r="AR102" s="31"/>
      <c r="AS102" s="34"/>
      <c r="AT102" s="31"/>
      <c r="AU102" s="34"/>
      <c r="AV102" s="31"/>
      <c r="AW102" s="34"/>
      <c r="AX102" s="56"/>
      <c r="AY102" s="34"/>
      <c r="AZ102" s="56"/>
      <c r="BA102" s="34"/>
    </row>
    <row r="103" spans="1:54" ht="20" customHeight="1" x14ac:dyDescent="0.2">
      <c r="A103" s="753"/>
      <c r="B103" s="725"/>
      <c r="C103" s="253"/>
      <c r="D103" s="722"/>
      <c r="E103" s="723" t="s">
        <v>294</v>
      </c>
      <c r="F103" s="723" t="s">
        <v>295</v>
      </c>
      <c r="G103" s="722">
        <v>2013</v>
      </c>
      <c r="H103" s="287"/>
      <c r="I103" s="65">
        <v>18</v>
      </c>
      <c r="J103" s="61"/>
      <c r="K103" s="62"/>
      <c r="L103" s="31"/>
      <c r="M103" s="34" t="str">
        <f t="shared" si="42"/>
        <v/>
      </c>
      <c r="N103" s="31"/>
      <c r="O103" s="34" t="str">
        <f t="shared" ref="O103:O137" si="49">IF((ISERROR((N103/$I103)*100)), "", IF(AND(NOT(ISERROR((N103/$I103)*100)),((N103/$I103)*100) &lt;&gt; 0), (N103/$I103)*100, ""))</f>
        <v/>
      </c>
      <c r="P103" s="31"/>
      <c r="Q103" s="34" t="str">
        <f t="shared" si="44"/>
        <v/>
      </c>
      <c r="R103" s="31"/>
      <c r="S103" s="34" t="str">
        <f t="shared" si="45"/>
        <v/>
      </c>
      <c r="T103" s="31"/>
      <c r="U103" s="34" t="str">
        <f t="shared" ref="U103:U137" si="50">IF((ISERROR((T103/$I103)*100)), "", IF(AND(NOT(ISERROR((T103/$I103)*100)),((T103/$I103)*100) &lt;&gt; 0), (T103/$I103)*100, ""))</f>
        <v/>
      </c>
      <c r="V103" s="31"/>
      <c r="W103" s="34" t="str">
        <f t="shared" si="46"/>
        <v/>
      </c>
      <c r="X103" s="31"/>
      <c r="Y103" s="34" t="str">
        <f t="shared" ref="Y103:Y137" si="51">IF((ISERROR((X103/$I103)*100)), "", IF(AND(NOT(ISERROR((X103/$I103)*100)),((X103/$I103)*100) &lt;&gt; 0), (X103/$I103)*100, ""))</f>
        <v/>
      </c>
      <c r="Z103" s="31"/>
      <c r="AA103" s="34" t="str">
        <f t="shared" si="47"/>
        <v/>
      </c>
      <c r="AB103" s="31"/>
      <c r="AC103" s="34" t="str">
        <f t="shared" ref="AC103:AC137" si="52">IF((ISERROR((AB103/$I103)*100)), "", IF(AND(NOT(ISERROR((AB103/$I103)*100)),((AB103/$I103)*100) &lt;&gt; 0), (AB103/$I103)*100, ""))</f>
        <v/>
      </c>
      <c r="AD103" s="31"/>
      <c r="AE103" s="34" t="str">
        <f t="shared" ref="AE103:AE137" si="53">IF((ISERROR((AD103/$I103)*100)), "", IF(AND(NOT(ISERROR((AD103/$I103)*100)),((AD103/$I103)*100) &lt;&gt; 0), (AD103/$I103)*100, ""))</f>
        <v/>
      </c>
      <c r="AF103" s="31"/>
      <c r="AG103" s="34" t="str">
        <f t="shared" ref="AG103:AG137" si="54">IF((ISERROR((AF103/$I103)*100)), "", IF(AND(NOT(ISERROR((AF103/$I103)*100)),((AF103/$I103)*100) &lt;&gt; 0), (AF103/$I103)*100, ""))</f>
        <v/>
      </c>
      <c r="AH103" s="31"/>
      <c r="AI103" s="34" t="str">
        <f t="shared" ref="AI103:AI137" si="55">IF((ISERROR((AH103/$I103)*100)), "", IF(AND(NOT(ISERROR((AH103/$I103)*100)),((AH103/$I103)*100) &lt;&gt; 0), (AH103/$I103)*100, ""))</f>
        <v/>
      </c>
      <c r="AJ103" s="31"/>
      <c r="AK103" s="34" t="str">
        <f t="shared" ref="AK103:AK137" si="56">IF((ISERROR((AJ103/$I103)*100)), "", IF(AND(NOT(ISERROR((AJ103/$I103)*100)),((AJ103/$I103)*100) &lt;&gt; 0), (AJ103/$I103)*100, ""))</f>
        <v/>
      </c>
      <c r="AL103" s="31"/>
      <c r="AM103" s="34" t="str">
        <f t="shared" ref="AM103:AM137" si="57">IF((ISERROR((AL103/$I103)*100)), "", IF(AND(NOT(ISERROR((AL103/$I103)*100)),((AL103/$I103)*100) &lt;&gt; 0), (AL103/$I103)*100, ""))</f>
        <v/>
      </c>
      <c r="AN103" s="31"/>
      <c r="AO103" s="34" t="str">
        <f t="shared" ref="AO103:AO137" si="58">IF((ISERROR((AN103/$I103)*100)), "", IF(AND(NOT(ISERROR((AN103/$I103)*100)),((AN103/$I103)*100) &lt;&gt; 0), (AN103/$I103)*100, ""))</f>
        <v/>
      </c>
      <c r="AP103" s="31"/>
      <c r="AQ103" s="34" t="str">
        <f t="shared" ref="AQ103:AQ137" si="59">IF((ISERROR((AP103/$I103)*100)), "", IF(AND(NOT(ISERROR((AP103/$I103)*100)),((AP103/$I103)*100) &lt;&gt; 0), (AP103/$I103)*100, ""))</f>
        <v/>
      </c>
      <c r="AR103" s="31"/>
      <c r="AS103" s="34" t="str">
        <f t="shared" ref="AS103:AS137" si="60">IF((ISERROR((AR103/$I103)*100)), "", IF(AND(NOT(ISERROR((AR103/$I103)*100)),((AR103/$I103)*100) &lt;&gt; 0), (AR103/$I103)*100, ""))</f>
        <v/>
      </c>
      <c r="AT103" s="31"/>
      <c r="AU103" s="34" t="str">
        <f t="shared" ref="AU103:AU137" si="61">IF((ISERROR((AT103/$I103)*100)), "", IF(AND(NOT(ISERROR((AT103/$I103)*100)),((AT103/$I103)*100) &lt;&gt; 0), (AT103/$I103)*100, ""))</f>
        <v/>
      </c>
      <c r="AV103" s="31"/>
      <c r="AW103" s="34" t="str">
        <f t="shared" ref="AW103:AW137" si="62">IF((ISERROR((AV103/$I103)*100)), "", IF(AND(NOT(ISERROR((AV103/$I103)*100)),((AV103/$I103)*100) &lt;&gt; 0), (AV103/$I103)*100, ""))</f>
        <v/>
      </c>
      <c r="AX103" s="29"/>
      <c r="AY103" s="34" t="str">
        <f t="shared" si="48"/>
        <v/>
      </c>
      <c r="AZ103" s="44"/>
      <c r="BA103" s="34" t="str">
        <f t="shared" si="43"/>
        <v/>
      </c>
      <c r="BB103" s="21" t="s">
        <v>358</v>
      </c>
    </row>
    <row r="104" spans="1:54" ht="20" customHeight="1" x14ac:dyDescent="0.2">
      <c r="A104" s="756"/>
      <c r="B104" s="721"/>
      <c r="C104" s="722"/>
      <c r="D104" s="722" t="s">
        <v>85</v>
      </c>
      <c r="E104" s="723" t="s">
        <v>658</v>
      </c>
      <c r="F104" s="723" t="s">
        <v>659</v>
      </c>
      <c r="G104" s="722">
        <v>2012</v>
      </c>
      <c r="H104" s="287"/>
      <c r="I104" s="65">
        <v>11</v>
      </c>
      <c r="J104" s="61"/>
      <c r="K104" s="62" t="s">
        <v>660</v>
      </c>
      <c r="L104" s="31"/>
      <c r="M104" s="34"/>
      <c r="N104" s="31"/>
      <c r="O104" s="34"/>
      <c r="P104" s="31"/>
      <c r="Q104" s="34"/>
      <c r="R104" s="31"/>
      <c r="S104" s="34"/>
      <c r="T104" s="31"/>
      <c r="U104" s="34"/>
      <c r="V104" s="31"/>
      <c r="W104" s="34"/>
      <c r="X104" s="31"/>
      <c r="Y104" s="34"/>
      <c r="Z104" s="31"/>
      <c r="AA104" s="34"/>
      <c r="AB104" s="31"/>
      <c r="AC104" s="34"/>
      <c r="AD104" s="31"/>
      <c r="AE104" s="34"/>
      <c r="AF104" s="31"/>
      <c r="AG104" s="34"/>
      <c r="AH104" s="31"/>
      <c r="AI104" s="34"/>
      <c r="AJ104" s="31"/>
      <c r="AK104" s="34"/>
      <c r="AL104" s="31"/>
      <c r="AM104" s="34"/>
      <c r="AN104" s="31"/>
      <c r="AO104" s="34"/>
      <c r="AP104" s="31"/>
      <c r="AQ104" s="34"/>
      <c r="AR104" s="31"/>
      <c r="AS104" s="34"/>
      <c r="AT104" s="31"/>
      <c r="AU104" s="34"/>
      <c r="AV104" s="31"/>
      <c r="AW104" s="34"/>
      <c r="AX104" s="56"/>
      <c r="AY104" s="34"/>
      <c r="AZ104" s="56"/>
      <c r="BA104" s="34"/>
    </row>
    <row r="105" spans="1:54" ht="20" customHeight="1" x14ac:dyDescent="0.2">
      <c r="A105" s="753"/>
      <c r="B105" s="725"/>
      <c r="C105" s="253"/>
      <c r="D105" s="722" t="s">
        <v>85</v>
      </c>
      <c r="E105" s="723" t="s">
        <v>296</v>
      </c>
      <c r="F105" s="723" t="s">
        <v>297</v>
      </c>
      <c r="G105" s="722">
        <v>2015</v>
      </c>
      <c r="H105" s="287"/>
      <c r="I105" s="65">
        <v>41</v>
      </c>
      <c r="J105" s="61" t="s">
        <v>184</v>
      </c>
      <c r="K105" s="62"/>
      <c r="L105" s="31"/>
      <c r="M105" s="34" t="str">
        <f t="shared" si="42"/>
        <v/>
      </c>
      <c r="N105" s="31"/>
      <c r="O105" s="34" t="str">
        <f t="shared" si="49"/>
        <v/>
      </c>
      <c r="P105" s="31"/>
      <c r="Q105" s="34" t="str">
        <f t="shared" si="44"/>
        <v/>
      </c>
      <c r="R105" s="31"/>
      <c r="S105" s="34" t="str">
        <f t="shared" si="45"/>
        <v/>
      </c>
      <c r="T105" s="31"/>
      <c r="U105" s="34" t="str">
        <f t="shared" si="50"/>
        <v/>
      </c>
      <c r="V105" s="31"/>
      <c r="W105" s="34" t="str">
        <f t="shared" si="46"/>
        <v/>
      </c>
      <c r="X105" s="31"/>
      <c r="Y105" s="34" t="str">
        <f t="shared" si="51"/>
        <v/>
      </c>
      <c r="Z105" s="31"/>
      <c r="AA105" s="34" t="str">
        <f t="shared" si="47"/>
        <v/>
      </c>
      <c r="AB105" s="31"/>
      <c r="AC105" s="34" t="str">
        <f t="shared" si="52"/>
        <v/>
      </c>
      <c r="AD105" s="31"/>
      <c r="AE105" s="34" t="str">
        <f t="shared" si="53"/>
        <v/>
      </c>
      <c r="AF105" s="31"/>
      <c r="AG105" s="34" t="str">
        <f t="shared" si="54"/>
        <v/>
      </c>
      <c r="AH105" s="31"/>
      <c r="AI105" s="34" t="str">
        <f t="shared" si="55"/>
        <v/>
      </c>
      <c r="AJ105" s="31"/>
      <c r="AK105" s="34" t="str">
        <f t="shared" si="56"/>
        <v/>
      </c>
      <c r="AL105" s="31"/>
      <c r="AM105" s="34" t="str">
        <f t="shared" si="57"/>
        <v/>
      </c>
      <c r="AN105" s="31"/>
      <c r="AO105" s="34" t="str">
        <f t="shared" si="58"/>
        <v/>
      </c>
      <c r="AP105" s="31"/>
      <c r="AQ105" s="34" t="str">
        <f t="shared" si="59"/>
        <v/>
      </c>
      <c r="AR105" s="31"/>
      <c r="AS105" s="34" t="str">
        <f t="shared" si="60"/>
        <v/>
      </c>
      <c r="AT105" s="31"/>
      <c r="AU105" s="34" t="str">
        <f t="shared" si="61"/>
        <v/>
      </c>
      <c r="AV105" s="31"/>
      <c r="AW105" s="34" t="str">
        <f t="shared" si="62"/>
        <v/>
      </c>
      <c r="AX105" s="56"/>
      <c r="AY105" s="34" t="str">
        <f t="shared" si="48"/>
        <v/>
      </c>
      <c r="AZ105" s="56"/>
      <c r="BA105" s="34" t="str">
        <f t="shared" si="43"/>
        <v/>
      </c>
      <c r="BB105" s="21" t="s">
        <v>359</v>
      </c>
    </row>
    <row r="106" spans="1:54" ht="20" customHeight="1" x14ac:dyDescent="0.2">
      <c r="A106" s="756"/>
      <c r="B106" s="721"/>
      <c r="C106" s="722"/>
      <c r="D106" s="722"/>
      <c r="E106" s="723" t="s">
        <v>661</v>
      </c>
      <c r="F106" s="723" t="s">
        <v>662</v>
      </c>
      <c r="G106" s="722">
        <v>1999</v>
      </c>
      <c r="H106" s="287"/>
      <c r="I106" s="65">
        <v>2</v>
      </c>
      <c r="J106" s="61" t="s">
        <v>664</v>
      </c>
      <c r="K106" s="62" t="s">
        <v>663</v>
      </c>
      <c r="L106" s="31"/>
      <c r="M106" s="34"/>
      <c r="N106" s="31"/>
      <c r="O106" s="34"/>
      <c r="P106" s="31"/>
      <c r="Q106" s="34"/>
      <c r="R106" s="31"/>
      <c r="S106" s="34"/>
      <c r="T106" s="31"/>
      <c r="U106" s="34"/>
      <c r="V106" s="31"/>
      <c r="W106" s="34"/>
      <c r="X106" s="31"/>
      <c r="Y106" s="34"/>
      <c r="Z106" s="31"/>
      <c r="AA106" s="34"/>
      <c r="AB106" s="31"/>
      <c r="AC106" s="34"/>
      <c r="AD106" s="31"/>
      <c r="AE106" s="34"/>
      <c r="AF106" s="31"/>
      <c r="AG106" s="34"/>
      <c r="AH106" s="31"/>
      <c r="AI106" s="34"/>
      <c r="AJ106" s="31"/>
      <c r="AK106" s="34"/>
      <c r="AL106" s="31"/>
      <c r="AM106" s="34"/>
      <c r="AN106" s="31"/>
      <c r="AO106" s="34"/>
      <c r="AP106" s="31"/>
      <c r="AQ106" s="34"/>
      <c r="AR106" s="31"/>
      <c r="AS106" s="34"/>
      <c r="AT106" s="31"/>
      <c r="AU106" s="34"/>
      <c r="AV106" s="31"/>
      <c r="AW106" s="34"/>
      <c r="AX106" s="56"/>
      <c r="AY106" s="34"/>
      <c r="AZ106" s="56"/>
      <c r="BA106" s="34"/>
    </row>
    <row r="107" spans="1:54" ht="20" customHeight="1" x14ac:dyDescent="0.2">
      <c r="A107" s="756"/>
      <c r="B107" s="725"/>
      <c r="C107" s="255"/>
      <c r="D107" s="722" t="s">
        <v>85</v>
      </c>
      <c r="E107" s="723" t="s">
        <v>665</v>
      </c>
      <c r="F107" s="723" t="s">
        <v>666</v>
      </c>
      <c r="G107" s="722">
        <v>2012</v>
      </c>
      <c r="H107" s="287"/>
      <c r="I107" s="65">
        <v>26</v>
      </c>
      <c r="J107" s="61" t="s">
        <v>220</v>
      </c>
      <c r="K107" s="62" t="s">
        <v>667</v>
      </c>
      <c r="L107" s="31"/>
      <c r="M107" s="34"/>
      <c r="N107" s="31"/>
      <c r="O107" s="34"/>
      <c r="P107" s="31"/>
      <c r="Q107" s="34"/>
      <c r="R107" s="31"/>
      <c r="S107" s="34"/>
      <c r="T107" s="31"/>
      <c r="U107" s="34"/>
      <c r="V107" s="31"/>
      <c r="W107" s="34"/>
      <c r="X107" s="31"/>
      <c r="Y107" s="34"/>
      <c r="Z107" s="31"/>
      <c r="AA107" s="34"/>
      <c r="AB107" s="31"/>
      <c r="AC107" s="34"/>
      <c r="AD107" s="31"/>
      <c r="AE107" s="34"/>
      <c r="AF107" s="31"/>
      <c r="AG107" s="34"/>
      <c r="AH107" s="31"/>
      <c r="AI107" s="34"/>
      <c r="AJ107" s="31"/>
      <c r="AK107" s="34"/>
      <c r="AL107" s="31"/>
      <c r="AM107" s="34"/>
      <c r="AN107" s="31"/>
      <c r="AO107" s="34"/>
      <c r="AP107" s="31"/>
      <c r="AQ107" s="34"/>
      <c r="AR107" s="31"/>
      <c r="AS107" s="34"/>
      <c r="AT107" s="31"/>
      <c r="AU107" s="34"/>
      <c r="AV107" s="31"/>
      <c r="AW107" s="34"/>
      <c r="AX107" s="56"/>
      <c r="AY107" s="34"/>
      <c r="AZ107" s="56"/>
      <c r="BA107" s="34"/>
    </row>
    <row r="108" spans="1:54" ht="20" customHeight="1" x14ac:dyDescent="0.2">
      <c r="A108" s="753"/>
      <c r="B108" s="725"/>
      <c r="C108" s="255"/>
      <c r="D108" s="722" t="s">
        <v>85</v>
      </c>
      <c r="E108" s="723" t="s">
        <v>103</v>
      </c>
      <c r="F108" s="723" t="s">
        <v>104</v>
      </c>
      <c r="G108" s="722">
        <v>1996</v>
      </c>
      <c r="H108" s="287">
        <v>12</v>
      </c>
      <c r="I108" s="65">
        <v>97</v>
      </c>
      <c r="J108" s="61" t="s">
        <v>202</v>
      </c>
      <c r="K108" s="62" t="s">
        <v>203</v>
      </c>
      <c r="L108" s="31">
        <v>3</v>
      </c>
      <c r="M108" s="34">
        <f t="shared" si="42"/>
        <v>3.0927835051546393</v>
      </c>
      <c r="N108" s="31">
        <v>6</v>
      </c>
      <c r="O108" s="34">
        <f t="shared" si="49"/>
        <v>6.1855670103092786</v>
      </c>
      <c r="P108" s="31"/>
      <c r="Q108" s="34" t="str">
        <f t="shared" si="44"/>
        <v/>
      </c>
      <c r="R108" s="31">
        <v>4</v>
      </c>
      <c r="S108" s="34">
        <f t="shared" si="45"/>
        <v>4.1237113402061851</v>
      </c>
      <c r="T108" s="31"/>
      <c r="U108" s="34" t="str">
        <f t="shared" si="50"/>
        <v/>
      </c>
      <c r="V108" s="31"/>
      <c r="W108" s="34" t="str">
        <f t="shared" si="46"/>
        <v/>
      </c>
      <c r="X108" s="31"/>
      <c r="Y108" s="34" t="str">
        <f t="shared" si="51"/>
        <v/>
      </c>
      <c r="Z108" s="31"/>
      <c r="AA108" s="34" t="str">
        <f t="shared" si="47"/>
        <v/>
      </c>
      <c r="AB108" s="31"/>
      <c r="AC108" s="34" t="str">
        <f t="shared" si="52"/>
        <v/>
      </c>
      <c r="AD108" s="31">
        <v>1</v>
      </c>
      <c r="AE108" s="34">
        <f t="shared" si="53"/>
        <v>1.0309278350515463</v>
      </c>
      <c r="AF108" s="31"/>
      <c r="AG108" s="34" t="str">
        <f t="shared" si="54"/>
        <v/>
      </c>
      <c r="AH108" s="31"/>
      <c r="AI108" s="34" t="str">
        <f t="shared" si="55"/>
        <v/>
      </c>
      <c r="AJ108" s="31">
        <v>1</v>
      </c>
      <c r="AK108" s="34">
        <f t="shared" si="56"/>
        <v>1.0309278350515463</v>
      </c>
      <c r="AL108" s="31"/>
      <c r="AM108" s="34" t="str">
        <f t="shared" si="57"/>
        <v/>
      </c>
      <c r="AN108" s="31"/>
      <c r="AO108" s="34" t="str">
        <f t="shared" si="58"/>
        <v/>
      </c>
      <c r="AP108" s="31"/>
      <c r="AQ108" s="34" t="str">
        <f t="shared" si="59"/>
        <v/>
      </c>
      <c r="AR108" s="31"/>
      <c r="AS108" s="34" t="str">
        <f t="shared" si="60"/>
        <v/>
      </c>
      <c r="AT108" s="31"/>
      <c r="AU108" s="34" t="str">
        <f t="shared" si="61"/>
        <v/>
      </c>
      <c r="AV108" s="31"/>
      <c r="AW108" s="34" t="str">
        <f t="shared" si="62"/>
        <v/>
      </c>
      <c r="AX108" s="28">
        <v>16</v>
      </c>
      <c r="AY108" s="34">
        <f t="shared" si="48"/>
        <v>16.494845360824741</v>
      </c>
      <c r="AZ108" s="44"/>
      <c r="BA108" s="34" t="str">
        <f t="shared" si="43"/>
        <v/>
      </c>
      <c r="BB108" s="21" t="s">
        <v>382</v>
      </c>
    </row>
    <row r="109" spans="1:54" ht="20" customHeight="1" x14ac:dyDescent="0.2">
      <c r="A109" s="756"/>
      <c r="B109" s="725"/>
      <c r="C109" s="722"/>
      <c r="D109" s="722" t="s">
        <v>85</v>
      </c>
      <c r="E109" s="723" t="s">
        <v>668</v>
      </c>
      <c r="F109" s="723" t="s">
        <v>669</v>
      </c>
      <c r="G109" s="722">
        <v>1998</v>
      </c>
      <c r="H109" s="287"/>
      <c r="I109" s="65">
        <v>25</v>
      </c>
      <c r="J109" s="61" t="s">
        <v>175</v>
      </c>
      <c r="K109" s="62" t="s">
        <v>191</v>
      </c>
      <c r="L109" s="31"/>
      <c r="M109" s="34"/>
      <c r="N109" s="31"/>
      <c r="O109" s="34"/>
      <c r="P109" s="31"/>
      <c r="Q109" s="34"/>
      <c r="R109" s="31"/>
      <c r="S109" s="34"/>
      <c r="T109" s="31"/>
      <c r="U109" s="34"/>
      <c r="V109" s="31"/>
      <c r="W109" s="34"/>
      <c r="X109" s="31"/>
      <c r="Y109" s="34"/>
      <c r="Z109" s="31"/>
      <c r="AA109" s="34"/>
      <c r="AB109" s="31"/>
      <c r="AC109" s="34"/>
      <c r="AD109" s="31"/>
      <c r="AE109" s="34"/>
      <c r="AF109" s="31"/>
      <c r="AG109" s="34"/>
      <c r="AH109" s="31"/>
      <c r="AI109" s="34"/>
      <c r="AJ109" s="31"/>
      <c r="AK109" s="34"/>
      <c r="AL109" s="31"/>
      <c r="AM109" s="34"/>
      <c r="AN109" s="31"/>
      <c r="AO109" s="34"/>
      <c r="AP109" s="31"/>
      <c r="AQ109" s="34"/>
      <c r="AR109" s="31"/>
      <c r="AS109" s="34"/>
      <c r="AT109" s="31"/>
      <c r="AU109" s="34"/>
      <c r="AV109" s="31"/>
      <c r="AW109" s="34"/>
      <c r="AX109" s="56"/>
      <c r="AY109" s="34"/>
      <c r="AZ109" s="56"/>
      <c r="BA109" s="34"/>
    </row>
    <row r="110" spans="1:54" ht="20" customHeight="1" x14ac:dyDescent="0.2">
      <c r="A110" s="753"/>
      <c r="B110" s="725"/>
      <c r="C110" s="253"/>
      <c r="D110" s="722" t="s">
        <v>85</v>
      </c>
      <c r="E110" s="723" t="s">
        <v>298</v>
      </c>
      <c r="F110" s="723" t="s">
        <v>299</v>
      </c>
      <c r="G110" s="722">
        <v>2009</v>
      </c>
      <c r="H110" s="287"/>
      <c r="I110" s="65">
        <v>68</v>
      </c>
      <c r="J110" s="61" t="s">
        <v>213</v>
      </c>
      <c r="K110" s="62" t="s">
        <v>360</v>
      </c>
      <c r="L110" s="31"/>
      <c r="M110" s="34" t="str">
        <f t="shared" si="42"/>
        <v/>
      </c>
      <c r="N110" s="31"/>
      <c r="O110" s="34" t="str">
        <f t="shared" si="49"/>
        <v/>
      </c>
      <c r="P110" s="31"/>
      <c r="Q110" s="34" t="str">
        <f t="shared" si="44"/>
        <v/>
      </c>
      <c r="R110" s="31"/>
      <c r="S110" s="34" t="str">
        <f t="shared" si="45"/>
        <v/>
      </c>
      <c r="T110" s="31"/>
      <c r="U110" s="34" t="str">
        <f t="shared" si="50"/>
        <v/>
      </c>
      <c r="V110" s="31"/>
      <c r="W110" s="34" t="str">
        <f t="shared" si="46"/>
        <v/>
      </c>
      <c r="X110" s="31"/>
      <c r="Y110" s="34" t="str">
        <f t="shared" si="51"/>
        <v/>
      </c>
      <c r="Z110" s="31"/>
      <c r="AA110" s="34" t="str">
        <f t="shared" si="47"/>
        <v/>
      </c>
      <c r="AB110" s="31"/>
      <c r="AC110" s="34" t="str">
        <f t="shared" si="52"/>
        <v/>
      </c>
      <c r="AD110" s="31"/>
      <c r="AE110" s="34" t="str">
        <f t="shared" si="53"/>
        <v/>
      </c>
      <c r="AF110" s="31"/>
      <c r="AG110" s="34" t="str">
        <f t="shared" si="54"/>
        <v/>
      </c>
      <c r="AH110" s="31"/>
      <c r="AI110" s="34" t="str">
        <f t="shared" si="55"/>
        <v/>
      </c>
      <c r="AJ110" s="31"/>
      <c r="AK110" s="34" t="str">
        <f t="shared" si="56"/>
        <v/>
      </c>
      <c r="AL110" s="31"/>
      <c r="AM110" s="34" t="str">
        <f t="shared" si="57"/>
        <v/>
      </c>
      <c r="AN110" s="31"/>
      <c r="AO110" s="34" t="str">
        <f t="shared" si="58"/>
        <v/>
      </c>
      <c r="AP110" s="31"/>
      <c r="AQ110" s="34" t="str">
        <f t="shared" si="59"/>
        <v/>
      </c>
      <c r="AR110" s="31"/>
      <c r="AS110" s="34" t="str">
        <f t="shared" si="60"/>
        <v/>
      </c>
      <c r="AT110" s="31"/>
      <c r="AU110" s="34" t="str">
        <f t="shared" si="61"/>
        <v/>
      </c>
      <c r="AV110" s="31"/>
      <c r="AW110" s="34" t="str">
        <f t="shared" si="62"/>
        <v/>
      </c>
      <c r="AX110" s="56"/>
      <c r="AY110" s="34"/>
      <c r="AZ110" s="56"/>
      <c r="BA110" s="34" t="str">
        <f t="shared" si="43"/>
        <v/>
      </c>
      <c r="BB110" s="21" t="s">
        <v>414</v>
      </c>
    </row>
    <row r="111" spans="1:54" ht="20" customHeight="1" x14ac:dyDescent="0.2">
      <c r="A111" s="753"/>
      <c r="B111" s="721"/>
      <c r="C111" s="722"/>
      <c r="D111" s="722" t="s">
        <v>85</v>
      </c>
      <c r="E111" s="723" t="s">
        <v>105</v>
      </c>
      <c r="F111" s="723" t="s">
        <v>106</v>
      </c>
      <c r="G111" s="722">
        <v>1989</v>
      </c>
      <c r="H111" s="287">
        <v>27</v>
      </c>
      <c r="I111" s="65"/>
      <c r="J111" s="61" t="s">
        <v>208</v>
      </c>
      <c r="K111" s="62" t="s">
        <v>177</v>
      </c>
      <c r="L111" s="31"/>
      <c r="M111" s="34" t="str">
        <f t="shared" si="42"/>
        <v/>
      </c>
      <c r="N111" s="31"/>
      <c r="O111" s="34" t="str">
        <f t="shared" si="49"/>
        <v/>
      </c>
      <c r="P111" s="31"/>
      <c r="Q111" s="34" t="str">
        <f t="shared" si="44"/>
        <v/>
      </c>
      <c r="R111" s="31"/>
      <c r="S111" s="34" t="str">
        <f t="shared" si="45"/>
        <v/>
      </c>
      <c r="T111" s="31"/>
      <c r="U111" s="34" t="str">
        <f t="shared" si="50"/>
        <v/>
      </c>
      <c r="V111" s="31"/>
      <c r="W111" s="34" t="str">
        <f t="shared" si="46"/>
        <v/>
      </c>
      <c r="X111" s="31"/>
      <c r="Y111" s="34" t="str">
        <f t="shared" si="51"/>
        <v/>
      </c>
      <c r="Z111" s="36"/>
      <c r="AA111" s="37" t="str">
        <f t="shared" si="47"/>
        <v/>
      </c>
      <c r="AB111" s="31"/>
      <c r="AC111" s="34" t="str">
        <f t="shared" si="52"/>
        <v/>
      </c>
      <c r="AD111" s="31"/>
      <c r="AE111" s="34" t="str">
        <f t="shared" si="53"/>
        <v/>
      </c>
      <c r="AF111" s="31"/>
      <c r="AG111" s="34" t="str">
        <f t="shared" si="54"/>
        <v/>
      </c>
      <c r="AH111" s="31"/>
      <c r="AI111" s="34" t="str">
        <f t="shared" si="55"/>
        <v/>
      </c>
      <c r="AJ111" s="31"/>
      <c r="AK111" s="34" t="str">
        <f t="shared" si="56"/>
        <v/>
      </c>
      <c r="AL111" s="31"/>
      <c r="AM111" s="34" t="str">
        <f t="shared" si="57"/>
        <v/>
      </c>
      <c r="AN111" s="31"/>
      <c r="AO111" s="34" t="str">
        <f t="shared" si="58"/>
        <v/>
      </c>
      <c r="AP111" s="31"/>
      <c r="AQ111" s="34" t="str">
        <f t="shared" si="59"/>
        <v/>
      </c>
      <c r="AR111" s="31"/>
      <c r="AS111" s="34" t="str">
        <f t="shared" si="60"/>
        <v/>
      </c>
      <c r="AT111" s="31"/>
      <c r="AU111" s="34" t="str">
        <f t="shared" si="61"/>
        <v/>
      </c>
      <c r="AV111" s="31"/>
      <c r="AW111" s="34" t="str">
        <f t="shared" si="62"/>
        <v/>
      </c>
      <c r="AX111" s="56"/>
      <c r="AY111" s="34" t="str">
        <f t="shared" ref="AY111:AY137" si="63">IF((ISERROR((AX111/$I111)*100)), "", IF(AND(NOT(ISERROR((AX111/$I111)*100)),((AX111/$I111)*100) &lt;&gt; 0), (AX111/$I111)*100, ""))</f>
        <v/>
      </c>
      <c r="AZ111" s="56"/>
      <c r="BA111" s="34" t="str">
        <f t="shared" si="43"/>
        <v/>
      </c>
    </row>
    <row r="112" spans="1:54" ht="20" customHeight="1" x14ac:dyDescent="0.2">
      <c r="A112" s="753"/>
      <c r="B112" s="721"/>
      <c r="C112" s="253"/>
      <c r="D112" s="722" t="s">
        <v>85</v>
      </c>
      <c r="E112" s="723" t="s">
        <v>300</v>
      </c>
      <c r="F112" s="723" t="s">
        <v>301</v>
      </c>
      <c r="G112" s="722">
        <v>2011</v>
      </c>
      <c r="H112" s="287"/>
      <c r="I112" s="65"/>
      <c r="J112" s="61"/>
      <c r="K112" s="62"/>
      <c r="L112" s="31"/>
      <c r="M112" s="34" t="str">
        <f t="shared" si="42"/>
        <v/>
      </c>
      <c r="N112" s="31"/>
      <c r="O112" s="34" t="str">
        <f t="shared" si="49"/>
        <v/>
      </c>
      <c r="P112" s="31"/>
      <c r="Q112" s="34" t="str">
        <f t="shared" si="44"/>
        <v/>
      </c>
      <c r="R112" s="31"/>
      <c r="S112" s="34" t="str">
        <f t="shared" si="45"/>
        <v/>
      </c>
      <c r="T112" s="31"/>
      <c r="U112" s="34" t="str">
        <f t="shared" si="50"/>
        <v/>
      </c>
      <c r="V112" s="31"/>
      <c r="W112" s="34" t="str">
        <f t="shared" si="46"/>
        <v/>
      </c>
      <c r="X112" s="31"/>
      <c r="Y112" s="34" t="str">
        <f t="shared" si="51"/>
        <v/>
      </c>
      <c r="Z112" s="31"/>
      <c r="AA112" s="34" t="str">
        <f t="shared" si="47"/>
        <v/>
      </c>
      <c r="AB112" s="31"/>
      <c r="AC112" s="34" t="str">
        <f t="shared" si="52"/>
        <v/>
      </c>
      <c r="AD112" s="31"/>
      <c r="AE112" s="34" t="str">
        <f t="shared" si="53"/>
        <v/>
      </c>
      <c r="AF112" s="31"/>
      <c r="AG112" s="34" t="str">
        <f t="shared" si="54"/>
        <v/>
      </c>
      <c r="AH112" s="31"/>
      <c r="AI112" s="34" t="str">
        <f t="shared" si="55"/>
        <v/>
      </c>
      <c r="AJ112" s="31"/>
      <c r="AK112" s="34" t="str">
        <f t="shared" si="56"/>
        <v/>
      </c>
      <c r="AL112" s="31"/>
      <c r="AM112" s="34" t="str">
        <f t="shared" si="57"/>
        <v/>
      </c>
      <c r="AN112" s="31"/>
      <c r="AO112" s="34" t="str">
        <f t="shared" si="58"/>
        <v/>
      </c>
      <c r="AP112" s="31"/>
      <c r="AQ112" s="34" t="str">
        <f t="shared" si="59"/>
        <v/>
      </c>
      <c r="AR112" s="31"/>
      <c r="AS112" s="34" t="str">
        <f t="shared" si="60"/>
        <v/>
      </c>
      <c r="AT112" s="31"/>
      <c r="AU112" s="34" t="str">
        <f t="shared" si="61"/>
        <v/>
      </c>
      <c r="AV112" s="31"/>
      <c r="AW112" s="34" t="str">
        <f t="shared" si="62"/>
        <v/>
      </c>
      <c r="AX112" s="56"/>
      <c r="AY112" s="34" t="str">
        <f t="shared" si="63"/>
        <v/>
      </c>
      <c r="AZ112" s="56"/>
      <c r="BA112" s="34" t="str">
        <f t="shared" si="43"/>
        <v/>
      </c>
      <c r="BB112" s="21" t="s">
        <v>361</v>
      </c>
    </row>
    <row r="113" spans="1:54" ht="20" customHeight="1" x14ac:dyDescent="0.2">
      <c r="A113" s="756"/>
      <c r="B113" s="721"/>
      <c r="C113" s="722"/>
      <c r="D113" s="722" t="s">
        <v>85</v>
      </c>
      <c r="E113" s="723" t="s">
        <v>670</v>
      </c>
      <c r="F113" s="723" t="s">
        <v>671</v>
      </c>
      <c r="G113" s="722">
        <v>2003</v>
      </c>
      <c r="H113" s="287"/>
      <c r="I113" s="65"/>
      <c r="J113" s="61" t="s">
        <v>672</v>
      </c>
      <c r="K113" s="62" t="s">
        <v>177</v>
      </c>
      <c r="L113" s="31"/>
      <c r="M113" s="34"/>
      <c r="N113" s="31"/>
      <c r="O113" s="34"/>
      <c r="P113" s="31"/>
      <c r="Q113" s="34"/>
      <c r="R113" s="31"/>
      <c r="S113" s="34"/>
      <c r="T113" s="31"/>
      <c r="U113" s="34"/>
      <c r="V113" s="31"/>
      <c r="W113" s="34"/>
      <c r="X113" s="31"/>
      <c r="Y113" s="34"/>
      <c r="Z113" s="31"/>
      <c r="AA113" s="34"/>
      <c r="AB113" s="31"/>
      <c r="AC113" s="34"/>
      <c r="AD113" s="31"/>
      <c r="AE113" s="34"/>
      <c r="AF113" s="31"/>
      <c r="AG113" s="34"/>
      <c r="AH113" s="31"/>
      <c r="AI113" s="34"/>
      <c r="AJ113" s="31"/>
      <c r="AK113" s="34"/>
      <c r="AL113" s="31"/>
      <c r="AM113" s="34"/>
      <c r="AN113" s="31"/>
      <c r="AO113" s="34"/>
      <c r="AP113" s="31"/>
      <c r="AQ113" s="34"/>
      <c r="AR113" s="31"/>
      <c r="AS113" s="34"/>
      <c r="AT113" s="31"/>
      <c r="AU113" s="34"/>
      <c r="AV113" s="31"/>
      <c r="AW113" s="34"/>
      <c r="AX113" s="56"/>
      <c r="AY113" s="34"/>
      <c r="AZ113" s="56"/>
      <c r="BA113" s="34"/>
    </row>
    <row r="114" spans="1:54" ht="20" customHeight="1" x14ac:dyDescent="0.2">
      <c r="A114" s="753"/>
      <c r="B114" s="721"/>
      <c r="C114" s="255"/>
      <c r="D114" s="722" t="s">
        <v>85</v>
      </c>
      <c r="E114" s="723" t="s">
        <v>302</v>
      </c>
      <c r="F114" s="723" t="s">
        <v>303</v>
      </c>
      <c r="G114" s="722">
        <v>1977</v>
      </c>
      <c r="H114" s="287"/>
      <c r="I114" s="65">
        <v>5</v>
      </c>
      <c r="J114" s="61" t="s">
        <v>362</v>
      </c>
      <c r="K114" s="62"/>
      <c r="L114" s="31"/>
      <c r="M114" s="34" t="str">
        <f t="shared" si="42"/>
        <v/>
      </c>
      <c r="N114" s="31"/>
      <c r="O114" s="34" t="str">
        <f t="shared" si="49"/>
        <v/>
      </c>
      <c r="P114" s="31"/>
      <c r="Q114" s="34" t="str">
        <f t="shared" si="44"/>
        <v/>
      </c>
      <c r="R114" s="31"/>
      <c r="S114" s="34" t="str">
        <f t="shared" si="45"/>
        <v/>
      </c>
      <c r="T114" s="31"/>
      <c r="U114" s="34" t="str">
        <f t="shared" si="50"/>
        <v/>
      </c>
      <c r="V114" s="31">
        <v>5</v>
      </c>
      <c r="W114" s="34">
        <f t="shared" si="46"/>
        <v>100</v>
      </c>
      <c r="X114" s="31"/>
      <c r="Y114" s="34" t="str">
        <f t="shared" si="51"/>
        <v/>
      </c>
      <c r="Z114" s="31"/>
      <c r="AA114" s="34" t="str">
        <f t="shared" si="47"/>
        <v/>
      </c>
      <c r="AB114" s="31"/>
      <c r="AC114" s="34" t="str">
        <f t="shared" si="52"/>
        <v/>
      </c>
      <c r="AD114" s="31"/>
      <c r="AE114" s="34" t="str">
        <f t="shared" si="53"/>
        <v/>
      </c>
      <c r="AF114" s="31"/>
      <c r="AG114" s="34" t="str">
        <f t="shared" si="54"/>
        <v/>
      </c>
      <c r="AH114" s="31"/>
      <c r="AI114" s="34" t="str">
        <f t="shared" si="55"/>
        <v/>
      </c>
      <c r="AJ114" s="31"/>
      <c r="AK114" s="34" t="str">
        <f t="shared" si="56"/>
        <v/>
      </c>
      <c r="AL114" s="31"/>
      <c r="AM114" s="34" t="str">
        <f t="shared" si="57"/>
        <v/>
      </c>
      <c r="AN114" s="31"/>
      <c r="AO114" s="34" t="str">
        <f t="shared" si="58"/>
        <v/>
      </c>
      <c r="AP114" s="31"/>
      <c r="AQ114" s="34" t="str">
        <f t="shared" si="59"/>
        <v/>
      </c>
      <c r="AR114" s="31"/>
      <c r="AS114" s="34" t="str">
        <f t="shared" si="60"/>
        <v/>
      </c>
      <c r="AT114" s="31"/>
      <c r="AU114" s="34" t="str">
        <f t="shared" si="61"/>
        <v/>
      </c>
      <c r="AV114" s="31"/>
      <c r="AW114" s="34" t="str">
        <f t="shared" si="62"/>
        <v/>
      </c>
      <c r="AX114" s="56"/>
      <c r="AY114" s="34" t="str">
        <f t="shared" si="63"/>
        <v/>
      </c>
      <c r="AZ114" s="56"/>
      <c r="BA114" s="34" t="str">
        <f t="shared" si="43"/>
        <v/>
      </c>
      <c r="BB114" s="21" t="s">
        <v>363</v>
      </c>
    </row>
    <row r="115" spans="1:54" ht="20" customHeight="1" x14ac:dyDescent="0.2">
      <c r="A115" s="753"/>
      <c r="B115" s="725"/>
      <c r="C115" s="255"/>
      <c r="D115" s="722" t="s">
        <v>85</v>
      </c>
      <c r="E115" s="723" t="s">
        <v>107</v>
      </c>
      <c r="F115" s="723" t="s">
        <v>108</v>
      </c>
      <c r="G115" s="722">
        <v>2008</v>
      </c>
      <c r="H115" s="287">
        <v>54</v>
      </c>
      <c r="I115" s="65">
        <v>12</v>
      </c>
      <c r="J115" s="61" t="s">
        <v>167</v>
      </c>
      <c r="K115" s="62" t="s">
        <v>209</v>
      </c>
      <c r="L115" s="31">
        <v>1</v>
      </c>
      <c r="M115" s="34">
        <f t="shared" si="42"/>
        <v>8.3333333333333321</v>
      </c>
      <c r="N115" s="31"/>
      <c r="O115" s="34" t="str">
        <f t="shared" si="49"/>
        <v/>
      </c>
      <c r="P115" s="31"/>
      <c r="Q115" s="34" t="str">
        <f t="shared" si="44"/>
        <v/>
      </c>
      <c r="R115" s="31"/>
      <c r="S115" s="34" t="str">
        <f t="shared" si="45"/>
        <v/>
      </c>
      <c r="T115" s="31"/>
      <c r="U115" s="34" t="str">
        <f t="shared" si="50"/>
        <v/>
      </c>
      <c r="V115" s="31"/>
      <c r="W115" s="34" t="str">
        <f t="shared" si="46"/>
        <v/>
      </c>
      <c r="X115" s="31"/>
      <c r="Y115" s="34" t="str">
        <f t="shared" si="51"/>
        <v/>
      </c>
      <c r="Z115" s="31"/>
      <c r="AA115" s="34" t="str">
        <f t="shared" si="47"/>
        <v/>
      </c>
      <c r="AB115" s="31"/>
      <c r="AC115" s="34" t="str">
        <f t="shared" si="52"/>
        <v/>
      </c>
      <c r="AD115" s="31"/>
      <c r="AE115" s="34" t="str">
        <f t="shared" si="53"/>
        <v/>
      </c>
      <c r="AF115" s="31"/>
      <c r="AG115" s="34" t="str">
        <f t="shared" si="54"/>
        <v/>
      </c>
      <c r="AH115" s="31"/>
      <c r="AI115" s="34" t="str">
        <f t="shared" si="55"/>
        <v/>
      </c>
      <c r="AJ115" s="31"/>
      <c r="AK115" s="34" t="str">
        <f t="shared" si="56"/>
        <v/>
      </c>
      <c r="AL115" s="31"/>
      <c r="AM115" s="34" t="str">
        <f t="shared" si="57"/>
        <v/>
      </c>
      <c r="AN115" s="31">
        <v>1</v>
      </c>
      <c r="AO115" s="34">
        <f t="shared" si="58"/>
        <v>8.3333333333333321</v>
      </c>
      <c r="AP115" s="31"/>
      <c r="AQ115" s="34" t="str">
        <f t="shared" si="59"/>
        <v/>
      </c>
      <c r="AR115" s="31"/>
      <c r="AS115" s="34" t="str">
        <f t="shared" si="60"/>
        <v/>
      </c>
      <c r="AT115" s="31"/>
      <c r="AU115" s="34" t="str">
        <f t="shared" si="61"/>
        <v/>
      </c>
      <c r="AV115" s="31"/>
      <c r="AW115" s="34" t="str">
        <f t="shared" si="62"/>
        <v/>
      </c>
      <c r="AX115" s="56"/>
      <c r="AY115" s="34" t="str">
        <f t="shared" si="63"/>
        <v/>
      </c>
      <c r="AZ115" s="56"/>
      <c r="BA115" s="34" t="str">
        <f t="shared" si="43"/>
        <v/>
      </c>
      <c r="BB115" s="21" t="s">
        <v>415</v>
      </c>
    </row>
    <row r="116" spans="1:54" ht="20" customHeight="1" x14ac:dyDescent="0.2">
      <c r="A116" s="753"/>
      <c r="B116" s="725"/>
      <c r="C116" s="253"/>
      <c r="D116" s="722" t="s">
        <v>85</v>
      </c>
      <c r="E116" s="723" t="s">
        <v>109</v>
      </c>
      <c r="F116" s="723" t="s">
        <v>110</v>
      </c>
      <c r="G116" s="722">
        <v>1999</v>
      </c>
      <c r="H116" s="287">
        <v>76</v>
      </c>
      <c r="I116" s="65">
        <v>7</v>
      </c>
      <c r="J116" s="61" t="s">
        <v>175</v>
      </c>
      <c r="K116" s="62" t="s">
        <v>191</v>
      </c>
      <c r="L116" s="31"/>
      <c r="M116" s="34" t="str">
        <f t="shared" si="42"/>
        <v/>
      </c>
      <c r="N116" s="31"/>
      <c r="O116" s="34" t="str">
        <f t="shared" si="49"/>
        <v/>
      </c>
      <c r="P116" s="31"/>
      <c r="Q116" s="34" t="str">
        <f t="shared" si="44"/>
        <v/>
      </c>
      <c r="R116" s="31"/>
      <c r="S116" s="34" t="str">
        <f t="shared" si="45"/>
        <v/>
      </c>
      <c r="T116" s="31"/>
      <c r="U116" s="34" t="str">
        <f t="shared" si="50"/>
        <v/>
      </c>
      <c r="V116" s="31"/>
      <c r="W116" s="34" t="str">
        <f t="shared" si="46"/>
        <v/>
      </c>
      <c r="X116" s="31"/>
      <c r="Y116" s="34" t="str">
        <f t="shared" si="51"/>
        <v/>
      </c>
      <c r="Z116" s="31"/>
      <c r="AA116" s="34" t="str">
        <f t="shared" si="47"/>
        <v/>
      </c>
      <c r="AB116" s="31"/>
      <c r="AC116" s="34" t="str">
        <f t="shared" si="52"/>
        <v/>
      </c>
      <c r="AD116" s="31"/>
      <c r="AE116" s="34" t="str">
        <f t="shared" si="53"/>
        <v/>
      </c>
      <c r="AF116" s="31"/>
      <c r="AG116" s="34" t="str">
        <f t="shared" si="54"/>
        <v/>
      </c>
      <c r="AH116" s="31"/>
      <c r="AI116" s="34" t="str">
        <f t="shared" si="55"/>
        <v/>
      </c>
      <c r="AJ116" s="31"/>
      <c r="AK116" s="34" t="str">
        <f t="shared" si="56"/>
        <v/>
      </c>
      <c r="AL116" s="31"/>
      <c r="AM116" s="34" t="str">
        <f t="shared" si="57"/>
        <v/>
      </c>
      <c r="AN116" s="31"/>
      <c r="AO116" s="34" t="str">
        <f t="shared" si="58"/>
        <v/>
      </c>
      <c r="AP116" s="31"/>
      <c r="AQ116" s="34" t="str">
        <f t="shared" si="59"/>
        <v/>
      </c>
      <c r="AR116" s="31"/>
      <c r="AS116" s="34" t="str">
        <f t="shared" si="60"/>
        <v/>
      </c>
      <c r="AT116" s="31"/>
      <c r="AU116" s="34" t="str">
        <f t="shared" si="61"/>
        <v/>
      </c>
      <c r="AV116" s="31"/>
      <c r="AW116" s="34" t="str">
        <f t="shared" si="62"/>
        <v/>
      </c>
      <c r="AX116" s="56"/>
      <c r="AY116" s="34" t="str">
        <f t="shared" si="63"/>
        <v/>
      </c>
      <c r="AZ116" s="56"/>
      <c r="BA116" s="34" t="str">
        <f t="shared" si="43"/>
        <v/>
      </c>
      <c r="BB116" s="21" t="s">
        <v>180</v>
      </c>
    </row>
    <row r="117" spans="1:54" ht="20" customHeight="1" x14ac:dyDescent="0.2">
      <c r="A117" s="753"/>
      <c r="B117" s="721"/>
      <c r="C117" s="253"/>
      <c r="D117" s="722" t="s">
        <v>85</v>
      </c>
      <c r="E117" s="723" t="s">
        <v>111</v>
      </c>
      <c r="F117" s="723" t="s">
        <v>112</v>
      </c>
      <c r="G117" s="722">
        <v>2008</v>
      </c>
      <c r="H117" s="287">
        <v>101</v>
      </c>
      <c r="I117" s="65">
        <v>16</v>
      </c>
      <c r="J117" s="61" t="s">
        <v>210</v>
      </c>
      <c r="K117" s="62"/>
      <c r="L117" s="31"/>
      <c r="M117" s="34" t="str">
        <f t="shared" si="42"/>
        <v/>
      </c>
      <c r="N117" s="31"/>
      <c r="O117" s="34" t="str">
        <f t="shared" si="49"/>
        <v/>
      </c>
      <c r="P117" s="31"/>
      <c r="Q117" s="34" t="str">
        <f t="shared" si="44"/>
        <v/>
      </c>
      <c r="R117" s="31"/>
      <c r="S117" s="34" t="str">
        <f t="shared" si="45"/>
        <v/>
      </c>
      <c r="T117" s="31"/>
      <c r="U117" s="34" t="str">
        <f t="shared" si="50"/>
        <v/>
      </c>
      <c r="V117" s="31"/>
      <c r="W117" s="34" t="str">
        <f t="shared" si="46"/>
        <v/>
      </c>
      <c r="X117" s="31"/>
      <c r="Y117" s="34" t="str">
        <f t="shared" si="51"/>
        <v/>
      </c>
      <c r="Z117" s="31"/>
      <c r="AA117" s="34" t="str">
        <f t="shared" si="47"/>
        <v/>
      </c>
      <c r="AB117" s="31"/>
      <c r="AC117" s="34" t="str">
        <f t="shared" si="52"/>
        <v/>
      </c>
      <c r="AD117" s="31"/>
      <c r="AE117" s="34" t="str">
        <f t="shared" si="53"/>
        <v/>
      </c>
      <c r="AF117" s="31"/>
      <c r="AG117" s="34" t="str">
        <f t="shared" si="54"/>
        <v/>
      </c>
      <c r="AH117" s="31"/>
      <c r="AI117" s="34" t="str">
        <f t="shared" si="55"/>
        <v/>
      </c>
      <c r="AJ117" s="31"/>
      <c r="AK117" s="34" t="str">
        <f t="shared" si="56"/>
        <v/>
      </c>
      <c r="AL117" s="31"/>
      <c r="AM117" s="34" t="str">
        <f t="shared" si="57"/>
        <v/>
      </c>
      <c r="AN117" s="31"/>
      <c r="AO117" s="34" t="str">
        <f t="shared" si="58"/>
        <v/>
      </c>
      <c r="AP117" s="31"/>
      <c r="AQ117" s="34" t="str">
        <f t="shared" si="59"/>
        <v/>
      </c>
      <c r="AR117" s="31"/>
      <c r="AS117" s="34" t="str">
        <f t="shared" si="60"/>
        <v/>
      </c>
      <c r="AT117" s="31"/>
      <c r="AU117" s="34" t="str">
        <f t="shared" si="61"/>
        <v/>
      </c>
      <c r="AV117" s="31"/>
      <c r="AW117" s="34" t="str">
        <f t="shared" si="62"/>
        <v/>
      </c>
      <c r="AX117" s="56"/>
      <c r="AY117" s="34" t="str">
        <f t="shared" si="63"/>
        <v/>
      </c>
      <c r="AZ117" s="56"/>
      <c r="BA117" s="34" t="str">
        <f t="shared" si="43"/>
        <v/>
      </c>
      <c r="BB117" s="21" t="s">
        <v>383</v>
      </c>
    </row>
    <row r="118" spans="1:54" ht="20" customHeight="1" x14ac:dyDescent="0.2">
      <c r="A118" s="756"/>
      <c r="B118" s="721"/>
      <c r="C118" s="722"/>
      <c r="D118" s="722" t="s">
        <v>85</v>
      </c>
      <c r="E118" s="723" t="s">
        <v>673</v>
      </c>
      <c r="F118" s="723" t="s">
        <v>674</v>
      </c>
      <c r="G118" s="722">
        <v>2003</v>
      </c>
      <c r="H118" s="287"/>
      <c r="I118" s="65">
        <v>15</v>
      </c>
      <c r="J118" s="61" t="s">
        <v>213</v>
      </c>
      <c r="K118" s="62" t="s">
        <v>675</v>
      </c>
      <c r="L118" s="31"/>
      <c r="M118" s="34"/>
      <c r="N118" s="31"/>
      <c r="O118" s="34"/>
      <c r="P118" s="31"/>
      <c r="Q118" s="34"/>
      <c r="R118" s="31"/>
      <c r="S118" s="34"/>
      <c r="T118" s="31"/>
      <c r="U118" s="34"/>
      <c r="V118" s="31"/>
      <c r="W118" s="34"/>
      <c r="X118" s="31"/>
      <c r="Y118" s="34"/>
      <c r="Z118" s="31"/>
      <c r="AA118" s="34"/>
      <c r="AB118" s="31"/>
      <c r="AC118" s="34"/>
      <c r="AD118" s="31"/>
      <c r="AE118" s="34"/>
      <c r="AF118" s="31"/>
      <c r="AG118" s="34"/>
      <c r="AH118" s="31"/>
      <c r="AI118" s="34"/>
      <c r="AJ118" s="31"/>
      <c r="AK118" s="34"/>
      <c r="AL118" s="31"/>
      <c r="AM118" s="34"/>
      <c r="AN118" s="31"/>
      <c r="AO118" s="34"/>
      <c r="AP118" s="31"/>
      <c r="AQ118" s="34"/>
      <c r="AR118" s="31"/>
      <c r="AS118" s="34"/>
      <c r="AT118" s="31"/>
      <c r="AU118" s="34"/>
      <c r="AV118" s="31"/>
      <c r="AW118" s="34"/>
      <c r="AX118" s="56"/>
      <c r="AY118" s="34"/>
      <c r="AZ118" s="56"/>
      <c r="BA118" s="34"/>
    </row>
    <row r="119" spans="1:54" ht="20" customHeight="1" x14ac:dyDescent="0.2">
      <c r="A119" s="753"/>
      <c r="B119" s="725"/>
      <c r="C119" s="255"/>
      <c r="D119" s="722" t="s">
        <v>85</v>
      </c>
      <c r="E119" s="723" t="s">
        <v>113</v>
      </c>
      <c r="F119" s="723" t="s">
        <v>114</v>
      </c>
      <c r="G119" s="722">
        <v>1997</v>
      </c>
      <c r="H119" s="287">
        <v>127</v>
      </c>
      <c r="I119" s="65">
        <v>8</v>
      </c>
      <c r="J119" s="61" t="s">
        <v>211</v>
      </c>
      <c r="K119" s="62" t="s">
        <v>212</v>
      </c>
      <c r="L119" s="31"/>
      <c r="M119" s="34" t="str">
        <f t="shared" si="42"/>
        <v/>
      </c>
      <c r="N119" s="31"/>
      <c r="O119" s="34" t="str">
        <f t="shared" si="49"/>
        <v/>
      </c>
      <c r="P119" s="31"/>
      <c r="Q119" s="34" t="str">
        <f t="shared" si="44"/>
        <v/>
      </c>
      <c r="R119" s="31"/>
      <c r="S119" s="34" t="str">
        <f t="shared" si="45"/>
        <v/>
      </c>
      <c r="T119" s="31"/>
      <c r="U119" s="34" t="str">
        <f t="shared" si="50"/>
        <v/>
      </c>
      <c r="V119" s="31"/>
      <c r="W119" s="34" t="str">
        <f t="shared" si="46"/>
        <v/>
      </c>
      <c r="X119" s="31"/>
      <c r="Y119" s="34" t="str">
        <f t="shared" si="51"/>
        <v/>
      </c>
      <c r="Z119" s="31"/>
      <c r="AA119" s="34" t="str">
        <f t="shared" si="47"/>
        <v/>
      </c>
      <c r="AB119" s="31"/>
      <c r="AC119" s="34" t="str">
        <f t="shared" si="52"/>
        <v/>
      </c>
      <c r="AD119" s="31"/>
      <c r="AE119" s="34" t="str">
        <f t="shared" si="53"/>
        <v/>
      </c>
      <c r="AF119" s="31"/>
      <c r="AG119" s="34" t="str">
        <f t="shared" si="54"/>
        <v/>
      </c>
      <c r="AH119" s="31"/>
      <c r="AI119" s="34" t="str">
        <f t="shared" si="55"/>
        <v/>
      </c>
      <c r="AJ119" s="31"/>
      <c r="AK119" s="34" t="str">
        <f t="shared" si="56"/>
        <v/>
      </c>
      <c r="AL119" s="31"/>
      <c r="AM119" s="34" t="str">
        <f t="shared" si="57"/>
        <v/>
      </c>
      <c r="AN119" s="31"/>
      <c r="AO119" s="34" t="str">
        <f t="shared" si="58"/>
        <v/>
      </c>
      <c r="AP119" s="31"/>
      <c r="AQ119" s="34" t="str">
        <f t="shared" si="59"/>
        <v/>
      </c>
      <c r="AR119" s="31"/>
      <c r="AS119" s="34" t="str">
        <f t="shared" si="60"/>
        <v/>
      </c>
      <c r="AT119" s="31"/>
      <c r="AU119" s="34" t="str">
        <f t="shared" si="61"/>
        <v/>
      </c>
      <c r="AV119" s="31">
        <v>1</v>
      </c>
      <c r="AW119" s="34">
        <f t="shared" si="62"/>
        <v>12.5</v>
      </c>
      <c r="AX119" s="28">
        <v>1</v>
      </c>
      <c r="AY119" s="34">
        <f t="shared" si="63"/>
        <v>12.5</v>
      </c>
      <c r="AZ119" s="44"/>
      <c r="BA119" s="34" t="str">
        <f t="shared" si="43"/>
        <v/>
      </c>
      <c r="BB119" s="21" t="s">
        <v>384</v>
      </c>
    </row>
    <row r="120" spans="1:54" ht="20" customHeight="1" x14ac:dyDescent="0.2">
      <c r="A120" s="756"/>
      <c r="B120" s="721"/>
      <c r="C120" s="722"/>
      <c r="D120" s="722" t="s">
        <v>85</v>
      </c>
      <c r="E120" s="723" t="s">
        <v>677</v>
      </c>
      <c r="F120" s="723" t="s">
        <v>678</v>
      </c>
      <c r="G120" s="722"/>
      <c r="H120" s="287"/>
      <c r="I120" s="65"/>
      <c r="J120" s="61" t="s">
        <v>340</v>
      </c>
      <c r="K120" s="62" t="s">
        <v>168</v>
      </c>
      <c r="L120" s="31"/>
      <c r="M120" s="34"/>
      <c r="N120" s="31"/>
      <c r="O120" s="34"/>
      <c r="P120" s="31"/>
      <c r="Q120" s="34"/>
      <c r="R120" s="31"/>
      <c r="S120" s="34"/>
      <c r="T120" s="31"/>
      <c r="U120" s="34"/>
      <c r="V120" s="31"/>
      <c r="W120" s="34"/>
      <c r="X120" s="31"/>
      <c r="Y120" s="34"/>
      <c r="Z120" s="31"/>
      <c r="AA120" s="34"/>
      <c r="AB120" s="31"/>
      <c r="AC120" s="34"/>
      <c r="AD120" s="31"/>
      <c r="AE120" s="34"/>
      <c r="AF120" s="31"/>
      <c r="AG120" s="34"/>
      <c r="AH120" s="31"/>
      <c r="AI120" s="34"/>
      <c r="AJ120" s="31"/>
      <c r="AK120" s="34"/>
      <c r="AL120" s="31"/>
      <c r="AM120" s="34"/>
      <c r="AN120" s="31"/>
      <c r="AO120" s="34"/>
      <c r="AP120" s="31"/>
      <c r="AQ120" s="34"/>
      <c r="AR120" s="31"/>
      <c r="AS120" s="34"/>
      <c r="AT120" s="31"/>
      <c r="AU120" s="34"/>
      <c r="AV120" s="31"/>
      <c r="AW120" s="34"/>
      <c r="AX120" s="56"/>
      <c r="AY120" s="34"/>
      <c r="AZ120" s="56"/>
      <c r="BA120" s="34"/>
    </row>
    <row r="121" spans="1:54" ht="20" customHeight="1" x14ac:dyDescent="0.2">
      <c r="A121" s="753"/>
      <c r="B121" s="725"/>
      <c r="C121" s="722"/>
      <c r="D121" s="722" t="s">
        <v>85</v>
      </c>
      <c r="E121" s="723" t="s">
        <v>115</v>
      </c>
      <c r="F121" s="723" t="s">
        <v>116</v>
      </c>
      <c r="G121" s="722">
        <v>2001</v>
      </c>
      <c r="H121" s="287">
        <v>143</v>
      </c>
      <c r="I121" s="65">
        <v>6</v>
      </c>
      <c r="J121" s="61" t="s">
        <v>213</v>
      </c>
      <c r="K121" s="62" t="s">
        <v>192</v>
      </c>
      <c r="L121" s="31"/>
      <c r="M121" s="34" t="str">
        <f t="shared" si="42"/>
        <v/>
      </c>
      <c r="N121" s="31"/>
      <c r="O121" s="34" t="str">
        <f t="shared" si="49"/>
        <v/>
      </c>
      <c r="P121" s="31"/>
      <c r="Q121" s="34" t="str">
        <f t="shared" si="44"/>
        <v/>
      </c>
      <c r="R121" s="31"/>
      <c r="S121" s="34" t="str">
        <f t="shared" si="45"/>
        <v/>
      </c>
      <c r="T121" s="31"/>
      <c r="U121" s="34" t="str">
        <f t="shared" si="50"/>
        <v/>
      </c>
      <c r="V121" s="31"/>
      <c r="W121" s="34" t="str">
        <f t="shared" si="46"/>
        <v/>
      </c>
      <c r="X121" s="31"/>
      <c r="Y121" s="34" t="str">
        <f t="shared" si="51"/>
        <v/>
      </c>
      <c r="Z121" s="31"/>
      <c r="AA121" s="34" t="str">
        <f t="shared" si="47"/>
        <v/>
      </c>
      <c r="AB121" s="31"/>
      <c r="AC121" s="34" t="str">
        <f t="shared" si="52"/>
        <v/>
      </c>
      <c r="AD121" s="31"/>
      <c r="AE121" s="34" t="str">
        <f t="shared" si="53"/>
        <v/>
      </c>
      <c r="AF121" s="31"/>
      <c r="AG121" s="34" t="str">
        <f t="shared" si="54"/>
        <v/>
      </c>
      <c r="AH121" s="31"/>
      <c r="AI121" s="34" t="str">
        <f t="shared" si="55"/>
        <v/>
      </c>
      <c r="AJ121" s="31"/>
      <c r="AK121" s="34" t="str">
        <f t="shared" si="56"/>
        <v/>
      </c>
      <c r="AL121" s="31"/>
      <c r="AM121" s="34" t="str">
        <f t="shared" si="57"/>
        <v/>
      </c>
      <c r="AN121" s="31"/>
      <c r="AO121" s="34" t="str">
        <f t="shared" si="58"/>
        <v/>
      </c>
      <c r="AP121" s="31"/>
      <c r="AQ121" s="34" t="str">
        <f t="shared" si="59"/>
        <v/>
      </c>
      <c r="AR121" s="31"/>
      <c r="AS121" s="34" t="str">
        <f t="shared" si="60"/>
        <v/>
      </c>
      <c r="AT121" s="31"/>
      <c r="AU121" s="34" t="str">
        <f t="shared" si="61"/>
        <v/>
      </c>
      <c r="AV121" s="31"/>
      <c r="AW121" s="34" t="str">
        <f t="shared" si="62"/>
        <v/>
      </c>
      <c r="AX121" s="28"/>
      <c r="AY121" s="34" t="str">
        <f t="shared" si="63"/>
        <v/>
      </c>
      <c r="AZ121" s="44"/>
      <c r="BA121" s="34" t="str">
        <f t="shared" si="43"/>
        <v/>
      </c>
      <c r="BB121" s="21" t="s">
        <v>214</v>
      </c>
    </row>
    <row r="122" spans="1:54" ht="20" customHeight="1" x14ac:dyDescent="0.2">
      <c r="A122" s="753"/>
      <c r="B122" s="725"/>
      <c r="C122" s="722"/>
      <c r="D122" s="727" t="s">
        <v>30</v>
      </c>
      <c r="E122" s="728" t="s">
        <v>117</v>
      </c>
      <c r="F122" s="728" t="s">
        <v>118</v>
      </c>
      <c r="G122" s="727">
        <v>2004</v>
      </c>
      <c r="H122" s="729">
        <v>100</v>
      </c>
      <c r="I122" s="65" t="s">
        <v>215</v>
      </c>
      <c r="J122" s="61" t="s">
        <v>216</v>
      </c>
      <c r="K122" s="62"/>
      <c r="L122" s="31"/>
      <c r="M122" s="34" t="str">
        <f t="shared" si="42"/>
        <v/>
      </c>
      <c r="N122" s="31"/>
      <c r="O122" s="34" t="str">
        <f t="shared" si="49"/>
        <v/>
      </c>
      <c r="P122" s="31"/>
      <c r="Q122" s="34" t="str">
        <f t="shared" si="44"/>
        <v/>
      </c>
      <c r="R122" s="31"/>
      <c r="S122" s="34" t="str">
        <f t="shared" si="45"/>
        <v/>
      </c>
      <c r="T122" s="31"/>
      <c r="U122" s="34" t="str">
        <f t="shared" si="50"/>
        <v/>
      </c>
      <c r="V122" s="31"/>
      <c r="W122" s="34" t="str">
        <f t="shared" si="46"/>
        <v/>
      </c>
      <c r="X122" s="31"/>
      <c r="Y122" s="34" t="str">
        <f t="shared" si="51"/>
        <v/>
      </c>
      <c r="Z122" s="31"/>
      <c r="AA122" s="34" t="str">
        <f t="shared" si="47"/>
        <v/>
      </c>
      <c r="AB122" s="31"/>
      <c r="AC122" s="34" t="str">
        <f t="shared" si="52"/>
        <v/>
      </c>
      <c r="AD122" s="31"/>
      <c r="AE122" s="34" t="str">
        <f t="shared" si="53"/>
        <v/>
      </c>
      <c r="AF122" s="31"/>
      <c r="AG122" s="34" t="str">
        <f t="shared" si="54"/>
        <v/>
      </c>
      <c r="AH122" s="31"/>
      <c r="AI122" s="34" t="str">
        <f t="shared" si="55"/>
        <v/>
      </c>
      <c r="AJ122" s="31"/>
      <c r="AK122" s="34" t="str">
        <f t="shared" si="56"/>
        <v/>
      </c>
      <c r="AL122" s="31"/>
      <c r="AM122" s="34" t="str">
        <f t="shared" si="57"/>
        <v/>
      </c>
      <c r="AN122" s="31"/>
      <c r="AO122" s="34" t="str">
        <f t="shared" si="58"/>
        <v/>
      </c>
      <c r="AP122" s="31"/>
      <c r="AQ122" s="34" t="str">
        <f t="shared" si="59"/>
        <v/>
      </c>
      <c r="AR122" s="31"/>
      <c r="AS122" s="34" t="str">
        <f t="shared" si="60"/>
        <v/>
      </c>
      <c r="AT122" s="31"/>
      <c r="AU122" s="34" t="str">
        <f t="shared" si="61"/>
        <v/>
      </c>
      <c r="AV122" s="31"/>
      <c r="AW122" s="34" t="str">
        <f t="shared" si="62"/>
        <v/>
      </c>
      <c r="AX122" s="28">
        <v>1</v>
      </c>
      <c r="AY122" s="34" t="str">
        <f t="shared" si="63"/>
        <v/>
      </c>
      <c r="AZ122" s="44"/>
      <c r="BA122" s="34" t="str">
        <f t="shared" si="43"/>
        <v/>
      </c>
      <c r="BB122" s="21" t="s">
        <v>385</v>
      </c>
    </row>
    <row r="123" spans="1:54" ht="20" customHeight="1" x14ac:dyDescent="0.2">
      <c r="A123" s="753"/>
      <c r="B123" s="725"/>
      <c r="C123" s="255"/>
      <c r="D123" s="722" t="s">
        <v>85</v>
      </c>
      <c r="E123" s="723" t="s">
        <v>119</v>
      </c>
      <c r="F123" s="723" t="s">
        <v>120</v>
      </c>
      <c r="G123" s="722">
        <v>2003</v>
      </c>
      <c r="H123" s="287">
        <v>45</v>
      </c>
      <c r="I123" s="65">
        <v>16</v>
      </c>
      <c r="J123" s="61" t="s">
        <v>175</v>
      </c>
      <c r="K123" s="62" t="s">
        <v>416</v>
      </c>
      <c r="L123" s="31"/>
      <c r="M123" s="34" t="str">
        <f t="shared" si="42"/>
        <v/>
      </c>
      <c r="N123" s="31"/>
      <c r="O123" s="34" t="str">
        <f t="shared" si="49"/>
        <v/>
      </c>
      <c r="P123" s="31"/>
      <c r="Q123" s="34" t="str">
        <f t="shared" si="44"/>
        <v/>
      </c>
      <c r="R123" s="31"/>
      <c r="S123" s="34" t="str">
        <f t="shared" si="45"/>
        <v/>
      </c>
      <c r="T123" s="31"/>
      <c r="U123" s="34" t="str">
        <f t="shared" si="50"/>
        <v/>
      </c>
      <c r="V123" s="36"/>
      <c r="W123" s="37" t="str">
        <f t="shared" si="46"/>
        <v/>
      </c>
      <c r="X123" s="31"/>
      <c r="Y123" s="34" t="str">
        <f t="shared" si="51"/>
        <v/>
      </c>
      <c r="Z123" s="31"/>
      <c r="AA123" s="34" t="str">
        <f t="shared" si="47"/>
        <v/>
      </c>
      <c r="AB123" s="31"/>
      <c r="AC123" s="34" t="str">
        <f t="shared" si="52"/>
        <v/>
      </c>
      <c r="AD123" s="31"/>
      <c r="AE123" s="34" t="str">
        <f t="shared" si="53"/>
        <v/>
      </c>
      <c r="AF123" s="31"/>
      <c r="AG123" s="34" t="str">
        <f t="shared" si="54"/>
        <v/>
      </c>
      <c r="AH123" s="31"/>
      <c r="AI123" s="34" t="str">
        <f t="shared" si="55"/>
        <v/>
      </c>
      <c r="AJ123" s="31"/>
      <c r="AK123" s="34" t="str">
        <f t="shared" si="56"/>
        <v/>
      </c>
      <c r="AL123" s="31"/>
      <c r="AM123" s="34" t="str">
        <f t="shared" si="57"/>
        <v/>
      </c>
      <c r="AN123" s="31"/>
      <c r="AO123" s="34" t="str">
        <f t="shared" si="58"/>
        <v/>
      </c>
      <c r="AP123" s="31"/>
      <c r="AQ123" s="34" t="str">
        <f t="shared" si="59"/>
        <v/>
      </c>
      <c r="AR123" s="31"/>
      <c r="AS123" s="34" t="str">
        <f t="shared" si="60"/>
        <v/>
      </c>
      <c r="AT123" s="31"/>
      <c r="AU123" s="34" t="str">
        <f t="shared" si="61"/>
        <v/>
      </c>
      <c r="AV123" s="31"/>
      <c r="AW123" s="34" t="str">
        <f t="shared" si="62"/>
        <v/>
      </c>
      <c r="AX123" s="36"/>
      <c r="AY123" s="37" t="str">
        <f t="shared" si="63"/>
        <v/>
      </c>
      <c r="AZ123" s="56"/>
      <c r="BA123" s="34" t="str">
        <f t="shared" si="43"/>
        <v/>
      </c>
      <c r="BB123" s="21" t="s">
        <v>404</v>
      </c>
    </row>
    <row r="124" spans="1:54" ht="20" customHeight="1" x14ac:dyDescent="0.2">
      <c r="A124" s="753"/>
      <c r="B124" s="725"/>
      <c r="C124" s="253"/>
      <c r="D124" s="722" t="s">
        <v>85</v>
      </c>
      <c r="E124" s="723" t="s">
        <v>121</v>
      </c>
      <c r="F124" s="723" t="s">
        <v>122</v>
      </c>
      <c r="G124" s="722">
        <v>2002</v>
      </c>
      <c r="H124" s="287">
        <v>73</v>
      </c>
      <c r="I124" s="65">
        <v>49</v>
      </c>
      <c r="J124" s="61" t="s">
        <v>197</v>
      </c>
      <c r="K124" s="62"/>
      <c r="L124" s="31"/>
      <c r="M124" s="34" t="str">
        <f t="shared" si="42"/>
        <v/>
      </c>
      <c r="N124" s="31"/>
      <c r="O124" s="34" t="str">
        <f t="shared" si="49"/>
        <v/>
      </c>
      <c r="P124" s="31"/>
      <c r="Q124" s="34" t="str">
        <f t="shared" si="44"/>
        <v/>
      </c>
      <c r="R124" s="31"/>
      <c r="S124" s="34" t="str">
        <f t="shared" si="45"/>
        <v/>
      </c>
      <c r="T124" s="31"/>
      <c r="U124" s="34" t="str">
        <f t="shared" si="50"/>
        <v/>
      </c>
      <c r="V124" s="31"/>
      <c r="W124" s="34" t="str">
        <f t="shared" si="46"/>
        <v/>
      </c>
      <c r="X124" s="31"/>
      <c r="Y124" s="34" t="str">
        <f t="shared" si="51"/>
        <v/>
      </c>
      <c r="Z124" s="31"/>
      <c r="AA124" s="34" t="str">
        <f t="shared" si="47"/>
        <v/>
      </c>
      <c r="AB124" s="31"/>
      <c r="AC124" s="34" t="str">
        <f t="shared" si="52"/>
        <v/>
      </c>
      <c r="AD124" s="31"/>
      <c r="AE124" s="34" t="str">
        <f t="shared" si="53"/>
        <v/>
      </c>
      <c r="AF124" s="31"/>
      <c r="AG124" s="34" t="str">
        <f t="shared" si="54"/>
        <v/>
      </c>
      <c r="AH124" s="31"/>
      <c r="AI124" s="34" t="str">
        <f t="shared" si="55"/>
        <v/>
      </c>
      <c r="AJ124" s="31"/>
      <c r="AK124" s="34" t="str">
        <f t="shared" si="56"/>
        <v/>
      </c>
      <c r="AL124" s="31"/>
      <c r="AM124" s="34" t="str">
        <f t="shared" si="57"/>
        <v/>
      </c>
      <c r="AN124" s="31"/>
      <c r="AO124" s="34" t="str">
        <f t="shared" si="58"/>
        <v/>
      </c>
      <c r="AP124" s="31"/>
      <c r="AQ124" s="34" t="str">
        <f t="shared" si="59"/>
        <v/>
      </c>
      <c r="AR124" s="31"/>
      <c r="AS124" s="34" t="str">
        <f t="shared" si="60"/>
        <v/>
      </c>
      <c r="AT124" s="31"/>
      <c r="AU124" s="34" t="str">
        <f t="shared" si="61"/>
        <v/>
      </c>
      <c r="AV124" s="31"/>
      <c r="AW124" s="34" t="str">
        <f t="shared" si="62"/>
        <v/>
      </c>
      <c r="AX124" s="28"/>
      <c r="AY124" s="34" t="str">
        <f t="shared" si="63"/>
        <v/>
      </c>
      <c r="AZ124" s="44"/>
      <c r="BA124" s="34" t="str">
        <f t="shared" si="43"/>
        <v/>
      </c>
      <c r="BB124" s="21" t="s">
        <v>180</v>
      </c>
    </row>
    <row r="125" spans="1:54" ht="20" customHeight="1" x14ac:dyDescent="0.2">
      <c r="A125" s="753"/>
      <c r="B125" s="725"/>
      <c r="C125" s="255"/>
      <c r="D125" s="722" t="s">
        <v>85</v>
      </c>
      <c r="E125" s="723" t="s">
        <v>304</v>
      </c>
      <c r="F125" s="723" t="s">
        <v>305</v>
      </c>
      <c r="G125" s="722">
        <v>2015</v>
      </c>
      <c r="H125" s="287"/>
      <c r="I125" s="65">
        <v>5</v>
      </c>
      <c r="J125" s="61" t="s">
        <v>210</v>
      </c>
      <c r="K125" s="62" t="s">
        <v>187</v>
      </c>
      <c r="L125" s="31"/>
      <c r="M125" s="34" t="str">
        <f t="shared" si="42"/>
        <v/>
      </c>
      <c r="N125" s="31"/>
      <c r="O125" s="34" t="str">
        <f t="shared" si="49"/>
        <v/>
      </c>
      <c r="P125" s="31"/>
      <c r="Q125" s="34" t="str">
        <f t="shared" si="44"/>
        <v/>
      </c>
      <c r="R125" s="31"/>
      <c r="S125" s="34" t="str">
        <f t="shared" si="45"/>
        <v/>
      </c>
      <c r="T125" s="31"/>
      <c r="U125" s="34" t="str">
        <f t="shared" si="50"/>
        <v/>
      </c>
      <c r="V125" s="31"/>
      <c r="W125" s="34" t="str">
        <f t="shared" si="46"/>
        <v/>
      </c>
      <c r="X125" s="31"/>
      <c r="Y125" s="34" t="str">
        <f t="shared" si="51"/>
        <v/>
      </c>
      <c r="Z125" s="31"/>
      <c r="AA125" s="34" t="str">
        <f t="shared" si="47"/>
        <v/>
      </c>
      <c r="AB125" s="31"/>
      <c r="AC125" s="34" t="str">
        <f t="shared" si="52"/>
        <v/>
      </c>
      <c r="AD125" s="31"/>
      <c r="AE125" s="34" t="str">
        <f t="shared" si="53"/>
        <v/>
      </c>
      <c r="AF125" s="31"/>
      <c r="AG125" s="34" t="str">
        <f t="shared" si="54"/>
        <v/>
      </c>
      <c r="AH125" s="31"/>
      <c r="AI125" s="34" t="str">
        <f t="shared" si="55"/>
        <v/>
      </c>
      <c r="AJ125" s="31"/>
      <c r="AK125" s="34" t="str">
        <f t="shared" si="56"/>
        <v/>
      </c>
      <c r="AL125" s="31"/>
      <c r="AM125" s="34" t="str">
        <f t="shared" si="57"/>
        <v/>
      </c>
      <c r="AN125" s="31"/>
      <c r="AO125" s="34" t="str">
        <f t="shared" si="58"/>
        <v/>
      </c>
      <c r="AP125" s="31"/>
      <c r="AQ125" s="34" t="str">
        <f t="shared" si="59"/>
        <v/>
      </c>
      <c r="AR125" s="31"/>
      <c r="AS125" s="34" t="str">
        <f t="shared" si="60"/>
        <v/>
      </c>
      <c r="AT125" s="31"/>
      <c r="AU125" s="34" t="str">
        <f t="shared" si="61"/>
        <v/>
      </c>
      <c r="AV125" s="31"/>
      <c r="AW125" s="34" t="str">
        <f t="shared" si="62"/>
        <v/>
      </c>
      <c r="AX125" s="56"/>
      <c r="AY125" s="34" t="str">
        <f t="shared" si="63"/>
        <v/>
      </c>
      <c r="AZ125" s="56">
        <v>1</v>
      </c>
      <c r="BA125" s="34">
        <f t="shared" si="43"/>
        <v>20</v>
      </c>
      <c r="BB125" s="21" t="s">
        <v>417</v>
      </c>
    </row>
    <row r="126" spans="1:54" ht="20" customHeight="1" x14ac:dyDescent="0.2">
      <c r="A126" s="756"/>
      <c r="B126" s="721"/>
      <c r="C126" s="722"/>
      <c r="D126" s="722" t="s">
        <v>85</v>
      </c>
      <c r="E126" s="723" t="s">
        <v>679</v>
      </c>
      <c r="F126" s="723" t="s">
        <v>680</v>
      </c>
      <c r="G126" s="722">
        <v>1991</v>
      </c>
      <c r="H126" s="287"/>
      <c r="I126" s="65"/>
      <c r="J126" s="61" t="s">
        <v>175</v>
      </c>
      <c r="K126" s="62" t="s">
        <v>209</v>
      </c>
      <c r="L126" s="31"/>
      <c r="M126" s="34"/>
      <c r="N126" s="31"/>
      <c r="O126" s="34"/>
      <c r="P126" s="31"/>
      <c r="Q126" s="34"/>
      <c r="R126" s="31"/>
      <c r="S126" s="34"/>
      <c r="T126" s="31"/>
      <c r="U126" s="34"/>
      <c r="V126" s="31"/>
      <c r="W126" s="34"/>
      <c r="X126" s="31"/>
      <c r="Y126" s="34"/>
      <c r="Z126" s="31"/>
      <c r="AA126" s="34"/>
      <c r="AB126" s="31"/>
      <c r="AC126" s="34"/>
      <c r="AD126" s="31"/>
      <c r="AE126" s="34"/>
      <c r="AF126" s="31"/>
      <c r="AG126" s="34"/>
      <c r="AH126" s="31"/>
      <c r="AI126" s="34"/>
      <c r="AJ126" s="31"/>
      <c r="AK126" s="34"/>
      <c r="AL126" s="31"/>
      <c r="AM126" s="34"/>
      <c r="AN126" s="31"/>
      <c r="AO126" s="34"/>
      <c r="AP126" s="31"/>
      <c r="AQ126" s="34"/>
      <c r="AR126" s="31"/>
      <c r="AS126" s="34"/>
      <c r="AT126" s="31"/>
      <c r="AU126" s="34"/>
      <c r="AV126" s="31"/>
      <c r="AW126" s="34"/>
      <c r="AX126" s="56"/>
      <c r="AY126" s="34"/>
      <c r="AZ126" s="56"/>
      <c r="BA126" s="34"/>
    </row>
    <row r="127" spans="1:54" ht="20" customHeight="1" x14ac:dyDescent="0.2">
      <c r="A127" s="753"/>
      <c r="B127" s="725"/>
      <c r="C127" s="253"/>
      <c r="D127" s="722" t="s">
        <v>85</v>
      </c>
      <c r="E127" s="723" t="s">
        <v>306</v>
      </c>
      <c r="F127" s="723" t="s">
        <v>307</v>
      </c>
      <c r="G127" s="722">
        <v>2008</v>
      </c>
      <c r="H127" s="287"/>
      <c r="I127" s="65">
        <v>86</v>
      </c>
      <c r="J127" s="61" t="s">
        <v>175</v>
      </c>
      <c r="K127" s="62"/>
      <c r="L127" s="31"/>
      <c r="M127" s="34" t="str">
        <f t="shared" si="42"/>
        <v/>
      </c>
      <c r="N127" s="31"/>
      <c r="O127" s="34" t="str">
        <f t="shared" si="49"/>
        <v/>
      </c>
      <c r="P127" s="31"/>
      <c r="Q127" s="34" t="str">
        <f t="shared" si="44"/>
        <v/>
      </c>
      <c r="R127" s="31"/>
      <c r="S127" s="34" t="str">
        <f t="shared" si="45"/>
        <v/>
      </c>
      <c r="T127" s="31"/>
      <c r="U127" s="34" t="str">
        <f t="shared" si="50"/>
        <v/>
      </c>
      <c r="V127" s="31"/>
      <c r="W127" s="34" t="str">
        <f t="shared" si="46"/>
        <v/>
      </c>
      <c r="X127" s="31"/>
      <c r="Y127" s="34" t="str">
        <f t="shared" si="51"/>
        <v/>
      </c>
      <c r="Z127" s="31"/>
      <c r="AA127" s="34" t="str">
        <f t="shared" si="47"/>
        <v/>
      </c>
      <c r="AB127" s="31"/>
      <c r="AC127" s="34" t="str">
        <f t="shared" si="52"/>
        <v/>
      </c>
      <c r="AD127" s="31"/>
      <c r="AE127" s="34" t="str">
        <f t="shared" si="53"/>
        <v/>
      </c>
      <c r="AF127" s="31"/>
      <c r="AG127" s="34" t="str">
        <f t="shared" si="54"/>
        <v/>
      </c>
      <c r="AH127" s="31"/>
      <c r="AI127" s="34" t="str">
        <f t="shared" si="55"/>
        <v/>
      </c>
      <c r="AJ127" s="31"/>
      <c r="AK127" s="34" t="str">
        <f t="shared" si="56"/>
        <v/>
      </c>
      <c r="AL127" s="31"/>
      <c r="AM127" s="34" t="str">
        <f t="shared" si="57"/>
        <v/>
      </c>
      <c r="AN127" s="31"/>
      <c r="AO127" s="34" t="str">
        <f t="shared" si="58"/>
        <v/>
      </c>
      <c r="AP127" s="31"/>
      <c r="AQ127" s="34" t="str">
        <f t="shared" si="59"/>
        <v/>
      </c>
      <c r="AR127" s="31"/>
      <c r="AS127" s="34" t="str">
        <f t="shared" si="60"/>
        <v/>
      </c>
      <c r="AT127" s="31"/>
      <c r="AU127" s="34" t="str">
        <f t="shared" si="61"/>
        <v/>
      </c>
      <c r="AV127" s="31"/>
      <c r="AW127" s="34" t="str">
        <f t="shared" si="62"/>
        <v/>
      </c>
      <c r="AX127" s="56"/>
      <c r="AY127" s="34" t="str">
        <f t="shared" si="63"/>
        <v/>
      </c>
      <c r="AZ127" s="56"/>
      <c r="BA127" s="34" t="str">
        <f t="shared" si="43"/>
        <v/>
      </c>
      <c r="BB127" s="21" t="s">
        <v>364</v>
      </c>
    </row>
    <row r="128" spans="1:54" ht="20" customHeight="1" x14ac:dyDescent="0.2">
      <c r="A128" s="753"/>
      <c r="B128" s="721"/>
      <c r="C128" s="722"/>
      <c r="D128" s="727" t="s">
        <v>35</v>
      </c>
      <c r="E128" s="728" t="s">
        <v>123</v>
      </c>
      <c r="F128" s="728" t="s">
        <v>124</v>
      </c>
      <c r="G128" s="727">
        <v>2007</v>
      </c>
      <c r="H128" s="729">
        <v>60</v>
      </c>
      <c r="I128" s="65"/>
      <c r="J128" s="61"/>
      <c r="K128" s="62"/>
      <c r="L128" s="31"/>
      <c r="M128" s="34" t="str">
        <f t="shared" si="42"/>
        <v/>
      </c>
      <c r="N128" s="31"/>
      <c r="O128" s="34" t="str">
        <f t="shared" si="49"/>
        <v/>
      </c>
      <c r="P128" s="31"/>
      <c r="Q128" s="34" t="str">
        <f t="shared" si="44"/>
        <v/>
      </c>
      <c r="R128" s="31"/>
      <c r="S128" s="34" t="str">
        <f t="shared" si="45"/>
        <v/>
      </c>
      <c r="T128" s="31"/>
      <c r="U128" s="34" t="str">
        <f t="shared" si="50"/>
        <v/>
      </c>
      <c r="V128" s="31"/>
      <c r="W128" s="34" t="str">
        <f t="shared" si="46"/>
        <v/>
      </c>
      <c r="X128" s="31"/>
      <c r="Y128" s="34" t="str">
        <f t="shared" si="51"/>
        <v/>
      </c>
      <c r="Z128" s="31"/>
      <c r="AA128" s="34" t="str">
        <f t="shared" si="47"/>
        <v/>
      </c>
      <c r="AB128" s="31"/>
      <c r="AC128" s="34" t="str">
        <f t="shared" si="52"/>
        <v/>
      </c>
      <c r="AD128" s="31"/>
      <c r="AE128" s="34" t="str">
        <f t="shared" si="53"/>
        <v/>
      </c>
      <c r="AF128" s="31"/>
      <c r="AG128" s="34" t="str">
        <f t="shared" si="54"/>
        <v/>
      </c>
      <c r="AH128" s="31"/>
      <c r="AI128" s="34" t="str">
        <f t="shared" si="55"/>
        <v/>
      </c>
      <c r="AJ128" s="31"/>
      <c r="AK128" s="34" t="str">
        <f t="shared" si="56"/>
        <v/>
      </c>
      <c r="AL128" s="31"/>
      <c r="AM128" s="34" t="str">
        <f t="shared" si="57"/>
        <v/>
      </c>
      <c r="AN128" s="31"/>
      <c r="AO128" s="34" t="str">
        <f t="shared" si="58"/>
        <v/>
      </c>
      <c r="AP128" s="31"/>
      <c r="AQ128" s="34" t="str">
        <f t="shared" si="59"/>
        <v/>
      </c>
      <c r="AR128" s="31"/>
      <c r="AS128" s="34" t="str">
        <f t="shared" si="60"/>
        <v/>
      </c>
      <c r="AT128" s="31"/>
      <c r="AU128" s="34" t="str">
        <f t="shared" si="61"/>
        <v/>
      </c>
      <c r="AV128" s="31"/>
      <c r="AW128" s="34" t="str">
        <f t="shared" si="62"/>
        <v/>
      </c>
      <c r="AX128" s="56"/>
      <c r="AY128" s="34" t="str">
        <f t="shared" si="63"/>
        <v/>
      </c>
      <c r="AZ128" s="56"/>
      <c r="BA128" s="34" t="str">
        <f t="shared" si="43"/>
        <v/>
      </c>
      <c r="BB128" s="21" t="s">
        <v>386</v>
      </c>
    </row>
    <row r="129" spans="1:54" ht="20" customHeight="1" x14ac:dyDescent="0.2">
      <c r="A129" s="753"/>
      <c r="B129" s="721"/>
      <c r="C129" s="722"/>
      <c r="D129" s="727" t="s">
        <v>30</v>
      </c>
      <c r="E129" s="728" t="s">
        <v>125</v>
      </c>
      <c r="F129" s="728" t="s">
        <v>126</v>
      </c>
      <c r="G129" s="727">
        <v>2014</v>
      </c>
      <c r="H129" s="729"/>
      <c r="I129" s="65"/>
      <c r="J129" s="61"/>
      <c r="K129" s="62"/>
      <c r="L129" s="31"/>
      <c r="M129" s="34" t="str">
        <f t="shared" si="42"/>
        <v/>
      </c>
      <c r="N129" s="31"/>
      <c r="O129" s="34" t="str">
        <f t="shared" si="49"/>
        <v/>
      </c>
      <c r="P129" s="31"/>
      <c r="Q129" s="34" t="str">
        <f t="shared" si="44"/>
        <v/>
      </c>
      <c r="R129" s="31"/>
      <c r="S129" s="34" t="str">
        <f t="shared" si="45"/>
        <v/>
      </c>
      <c r="T129" s="31"/>
      <c r="U129" s="34" t="str">
        <f t="shared" si="50"/>
        <v/>
      </c>
      <c r="V129" s="31"/>
      <c r="W129" s="34" t="str">
        <f t="shared" si="46"/>
        <v/>
      </c>
      <c r="X129" s="31"/>
      <c r="Y129" s="34" t="str">
        <f t="shared" si="51"/>
        <v/>
      </c>
      <c r="Z129" s="31"/>
      <c r="AA129" s="34" t="str">
        <f t="shared" si="47"/>
        <v/>
      </c>
      <c r="AB129" s="31"/>
      <c r="AC129" s="34" t="str">
        <f t="shared" si="52"/>
        <v/>
      </c>
      <c r="AD129" s="31"/>
      <c r="AE129" s="34" t="str">
        <f t="shared" si="53"/>
        <v/>
      </c>
      <c r="AF129" s="31"/>
      <c r="AG129" s="34" t="str">
        <f t="shared" si="54"/>
        <v/>
      </c>
      <c r="AH129" s="31"/>
      <c r="AI129" s="34" t="str">
        <f t="shared" si="55"/>
        <v/>
      </c>
      <c r="AJ129" s="31"/>
      <c r="AK129" s="34" t="str">
        <f t="shared" si="56"/>
        <v/>
      </c>
      <c r="AL129" s="31"/>
      <c r="AM129" s="34" t="str">
        <f t="shared" si="57"/>
        <v/>
      </c>
      <c r="AN129" s="31"/>
      <c r="AO129" s="34" t="str">
        <f t="shared" si="58"/>
        <v/>
      </c>
      <c r="AP129" s="31"/>
      <c r="AQ129" s="34" t="str">
        <f t="shared" si="59"/>
        <v/>
      </c>
      <c r="AR129" s="31"/>
      <c r="AS129" s="34" t="str">
        <f t="shared" si="60"/>
        <v/>
      </c>
      <c r="AT129" s="31"/>
      <c r="AU129" s="34" t="str">
        <f t="shared" si="61"/>
        <v/>
      </c>
      <c r="AV129" s="31"/>
      <c r="AW129" s="34" t="str">
        <f t="shared" si="62"/>
        <v/>
      </c>
      <c r="AX129" s="28"/>
      <c r="AY129" s="34" t="str">
        <f t="shared" si="63"/>
        <v/>
      </c>
      <c r="AZ129" s="44"/>
      <c r="BA129" s="34" t="str">
        <f t="shared" si="43"/>
        <v/>
      </c>
    </row>
    <row r="130" spans="1:54" ht="20" customHeight="1" x14ac:dyDescent="0.2">
      <c r="A130" s="753"/>
      <c r="B130" s="725"/>
      <c r="C130" s="253"/>
      <c r="D130" s="722" t="s">
        <v>85</v>
      </c>
      <c r="E130" s="723" t="s">
        <v>308</v>
      </c>
      <c r="F130" s="723" t="s">
        <v>309</v>
      </c>
      <c r="G130" s="722">
        <v>2012</v>
      </c>
      <c r="H130" s="287"/>
      <c r="I130" s="65"/>
      <c r="J130" s="61" t="s">
        <v>365</v>
      </c>
      <c r="K130" s="62" t="s">
        <v>209</v>
      </c>
      <c r="L130" s="31"/>
      <c r="M130" s="34" t="str">
        <f t="shared" si="42"/>
        <v/>
      </c>
      <c r="N130" s="31"/>
      <c r="O130" s="34" t="str">
        <f t="shared" si="49"/>
        <v/>
      </c>
      <c r="P130" s="31"/>
      <c r="Q130" s="34" t="str">
        <f t="shared" si="44"/>
        <v/>
      </c>
      <c r="R130" s="31"/>
      <c r="S130" s="34" t="str">
        <f t="shared" si="45"/>
        <v/>
      </c>
      <c r="T130" s="31"/>
      <c r="U130" s="34" t="str">
        <f t="shared" si="50"/>
        <v/>
      </c>
      <c r="V130" s="31"/>
      <c r="W130" s="34" t="str">
        <f t="shared" si="46"/>
        <v/>
      </c>
      <c r="X130" s="31"/>
      <c r="Y130" s="34" t="str">
        <f t="shared" si="51"/>
        <v/>
      </c>
      <c r="Z130" s="31"/>
      <c r="AA130" s="34" t="str">
        <f t="shared" si="47"/>
        <v/>
      </c>
      <c r="AB130" s="31"/>
      <c r="AC130" s="34" t="str">
        <f t="shared" si="52"/>
        <v/>
      </c>
      <c r="AD130" s="31"/>
      <c r="AE130" s="34" t="str">
        <f t="shared" si="53"/>
        <v/>
      </c>
      <c r="AF130" s="31"/>
      <c r="AG130" s="34" t="str">
        <f t="shared" si="54"/>
        <v/>
      </c>
      <c r="AH130" s="31"/>
      <c r="AI130" s="34" t="str">
        <f t="shared" si="55"/>
        <v/>
      </c>
      <c r="AJ130" s="31"/>
      <c r="AK130" s="34" t="str">
        <f t="shared" si="56"/>
        <v/>
      </c>
      <c r="AL130" s="31"/>
      <c r="AM130" s="34" t="str">
        <f t="shared" si="57"/>
        <v/>
      </c>
      <c r="AN130" s="31"/>
      <c r="AO130" s="34" t="str">
        <f t="shared" si="58"/>
        <v/>
      </c>
      <c r="AP130" s="31"/>
      <c r="AQ130" s="34" t="str">
        <f t="shared" si="59"/>
        <v/>
      </c>
      <c r="AR130" s="31"/>
      <c r="AS130" s="34" t="str">
        <f t="shared" si="60"/>
        <v/>
      </c>
      <c r="AT130" s="31"/>
      <c r="AU130" s="34" t="str">
        <f t="shared" si="61"/>
        <v/>
      </c>
      <c r="AV130" s="31"/>
      <c r="AW130" s="34" t="str">
        <f t="shared" si="62"/>
        <v/>
      </c>
      <c r="AX130" s="28"/>
      <c r="AY130" s="34" t="str">
        <f t="shared" si="63"/>
        <v/>
      </c>
      <c r="AZ130" s="44"/>
      <c r="BA130" s="34" t="str">
        <f t="shared" si="43"/>
        <v/>
      </c>
    </row>
    <row r="131" spans="1:54" ht="20" customHeight="1" x14ac:dyDescent="0.2">
      <c r="A131" s="756"/>
      <c r="B131" s="721"/>
      <c r="C131" s="722"/>
      <c r="D131" s="722" t="s">
        <v>85</v>
      </c>
      <c r="E131" s="723" t="s">
        <v>681</v>
      </c>
      <c r="F131" s="723" t="s">
        <v>682</v>
      </c>
      <c r="G131" s="722">
        <v>2012</v>
      </c>
      <c r="H131" s="287"/>
      <c r="I131" s="65"/>
      <c r="J131" s="61" t="s">
        <v>213</v>
      </c>
      <c r="K131" s="62" t="s">
        <v>332</v>
      </c>
      <c r="L131" s="31"/>
      <c r="M131" s="34"/>
      <c r="N131" s="31"/>
      <c r="O131" s="34"/>
      <c r="P131" s="31"/>
      <c r="Q131" s="34"/>
      <c r="R131" s="31"/>
      <c r="S131" s="34"/>
      <c r="T131" s="31"/>
      <c r="U131" s="34"/>
      <c r="V131" s="31"/>
      <c r="W131" s="34"/>
      <c r="X131" s="31"/>
      <c r="Y131" s="34"/>
      <c r="Z131" s="31"/>
      <c r="AA131" s="34"/>
      <c r="AB131" s="31"/>
      <c r="AC131" s="34"/>
      <c r="AD131" s="31"/>
      <c r="AE131" s="34"/>
      <c r="AF131" s="31"/>
      <c r="AG131" s="34"/>
      <c r="AH131" s="31"/>
      <c r="AI131" s="34"/>
      <c r="AJ131" s="31"/>
      <c r="AK131" s="34"/>
      <c r="AL131" s="31"/>
      <c r="AM131" s="34"/>
      <c r="AN131" s="31"/>
      <c r="AO131" s="34"/>
      <c r="AP131" s="31"/>
      <c r="AQ131" s="34"/>
      <c r="AR131" s="31"/>
      <c r="AS131" s="34"/>
      <c r="AT131" s="31"/>
      <c r="AU131" s="34"/>
      <c r="AV131" s="31"/>
      <c r="AW131" s="34"/>
      <c r="AX131" s="56"/>
      <c r="AY131" s="34"/>
      <c r="AZ131" s="56"/>
      <c r="BA131" s="34"/>
    </row>
    <row r="132" spans="1:54" ht="20" customHeight="1" x14ac:dyDescent="0.2">
      <c r="A132" s="753"/>
      <c r="B132" s="721"/>
      <c r="C132" s="722"/>
      <c r="D132" s="722" t="s">
        <v>85</v>
      </c>
      <c r="E132" s="723" t="s">
        <v>127</v>
      </c>
      <c r="F132" s="723" t="s">
        <v>128</v>
      </c>
      <c r="G132" s="722">
        <v>2000</v>
      </c>
      <c r="H132" s="287">
        <v>252</v>
      </c>
      <c r="I132" s="65">
        <v>30</v>
      </c>
      <c r="J132" s="61" t="s">
        <v>217</v>
      </c>
      <c r="K132" s="62" t="s">
        <v>168</v>
      </c>
      <c r="L132" s="31"/>
      <c r="M132" s="34" t="str">
        <f t="shared" si="42"/>
        <v/>
      </c>
      <c r="N132" s="31"/>
      <c r="O132" s="34" t="str">
        <f t="shared" si="49"/>
        <v/>
      </c>
      <c r="P132" s="31"/>
      <c r="Q132" s="34" t="str">
        <f t="shared" si="44"/>
        <v/>
      </c>
      <c r="R132" s="31"/>
      <c r="S132" s="34" t="str">
        <f t="shared" si="45"/>
        <v/>
      </c>
      <c r="T132" s="31"/>
      <c r="U132" s="34" t="str">
        <f t="shared" si="50"/>
        <v/>
      </c>
      <c r="V132" s="31"/>
      <c r="W132" s="34" t="str">
        <f t="shared" si="46"/>
        <v/>
      </c>
      <c r="X132" s="31"/>
      <c r="Y132" s="34" t="str">
        <f t="shared" si="51"/>
        <v/>
      </c>
      <c r="Z132" s="31"/>
      <c r="AA132" s="34" t="str">
        <f t="shared" si="47"/>
        <v/>
      </c>
      <c r="AB132" s="31"/>
      <c r="AC132" s="34" t="str">
        <f t="shared" si="52"/>
        <v/>
      </c>
      <c r="AD132" s="31"/>
      <c r="AE132" s="34" t="str">
        <f t="shared" si="53"/>
        <v/>
      </c>
      <c r="AF132" s="31"/>
      <c r="AG132" s="34" t="str">
        <f t="shared" si="54"/>
        <v/>
      </c>
      <c r="AH132" s="31"/>
      <c r="AI132" s="34" t="str">
        <f t="shared" si="55"/>
        <v/>
      </c>
      <c r="AJ132" s="31"/>
      <c r="AK132" s="34" t="str">
        <f t="shared" si="56"/>
        <v/>
      </c>
      <c r="AL132" s="31"/>
      <c r="AM132" s="34" t="str">
        <f t="shared" si="57"/>
        <v/>
      </c>
      <c r="AN132" s="31"/>
      <c r="AO132" s="34" t="str">
        <f t="shared" si="58"/>
        <v/>
      </c>
      <c r="AP132" s="31"/>
      <c r="AQ132" s="34" t="str">
        <f t="shared" si="59"/>
        <v/>
      </c>
      <c r="AR132" s="31"/>
      <c r="AS132" s="34" t="str">
        <f t="shared" si="60"/>
        <v/>
      </c>
      <c r="AT132" s="31"/>
      <c r="AU132" s="34" t="str">
        <f t="shared" si="61"/>
        <v/>
      </c>
      <c r="AV132" s="31"/>
      <c r="AW132" s="34" t="str">
        <f t="shared" si="62"/>
        <v/>
      </c>
      <c r="AX132" s="56"/>
      <c r="AY132" s="34" t="str">
        <f t="shared" si="63"/>
        <v/>
      </c>
      <c r="AZ132" s="56"/>
      <c r="BA132" s="34" t="str">
        <f t="shared" si="43"/>
        <v/>
      </c>
      <c r="BB132" s="21" t="s">
        <v>418</v>
      </c>
    </row>
    <row r="133" spans="1:54" ht="20" customHeight="1" x14ac:dyDescent="0.2">
      <c r="A133" s="756"/>
      <c r="B133" s="721"/>
      <c r="C133" s="722"/>
      <c r="D133" s="722" t="s">
        <v>85</v>
      </c>
      <c r="E133" s="723" t="s">
        <v>683</v>
      </c>
      <c r="F133" s="723" t="s">
        <v>684</v>
      </c>
      <c r="G133" s="722">
        <v>2004</v>
      </c>
      <c r="H133" s="287"/>
      <c r="I133" s="65"/>
      <c r="J133" s="61" t="s">
        <v>213</v>
      </c>
      <c r="K133" s="62" t="s">
        <v>192</v>
      </c>
      <c r="L133" s="31"/>
      <c r="M133" s="34"/>
      <c r="N133" s="31"/>
      <c r="O133" s="34"/>
      <c r="P133" s="31"/>
      <c r="Q133" s="34"/>
      <c r="R133" s="31"/>
      <c r="S133" s="34"/>
      <c r="T133" s="31"/>
      <c r="U133" s="34"/>
      <c r="V133" s="31"/>
      <c r="W133" s="34"/>
      <c r="X133" s="31"/>
      <c r="Y133" s="34"/>
      <c r="Z133" s="31"/>
      <c r="AA133" s="34"/>
      <c r="AB133" s="31"/>
      <c r="AC133" s="34"/>
      <c r="AD133" s="31"/>
      <c r="AE133" s="34"/>
      <c r="AF133" s="31"/>
      <c r="AG133" s="34"/>
      <c r="AH133" s="31"/>
      <c r="AI133" s="34"/>
      <c r="AJ133" s="31"/>
      <c r="AK133" s="34"/>
      <c r="AL133" s="31"/>
      <c r="AM133" s="34"/>
      <c r="AN133" s="31"/>
      <c r="AO133" s="34"/>
      <c r="AP133" s="31"/>
      <c r="AQ133" s="34"/>
      <c r="AR133" s="31"/>
      <c r="AS133" s="34"/>
      <c r="AT133" s="31"/>
      <c r="AU133" s="34"/>
      <c r="AV133" s="31"/>
      <c r="AW133" s="34"/>
      <c r="AX133" s="56"/>
      <c r="AY133" s="34"/>
      <c r="AZ133" s="56"/>
      <c r="BA133" s="34"/>
    </row>
    <row r="134" spans="1:54" ht="20" customHeight="1" x14ac:dyDescent="0.2">
      <c r="A134" s="753"/>
      <c r="B134" s="725"/>
      <c r="C134" s="253"/>
      <c r="D134" s="722" t="s">
        <v>85</v>
      </c>
      <c r="E134" s="723" t="s">
        <v>568</v>
      </c>
      <c r="F134" s="723" t="s">
        <v>569</v>
      </c>
      <c r="G134" s="722">
        <v>2010</v>
      </c>
      <c r="H134" s="287"/>
      <c r="I134" s="65">
        <v>15</v>
      </c>
      <c r="J134" s="61" t="s">
        <v>184</v>
      </c>
      <c r="K134" s="62" t="s">
        <v>168</v>
      </c>
      <c r="L134" s="31"/>
      <c r="M134" s="34"/>
      <c r="N134" s="31"/>
      <c r="O134" s="34"/>
      <c r="P134" s="31"/>
      <c r="Q134" s="34"/>
      <c r="R134" s="31"/>
      <c r="S134" s="34"/>
      <c r="T134" s="31"/>
      <c r="U134" s="34"/>
      <c r="V134" s="31">
        <v>1</v>
      </c>
      <c r="W134" s="34">
        <f t="shared" si="46"/>
        <v>6.666666666666667</v>
      </c>
      <c r="X134" s="31">
        <v>2</v>
      </c>
      <c r="Y134" s="34">
        <f t="shared" si="51"/>
        <v>13.333333333333334</v>
      </c>
      <c r="Z134" s="31"/>
      <c r="AA134" s="34"/>
      <c r="AB134" s="31"/>
      <c r="AC134" s="34"/>
      <c r="AD134" s="31"/>
      <c r="AE134" s="34"/>
      <c r="AF134" s="31"/>
      <c r="AG134" s="34"/>
      <c r="AH134" s="31"/>
      <c r="AI134" s="34"/>
      <c r="AJ134" s="31"/>
      <c r="AK134" s="34"/>
      <c r="AL134" s="31"/>
      <c r="AM134" s="34"/>
      <c r="AN134" s="31"/>
      <c r="AO134" s="34"/>
      <c r="AP134" s="31"/>
      <c r="AQ134" s="34"/>
      <c r="AR134" s="31"/>
      <c r="AS134" s="34"/>
      <c r="AT134" s="31"/>
      <c r="AU134" s="34"/>
      <c r="AV134" s="31"/>
      <c r="AW134" s="34"/>
      <c r="AX134" s="56">
        <v>2</v>
      </c>
      <c r="AY134" s="34">
        <f t="shared" si="63"/>
        <v>13.333333333333334</v>
      </c>
      <c r="AZ134" s="56"/>
      <c r="BA134" s="34"/>
      <c r="BB134" s="21" t="s">
        <v>570</v>
      </c>
    </row>
    <row r="135" spans="1:54" ht="20" customHeight="1" x14ac:dyDescent="0.2">
      <c r="A135" s="753"/>
      <c r="B135" s="725"/>
      <c r="C135" s="722"/>
      <c r="D135" s="727" t="s">
        <v>30</v>
      </c>
      <c r="E135" s="728" t="s">
        <v>129</v>
      </c>
      <c r="F135" s="728" t="s">
        <v>130</v>
      </c>
      <c r="G135" s="727">
        <v>2009</v>
      </c>
      <c r="H135" s="729">
        <v>13</v>
      </c>
      <c r="I135" s="65"/>
      <c r="J135" s="61"/>
      <c r="K135" s="62"/>
      <c r="L135" s="31"/>
      <c r="M135" s="34" t="str">
        <f t="shared" si="42"/>
        <v/>
      </c>
      <c r="N135" s="31"/>
      <c r="O135" s="34" t="str">
        <f t="shared" si="49"/>
        <v/>
      </c>
      <c r="P135" s="31"/>
      <c r="Q135" s="34" t="str">
        <f t="shared" si="44"/>
        <v/>
      </c>
      <c r="R135" s="31"/>
      <c r="S135" s="34" t="str">
        <f t="shared" si="45"/>
        <v/>
      </c>
      <c r="T135" s="31"/>
      <c r="U135" s="34" t="str">
        <f t="shared" si="50"/>
        <v/>
      </c>
      <c r="V135" s="31"/>
      <c r="W135" s="34" t="str">
        <f t="shared" si="46"/>
        <v/>
      </c>
      <c r="X135" s="31"/>
      <c r="Y135" s="34" t="str">
        <f t="shared" si="51"/>
        <v/>
      </c>
      <c r="Z135" s="31"/>
      <c r="AA135" s="34" t="str">
        <f t="shared" si="47"/>
        <v/>
      </c>
      <c r="AB135" s="31"/>
      <c r="AC135" s="34" t="str">
        <f t="shared" si="52"/>
        <v/>
      </c>
      <c r="AD135" s="31"/>
      <c r="AE135" s="34" t="str">
        <f t="shared" si="53"/>
        <v/>
      </c>
      <c r="AF135" s="31"/>
      <c r="AG135" s="34" t="str">
        <f t="shared" si="54"/>
        <v/>
      </c>
      <c r="AH135" s="31"/>
      <c r="AI135" s="34" t="str">
        <f t="shared" si="55"/>
        <v/>
      </c>
      <c r="AJ135" s="31"/>
      <c r="AK135" s="34" t="str">
        <f t="shared" si="56"/>
        <v/>
      </c>
      <c r="AL135" s="31"/>
      <c r="AM135" s="34" t="str">
        <f t="shared" si="57"/>
        <v/>
      </c>
      <c r="AN135" s="31"/>
      <c r="AO135" s="34" t="str">
        <f t="shared" si="58"/>
        <v/>
      </c>
      <c r="AP135" s="31"/>
      <c r="AQ135" s="34" t="str">
        <f t="shared" si="59"/>
        <v/>
      </c>
      <c r="AR135" s="31"/>
      <c r="AS135" s="34" t="str">
        <f t="shared" si="60"/>
        <v/>
      </c>
      <c r="AT135" s="31"/>
      <c r="AU135" s="34" t="str">
        <f t="shared" si="61"/>
        <v/>
      </c>
      <c r="AV135" s="31"/>
      <c r="AW135" s="34" t="str">
        <f t="shared" si="62"/>
        <v/>
      </c>
      <c r="AX135" s="28"/>
      <c r="AY135" s="34" t="str">
        <f t="shared" si="63"/>
        <v/>
      </c>
      <c r="AZ135" s="44"/>
      <c r="BA135" s="34" t="str">
        <f t="shared" si="43"/>
        <v/>
      </c>
    </row>
    <row r="136" spans="1:54" ht="20" customHeight="1" x14ac:dyDescent="0.2">
      <c r="A136" s="753"/>
      <c r="B136" s="725"/>
      <c r="C136" s="255"/>
      <c r="D136" s="722" t="s">
        <v>85</v>
      </c>
      <c r="E136" s="723" t="s">
        <v>131</v>
      </c>
      <c r="F136" s="723" t="s">
        <v>132</v>
      </c>
      <c r="G136" s="722">
        <v>1998</v>
      </c>
      <c r="H136" s="287">
        <v>213</v>
      </c>
      <c r="I136" s="65">
        <v>6</v>
      </c>
      <c r="J136" s="61" t="s">
        <v>175</v>
      </c>
      <c r="K136" s="62"/>
      <c r="L136" s="31"/>
      <c r="M136" s="34" t="str">
        <f t="shared" si="42"/>
        <v/>
      </c>
      <c r="N136" s="31"/>
      <c r="O136" s="34" t="str">
        <f t="shared" si="49"/>
        <v/>
      </c>
      <c r="P136" s="31"/>
      <c r="Q136" s="34" t="str">
        <f t="shared" si="44"/>
        <v/>
      </c>
      <c r="R136" s="31"/>
      <c r="S136" s="34" t="str">
        <f t="shared" si="45"/>
        <v/>
      </c>
      <c r="T136" s="31"/>
      <c r="U136" s="34" t="str">
        <f t="shared" si="50"/>
        <v/>
      </c>
      <c r="V136" s="31"/>
      <c r="W136" s="34" t="str">
        <f t="shared" si="46"/>
        <v/>
      </c>
      <c r="X136" s="31"/>
      <c r="Y136" s="34" t="str">
        <f t="shared" si="51"/>
        <v/>
      </c>
      <c r="Z136" s="31"/>
      <c r="AA136" s="34" t="str">
        <f t="shared" si="47"/>
        <v/>
      </c>
      <c r="AB136" s="31"/>
      <c r="AC136" s="34" t="str">
        <f t="shared" si="52"/>
        <v/>
      </c>
      <c r="AD136" s="31"/>
      <c r="AE136" s="34" t="str">
        <f t="shared" si="53"/>
        <v/>
      </c>
      <c r="AF136" s="31"/>
      <c r="AG136" s="34" t="str">
        <f t="shared" si="54"/>
        <v/>
      </c>
      <c r="AH136" s="31"/>
      <c r="AI136" s="34" t="str">
        <f t="shared" si="55"/>
        <v/>
      </c>
      <c r="AJ136" s="31"/>
      <c r="AK136" s="34" t="str">
        <f t="shared" si="56"/>
        <v/>
      </c>
      <c r="AL136" s="31"/>
      <c r="AM136" s="34" t="str">
        <f t="shared" si="57"/>
        <v/>
      </c>
      <c r="AN136" s="31"/>
      <c r="AO136" s="34" t="str">
        <f t="shared" si="58"/>
        <v/>
      </c>
      <c r="AP136" s="31"/>
      <c r="AQ136" s="34" t="str">
        <f t="shared" si="59"/>
        <v/>
      </c>
      <c r="AR136" s="31"/>
      <c r="AS136" s="34" t="str">
        <f t="shared" si="60"/>
        <v/>
      </c>
      <c r="AT136" s="36">
        <v>4</v>
      </c>
      <c r="AU136" s="37">
        <f t="shared" si="61"/>
        <v>66.666666666666657</v>
      </c>
      <c r="AV136" s="31"/>
      <c r="AW136" s="34" t="str">
        <f t="shared" si="62"/>
        <v/>
      </c>
      <c r="AX136" s="28"/>
      <c r="AY136" s="34" t="str">
        <f t="shared" si="63"/>
        <v/>
      </c>
      <c r="AZ136" s="44"/>
      <c r="BA136" s="34" t="str">
        <f t="shared" si="43"/>
        <v/>
      </c>
      <c r="BB136" s="21" t="s">
        <v>218</v>
      </c>
    </row>
    <row r="137" spans="1:54" ht="20" customHeight="1" x14ac:dyDescent="0.2">
      <c r="A137" s="753"/>
      <c r="B137" s="725"/>
      <c r="C137" s="255"/>
      <c r="D137" s="722" t="s">
        <v>85</v>
      </c>
      <c r="E137" s="723" t="s">
        <v>133</v>
      </c>
      <c r="F137" s="723" t="s">
        <v>134</v>
      </c>
      <c r="G137" s="722">
        <v>2001</v>
      </c>
      <c r="H137" s="287">
        <v>192</v>
      </c>
      <c r="I137" s="65">
        <v>19</v>
      </c>
      <c r="J137" s="61" t="s">
        <v>175</v>
      </c>
      <c r="K137" s="62" t="s">
        <v>168</v>
      </c>
      <c r="L137" s="31">
        <v>2</v>
      </c>
      <c r="M137" s="34">
        <f t="shared" si="42"/>
        <v>10.526315789473683</v>
      </c>
      <c r="N137" s="31"/>
      <c r="O137" s="34" t="str">
        <f t="shared" si="49"/>
        <v/>
      </c>
      <c r="P137" s="31"/>
      <c r="Q137" s="34" t="str">
        <f t="shared" si="44"/>
        <v/>
      </c>
      <c r="R137" s="31"/>
      <c r="S137" s="34" t="str">
        <f t="shared" si="45"/>
        <v/>
      </c>
      <c r="T137" s="31"/>
      <c r="U137" s="34" t="str">
        <f t="shared" si="50"/>
        <v/>
      </c>
      <c r="V137" s="31"/>
      <c r="W137" s="34" t="str">
        <f t="shared" si="46"/>
        <v/>
      </c>
      <c r="X137" s="31"/>
      <c r="Y137" s="34" t="str">
        <f t="shared" si="51"/>
        <v/>
      </c>
      <c r="Z137" s="31"/>
      <c r="AA137" s="34" t="str">
        <f t="shared" si="47"/>
        <v/>
      </c>
      <c r="AB137" s="31"/>
      <c r="AC137" s="34" t="str">
        <f t="shared" si="52"/>
        <v/>
      </c>
      <c r="AD137" s="31"/>
      <c r="AE137" s="34" t="str">
        <f t="shared" si="53"/>
        <v/>
      </c>
      <c r="AF137" s="31"/>
      <c r="AG137" s="34" t="str">
        <f t="shared" si="54"/>
        <v/>
      </c>
      <c r="AH137" s="31"/>
      <c r="AI137" s="34" t="str">
        <f t="shared" si="55"/>
        <v/>
      </c>
      <c r="AJ137" s="31"/>
      <c r="AK137" s="34" t="str">
        <f t="shared" si="56"/>
        <v/>
      </c>
      <c r="AL137" s="31"/>
      <c r="AM137" s="34" t="str">
        <f t="shared" si="57"/>
        <v/>
      </c>
      <c r="AN137" s="31"/>
      <c r="AO137" s="34" t="str">
        <f t="shared" si="58"/>
        <v/>
      </c>
      <c r="AP137" s="31"/>
      <c r="AQ137" s="34" t="str">
        <f t="shared" si="59"/>
        <v/>
      </c>
      <c r="AR137" s="31"/>
      <c r="AS137" s="34" t="str">
        <f t="shared" si="60"/>
        <v/>
      </c>
      <c r="AT137" s="36">
        <v>1</v>
      </c>
      <c r="AU137" s="37">
        <f t="shared" si="61"/>
        <v>5.2631578947368416</v>
      </c>
      <c r="AV137" s="31"/>
      <c r="AW137" s="34" t="str">
        <f t="shared" si="62"/>
        <v/>
      </c>
      <c r="AX137" s="56"/>
      <c r="AY137" s="34" t="str">
        <f t="shared" si="63"/>
        <v/>
      </c>
      <c r="AZ137" s="56"/>
      <c r="BA137" s="34" t="str">
        <f t="shared" si="43"/>
        <v/>
      </c>
      <c r="BB137" s="21" t="s">
        <v>387</v>
      </c>
    </row>
    <row r="138" spans="1:54" ht="20" customHeight="1" x14ac:dyDescent="0.2">
      <c r="A138" s="756"/>
      <c r="B138" s="721"/>
      <c r="C138" s="722"/>
      <c r="D138" s="722" t="s">
        <v>85</v>
      </c>
      <c r="E138" s="723" t="s">
        <v>685</v>
      </c>
      <c r="F138" s="723" t="s">
        <v>686</v>
      </c>
      <c r="G138" s="722">
        <v>2003</v>
      </c>
      <c r="H138" s="287"/>
      <c r="I138" s="65"/>
      <c r="J138" s="61" t="s">
        <v>175</v>
      </c>
      <c r="K138" s="62" t="s">
        <v>168</v>
      </c>
      <c r="L138" s="31"/>
      <c r="M138" s="34"/>
      <c r="N138" s="31"/>
      <c r="O138" s="34"/>
      <c r="P138" s="31"/>
      <c r="Q138" s="34"/>
      <c r="R138" s="31"/>
      <c r="S138" s="34"/>
      <c r="T138" s="31"/>
      <c r="U138" s="34"/>
      <c r="V138" s="31"/>
      <c r="W138" s="34"/>
      <c r="X138" s="31"/>
      <c r="Y138" s="34"/>
      <c r="Z138" s="31"/>
      <c r="AA138" s="34"/>
      <c r="AB138" s="31"/>
      <c r="AC138" s="34"/>
      <c r="AD138" s="31"/>
      <c r="AE138" s="34"/>
      <c r="AF138" s="31"/>
      <c r="AG138" s="34"/>
      <c r="AH138" s="31"/>
      <c r="AI138" s="34"/>
      <c r="AJ138" s="31"/>
      <c r="AK138" s="34"/>
      <c r="AL138" s="31"/>
      <c r="AM138" s="34"/>
      <c r="AN138" s="31"/>
      <c r="AO138" s="34"/>
      <c r="AP138" s="31"/>
      <c r="AQ138" s="34"/>
      <c r="AR138" s="31"/>
      <c r="AS138" s="34"/>
      <c r="AT138" s="31"/>
      <c r="AU138" s="34"/>
      <c r="AV138" s="31"/>
      <c r="AW138" s="34"/>
      <c r="AX138" s="56"/>
      <c r="AY138" s="34"/>
      <c r="AZ138" s="56"/>
      <c r="BA138" s="34"/>
    </row>
    <row r="139" spans="1:54" ht="20" customHeight="1" x14ac:dyDescent="0.2">
      <c r="A139" s="756"/>
      <c r="B139" s="721"/>
      <c r="C139" s="722"/>
      <c r="D139" s="722" t="s">
        <v>85</v>
      </c>
      <c r="E139" s="723" t="s">
        <v>687</v>
      </c>
      <c r="F139" s="723" t="s">
        <v>688</v>
      </c>
      <c r="G139" s="722">
        <v>2006</v>
      </c>
      <c r="H139" s="287"/>
      <c r="I139" s="65"/>
      <c r="J139" s="61" t="s">
        <v>664</v>
      </c>
      <c r="K139" s="62" t="s">
        <v>189</v>
      </c>
      <c r="L139" s="31"/>
      <c r="M139" s="34"/>
      <c r="N139" s="31"/>
      <c r="O139" s="34"/>
      <c r="P139" s="31"/>
      <c r="Q139" s="34"/>
      <c r="R139" s="31"/>
      <c r="S139" s="34"/>
      <c r="T139" s="31"/>
      <c r="U139" s="34"/>
      <c r="V139" s="31"/>
      <c r="W139" s="34"/>
      <c r="X139" s="31"/>
      <c r="Y139" s="34"/>
      <c r="Z139" s="31"/>
      <c r="AA139" s="34"/>
      <c r="AB139" s="31"/>
      <c r="AC139" s="34"/>
      <c r="AD139" s="31"/>
      <c r="AE139" s="34"/>
      <c r="AF139" s="31"/>
      <c r="AG139" s="34"/>
      <c r="AH139" s="31"/>
      <c r="AI139" s="34"/>
      <c r="AJ139" s="31"/>
      <c r="AK139" s="34"/>
      <c r="AL139" s="31"/>
      <c r="AM139" s="34"/>
      <c r="AN139" s="31"/>
      <c r="AO139" s="34"/>
      <c r="AP139" s="31"/>
      <c r="AQ139" s="34"/>
      <c r="AR139" s="31"/>
      <c r="AS139" s="34"/>
      <c r="AT139" s="31"/>
      <c r="AU139" s="34"/>
      <c r="AV139" s="31"/>
      <c r="AW139" s="34"/>
      <c r="AX139" s="56"/>
      <c r="AY139" s="34"/>
      <c r="AZ139" s="56"/>
      <c r="BA139" s="34"/>
    </row>
    <row r="140" spans="1:54" ht="20" customHeight="1" x14ac:dyDescent="0.2">
      <c r="A140" s="756"/>
      <c r="B140" s="721"/>
      <c r="C140" s="722"/>
      <c r="D140" s="722" t="s">
        <v>85</v>
      </c>
      <c r="E140" s="723" t="s">
        <v>689</v>
      </c>
      <c r="F140" s="723" t="s">
        <v>690</v>
      </c>
      <c r="G140" s="722">
        <v>2003</v>
      </c>
      <c r="H140" s="287"/>
      <c r="I140" s="65"/>
      <c r="J140" s="61"/>
      <c r="K140" s="62"/>
      <c r="L140" s="31"/>
      <c r="M140" s="34"/>
      <c r="N140" s="31"/>
      <c r="O140" s="34"/>
      <c r="P140" s="31"/>
      <c r="Q140" s="34"/>
      <c r="R140" s="31"/>
      <c r="S140" s="34"/>
      <c r="T140" s="31"/>
      <c r="U140" s="34"/>
      <c r="V140" s="31"/>
      <c r="W140" s="34"/>
      <c r="X140" s="31"/>
      <c r="Y140" s="34"/>
      <c r="Z140" s="31"/>
      <c r="AA140" s="34"/>
      <c r="AB140" s="31"/>
      <c r="AC140" s="34"/>
      <c r="AD140" s="31"/>
      <c r="AE140" s="34"/>
      <c r="AF140" s="31"/>
      <c r="AG140" s="34"/>
      <c r="AH140" s="31"/>
      <c r="AI140" s="34"/>
      <c r="AJ140" s="31"/>
      <c r="AK140" s="34"/>
      <c r="AL140" s="31"/>
      <c r="AM140" s="34"/>
      <c r="AN140" s="31"/>
      <c r="AO140" s="34"/>
      <c r="AP140" s="31"/>
      <c r="AQ140" s="34"/>
      <c r="AR140" s="31"/>
      <c r="AS140" s="34"/>
      <c r="AT140" s="31"/>
      <c r="AU140" s="34"/>
      <c r="AV140" s="31"/>
      <c r="AW140" s="34"/>
      <c r="AX140" s="56"/>
      <c r="AY140" s="34"/>
      <c r="AZ140" s="56"/>
      <c r="BA140" s="34"/>
    </row>
    <row r="141" spans="1:54" ht="20" customHeight="1" x14ac:dyDescent="0.2">
      <c r="A141" s="753"/>
      <c r="B141" s="725"/>
      <c r="C141" s="253"/>
      <c r="D141" s="722" t="s">
        <v>85</v>
      </c>
      <c r="E141" s="723" t="s">
        <v>151</v>
      </c>
      <c r="F141" s="723" t="s">
        <v>150</v>
      </c>
      <c r="G141" s="722">
        <v>1999</v>
      </c>
      <c r="H141" s="287"/>
      <c r="I141" s="65">
        <v>30</v>
      </c>
      <c r="J141" s="61" t="s">
        <v>420</v>
      </c>
      <c r="K141" s="62" t="s">
        <v>219</v>
      </c>
      <c r="L141" s="31"/>
      <c r="M141" s="34"/>
      <c r="N141" s="31"/>
      <c r="O141" s="34"/>
      <c r="P141" s="31"/>
      <c r="Q141" s="34"/>
      <c r="R141" s="31"/>
      <c r="S141" s="34"/>
      <c r="T141" s="31"/>
      <c r="U141" s="34"/>
      <c r="V141" s="31"/>
      <c r="W141" s="34"/>
      <c r="X141" s="31"/>
      <c r="Y141" s="34"/>
      <c r="Z141" s="31"/>
      <c r="AA141" s="34"/>
      <c r="AB141" s="31"/>
      <c r="AC141" s="34"/>
      <c r="AD141" s="31"/>
      <c r="AE141" s="34"/>
      <c r="AF141" s="31"/>
      <c r="AG141" s="34"/>
      <c r="AH141" s="31"/>
      <c r="AI141" s="34"/>
      <c r="AJ141" s="31"/>
      <c r="AK141" s="34"/>
      <c r="AL141" s="31"/>
      <c r="AM141" s="34"/>
      <c r="AN141" s="31"/>
      <c r="AO141" s="34"/>
      <c r="AP141" s="31"/>
      <c r="AQ141" s="34"/>
      <c r="AR141" s="31"/>
      <c r="AS141" s="34"/>
      <c r="AT141" s="31"/>
      <c r="AU141" s="34"/>
      <c r="AV141" s="31"/>
      <c r="AW141" s="34"/>
      <c r="AX141" s="56"/>
      <c r="AY141" s="34"/>
      <c r="AZ141" s="56"/>
      <c r="BA141" s="34"/>
      <c r="BB141" s="21" t="s">
        <v>388</v>
      </c>
    </row>
    <row r="142" spans="1:54" ht="20" customHeight="1" x14ac:dyDescent="0.2">
      <c r="A142" s="753"/>
      <c r="B142" s="725"/>
      <c r="C142" s="255"/>
      <c r="D142" s="722" t="s">
        <v>85</v>
      </c>
      <c r="E142" s="723" t="s">
        <v>135</v>
      </c>
      <c r="F142" s="723" t="s">
        <v>136</v>
      </c>
      <c r="G142" s="722">
        <v>2007</v>
      </c>
      <c r="H142" s="287">
        <v>240</v>
      </c>
      <c r="I142" s="65">
        <v>53</v>
      </c>
      <c r="J142" s="61" t="s">
        <v>220</v>
      </c>
      <c r="K142" s="62" t="s">
        <v>168</v>
      </c>
      <c r="L142" s="31">
        <v>3</v>
      </c>
      <c r="M142" s="34">
        <f t="shared" ref="M142:M155" si="64">IF((ISERROR((L142/$I142)*100)), "", IF(AND(NOT(ISERROR((L142/$I142)*100)),((L142/$I142)*100) &lt;&gt; 0), (L142/$I142)*100, ""))</f>
        <v>5.6603773584905666</v>
      </c>
      <c r="N142" s="31"/>
      <c r="O142" s="34" t="str">
        <f t="shared" ref="O142:O155" si="65">IF((ISERROR((N142/$I142)*100)), "", IF(AND(NOT(ISERROR((N142/$I142)*100)),((N142/$I142)*100) &lt;&gt; 0), (N142/$I142)*100, ""))</f>
        <v/>
      </c>
      <c r="P142" s="31"/>
      <c r="Q142" s="34" t="str">
        <f t="shared" ref="Q142:Q155" si="66">IF((ISERROR((P142/$I142)*100)), "", IF(AND(NOT(ISERROR((P142/$I142)*100)),((P142/$I142)*100) &lt;&gt; 0), (P142/$I142)*100, ""))</f>
        <v/>
      </c>
      <c r="R142" s="31">
        <v>2</v>
      </c>
      <c r="S142" s="34">
        <f t="shared" ref="S142:S155" si="67">IF((ISERROR((R142/$I142)*100)), "", IF(AND(NOT(ISERROR((R142/$I142)*100)),((R142/$I142)*100) &lt;&gt; 0), (R142/$I142)*100, ""))</f>
        <v>3.7735849056603774</v>
      </c>
      <c r="T142" s="31"/>
      <c r="U142" s="34" t="str">
        <f t="shared" ref="U142:U155" si="68">IF((ISERROR((T142/$I142)*100)), "", IF(AND(NOT(ISERROR((T142/$I142)*100)),((T142/$I142)*100) &lt;&gt; 0), (T142/$I142)*100, ""))</f>
        <v/>
      </c>
      <c r="V142" s="31"/>
      <c r="W142" s="34" t="str">
        <f t="shared" ref="W142:W155" si="69">IF((ISERROR((V142/$I142)*100)), "", IF(AND(NOT(ISERROR((V142/$I142)*100)),((V142/$I142)*100) &lt;&gt; 0), (V142/$I142)*100, ""))</f>
        <v/>
      </c>
      <c r="X142" s="31">
        <v>1</v>
      </c>
      <c r="Y142" s="34">
        <f t="shared" ref="Y142:Y155" si="70">IF((ISERROR((X142/$I142)*100)), "", IF(AND(NOT(ISERROR((X142/$I142)*100)),((X142/$I142)*100) &lt;&gt; 0), (X142/$I142)*100, ""))</f>
        <v>1.8867924528301887</v>
      </c>
      <c r="Z142" s="31"/>
      <c r="AA142" s="34" t="str">
        <f t="shared" ref="AA142:AA155" si="71">IF((ISERROR((Z142/$I142)*100)), "", IF(AND(NOT(ISERROR((Z142/$I142)*100)),((Z142/$I142)*100) &lt;&gt; 0), (Z142/$I142)*100, ""))</f>
        <v/>
      </c>
      <c r="AB142" s="31"/>
      <c r="AC142" s="34" t="str">
        <f t="shared" ref="AC142:AC155" si="72">IF((ISERROR((AB142/$I142)*100)), "", IF(AND(NOT(ISERROR((AB142/$I142)*100)),((AB142/$I142)*100) &lt;&gt; 0), (AB142/$I142)*100, ""))</f>
        <v/>
      </c>
      <c r="AD142" s="31"/>
      <c r="AE142" s="34" t="str">
        <f t="shared" ref="AE142:AE155" si="73">IF((ISERROR((AD142/$I142)*100)), "", IF(AND(NOT(ISERROR((AD142/$I142)*100)),((AD142/$I142)*100) &lt;&gt; 0), (AD142/$I142)*100, ""))</f>
        <v/>
      </c>
      <c r="AF142" s="31"/>
      <c r="AG142" s="34" t="str">
        <f t="shared" ref="AG142:AG155" si="74">IF((ISERROR((AF142/$I142)*100)), "", IF(AND(NOT(ISERROR((AF142/$I142)*100)),((AF142/$I142)*100) &lt;&gt; 0), (AF142/$I142)*100, ""))</f>
        <v/>
      </c>
      <c r="AH142" s="31"/>
      <c r="AI142" s="34" t="str">
        <f t="shared" ref="AI142:AI155" si="75">IF((ISERROR((AH142/$I142)*100)), "", IF(AND(NOT(ISERROR((AH142/$I142)*100)),((AH142/$I142)*100) &lt;&gt; 0), (AH142/$I142)*100, ""))</f>
        <v/>
      </c>
      <c r="AJ142" s="31">
        <v>3</v>
      </c>
      <c r="AK142" s="34">
        <f t="shared" ref="AK142:AK155" si="76">IF((ISERROR((AJ142/$I142)*100)), "", IF(AND(NOT(ISERROR((AJ142/$I142)*100)),((AJ142/$I142)*100) &lt;&gt; 0), (AJ142/$I142)*100, ""))</f>
        <v>5.6603773584905666</v>
      </c>
      <c r="AL142" s="31"/>
      <c r="AM142" s="34" t="str">
        <f t="shared" ref="AM142:AM155" si="77">IF((ISERROR((AL142/$I142)*100)), "", IF(AND(NOT(ISERROR((AL142/$I142)*100)),((AL142/$I142)*100) &lt;&gt; 0), (AL142/$I142)*100, ""))</f>
        <v/>
      </c>
      <c r="AN142" s="31"/>
      <c r="AO142" s="34" t="str">
        <f t="shared" ref="AO142:AO155" si="78">IF((ISERROR((AN142/$I142)*100)), "", IF(AND(NOT(ISERROR((AN142/$I142)*100)),((AN142/$I142)*100) &lt;&gt; 0), (AN142/$I142)*100, ""))</f>
        <v/>
      </c>
      <c r="AP142" s="31"/>
      <c r="AQ142" s="34" t="str">
        <f>IF((ISERROR((AP142/$I142)*100)), "", IF(AND(NOT(ISERROR((AP142/$I142)*100)),((AP142/$I142)*100) &lt;&gt; 0), (AP142/$I142)*100, ""))</f>
        <v/>
      </c>
      <c r="AR142" s="31"/>
      <c r="AS142" s="34" t="str">
        <f t="shared" ref="AS142:AS155" si="79">IF((ISERROR((AR142/$I142)*100)), "", IF(AND(NOT(ISERROR((AR142/$I142)*100)),((AR142/$I142)*100) &lt;&gt; 0), (AR142/$I142)*100, ""))</f>
        <v/>
      </c>
      <c r="AT142" s="31"/>
      <c r="AU142" s="34" t="str">
        <f t="shared" ref="AU142:AU155" si="80">IF((ISERROR((AT142/$I142)*100)), "", IF(AND(NOT(ISERROR((AT142/$I142)*100)),((AT142/$I142)*100) &lt;&gt; 0), (AT142/$I142)*100, ""))</f>
        <v/>
      </c>
      <c r="AV142" s="31"/>
      <c r="AW142" s="34" t="str">
        <f t="shared" ref="AW142:AW155" si="81">IF((ISERROR((AV142/$I142)*100)), "", IF(AND(NOT(ISERROR((AV142/$I142)*100)),((AV142/$I142)*100) &lt;&gt; 0), (AV142/$I142)*100, ""))</f>
        <v/>
      </c>
      <c r="AX142" s="56">
        <v>7</v>
      </c>
      <c r="AY142" s="34">
        <f t="shared" ref="AY142:AY155" si="82">IF((ISERROR((AX142/$I142)*100)), "", IF(AND(NOT(ISERROR((AX142/$I142)*100)),((AX142/$I142)*100) &lt;&gt; 0), (AX142/$I142)*100, ""))</f>
        <v>13.20754716981132</v>
      </c>
      <c r="AZ142" s="56"/>
      <c r="BA142" s="34" t="str">
        <f t="shared" ref="BA142:BA155" si="83">IF((ISERROR((AZ142/$I142)*100)), "", IF(AND(NOT(ISERROR((AZ142/$I142)*100)),((AZ142/$I142)*100) &lt;&gt; 0), (AZ142/$I142)*100, ""))</f>
        <v/>
      </c>
      <c r="BB142" s="21" t="s">
        <v>586</v>
      </c>
    </row>
    <row r="143" spans="1:54" ht="20" customHeight="1" x14ac:dyDescent="0.2">
      <c r="A143" s="753"/>
      <c r="B143" s="725"/>
      <c r="C143" s="255"/>
      <c r="D143" s="722" t="s">
        <v>85</v>
      </c>
      <c r="E143" s="723" t="s">
        <v>137</v>
      </c>
      <c r="F143" s="723" t="s">
        <v>138</v>
      </c>
      <c r="G143" s="722">
        <v>2011</v>
      </c>
      <c r="H143" s="287">
        <v>42</v>
      </c>
      <c r="I143" s="65">
        <v>51</v>
      </c>
      <c r="J143" s="61" t="s">
        <v>221</v>
      </c>
      <c r="K143" s="62" t="s">
        <v>222</v>
      </c>
      <c r="L143" s="36">
        <v>21</v>
      </c>
      <c r="M143" s="37">
        <f t="shared" si="64"/>
        <v>41.17647058823529</v>
      </c>
      <c r="N143" s="31"/>
      <c r="O143" s="34" t="str">
        <f t="shared" si="65"/>
        <v/>
      </c>
      <c r="P143" s="36">
        <v>1</v>
      </c>
      <c r="Q143" s="37">
        <f t="shared" si="66"/>
        <v>1.9607843137254901</v>
      </c>
      <c r="R143" s="31"/>
      <c r="S143" s="34" t="str">
        <f t="shared" si="67"/>
        <v/>
      </c>
      <c r="T143" s="31"/>
      <c r="U143" s="34" t="str">
        <f t="shared" si="68"/>
        <v/>
      </c>
      <c r="V143" s="31"/>
      <c r="W143" s="34" t="str">
        <f t="shared" si="69"/>
        <v/>
      </c>
      <c r="X143" s="31"/>
      <c r="Y143" s="34" t="str">
        <f t="shared" si="70"/>
        <v/>
      </c>
      <c r="Z143" s="31"/>
      <c r="AA143" s="34" t="str">
        <f t="shared" si="71"/>
        <v/>
      </c>
      <c r="AB143" s="31"/>
      <c r="AC143" s="34" t="str">
        <f t="shared" si="72"/>
        <v/>
      </c>
      <c r="AD143" s="31"/>
      <c r="AE143" s="34" t="str">
        <f t="shared" si="73"/>
        <v/>
      </c>
      <c r="AF143" s="31"/>
      <c r="AG143" s="34" t="str">
        <f t="shared" si="74"/>
        <v/>
      </c>
      <c r="AH143" s="31"/>
      <c r="AI143" s="34" t="str">
        <f t="shared" si="75"/>
        <v/>
      </c>
      <c r="AJ143" s="31"/>
      <c r="AK143" s="34" t="str">
        <f t="shared" si="76"/>
        <v/>
      </c>
      <c r="AL143" s="31"/>
      <c r="AM143" s="34" t="str">
        <f t="shared" si="77"/>
        <v/>
      </c>
      <c r="AN143" s="31"/>
      <c r="AO143" s="34" t="str">
        <f t="shared" si="78"/>
        <v/>
      </c>
      <c r="AP143" s="31"/>
      <c r="AQ143" s="34" t="str">
        <f>IF((ISERROR((AP143/$I143)*100)), "", IF(AND(NOT(ISERROR((AP143/$I143)*100)),((AP143/$I143)*100) &lt;&gt; 0), (AP143/$I143)*100, ""))</f>
        <v/>
      </c>
      <c r="AR143" s="31"/>
      <c r="AS143" s="34" t="str">
        <f t="shared" si="79"/>
        <v/>
      </c>
      <c r="AT143" s="31"/>
      <c r="AU143" s="34" t="str">
        <f t="shared" si="80"/>
        <v/>
      </c>
      <c r="AV143" s="36" t="s">
        <v>223</v>
      </c>
      <c r="AW143" s="37" t="str">
        <f t="shared" si="81"/>
        <v/>
      </c>
      <c r="AX143" s="38">
        <v>4</v>
      </c>
      <c r="AY143" s="37">
        <f t="shared" si="82"/>
        <v>7.8431372549019605</v>
      </c>
      <c r="AZ143" s="44"/>
      <c r="BA143" s="34" t="str">
        <f t="shared" si="83"/>
        <v/>
      </c>
      <c r="BB143" s="21" t="s">
        <v>389</v>
      </c>
    </row>
    <row r="144" spans="1:54" ht="20" customHeight="1" x14ac:dyDescent="0.2">
      <c r="A144" s="753"/>
      <c r="B144" s="725"/>
      <c r="C144" s="255"/>
      <c r="D144" s="722" t="s">
        <v>85</v>
      </c>
      <c r="E144" s="723" t="s">
        <v>310</v>
      </c>
      <c r="F144" s="723" t="s">
        <v>311</v>
      </c>
      <c r="G144" s="722">
        <v>2010</v>
      </c>
      <c r="H144" s="287"/>
      <c r="I144" s="65">
        <v>53</v>
      </c>
      <c r="J144" s="78" t="s">
        <v>366</v>
      </c>
      <c r="K144" s="62" t="s">
        <v>405</v>
      </c>
      <c r="L144" s="31">
        <v>2</v>
      </c>
      <c r="M144" s="34">
        <f t="shared" si="64"/>
        <v>3.7735849056603774</v>
      </c>
      <c r="N144" s="31"/>
      <c r="O144" s="34" t="str">
        <f t="shared" si="65"/>
        <v/>
      </c>
      <c r="P144" s="31">
        <v>2</v>
      </c>
      <c r="Q144" s="34">
        <f t="shared" si="66"/>
        <v>3.7735849056603774</v>
      </c>
      <c r="R144" s="31">
        <v>9</v>
      </c>
      <c r="S144" s="34">
        <f t="shared" si="67"/>
        <v>16.981132075471699</v>
      </c>
      <c r="T144" s="31"/>
      <c r="U144" s="34" t="str">
        <f t="shared" si="68"/>
        <v/>
      </c>
      <c r="V144" s="31">
        <v>15</v>
      </c>
      <c r="W144" s="34">
        <f t="shared" si="69"/>
        <v>28.30188679245283</v>
      </c>
      <c r="X144" s="31"/>
      <c r="Y144" s="34" t="str">
        <f t="shared" si="70"/>
        <v/>
      </c>
      <c r="Z144" s="31"/>
      <c r="AA144" s="34" t="str">
        <f t="shared" si="71"/>
        <v/>
      </c>
      <c r="AB144" s="31"/>
      <c r="AC144" s="34" t="str">
        <f t="shared" si="72"/>
        <v/>
      </c>
      <c r="AD144" s="31"/>
      <c r="AE144" s="34" t="str">
        <f t="shared" si="73"/>
        <v/>
      </c>
      <c r="AF144" s="31"/>
      <c r="AG144" s="34" t="str">
        <f t="shared" si="74"/>
        <v/>
      </c>
      <c r="AH144" s="31"/>
      <c r="AI144" s="34" t="str">
        <f t="shared" si="75"/>
        <v/>
      </c>
      <c r="AJ144" s="31"/>
      <c r="AK144" s="34" t="str">
        <f t="shared" si="76"/>
        <v/>
      </c>
      <c r="AL144" s="31">
        <v>3</v>
      </c>
      <c r="AM144" s="34">
        <f t="shared" si="77"/>
        <v>5.6603773584905666</v>
      </c>
      <c r="AN144" s="31"/>
      <c r="AO144" s="34" t="str">
        <f t="shared" si="78"/>
        <v/>
      </c>
      <c r="AP144" s="31"/>
      <c r="AQ144" s="34" t="str">
        <f>IF((ISERROR((AP144/$I144)*100)), "", IF(AND(NOT(ISERROR((AP144/$I144)*100)),((AP144/$I144)*100) &lt;&gt; 0), (AP144/$I144)*100, ""))</f>
        <v/>
      </c>
      <c r="AR144" s="31"/>
      <c r="AS144" s="34" t="str">
        <f t="shared" si="79"/>
        <v/>
      </c>
      <c r="AT144" s="31"/>
      <c r="AU144" s="34" t="str">
        <f t="shared" si="80"/>
        <v/>
      </c>
      <c r="AV144" s="31"/>
      <c r="AW144" s="34" t="str">
        <f t="shared" si="81"/>
        <v/>
      </c>
      <c r="AX144" s="56">
        <v>15</v>
      </c>
      <c r="AY144" s="34">
        <f t="shared" si="82"/>
        <v>28.30188679245283</v>
      </c>
      <c r="AZ144" s="56"/>
      <c r="BA144" s="34" t="str">
        <f t="shared" si="83"/>
        <v/>
      </c>
      <c r="BB144" s="21" t="s">
        <v>367</v>
      </c>
    </row>
    <row r="145" spans="1:54" ht="20" customHeight="1" x14ac:dyDescent="0.2">
      <c r="A145" s="753"/>
      <c r="B145" s="725"/>
      <c r="C145" s="255"/>
      <c r="D145" s="722" t="s">
        <v>85</v>
      </c>
      <c r="E145" s="723" t="s">
        <v>312</v>
      </c>
      <c r="F145" s="723" t="s">
        <v>313</v>
      </c>
      <c r="G145" s="722">
        <v>2014</v>
      </c>
      <c r="H145" s="287"/>
      <c r="I145" s="65">
        <v>39</v>
      </c>
      <c r="J145" s="61" t="s">
        <v>210</v>
      </c>
      <c r="K145" s="62" t="s">
        <v>368</v>
      </c>
      <c r="L145" s="31"/>
      <c r="M145" s="34" t="str">
        <f t="shared" si="64"/>
        <v/>
      </c>
      <c r="N145" s="31"/>
      <c r="O145" s="34" t="str">
        <f t="shared" si="65"/>
        <v/>
      </c>
      <c r="P145" s="31"/>
      <c r="Q145" s="34" t="str">
        <f t="shared" si="66"/>
        <v/>
      </c>
      <c r="R145" s="31"/>
      <c r="S145" s="34" t="str">
        <f t="shared" si="67"/>
        <v/>
      </c>
      <c r="T145" s="31"/>
      <c r="U145" s="34" t="str">
        <f t="shared" si="68"/>
        <v/>
      </c>
      <c r="V145" s="31">
        <v>1</v>
      </c>
      <c r="W145" s="34">
        <f t="shared" si="69"/>
        <v>2.5641025641025639</v>
      </c>
      <c r="X145" s="31"/>
      <c r="Y145" s="34" t="str">
        <f t="shared" si="70"/>
        <v/>
      </c>
      <c r="Z145" s="31">
        <v>2</v>
      </c>
      <c r="AA145" s="34">
        <f t="shared" si="71"/>
        <v>5.1282051282051277</v>
      </c>
      <c r="AB145" s="31">
        <v>1</v>
      </c>
      <c r="AC145" s="34">
        <f t="shared" si="72"/>
        <v>2.5641025641025639</v>
      </c>
      <c r="AD145" s="31"/>
      <c r="AE145" s="34" t="str">
        <f t="shared" si="73"/>
        <v/>
      </c>
      <c r="AF145" s="31"/>
      <c r="AG145" s="34" t="str">
        <f t="shared" si="74"/>
        <v/>
      </c>
      <c r="AH145" s="31"/>
      <c r="AI145" s="34" t="str">
        <f t="shared" si="75"/>
        <v/>
      </c>
      <c r="AJ145" s="31"/>
      <c r="AK145" s="34" t="str">
        <f t="shared" si="76"/>
        <v/>
      </c>
      <c r="AL145" s="31"/>
      <c r="AM145" s="34" t="str">
        <f t="shared" si="77"/>
        <v/>
      </c>
      <c r="AN145" s="31"/>
      <c r="AO145" s="34" t="str">
        <f t="shared" si="78"/>
        <v/>
      </c>
      <c r="AP145" s="31"/>
      <c r="AQ145" s="34"/>
      <c r="AR145" s="31"/>
      <c r="AS145" s="34" t="str">
        <f t="shared" si="79"/>
        <v/>
      </c>
      <c r="AT145" s="31"/>
      <c r="AU145" s="34" t="str">
        <f t="shared" si="80"/>
        <v/>
      </c>
      <c r="AV145" s="31"/>
      <c r="AW145" s="34" t="str">
        <f t="shared" si="81"/>
        <v/>
      </c>
      <c r="AX145" s="56">
        <v>6</v>
      </c>
      <c r="AY145" s="34">
        <f t="shared" si="82"/>
        <v>15.384615384615385</v>
      </c>
      <c r="AZ145" s="56"/>
      <c r="BA145" s="34" t="str">
        <f t="shared" si="83"/>
        <v/>
      </c>
      <c r="BB145" s="21" t="s">
        <v>406</v>
      </c>
    </row>
    <row r="146" spans="1:54" ht="20" customHeight="1" x14ac:dyDescent="0.2">
      <c r="A146" s="753"/>
      <c r="B146" s="725"/>
      <c r="C146" s="255"/>
      <c r="D146" s="722" t="s">
        <v>85</v>
      </c>
      <c r="E146" s="723" t="s">
        <v>314</v>
      </c>
      <c r="F146" s="723" t="s">
        <v>315</v>
      </c>
      <c r="G146" s="722">
        <v>2010</v>
      </c>
      <c r="H146" s="287"/>
      <c r="I146" s="65">
        <v>789</v>
      </c>
      <c r="J146" s="61" t="s">
        <v>210</v>
      </c>
      <c r="K146" s="62" t="s">
        <v>370</v>
      </c>
      <c r="L146" s="31"/>
      <c r="M146" s="34" t="str">
        <f t="shared" si="64"/>
        <v/>
      </c>
      <c r="N146" s="31"/>
      <c r="O146" s="34" t="str">
        <f t="shared" si="65"/>
        <v/>
      </c>
      <c r="P146" s="31"/>
      <c r="Q146" s="34" t="str">
        <f t="shared" si="66"/>
        <v/>
      </c>
      <c r="R146" s="31"/>
      <c r="S146" s="34" t="str">
        <f t="shared" si="67"/>
        <v/>
      </c>
      <c r="T146" s="31"/>
      <c r="U146" s="34" t="str">
        <f t="shared" si="68"/>
        <v/>
      </c>
      <c r="V146" s="31"/>
      <c r="W146" s="34" t="str">
        <f t="shared" si="69"/>
        <v/>
      </c>
      <c r="X146" s="31"/>
      <c r="Y146" s="34" t="str">
        <f t="shared" si="70"/>
        <v/>
      </c>
      <c r="Z146" s="31"/>
      <c r="AA146" s="34" t="str">
        <f t="shared" si="71"/>
        <v/>
      </c>
      <c r="AB146" s="31"/>
      <c r="AC146" s="34" t="str">
        <f t="shared" si="72"/>
        <v/>
      </c>
      <c r="AD146" s="31"/>
      <c r="AE146" s="34" t="str">
        <f t="shared" si="73"/>
        <v/>
      </c>
      <c r="AF146" s="31"/>
      <c r="AG146" s="34" t="str">
        <f t="shared" si="74"/>
        <v/>
      </c>
      <c r="AH146" s="31"/>
      <c r="AI146" s="34" t="str">
        <f t="shared" si="75"/>
        <v/>
      </c>
      <c r="AJ146" s="31"/>
      <c r="AK146" s="34" t="str">
        <f t="shared" si="76"/>
        <v/>
      </c>
      <c r="AL146" s="31"/>
      <c r="AM146" s="34" t="str">
        <f t="shared" si="77"/>
        <v/>
      </c>
      <c r="AN146" s="31"/>
      <c r="AO146" s="34" t="str">
        <f t="shared" si="78"/>
        <v/>
      </c>
      <c r="AP146" s="31"/>
      <c r="AQ146" s="34" t="str">
        <f t="shared" ref="AQ146:AQ155" si="84">IF((ISERROR((AP146/$I146)*100)), "", IF(AND(NOT(ISERROR((AP146/$I146)*100)),((AP146/$I146)*100) &lt;&gt; 0), (AP146/$I146)*100, ""))</f>
        <v/>
      </c>
      <c r="AR146" s="31"/>
      <c r="AS146" s="34" t="str">
        <f t="shared" si="79"/>
        <v/>
      </c>
      <c r="AT146" s="31"/>
      <c r="AU146" s="34" t="str">
        <f t="shared" si="80"/>
        <v/>
      </c>
      <c r="AV146" s="31"/>
      <c r="AW146" s="34" t="str">
        <f t="shared" si="81"/>
        <v/>
      </c>
      <c r="AX146" s="56"/>
      <c r="AY146" s="34" t="str">
        <f t="shared" si="82"/>
        <v/>
      </c>
      <c r="AZ146" s="56">
        <v>43</v>
      </c>
      <c r="BA146" s="34">
        <f t="shared" si="83"/>
        <v>5.4499366286438535</v>
      </c>
      <c r="BB146" s="21" t="s">
        <v>369</v>
      </c>
    </row>
    <row r="147" spans="1:54" ht="20" customHeight="1" x14ac:dyDescent="0.2">
      <c r="A147" s="756"/>
      <c r="B147" s="721"/>
      <c r="C147" s="722"/>
      <c r="D147" s="722" t="s">
        <v>85</v>
      </c>
      <c r="E147" s="723" t="s">
        <v>694</v>
      </c>
      <c r="F147" s="723" t="s">
        <v>695</v>
      </c>
      <c r="G147" s="722">
        <v>2007</v>
      </c>
      <c r="H147" s="287"/>
      <c r="I147" s="65">
        <v>171</v>
      </c>
      <c r="J147" s="61"/>
      <c r="K147" s="62" t="s">
        <v>209</v>
      </c>
      <c r="L147" s="31"/>
      <c r="M147" s="34"/>
      <c r="N147" s="31"/>
      <c r="O147" s="34"/>
      <c r="P147" s="31"/>
      <c r="Q147" s="34"/>
      <c r="R147" s="31"/>
      <c r="S147" s="34"/>
      <c r="T147" s="31"/>
      <c r="U147" s="34"/>
      <c r="V147" s="31"/>
      <c r="W147" s="34"/>
      <c r="X147" s="31"/>
      <c r="Y147" s="34"/>
      <c r="Z147" s="31"/>
      <c r="AA147" s="34"/>
      <c r="AB147" s="31"/>
      <c r="AC147" s="34"/>
      <c r="AD147" s="31"/>
      <c r="AE147" s="34"/>
      <c r="AF147" s="31"/>
      <c r="AG147" s="34"/>
      <c r="AH147" s="31"/>
      <c r="AI147" s="34"/>
      <c r="AJ147" s="31"/>
      <c r="AK147" s="34"/>
      <c r="AL147" s="31"/>
      <c r="AM147" s="34"/>
      <c r="AN147" s="31"/>
      <c r="AO147" s="34"/>
      <c r="AP147" s="31"/>
      <c r="AQ147" s="34"/>
      <c r="AR147" s="31"/>
      <c r="AS147" s="34"/>
      <c r="AT147" s="31"/>
      <c r="AU147" s="34"/>
      <c r="AV147" s="31"/>
      <c r="AW147" s="34"/>
      <c r="AX147" s="56"/>
      <c r="AY147" s="34"/>
      <c r="AZ147" s="56"/>
      <c r="BA147" s="34"/>
    </row>
    <row r="148" spans="1:54" ht="20" customHeight="1" x14ac:dyDescent="0.2">
      <c r="A148" s="753"/>
      <c r="B148" s="725"/>
      <c r="C148" s="253"/>
      <c r="D148" s="730" t="s">
        <v>374</v>
      </c>
      <c r="E148" s="723" t="s">
        <v>316</v>
      </c>
      <c r="F148" s="723" t="s">
        <v>317</v>
      </c>
      <c r="G148" s="722">
        <v>2016</v>
      </c>
      <c r="H148" s="287"/>
      <c r="I148" s="65">
        <v>16</v>
      </c>
      <c r="J148" s="61" t="s">
        <v>372</v>
      </c>
      <c r="K148" s="79" t="s">
        <v>373</v>
      </c>
      <c r="L148" s="31"/>
      <c r="M148" s="34" t="str">
        <f t="shared" si="64"/>
        <v/>
      </c>
      <c r="N148" s="31"/>
      <c r="O148" s="34" t="str">
        <f t="shared" si="65"/>
        <v/>
      </c>
      <c r="P148" s="31"/>
      <c r="Q148" s="34" t="str">
        <f t="shared" si="66"/>
        <v/>
      </c>
      <c r="R148" s="31"/>
      <c r="S148" s="34" t="str">
        <f t="shared" si="67"/>
        <v/>
      </c>
      <c r="T148" s="31"/>
      <c r="U148" s="34" t="str">
        <f t="shared" si="68"/>
        <v/>
      </c>
      <c r="V148" s="31"/>
      <c r="W148" s="34" t="str">
        <f t="shared" si="69"/>
        <v/>
      </c>
      <c r="X148" s="31"/>
      <c r="Y148" s="34" t="str">
        <f t="shared" si="70"/>
        <v/>
      </c>
      <c r="Z148" s="31"/>
      <c r="AA148" s="34" t="str">
        <f t="shared" si="71"/>
        <v/>
      </c>
      <c r="AB148" s="31"/>
      <c r="AC148" s="34" t="str">
        <f t="shared" si="72"/>
        <v/>
      </c>
      <c r="AD148" s="31"/>
      <c r="AE148" s="34" t="str">
        <f t="shared" si="73"/>
        <v/>
      </c>
      <c r="AF148" s="31"/>
      <c r="AG148" s="34" t="str">
        <f t="shared" si="74"/>
        <v/>
      </c>
      <c r="AH148" s="31"/>
      <c r="AI148" s="34" t="str">
        <f t="shared" si="75"/>
        <v/>
      </c>
      <c r="AJ148" s="31"/>
      <c r="AK148" s="34" t="str">
        <f t="shared" si="76"/>
        <v/>
      </c>
      <c r="AL148" s="31"/>
      <c r="AM148" s="34" t="str">
        <f t="shared" si="77"/>
        <v/>
      </c>
      <c r="AN148" s="31"/>
      <c r="AO148" s="34" t="str">
        <f t="shared" si="78"/>
        <v/>
      </c>
      <c r="AP148" s="31"/>
      <c r="AQ148" s="34" t="str">
        <f t="shared" si="84"/>
        <v/>
      </c>
      <c r="AR148" s="31"/>
      <c r="AS148" s="34" t="str">
        <f t="shared" si="79"/>
        <v/>
      </c>
      <c r="AT148" s="31"/>
      <c r="AU148" s="34" t="str">
        <f t="shared" si="80"/>
        <v/>
      </c>
      <c r="AV148" s="31"/>
      <c r="AW148" s="34" t="str">
        <f t="shared" si="81"/>
        <v/>
      </c>
      <c r="AX148" s="29"/>
      <c r="AY148" s="34" t="str">
        <f t="shared" si="82"/>
        <v/>
      </c>
      <c r="AZ148" s="44"/>
      <c r="BA148" s="34" t="str">
        <f t="shared" si="83"/>
        <v/>
      </c>
      <c r="BB148" s="21" t="s">
        <v>375</v>
      </c>
    </row>
    <row r="149" spans="1:54" ht="20" customHeight="1" x14ac:dyDescent="0.2">
      <c r="A149" s="753"/>
      <c r="B149" s="725"/>
      <c r="C149" s="255"/>
      <c r="D149" s="731" t="s">
        <v>376</v>
      </c>
      <c r="E149" s="728" t="s">
        <v>139</v>
      </c>
      <c r="F149" s="728" t="s">
        <v>140</v>
      </c>
      <c r="G149" s="727">
        <v>2005</v>
      </c>
      <c r="H149" s="729">
        <v>21</v>
      </c>
      <c r="I149" s="65"/>
      <c r="J149" s="61" t="s">
        <v>224</v>
      </c>
      <c r="K149" s="62"/>
      <c r="L149" s="31"/>
      <c r="M149" s="34" t="str">
        <f t="shared" si="64"/>
        <v/>
      </c>
      <c r="N149" s="31"/>
      <c r="O149" s="34" t="str">
        <f t="shared" si="65"/>
        <v/>
      </c>
      <c r="P149" s="31"/>
      <c r="Q149" s="34" t="str">
        <f t="shared" si="66"/>
        <v/>
      </c>
      <c r="R149" s="31"/>
      <c r="S149" s="34" t="str">
        <f t="shared" si="67"/>
        <v/>
      </c>
      <c r="T149" s="31"/>
      <c r="U149" s="34" t="str">
        <f t="shared" si="68"/>
        <v/>
      </c>
      <c r="V149" s="31"/>
      <c r="W149" s="34" t="str">
        <f t="shared" si="69"/>
        <v/>
      </c>
      <c r="X149" s="31"/>
      <c r="Y149" s="34" t="str">
        <f t="shared" si="70"/>
        <v/>
      </c>
      <c r="Z149" s="31"/>
      <c r="AA149" s="34" t="str">
        <f t="shared" si="71"/>
        <v/>
      </c>
      <c r="AB149" s="31"/>
      <c r="AC149" s="34" t="str">
        <f t="shared" si="72"/>
        <v/>
      </c>
      <c r="AD149" s="31"/>
      <c r="AE149" s="34" t="str">
        <f t="shared" si="73"/>
        <v/>
      </c>
      <c r="AF149" s="31"/>
      <c r="AG149" s="34" t="str">
        <f t="shared" si="74"/>
        <v/>
      </c>
      <c r="AH149" s="31"/>
      <c r="AI149" s="34" t="str">
        <f t="shared" si="75"/>
        <v/>
      </c>
      <c r="AJ149" s="36">
        <v>5</v>
      </c>
      <c r="AK149" s="37" t="str">
        <f t="shared" si="76"/>
        <v/>
      </c>
      <c r="AL149" s="31"/>
      <c r="AM149" s="34" t="str">
        <f t="shared" si="77"/>
        <v/>
      </c>
      <c r="AN149" s="31"/>
      <c r="AO149" s="34" t="str">
        <f t="shared" si="78"/>
        <v/>
      </c>
      <c r="AP149" s="31"/>
      <c r="AQ149" s="34" t="str">
        <f t="shared" si="84"/>
        <v/>
      </c>
      <c r="AR149" s="31"/>
      <c r="AS149" s="34" t="str">
        <f t="shared" si="79"/>
        <v/>
      </c>
      <c r="AT149" s="36">
        <v>5</v>
      </c>
      <c r="AU149" s="37" t="str">
        <f t="shared" si="80"/>
        <v/>
      </c>
      <c r="AV149" s="31"/>
      <c r="AW149" s="34" t="str">
        <f t="shared" si="81"/>
        <v/>
      </c>
      <c r="AX149" s="38">
        <v>16</v>
      </c>
      <c r="AY149" s="37" t="str">
        <f t="shared" si="82"/>
        <v/>
      </c>
      <c r="AZ149" s="56"/>
      <c r="BA149" s="34" t="str">
        <f t="shared" si="83"/>
        <v/>
      </c>
      <c r="BB149" s="21" t="s">
        <v>225</v>
      </c>
    </row>
    <row r="150" spans="1:54" ht="20" customHeight="1" x14ac:dyDescent="0.2">
      <c r="A150" s="753"/>
      <c r="B150" s="721"/>
      <c r="C150" s="722"/>
      <c r="D150" s="722" t="s">
        <v>35</v>
      </c>
      <c r="E150" s="723" t="s">
        <v>141</v>
      </c>
      <c r="F150" s="723" t="s">
        <v>142</v>
      </c>
      <c r="G150" s="722">
        <v>2015</v>
      </c>
      <c r="H150" s="287">
        <v>1</v>
      </c>
      <c r="I150" s="65">
        <v>119</v>
      </c>
      <c r="J150" s="61"/>
      <c r="K150" s="62"/>
      <c r="L150" s="31"/>
      <c r="M150" s="34" t="str">
        <f t="shared" si="64"/>
        <v/>
      </c>
      <c r="N150" s="31"/>
      <c r="O150" s="34" t="str">
        <f t="shared" si="65"/>
        <v/>
      </c>
      <c r="P150" s="31"/>
      <c r="Q150" s="34" t="str">
        <f t="shared" si="66"/>
        <v/>
      </c>
      <c r="R150" s="31"/>
      <c r="S150" s="34" t="str">
        <f t="shared" si="67"/>
        <v/>
      </c>
      <c r="T150" s="31"/>
      <c r="U150" s="34" t="str">
        <f t="shared" si="68"/>
        <v/>
      </c>
      <c r="V150" s="31"/>
      <c r="W150" s="34" t="str">
        <f t="shared" si="69"/>
        <v/>
      </c>
      <c r="X150" s="31"/>
      <c r="Y150" s="34" t="str">
        <f t="shared" si="70"/>
        <v/>
      </c>
      <c r="Z150" s="31"/>
      <c r="AA150" s="34" t="str">
        <f t="shared" si="71"/>
        <v/>
      </c>
      <c r="AB150" s="31"/>
      <c r="AC150" s="34" t="str">
        <f t="shared" si="72"/>
        <v/>
      </c>
      <c r="AD150" s="31"/>
      <c r="AE150" s="34" t="str">
        <f t="shared" si="73"/>
        <v/>
      </c>
      <c r="AF150" s="31"/>
      <c r="AG150" s="34" t="str">
        <f t="shared" si="74"/>
        <v/>
      </c>
      <c r="AH150" s="31"/>
      <c r="AI150" s="34" t="str">
        <f t="shared" si="75"/>
        <v/>
      </c>
      <c r="AJ150" s="31"/>
      <c r="AK150" s="34" t="str">
        <f t="shared" si="76"/>
        <v/>
      </c>
      <c r="AL150" s="31"/>
      <c r="AM150" s="34" t="str">
        <f t="shared" si="77"/>
        <v/>
      </c>
      <c r="AN150" s="31"/>
      <c r="AO150" s="34" t="str">
        <f t="shared" si="78"/>
        <v/>
      </c>
      <c r="AP150" s="31"/>
      <c r="AQ150" s="34" t="str">
        <f t="shared" si="84"/>
        <v/>
      </c>
      <c r="AR150" s="31"/>
      <c r="AS150" s="34" t="str">
        <f t="shared" si="79"/>
        <v/>
      </c>
      <c r="AT150" s="31"/>
      <c r="AU150" s="34" t="str">
        <f t="shared" si="80"/>
        <v/>
      </c>
      <c r="AV150" s="31"/>
      <c r="AW150" s="34" t="str">
        <f t="shared" si="81"/>
        <v/>
      </c>
      <c r="AX150" s="28"/>
      <c r="AY150" s="34" t="str">
        <f t="shared" si="82"/>
        <v/>
      </c>
      <c r="AZ150" s="44"/>
      <c r="BA150" s="34" t="str">
        <f t="shared" si="83"/>
        <v/>
      </c>
      <c r="BB150" s="21" t="s">
        <v>226</v>
      </c>
    </row>
    <row r="151" spans="1:54" ht="20" customHeight="1" x14ac:dyDescent="0.2">
      <c r="A151" s="753"/>
      <c r="B151" s="725"/>
      <c r="C151" s="253"/>
      <c r="D151" s="722" t="s">
        <v>85</v>
      </c>
      <c r="E151" s="723" t="s">
        <v>143</v>
      </c>
      <c r="F151" s="723" t="s">
        <v>144</v>
      </c>
      <c r="G151" s="722">
        <v>2008</v>
      </c>
      <c r="H151" s="287">
        <v>156</v>
      </c>
      <c r="I151" s="65">
        <v>50</v>
      </c>
      <c r="J151" s="61" t="s">
        <v>175</v>
      </c>
      <c r="K151" s="62" t="s">
        <v>587</v>
      </c>
      <c r="L151" s="31"/>
      <c r="M151" s="34" t="str">
        <f t="shared" si="64"/>
        <v/>
      </c>
      <c r="N151" s="31"/>
      <c r="O151" s="34" t="str">
        <f t="shared" si="65"/>
        <v/>
      </c>
      <c r="P151" s="31"/>
      <c r="Q151" s="34" t="str">
        <f t="shared" si="66"/>
        <v/>
      </c>
      <c r="R151" s="31"/>
      <c r="S151" s="34" t="str">
        <f t="shared" si="67"/>
        <v/>
      </c>
      <c r="T151" s="31"/>
      <c r="U151" s="34" t="str">
        <f t="shared" si="68"/>
        <v/>
      </c>
      <c r="V151" s="31"/>
      <c r="W151" s="34" t="str">
        <f t="shared" si="69"/>
        <v/>
      </c>
      <c r="X151" s="31"/>
      <c r="Y151" s="34" t="str">
        <f t="shared" si="70"/>
        <v/>
      </c>
      <c r="Z151" s="31"/>
      <c r="AA151" s="34" t="str">
        <f t="shared" si="71"/>
        <v/>
      </c>
      <c r="AB151" s="31"/>
      <c r="AC151" s="34" t="str">
        <f t="shared" si="72"/>
        <v/>
      </c>
      <c r="AD151" s="31"/>
      <c r="AE151" s="34" t="str">
        <f t="shared" si="73"/>
        <v/>
      </c>
      <c r="AF151" s="31"/>
      <c r="AG151" s="34" t="str">
        <f t="shared" si="74"/>
        <v/>
      </c>
      <c r="AH151" s="31"/>
      <c r="AI151" s="34" t="str">
        <f t="shared" si="75"/>
        <v/>
      </c>
      <c r="AJ151" s="31"/>
      <c r="AK151" s="34" t="str">
        <f t="shared" si="76"/>
        <v/>
      </c>
      <c r="AL151" s="31"/>
      <c r="AM151" s="34" t="str">
        <f t="shared" si="77"/>
        <v/>
      </c>
      <c r="AN151" s="31"/>
      <c r="AO151" s="34" t="str">
        <f t="shared" si="78"/>
        <v/>
      </c>
      <c r="AP151" s="31"/>
      <c r="AQ151" s="34" t="str">
        <f t="shared" si="84"/>
        <v/>
      </c>
      <c r="AR151" s="31"/>
      <c r="AS151" s="34" t="str">
        <f t="shared" si="79"/>
        <v/>
      </c>
      <c r="AT151" s="31"/>
      <c r="AU151" s="34" t="str">
        <f t="shared" si="80"/>
        <v/>
      </c>
      <c r="AV151" s="31"/>
      <c r="AW151" s="34" t="str">
        <f t="shared" si="81"/>
        <v/>
      </c>
      <c r="AX151" s="56"/>
      <c r="AY151" s="34" t="str">
        <f t="shared" si="82"/>
        <v/>
      </c>
      <c r="AZ151" s="56"/>
      <c r="BA151" s="34" t="str">
        <f t="shared" si="83"/>
        <v/>
      </c>
      <c r="BB151" s="21" t="s">
        <v>588</v>
      </c>
    </row>
    <row r="152" spans="1:54" ht="20" customHeight="1" x14ac:dyDescent="0.2">
      <c r="A152" s="753"/>
      <c r="B152" s="721"/>
      <c r="C152" s="722"/>
      <c r="D152" s="727" t="s">
        <v>49</v>
      </c>
      <c r="E152" s="728" t="s">
        <v>145</v>
      </c>
      <c r="F152" s="728" t="s">
        <v>146</v>
      </c>
      <c r="G152" s="727">
        <v>1997</v>
      </c>
      <c r="H152" s="729">
        <v>47</v>
      </c>
      <c r="I152" s="65"/>
      <c r="J152" s="61"/>
      <c r="K152" s="62"/>
      <c r="L152" s="31"/>
      <c r="M152" s="34" t="str">
        <f t="shared" si="64"/>
        <v/>
      </c>
      <c r="N152" s="31"/>
      <c r="O152" s="34" t="str">
        <f t="shared" si="65"/>
        <v/>
      </c>
      <c r="P152" s="31"/>
      <c r="Q152" s="34" t="str">
        <f t="shared" si="66"/>
        <v/>
      </c>
      <c r="R152" s="31"/>
      <c r="S152" s="34" t="str">
        <f t="shared" si="67"/>
        <v/>
      </c>
      <c r="T152" s="31"/>
      <c r="U152" s="34" t="str">
        <f t="shared" si="68"/>
        <v/>
      </c>
      <c r="V152" s="31"/>
      <c r="W152" s="34" t="str">
        <f t="shared" si="69"/>
        <v/>
      </c>
      <c r="X152" s="31"/>
      <c r="Y152" s="34" t="str">
        <f t="shared" si="70"/>
        <v/>
      </c>
      <c r="Z152" s="31"/>
      <c r="AA152" s="34" t="str">
        <f t="shared" si="71"/>
        <v/>
      </c>
      <c r="AB152" s="31"/>
      <c r="AC152" s="34" t="str">
        <f t="shared" si="72"/>
        <v/>
      </c>
      <c r="AD152" s="31"/>
      <c r="AE152" s="34" t="str">
        <f t="shared" si="73"/>
        <v/>
      </c>
      <c r="AF152" s="31"/>
      <c r="AG152" s="34" t="str">
        <f t="shared" si="74"/>
        <v/>
      </c>
      <c r="AH152" s="31"/>
      <c r="AI152" s="34" t="str">
        <f t="shared" si="75"/>
        <v/>
      </c>
      <c r="AJ152" s="31"/>
      <c r="AK152" s="34" t="str">
        <f t="shared" si="76"/>
        <v/>
      </c>
      <c r="AL152" s="31"/>
      <c r="AM152" s="34" t="str">
        <f t="shared" si="77"/>
        <v/>
      </c>
      <c r="AN152" s="31"/>
      <c r="AO152" s="34" t="str">
        <f t="shared" si="78"/>
        <v/>
      </c>
      <c r="AP152" s="31"/>
      <c r="AQ152" s="34" t="str">
        <f t="shared" si="84"/>
        <v/>
      </c>
      <c r="AR152" s="31"/>
      <c r="AS152" s="34" t="str">
        <f t="shared" si="79"/>
        <v/>
      </c>
      <c r="AT152" s="31"/>
      <c r="AU152" s="34" t="str">
        <f t="shared" si="80"/>
        <v/>
      </c>
      <c r="AV152" s="31"/>
      <c r="AW152" s="34" t="str">
        <f t="shared" si="81"/>
        <v/>
      </c>
      <c r="AX152" s="56"/>
      <c r="AY152" s="34" t="str">
        <f t="shared" si="82"/>
        <v/>
      </c>
      <c r="AZ152" s="56"/>
      <c r="BA152" s="34" t="str">
        <f t="shared" si="83"/>
        <v/>
      </c>
      <c r="BB152" s="21" t="s">
        <v>227</v>
      </c>
    </row>
    <row r="153" spans="1:54" ht="20" customHeight="1" x14ac:dyDescent="0.2">
      <c r="A153" s="756"/>
      <c r="B153" s="721"/>
      <c r="C153" s="722"/>
      <c r="D153" s="722" t="s">
        <v>85</v>
      </c>
      <c r="E153" s="723" t="s">
        <v>696</v>
      </c>
      <c r="F153" s="723" t="s">
        <v>697</v>
      </c>
      <c r="G153" s="722">
        <v>2006</v>
      </c>
      <c r="H153" s="287"/>
      <c r="I153" s="65">
        <v>27</v>
      </c>
      <c r="J153" s="61" t="s">
        <v>175</v>
      </c>
      <c r="K153" s="62" t="s">
        <v>702</v>
      </c>
      <c r="L153" s="53"/>
      <c r="M153" s="54"/>
      <c r="N153" s="53"/>
      <c r="O153" s="54"/>
      <c r="P153" s="53"/>
      <c r="Q153" s="54"/>
      <c r="R153" s="53"/>
      <c r="S153" s="54"/>
      <c r="T153" s="53"/>
      <c r="U153" s="54"/>
      <c r="V153" s="53"/>
      <c r="W153" s="54"/>
      <c r="X153" s="53"/>
      <c r="Y153" s="54"/>
      <c r="Z153" s="53"/>
      <c r="AA153" s="54"/>
      <c r="AB153" s="53"/>
      <c r="AC153" s="54"/>
      <c r="AD153" s="53"/>
      <c r="AE153" s="54"/>
      <c r="AF153" s="53"/>
      <c r="AG153" s="54"/>
      <c r="AH153" s="53"/>
      <c r="AI153" s="54"/>
      <c r="AJ153" s="53"/>
      <c r="AK153" s="54"/>
      <c r="AL153" s="53"/>
      <c r="AM153" s="54"/>
      <c r="AN153" s="53"/>
      <c r="AO153" s="54"/>
      <c r="AP153" s="53"/>
      <c r="AQ153" s="54"/>
      <c r="AR153" s="53"/>
      <c r="AS153" s="54"/>
      <c r="AT153" s="53"/>
      <c r="AU153" s="54"/>
      <c r="AV153" s="53"/>
      <c r="AW153" s="54"/>
      <c r="AX153" s="55"/>
      <c r="AY153" s="54"/>
      <c r="AZ153" s="55"/>
      <c r="BA153" s="54"/>
    </row>
    <row r="154" spans="1:54" ht="20" customHeight="1" x14ac:dyDescent="0.2">
      <c r="A154" s="753"/>
      <c r="B154" s="725"/>
      <c r="C154" s="253"/>
      <c r="D154" s="722" t="s">
        <v>85</v>
      </c>
      <c r="E154" s="723" t="s">
        <v>318</v>
      </c>
      <c r="F154" s="723" t="s">
        <v>319</v>
      </c>
      <c r="G154" s="722">
        <v>2009</v>
      </c>
      <c r="H154" s="287"/>
      <c r="I154" s="65">
        <v>12</v>
      </c>
      <c r="J154" s="61" t="s">
        <v>213</v>
      </c>
      <c r="K154" s="62" t="s">
        <v>191</v>
      </c>
      <c r="L154" s="53"/>
      <c r="M154" s="54" t="str">
        <f t="shared" si="64"/>
        <v/>
      </c>
      <c r="N154" s="53"/>
      <c r="O154" s="54" t="str">
        <f t="shared" si="65"/>
        <v/>
      </c>
      <c r="P154" s="53"/>
      <c r="Q154" s="54" t="str">
        <f t="shared" si="66"/>
        <v/>
      </c>
      <c r="R154" s="53"/>
      <c r="S154" s="54" t="str">
        <f t="shared" si="67"/>
        <v/>
      </c>
      <c r="T154" s="53"/>
      <c r="U154" s="54" t="str">
        <f t="shared" si="68"/>
        <v/>
      </c>
      <c r="V154" s="53"/>
      <c r="W154" s="54" t="str">
        <f t="shared" si="69"/>
        <v/>
      </c>
      <c r="X154" s="53"/>
      <c r="Y154" s="54" t="str">
        <f t="shared" si="70"/>
        <v/>
      </c>
      <c r="Z154" s="53"/>
      <c r="AA154" s="54" t="str">
        <f t="shared" si="71"/>
        <v/>
      </c>
      <c r="AB154" s="53"/>
      <c r="AC154" s="54" t="str">
        <f t="shared" si="72"/>
        <v/>
      </c>
      <c r="AD154" s="53"/>
      <c r="AE154" s="54" t="str">
        <f t="shared" si="73"/>
        <v/>
      </c>
      <c r="AF154" s="53"/>
      <c r="AG154" s="54" t="str">
        <f t="shared" si="74"/>
        <v/>
      </c>
      <c r="AH154" s="53"/>
      <c r="AI154" s="54" t="str">
        <f t="shared" si="75"/>
        <v/>
      </c>
      <c r="AJ154" s="53"/>
      <c r="AK154" s="54" t="str">
        <f t="shared" si="76"/>
        <v/>
      </c>
      <c r="AL154" s="53"/>
      <c r="AM154" s="54" t="str">
        <f t="shared" si="77"/>
        <v/>
      </c>
      <c r="AN154" s="53"/>
      <c r="AO154" s="54" t="str">
        <f t="shared" si="78"/>
        <v/>
      </c>
      <c r="AP154" s="53"/>
      <c r="AQ154" s="54" t="str">
        <f t="shared" si="84"/>
        <v/>
      </c>
      <c r="AR154" s="53"/>
      <c r="AS154" s="54" t="str">
        <f t="shared" si="79"/>
        <v/>
      </c>
      <c r="AT154" s="53"/>
      <c r="AU154" s="54" t="str">
        <f t="shared" si="80"/>
        <v/>
      </c>
      <c r="AV154" s="53"/>
      <c r="AW154" s="54" t="str">
        <f t="shared" si="81"/>
        <v/>
      </c>
      <c r="AX154" s="55"/>
      <c r="AY154" s="54" t="str">
        <f t="shared" si="82"/>
        <v/>
      </c>
      <c r="AZ154" s="55"/>
      <c r="BA154" s="54" t="str">
        <f t="shared" si="83"/>
        <v/>
      </c>
      <c r="BB154" s="21" t="s">
        <v>179</v>
      </c>
    </row>
    <row r="155" spans="1:54" ht="20" customHeight="1" x14ac:dyDescent="0.2">
      <c r="A155" s="753"/>
      <c r="B155" s="725"/>
      <c r="C155" s="253"/>
      <c r="D155" s="722" t="s">
        <v>85</v>
      </c>
      <c r="E155" s="723" t="s">
        <v>147</v>
      </c>
      <c r="F155" s="723" t="s">
        <v>148</v>
      </c>
      <c r="G155" s="722">
        <v>2011</v>
      </c>
      <c r="H155" s="287">
        <v>112</v>
      </c>
      <c r="I155" s="747">
        <v>17</v>
      </c>
      <c r="J155" s="748" t="s">
        <v>217</v>
      </c>
      <c r="K155" s="749" t="s">
        <v>192</v>
      </c>
      <c r="L155" s="53"/>
      <c r="M155" s="54" t="str">
        <f t="shared" si="64"/>
        <v/>
      </c>
      <c r="N155" s="53"/>
      <c r="O155" s="54" t="str">
        <f t="shared" si="65"/>
        <v/>
      </c>
      <c r="P155" s="53"/>
      <c r="Q155" s="54" t="str">
        <f t="shared" si="66"/>
        <v/>
      </c>
      <c r="R155" s="53"/>
      <c r="S155" s="54" t="str">
        <f t="shared" si="67"/>
        <v/>
      </c>
      <c r="T155" s="53"/>
      <c r="U155" s="54" t="str">
        <f t="shared" si="68"/>
        <v/>
      </c>
      <c r="V155" s="53"/>
      <c r="W155" s="54" t="str">
        <f t="shared" si="69"/>
        <v/>
      </c>
      <c r="X155" s="53"/>
      <c r="Y155" s="54" t="str">
        <f t="shared" si="70"/>
        <v/>
      </c>
      <c r="Z155" s="53"/>
      <c r="AA155" s="54" t="str">
        <f t="shared" si="71"/>
        <v/>
      </c>
      <c r="AB155" s="53"/>
      <c r="AC155" s="54" t="str">
        <f t="shared" si="72"/>
        <v/>
      </c>
      <c r="AD155" s="53"/>
      <c r="AE155" s="54" t="str">
        <f t="shared" si="73"/>
        <v/>
      </c>
      <c r="AF155" s="53"/>
      <c r="AG155" s="54" t="str">
        <f t="shared" si="74"/>
        <v/>
      </c>
      <c r="AH155" s="53"/>
      <c r="AI155" s="54" t="str">
        <f t="shared" si="75"/>
        <v/>
      </c>
      <c r="AJ155" s="53"/>
      <c r="AK155" s="54" t="str">
        <f t="shared" si="76"/>
        <v/>
      </c>
      <c r="AL155" s="53"/>
      <c r="AM155" s="54" t="str">
        <f t="shared" si="77"/>
        <v/>
      </c>
      <c r="AN155" s="53"/>
      <c r="AO155" s="54" t="str">
        <f t="shared" si="78"/>
        <v/>
      </c>
      <c r="AP155" s="53"/>
      <c r="AQ155" s="54" t="str">
        <f t="shared" si="84"/>
        <v/>
      </c>
      <c r="AR155" s="53"/>
      <c r="AS155" s="54" t="str">
        <f t="shared" si="79"/>
        <v/>
      </c>
      <c r="AT155" s="53"/>
      <c r="AU155" s="54" t="str">
        <f t="shared" si="80"/>
        <v/>
      </c>
      <c r="AV155" s="53"/>
      <c r="AW155" s="54" t="str">
        <f t="shared" si="81"/>
        <v/>
      </c>
      <c r="AX155" s="55"/>
      <c r="AY155" s="54" t="str">
        <f t="shared" si="82"/>
        <v/>
      </c>
      <c r="AZ155" s="55"/>
      <c r="BA155" s="54" t="str">
        <f t="shared" si="83"/>
        <v/>
      </c>
      <c r="BB155" s="21" t="s">
        <v>589</v>
      </c>
    </row>
    <row r="156" spans="1:54" ht="20" customHeight="1" x14ac:dyDescent="0.2">
      <c r="A156" s="756"/>
      <c r="B156" s="721"/>
      <c r="C156" s="722"/>
      <c r="D156" s="722" t="s">
        <v>85</v>
      </c>
      <c r="E156" s="723" t="s">
        <v>698</v>
      </c>
      <c r="F156" s="723" t="s">
        <v>701</v>
      </c>
      <c r="G156" s="722">
        <v>1998</v>
      </c>
      <c r="H156" s="287"/>
      <c r="I156" s="65">
        <v>15</v>
      </c>
      <c r="J156" s="61" t="s">
        <v>175</v>
      </c>
      <c r="K156" s="62" t="s">
        <v>333</v>
      </c>
      <c r="L156" s="750"/>
      <c r="M156" s="751"/>
      <c r="N156" s="750"/>
      <c r="O156" s="751"/>
      <c r="P156" s="750"/>
      <c r="Q156" s="751"/>
      <c r="R156" s="750"/>
      <c r="S156" s="751"/>
      <c r="T156" s="750"/>
      <c r="U156" s="751"/>
      <c r="V156" s="750"/>
      <c r="W156" s="751"/>
      <c r="X156" s="750"/>
      <c r="Y156" s="751"/>
      <c r="Z156" s="750"/>
      <c r="AA156" s="751"/>
      <c r="AB156" s="750"/>
      <c r="AC156" s="751"/>
      <c r="AD156" s="750"/>
      <c r="AE156" s="751"/>
      <c r="AF156" s="750"/>
      <c r="AG156" s="751"/>
      <c r="AH156" s="750"/>
      <c r="AI156" s="751"/>
      <c r="AJ156" s="750"/>
      <c r="AK156" s="751"/>
      <c r="AL156" s="750"/>
      <c r="AM156" s="751"/>
      <c r="AN156" s="750"/>
      <c r="AO156" s="751"/>
      <c r="AP156" s="750"/>
      <c r="AQ156" s="751"/>
      <c r="AR156" s="750"/>
      <c r="AS156" s="751"/>
      <c r="AT156" s="750"/>
      <c r="AU156" s="751"/>
      <c r="AV156" s="750"/>
      <c r="AW156" s="751"/>
      <c r="AX156" s="752"/>
      <c r="AY156" s="751"/>
      <c r="AZ156" s="752"/>
      <c r="BA156" s="751"/>
    </row>
    <row r="157" spans="1:54" ht="20" customHeight="1" thickBot="1" x14ac:dyDescent="0.25">
      <c r="A157" s="758"/>
      <c r="B157" s="759"/>
      <c r="C157" s="734"/>
      <c r="D157" s="734" t="s">
        <v>85</v>
      </c>
      <c r="E157" s="735" t="s">
        <v>699</v>
      </c>
      <c r="F157" s="735" t="s">
        <v>700</v>
      </c>
      <c r="G157" s="734">
        <v>1999</v>
      </c>
      <c r="H157" s="760"/>
      <c r="I157" s="66">
        <v>13</v>
      </c>
      <c r="J157" s="63" t="s">
        <v>703</v>
      </c>
      <c r="K157" s="64" t="s">
        <v>626</v>
      </c>
      <c r="L157" s="32"/>
      <c r="M157" s="35"/>
      <c r="N157" s="32"/>
      <c r="O157" s="35"/>
      <c r="P157" s="32"/>
      <c r="Q157" s="35"/>
      <c r="R157" s="32"/>
      <c r="S157" s="35"/>
      <c r="T157" s="32"/>
      <c r="U157" s="35"/>
      <c r="V157" s="32"/>
      <c r="W157" s="35"/>
      <c r="X157" s="32"/>
      <c r="Y157" s="35"/>
      <c r="Z157" s="32"/>
      <c r="AA157" s="35"/>
      <c r="AB157" s="32"/>
      <c r="AC157" s="35"/>
      <c r="AD157" s="32"/>
      <c r="AE157" s="35"/>
      <c r="AF157" s="32"/>
      <c r="AG157" s="35"/>
      <c r="AH157" s="32"/>
      <c r="AI157" s="35"/>
      <c r="AJ157" s="32"/>
      <c r="AK157" s="35"/>
      <c r="AL157" s="32"/>
      <c r="AM157" s="35"/>
      <c r="AN157" s="32"/>
      <c r="AO157" s="35"/>
      <c r="AP157" s="32"/>
      <c r="AQ157" s="35"/>
      <c r="AR157" s="32"/>
      <c r="AS157" s="35"/>
      <c r="AT157" s="32"/>
      <c r="AU157" s="35"/>
      <c r="AV157" s="32"/>
      <c r="AW157" s="35"/>
      <c r="AX157" s="33"/>
      <c r="AY157" s="35"/>
      <c r="AZ157" s="33"/>
      <c r="BA157" s="35"/>
    </row>
    <row r="158" spans="1:54" s="774" customFormat="1" ht="20" customHeight="1" x14ac:dyDescent="0.2">
      <c r="D158" s="775"/>
      <c r="G158" s="776"/>
      <c r="H158" s="777" t="s">
        <v>240</v>
      </c>
      <c r="I158" s="778">
        <f>SUM(I11:I155)</f>
        <v>4215</v>
      </c>
      <c r="J158" s="779" t="s">
        <v>447</v>
      </c>
      <c r="K158" s="780" t="s">
        <v>453</v>
      </c>
      <c r="L158" s="781">
        <f>IF((SUM(L11:L155)&lt;&gt;0), SUMIF($I11:$I155, "&gt;0", L11:L155), "")</f>
        <v>72</v>
      </c>
      <c r="M158" s="782">
        <f>IF(ISERROR((L158/$I158)*100), "", IF(((L158/$I158)*100) &lt;&gt; 0, (L158/$I158)*100, ""))</f>
        <v>1.708185053380783</v>
      </c>
      <c r="N158" s="781">
        <f>IF((SUM(N11:N155)&lt;&gt;0), SUMIF($I11:$I155, "&gt;0", N11:N155), "")</f>
        <v>6</v>
      </c>
      <c r="O158" s="782">
        <f>IF(ISERROR((N158/$I158)*100), "", IF(((N158/$I158)*100) &lt;&gt; 0, (N158/$I158)*100, ""))</f>
        <v>0.14234875444839859</v>
      </c>
      <c r="P158" s="781">
        <f>IF((SUM(P11:P155)&lt;&gt;0), SUMIF($I11:$I155, "&gt;0", P11:P155), "")</f>
        <v>14</v>
      </c>
      <c r="Q158" s="782">
        <f>IF(ISERROR((P158/$I158)*100), "", IF(((P158/$I158)*100) &lt;&gt; 0, (P158/$I158)*100, ""))</f>
        <v>0.33214709371293</v>
      </c>
      <c r="R158" s="781">
        <f>IF((SUM(R11:R155)&lt;&gt;0), SUMIF($I11:$I155, "&gt;0", R11:R155), "")</f>
        <v>37</v>
      </c>
      <c r="S158" s="782">
        <f>IF(ISERROR((R158/$I158)*100), "", IF(((R158/$I158)*100) &lt;&gt; 0, (R158/$I158)*100, ""))</f>
        <v>0.87781731909845795</v>
      </c>
      <c r="T158" s="781" t="str">
        <f>IF((SUM(T11:T155)&lt;&gt;0), SUMIF($I11:$I155, "&gt;0", T11:T155), "")</f>
        <v/>
      </c>
      <c r="U158" s="782" t="str">
        <f>IF(ISERROR((T158/$I158)*100), "", IF(((T158/$I158)*100) &lt;&gt; 0, (T158/$I158)*100, ""))</f>
        <v/>
      </c>
      <c r="V158" s="781">
        <f>IF((SUM(V11:V155)&lt;&gt;0), SUMIF($I11:$I155, "&gt;0", V11:V155), "")</f>
        <v>73</v>
      </c>
      <c r="W158" s="782">
        <f>IF(ISERROR((V158/$I158)*100), "", IF(((V158/$I158)*100) &lt;&gt; 0, (V158/$I158)*100, ""))</f>
        <v>1.7319098457888493</v>
      </c>
      <c r="X158" s="781">
        <f>IF((SUM(X11:X155)&lt;&gt;0), SUMIF($I11:$I155, "&gt;0", X11:X155), "")</f>
        <v>31</v>
      </c>
      <c r="Y158" s="782">
        <f>IF(ISERROR((X158/$I158)*100), "", IF(((X158/$I158)*100) &lt;&gt; 0, (X158/$I158)*100, ""))</f>
        <v>0.73546856465005928</v>
      </c>
      <c r="Z158" s="781">
        <f>IF((SUM(Z11:Z155)&lt;&gt;0), SUMIF($I11:$I155, "&gt;0", Z11:Z155), "")</f>
        <v>43</v>
      </c>
      <c r="AA158" s="782">
        <f>IF(ISERROR((Z158/$I158)*100), "", IF(((Z158/$I158)*100) &lt;&gt; 0, (Z158/$I158)*100, ""))</f>
        <v>1.0201660735468565</v>
      </c>
      <c r="AB158" s="781">
        <f>IF((SUM(AB11:AB155)&lt;&gt;0), SUMIF($I11:$I155, "&gt;0", AB11:AB155), "")</f>
        <v>3</v>
      </c>
      <c r="AC158" s="782">
        <f>IF(ISERROR((AB158/$I158)*100), "", IF(((AB158/$I158)*100) &lt;&gt; 0, (AB158/$I158)*100, ""))</f>
        <v>7.1174377224199295E-2</v>
      </c>
      <c r="AD158" s="781">
        <f>IF((SUM(AD11:AD155)&lt;&gt;0), SUMIF($I11:$I155, "&gt;0", AD11:AD155), "")</f>
        <v>3</v>
      </c>
      <c r="AE158" s="782">
        <f>IF(ISERROR((AD158/$I158)*100), "", IF(((AD158/$I158)*100) &lt;&gt; 0, (AD158/$I158)*100, ""))</f>
        <v>7.1174377224199295E-2</v>
      </c>
      <c r="AF158" s="781">
        <f>IF((SUM(AF11:AF155)&lt;&gt;0), SUMIF($I11:$I155, "&gt;0", AF11:AF155), "")</f>
        <v>6</v>
      </c>
      <c r="AG158" s="782">
        <f>IF(ISERROR((AF158/$I158)*100), "", IF(((AF158/$I158)*100) &lt;&gt; 0, (AF158/$I158)*100, ""))</f>
        <v>0.14234875444839859</v>
      </c>
      <c r="AH158" s="781">
        <f>IF((SUM(AH11:AH155)&lt;&gt;0), SUMIF($I11:$I155, "&gt;0", AH11:AH155), "")</f>
        <v>1</v>
      </c>
      <c r="AI158" s="782">
        <f>IF(ISERROR((AH158/$I158)*100), "", IF(((AH158/$I158)*100) &lt;&gt; 0, (AH158/$I158)*100, ""))</f>
        <v>2.3724792408066429E-2</v>
      </c>
      <c r="AJ158" s="781">
        <f>IF((SUM(AJ11:AJ155)&lt;&gt;0), SUMIF($I11:$I155, "&gt;0", AJ11:AJ155), "")</f>
        <v>4</v>
      </c>
      <c r="AK158" s="782">
        <f>IF(ISERROR((AJ158/$I158)*100), "", IF(((AJ158/$I158)*100) &lt;&gt; 0, (AJ158/$I158)*100, ""))</f>
        <v>9.4899169632265717E-2</v>
      </c>
      <c r="AL158" s="781">
        <f>IF((SUM(AL11:AL155)&lt;&gt;0), SUMIF($I11:$I155, "&gt;0", AL11:AL155), "")</f>
        <v>8</v>
      </c>
      <c r="AM158" s="782">
        <f>IF(ISERROR((AL158/$I158)*100), "", IF(((AL158/$I158)*100) &lt;&gt; 0, (AL158/$I158)*100, ""))</f>
        <v>0.18979833926453143</v>
      </c>
      <c r="AN158" s="781">
        <f>IF((SUM(AN11:AN155)&lt;&gt;0), SUMIF($I11:$I155, "&gt;0", AN11:AN155), "")</f>
        <v>2</v>
      </c>
      <c r="AO158" s="782">
        <f>IF(ISERROR((AN158/$I158)*100), "", IF(((AN158/$I158)*100) &lt;&gt; 0, (AN158/$I158)*100, ""))</f>
        <v>4.7449584816132859E-2</v>
      </c>
      <c r="AP158" s="781">
        <f>IF((SUM(AP11:AP155)&lt;&gt;0), SUMIF($I11:$I155, "&gt;0", AP11:AP155), "")</f>
        <v>6</v>
      </c>
      <c r="AQ158" s="782">
        <f>IF(ISERROR((AP158/$I158)*100), "", IF(((AP158/$I158)*100) &lt;&gt; 0, (AP158/$I158)*100, ""))</f>
        <v>0.14234875444839859</v>
      </c>
      <c r="AR158" s="781">
        <f>IF((SUM(AR11:AR155)&lt;&gt;0), SUMIF($I11:$I155, "&gt;0", AR11:AR155), "")</f>
        <v>2</v>
      </c>
      <c r="AS158" s="782">
        <f>IF(ISERROR((AR158/$I158)*100), "", IF(((AR158/$I158)*100) &lt;&gt; 0, (AR158/$I158)*100, ""))</f>
        <v>4.7449584816132859E-2</v>
      </c>
      <c r="AT158" s="781">
        <f>IF((SUM(AT11:AT155)&lt;&gt;0), SUMIF($I11:$I155, "&gt;0", AT11:AT155), "")</f>
        <v>8</v>
      </c>
      <c r="AU158" s="782">
        <f>IF(ISERROR((AT158/$I158)*100), "", IF(((AT158/$I158)*100) &lt;&gt; 0, (AT158/$I158)*100, ""))</f>
        <v>0.18979833926453143</v>
      </c>
      <c r="AV158" s="781">
        <f>IF((SUM(AV11:AV155)&lt;&gt;0), SUMIF($I11:$I155, "&gt;0", AV11:AV155), "")</f>
        <v>1</v>
      </c>
      <c r="AW158" s="782">
        <f>IF(ISERROR((AV158/$I158)*100), "", IF(((AV158/$I158)*100) &lt;&gt; 0, (AV158/$I158)*100, ""))</f>
        <v>2.3724792408066429E-2</v>
      </c>
      <c r="AX158" s="781">
        <f>IF((SUM(AX11:AX155)&lt;&gt;0), SUMIF($I11:$I155, "&gt;0", AX11:AX155), "")</f>
        <v>219</v>
      </c>
      <c r="AY158" s="782">
        <f>IF(ISERROR((AX158/$I158)*100), "", IF(((AX158/$I158)*100) &lt;&gt; 0, (AX158/$I158)*100, ""))</f>
        <v>5.1957295373665477</v>
      </c>
      <c r="AZ158" s="781">
        <f>IF((SUM(AZ11:AZ155)&lt;&gt;0), SUMIF($I11:$I155, "&gt;0", AZ11:AZ155), "")</f>
        <v>121</v>
      </c>
      <c r="BA158" s="782">
        <f>IF(ISERROR((AZ158/$I158)*100), "", IF(((AZ158/$I158)*100) &lt;&gt; 0, (AZ158/$I158)*100, ""))</f>
        <v>2.870699881376038</v>
      </c>
    </row>
    <row r="159" spans="1:54" s="774" customFormat="1" ht="20" customHeight="1" x14ac:dyDescent="0.2">
      <c r="D159" s="775"/>
      <c r="G159" s="776"/>
      <c r="H159" s="777" t="s">
        <v>241</v>
      </c>
      <c r="I159" s="783" t="s">
        <v>239</v>
      </c>
      <c r="J159" s="784" t="s">
        <v>454</v>
      </c>
      <c r="K159" s="785" t="s">
        <v>455</v>
      </c>
      <c r="L159" s="786">
        <f>IF(SUMIF(L11:L155, "&gt; 0", $I11:$I155) &gt; 0, SUMIF(L11:L155, "&gt; 0", $I11:$I155), "")</f>
        <v>856</v>
      </c>
      <c r="M159" s="787">
        <f>IF(AND(NOT(ISERROR((L158/L159)*100)), L158/L159 &lt;&gt; 0), (L158/L159)*100, "")</f>
        <v>8.4112149532710276</v>
      </c>
      <c r="N159" s="786">
        <f>IF(SUMIF(N11:N155, "&gt; 0", $I11:$I155) &gt; 0, SUMIF(N11:N155, "&gt; 0", $I11:$I155), "")</f>
        <v>97</v>
      </c>
      <c r="O159" s="787">
        <f>IF(AND(NOT(ISERROR((N158/N159)*100)), N158/N159 &lt;&gt; 0), (N158/N159)*100, "")</f>
        <v>6.1855670103092786</v>
      </c>
      <c r="P159" s="786">
        <f>IF(SUMIF(P11:P155, "&gt; 0", $I11:$I155) &gt; 0, SUMIF(P11:P155, "&gt; 0", $I11:$I155), "")</f>
        <v>377</v>
      </c>
      <c r="Q159" s="787">
        <f>IF(AND(NOT(ISERROR((P158/P159)*100)), P158/P159 &lt;&gt; 0), (P158/P159)*100, "")</f>
        <v>3.7135278514588856</v>
      </c>
      <c r="R159" s="786">
        <f>IF(SUMIF(R11:R155, "&gt; 0", $I11:$I155) &gt; 0, SUMIF(R11:R155, "&gt; 0", $I11:$I155), "")</f>
        <v>748</v>
      </c>
      <c r="S159" s="787">
        <f>IF(AND(NOT(ISERROR((R158/R159)*100)), R158/R159 &lt;&gt; 0), (R158/R159)*100, "")</f>
        <v>4.9465240641711237</v>
      </c>
      <c r="T159" s="786" t="str">
        <f>IF(SUMIF(T11:T155, "&gt; 0", $I11:$I155) &gt; 0, SUMIF(T11:T155, "&gt; 0", $I11:$I155), "")</f>
        <v/>
      </c>
      <c r="U159" s="787"/>
      <c r="V159" s="786">
        <f>IF(SUMIF(V11:V155, "&gt; 0", $I11:$I155) &gt; 0, SUMIF(V11:V155, "&gt; 0", $I11:$I155), "")</f>
        <v>595</v>
      </c>
      <c r="W159" s="787">
        <f>IF(AND(NOT(ISERROR((V158/V159)*100)), V158/V159 &lt;&gt; 0), (V158/V159)*100, "")</f>
        <v>12.268907563025209</v>
      </c>
      <c r="X159" s="786">
        <f>IF(SUMIF(X11:X155, "&gt; 0", $I11:$I155) &gt; 0, SUMIF(X11:X155, "&gt; 0", $I11:$I155), "")</f>
        <v>224</v>
      </c>
      <c r="Y159" s="787">
        <f>IF(AND(NOT(ISERROR((X158/X159)*100)), X158/X159 &lt;&gt; 0), (X158/X159)*100, "")</f>
        <v>13.839285714285715</v>
      </c>
      <c r="Z159" s="786">
        <f>IF(SUMIF(Z11:Z155, "&gt; 0", $I11:$I155) &gt; 0, SUMIF(Z11:Z155, "&gt; 0", $I11:$I155), "")</f>
        <v>320</v>
      </c>
      <c r="AA159" s="787">
        <f>IF(AND(NOT(ISERROR((Z158/Z159)*100)), Z158/Z159 &lt;&gt; 0), (Z158/Z159)*100, "")</f>
        <v>13.4375</v>
      </c>
      <c r="AB159" s="786">
        <f>IF(SUMIF(AB11:AB155, "&gt; 0", $I11:$I155) &gt; 0, SUMIF(AB11:AB155, "&gt; 0", $I11:$I155), "")</f>
        <v>61</v>
      </c>
      <c r="AC159" s="787">
        <f>IF(AND(NOT(ISERROR((AB158/AB159)*100)), AB158/AB159 &lt;&gt; 0), (AB158/AB159)*100, "")</f>
        <v>4.918032786885246</v>
      </c>
      <c r="AD159" s="786">
        <f>IF(SUMIF(AD11:AD155, "&gt; 0", $I11:$I155) &gt; 0, SUMIF(AD11:AD155, "&gt; 0", $I11:$I155), "")</f>
        <v>191</v>
      </c>
      <c r="AE159" s="787">
        <f>IF(AND(NOT(ISERROR((AD158/AD159)*100)), AD158/AD159 &lt;&gt; 0), (AD158/AD159)*100, "")</f>
        <v>1.5706806282722512</v>
      </c>
      <c r="AF159" s="786">
        <f>IF(SUMIF(AF11:AF155, "&gt; 0", $I11:$I155) &gt; 0, SUMIF(AF11:AF155, "&gt; 0", $I11:$I155), "")</f>
        <v>17</v>
      </c>
      <c r="AG159" s="787">
        <f>IF(AND(NOT(ISERROR((AF158/AF159)*100)), AF158/AF159 &lt;&gt; 0), (AF158/AF159)*100, "")</f>
        <v>35.294117647058826</v>
      </c>
      <c r="AH159" s="786">
        <f>IF(SUMIF(AH11:AH155, "&gt; 0", $I11:$I155) &gt; 0, SUMIF(AH11:AH155, "&gt; 0", $I11:$I155), "")</f>
        <v>8</v>
      </c>
      <c r="AI159" s="787">
        <f>IF(AND(NOT(ISERROR((AH158/AH159)*100)), AH158/AH159 &lt;&gt; 0), (AH158/AH159)*100, "")</f>
        <v>12.5</v>
      </c>
      <c r="AJ159" s="786">
        <f>IF(SUMIF(AJ11:AJ155, "&gt; 0", $I11:$I155) &gt; 0, SUMIF(AJ11:AJ155, "&gt; 0", $I11:$I155), "")</f>
        <v>150</v>
      </c>
      <c r="AK159" s="787">
        <f>IF(AND(NOT(ISERROR((AJ158/AJ159)*100)), AJ158/AJ159 &lt;&gt; 0), (AJ158/AJ159)*100, "")</f>
        <v>2.666666666666667</v>
      </c>
      <c r="AL159" s="786">
        <f>IF(SUMIF(AL11:AL155, "&gt; 0", $I11:$I155) &gt; 0, SUMIF(AL11:AL155, "&gt; 0", $I11:$I155), "")</f>
        <v>262</v>
      </c>
      <c r="AM159" s="787">
        <f>IF(AND(NOT(ISERROR((AL158/AL159)*100)), AL158/AL159 &lt;&gt; 0), (AL158/AL159)*100, "")</f>
        <v>3.0534351145038165</v>
      </c>
      <c r="AN159" s="786">
        <f>IF(SUMIF(AN11:AN155, "&gt; 0", $I11:$I155) &gt; 0, SUMIF(AN11:AN155, "&gt; 0", $I11:$I155), "")</f>
        <v>27</v>
      </c>
      <c r="AO159" s="787">
        <f>IF(AND(NOT(ISERROR((AN158/AN159)*100)), AN158/AN159 &lt;&gt; 0), (AN158/AN159)*100, "")</f>
        <v>7.4074074074074066</v>
      </c>
      <c r="AP159" s="786">
        <f>IF(SUMIF(AP11:AP155, "&gt; 0", $I11:$I155) &gt; 0, SUMIF(AP11:AP155, "&gt; 0", $I11:$I155), "")</f>
        <v>37</v>
      </c>
      <c r="AQ159" s="787">
        <f>IF(AND(NOT(ISERROR((AP158/AP159)*100)), AP158/AP159 &lt;&gt; 0), (AP158/AP159)*100, "")</f>
        <v>16.216216216216218</v>
      </c>
      <c r="AR159" s="786">
        <f>IF(SUMIF(AR11:AR155, "&gt; 0", $I11:$I155) &gt; 0, SUMIF(AR11:AR155, "&gt; 0", $I11:$I155), "")</f>
        <v>8</v>
      </c>
      <c r="AS159" s="787">
        <f>IF(AND(NOT(ISERROR((AR158/AR159)*100)), AR158/AR159 &lt;&gt; 0), (AR158/AR159)*100, "")</f>
        <v>25</v>
      </c>
      <c r="AT159" s="786">
        <f>IF(SUMIF(AT11:AT155, "&gt; 0", $I11:$I155) &gt; 0, SUMIF(AT11:AT155, "&gt; 0", $I11:$I155), "")</f>
        <v>38</v>
      </c>
      <c r="AU159" s="787">
        <f>IF(AND(NOT(ISERROR((AT158/AT159)*100)), AT158/AT159 &lt;&gt; 0), (AT158/AT159)*100, "")</f>
        <v>21.052631578947366</v>
      </c>
      <c r="AV159" s="786">
        <f>IF(SUMIF(AV11:AV155, "&gt; 0", $I11:$I155) &gt; 0, SUMIF(AV11:AV155, "&gt; 0", $I11:$I155), "")</f>
        <v>8</v>
      </c>
      <c r="AW159" s="787">
        <f>IF(AND(NOT(ISERROR((AV158/AV159)*100)), AV158/AV159 &lt;&gt; 0), (AV158/AV159)*100, "")</f>
        <v>12.5</v>
      </c>
      <c r="AX159" s="786">
        <f>IF(SUMIF(AX11:AX155, "&gt; 0", $I11:$I155) &gt; 0, SUMIF(AX11:AX155, "&gt; 0", $I11:$I155), "")</f>
        <v>782</v>
      </c>
      <c r="AY159" s="787">
        <f>IF(AND(NOT(ISERROR((AX158/AX159)*100)), AX158/AX159 &lt;&gt; 0), (AX158/AX159)*100, "")</f>
        <v>28.005115089514064</v>
      </c>
      <c r="AZ159" s="786">
        <f>IF(SUMIF(AZ11:AZ155, "&gt; 0", $I11:$I155) &gt; 0, SUMIF(AZ11:AZ155, "&gt; 0", $I11:$I155), "")</f>
        <v>1011</v>
      </c>
      <c r="BA159" s="787">
        <f>IF(AND(NOT(ISERROR((AZ158/AZ159)*100)), AZ158/AZ159 &lt;&gt; 0), (AZ158/AZ159)*100, "")</f>
        <v>11.968348170128586</v>
      </c>
    </row>
    <row r="160" spans="1:54" ht="18" customHeight="1" thickBot="1" x14ac:dyDescent="0.25">
      <c r="I160" s="354" t="s">
        <v>448</v>
      </c>
      <c r="J160" s="357"/>
      <c r="K160" s="358"/>
      <c r="L160" s="369" t="s">
        <v>237</v>
      </c>
      <c r="M160" s="331" t="s">
        <v>238</v>
      </c>
      <c r="N160" s="328" t="s">
        <v>237</v>
      </c>
      <c r="O160" s="330" t="s">
        <v>238</v>
      </c>
      <c r="P160" s="328" t="s">
        <v>237</v>
      </c>
      <c r="Q160" s="330" t="s">
        <v>238</v>
      </c>
      <c r="R160" s="328" t="s">
        <v>237</v>
      </c>
      <c r="S160" s="330" t="s">
        <v>238</v>
      </c>
      <c r="T160" s="328" t="s">
        <v>237</v>
      </c>
      <c r="U160" s="330" t="s">
        <v>238</v>
      </c>
      <c r="V160" s="328" t="s">
        <v>237</v>
      </c>
      <c r="W160" s="330" t="s">
        <v>238</v>
      </c>
      <c r="X160" s="328" t="s">
        <v>237</v>
      </c>
      <c r="Y160" s="330" t="s">
        <v>238</v>
      </c>
      <c r="Z160" s="328" t="s">
        <v>237</v>
      </c>
      <c r="AA160" s="330" t="s">
        <v>238</v>
      </c>
      <c r="AB160" s="328" t="s">
        <v>237</v>
      </c>
      <c r="AC160" s="330" t="s">
        <v>238</v>
      </c>
      <c r="AD160" s="328" t="s">
        <v>237</v>
      </c>
      <c r="AE160" s="330" t="s">
        <v>238</v>
      </c>
      <c r="AF160" s="328" t="s">
        <v>237</v>
      </c>
      <c r="AG160" s="330" t="s">
        <v>238</v>
      </c>
      <c r="AH160" s="328" t="s">
        <v>237</v>
      </c>
      <c r="AI160" s="330" t="s">
        <v>238</v>
      </c>
      <c r="AJ160" s="328" t="s">
        <v>237</v>
      </c>
      <c r="AK160" s="330" t="s">
        <v>238</v>
      </c>
      <c r="AL160" s="328" t="s">
        <v>237</v>
      </c>
      <c r="AM160" s="330" t="s">
        <v>238</v>
      </c>
      <c r="AN160" s="328" t="s">
        <v>237</v>
      </c>
      <c r="AO160" s="330" t="s">
        <v>238</v>
      </c>
      <c r="AP160" s="328" t="s">
        <v>237</v>
      </c>
      <c r="AQ160" s="330" t="s">
        <v>238</v>
      </c>
      <c r="AR160" s="328" t="s">
        <v>237</v>
      </c>
      <c r="AS160" s="330" t="s">
        <v>238</v>
      </c>
      <c r="AT160" s="328" t="s">
        <v>237</v>
      </c>
      <c r="AU160" s="330" t="s">
        <v>238</v>
      </c>
      <c r="AV160" s="328" t="s">
        <v>237</v>
      </c>
      <c r="AW160" s="330" t="s">
        <v>238</v>
      </c>
      <c r="AX160" s="328" t="s">
        <v>237</v>
      </c>
      <c r="AY160" s="330" t="s">
        <v>238</v>
      </c>
      <c r="AZ160" s="328" t="s">
        <v>237</v>
      </c>
      <c r="BA160" s="330" t="s">
        <v>238</v>
      </c>
    </row>
    <row r="161" spans="4:53" ht="18" customHeight="1" x14ac:dyDescent="0.2">
      <c r="F161" s="40" t="s">
        <v>243</v>
      </c>
      <c r="G161" s="43">
        <v>1</v>
      </c>
      <c r="I161" s="355"/>
      <c r="J161" s="359"/>
      <c r="K161" s="360"/>
      <c r="L161" s="328"/>
      <c r="M161" s="331"/>
      <c r="N161" s="328"/>
      <c r="O161" s="331"/>
      <c r="P161" s="328"/>
      <c r="Q161" s="331"/>
      <c r="R161" s="328"/>
      <c r="S161" s="331"/>
      <c r="T161" s="328"/>
      <c r="U161" s="331"/>
      <c r="V161" s="328"/>
      <c r="W161" s="331"/>
      <c r="X161" s="328"/>
      <c r="Y161" s="331"/>
      <c r="Z161" s="328"/>
      <c r="AA161" s="331"/>
      <c r="AB161" s="328"/>
      <c r="AC161" s="331"/>
      <c r="AD161" s="328"/>
      <c r="AE161" s="331"/>
      <c r="AF161" s="328"/>
      <c r="AG161" s="331"/>
      <c r="AH161" s="328"/>
      <c r="AI161" s="331"/>
      <c r="AJ161" s="328"/>
      <c r="AK161" s="331"/>
      <c r="AL161" s="328"/>
      <c r="AM161" s="331"/>
      <c r="AN161" s="328"/>
      <c r="AO161" s="331"/>
      <c r="AP161" s="328"/>
      <c r="AQ161" s="331"/>
      <c r="AR161" s="328"/>
      <c r="AS161" s="331"/>
      <c r="AT161" s="328"/>
      <c r="AU161" s="331"/>
      <c r="AV161" s="328"/>
      <c r="AW161" s="331"/>
      <c r="AX161" s="328"/>
      <c r="AY161" s="331"/>
      <c r="AZ161" s="328"/>
      <c r="BA161" s="331"/>
    </row>
    <row r="162" spans="4:53" ht="18" customHeight="1" x14ac:dyDescent="0.2">
      <c r="F162" s="41"/>
      <c r="G162" s="42"/>
      <c r="I162" s="355"/>
      <c r="J162" s="359"/>
      <c r="K162" s="360"/>
      <c r="L162" s="328"/>
      <c r="M162" s="331"/>
      <c r="N162" s="328"/>
      <c r="O162" s="331"/>
      <c r="P162" s="328"/>
      <c r="Q162" s="331"/>
      <c r="R162" s="328"/>
      <c r="S162" s="331"/>
      <c r="T162" s="328"/>
      <c r="U162" s="331"/>
      <c r="V162" s="328"/>
      <c r="W162" s="331"/>
      <c r="X162" s="328"/>
      <c r="Y162" s="331"/>
      <c r="Z162" s="328"/>
      <c r="AA162" s="331"/>
      <c r="AB162" s="328"/>
      <c r="AC162" s="331"/>
      <c r="AD162" s="328"/>
      <c r="AE162" s="331"/>
      <c r="AF162" s="328"/>
      <c r="AG162" s="331"/>
      <c r="AH162" s="328"/>
      <c r="AI162" s="331"/>
      <c r="AJ162" s="328"/>
      <c r="AK162" s="331"/>
      <c r="AL162" s="328"/>
      <c r="AM162" s="331"/>
      <c r="AN162" s="328"/>
      <c r="AO162" s="331"/>
      <c r="AP162" s="328"/>
      <c r="AQ162" s="331"/>
      <c r="AR162" s="328"/>
      <c r="AS162" s="331"/>
      <c r="AT162" s="328"/>
      <c r="AU162" s="331"/>
      <c r="AV162" s="328"/>
      <c r="AW162" s="331"/>
      <c r="AX162" s="328"/>
      <c r="AY162" s="331"/>
      <c r="AZ162" s="328"/>
      <c r="BA162" s="331"/>
    </row>
    <row r="163" spans="4:53" ht="18" customHeight="1" x14ac:dyDescent="0.2">
      <c r="F163" s="347" t="s">
        <v>244</v>
      </c>
      <c r="G163" s="348"/>
      <c r="I163" s="355"/>
      <c r="J163" s="359"/>
      <c r="K163" s="360"/>
      <c r="L163" s="328"/>
      <c r="M163" s="331"/>
      <c r="N163" s="328"/>
      <c r="O163" s="331"/>
      <c r="P163" s="328"/>
      <c r="Q163" s="331"/>
      <c r="R163" s="328"/>
      <c r="S163" s="331"/>
      <c r="T163" s="328"/>
      <c r="U163" s="331"/>
      <c r="V163" s="328"/>
      <c r="W163" s="331"/>
      <c r="X163" s="328"/>
      <c r="Y163" s="331"/>
      <c r="Z163" s="328"/>
      <c r="AA163" s="331"/>
      <c r="AB163" s="328"/>
      <c r="AC163" s="331"/>
      <c r="AD163" s="328"/>
      <c r="AE163" s="331"/>
      <c r="AF163" s="328"/>
      <c r="AG163" s="331"/>
      <c r="AH163" s="328"/>
      <c r="AI163" s="331"/>
      <c r="AJ163" s="328"/>
      <c r="AK163" s="331"/>
      <c r="AL163" s="328"/>
      <c r="AM163" s="331"/>
      <c r="AN163" s="328"/>
      <c r="AO163" s="331"/>
      <c r="AP163" s="328"/>
      <c r="AQ163" s="331"/>
      <c r="AR163" s="328"/>
      <c r="AS163" s="331"/>
      <c r="AT163" s="328"/>
      <c r="AU163" s="331"/>
      <c r="AV163" s="328"/>
      <c r="AW163" s="331"/>
      <c r="AX163" s="328"/>
      <c r="AY163" s="331"/>
      <c r="AZ163" s="328"/>
      <c r="BA163" s="331"/>
    </row>
    <row r="164" spans="4:53" ht="18" customHeight="1" x14ac:dyDescent="0.2">
      <c r="F164" s="347"/>
      <c r="G164" s="348"/>
      <c r="I164" s="355"/>
      <c r="J164" s="359"/>
      <c r="K164" s="360"/>
      <c r="L164" s="329"/>
      <c r="M164" s="331"/>
      <c r="N164" s="329"/>
      <c r="O164" s="331"/>
      <c r="P164" s="329"/>
      <c r="Q164" s="331"/>
      <c r="R164" s="329"/>
      <c r="S164" s="331"/>
      <c r="T164" s="329"/>
      <c r="U164" s="331"/>
      <c r="V164" s="329"/>
      <c r="W164" s="331"/>
      <c r="X164" s="329"/>
      <c r="Y164" s="331"/>
      <c r="Z164" s="329"/>
      <c r="AA164" s="331"/>
      <c r="AB164" s="329"/>
      <c r="AC164" s="331"/>
      <c r="AD164" s="329"/>
      <c r="AE164" s="331"/>
      <c r="AF164" s="329"/>
      <c r="AG164" s="331"/>
      <c r="AH164" s="329"/>
      <c r="AI164" s="331"/>
      <c r="AJ164" s="329"/>
      <c r="AK164" s="331"/>
      <c r="AL164" s="329"/>
      <c r="AM164" s="331"/>
      <c r="AN164" s="329"/>
      <c r="AO164" s="331"/>
      <c r="AP164" s="329"/>
      <c r="AQ164" s="331"/>
      <c r="AR164" s="329"/>
      <c r="AS164" s="331"/>
      <c r="AT164" s="329"/>
      <c r="AU164" s="331"/>
      <c r="AV164" s="329"/>
      <c r="AW164" s="331"/>
      <c r="AX164" s="329"/>
      <c r="AY164" s="331"/>
      <c r="AZ164" s="329"/>
      <c r="BA164" s="331"/>
    </row>
    <row r="165" spans="4:53" ht="18" customHeight="1" x14ac:dyDescent="0.2">
      <c r="F165" s="347"/>
      <c r="G165" s="348"/>
      <c r="I165" s="355"/>
      <c r="J165" s="359"/>
      <c r="K165" s="360"/>
      <c r="L165" s="351" t="s">
        <v>157</v>
      </c>
      <c r="M165" s="333"/>
      <c r="N165" s="351" t="s">
        <v>206</v>
      </c>
      <c r="O165" s="333"/>
      <c r="P165" s="351" t="s">
        <v>159</v>
      </c>
      <c r="Q165" s="333"/>
      <c r="R165" s="351" t="s">
        <v>158</v>
      </c>
      <c r="S165" s="333"/>
      <c r="T165" s="351" t="s">
        <v>201</v>
      </c>
      <c r="U165" s="333"/>
      <c r="V165" s="351" t="s">
        <v>164</v>
      </c>
      <c r="W165" s="333"/>
      <c r="X165" s="353" t="s">
        <v>234</v>
      </c>
      <c r="Y165" s="333"/>
      <c r="Z165" s="351" t="s">
        <v>172</v>
      </c>
      <c r="AA165" s="333"/>
      <c r="AB165" s="353" t="s">
        <v>235</v>
      </c>
      <c r="AC165" s="333"/>
      <c r="AD165" s="351" t="s">
        <v>205</v>
      </c>
      <c r="AE165" s="333"/>
      <c r="AF165" s="353" t="s">
        <v>236</v>
      </c>
      <c r="AG165" s="333"/>
      <c r="AH165" s="351" t="s">
        <v>170</v>
      </c>
      <c r="AI165" s="333"/>
      <c r="AJ165" s="351" t="s">
        <v>204</v>
      </c>
      <c r="AK165" s="333"/>
      <c r="AL165" s="351" t="s">
        <v>163</v>
      </c>
      <c r="AM165" s="333"/>
      <c r="AN165" s="353" t="s">
        <v>233</v>
      </c>
      <c r="AO165" s="333"/>
      <c r="AP165" s="351" t="s">
        <v>173</v>
      </c>
      <c r="AQ165" s="333"/>
      <c r="AR165" s="351" t="s">
        <v>171</v>
      </c>
      <c r="AS165" s="333"/>
      <c r="AT165" s="351" t="s">
        <v>160</v>
      </c>
      <c r="AU165" s="333"/>
      <c r="AV165" s="351" t="s">
        <v>161</v>
      </c>
      <c r="AW165" s="333"/>
      <c r="AX165" s="332" t="s">
        <v>207</v>
      </c>
      <c r="AY165" s="333"/>
      <c r="AZ165" s="332" t="s">
        <v>371</v>
      </c>
      <c r="BA165" s="333"/>
    </row>
    <row r="166" spans="4:53" ht="18" customHeight="1" x14ac:dyDescent="0.2">
      <c r="F166" s="347"/>
      <c r="G166" s="348"/>
      <c r="I166" s="355"/>
      <c r="J166" s="359"/>
      <c r="K166" s="360"/>
      <c r="L166" s="340"/>
      <c r="M166" s="335"/>
      <c r="N166" s="340"/>
      <c r="O166" s="335"/>
      <c r="P166" s="340"/>
      <c r="Q166" s="335"/>
      <c r="R166" s="340"/>
      <c r="S166" s="335"/>
      <c r="T166" s="340"/>
      <c r="U166" s="335"/>
      <c r="V166" s="340"/>
      <c r="W166" s="335"/>
      <c r="X166" s="340"/>
      <c r="Y166" s="335"/>
      <c r="Z166" s="340"/>
      <c r="AA166" s="335"/>
      <c r="AB166" s="340"/>
      <c r="AC166" s="335"/>
      <c r="AD166" s="340"/>
      <c r="AE166" s="335"/>
      <c r="AF166" s="340"/>
      <c r="AG166" s="335"/>
      <c r="AH166" s="340"/>
      <c r="AI166" s="335"/>
      <c r="AJ166" s="340"/>
      <c r="AK166" s="335"/>
      <c r="AL166" s="340"/>
      <c r="AM166" s="335"/>
      <c r="AN166" s="340"/>
      <c r="AO166" s="335"/>
      <c r="AP166" s="340"/>
      <c r="AQ166" s="335"/>
      <c r="AR166" s="340"/>
      <c r="AS166" s="335"/>
      <c r="AT166" s="340"/>
      <c r="AU166" s="335"/>
      <c r="AV166" s="340"/>
      <c r="AW166" s="335"/>
      <c r="AX166" s="334"/>
      <c r="AY166" s="335"/>
      <c r="AZ166" s="334"/>
      <c r="BA166" s="335"/>
    </row>
    <row r="167" spans="4:53" ht="18" customHeight="1" thickBot="1" x14ac:dyDescent="0.25">
      <c r="D167" s="21"/>
      <c r="F167" s="347"/>
      <c r="G167" s="348"/>
      <c r="I167" s="355"/>
      <c r="J167" s="359"/>
      <c r="K167" s="360"/>
      <c r="L167" s="352"/>
      <c r="M167" s="337"/>
      <c r="N167" s="352"/>
      <c r="O167" s="337"/>
      <c r="P167" s="352"/>
      <c r="Q167" s="337"/>
      <c r="R167" s="352"/>
      <c r="S167" s="337"/>
      <c r="T167" s="352"/>
      <c r="U167" s="337"/>
      <c r="V167" s="352"/>
      <c r="W167" s="337"/>
      <c r="X167" s="352"/>
      <c r="Y167" s="337"/>
      <c r="Z167" s="352"/>
      <c r="AA167" s="337"/>
      <c r="AB167" s="352"/>
      <c r="AC167" s="337"/>
      <c r="AD167" s="352"/>
      <c r="AE167" s="337"/>
      <c r="AF167" s="352"/>
      <c r="AG167" s="337"/>
      <c r="AH167" s="352"/>
      <c r="AI167" s="337"/>
      <c r="AJ167" s="352"/>
      <c r="AK167" s="337"/>
      <c r="AL167" s="352"/>
      <c r="AM167" s="337"/>
      <c r="AN167" s="352"/>
      <c r="AO167" s="337"/>
      <c r="AP167" s="352"/>
      <c r="AQ167" s="337"/>
      <c r="AR167" s="352"/>
      <c r="AS167" s="337"/>
      <c r="AT167" s="352"/>
      <c r="AU167" s="337"/>
      <c r="AV167" s="352"/>
      <c r="AW167" s="337"/>
      <c r="AX167" s="336"/>
      <c r="AY167" s="337"/>
      <c r="AZ167" s="336"/>
      <c r="BA167" s="337"/>
    </row>
    <row r="168" spans="4:53" ht="20" customHeight="1" thickBot="1" x14ac:dyDescent="0.3">
      <c r="D168" s="21"/>
      <c r="F168" s="349"/>
      <c r="G168" s="350"/>
      <c r="I168" s="356"/>
      <c r="J168" s="361"/>
      <c r="K168" s="362"/>
      <c r="L168" s="317" t="s">
        <v>162</v>
      </c>
      <c r="M168" s="318"/>
      <c r="N168" s="318"/>
      <c r="O168" s="318"/>
      <c r="P168" s="318"/>
      <c r="Q168" s="318"/>
      <c r="R168" s="318"/>
      <c r="S168" s="318"/>
      <c r="T168" s="318"/>
      <c r="U168" s="318"/>
      <c r="V168" s="318"/>
      <c r="W168" s="318"/>
      <c r="X168" s="318"/>
      <c r="Y168" s="318"/>
      <c r="Z168" s="318"/>
      <c r="AA168" s="318"/>
      <c r="AB168" s="318"/>
      <c r="AC168" s="318"/>
      <c r="AD168" s="318"/>
      <c r="AE168" s="318"/>
      <c r="AF168" s="318"/>
      <c r="AG168" s="318"/>
      <c r="AH168" s="318"/>
      <c r="AI168" s="318"/>
      <c r="AJ168" s="318"/>
      <c r="AK168" s="318"/>
      <c r="AL168" s="318"/>
      <c r="AM168" s="318"/>
      <c r="AN168" s="318"/>
      <c r="AO168" s="318"/>
      <c r="AP168" s="318"/>
      <c r="AQ168" s="318"/>
      <c r="AR168" s="318"/>
      <c r="AS168" s="318"/>
      <c r="AT168" s="318"/>
      <c r="AU168" s="318"/>
      <c r="AV168" s="318"/>
      <c r="AW168" s="318"/>
      <c r="AX168" s="318"/>
      <c r="AY168" s="318"/>
      <c r="AZ168" s="318"/>
      <c r="BA168" s="319"/>
    </row>
    <row r="169" spans="4:53" x14ac:dyDescent="0.2">
      <c r="D169" s="21"/>
      <c r="I169" s="110" t="s">
        <v>456</v>
      </c>
    </row>
    <row r="170" spans="4:53" x14ac:dyDescent="0.2">
      <c r="D170" s="21"/>
      <c r="I170" s="111"/>
    </row>
  </sheetData>
  <sortState ref="B11:BB115">
    <sortCondition ref="F11:F115"/>
  </sortState>
  <mergeCells count="140">
    <mergeCell ref="A7:A10"/>
    <mergeCell ref="B7:B10"/>
    <mergeCell ref="C7:C10"/>
    <mergeCell ref="E5:E7"/>
    <mergeCell ref="E3:E4"/>
    <mergeCell ref="R6:R10"/>
    <mergeCell ref="T6:T10"/>
    <mergeCell ref="H6:H10"/>
    <mergeCell ref="I6:I10"/>
    <mergeCell ref="J6:J10"/>
    <mergeCell ref="K6:K10"/>
    <mergeCell ref="L6:L10"/>
    <mergeCell ref="N6:N10"/>
    <mergeCell ref="P6:P10"/>
    <mergeCell ref="X160:X164"/>
    <mergeCell ref="Z160:Z164"/>
    <mergeCell ref="AB160:AB164"/>
    <mergeCell ref="AD160:AD164"/>
    <mergeCell ref="AF160:AF164"/>
    <mergeCell ref="AH160:AH164"/>
    <mergeCell ref="AG160:AG164"/>
    <mergeCell ref="L160:L164"/>
    <mergeCell ref="N160:N164"/>
    <mergeCell ref="P160:P164"/>
    <mergeCell ref="R160:R164"/>
    <mergeCell ref="T160:T164"/>
    <mergeCell ref="V160:V164"/>
    <mergeCell ref="M160:M164"/>
    <mergeCell ref="O160:O164"/>
    <mergeCell ref="Q160:Q164"/>
    <mergeCell ref="S160:S164"/>
    <mergeCell ref="AJ3:AK5"/>
    <mergeCell ref="AL3:AM5"/>
    <mergeCell ref="AN3:AO5"/>
    <mergeCell ref="AP3:AQ5"/>
    <mergeCell ref="AV160:AV164"/>
    <mergeCell ref="AX160:AX164"/>
    <mergeCell ref="AJ160:AJ164"/>
    <mergeCell ref="AL160:AL164"/>
    <mergeCell ref="AN160:AN164"/>
    <mergeCell ref="AP160:AP164"/>
    <mergeCell ref="AR160:AR164"/>
    <mergeCell ref="AT160:AT164"/>
    <mergeCell ref="AP6:AP10"/>
    <mergeCell ref="AR6:AR10"/>
    <mergeCell ref="AT6:AT10"/>
    <mergeCell ref="AJ6:AJ10"/>
    <mergeCell ref="AL6:AL10"/>
    <mergeCell ref="AN6:AN10"/>
    <mergeCell ref="AK6:AK10"/>
    <mergeCell ref="AM6:AM10"/>
    <mergeCell ref="U6:U10"/>
    <mergeCell ref="W6:W10"/>
    <mergeCell ref="Y6:Y10"/>
    <mergeCell ref="AV6:AV10"/>
    <mergeCell ref="AX6:AX10"/>
    <mergeCell ref="V6:V10"/>
    <mergeCell ref="X6:X10"/>
    <mergeCell ref="Z6:Z10"/>
    <mergeCell ref="AB6:AB10"/>
    <mergeCell ref="AA6:AA10"/>
    <mergeCell ref="AC6:AC10"/>
    <mergeCell ref="AE6:AE10"/>
    <mergeCell ref="AG6:AG10"/>
    <mergeCell ref="AD6:AD10"/>
    <mergeCell ref="AF6:AF10"/>
    <mergeCell ref="AH6:AH10"/>
    <mergeCell ref="AI6:AI10"/>
    <mergeCell ref="I160:I168"/>
    <mergeCell ref="J160:K168"/>
    <mergeCell ref="AV165:AW167"/>
    <mergeCell ref="AD165:AE167"/>
    <mergeCell ref="AF165:AG167"/>
    <mergeCell ref="AH165:AI167"/>
    <mergeCell ref="AU160:AU164"/>
    <mergeCell ref="AW160:AW164"/>
    <mergeCell ref="AY160:AY164"/>
    <mergeCell ref="L165:M167"/>
    <mergeCell ref="N165:O167"/>
    <mergeCell ref="P165:Q167"/>
    <mergeCell ref="AI160:AI164"/>
    <mergeCell ref="AK160:AK164"/>
    <mergeCell ref="AM160:AM164"/>
    <mergeCell ref="AO160:AO164"/>
    <mergeCell ref="AQ160:AQ164"/>
    <mergeCell ref="AS160:AS164"/>
    <mergeCell ref="U160:U164"/>
    <mergeCell ref="W160:W164"/>
    <mergeCell ref="Y160:Y164"/>
    <mergeCell ref="AA160:AA164"/>
    <mergeCell ref="AC160:AC164"/>
    <mergeCell ref="AE160:AE164"/>
    <mergeCell ref="F163:G168"/>
    <mergeCell ref="AJ165:AK167"/>
    <mergeCell ref="AL165:AM167"/>
    <mergeCell ref="AN165:AO167"/>
    <mergeCell ref="AP165:AQ167"/>
    <mergeCell ref="AR165:AS167"/>
    <mergeCell ref="AT165:AU167"/>
    <mergeCell ref="AR3:AS5"/>
    <mergeCell ref="AT3:AU5"/>
    <mergeCell ref="R165:S167"/>
    <mergeCell ref="T165:U167"/>
    <mergeCell ref="V165:W167"/>
    <mergeCell ref="X165:Y167"/>
    <mergeCell ref="Z165:AA167"/>
    <mergeCell ref="AB165:AC167"/>
    <mergeCell ref="X3:Y5"/>
    <mergeCell ref="Z3:AA5"/>
    <mergeCell ref="AB3:AC5"/>
    <mergeCell ref="AD3:AE5"/>
    <mergeCell ref="AF3:AG5"/>
    <mergeCell ref="AH3:AI5"/>
    <mergeCell ref="L3:M5"/>
    <mergeCell ref="N3:O5"/>
    <mergeCell ref="P3:Q5"/>
    <mergeCell ref="L2:BA2"/>
    <mergeCell ref="L168:BA168"/>
    <mergeCell ref="AZ3:BA5"/>
    <mergeCell ref="AZ6:AZ10"/>
    <mergeCell ref="BA6:BA10"/>
    <mergeCell ref="AZ160:AZ164"/>
    <mergeCell ref="BA160:BA164"/>
    <mergeCell ref="AZ165:BA167"/>
    <mergeCell ref="AX165:AY167"/>
    <mergeCell ref="AV3:AW5"/>
    <mergeCell ref="AX3:AY5"/>
    <mergeCell ref="R3:S5"/>
    <mergeCell ref="T3:U5"/>
    <mergeCell ref="V3:W5"/>
    <mergeCell ref="AO6:AO10"/>
    <mergeCell ref="AQ6:AQ10"/>
    <mergeCell ref="AS6:AS10"/>
    <mergeCell ref="AU6:AU10"/>
    <mergeCell ref="AW6:AW10"/>
    <mergeCell ref="AY6:AY10"/>
    <mergeCell ref="M6:M10"/>
    <mergeCell ref="O6:O10"/>
    <mergeCell ref="Q6:Q10"/>
    <mergeCell ref="S6:S10"/>
  </mergeCells>
  <pageMargins left="0.7" right="0.7" top="0.75" bottom="0.75" header="0.3" footer="0.3"/>
  <ignoredErrors>
    <ignoredError sqref="J1:J15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10"/>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314" t="s">
        <v>162</v>
      </c>
      <c r="M2" s="315"/>
      <c r="N2" s="315"/>
      <c r="O2" s="315"/>
      <c r="P2" s="315"/>
      <c r="Q2" s="315"/>
      <c r="R2" s="315"/>
      <c r="S2" s="315"/>
      <c r="T2" s="315"/>
      <c r="U2" s="315"/>
      <c r="V2" s="315"/>
      <c r="W2" s="315"/>
      <c r="X2" s="315"/>
      <c r="Y2" s="315"/>
      <c r="Z2" s="315"/>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6"/>
    </row>
    <row r="3" spans="1:54" ht="16" customHeight="1" x14ac:dyDescent="0.2">
      <c r="E3" s="374" t="s">
        <v>229</v>
      </c>
      <c r="L3" s="320" t="s">
        <v>236</v>
      </c>
      <c r="M3" s="378"/>
      <c r="N3" s="320" t="s">
        <v>234</v>
      </c>
      <c r="O3" s="378"/>
      <c r="P3" s="338" t="s">
        <v>207</v>
      </c>
      <c r="Q3" s="343"/>
      <c r="R3" s="338" t="s">
        <v>171</v>
      </c>
      <c r="S3" s="343"/>
      <c r="T3" s="338" t="s">
        <v>164</v>
      </c>
      <c r="U3" s="343"/>
      <c r="V3" s="338" t="s">
        <v>172</v>
      </c>
      <c r="W3" s="343"/>
      <c r="X3" s="338" t="s">
        <v>170</v>
      </c>
      <c r="Y3" s="343"/>
      <c r="Z3" s="338" t="s">
        <v>173</v>
      </c>
      <c r="AA3" s="343"/>
      <c r="AB3" s="338" t="s">
        <v>157</v>
      </c>
      <c r="AC3" s="343"/>
      <c r="AD3" s="338" t="s">
        <v>158</v>
      </c>
      <c r="AE3" s="343"/>
      <c r="AF3" s="320" t="s">
        <v>371</v>
      </c>
      <c r="AG3" s="378"/>
      <c r="AH3" s="320" t="s">
        <v>233</v>
      </c>
      <c r="AI3" s="378"/>
      <c r="AJ3" s="338" t="s">
        <v>163</v>
      </c>
      <c r="AK3" s="343"/>
      <c r="AL3" s="338" t="s">
        <v>159</v>
      </c>
      <c r="AM3" s="339"/>
      <c r="AN3" s="320" t="s">
        <v>235</v>
      </c>
      <c r="AO3" s="378"/>
      <c r="AP3" s="338" t="s">
        <v>160</v>
      </c>
      <c r="AQ3" s="343"/>
      <c r="AR3" s="338" t="s">
        <v>161</v>
      </c>
      <c r="AS3" s="343"/>
      <c r="AT3" s="338" t="s">
        <v>206</v>
      </c>
      <c r="AU3" s="343"/>
      <c r="AV3" s="338" t="s">
        <v>205</v>
      </c>
      <c r="AW3" s="343"/>
      <c r="AX3" s="338" t="s">
        <v>204</v>
      </c>
      <c r="AY3" s="343"/>
      <c r="AZ3" s="338" t="s">
        <v>201</v>
      </c>
      <c r="BA3" s="339"/>
    </row>
    <row r="4" spans="1:54" ht="20" customHeight="1" x14ac:dyDescent="0.2">
      <c r="C4" s="60"/>
      <c r="E4" s="375"/>
      <c r="L4" s="322"/>
      <c r="M4" s="379"/>
      <c r="N4" s="322"/>
      <c r="O4" s="379"/>
      <c r="P4" s="340"/>
      <c r="Q4" s="334"/>
      <c r="R4" s="340"/>
      <c r="S4" s="334"/>
      <c r="T4" s="340"/>
      <c r="U4" s="334"/>
      <c r="V4" s="340"/>
      <c r="W4" s="334"/>
      <c r="X4" s="340"/>
      <c r="Y4" s="334"/>
      <c r="Z4" s="340"/>
      <c r="AA4" s="334"/>
      <c r="AB4" s="340"/>
      <c r="AC4" s="334"/>
      <c r="AD4" s="340"/>
      <c r="AE4" s="334"/>
      <c r="AF4" s="322"/>
      <c r="AG4" s="379"/>
      <c r="AH4" s="322"/>
      <c r="AI4" s="379"/>
      <c r="AJ4" s="340"/>
      <c r="AK4" s="334"/>
      <c r="AL4" s="340"/>
      <c r="AM4" s="335"/>
      <c r="AN4" s="322"/>
      <c r="AO4" s="379"/>
      <c r="AP4" s="340"/>
      <c r="AQ4" s="334"/>
      <c r="AR4" s="340"/>
      <c r="AS4" s="334"/>
      <c r="AT4" s="340"/>
      <c r="AU4" s="334"/>
      <c r="AV4" s="340"/>
      <c r="AW4" s="334"/>
      <c r="AX4" s="340"/>
      <c r="AY4" s="334"/>
      <c r="AZ4" s="340"/>
      <c r="BA4" s="335"/>
    </row>
    <row r="5" spans="1:54" ht="20" customHeight="1" thickBot="1" x14ac:dyDescent="0.25">
      <c r="B5" s="46"/>
      <c r="C5" s="59"/>
      <c r="E5" s="372" t="s">
        <v>242</v>
      </c>
      <c r="J5" s="22"/>
      <c r="K5" s="22"/>
      <c r="L5" s="324"/>
      <c r="M5" s="380"/>
      <c r="N5" s="324"/>
      <c r="O5" s="380"/>
      <c r="P5" s="341"/>
      <c r="Q5" s="344"/>
      <c r="R5" s="341"/>
      <c r="S5" s="344"/>
      <c r="T5" s="341"/>
      <c r="U5" s="344"/>
      <c r="V5" s="341"/>
      <c r="W5" s="344"/>
      <c r="X5" s="341"/>
      <c r="Y5" s="344"/>
      <c r="Z5" s="341"/>
      <c r="AA5" s="344"/>
      <c r="AB5" s="341"/>
      <c r="AC5" s="344"/>
      <c r="AD5" s="341"/>
      <c r="AE5" s="344"/>
      <c r="AF5" s="324"/>
      <c r="AG5" s="380"/>
      <c r="AH5" s="324"/>
      <c r="AI5" s="380"/>
      <c r="AJ5" s="341"/>
      <c r="AK5" s="344"/>
      <c r="AL5" s="341"/>
      <c r="AM5" s="342"/>
      <c r="AN5" s="324"/>
      <c r="AO5" s="380"/>
      <c r="AP5" s="341"/>
      <c r="AQ5" s="344"/>
      <c r="AR5" s="341"/>
      <c r="AS5" s="344"/>
      <c r="AT5" s="341"/>
      <c r="AU5" s="344"/>
      <c r="AV5" s="341"/>
      <c r="AW5" s="344"/>
      <c r="AX5" s="341"/>
      <c r="AY5" s="344"/>
      <c r="AZ5" s="341"/>
      <c r="BA5" s="342"/>
    </row>
    <row r="6" spans="1:54" ht="20" customHeight="1" x14ac:dyDescent="0.2">
      <c r="A6" s="702"/>
      <c r="B6" s="45"/>
      <c r="C6" s="58"/>
      <c r="E6" s="372"/>
      <c r="H6" s="370" t="s">
        <v>24</v>
      </c>
      <c r="I6" s="306" t="s">
        <v>322</v>
      </c>
      <c r="J6" s="376" t="s">
        <v>320</v>
      </c>
      <c r="K6" s="377" t="s">
        <v>321</v>
      </c>
      <c r="L6" s="365" t="s">
        <v>237</v>
      </c>
      <c r="M6" s="327" t="s">
        <v>238</v>
      </c>
      <c r="N6" s="366" t="s">
        <v>237</v>
      </c>
      <c r="O6" s="327" t="s">
        <v>238</v>
      </c>
      <c r="P6" s="326" t="s">
        <v>237</v>
      </c>
      <c r="Q6" s="327" t="s">
        <v>238</v>
      </c>
      <c r="R6" s="365" t="s">
        <v>237</v>
      </c>
      <c r="S6" s="327" t="s">
        <v>238</v>
      </c>
      <c r="T6" s="365" t="s">
        <v>237</v>
      </c>
      <c r="U6" s="327" t="s">
        <v>238</v>
      </c>
      <c r="V6" s="367" t="s">
        <v>237</v>
      </c>
      <c r="W6" s="327" t="s">
        <v>238</v>
      </c>
      <c r="X6" s="365" t="s">
        <v>237</v>
      </c>
      <c r="Y6" s="327" t="s">
        <v>238</v>
      </c>
      <c r="Z6" s="365" t="s">
        <v>237</v>
      </c>
      <c r="AA6" s="327" t="s">
        <v>238</v>
      </c>
      <c r="AB6" s="363" t="s">
        <v>237</v>
      </c>
      <c r="AC6" s="345" t="s">
        <v>238</v>
      </c>
      <c r="AD6" s="365" t="s">
        <v>237</v>
      </c>
      <c r="AE6" s="327" t="s">
        <v>238</v>
      </c>
      <c r="AF6" s="326" t="s">
        <v>237</v>
      </c>
      <c r="AG6" s="327" t="s">
        <v>238</v>
      </c>
      <c r="AH6" s="366" t="s">
        <v>237</v>
      </c>
      <c r="AI6" s="327" t="s">
        <v>238</v>
      </c>
      <c r="AJ6" s="365" t="s">
        <v>237</v>
      </c>
      <c r="AK6" s="327" t="s">
        <v>238</v>
      </c>
      <c r="AL6" s="363" t="s">
        <v>237</v>
      </c>
      <c r="AM6" s="345" t="s">
        <v>238</v>
      </c>
      <c r="AN6" s="366" t="s">
        <v>237</v>
      </c>
      <c r="AO6" s="327" t="s">
        <v>238</v>
      </c>
      <c r="AP6" s="365" t="s">
        <v>237</v>
      </c>
      <c r="AQ6" s="327" t="s">
        <v>238</v>
      </c>
      <c r="AR6" s="363" t="s">
        <v>237</v>
      </c>
      <c r="AS6" s="327" t="s">
        <v>238</v>
      </c>
      <c r="AT6" s="365" t="s">
        <v>237</v>
      </c>
      <c r="AU6" s="327" t="s">
        <v>238</v>
      </c>
      <c r="AV6" s="365" t="s">
        <v>237</v>
      </c>
      <c r="AW6" s="327" t="s">
        <v>238</v>
      </c>
      <c r="AX6" s="365" t="s">
        <v>237</v>
      </c>
      <c r="AY6" s="327" t="s">
        <v>238</v>
      </c>
      <c r="AZ6" s="365" t="s">
        <v>237</v>
      </c>
      <c r="BA6" s="327" t="s">
        <v>238</v>
      </c>
    </row>
    <row r="7" spans="1:54" ht="23" customHeight="1" thickBot="1" x14ac:dyDescent="0.25">
      <c r="A7" s="370" t="s">
        <v>597</v>
      </c>
      <c r="B7" s="370" t="s">
        <v>245</v>
      </c>
      <c r="C7" s="371" t="s">
        <v>479</v>
      </c>
      <c r="E7" s="373"/>
      <c r="H7" s="370"/>
      <c r="I7" s="293"/>
      <c r="J7" s="294"/>
      <c r="K7" s="295"/>
      <c r="L7" s="365"/>
      <c r="M7" s="327"/>
      <c r="N7" s="366"/>
      <c r="O7" s="327"/>
      <c r="P7" s="326"/>
      <c r="Q7" s="327"/>
      <c r="R7" s="365"/>
      <c r="S7" s="327"/>
      <c r="T7" s="365"/>
      <c r="U7" s="327"/>
      <c r="V7" s="368"/>
      <c r="W7" s="327"/>
      <c r="X7" s="365"/>
      <c r="Y7" s="327"/>
      <c r="Z7" s="365"/>
      <c r="AA7" s="327"/>
      <c r="AB7" s="364"/>
      <c r="AC7" s="346"/>
      <c r="AD7" s="365"/>
      <c r="AE7" s="327"/>
      <c r="AF7" s="326"/>
      <c r="AG7" s="327"/>
      <c r="AH7" s="365"/>
      <c r="AI7" s="327"/>
      <c r="AJ7" s="365"/>
      <c r="AK7" s="327"/>
      <c r="AL7" s="364"/>
      <c r="AM7" s="346"/>
      <c r="AN7" s="366"/>
      <c r="AO7" s="327"/>
      <c r="AP7" s="365"/>
      <c r="AQ7" s="327"/>
      <c r="AR7" s="364"/>
      <c r="AS7" s="327"/>
      <c r="AT7" s="365"/>
      <c r="AU7" s="327"/>
      <c r="AV7" s="365"/>
      <c r="AW7" s="327"/>
      <c r="AX7" s="365"/>
      <c r="AY7" s="327"/>
      <c r="AZ7" s="365"/>
      <c r="BA7" s="327"/>
    </row>
    <row r="8" spans="1:54" ht="23" customHeight="1" x14ac:dyDescent="0.2">
      <c r="A8" s="370"/>
      <c r="B8" s="370"/>
      <c r="C8" s="371"/>
      <c r="H8" s="370"/>
      <c r="I8" s="293"/>
      <c r="J8" s="294"/>
      <c r="K8" s="295"/>
      <c r="L8" s="365"/>
      <c r="M8" s="327"/>
      <c r="N8" s="366"/>
      <c r="O8" s="327"/>
      <c r="P8" s="326"/>
      <c r="Q8" s="327"/>
      <c r="R8" s="365"/>
      <c r="S8" s="327"/>
      <c r="T8" s="365"/>
      <c r="U8" s="327"/>
      <c r="V8" s="368"/>
      <c r="W8" s="327"/>
      <c r="X8" s="365"/>
      <c r="Y8" s="327"/>
      <c r="Z8" s="365"/>
      <c r="AA8" s="327"/>
      <c r="AB8" s="364"/>
      <c r="AC8" s="346"/>
      <c r="AD8" s="365"/>
      <c r="AE8" s="327"/>
      <c r="AF8" s="326"/>
      <c r="AG8" s="327"/>
      <c r="AH8" s="365"/>
      <c r="AI8" s="327"/>
      <c r="AJ8" s="365"/>
      <c r="AK8" s="327"/>
      <c r="AL8" s="364"/>
      <c r="AM8" s="346"/>
      <c r="AN8" s="366"/>
      <c r="AO8" s="327"/>
      <c r="AP8" s="365"/>
      <c r="AQ8" s="327"/>
      <c r="AR8" s="364"/>
      <c r="AS8" s="327"/>
      <c r="AT8" s="365"/>
      <c r="AU8" s="327"/>
      <c r="AV8" s="365"/>
      <c r="AW8" s="327"/>
      <c r="AX8" s="365"/>
      <c r="AY8" s="327"/>
      <c r="AZ8" s="365"/>
      <c r="BA8" s="327"/>
    </row>
    <row r="9" spans="1:54" ht="23" customHeight="1" x14ac:dyDescent="0.2">
      <c r="A9" s="370"/>
      <c r="B9" s="370"/>
      <c r="C9" s="371"/>
      <c r="H9" s="370"/>
      <c r="I9" s="293"/>
      <c r="J9" s="294"/>
      <c r="K9" s="295"/>
      <c r="L9" s="365"/>
      <c r="M9" s="327"/>
      <c r="N9" s="366"/>
      <c r="O9" s="327"/>
      <c r="P9" s="326"/>
      <c r="Q9" s="327"/>
      <c r="R9" s="365"/>
      <c r="S9" s="327"/>
      <c r="T9" s="365"/>
      <c r="U9" s="327"/>
      <c r="V9" s="368"/>
      <c r="W9" s="327"/>
      <c r="X9" s="365"/>
      <c r="Y9" s="327"/>
      <c r="Z9" s="365"/>
      <c r="AA9" s="327"/>
      <c r="AB9" s="364"/>
      <c r="AC9" s="346"/>
      <c r="AD9" s="365"/>
      <c r="AE9" s="327"/>
      <c r="AF9" s="326"/>
      <c r="AG9" s="327"/>
      <c r="AH9" s="365"/>
      <c r="AI9" s="327"/>
      <c r="AJ9" s="365"/>
      <c r="AK9" s="327"/>
      <c r="AL9" s="364"/>
      <c r="AM9" s="346"/>
      <c r="AN9" s="366"/>
      <c r="AO9" s="327"/>
      <c r="AP9" s="365"/>
      <c r="AQ9" s="327"/>
      <c r="AR9" s="364"/>
      <c r="AS9" s="327"/>
      <c r="AT9" s="365"/>
      <c r="AU9" s="327"/>
      <c r="AV9" s="365"/>
      <c r="AW9" s="327"/>
      <c r="AX9" s="365"/>
      <c r="AY9" s="327"/>
      <c r="AZ9" s="365"/>
      <c r="BA9" s="327"/>
    </row>
    <row r="10" spans="1:54" s="20" customFormat="1" ht="23" customHeight="1" thickBot="1" x14ac:dyDescent="0.25">
      <c r="A10" s="370"/>
      <c r="B10" s="370"/>
      <c r="C10" s="371"/>
      <c r="D10" s="706" t="s">
        <v>20</v>
      </c>
      <c r="E10" s="174" t="s">
        <v>21</v>
      </c>
      <c r="F10" s="174" t="s">
        <v>22</v>
      </c>
      <c r="G10" s="706" t="s">
        <v>23</v>
      </c>
      <c r="H10" s="370"/>
      <c r="I10" s="293"/>
      <c r="J10" s="294"/>
      <c r="K10" s="295"/>
      <c r="L10" s="363"/>
      <c r="M10" s="345"/>
      <c r="N10" s="367"/>
      <c r="O10" s="345"/>
      <c r="P10" s="707"/>
      <c r="Q10" s="345"/>
      <c r="R10" s="363"/>
      <c r="S10" s="345"/>
      <c r="T10" s="363"/>
      <c r="U10" s="345"/>
      <c r="V10" s="368"/>
      <c r="W10" s="345"/>
      <c r="X10" s="363"/>
      <c r="Y10" s="345"/>
      <c r="Z10" s="363"/>
      <c r="AA10" s="345"/>
      <c r="AB10" s="364"/>
      <c r="AC10" s="346"/>
      <c r="AD10" s="363"/>
      <c r="AE10" s="345"/>
      <c r="AF10" s="707"/>
      <c r="AG10" s="345"/>
      <c r="AH10" s="363"/>
      <c r="AI10" s="345"/>
      <c r="AJ10" s="363"/>
      <c r="AK10" s="345"/>
      <c r="AL10" s="364"/>
      <c r="AM10" s="346"/>
      <c r="AN10" s="367"/>
      <c r="AO10" s="345"/>
      <c r="AP10" s="363"/>
      <c r="AQ10" s="345"/>
      <c r="AR10" s="364"/>
      <c r="AS10" s="345"/>
      <c r="AT10" s="363"/>
      <c r="AU10" s="345"/>
      <c r="AV10" s="363"/>
      <c r="AW10" s="345"/>
      <c r="AX10" s="363"/>
      <c r="AY10" s="345"/>
      <c r="AZ10" s="363"/>
      <c r="BA10" s="345"/>
      <c r="BB10" s="708" t="s">
        <v>25</v>
      </c>
    </row>
    <row r="11" spans="1:54" s="20" customFormat="1" ht="20" customHeight="1" x14ac:dyDescent="0.2">
      <c r="A11" s="717"/>
      <c r="B11" s="718"/>
      <c r="C11" s="262"/>
      <c r="D11" s="719" t="s">
        <v>85</v>
      </c>
      <c r="E11" s="720" t="s">
        <v>246</v>
      </c>
      <c r="F11" s="720" t="s">
        <v>247</v>
      </c>
      <c r="G11" s="719">
        <v>2015</v>
      </c>
      <c r="H11" s="286"/>
      <c r="I11" s="709">
        <v>40</v>
      </c>
      <c r="J11" s="710" t="s">
        <v>323</v>
      </c>
      <c r="K11" s="711" t="s">
        <v>324</v>
      </c>
      <c r="L11" s="714"/>
      <c r="M11" s="713" t="str">
        <f t="shared" ref="M11:M85" si="0">IF((ISERROR((L11/$I11)*100)), "", IF(AND(NOT(ISERROR((L11/$I11)*100)),((L11/$I11)*100) &lt;&gt; 0), (L11/$I11)*100, ""))</f>
        <v/>
      </c>
      <c r="N11" s="712"/>
      <c r="O11" s="713" t="str">
        <f t="shared" ref="O11:O85" si="1">IF((ISERROR((N11/$I11)*100)), "", IF(AND(NOT(ISERROR((N11/$I11)*100)),((N11/$I11)*100) &lt;&gt; 0), (N11/$I11)*100, ""))</f>
        <v/>
      </c>
      <c r="P11" s="715"/>
      <c r="Q11" s="716" t="str">
        <f t="shared" ref="Q11:Q64" si="2">IF((ISERROR((P11/$I11)*100)), "", IF(AND(NOT(ISERROR((P11/$I11)*100)),((P11/$I11)*100) &lt;&gt; 0), (P11/$I11)*100, ""))</f>
        <v/>
      </c>
      <c r="R11" s="714"/>
      <c r="S11" s="713" t="str">
        <f t="shared" ref="S11:S85" si="3">IF((ISERROR((R11/$I11)*100)), "", IF(AND(NOT(ISERROR((R11/$I11)*100)),((R11/$I11)*100) &lt;&gt; 0), (R11/$I11)*100, ""))</f>
        <v/>
      </c>
      <c r="T11" s="714"/>
      <c r="U11" s="713" t="str">
        <f t="shared" ref="U11:U85" si="4">IF((ISERROR((T11/$I11)*100)), "", IF(AND(NOT(ISERROR((T11/$I11)*100)),((T11/$I11)*100) &lt;&gt; 0), (T11/$I11)*100, ""))</f>
        <v/>
      </c>
      <c r="V11" s="712"/>
      <c r="W11" s="713" t="str">
        <f t="shared" ref="W11:W85" si="5">IF((ISERROR((V11/$I11)*100)), "", IF(AND(NOT(ISERROR((V11/$I11)*100)),((V11/$I11)*100) &lt;&gt; 0), (V11/$I11)*100, ""))</f>
        <v/>
      </c>
      <c r="X11" s="714"/>
      <c r="Y11" s="713" t="str">
        <f t="shared" ref="Y11:Y85" si="6">IF((ISERROR((X11/$I11)*100)), "", IF(AND(NOT(ISERROR((X11/$I11)*100)),((X11/$I11)*100) &lt;&gt; 0), (X11/$I11)*100, ""))</f>
        <v/>
      </c>
      <c r="Z11" s="714"/>
      <c r="AA11" s="713" t="str">
        <f t="shared" ref="AA11:AA85" si="7">IF((ISERROR((Z11/$I11)*100)), "", IF(AND(NOT(ISERROR((Z11/$I11)*100)),((Z11/$I11)*100) &lt;&gt; 0), (Z11/$I11)*100, ""))</f>
        <v/>
      </c>
      <c r="AB11" s="714"/>
      <c r="AC11" s="713" t="str">
        <f t="shared" ref="AC11:AC85" si="8">IF((ISERROR((AB11/$I11)*100)), "", IF(AND(NOT(ISERROR((AB11/$I11)*100)),((AB11/$I11)*100) &lt;&gt; 0), (AB11/$I11)*100, ""))</f>
        <v/>
      </c>
      <c r="AD11" s="714"/>
      <c r="AE11" s="713" t="str">
        <f t="shared" ref="AE11:AE85" si="9">IF((ISERROR((AD11/$I11)*100)), "", IF(AND(NOT(ISERROR((AD11/$I11)*100)),((AD11/$I11)*100) &lt;&gt; 0), (AD11/$I11)*100, ""))</f>
        <v/>
      </c>
      <c r="AF11" s="715"/>
      <c r="AG11" s="716" t="str">
        <f t="shared" ref="AG11:AG85" si="10">IF((ISERROR((AF11/$I11)*100)), "", IF(AND(NOT(ISERROR((AF11/$I11)*100)),((AF11/$I11)*100) &lt;&gt; 0), (AF11/$I11)*100, ""))</f>
        <v/>
      </c>
      <c r="AH11" s="714"/>
      <c r="AI11" s="713" t="str">
        <f t="shared" ref="AI11:AI85" si="11">IF((ISERROR((AH11/$I11)*100)), "", IF(AND(NOT(ISERROR((AH11/$I11)*100)),((AH11/$I11)*100) &lt;&gt; 0), (AH11/$I11)*100, ""))</f>
        <v/>
      </c>
      <c r="AJ11" s="714"/>
      <c r="AK11" s="713" t="str">
        <f t="shared" ref="AK11:AK85" si="12">IF((ISERROR((AJ11/$I11)*100)), "", IF(AND(NOT(ISERROR((AJ11/$I11)*100)),((AJ11/$I11)*100) &lt;&gt; 0), (AJ11/$I11)*100, ""))</f>
        <v/>
      </c>
      <c r="AL11" s="714"/>
      <c r="AM11" s="713" t="str">
        <f t="shared" ref="AM11:AM85" si="13">IF((ISERROR((AL11/$I11)*100)), "", IF(AND(NOT(ISERROR((AL11/$I11)*100)),((AL11/$I11)*100) &lt;&gt; 0), (AL11/$I11)*100, ""))</f>
        <v/>
      </c>
      <c r="AN11" s="712"/>
      <c r="AO11" s="713" t="str">
        <f t="shared" ref="AO11:AO85" si="14">IF((ISERROR((AN11/$I11)*100)), "", IF(AND(NOT(ISERROR((AN11/$I11)*100)),((AN11/$I11)*100) &lt;&gt; 0), (AN11/$I11)*100, ""))</f>
        <v/>
      </c>
      <c r="AP11" s="714"/>
      <c r="AQ11" s="713" t="str">
        <f t="shared" ref="AQ11:AQ85" si="15">IF((ISERROR((AP11/$I11)*100)), "", IF(AND(NOT(ISERROR((AP11/$I11)*100)),((AP11/$I11)*100) &lt;&gt; 0), (AP11/$I11)*100, ""))</f>
        <v/>
      </c>
      <c r="AR11" s="714"/>
      <c r="AS11" s="713" t="str">
        <f t="shared" ref="AS11:AS85" si="16">IF((ISERROR((AR11/$I11)*100)), "", IF(AND(NOT(ISERROR((AR11/$I11)*100)),((AR11/$I11)*100) &lt;&gt; 0), (AR11/$I11)*100, ""))</f>
        <v/>
      </c>
      <c r="AT11" s="714"/>
      <c r="AU11" s="713" t="str">
        <f t="shared" ref="AU11:AU85" si="17">IF((ISERROR((AT11/$I11)*100)), "", IF(AND(NOT(ISERROR((AT11/$I11)*100)),((AT11/$I11)*100) &lt;&gt; 0), (AT11/$I11)*100, ""))</f>
        <v/>
      </c>
      <c r="AV11" s="714"/>
      <c r="AW11" s="713" t="str">
        <f t="shared" ref="AW11:AW96" si="18">IF((ISERROR((AV11/$I11)*100)), "", IF(AND(NOT(ISERROR((AV11/$I11)*100)),((AV11/$I11)*100) &lt;&gt; 0), (AV11/$I11)*100, ""))</f>
        <v/>
      </c>
      <c r="AX11" s="714"/>
      <c r="AY11" s="713" t="str">
        <f t="shared" ref="AY11:AY96" si="19">IF((ISERROR((AX11/$I11)*100)), "", IF(AND(NOT(ISERROR((AX11/$I11)*100)),((AX11/$I11)*100) &lt;&gt; 0), (AX11/$I11)*100, ""))</f>
        <v/>
      </c>
      <c r="AZ11" s="714"/>
      <c r="BA11" s="713" t="str">
        <f t="shared" ref="BA11:BA96" si="20">IF((ISERROR((AZ11/$I11)*100)), "", IF(AND(NOT(ISERROR((AZ11/$I11)*100)),((AZ11/$I11)*100) &lt;&gt; 0), (AZ11/$I11)*100, ""))</f>
        <v/>
      </c>
      <c r="BB11" s="47" t="s">
        <v>325</v>
      </c>
    </row>
    <row r="12" spans="1:54" customFormat="1" ht="20" customHeight="1" x14ac:dyDescent="0.2">
      <c r="A12" s="679"/>
      <c r="B12" s="721"/>
      <c r="C12" s="253"/>
      <c r="D12" s="722" t="s">
        <v>85</v>
      </c>
      <c r="E12" s="723" t="s">
        <v>248</v>
      </c>
      <c r="F12" s="723" t="s">
        <v>249</v>
      </c>
      <c r="G12" s="722">
        <v>2016</v>
      </c>
      <c r="H12" s="724"/>
      <c r="I12" s="65">
        <v>12</v>
      </c>
      <c r="J12" s="61" t="s">
        <v>327</v>
      </c>
      <c r="K12" s="62"/>
      <c r="L12" s="31"/>
      <c r="M12" s="34" t="str">
        <f t="shared" si="0"/>
        <v/>
      </c>
      <c r="N12" s="31"/>
      <c r="O12" s="34" t="str">
        <f t="shared" si="1"/>
        <v/>
      </c>
      <c r="P12" s="56"/>
      <c r="Q12" s="34" t="str">
        <f t="shared" si="2"/>
        <v/>
      </c>
      <c r="R12" s="31"/>
      <c r="S12" s="34" t="str">
        <f t="shared" si="3"/>
        <v/>
      </c>
      <c r="T12" s="31"/>
      <c r="U12" s="34" t="str">
        <f t="shared" si="4"/>
        <v/>
      </c>
      <c r="V12" s="31"/>
      <c r="W12" s="34" t="str">
        <f t="shared" si="5"/>
        <v/>
      </c>
      <c r="X12" s="31"/>
      <c r="Y12" s="34" t="str">
        <f t="shared" si="6"/>
        <v/>
      </c>
      <c r="Z12" s="31"/>
      <c r="AA12" s="34" t="str">
        <f t="shared" si="7"/>
        <v/>
      </c>
      <c r="AB12" s="31"/>
      <c r="AC12" s="34" t="str">
        <f t="shared" si="8"/>
        <v/>
      </c>
      <c r="AD12" s="31"/>
      <c r="AE12" s="34" t="str">
        <f t="shared" si="9"/>
        <v/>
      </c>
      <c r="AF12" s="56"/>
      <c r="AG12" s="34" t="str">
        <f t="shared" si="10"/>
        <v/>
      </c>
      <c r="AH12" s="31"/>
      <c r="AI12" s="34" t="str">
        <f t="shared" si="11"/>
        <v/>
      </c>
      <c r="AJ12" s="31"/>
      <c r="AK12" s="34" t="str">
        <f t="shared" si="12"/>
        <v/>
      </c>
      <c r="AL12" s="31"/>
      <c r="AM12" s="34" t="str">
        <f t="shared" si="13"/>
        <v/>
      </c>
      <c r="AN12" s="31"/>
      <c r="AO12" s="34" t="str">
        <f t="shared" si="14"/>
        <v/>
      </c>
      <c r="AP12" s="31"/>
      <c r="AQ12" s="34" t="str">
        <f t="shared" si="15"/>
        <v/>
      </c>
      <c r="AR12" s="31"/>
      <c r="AS12" s="34" t="str">
        <f t="shared" si="16"/>
        <v/>
      </c>
      <c r="AT12" s="31"/>
      <c r="AU12" s="34" t="str">
        <f t="shared" si="17"/>
        <v/>
      </c>
      <c r="AV12" s="31"/>
      <c r="AW12" s="34" t="str">
        <f t="shared" si="18"/>
        <v/>
      </c>
      <c r="AX12" s="31"/>
      <c r="AY12" s="34" t="str">
        <f t="shared" si="19"/>
        <v/>
      </c>
      <c r="AZ12" s="31"/>
      <c r="BA12" s="34" t="str">
        <f t="shared" si="20"/>
        <v/>
      </c>
      <c r="BB12" s="21" t="s">
        <v>328</v>
      </c>
    </row>
    <row r="13" spans="1:54" customFormat="1" ht="20" customHeight="1" x14ac:dyDescent="0.2">
      <c r="A13" s="679"/>
      <c r="B13" s="725"/>
      <c r="C13" s="255"/>
      <c r="D13" s="722" t="s">
        <v>85</v>
      </c>
      <c r="E13" s="723" t="s">
        <v>556</v>
      </c>
      <c r="F13" s="723" t="s">
        <v>557</v>
      </c>
      <c r="G13" s="722">
        <v>2012</v>
      </c>
      <c r="H13" s="724"/>
      <c r="I13" s="65">
        <v>70</v>
      </c>
      <c r="J13" s="61" t="s">
        <v>181</v>
      </c>
      <c r="K13" s="62" t="s">
        <v>190</v>
      </c>
      <c r="L13" s="31"/>
      <c r="M13" s="34"/>
      <c r="N13" s="31"/>
      <c r="O13" s="34"/>
      <c r="P13" s="56">
        <v>101</v>
      </c>
      <c r="Q13" s="34">
        <f t="shared" si="2"/>
        <v>144.28571428571428</v>
      </c>
      <c r="R13" s="31"/>
      <c r="S13" s="34"/>
      <c r="T13" s="31">
        <v>9</v>
      </c>
      <c r="U13" s="34">
        <f t="shared" si="4"/>
        <v>12.857142857142856</v>
      </c>
      <c r="V13" s="31">
        <v>8</v>
      </c>
      <c r="W13" s="34">
        <f t="shared" si="5"/>
        <v>11.428571428571429</v>
      </c>
      <c r="X13" s="31"/>
      <c r="Y13" s="34"/>
      <c r="Z13" s="31"/>
      <c r="AA13" s="34"/>
      <c r="AB13" s="31">
        <v>10</v>
      </c>
      <c r="AC13" s="34">
        <f t="shared" si="8"/>
        <v>14.285714285714285</v>
      </c>
      <c r="AD13" s="31">
        <v>1</v>
      </c>
      <c r="AE13" s="34">
        <f t="shared" si="9"/>
        <v>1.4285714285714286</v>
      </c>
      <c r="AF13" s="56">
        <v>31</v>
      </c>
      <c r="AG13" s="34"/>
      <c r="AH13" s="31"/>
      <c r="AI13" s="34"/>
      <c r="AJ13" s="31"/>
      <c r="AK13" s="34"/>
      <c r="AL13" s="31">
        <v>3</v>
      </c>
      <c r="AM13" s="34">
        <f t="shared" si="13"/>
        <v>4.2857142857142856</v>
      </c>
      <c r="AN13" s="31"/>
      <c r="AO13" s="34"/>
      <c r="AP13" s="31"/>
      <c r="AQ13" s="34"/>
      <c r="AR13" s="31"/>
      <c r="AS13" s="34"/>
      <c r="AT13" s="31"/>
      <c r="AU13" s="34"/>
      <c r="AV13" s="31"/>
      <c r="AW13" s="34"/>
      <c r="AX13" s="31"/>
      <c r="AY13" s="34"/>
      <c r="AZ13" s="31"/>
      <c r="BA13" s="34"/>
      <c r="BB13" s="21" t="s">
        <v>559</v>
      </c>
    </row>
    <row r="14" spans="1:54" customFormat="1" ht="20" customHeight="1" x14ac:dyDescent="0.2">
      <c r="A14" s="726"/>
      <c r="B14" s="721"/>
      <c r="C14" s="722"/>
      <c r="D14" s="722" t="s">
        <v>85</v>
      </c>
      <c r="E14" s="723" t="s">
        <v>595</v>
      </c>
      <c r="F14" s="723" t="s">
        <v>596</v>
      </c>
      <c r="G14" s="722">
        <v>1984</v>
      </c>
      <c r="H14" s="287"/>
      <c r="I14" s="65"/>
      <c r="J14" s="61" t="s">
        <v>210</v>
      </c>
      <c r="K14" s="62" t="s">
        <v>168</v>
      </c>
      <c r="L14" s="31"/>
      <c r="M14" s="34"/>
      <c r="N14" s="31"/>
      <c r="O14" s="34"/>
      <c r="P14" s="56"/>
      <c r="Q14" s="34"/>
      <c r="R14" s="31"/>
      <c r="S14" s="34"/>
      <c r="T14" s="31"/>
      <c r="U14" s="34"/>
      <c r="V14" s="31"/>
      <c r="W14" s="34"/>
      <c r="X14" s="31"/>
      <c r="Y14" s="34"/>
      <c r="Z14" s="31"/>
      <c r="AA14" s="34"/>
      <c r="AB14" s="31"/>
      <c r="AC14" s="34"/>
      <c r="AD14" s="31"/>
      <c r="AE14" s="34"/>
      <c r="AF14" s="56"/>
      <c r="AG14" s="34"/>
      <c r="AH14" s="31"/>
      <c r="AI14" s="34"/>
      <c r="AJ14" s="31"/>
      <c r="AK14" s="34"/>
      <c r="AL14" s="31"/>
      <c r="AM14" s="34"/>
      <c r="AN14" s="31"/>
      <c r="AO14" s="34"/>
      <c r="AP14" s="31"/>
      <c r="AQ14" s="34"/>
      <c r="AR14" s="31"/>
      <c r="AS14" s="34"/>
      <c r="AT14" s="31"/>
      <c r="AU14" s="34"/>
      <c r="AV14" s="31"/>
      <c r="AW14" s="34"/>
      <c r="AX14" s="31"/>
      <c r="AY14" s="34"/>
      <c r="AZ14" s="31"/>
      <c r="BA14" s="34"/>
      <c r="BB14" s="21"/>
    </row>
    <row r="15" spans="1:54" customFormat="1" ht="20" customHeight="1" x14ac:dyDescent="0.2">
      <c r="A15" s="726"/>
      <c r="B15" s="721"/>
      <c r="C15" s="722"/>
      <c r="D15" s="722" t="s">
        <v>85</v>
      </c>
      <c r="E15" s="723" t="s">
        <v>602</v>
      </c>
      <c r="F15" s="723" t="s">
        <v>603</v>
      </c>
      <c r="G15" s="722">
        <v>2016</v>
      </c>
      <c r="H15" s="287"/>
      <c r="I15" s="65"/>
      <c r="J15" s="61" t="s">
        <v>184</v>
      </c>
      <c r="K15" s="62"/>
      <c r="L15" s="31"/>
      <c r="M15" s="34"/>
      <c r="N15" s="31"/>
      <c r="O15" s="34"/>
      <c r="P15" s="56"/>
      <c r="Q15" s="34"/>
      <c r="R15" s="31"/>
      <c r="S15" s="34"/>
      <c r="T15" s="31"/>
      <c r="U15" s="34"/>
      <c r="V15" s="31"/>
      <c r="W15" s="34"/>
      <c r="X15" s="31"/>
      <c r="Y15" s="34"/>
      <c r="Z15" s="31"/>
      <c r="AA15" s="34"/>
      <c r="AB15" s="31"/>
      <c r="AC15" s="34"/>
      <c r="AD15" s="31"/>
      <c r="AE15" s="34"/>
      <c r="AF15" s="56"/>
      <c r="AG15" s="34"/>
      <c r="AH15" s="31"/>
      <c r="AI15" s="34"/>
      <c r="AJ15" s="31"/>
      <c r="AK15" s="34"/>
      <c r="AL15" s="31"/>
      <c r="AM15" s="34"/>
      <c r="AN15" s="31"/>
      <c r="AO15" s="34"/>
      <c r="AP15" s="31"/>
      <c r="AQ15" s="34"/>
      <c r="AR15" s="31"/>
      <c r="AS15" s="34"/>
      <c r="AT15" s="31"/>
      <c r="AU15" s="34"/>
      <c r="AV15" s="31"/>
      <c r="AW15" s="34"/>
      <c r="AX15" s="31"/>
      <c r="AY15" s="34"/>
      <c r="AZ15" s="31"/>
      <c r="BA15" s="34"/>
      <c r="BB15" s="21"/>
    </row>
    <row r="16" spans="1:54" customFormat="1" ht="20" customHeight="1" x14ac:dyDescent="0.2">
      <c r="A16" s="726"/>
      <c r="B16" s="721"/>
      <c r="C16" s="722"/>
      <c r="D16" s="722" t="s">
        <v>85</v>
      </c>
      <c r="E16" s="723" t="s">
        <v>604</v>
      </c>
      <c r="F16" s="723" t="s">
        <v>605</v>
      </c>
      <c r="G16" s="722">
        <v>2001</v>
      </c>
      <c r="H16" s="287"/>
      <c r="I16" s="65"/>
      <c r="J16" s="61" t="s">
        <v>213</v>
      </c>
      <c r="K16" s="62" t="s">
        <v>189</v>
      </c>
      <c r="L16" s="31"/>
      <c r="M16" s="34"/>
      <c r="N16" s="31"/>
      <c r="O16" s="34"/>
      <c r="P16" s="56"/>
      <c r="Q16" s="34"/>
      <c r="R16" s="31"/>
      <c r="S16" s="34"/>
      <c r="T16" s="31"/>
      <c r="U16" s="34"/>
      <c r="V16" s="31"/>
      <c r="W16" s="34"/>
      <c r="X16" s="31"/>
      <c r="Y16" s="34"/>
      <c r="Z16" s="31"/>
      <c r="AA16" s="34"/>
      <c r="AB16" s="31"/>
      <c r="AC16" s="34"/>
      <c r="AD16" s="31"/>
      <c r="AE16" s="34"/>
      <c r="AF16" s="56"/>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678"/>
      <c r="B17" s="725"/>
      <c r="C17" s="255"/>
      <c r="D17" s="722" t="s">
        <v>85</v>
      </c>
      <c r="E17" s="723" t="s">
        <v>250</v>
      </c>
      <c r="F17" s="723" t="s">
        <v>251</v>
      </c>
      <c r="G17" s="722">
        <v>2008</v>
      </c>
      <c r="H17" s="287"/>
      <c r="I17" s="65">
        <v>13</v>
      </c>
      <c r="J17" s="61" t="s">
        <v>217</v>
      </c>
      <c r="K17" s="62" t="s">
        <v>330</v>
      </c>
      <c r="L17" s="31"/>
      <c r="M17" s="34" t="str">
        <f t="shared" si="0"/>
        <v/>
      </c>
      <c r="N17" s="31"/>
      <c r="O17" s="34" t="str">
        <f t="shared" si="1"/>
        <v/>
      </c>
      <c r="P17" s="56"/>
      <c r="Q17" s="34" t="str">
        <f t="shared" si="2"/>
        <v/>
      </c>
      <c r="R17" s="31"/>
      <c r="S17" s="34" t="str">
        <f t="shared" si="3"/>
        <v/>
      </c>
      <c r="T17" s="31"/>
      <c r="U17" s="34" t="str">
        <f t="shared" si="4"/>
        <v/>
      </c>
      <c r="V17" s="31"/>
      <c r="W17" s="34" t="str">
        <f t="shared" si="5"/>
        <v/>
      </c>
      <c r="X17" s="31"/>
      <c r="Y17" s="34" t="str">
        <f t="shared" si="6"/>
        <v/>
      </c>
      <c r="Z17" s="31"/>
      <c r="AA17" s="34" t="str">
        <f t="shared" si="7"/>
        <v/>
      </c>
      <c r="AB17" s="31">
        <v>1</v>
      </c>
      <c r="AC17" s="34">
        <f t="shared" si="8"/>
        <v>7.6923076923076925</v>
      </c>
      <c r="AD17" s="31"/>
      <c r="AE17" s="34" t="str">
        <f t="shared" si="9"/>
        <v/>
      </c>
      <c r="AF17" s="56"/>
      <c r="AG17" s="34" t="str">
        <f t="shared" si="10"/>
        <v/>
      </c>
      <c r="AH17" s="31"/>
      <c r="AI17" s="34" t="str">
        <f t="shared" si="11"/>
        <v/>
      </c>
      <c r="AJ17" s="31"/>
      <c r="AK17" s="34" t="str">
        <f t="shared" si="12"/>
        <v/>
      </c>
      <c r="AL17" s="31"/>
      <c r="AM17" s="34" t="str">
        <f t="shared" si="13"/>
        <v/>
      </c>
      <c r="AN17" s="31"/>
      <c r="AO17" s="34" t="str">
        <f t="shared" si="14"/>
        <v/>
      </c>
      <c r="AP17" s="31"/>
      <c r="AQ17" s="34" t="str">
        <f t="shared" si="15"/>
        <v/>
      </c>
      <c r="AR17" s="31"/>
      <c r="AS17" s="34" t="str">
        <f t="shared" si="16"/>
        <v/>
      </c>
      <c r="AT17" s="31"/>
      <c r="AU17" s="34" t="str">
        <f t="shared" si="17"/>
        <v/>
      </c>
      <c r="AV17" s="31"/>
      <c r="AW17" s="34" t="str">
        <f t="shared" si="18"/>
        <v/>
      </c>
      <c r="AX17" s="31"/>
      <c r="AY17" s="34" t="str">
        <f t="shared" si="19"/>
        <v/>
      </c>
      <c r="AZ17" s="31"/>
      <c r="BA17" s="34" t="str">
        <f t="shared" si="20"/>
        <v/>
      </c>
    </row>
    <row r="18" spans="1:54" ht="20" customHeight="1" x14ac:dyDescent="0.2">
      <c r="A18" s="678"/>
      <c r="B18" s="721"/>
      <c r="C18" s="255"/>
      <c r="D18" s="722" t="s">
        <v>85</v>
      </c>
      <c r="E18" s="723" t="s">
        <v>36</v>
      </c>
      <c r="F18" s="723" t="s">
        <v>37</v>
      </c>
      <c r="G18" s="722">
        <v>2008</v>
      </c>
      <c r="H18" s="287">
        <v>40</v>
      </c>
      <c r="I18" s="65">
        <v>29</v>
      </c>
      <c r="J18" s="61" t="s">
        <v>175</v>
      </c>
      <c r="K18" s="62" t="s">
        <v>168</v>
      </c>
      <c r="L18" s="31"/>
      <c r="M18" s="34" t="str">
        <f t="shared" si="0"/>
        <v/>
      </c>
      <c r="N18" s="31"/>
      <c r="O18" s="34" t="str">
        <f t="shared" si="1"/>
        <v/>
      </c>
      <c r="P18" s="56">
        <v>5</v>
      </c>
      <c r="Q18" s="34">
        <f t="shared" si="2"/>
        <v>17.241379310344829</v>
      </c>
      <c r="R18" s="31"/>
      <c r="S18" s="34" t="str">
        <f t="shared" si="3"/>
        <v/>
      </c>
      <c r="T18" s="31"/>
      <c r="U18" s="34" t="str">
        <f t="shared" si="4"/>
        <v/>
      </c>
      <c r="V18" s="31"/>
      <c r="W18" s="34" t="str">
        <f t="shared" si="5"/>
        <v/>
      </c>
      <c r="X18" s="31"/>
      <c r="Y18" s="34" t="str">
        <f t="shared" si="6"/>
        <v/>
      </c>
      <c r="Z18" s="31">
        <v>5</v>
      </c>
      <c r="AA18" s="34">
        <f t="shared" si="7"/>
        <v>17.241379310344829</v>
      </c>
      <c r="AB18" s="31"/>
      <c r="AC18" s="34" t="str">
        <f t="shared" si="8"/>
        <v/>
      </c>
      <c r="AD18" s="31"/>
      <c r="AE18" s="34" t="str">
        <f t="shared" si="9"/>
        <v/>
      </c>
      <c r="AF18" s="56"/>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 t="shared" si="16"/>
        <v/>
      </c>
      <c r="AT18" s="31"/>
      <c r="AU18" s="34" t="str">
        <f t="shared" si="17"/>
        <v/>
      </c>
      <c r="AV18" s="31"/>
      <c r="AW18" s="34" t="str">
        <f t="shared" si="18"/>
        <v/>
      </c>
      <c r="AX18" s="31"/>
      <c r="AY18" s="34" t="str">
        <f t="shared" si="19"/>
        <v/>
      </c>
      <c r="AZ18" s="31"/>
      <c r="BA18" s="34" t="str">
        <f t="shared" si="20"/>
        <v/>
      </c>
      <c r="BB18" s="21" t="s">
        <v>472</v>
      </c>
    </row>
    <row r="19" spans="1:54" ht="20" customHeight="1" x14ac:dyDescent="0.2">
      <c r="A19" s="678"/>
      <c r="B19" s="725"/>
      <c r="C19" s="255"/>
      <c r="D19" s="722" t="s">
        <v>85</v>
      </c>
      <c r="E19" s="723" t="s">
        <v>41</v>
      </c>
      <c r="F19" s="723" t="s">
        <v>42</v>
      </c>
      <c r="G19" s="722">
        <v>2004</v>
      </c>
      <c r="H19" s="287">
        <v>79</v>
      </c>
      <c r="I19" s="65">
        <v>12</v>
      </c>
      <c r="J19" s="61" t="s">
        <v>167</v>
      </c>
      <c r="K19" s="62" t="s">
        <v>168</v>
      </c>
      <c r="L19" s="31"/>
      <c r="M19" s="34" t="str">
        <f t="shared" si="0"/>
        <v/>
      </c>
      <c r="N19" s="31"/>
      <c r="O19" s="34" t="str">
        <f t="shared" si="1"/>
        <v/>
      </c>
      <c r="P19" s="56"/>
      <c r="Q19" s="34" t="str">
        <f t="shared" si="2"/>
        <v/>
      </c>
      <c r="R19" s="31"/>
      <c r="S19" s="34" t="str">
        <f t="shared" si="3"/>
        <v/>
      </c>
      <c r="T19" s="31"/>
      <c r="U19" s="34" t="str">
        <f t="shared" si="4"/>
        <v/>
      </c>
      <c r="V19" s="31"/>
      <c r="W19" s="34" t="str">
        <f t="shared" si="5"/>
        <v/>
      </c>
      <c r="X19" s="31"/>
      <c r="Y19" s="34" t="str">
        <f t="shared" si="6"/>
        <v/>
      </c>
      <c r="Z19" s="31"/>
      <c r="AA19" s="34" t="str">
        <f t="shared" si="7"/>
        <v/>
      </c>
      <c r="AB19" s="31">
        <v>5</v>
      </c>
      <c r="AC19" s="34">
        <f t="shared" si="8"/>
        <v>41.666666666666671</v>
      </c>
      <c r="AD19" s="31"/>
      <c r="AE19" s="34" t="str">
        <f t="shared" si="9"/>
        <v/>
      </c>
      <c r="AF19" s="56"/>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si="16"/>
        <v/>
      </c>
      <c r="AT19" s="31"/>
      <c r="AU19" s="34" t="str">
        <f t="shared" si="17"/>
        <v/>
      </c>
      <c r="AV19" s="31"/>
      <c r="AW19" s="34" t="str">
        <f t="shared" si="18"/>
        <v/>
      </c>
      <c r="AX19" s="31"/>
      <c r="AY19" s="34" t="str">
        <f t="shared" si="19"/>
        <v/>
      </c>
      <c r="AZ19" s="31"/>
      <c r="BA19" s="34" t="str">
        <f t="shared" si="20"/>
        <v/>
      </c>
      <c r="BB19" s="21" t="s">
        <v>169</v>
      </c>
    </row>
    <row r="20" spans="1:54" ht="20" customHeight="1" x14ac:dyDescent="0.2">
      <c r="A20" s="678"/>
      <c r="B20" s="725"/>
      <c r="C20" s="255"/>
      <c r="D20" s="722" t="s">
        <v>85</v>
      </c>
      <c r="E20" s="723" t="s">
        <v>43</v>
      </c>
      <c r="F20" s="723" t="s">
        <v>44</v>
      </c>
      <c r="G20" s="722">
        <v>1976</v>
      </c>
      <c r="H20" s="287">
        <v>179</v>
      </c>
      <c r="I20" s="65">
        <v>8</v>
      </c>
      <c r="J20" s="78" t="s">
        <v>331</v>
      </c>
      <c r="K20" s="62"/>
      <c r="L20" s="36">
        <v>5</v>
      </c>
      <c r="M20" s="37">
        <f t="shared" si="0"/>
        <v>62.5</v>
      </c>
      <c r="N20" s="36">
        <v>2</v>
      </c>
      <c r="O20" s="37">
        <f t="shared" si="1"/>
        <v>25</v>
      </c>
      <c r="P20" s="56">
        <v>1</v>
      </c>
      <c r="Q20" s="34">
        <f t="shared" si="2"/>
        <v>12.5</v>
      </c>
      <c r="R20" s="36">
        <v>2</v>
      </c>
      <c r="S20" s="37">
        <f t="shared" si="3"/>
        <v>25</v>
      </c>
      <c r="T20" s="36">
        <v>1</v>
      </c>
      <c r="U20" s="37">
        <f t="shared" si="4"/>
        <v>12.5</v>
      </c>
      <c r="V20" s="36">
        <v>1</v>
      </c>
      <c r="W20" s="37">
        <f t="shared" si="5"/>
        <v>12.5</v>
      </c>
      <c r="X20" s="36">
        <v>1</v>
      </c>
      <c r="Y20" s="37">
        <f t="shared" si="6"/>
        <v>12.5</v>
      </c>
      <c r="Z20" s="36">
        <v>1</v>
      </c>
      <c r="AA20" s="37">
        <f t="shared" si="7"/>
        <v>12.5</v>
      </c>
      <c r="AB20" s="31"/>
      <c r="AC20" s="34" t="str">
        <f t="shared" si="8"/>
        <v/>
      </c>
      <c r="AD20" s="31"/>
      <c r="AE20" s="34" t="str">
        <f t="shared" si="9"/>
        <v/>
      </c>
      <c r="AF20" s="56"/>
      <c r="AG20" s="34" t="str">
        <f t="shared" si="10"/>
        <v/>
      </c>
      <c r="AH20" s="31"/>
      <c r="AI20" s="34" t="str">
        <f t="shared" si="11"/>
        <v/>
      </c>
      <c r="AJ20" s="36">
        <v>1</v>
      </c>
      <c r="AK20" s="37">
        <f t="shared" si="12"/>
        <v>12.5</v>
      </c>
      <c r="AL20" s="31"/>
      <c r="AM20" s="34" t="str">
        <f t="shared" si="13"/>
        <v/>
      </c>
      <c r="AN20" s="36">
        <v>1</v>
      </c>
      <c r="AO20" s="37">
        <f t="shared" si="14"/>
        <v>12.5</v>
      </c>
      <c r="AP20" s="31"/>
      <c r="AQ20" s="34" t="str">
        <f t="shared" si="15"/>
        <v/>
      </c>
      <c r="AR20" s="31"/>
      <c r="AS20" s="34" t="str">
        <f t="shared" si="16"/>
        <v/>
      </c>
      <c r="AT20" s="31"/>
      <c r="AU20" s="34" t="str">
        <f t="shared" si="17"/>
        <v/>
      </c>
      <c r="AV20" s="36"/>
      <c r="AW20" s="37" t="str">
        <f t="shared" si="18"/>
        <v/>
      </c>
      <c r="AX20" s="36"/>
      <c r="AY20" s="37" t="str">
        <f t="shared" si="19"/>
        <v/>
      </c>
      <c r="AZ20" s="31"/>
      <c r="BA20" s="34" t="str">
        <f t="shared" si="20"/>
        <v/>
      </c>
      <c r="BB20" s="21" t="s">
        <v>182</v>
      </c>
    </row>
    <row r="21" spans="1:54" ht="20" customHeight="1" x14ac:dyDescent="0.2">
      <c r="A21" s="678"/>
      <c r="B21" s="725"/>
      <c r="C21" s="253"/>
      <c r="D21" s="722" t="s">
        <v>85</v>
      </c>
      <c r="E21" s="723" t="s">
        <v>252</v>
      </c>
      <c r="F21" s="723" t="s">
        <v>253</v>
      </c>
      <c r="G21" s="722">
        <v>2014</v>
      </c>
      <c r="H21" s="287"/>
      <c r="I21" s="65">
        <v>48</v>
      </c>
      <c r="J21" s="61" t="s">
        <v>213</v>
      </c>
      <c r="K21" s="62" t="s">
        <v>332</v>
      </c>
      <c r="L21" s="31"/>
      <c r="M21" s="34" t="str">
        <f t="shared" si="0"/>
        <v/>
      </c>
      <c r="N21" s="36"/>
      <c r="O21" s="37" t="str">
        <f t="shared" si="1"/>
        <v/>
      </c>
      <c r="P21" s="56"/>
      <c r="Q21" s="34" t="str">
        <f t="shared" si="2"/>
        <v/>
      </c>
      <c r="R21" s="31"/>
      <c r="S21" s="34" t="str">
        <f t="shared" si="3"/>
        <v/>
      </c>
      <c r="T21" s="31"/>
      <c r="U21" s="34" t="str">
        <f t="shared" si="4"/>
        <v/>
      </c>
      <c r="V21" s="31"/>
      <c r="W21" s="34" t="str">
        <f t="shared" si="5"/>
        <v/>
      </c>
      <c r="X21" s="31"/>
      <c r="Y21" s="34" t="str">
        <f t="shared" si="6"/>
        <v/>
      </c>
      <c r="Z21" s="31"/>
      <c r="AA21" s="34" t="str">
        <f t="shared" si="7"/>
        <v/>
      </c>
      <c r="AB21" s="36"/>
      <c r="AC21" s="37" t="str">
        <f t="shared" si="8"/>
        <v/>
      </c>
      <c r="AD21" s="31"/>
      <c r="AE21" s="34" t="str">
        <f t="shared" si="9"/>
        <v/>
      </c>
      <c r="AF21" s="56"/>
      <c r="AG21" s="34" t="str">
        <f t="shared" si="10"/>
        <v/>
      </c>
      <c r="AH21" s="31"/>
      <c r="AI21" s="34" t="str">
        <f t="shared" si="11"/>
        <v/>
      </c>
      <c r="AJ21" s="31"/>
      <c r="AK21" s="34" t="str">
        <f t="shared" si="12"/>
        <v/>
      </c>
      <c r="AL21" s="31"/>
      <c r="AM21" s="34" t="str">
        <f t="shared" si="13"/>
        <v/>
      </c>
      <c r="AN21" s="31"/>
      <c r="AO21" s="34" t="str">
        <f t="shared" si="14"/>
        <v/>
      </c>
      <c r="AP21" s="31"/>
      <c r="AQ21" s="34" t="str">
        <f t="shared" si="15"/>
        <v/>
      </c>
      <c r="AR21" s="31"/>
      <c r="AS21" s="34" t="str">
        <f t="shared" si="16"/>
        <v/>
      </c>
      <c r="AT21" s="31"/>
      <c r="AU21" s="34" t="str">
        <f t="shared" si="17"/>
        <v/>
      </c>
      <c r="AV21" s="31"/>
      <c r="AW21" s="34" t="str">
        <f t="shared" si="18"/>
        <v/>
      </c>
      <c r="AX21" s="31"/>
      <c r="AY21" s="34" t="str">
        <f t="shared" si="19"/>
        <v/>
      </c>
      <c r="AZ21" s="31"/>
      <c r="BA21" s="34" t="str">
        <f t="shared" si="20"/>
        <v/>
      </c>
      <c r="BB21" s="21" t="s">
        <v>395</v>
      </c>
    </row>
    <row r="22" spans="1:54" ht="20" customHeight="1" x14ac:dyDescent="0.2">
      <c r="A22" s="726"/>
      <c r="B22" s="721"/>
      <c r="C22" s="253"/>
      <c r="D22" s="722" t="s">
        <v>85</v>
      </c>
      <c r="E22" s="723" t="s">
        <v>612</v>
      </c>
      <c r="F22" s="723" t="s">
        <v>613</v>
      </c>
      <c r="G22" s="722">
        <v>2004</v>
      </c>
      <c r="H22" s="287"/>
      <c r="I22" s="701"/>
      <c r="J22" s="232" t="s">
        <v>614</v>
      </c>
      <c r="K22" s="250"/>
      <c r="L22" s="31"/>
      <c r="M22" s="34"/>
      <c r="N22" s="31"/>
      <c r="O22" s="34"/>
      <c r="P22" s="56"/>
      <c r="Q22" s="34"/>
      <c r="R22" s="31"/>
      <c r="S22" s="34"/>
      <c r="T22" s="31"/>
      <c r="U22" s="34"/>
      <c r="V22" s="31"/>
      <c r="W22" s="34"/>
      <c r="X22" s="31"/>
      <c r="Y22" s="34"/>
      <c r="Z22" s="31"/>
      <c r="AA22" s="34"/>
      <c r="AB22" s="31"/>
      <c r="AC22" s="34"/>
      <c r="AD22" s="31"/>
      <c r="AE22" s="34"/>
      <c r="AF22" s="56"/>
      <c r="AG22" s="34"/>
      <c r="AH22" s="31"/>
      <c r="AI22" s="34"/>
      <c r="AJ22" s="31"/>
      <c r="AK22" s="34"/>
      <c r="AL22" s="31"/>
      <c r="AM22" s="34"/>
      <c r="AN22" s="31"/>
      <c r="AO22" s="34"/>
      <c r="AP22" s="31"/>
      <c r="AQ22" s="34"/>
      <c r="AR22" s="31"/>
      <c r="AS22" s="34"/>
      <c r="AT22" s="31"/>
      <c r="AU22" s="34"/>
      <c r="AV22" s="31"/>
      <c r="AW22" s="34"/>
      <c r="AX22" s="31"/>
      <c r="AY22" s="34"/>
      <c r="AZ22" s="31"/>
      <c r="BA22" s="34"/>
    </row>
    <row r="23" spans="1:54" ht="20" customHeight="1" x14ac:dyDescent="0.2">
      <c r="A23" s="678"/>
      <c r="B23" s="725"/>
      <c r="C23" s="253"/>
      <c r="D23" s="722" t="s">
        <v>85</v>
      </c>
      <c r="E23" s="723" t="s">
        <v>256</v>
      </c>
      <c r="F23" s="723" t="s">
        <v>257</v>
      </c>
      <c r="G23" s="722">
        <v>2012</v>
      </c>
      <c r="H23" s="287"/>
      <c r="I23" s="65">
        <v>80</v>
      </c>
      <c r="J23" s="61" t="s">
        <v>213</v>
      </c>
      <c r="K23" s="62" t="s">
        <v>190</v>
      </c>
      <c r="L23" s="31"/>
      <c r="M23" s="34" t="str">
        <f t="shared" si="0"/>
        <v/>
      </c>
      <c r="N23" s="31"/>
      <c r="O23" s="34" t="str">
        <f t="shared" si="1"/>
        <v/>
      </c>
      <c r="P23" s="56"/>
      <c r="Q23" s="34" t="str">
        <f t="shared" si="2"/>
        <v/>
      </c>
      <c r="R23" s="31"/>
      <c r="S23" s="34" t="str">
        <f t="shared" si="3"/>
        <v/>
      </c>
      <c r="T23" s="31"/>
      <c r="U23" s="34" t="str">
        <f t="shared" si="4"/>
        <v/>
      </c>
      <c r="V23" s="31"/>
      <c r="W23" s="34" t="str">
        <f t="shared" si="5"/>
        <v/>
      </c>
      <c r="X23" s="31"/>
      <c r="Y23" s="34" t="str">
        <f t="shared" si="6"/>
        <v/>
      </c>
      <c r="Z23" s="31"/>
      <c r="AA23" s="34" t="str">
        <f t="shared" si="7"/>
        <v/>
      </c>
      <c r="AB23" s="31"/>
      <c r="AC23" s="34" t="str">
        <f t="shared" si="8"/>
        <v/>
      </c>
      <c r="AD23" s="31"/>
      <c r="AE23" s="34" t="str">
        <f t="shared" si="9"/>
        <v/>
      </c>
      <c r="AF23" s="56"/>
      <c r="AG23" s="34" t="str">
        <f t="shared" si="10"/>
        <v/>
      </c>
      <c r="AH23" s="31"/>
      <c r="AI23" s="34" t="str">
        <f t="shared" si="11"/>
        <v/>
      </c>
      <c r="AJ23" s="31"/>
      <c r="AK23" s="34" t="str">
        <f t="shared" si="12"/>
        <v/>
      </c>
      <c r="AL23" s="31"/>
      <c r="AM23" s="34" t="str">
        <f t="shared" si="13"/>
        <v/>
      </c>
      <c r="AN23" s="31"/>
      <c r="AO23" s="34" t="str">
        <f t="shared" si="14"/>
        <v/>
      </c>
      <c r="AP23" s="31"/>
      <c r="AQ23" s="34" t="str">
        <f t="shared" si="15"/>
        <v/>
      </c>
      <c r="AR23" s="31"/>
      <c r="AS23" s="34" t="str">
        <f t="shared" si="16"/>
        <v/>
      </c>
      <c r="AT23" s="31"/>
      <c r="AU23" s="34" t="str">
        <f t="shared" si="17"/>
        <v/>
      </c>
      <c r="AV23" s="31"/>
      <c r="AW23" s="34" t="str">
        <f t="shared" si="18"/>
        <v/>
      </c>
      <c r="AX23" s="31"/>
      <c r="AY23" s="34" t="str">
        <f t="shared" si="19"/>
        <v/>
      </c>
      <c r="AZ23" s="31"/>
      <c r="BA23" s="34" t="str">
        <f t="shared" si="20"/>
        <v/>
      </c>
    </row>
    <row r="24" spans="1:54" ht="20" customHeight="1" x14ac:dyDescent="0.2">
      <c r="A24" s="678"/>
      <c r="B24" s="725"/>
      <c r="C24" s="255"/>
      <c r="D24" s="722" t="s">
        <v>85</v>
      </c>
      <c r="E24" s="723" t="s">
        <v>258</v>
      </c>
      <c r="F24" s="723" t="s">
        <v>259</v>
      </c>
      <c r="G24" s="722">
        <v>2013</v>
      </c>
      <c r="H24" s="287"/>
      <c r="I24" s="65">
        <v>12</v>
      </c>
      <c r="J24" s="61" t="s">
        <v>213</v>
      </c>
      <c r="K24" s="62" t="s">
        <v>333</v>
      </c>
      <c r="L24" s="31"/>
      <c r="M24" s="34" t="str">
        <f t="shared" si="0"/>
        <v/>
      </c>
      <c r="N24" s="31"/>
      <c r="O24" s="34" t="str">
        <f t="shared" si="1"/>
        <v/>
      </c>
      <c r="P24" s="38"/>
      <c r="Q24" s="37" t="str">
        <f t="shared" si="2"/>
        <v/>
      </c>
      <c r="R24" s="31"/>
      <c r="S24" s="34" t="str">
        <f t="shared" si="3"/>
        <v/>
      </c>
      <c r="T24" s="36"/>
      <c r="U24" s="37" t="str">
        <f t="shared" si="4"/>
        <v/>
      </c>
      <c r="V24" s="31"/>
      <c r="W24" s="34" t="str">
        <f t="shared" si="5"/>
        <v/>
      </c>
      <c r="X24" s="31"/>
      <c r="Y24" s="34" t="str">
        <f t="shared" si="6"/>
        <v/>
      </c>
      <c r="Z24" s="31"/>
      <c r="AA24" s="34" t="str">
        <f t="shared" si="7"/>
        <v/>
      </c>
      <c r="AB24" s="31"/>
      <c r="AC24" s="34" t="str">
        <f t="shared" si="8"/>
        <v/>
      </c>
      <c r="AD24" s="31"/>
      <c r="AE24" s="34" t="str">
        <f t="shared" si="9"/>
        <v/>
      </c>
      <c r="AF24" s="56"/>
      <c r="AG24" s="34" t="str">
        <f t="shared" si="10"/>
        <v/>
      </c>
      <c r="AH24" s="31"/>
      <c r="AI24" s="34" t="str">
        <f t="shared" si="11"/>
        <v/>
      </c>
      <c r="AJ24" s="31"/>
      <c r="AK24" s="34" t="str">
        <f t="shared" si="12"/>
        <v/>
      </c>
      <c r="AL24" s="31"/>
      <c r="AM24" s="34" t="str">
        <f t="shared" si="13"/>
        <v/>
      </c>
      <c r="AN24" s="31"/>
      <c r="AO24" s="34" t="str">
        <f t="shared" si="14"/>
        <v/>
      </c>
      <c r="AP24" s="31"/>
      <c r="AQ24" s="34" t="str">
        <f t="shared" si="15"/>
        <v/>
      </c>
      <c r="AR24" s="31"/>
      <c r="AS24" s="34" t="str">
        <f t="shared" si="16"/>
        <v/>
      </c>
      <c r="AT24" s="31"/>
      <c r="AU24" s="34" t="str">
        <f t="shared" si="17"/>
        <v/>
      </c>
      <c r="AV24" s="31"/>
      <c r="AW24" s="34" t="str">
        <f t="shared" si="18"/>
        <v/>
      </c>
      <c r="AX24" s="31"/>
      <c r="AY24" s="34" t="str">
        <f t="shared" si="19"/>
        <v/>
      </c>
      <c r="AZ24" s="31"/>
      <c r="BA24" s="34" t="str">
        <f t="shared" si="20"/>
        <v/>
      </c>
      <c r="BB24" s="21" t="s">
        <v>396</v>
      </c>
    </row>
    <row r="25" spans="1:54" ht="20" customHeight="1" x14ac:dyDescent="0.2">
      <c r="A25" s="726"/>
      <c r="B25" s="721"/>
      <c r="C25" s="722"/>
      <c r="D25" s="722" t="s">
        <v>85</v>
      </c>
      <c r="E25" s="723" t="s">
        <v>622</v>
      </c>
      <c r="F25" s="723" t="s">
        <v>705</v>
      </c>
      <c r="G25" s="722">
        <v>2012</v>
      </c>
      <c r="H25" s="287"/>
      <c r="I25" s="65"/>
      <c r="J25" s="61" t="s">
        <v>213</v>
      </c>
      <c r="K25" s="62" t="s">
        <v>192</v>
      </c>
      <c r="L25" s="31"/>
      <c r="M25" s="34"/>
      <c r="N25" s="31"/>
      <c r="O25" s="34"/>
      <c r="P25" s="31"/>
      <c r="Q25" s="34"/>
      <c r="R25" s="31"/>
      <c r="S25" s="34"/>
      <c r="T25" s="31"/>
      <c r="U25" s="34"/>
      <c r="V25" s="31"/>
      <c r="W25" s="34"/>
      <c r="X25" s="31"/>
      <c r="Y25" s="34"/>
      <c r="Z25" s="31"/>
      <c r="AA25" s="34"/>
      <c r="AB25" s="31"/>
      <c r="AC25" s="34"/>
      <c r="AD25" s="31"/>
      <c r="AE25" s="34"/>
      <c r="AF25" s="56"/>
      <c r="AG25" s="34"/>
      <c r="AH25" s="31"/>
      <c r="AI25" s="34"/>
      <c r="AJ25" s="31"/>
      <c r="AK25" s="34"/>
      <c r="AL25" s="31"/>
      <c r="AM25" s="34"/>
      <c r="AN25" s="31"/>
      <c r="AO25" s="34"/>
      <c r="AP25" s="31"/>
      <c r="AQ25" s="34"/>
      <c r="AR25" s="31"/>
      <c r="AS25" s="34"/>
      <c r="AT25" s="31"/>
      <c r="AU25" s="34"/>
      <c r="AV25" s="31"/>
      <c r="AW25" s="34"/>
      <c r="AX25" s="31"/>
      <c r="AY25" s="34"/>
      <c r="AZ25" s="31"/>
      <c r="BA25" s="34"/>
    </row>
    <row r="26" spans="1:54" ht="20" customHeight="1" x14ac:dyDescent="0.2">
      <c r="A26" s="678"/>
      <c r="B26" s="725"/>
      <c r="C26" s="255"/>
      <c r="D26" s="722" t="s">
        <v>85</v>
      </c>
      <c r="E26" s="723" t="s">
        <v>397</v>
      </c>
      <c r="F26" s="723" t="s">
        <v>398</v>
      </c>
      <c r="G26" s="722">
        <v>2013</v>
      </c>
      <c r="H26" s="287"/>
      <c r="I26" s="65">
        <v>38</v>
      </c>
      <c r="J26" s="61" t="s">
        <v>399</v>
      </c>
      <c r="K26" s="62" t="s">
        <v>168</v>
      </c>
      <c r="L26" s="31"/>
      <c r="M26" s="34" t="str">
        <f t="shared" si="0"/>
        <v/>
      </c>
      <c r="N26" s="31"/>
      <c r="O26" s="34" t="str">
        <f t="shared" si="1"/>
        <v/>
      </c>
      <c r="P26" s="31"/>
      <c r="Q26" s="34" t="str">
        <f t="shared" si="2"/>
        <v/>
      </c>
      <c r="R26" s="31"/>
      <c r="S26" s="34" t="str">
        <f t="shared" si="3"/>
        <v/>
      </c>
      <c r="T26" s="31"/>
      <c r="U26" s="34" t="str">
        <f t="shared" si="4"/>
        <v/>
      </c>
      <c r="V26" s="31"/>
      <c r="W26" s="34" t="str">
        <f t="shared" si="5"/>
        <v/>
      </c>
      <c r="X26" s="31"/>
      <c r="Y26" s="34" t="str">
        <f t="shared" si="6"/>
        <v/>
      </c>
      <c r="Z26" s="31"/>
      <c r="AA26" s="34" t="str">
        <f t="shared" si="7"/>
        <v/>
      </c>
      <c r="AB26" s="31"/>
      <c r="AC26" s="34" t="str">
        <f t="shared" si="8"/>
        <v/>
      </c>
      <c r="AD26" s="31"/>
      <c r="AE26" s="34" t="str">
        <f t="shared" si="9"/>
        <v/>
      </c>
      <c r="AF26" s="56">
        <v>37</v>
      </c>
      <c r="AG26" s="34">
        <f t="shared" si="10"/>
        <v>97.368421052631575</v>
      </c>
      <c r="AH26" s="31"/>
      <c r="AI26" s="34" t="str">
        <f t="shared" si="11"/>
        <v/>
      </c>
      <c r="AJ26" s="31"/>
      <c r="AK26" s="34" t="str">
        <f t="shared" si="12"/>
        <v/>
      </c>
      <c r="AL26" s="31"/>
      <c r="AM26" s="34" t="str">
        <f t="shared" si="13"/>
        <v/>
      </c>
      <c r="AN26" s="31"/>
      <c r="AO26" s="34" t="str">
        <f t="shared" si="14"/>
        <v/>
      </c>
      <c r="AP26" s="31"/>
      <c r="AQ26" s="34" t="str">
        <f t="shared" si="15"/>
        <v/>
      </c>
      <c r="AR26" s="31"/>
      <c r="AS26" s="34" t="str">
        <f t="shared" si="16"/>
        <v/>
      </c>
      <c r="AT26" s="31"/>
      <c r="AU26" s="34" t="str">
        <f t="shared" si="17"/>
        <v/>
      </c>
      <c r="AV26" s="31"/>
      <c r="AW26" s="34" t="str">
        <f t="shared" si="18"/>
        <v/>
      </c>
      <c r="AX26" s="31"/>
      <c r="AY26" s="34" t="str">
        <f t="shared" si="19"/>
        <v/>
      </c>
      <c r="AZ26" s="31"/>
      <c r="BA26" s="34" t="str">
        <f t="shared" si="20"/>
        <v/>
      </c>
      <c r="BB26" s="21" t="s">
        <v>407</v>
      </c>
    </row>
    <row r="27" spans="1:54" ht="20" customHeight="1" x14ac:dyDescent="0.2">
      <c r="A27" s="726"/>
      <c r="B27" s="721"/>
      <c r="C27" s="722"/>
      <c r="D27" s="722" t="s">
        <v>85</v>
      </c>
      <c r="E27" s="723" t="s">
        <v>623</v>
      </c>
      <c r="F27" s="723" t="s">
        <v>624</v>
      </c>
      <c r="G27" s="722">
        <v>2000</v>
      </c>
      <c r="H27" s="287"/>
      <c r="I27" s="65">
        <v>12</v>
      </c>
      <c r="J27" s="61" t="s">
        <v>625</v>
      </c>
      <c r="K27" s="62"/>
      <c r="L27" s="31"/>
      <c r="M27" s="34"/>
      <c r="N27" s="31"/>
      <c r="O27" s="34"/>
      <c r="P27" s="56"/>
      <c r="Q27" s="34"/>
      <c r="R27" s="31"/>
      <c r="S27" s="34"/>
      <c r="T27" s="31"/>
      <c r="U27" s="34"/>
      <c r="V27" s="31"/>
      <c r="W27" s="34"/>
      <c r="X27" s="31"/>
      <c r="Y27" s="34"/>
      <c r="Z27" s="31"/>
      <c r="AA27" s="34"/>
      <c r="AB27" s="31"/>
      <c r="AC27" s="34"/>
      <c r="AD27" s="31"/>
      <c r="AE27" s="34"/>
      <c r="AF27" s="56"/>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678"/>
      <c r="B28" s="725"/>
      <c r="C28" s="253"/>
      <c r="D28" s="722" t="s">
        <v>85</v>
      </c>
      <c r="E28" s="723" t="s">
        <v>52</v>
      </c>
      <c r="F28" s="723" t="s">
        <v>53</v>
      </c>
      <c r="G28" s="722">
        <v>2001</v>
      </c>
      <c r="H28" s="287">
        <v>118</v>
      </c>
      <c r="I28" s="65">
        <v>20</v>
      </c>
      <c r="J28" s="61" t="s">
        <v>175</v>
      </c>
      <c r="K28" s="62" t="s">
        <v>191</v>
      </c>
      <c r="L28" s="31"/>
      <c r="M28" s="34" t="str">
        <f t="shared" si="0"/>
        <v/>
      </c>
      <c r="N28" s="31"/>
      <c r="O28" s="34" t="str">
        <f t="shared" si="1"/>
        <v/>
      </c>
      <c r="P28" s="56"/>
      <c r="Q28" s="34" t="str">
        <f t="shared" si="2"/>
        <v/>
      </c>
      <c r="R28" s="31"/>
      <c r="S28" s="34" t="str">
        <f t="shared" si="3"/>
        <v/>
      </c>
      <c r="T28" s="31"/>
      <c r="U28" s="34" t="str">
        <f t="shared" si="4"/>
        <v/>
      </c>
      <c r="V28" s="31"/>
      <c r="W28" s="34" t="str">
        <f t="shared" si="5"/>
        <v/>
      </c>
      <c r="X28" s="31"/>
      <c r="Y28" s="34" t="str">
        <f t="shared" si="6"/>
        <v/>
      </c>
      <c r="Z28" s="31"/>
      <c r="AA28" s="34" t="str">
        <f t="shared" si="7"/>
        <v/>
      </c>
      <c r="AB28" s="31"/>
      <c r="AC28" s="34" t="str">
        <f t="shared" si="8"/>
        <v/>
      </c>
      <c r="AD28" s="31"/>
      <c r="AE28" s="34" t="str">
        <f t="shared" si="9"/>
        <v/>
      </c>
      <c r="AF28" s="56"/>
      <c r="AG28" s="34" t="str">
        <f t="shared" si="10"/>
        <v/>
      </c>
      <c r="AH28" s="31"/>
      <c r="AI28" s="34" t="str">
        <f t="shared" si="11"/>
        <v/>
      </c>
      <c r="AJ28" s="31"/>
      <c r="AK28" s="34" t="str">
        <f t="shared" si="12"/>
        <v/>
      </c>
      <c r="AL28" s="31"/>
      <c r="AM28" s="34" t="str">
        <f t="shared" si="13"/>
        <v/>
      </c>
      <c r="AN28" s="31"/>
      <c r="AO28" s="34" t="str">
        <f t="shared" si="14"/>
        <v/>
      </c>
      <c r="AP28" s="31"/>
      <c r="AQ28" s="34" t="str">
        <f t="shared" si="15"/>
        <v/>
      </c>
      <c r="AR28" s="31"/>
      <c r="AS28" s="34" t="str">
        <f t="shared" si="16"/>
        <v/>
      </c>
      <c r="AT28" s="31"/>
      <c r="AU28" s="34" t="str">
        <f t="shared" si="17"/>
        <v/>
      </c>
      <c r="AV28" s="31"/>
      <c r="AW28" s="34" t="str">
        <f t="shared" si="18"/>
        <v/>
      </c>
      <c r="AX28" s="31"/>
      <c r="AY28" s="34" t="str">
        <f t="shared" si="19"/>
        <v/>
      </c>
      <c r="AZ28" s="31"/>
      <c r="BA28" s="34" t="str">
        <f t="shared" si="20"/>
        <v/>
      </c>
      <c r="BB28" s="21" t="s">
        <v>179</v>
      </c>
    </row>
    <row r="29" spans="1:54" ht="20" customHeight="1" x14ac:dyDescent="0.2">
      <c r="A29" s="726"/>
      <c r="B29" s="721"/>
      <c r="C29" s="255"/>
      <c r="D29" s="722" t="s">
        <v>85</v>
      </c>
      <c r="E29" s="723" t="s">
        <v>628</v>
      </c>
      <c r="F29" s="723" t="s">
        <v>629</v>
      </c>
      <c r="G29" s="722">
        <v>1993</v>
      </c>
      <c r="H29" s="287"/>
      <c r="I29" s="701"/>
      <c r="J29" s="232" t="s">
        <v>627</v>
      </c>
      <c r="K29" s="250" t="s">
        <v>626</v>
      </c>
      <c r="L29" s="31"/>
      <c r="M29" s="34"/>
      <c r="N29" s="31"/>
      <c r="O29" s="34"/>
      <c r="P29" s="56"/>
      <c r="Q29" s="34"/>
      <c r="R29" s="31"/>
      <c r="S29" s="34"/>
      <c r="T29" s="31"/>
      <c r="U29" s="34"/>
      <c r="V29" s="31"/>
      <c r="W29" s="34"/>
      <c r="X29" s="31"/>
      <c r="Y29" s="34"/>
      <c r="Z29" s="31"/>
      <c r="AA29" s="34"/>
      <c r="AB29" s="31"/>
      <c r="AC29" s="34"/>
      <c r="AD29" s="31"/>
      <c r="AE29" s="34"/>
      <c r="AF29" s="56"/>
      <c r="AG29" s="34"/>
      <c r="AH29" s="31"/>
      <c r="AI29" s="34"/>
      <c r="AJ29" s="31"/>
      <c r="AK29" s="34"/>
      <c r="AL29" s="31"/>
      <c r="AM29" s="34"/>
      <c r="AN29" s="31"/>
      <c r="AO29" s="34"/>
      <c r="AP29" s="31"/>
      <c r="AQ29" s="34"/>
      <c r="AR29" s="31"/>
      <c r="AS29" s="34"/>
      <c r="AT29" s="31"/>
      <c r="AU29" s="34"/>
      <c r="AV29" s="31"/>
      <c r="AW29" s="34"/>
      <c r="AX29" s="31"/>
      <c r="AY29" s="34"/>
      <c r="AZ29" s="31"/>
      <c r="BA29" s="34"/>
    </row>
    <row r="30" spans="1:54" ht="20" customHeight="1" x14ac:dyDescent="0.2">
      <c r="A30" s="678"/>
      <c r="B30" s="725"/>
      <c r="C30" s="255"/>
      <c r="D30" s="722" t="s">
        <v>85</v>
      </c>
      <c r="E30" s="723" t="s">
        <v>264</v>
      </c>
      <c r="F30" s="723" t="s">
        <v>265</v>
      </c>
      <c r="G30" s="722">
        <v>1994</v>
      </c>
      <c r="H30" s="287"/>
      <c r="I30" s="65">
        <v>20</v>
      </c>
      <c r="J30" s="61" t="s">
        <v>335</v>
      </c>
      <c r="K30" s="62"/>
      <c r="L30" s="31"/>
      <c r="M30" s="34" t="str">
        <f t="shared" si="0"/>
        <v/>
      </c>
      <c r="N30" s="31"/>
      <c r="O30" s="34" t="str">
        <f t="shared" si="1"/>
        <v/>
      </c>
      <c r="P30" s="38"/>
      <c r="Q30" s="37" t="str">
        <f t="shared" si="2"/>
        <v/>
      </c>
      <c r="R30" s="31"/>
      <c r="S30" s="34" t="str">
        <f t="shared" si="3"/>
        <v/>
      </c>
      <c r="T30" s="36"/>
      <c r="U30" s="37" t="str">
        <f t="shared" si="4"/>
        <v/>
      </c>
      <c r="V30" s="36"/>
      <c r="W30" s="37" t="str">
        <f t="shared" si="5"/>
        <v/>
      </c>
      <c r="X30" s="31"/>
      <c r="Y30" s="34" t="str">
        <f t="shared" si="6"/>
        <v/>
      </c>
      <c r="Z30" s="31"/>
      <c r="AA30" s="34" t="str">
        <f t="shared" si="7"/>
        <v/>
      </c>
      <c r="AB30" s="31"/>
      <c r="AC30" s="34" t="str">
        <f t="shared" si="8"/>
        <v/>
      </c>
      <c r="AD30" s="31"/>
      <c r="AE30" s="34" t="str">
        <f t="shared" si="9"/>
        <v/>
      </c>
      <c r="AF30" s="56"/>
      <c r="AG30" s="34" t="str">
        <f t="shared" si="10"/>
        <v/>
      </c>
      <c r="AH30" s="31"/>
      <c r="AI30" s="34" t="str">
        <f t="shared" si="11"/>
        <v/>
      </c>
      <c r="AJ30" s="31"/>
      <c r="AK30" s="34" t="str">
        <f t="shared" si="12"/>
        <v/>
      </c>
      <c r="AL30" s="31"/>
      <c r="AM30" s="34" t="str">
        <f t="shared" si="13"/>
        <v/>
      </c>
      <c r="AN30" s="31"/>
      <c r="AO30" s="34" t="str">
        <f t="shared" si="14"/>
        <v/>
      </c>
      <c r="AP30" s="31"/>
      <c r="AQ30" s="34" t="str">
        <f t="shared" si="15"/>
        <v/>
      </c>
      <c r="AR30" s="31"/>
      <c r="AS30" s="34" t="str">
        <f t="shared" si="16"/>
        <v/>
      </c>
      <c r="AT30" s="31"/>
      <c r="AU30" s="34" t="str">
        <f t="shared" si="17"/>
        <v/>
      </c>
      <c r="AV30" s="31"/>
      <c r="AW30" s="34" t="str">
        <f t="shared" si="18"/>
        <v/>
      </c>
      <c r="AX30" s="31"/>
      <c r="AY30" s="34" t="str">
        <f t="shared" si="19"/>
        <v/>
      </c>
      <c r="AZ30" s="31"/>
      <c r="BA30" s="34" t="str">
        <f t="shared" si="20"/>
        <v/>
      </c>
      <c r="BB30" s="21" t="s">
        <v>400</v>
      </c>
    </row>
    <row r="31" spans="1:54" ht="20" customHeight="1" x14ac:dyDescent="0.2">
      <c r="A31" s="678"/>
      <c r="B31" s="725"/>
      <c r="C31" s="253"/>
      <c r="D31" s="722" t="s">
        <v>85</v>
      </c>
      <c r="E31" s="723" t="s">
        <v>336</v>
      </c>
      <c r="F31" s="723" t="s">
        <v>337</v>
      </c>
      <c r="G31" s="722">
        <v>2008</v>
      </c>
      <c r="H31" s="287"/>
      <c r="I31" s="65">
        <v>16</v>
      </c>
      <c r="J31" s="61" t="s">
        <v>175</v>
      </c>
      <c r="K31" s="62" t="s">
        <v>338</v>
      </c>
      <c r="L31" s="31"/>
      <c r="M31" s="34" t="str">
        <f t="shared" si="0"/>
        <v/>
      </c>
      <c r="N31" s="31"/>
      <c r="O31" s="34" t="str">
        <f t="shared" si="1"/>
        <v/>
      </c>
      <c r="P31" s="56"/>
      <c r="Q31" s="34" t="str">
        <f t="shared" si="2"/>
        <v/>
      </c>
      <c r="R31" s="31"/>
      <c r="S31" s="34" t="str">
        <f t="shared" si="3"/>
        <v/>
      </c>
      <c r="T31" s="31"/>
      <c r="U31" s="34" t="str">
        <f t="shared" si="4"/>
        <v/>
      </c>
      <c r="V31" s="31"/>
      <c r="W31" s="34" t="str">
        <f t="shared" si="5"/>
        <v/>
      </c>
      <c r="X31" s="31"/>
      <c r="Y31" s="34" t="str">
        <f t="shared" si="6"/>
        <v/>
      </c>
      <c r="Z31" s="31"/>
      <c r="AA31" s="34" t="str">
        <f t="shared" si="7"/>
        <v/>
      </c>
      <c r="AB31" s="31"/>
      <c r="AC31" s="34" t="str">
        <f t="shared" si="8"/>
        <v/>
      </c>
      <c r="AD31" s="31"/>
      <c r="AE31" s="34" t="str">
        <f t="shared" si="9"/>
        <v/>
      </c>
      <c r="AF31" s="56"/>
      <c r="AG31" s="34" t="str">
        <f t="shared" si="10"/>
        <v/>
      </c>
      <c r="AH31" s="31"/>
      <c r="AI31" s="34" t="str">
        <f t="shared" si="11"/>
        <v/>
      </c>
      <c r="AJ31" s="31"/>
      <c r="AK31" s="34" t="str">
        <f t="shared" si="12"/>
        <v/>
      </c>
      <c r="AL31" s="31"/>
      <c r="AM31" s="34" t="str">
        <f t="shared" si="13"/>
        <v/>
      </c>
      <c r="AN31" s="31"/>
      <c r="AO31" s="34" t="str">
        <f t="shared" si="14"/>
        <v/>
      </c>
      <c r="AP31" s="31"/>
      <c r="AQ31" s="34" t="str">
        <f t="shared" si="15"/>
        <v/>
      </c>
      <c r="AR31" s="31"/>
      <c r="AS31" s="34" t="str">
        <f t="shared" si="16"/>
        <v/>
      </c>
      <c r="AT31" s="31"/>
      <c r="AU31" s="34" t="str">
        <f t="shared" si="17"/>
        <v/>
      </c>
      <c r="AV31" s="31"/>
      <c r="AW31" s="34" t="str">
        <f t="shared" si="18"/>
        <v/>
      </c>
      <c r="AX31" s="31"/>
      <c r="AY31" s="34" t="str">
        <f t="shared" si="19"/>
        <v/>
      </c>
      <c r="AZ31" s="31"/>
      <c r="BA31" s="34" t="str">
        <f t="shared" si="20"/>
        <v/>
      </c>
      <c r="BB31" s="21" t="s">
        <v>408</v>
      </c>
    </row>
    <row r="32" spans="1:54" ht="20" customHeight="1" x14ac:dyDescent="0.2">
      <c r="A32" s="678"/>
      <c r="B32" s="725"/>
      <c r="C32" s="255"/>
      <c r="D32" s="722" t="s">
        <v>85</v>
      </c>
      <c r="E32" s="723" t="s">
        <v>54</v>
      </c>
      <c r="F32" s="723" t="s">
        <v>55</v>
      </c>
      <c r="G32" s="722">
        <v>1996</v>
      </c>
      <c r="H32" s="287">
        <v>82</v>
      </c>
      <c r="I32" s="65">
        <v>15</v>
      </c>
      <c r="J32" s="61" t="s">
        <v>175</v>
      </c>
      <c r="K32" s="62" t="s">
        <v>177</v>
      </c>
      <c r="L32" s="31"/>
      <c r="M32" s="34" t="str">
        <f t="shared" si="0"/>
        <v/>
      </c>
      <c r="N32" s="31">
        <v>1</v>
      </c>
      <c r="O32" s="34">
        <f t="shared" si="1"/>
        <v>6.666666666666667</v>
      </c>
      <c r="P32" s="56">
        <v>1</v>
      </c>
      <c r="Q32" s="34">
        <f t="shared" si="2"/>
        <v>6.666666666666667</v>
      </c>
      <c r="R32" s="31"/>
      <c r="S32" s="34" t="str">
        <f t="shared" si="3"/>
        <v/>
      </c>
      <c r="T32" s="31"/>
      <c r="U32" s="34" t="str">
        <f t="shared" si="4"/>
        <v/>
      </c>
      <c r="V32" s="31"/>
      <c r="W32" s="34" t="str">
        <f t="shared" si="5"/>
        <v/>
      </c>
      <c r="X32" s="31"/>
      <c r="Y32" s="34" t="str">
        <f t="shared" si="6"/>
        <v/>
      </c>
      <c r="Z32" s="31"/>
      <c r="AA32" s="34" t="str">
        <f t="shared" si="7"/>
        <v/>
      </c>
      <c r="AB32" s="31">
        <v>3</v>
      </c>
      <c r="AC32" s="34">
        <f t="shared" si="8"/>
        <v>20</v>
      </c>
      <c r="AD32" s="31"/>
      <c r="AE32" s="34" t="str">
        <f t="shared" si="9"/>
        <v/>
      </c>
      <c r="AF32" s="56"/>
      <c r="AG32" s="34" t="str">
        <f t="shared" si="10"/>
        <v/>
      </c>
      <c r="AH32" s="31">
        <v>1</v>
      </c>
      <c r="AI32" s="34">
        <f t="shared" si="11"/>
        <v>6.666666666666667</v>
      </c>
      <c r="AJ32" s="31"/>
      <c r="AK32" s="34" t="str">
        <f t="shared" si="12"/>
        <v/>
      </c>
      <c r="AL32" s="31"/>
      <c r="AM32" s="34" t="str">
        <f t="shared" si="13"/>
        <v/>
      </c>
      <c r="AN32" s="31"/>
      <c r="AO32" s="34" t="str">
        <f t="shared" si="14"/>
        <v/>
      </c>
      <c r="AP32" s="31"/>
      <c r="AQ32" s="34" t="str">
        <f t="shared" si="15"/>
        <v/>
      </c>
      <c r="AR32" s="31"/>
      <c r="AS32" s="34" t="str">
        <f t="shared" si="16"/>
        <v/>
      </c>
      <c r="AT32" s="31"/>
      <c r="AU32" s="34" t="str">
        <f t="shared" si="17"/>
        <v/>
      </c>
      <c r="AV32" s="31"/>
      <c r="AW32" s="34" t="str">
        <f t="shared" si="18"/>
        <v/>
      </c>
      <c r="AX32" s="31"/>
      <c r="AY32" s="34" t="str">
        <f t="shared" si="19"/>
        <v/>
      </c>
      <c r="AZ32" s="31"/>
      <c r="BA32" s="34" t="str">
        <f t="shared" si="20"/>
        <v/>
      </c>
      <c r="BB32" s="21" t="s">
        <v>339</v>
      </c>
    </row>
    <row r="33" spans="1:54" ht="20" customHeight="1" x14ac:dyDescent="0.2">
      <c r="A33" s="726"/>
      <c r="B33" s="721"/>
      <c r="C33" s="255"/>
      <c r="D33" s="722" t="s">
        <v>85</v>
      </c>
      <c r="E33" s="723" t="s">
        <v>633</v>
      </c>
      <c r="F33" s="723" t="s">
        <v>514</v>
      </c>
      <c r="G33" s="722">
        <v>1995</v>
      </c>
      <c r="H33" s="287"/>
      <c r="I33" s="701">
        <v>12</v>
      </c>
      <c r="J33" s="232" t="s">
        <v>210</v>
      </c>
      <c r="K33" s="250" t="s">
        <v>209</v>
      </c>
      <c r="L33" s="31"/>
      <c r="M33" s="34"/>
      <c r="N33" s="31"/>
      <c r="O33" s="34"/>
      <c r="P33" s="56"/>
      <c r="Q33" s="34"/>
      <c r="R33" s="31"/>
      <c r="S33" s="34"/>
      <c r="T33" s="31"/>
      <c r="U33" s="34"/>
      <c r="V33" s="31"/>
      <c r="W33" s="34"/>
      <c r="X33" s="31"/>
      <c r="Y33" s="34"/>
      <c r="Z33" s="31"/>
      <c r="AA33" s="34"/>
      <c r="AB33" s="31"/>
      <c r="AC33" s="34"/>
      <c r="AD33" s="31"/>
      <c r="AE33" s="34"/>
      <c r="AF33" s="56"/>
      <c r="AG33" s="34"/>
      <c r="AH33" s="31"/>
      <c r="AI33" s="34"/>
      <c r="AJ33" s="31"/>
      <c r="AK33" s="34"/>
      <c r="AL33" s="31"/>
      <c r="AM33" s="34"/>
      <c r="AN33" s="31"/>
      <c r="AO33" s="34"/>
      <c r="AP33" s="31"/>
      <c r="AQ33" s="34"/>
      <c r="AR33" s="31"/>
      <c r="AS33" s="34"/>
      <c r="AT33" s="31"/>
      <c r="AU33" s="34"/>
      <c r="AV33" s="31"/>
      <c r="AW33" s="34"/>
      <c r="AX33" s="31"/>
      <c r="AY33" s="34"/>
      <c r="AZ33" s="31"/>
      <c r="BA33" s="34"/>
    </row>
    <row r="34" spans="1:54" ht="20" customHeight="1" x14ac:dyDescent="0.2">
      <c r="A34" s="726"/>
      <c r="B34" s="725"/>
      <c r="C34" s="255"/>
      <c r="D34" s="722" t="s">
        <v>85</v>
      </c>
      <c r="E34" s="723" t="s">
        <v>634</v>
      </c>
      <c r="F34" s="723" t="s">
        <v>514</v>
      </c>
      <c r="G34" s="722">
        <v>1999</v>
      </c>
      <c r="H34" s="287"/>
      <c r="I34" s="703">
        <v>34</v>
      </c>
      <c r="J34" s="704" t="s">
        <v>210</v>
      </c>
      <c r="K34" s="705" t="s">
        <v>636</v>
      </c>
      <c r="L34" s="31"/>
      <c r="M34" s="34"/>
      <c r="N34" s="31"/>
      <c r="O34" s="34"/>
      <c r="P34" s="56"/>
      <c r="Q34" s="34"/>
      <c r="R34" s="31"/>
      <c r="S34" s="34"/>
      <c r="T34" s="31"/>
      <c r="U34" s="34"/>
      <c r="V34" s="31"/>
      <c r="W34" s="34"/>
      <c r="X34" s="31"/>
      <c r="Y34" s="34"/>
      <c r="Z34" s="31"/>
      <c r="AA34" s="34"/>
      <c r="AB34" s="31"/>
      <c r="AC34" s="34"/>
      <c r="AD34" s="31"/>
      <c r="AE34" s="34"/>
      <c r="AF34" s="56"/>
      <c r="AG34" s="34"/>
      <c r="AH34" s="31"/>
      <c r="AI34" s="34"/>
      <c r="AJ34" s="31"/>
      <c r="AK34" s="34"/>
      <c r="AL34" s="31"/>
      <c r="AM34" s="34"/>
      <c r="AN34" s="31"/>
      <c r="AO34" s="34"/>
      <c r="AP34" s="31"/>
      <c r="AQ34" s="34"/>
      <c r="AR34" s="31"/>
      <c r="AS34" s="34"/>
      <c r="AT34" s="31"/>
      <c r="AU34" s="34"/>
      <c r="AV34" s="31"/>
      <c r="AW34" s="34"/>
      <c r="AX34" s="31"/>
      <c r="AY34" s="34"/>
      <c r="AZ34" s="31"/>
      <c r="BA34" s="34"/>
    </row>
    <row r="35" spans="1:54" ht="20" customHeight="1" x14ac:dyDescent="0.2">
      <c r="A35" s="726"/>
      <c r="B35" s="725"/>
      <c r="C35" s="255"/>
      <c r="D35" s="722" t="s">
        <v>85</v>
      </c>
      <c r="E35" s="723" t="s">
        <v>635</v>
      </c>
      <c r="F35" s="723" t="s">
        <v>514</v>
      </c>
      <c r="G35" s="722">
        <v>2011</v>
      </c>
      <c r="H35" s="287"/>
      <c r="I35" s="703">
        <v>36</v>
      </c>
      <c r="J35" s="704" t="s">
        <v>210</v>
      </c>
      <c r="K35" s="705" t="s">
        <v>637</v>
      </c>
      <c r="L35" s="31"/>
      <c r="M35" s="34"/>
      <c r="N35" s="31"/>
      <c r="O35" s="34"/>
      <c r="P35" s="56"/>
      <c r="Q35" s="34"/>
      <c r="R35" s="31"/>
      <c r="S35" s="34"/>
      <c r="T35" s="31"/>
      <c r="U35" s="34"/>
      <c r="V35" s="31"/>
      <c r="W35" s="34"/>
      <c r="X35" s="31"/>
      <c r="Y35" s="34"/>
      <c r="Z35" s="31"/>
      <c r="AA35" s="34"/>
      <c r="AB35" s="31"/>
      <c r="AC35" s="34"/>
      <c r="AD35" s="31"/>
      <c r="AE35" s="34"/>
      <c r="AF35" s="56"/>
      <c r="AG35" s="34"/>
      <c r="AH35" s="31"/>
      <c r="AI35" s="34"/>
      <c r="AJ35" s="31"/>
      <c r="AK35" s="34"/>
      <c r="AL35" s="31"/>
      <c r="AM35" s="34"/>
      <c r="AN35" s="31"/>
      <c r="AO35" s="34"/>
      <c r="AP35" s="31"/>
      <c r="AQ35" s="34"/>
      <c r="AR35" s="31"/>
      <c r="AS35" s="34"/>
      <c r="AT35" s="31"/>
      <c r="AU35" s="34"/>
      <c r="AV35" s="31"/>
      <c r="AW35" s="34"/>
      <c r="AX35" s="31"/>
      <c r="AY35" s="34"/>
      <c r="AZ35" s="31"/>
      <c r="BA35" s="34"/>
    </row>
    <row r="36" spans="1:54" ht="20" customHeight="1" x14ac:dyDescent="0.2">
      <c r="A36" s="678"/>
      <c r="B36" s="721"/>
      <c r="C36" s="258"/>
      <c r="D36" s="722" t="s">
        <v>85</v>
      </c>
      <c r="E36" s="723" t="s">
        <v>57</v>
      </c>
      <c r="F36" s="723" t="s">
        <v>58</v>
      </c>
      <c r="G36" s="722">
        <v>2006</v>
      </c>
      <c r="H36" s="287">
        <v>132</v>
      </c>
      <c r="I36" s="65">
        <v>7</v>
      </c>
      <c r="J36" s="61" t="s">
        <v>175</v>
      </c>
      <c r="K36" s="62" t="s">
        <v>168</v>
      </c>
      <c r="L36" s="31"/>
      <c r="M36" s="34" t="str">
        <f t="shared" si="0"/>
        <v/>
      </c>
      <c r="N36" s="31"/>
      <c r="O36" s="34" t="str">
        <f t="shared" si="1"/>
        <v/>
      </c>
      <c r="P36" s="56"/>
      <c r="Q36" s="34" t="str">
        <f t="shared" si="2"/>
        <v/>
      </c>
      <c r="R36" s="31"/>
      <c r="S36" s="34" t="str">
        <f t="shared" si="3"/>
        <v/>
      </c>
      <c r="T36" s="31"/>
      <c r="U36" s="34" t="str">
        <f t="shared" si="4"/>
        <v/>
      </c>
      <c r="V36" s="31"/>
      <c r="W36" s="34" t="str">
        <f t="shared" si="5"/>
        <v/>
      </c>
      <c r="X36" s="31"/>
      <c r="Y36" s="34" t="str">
        <f t="shared" si="6"/>
        <v/>
      </c>
      <c r="Z36" s="31"/>
      <c r="AA36" s="34" t="str">
        <f t="shared" si="7"/>
        <v/>
      </c>
      <c r="AB36" s="31"/>
      <c r="AC36" s="34" t="str">
        <f t="shared" si="8"/>
        <v/>
      </c>
      <c r="AD36" s="31"/>
      <c r="AE36" s="34" t="str">
        <f t="shared" si="9"/>
        <v/>
      </c>
      <c r="AF36" s="56"/>
      <c r="AG36" s="34" t="str">
        <f t="shared" si="10"/>
        <v/>
      </c>
      <c r="AH36" s="31"/>
      <c r="AI36" s="34" t="str">
        <f t="shared" si="11"/>
        <v/>
      </c>
      <c r="AJ36" s="31"/>
      <c r="AK36" s="34" t="str">
        <f t="shared" si="12"/>
        <v/>
      </c>
      <c r="AL36" s="31"/>
      <c r="AM36" s="34" t="str">
        <f t="shared" si="13"/>
        <v/>
      </c>
      <c r="AN36" s="31"/>
      <c r="AO36" s="34" t="str">
        <f t="shared" si="14"/>
        <v/>
      </c>
      <c r="AP36" s="31"/>
      <c r="AQ36" s="34" t="str">
        <f t="shared" si="15"/>
        <v/>
      </c>
      <c r="AR36" s="31"/>
      <c r="AS36" s="34" t="str">
        <f t="shared" si="16"/>
        <v/>
      </c>
      <c r="AT36" s="31"/>
      <c r="AU36" s="34" t="str">
        <f t="shared" si="17"/>
        <v/>
      </c>
      <c r="AV36" s="31"/>
      <c r="AW36" s="34" t="str">
        <f t="shared" si="18"/>
        <v/>
      </c>
      <c r="AX36" s="31"/>
      <c r="AY36" s="34" t="str">
        <f t="shared" si="19"/>
        <v/>
      </c>
      <c r="AZ36" s="31"/>
      <c r="BA36" s="34" t="str">
        <f t="shared" si="20"/>
        <v/>
      </c>
      <c r="BB36" s="21" t="s">
        <v>473</v>
      </c>
    </row>
    <row r="37" spans="1:54" ht="20" customHeight="1" x14ac:dyDescent="0.2">
      <c r="A37" s="678"/>
      <c r="B37" s="725"/>
      <c r="C37" s="253"/>
      <c r="D37" s="722" t="s">
        <v>85</v>
      </c>
      <c r="E37" s="723" t="s">
        <v>59</v>
      </c>
      <c r="F37" s="723" t="s">
        <v>60</v>
      </c>
      <c r="G37" s="722">
        <v>2009</v>
      </c>
      <c r="H37" s="287">
        <v>49</v>
      </c>
      <c r="I37" s="65">
        <v>22</v>
      </c>
      <c r="J37" s="61" t="s">
        <v>175</v>
      </c>
      <c r="K37" s="62" t="s">
        <v>188</v>
      </c>
      <c r="L37" s="31"/>
      <c r="M37" s="34" t="str">
        <f t="shared" si="0"/>
        <v/>
      </c>
      <c r="N37" s="31"/>
      <c r="O37" s="34" t="str">
        <f t="shared" si="1"/>
        <v/>
      </c>
      <c r="P37" s="56"/>
      <c r="Q37" s="34" t="str">
        <f t="shared" si="2"/>
        <v/>
      </c>
      <c r="R37" s="31"/>
      <c r="S37" s="34" t="str">
        <f t="shared" si="3"/>
        <v/>
      </c>
      <c r="T37" s="31"/>
      <c r="U37" s="34" t="str">
        <f t="shared" si="4"/>
        <v/>
      </c>
      <c r="V37" s="31"/>
      <c r="W37" s="34" t="str">
        <f t="shared" si="5"/>
        <v/>
      </c>
      <c r="X37" s="31"/>
      <c r="Y37" s="34" t="str">
        <f t="shared" si="6"/>
        <v/>
      </c>
      <c r="Z37" s="31"/>
      <c r="AA37" s="34" t="str">
        <f t="shared" si="7"/>
        <v/>
      </c>
      <c r="AB37" s="31"/>
      <c r="AC37" s="34" t="str">
        <f t="shared" si="8"/>
        <v/>
      </c>
      <c r="AD37" s="31"/>
      <c r="AE37" s="34" t="str">
        <f t="shared" si="9"/>
        <v/>
      </c>
      <c r="AF37" s="56"/>
      <c r="AG37" s="34" t="str">
        <f t="shared" si="10"/>
        <v/>
      </c>
      <c r="AH37" s="31"/>
      <c r="AI37" s="34" t="str">
        <f t="shared" si="11"/>
        <v/>
      </c>
      <c r="AJ37" s="31"/>
      <c r="AK37" s="34" t="str">
        <f t="shared" si="12"/>
        <v/>
      </c>
      <c r="AL37" s="31"/>
      <c r="AM37" s="34" t="str">
        <f t="shared" si="13"/>
        <v/>
      </c>
      <c r="AN37" s="31"/>
      <c r="AO37" s="34" t="str">
        <f t="shared" si="14"/>
        <v/>
      </c>
      <c r="AP37" s="31"/>
      <c r="AQ37" s="34" t="str">
        <f t="shared" si="15"/>
        <v/>
      </c>
      <c r="AR37" s="31"/>
      <c r="AS37" s="34" t="str">
        <f t="shared" si="16"/>
        <v/>
      </c>
      <c r="AT37" s="31"/>
      <c r="AU37" s="34" t="str">
        <f t="shared" si="17"/>
        <v/>
      </c>
      <c r="AV37" s="31"/>
      <c r="AW37" s="34" t="str">
        <f t="shared" si="18"/>
        <v/>
      </c>
      <c r="AX37" s="31"/>
      <c r="AY37" s="34" t="str">
        <f t="shared" si="19"/>
        <v/>
      </c>
      <c r="AZ37" s="31"/>
      <c r="BA37" s="34" t="str">
        <f t="shared" si="20"/>
        <v/>
      </c>
      <c r="BB37" s="21" t="s">
        <v>401</v>
      </c>
    </row>
    <row r="38" spans="1:54" ht="20" customHeight="1" x14ac:dyDescent="0.2">
      <c r="A38" s="726"/>
      <c r="B38" s="725"/>
      <c r="C38" s="253"/>
      <c r="D38" s="722" t="s">
        <v>85</v>
      </c>
      <c r="E38" s="723" t="s">
        <v>517</v>
      </c>
      <c r="F38" s="723" t="s">
        <v>638</v>
      </c>
      <c r="G38" s="722">
        <v>2012</v>
      </c>
      <c r="H38" s="287"/>
      <c r="I38" s="701">
        <v>18</v>
      </c>
      <c r="J38" s="232" t="s">
        <v>519</v>
      </c>
      <c r="K38" s="250"/>
      <c r="L38" s="31"/>
      <c r="M38" s="34"/>
      <c r="N38" s="31"/>
      <c r="O38" s="34"/>
      <c r="P38" s="56"/>
      <c r="Q38" s="34"/>
      <c r="R38" s="31"/>
      <c r="S38" s="34"/>
      <c r="T38" s="31"/>
      <c r="U38" s="34"/>
      <c r="V38" s="31"/>
      <c r="W38" s="34"/>
      <c r="X38" s="31"/>
      <c r="Y38" s="34"/>
      <c r="Z38" s="31"/>
      <c r="AA38" s="34"/>
      <c r="AB38" s="31"/>
      <c r="AC38" s="34"/>
      <c r="AD38" s="31"/>
      <c r="AE38" s="34"/>
      <c r="AF38" s="56"/>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678"/>
      <c r="B39" s="725"/>
      <c r="C39" s="255"/>
      <c r="D39" s="722" t="s">
        <v>85</v>
      </c>
      <c r="E39" s="723" t="s">
        <v>270</v>
      </c>
      <c r="F39" s="723" t="s">
        <v>271</v>
      </c>
      <c r="G39" s="722">
        <v>2014</v>
      </c>
      <c r="H39" s="287"/>
      <c r="I39" s="65">
        <v>39</v>
      </c>
      <c r="J39" s="61" t="s">
        <v>402</v>
      </c>
      <c r="K39" s="62" t="s">
        <v>338</v>
      </c>
      <c r="L39" s="31"/>
      <c r="M39" s="34" t="str">
        <f t="shared" si="0"/>
        <v/>
      </c>
      <c r="N39" s="31">
        <v>22</v>
      </c>
      <c r="O39" s="34">
        <f t="shared" si="1"/>
        <v>56.410256410256409</v>
      </c>
      <c r="P39" s="56"/>
      <c r="Q39" s="34" t="str">
        <f t="shared" si="2"/>
        <v/>
      </c>
      <c r="R39" s="31"/>
      <c r="S39" s="34" t="str">
        <f t="shared" si="3"/>
        <v/>
      </c>
      <c r="T39" s="31">
        <v>22</v>
      </c>
      <c r="U39" s="34">
        <f t="shared" si="4"/>
        <v>56.410256410256409</v>
      </c>
      <c r="V39" s="31">
        <v>23</v>
      </c>
      <c r="W39" s="34">
        <f t="shared" si="5"/>
        <v>58.974358974358978</v>
      </c>
      <c r="X39" s="31"/>
      <c r="Y39" s="34" t="str">
        <f t="shared" si="6"/>
        <v/>
      </c>
      <c r="Z39" s="31"/>
      <c r="AA39" s="34" t="str">
        <f t="shared" si="7"/>
        <v/>
      </c>
      <c r="AB39" s="31"/>
      <c r="AC39" s="34" t="str">
        <f t="shared" si="8"/>
        <v/>
      </c>
      <c r="AD39" s="31">
        <v>8</v>
      </c>
      <c r="AE39" s="34">
        <f t="shared" si="9"/>
        <v>20.512820512820511</v>
      </c>
      <c r="AF39" s="56"/>
      <c r="AG39" s="34" t="str">
        <f t="shared" si="10"/>
        <v/>
      </c>
      <c r="AH39" s="31"/>
      <c r="AI39" s="34" t="str">
        <f t="shared" si="11"/>
        <v/>
      </c>
      <c r="AJ39" s="31"/>
      <c r="AK39" s="34" t="str">
        <f t="shared" si="12"/>
        <v/>
      </c>
      <c r="AL39" s="31">
        <v>3</v>
      </c>
      <c r="AM39" s="34">
        <f t="shared" si="13"/>
        <v>7.6923076923076925</v>
      </c>
      <c r="AN39" s="31"/>
      <c r="AO39" s="34" t="str">
        <f t="shared" si="14"/>
        <v/>
      </c>
      <c r="AP39" s="31"/>
      <c r="AQ39" s="34" t="str">
        <f t="shared" si="15"/>
        <v/>
      </c>
      <c r="AR39" s="31"/>
      <c r="AS39" s="34" t="str">
        <f t="shared" si="16"/>
        <v/>
      </c>
      <c r="AT39" s="31"/>
      <c r="AU39" s="34" t="str">
        <f t="shared" si="17"/>
        <v/>
      </c>
      <c r="AV39" s="31"/>
      <c r="AW39" s="34" t="str">
        <f t="shared" si="18"/>
        <v/>
      </c>
      <c r="AX39" s="31"/>
      <c r="AY39" s="34" t="str">
        <f t="shared" si="19"/>
        <v/>
      </c>
      <c r="AZ39" s="31"/>
      <c r="BA39" s="34" t="str">
        <f t="shared" si="20"/>
        <v/>
      </c>
      <c r="BB39" s="21" t="s">
        <v>344</v>
      </c>
    </row>
    <row r="40" spans="1:54" ht="20" customHeight="1" x14ac:dyDescent="0.2">
      <c r="A40" s="678"/>
      <c r="B40" s="725"/>
      <c r="C40" s="722"/>
      <c r="D40" s="722" t="s">
        <v>85</v>
      </c>
      <c r="E40" s="723" t="s">
        <v>272</v>
      </c>
      <c r="F40" s="723" t="s">
        <v>273</v>
      </c>
      <c r="G40" s="722">
        <v>2015</v>
      </c>
      <c r="H40" s="287"/>
      <c r="I40" s="65">
        <v>8</v>
      </c>
      <c r="J40" s="61" t="s">
        <v>213</v>
      </c>
      <c r="K40" s="62" t="s">
        <v>345</v>
      </c>
      <c r="L40" s="31"/>
      <c r="M40" s="34" t="str">
        <f t="shared" si="0"/>
        <v/>
      </c>
      <c r="N40" s="31"/>
      <c r="O40" s="34" t="str">
        <f t="shared" si="1"/>
        <v/>
      </c>
      <c r="P40" s="56"/>
      <c r="Q40" s="34" t="str">
        <f t="shared" si="2"/>
        <v/>
      </c>
      <c r="R40" s="31"/>
      <c r="S40" s="34" t="str">
        <f t="shared" si="3"/>
        <v/>
      </c>
      <c r="T40" s="31">
        <v>2</v>
      </c>
      <c r="U40" s="34">
        <f t="shared" si="4"/>
        <v>25</v>
      </c>
      <c r="V40" s="31"/>
      <c r="W40" s="34" t="str">
        <f t="shared" si="5"/>
        <v/>
      </c>
      <c r="X40" s="31"/>
      <c r="Y40" s="34" t="str">
        <f t="shared" si="6"/>
        <v/>
      </c>
      <c r="Z40" s="31"/>
      <c r="AA40" s="34" t="str">
        <f t="shared" si="7"/>
        <v/>
      </c>
      <c r="AB40" s="31"/>
      <c r="AC40" s="34" t="str">
        <f t="shared" si="8"/>
        <v/>
      </c>
      <c r="AD40" s="31"/>
      <c r="AE40" s="34" t="str">
        <f t="shared" si="9"/>
        <v/>
      </c>
      <c r="AF40" s="56"/>
      <c r="AG40" s="34" t="str">
        <f t="shared" si="10"/>
        <v/>
      </c>
      <c r="AH40" s="31"/>
      <c r="AI40" s="34" t="str">
        <f t="shared" si="11"/>
        <v/>
      </c>
      <c r="AJ40" s="31"/>
      <c r="AK40" s="34" t="str">
        <f t="shared" si="12"/>
        <v/>
      </c>
      <c r="AL40" s="31"/>
      <c r="AM40" s="34" t="str">
        <f t="shared" si="13"/>
        <v/>
      </c>
      <c r="AN40" s="31"/>
      <c r="AO40" s="34" t="str">
        <f t="shared" si="14"/>
        <v/>
      </c>
      <c r="AP40" s="31"/>
      <c r="AQ40" s="34" t="str">
        <f t="shared" si="15"/>
        <v/>
      </c>
      <c r="AR40" s="31"/>
      <c r="AS40" s="34" t="str">
        <f t="shared" si="16"/>
        <v/>
      </c>
      <c r="AT40" s="31"/>
      <c r="AU40" s="34" t="str">
        <f t="shared" si="17"/>
        <v/>
      </c>
      <c r="AV40" s="31"/>
      <c r="AW40" s="34" t="str">
        <f t="shared" si="18"/>
        <v/>
      </c>
      <c r="AX40" s="31"/>
      <c r="AY40" s="34" t="str">
        <f t="shared" si="19"/>
        <v/>
      </c>
      <c r="AZ40" s="31"/>
      <c r="BA40" s="34" t="str">
        <f t="shared" si="20"/>
        <v/>
      </c>
      <c r="BB40" s="21" t="s">
        <v>403</v>
      </c>
    </row>
    <row r="41" spans="1:54" ht="20" customHeight="1" x14ac:dyDescent="0.2">
      <c r="A41" s="678"/>
      <c r="B41" s="721"/>
      <c r="C41" s="255"/>
      <c r="D41" s="722" t="s">
        <v>85</v>
      </c>
      <c r="E41" s="723" t="s">
        <v>274</v>
      </c>
      <c r="F41" s="723" t="s">
        <v>275</v>
      </c>
      <c r="G41" s="722">
        <v>2001</v>
      </c>
      <c r="H41" s="287"/>
      <c r="I41" s="65">
        <v>9</v>
      </c>
      <c r="J41" s="61"/>
      <c r="K41" s="62" t="s">
        <v>346</v>
      </c>
      <c r="L41" s="31"/>
      <c r="M41" s="34" t="str">
        <f t="shared" si="0"/>
        <v/>
      </c>
      <c r="N41" s="31"/>
      <c r="O41" s="34" t="str">
        <f t="shared" si="1"/>
        <v/>
      </c>
      <c r="P41" s="38"/>
      <c r="Q41" s="37" t="str">
        <f t="shared" si="2"/>
        <v/>
      </c>
      <c r="R41" s="31"/>
      <c r="S41" s="34" t="str">
        <f t="shared" si="3"/>
        <v/>
      </c>
      <c r="T41" s="31"/>
      <c r="U41" s="34" t="str">
        <f t="shared" si="4"/>
        <v/>
      </c>
      <c r="V41" s="31"/>
      <c r="W41" s="34" t="str">
        <f t="shared" si="5"/>
        <v/>
      </c>
      <c r="X41" s="31"/>
      <c r="Y41" s="34" t="str">
        <f t="shared" si="6"/>
        <v/>
      </c>
      <c r="Z41" s="31"/>
      <c r="AA41" s="34" t="str">
        <f t="shared" si="7"/>
        <v/>
      </c>
      <c r="AB41" s="31"/>
      <c r="AC41" s="34" t="str">
        <f t="shared" si="8"/>
        <v/>
      </c>
      <c r="AD41" s="31"/>
      <c r="AE41" s="34" t="str">
        <f t="shared" si="9"/>
        <v/>
      </c>
      <c r="AF41" s="56"/>
      <c r="AG41" s="34" t="str">
        <f t="shared" si="10"/>
        <v/>
      </c>
      <c r="AH41" s="31"/>
      <c r="AI41" s="34" t="str">
        <f t="shared" si="11"/>
        <v/>
      </c>
      <c r="AJ41" s="31"/>
      <c r="AK41" s="34" t="str">
        <f t="shared" si="12"/>
        <v/>
      </c>
      <c r="AL41" s="31"/>
      <c r="AM41" s="34" t="str">
        <f t="shared" si="13"/>
        <v/>
      </c>
      <c r="AN41" s="31"/>
      <c r="AO41" s="34" t="str">
        <f t="shared" si="14"/>
        <v/>
      </c>
      <c r="AP41" s="31"/>
      <c r="AQ41" s="34" t="str">
        <f t="shared" si="15"/>
        <v/>
      </c>
      <c r="AR41" s="31"/>
      <c r="AS41" s="34" t="str">
        <f t="shared" si="16"/>
        <v/>
      </c>
      <c r="AT41" s="31"/>
      <c r="AU41" s="34" t="str">
        <f t="shared" si="17"/>
        <v/>
      </c>
      <c r="AV41" s="31"/>
      <c r="AW41" s="34" t="str">
        <f t="shared" si="18"/>
        <v/>
      </c>
      <c r="AX41" s="31"/>
      <c r="AY41" s="34" t="str">
        <f t="shared" si="19"/>
        <v/>
      </c>
      <c r="AZ41" s="31"/>
      <c r="BA41" s="34" t="str">
        <f t="shared" si="20"/>
        <v/>
      </c>
      <c r="BB41" s="21" t="s">
        <v>347</v>
      </c>
    </row>
    <row r="42" spans="1:54" ht="20" customHeight="1" x14ac:dyDescent="0.2">
      <c r="A42" s="678"/>
      <c r="B42" s="725"/>
      <c r="C42" s="255"/>
      <c r="D42" s="722" t="s">
        <v>85</v>
      </c>
      <c r="E42" s="723" t="s">
        <v>63</v>
      </c>
      <c r="F42" s="723" t="s">
        <v>64</v>
      </c>
      <c r="G42" s="722">
        <v>2012</v>
      </c>
      <c r="H42" s="287">
        <v>83</v>
      </c>
      <c r="I42" s="65">
        <v>70</v>
      </c>
      <c r="J42" s="61" t="s">
        <v>181</v>
      </c>
      <c r="K42" s="62" t="s">
        <v>190</v>
      </c>
      <c r="L42" s="31"/>
      <c r="M42" s="34" t="str">
        <f t="shared" si="0"/>
        <v/>
      </c>
      <c r="N42" s="31"/>
      <c r="O42" s="34" t="str">
        <f t="shared" si="1"/>
        <v/>
      </c>
      <c r="P42" s="56">
        <v>31</v>
      </c>
      <c r="Q42" s="34">
        <f t="shared" si="2"/>
        <v>44.285714285714285</v>
      </c>
      <c r="R42" s="31"/>
      <c r="S42" s="34" t="str">
        <f t="shared" si="3"/>
        <v/>
      </c>
      <c r="T42" s="31">
        <v>9</v>
      </c>
      <c r="U42" s="34">
        <f t="shared" si="4"/>
        <v>12.857142857142856</v>
      </c>
      <c r="V42" s="31">
        <v>8</v>
      </c>
      <c r="W42" s="34">
        <f t="shared" si="5"/>
        <v>11.428571428571429</v>
      </c>
      <c r="X42" s="31"/>
      <c r="Y42" s="34" t="str">
        <f t="shared" si="6"/>
        <v/>
      </c>
      <c r="Z42" s="31"/>
      <c r="AA42" s="34" t="str">
        <f t="shared" si="7"/>
        <v/>
      </c>
      <c r="AB42" s="31">
        <v>10</v>
      </c>
      <c r="AC42" s="34">
        <f t="shared" si="8"/>
        <v>14.285714285714285</v>
      </c>
      <c r="AD42" s="31">
        <v>1</v>
      </c>
      <c r="AE42" s="34">
        <f t="shared" si="9"/>
        <v>1.4285714285714286</v>
      </c>
      <c r="AF42" s="56">
        <v>1</v>
      </c>
      <c r="AG42" s="34">
        <f t="shared" si="10"/>
        <v>1.4285714285714286</v>
      </c>
      <c r="AH42" s="31"/>
      <c r="AI42" s="34" t="str">
        <f t="shared" si="11"/>
        <v/>
      </c>
      <c r="AJ42" s="31"/>
      <c r="AK42" s="34" t="str">
        <f t="shared" si="12"/>
        <v/>
      </c>
      <c r="AL42" s="31">
        <v>3</v>
      </c>
      <c r="AM42" s="34">
        <f t="shared" si="13"/>
        <v>4.2857142857142856</v>
      </c>
      <c r="AN42" s="31"/>
      <c r="AO42" s="34" t="str">
        <f t="shared" si="14"/>
        <v/>
      </c>
      <c r="AP42" s="31"/>
      <c r="AQ42" s="34" t="str">
        <f t="shared" si="15"/>
        <v/>
      </c>
      <c r="AR42" s="31"/>
      <c r="AS42" s="34" t="str">
        <f t="shared" si="16"/>
        <v/>
      </c>
      <c r="AT42" s="31"/>
      <c r="AU42" s="34" t="str">
        <f t="shared" si="17"/>
        <v/>
      </c>
      <c r="AV42" s="31"/>
      <c r="AW42" s="34" t="str">
        <f t="shared" si="18"/>
        <v/>
      </c>
      <c r="AX42" s="31"/>
      <c r="AY42" s="34" t="str">
        <f t="shared" si="19"/>
        <v/>
      </c>
      <c r="AZ42" s="31"/>
      <c r="BA42" s="34" t="str">
        <f t="shared" si="20"/>
        <v/>
      </c>
      <c r="BB42" s="21" t="s">
        <v>409</v>
      </c>
    </row>
    <row r="43" spans="1:54" ht="20" customHeight="1" x14ac:dyDescent="0.2">
      <c r="A43" s="678"/>
      <c r="B43" s="725"/>
      <c r="C43" s="258"/>
      <c r="D43" s="722" t="s">
        <v>85</v>
      </c>
      <c r="E43" s="723" t="s">
        <v>69</v>
      </c>
      <c r="F43" s="723" t="s">
        <v>70</v>
      </c>
      <c r="G43" s="722">
        <v>2004</v>
      </c>
      <c r="H43" s="287">
        <v>61</v>
      </c>
      <c r="I43" s="65">
        <v>15</v>
      </c>
      <c r="J43" s="61" t="s">
        <v>183</v>
      </c>
      <c r="K43" s="62" t="s">
        <v>191</v>
      </c>
      <c r="L43" s="31"/>
      <c r="M43" s="34" t="str">
        <f t="shared" si="0"/>
        <v/>
      </c>
      <c r="N43" s="31"/>
      <c r="O43" s="34" t="str">
        <f t="shared" si="1"/>
        <v/>
      </c>
      <c r="P43" s="56">
        <v>13</v>
      </c>
      <c r="Q43" s="34">
        <f t="shared" si="2"/>
        <v>86.666666666666671</v>
      </c>
      <c r="R43" s="31"/>
      <c r="S43" s="34" t="str">
        <f t="shared" si="3"/>
        <v/>
      </c>
      <c r="T43" s="31"/>
      <c r="U43" s="34" t="str">
        <f t="shared" si="4"/>
        <v/>
      </c>
      <c r="V43" s="31"/>
      <c r="W43" s="34" t="str">
        <f t="shared" si="5"/>
        <v/>
      </c>
      <c r="X43" s="31"/>
      <c r="Y43" s="34" t="str">
        <f t="shared" si="6"/>
        <v/>
      </c>
      <c r="Z43" s="31"/>
      <c r="AA43" s="34" t="str">
        <f t="shared" si="7"/>
        <v/>
      </c>
      <c r="AB43" s="31"/>
      <c r="AC43" s="34" t="str">
        <f t="shared" si="8"/>
        <v/>
      </c>
      <c r="AD43" s="31"/>
      <c r="AE43" s="34" t="str">
        <f t="shared" si="9"/>
        <v/>
      </c>
      <c r="AF43" s="56"/>
      <c r="AG43" s="34" t="str">
        <f t="shared" si="10"/>
        <v/>
      </c>
      <c r="AH43" s="31"/>
      <c r="AI43" s="34" t="str">
        <f t="shared" si="11"/>
        <v/>
      </c>
      <c r="AJ43" s="31"/>
      <c r="AK43" s="34" t="str">
        <f t="shared" si="12"/>
        <v/>
      </c>
      <c r="AL43" s="31"/>
      <c r="AM43" s="34" t="str">
        <f t="shared" si="13"/>
        <v/>
      </c>
      <c r="AN43" s="31"/>
      <c r="AO43" s="34" t="str">
        <f t="shared" si="14"/>
        <v/>
      </c>
      <c r="AP43" s="31"/>
      <c r="AQ43" s="34" t="str">
        <f t="shared" si="15"/>
        <v/>
      </c>
      <c r="AR43" s="31"/>
      <c r="AS43" s="34" t="str">
        <f t="shared" si="16"/>
        <v/>
      </c>
      <c r="AT43" s="31"/>
      <c r="AU43" s="34" t="str">
        <f t="shared" si="17"/>
        <v/>
      </c>
      <c r="AV43" s="31"/>
      <c r="AW43" s="34" t="str">
        <f t="shared" si="18"/>
        <v/>
      </c>
      <c r="AX43" s="31"/>
      <c r="AY43" s="34" t="str">
        <f t="shared" si="19"/>
        <v/>
      </c>
      <c r="AZ43" s="31"/>
      <c r="BA43" s="34" t="str">
        <f t="shared" si="20"/>
        <v/>
      </c>
      <c r="BB43" s="21" t="s">
        <v>410</v>
      </c>
    </row>
    <row r="44" spans="1:54" ht="20" customHeight="1" x14ac:dyDescent="0.2">
      <c r="A44" s="678"/>
      <c r="B44" s="725"/>
      <c r="C44" s="253"/>
      <c r="D44" s="727" t="s">
        <v>85</v>
      </c>
      <c r="E44" s="728" t="s">
        <v>71</v>
      </c>
      <c r="F44" s="728" t="s">
        <v>70</v>
      </c>
      <c r="G44" s="727">
        <v>2004</v>
      </c>
      <c r="H44" s="729">
        <v>45</v>
      </c>
      <c r="I44" s="65">
        <v>15</v>
      </c>
      <c r="J44" s="61" t="s">
        <v>183</v>
      </c>
      <c r="K44" s="62" t="s">
        <v>191</v>
      </c>
      <c r="L44" s="31"/>
      <c r="M44" s="34" t="str">
        <f t="shared" si="0"/>
        <v/>
      </c>
      <c r="N44" s="31"/>
      <c r="O44" s="34" t="str">
        <f t="shared" si="1"/>
        <v/>
      </c>
      <c r="P44" s="56"/>
      <c r="Q44" s="34" t="str">
        <f t="shared" si="2"/>
        <v/>
      </c>
      <c r="R44" s="31"/>
      <c r="S44" s="34" t="str">
        <f t="shared" si="3"/>
        <v/>
      </c>
      <c r="T44" s="31"/>
      <c r="U44" s="34" t="str">
        <f t="shared" si="4"/>
        <v/>
      </c>
      <c r="V44" s="31"/>
      <c r="W44" s="34" t="str">
        <f t="shared" si="5"/>
        <v/>
      </c>
      <c r="X44" s="31"/>
      <c r="Y44" s="34" t="str">
        <f t="shared" si="6"/>
        <v/>
      </c>
      <c r="Z44" s="31"/>
      <c r="AA44" s="34" t="str">
        <f t="shared" si="7"/>
        <v/>
      </c>
      <c r="AB44" s="31"/>
      <c r="AC44" s="34" t="str">
        <f t="shared" si="8"/>
        <v/>
      </c>
      <c r="AD44" s="31"/>
      <c r="AE44" s="34" t="str">
        <f t="shared" si="9"/>
        <v/>
      </c>
      <c r="AF44" s="56"/>
      <c r="AG44" s="34" t="str">
        <f t="shared" si="10"/>
        <v/>
      </c>
      <c r="AH44" s="31"/>
      <c r="AI44" s="34" t="str">
        <f t="shared" si="11"/>
        <v/>
      </c>
      <c r="AJ44" s="31"/>
      <c r="AK44" s="34" t="str">
        <f t="shared" si="12"/>
        <v/>
      </c>
      <c r="AL44" s="31"/>
      <c r="AM44" s="34" t="str">
        <f t="shared" si="13"/>
        <v/>
      </c>
      <c r="AN44" s="31"/>
      <c r="AO44" s="34" t="str">
        <f t="shared" si="14"/>
        <v/>
      </c>
      <c r="AP44" s="31"/>
      <c r="AQ44" s="34" t="str">
        <f t="shared" si="15"/>
        <v/>
      </c>
      <c r="AR44" s="31"/>
      <c r="AS44" s="34" t="str">
        <f t="shared" si="16"/>
        <v/>
      </c>
      <c r="AT44" s="31"/>
      <c r="AU44" s="34" t="str">
        <f t="shared" si="17"/>
        <v/>
      </c>
      <c r="AV44" s="31"/>
      <c r="AW44" s="34" t="str">
        <f t="shared" si="18"/>
        <v/>
      </c>
      <c r="AX44" s="31"/>
      <c r="AY44" s="34" t="str">
        <f t="shared" si="19"/>
        <v/>
      </c>
      <c r="AZ44" s="31"/>
      <c r="BA44" s="34" t="str">
        <f t="shared" si="20"/>
        <v/>
      </c>
      <c r="BB44" s="21" t="s">
        <v>411</v>
      </c>
    </row>
    <row r="45" spans="1:54" ht="20" customHeight="1" x14ac:dyDescent="0.2">
      <c r="A45" s="678"/>
      <c r="B45" s="725"/>
      <c r="C45" s="253"/>
      <c r="D45" s="722" t="s">
        <v>85</v>
      </c>
      <c r="E45" s="723" t="s">
        <v>277</v>
      </c>
      <c r="F45" s="723" t="s">
        <v>278</v>
      </c>
      <c r="G45" s="722">
        <v>2013</v>
      </c>
      <c r="H45" s="287"/>
      <c r="I45" s="65">
        <v>23</v>
      </c>
      <c r="J45" s="61"/>
      <c r="K45" s="62"/>
      <c r="L45" s="31"/>
      <c r="M45" s="34" t="str">
        <f t="shared" si="0"/>
        <v/>
      </c>
      <c r="N45" s="31"/>
      <c r="O45" s="34" t="str">
        <f t="shared" si="1"/>
        <v/>
      </c>
      <c r="P45" s="56"/>
      <c r="Q45" s="34" t="str">
        <f t="shared" si="2"/>
        <v/>
      </c>
      <c r="R45" s="31"/>
      <c r="S45" s="34" t="str">
        <f t="shared" si="3"/>
        <v/>
      </c>
      <c r="T45" s="31"/>
      <c r="U45" s="34" t="str">
        <f t="shared" si="4"/>
        <v/>
      </c>
      <c r="V45" s="31"/>
      <c r="W45" s="34" t="str">
        <f t="shared" si="5"/>
        <v/>
      </c>
      <c r="X45" s="31"/>
      <c r="Y45" s="34" t="str">
        <f t="shared" si="6"/>
        <v/>
      </c>
      <c r="Z45" s="31"/>
      <c r="AA45" s="34" t="str">
        <f t="shared" si="7"/>
        <v/>
      </c>
      <c r="AB45" s="31"/>
      <c r="AC45" s="34" t="str">
        <f t="shared" si="8"/>
        <v/>
      </c>
      <c r="AD45" s="31"/>
      <c r="AE45" s="34" t="str">
        <f t="shared" si="9"/>
        <v/>
      </c>
      <c r="AF45" s="56"/>
      <c r="AG45" s="34" t="str">
        <f t="shared" si="10"/>
        <v/>
      </c>
      <c r="AH45" s="31"/>
      <c r="AI45" s="34" t="str">
        <f t="shared" si="11"/>
        <v/>
      </c>
      <c r="AJ45" s="31"/>
      <c r="AK45" s="34" t="str">
        <f t="shared" si="12"/>
        <v/>
      </c>
      <c r="AL45" s="31"/>
      <c r="AM45" s="34" t="str">
        <f t="shared" si="13"/>
        <v/>
      </c>
      <c r="AN45" s="31"/>
      <c r="AO45" s="34" t="str">
        <f t="shared" si="14"/>
        <v/>
      </c>
      <c r="AP45" s="31"/>
      <c r="AQ45" s="34" t="str">
        <f t="shared" si="15"/>
        <v/>
      </c>
      <c r="AR45" s="31"/>
      <c r="AS45" s="34" t="str">
        <f t="shared" si="16"/>
        <v/>
      </c>
      <c r="AT45" s="31"/>
      <c r="AU45" s="34" t="str">
        <f t="shared" si="17"/>
        <v/>
      </c>
      <c r="AV45" s="31"/>
      <c r="AW45" s="34" t="str">
        <f t="shared" si="18"/>
        <v/>
      </c>
      <c r="AX45" s="31"/>
      <c r="AY45" s="34" t="str">
        <f t="shared" si="19"/>
        <v/>
      </c>
      <c r="AZ45" s="31"/>
      <c r="BA45" s="34" t="str">
        <f t="shared" si="20"/>
        <v/>
      </c>
      <c r="BB45" s="21" t="s">
        <v>412</v>
      </c>
    </row>
    <row r="46" spans="1:54" ht="20" customHeight="1" x14ac:dyDescent="0.2">
      <c r="A46" s="726"/>
      <c r="B46" s="721"/>
      <c r="C46" s="253"/>
      <c r="D46" s="722" t="s">
        <v>85</v>
      </c>
      <c r="E46" s="723" t="s">
        <v>639</v>
      </c>
      <c r="F46" s="723" t="s">
        <v>640</v>
      </c>
      <c r="G46" s="722">
        <v>2005</v>
      </c>
      <c r="H46" s="287"/>
      <c r="I46" s="701">
        <v>8</v>
      </c>
      <c r="J46" s="232" t="s">
        <v>641</v>
      </c>
      <c r="K46" s="250"/>
      <c r="L46" s="31"/>
      <c r="M46" s="34"/>
      <c r="N46" s="31"/>
      <c r="O46" s="34"/>
      <c r="P46" s="56"/>
      <c r="Q46" s="34"/>
      <c r="R46" s="31"/>
      <c r="S46" s="34"/>
      <c r="T46" s="31"/>
      <c r="U46" s="34"/>
      <c r="V46" s="31"/>
      <c r="W46" s="34"/>
      <c r="X46" s="31"/>
      <c r="Y46" s="34"/>
      <c r="Z46" s="31"/>
      <c r="AA46" s="34"/>
      <c r="AB46" s="31"/>
      <c r="AC46" s="34"/>
      <c r="AD46" s="31"/>
      <c r="AE46" s="34"/>
      <c r="AF46" s="56"/>
      <c r="AG46" s="34"/>
      <c r="AH46" s="31"/>
      <c r="AI46" s="34"/>
      <c r="AJ46" s="31"/>
      <c r="AK46" s="34"/>
      <c r="AL46" s="31"/>
      <c r="AM46" s="34"/>
      <c r="AN46" s="31"/>
      <c r="AO46" s="34"/>
      <c r="AP46" s="31"/>
      <c r="AQ46" s="34"/>
      <c r="AR46" s="31"/>
      <c r="AS46" s="34"/>
      <c r="AT46" s="31"/>
      <c r="AU46" s="34"/>
      <c r="AV46" s="31"/>
      <c r="AW46" s="34"/>
      <c r="AX46" s="31"/>
      <c r="AY46" s="34"/>
      <c r="AZ46" s="31"/>
      <c r="BA46" s="34"/>
    </row>
    <row r="47" spans="1:54" ht="20" customHeight="1" x14ac:dyDescent="0.2">
      <c r="A47" s="678"/>
      <c r="B47" s="721"/>
      <c r="C47" s="722"/>
      <c r="D47" s="727" t="s">
        <v>85</v>
      </c>
      <c r="E47" s="728" t="s">
        <v>349</v>
      </c>
      <c r="F47" s="728" t="s">
        <v>72</v>
      </c>
      <c r="G47" s="727">
        <v>2014</v>
      </c>
      <c r="H47" s="729">
        <v>23</v>
      </c>
      <c r="I47" s="65">
        <v>28</v>
      </c>
      <c r="J47" s="61" t="s">
        <v>184</v>
      </c>
      <c r="K47" s="62" t="s">
        <v>192</v>
      </c>
      <c r="L47" s="31"/>
      <c r="M47" s="34" t="str">
        <f t="shared" si="0"/>
        <v/>
      </c>
      <c r="N47" s="31"/>
      <c r="O47" s="34" t="str">
        <f t="shared" si="1"/>
        <v/>
      </c>
      <c r="P47" s="56"/>
      <c r="Q47" s="34" t="str">
        <f t="shared" si="2"/>
        <v/>
      </c>
      <c r="R47" s="31"/>
      <c r="S47" s="34" t="str">
        <f t="shared" si="3"/>
        <v/>
      </c>
      <c r="T47" s="31"/>
      <c r="U47" s="34" t="str">
        <f t="shared" si="4"/>
        <v/>
      </c>
      <c r="V47" s="31"/>
      <c r="W47" s="34" t="str">
        <f t="shared" si="5"/>
        <v/>
      </c>
      <c r="X47" s="31"/>
      <c r="Y47" s="34" t="str">
        <f t="shared" si="6"/>
        <v/>
      </c>
      <c r="Z47" s="31"/>
      <c r="AA47" s="34" t="str">
        <f t="shared" si="7"/>
        <v/>
      </c>
      <c r="AB47" s="31"/>
      <c r="AC47" s="34" t="str">
        <f t="shared" si="8"/>
        <v/>
      </c>
      <c r="AD47" s="31"/>
      <c r="AE47" s="34" t="str">
        <f t="shared" si="9"/>
        <v/>
      </c>
      <c r="AF47" s="56"/>
      <c r="AG47" s="34" t="str">
        <f t="shared" si="10"/>
        <v/>
      </c>
      <c r="AH47" s="31"/>
      <c r="AI47" s="34" t="str">
        <f t="shared" si="11"/>
        <v/>
      </c>
      <c r="AJ47" s="31"/>
      <c r="AK47" s="34" t="str">
        <f t="shared" si="12"/>
        <v/>
      </c>
      <c r="AL47" s="31"/>
      <c r="AM47" s="34" t="str">
        <f t="shared" si="13"/>
        <v/>
      </c>
      <c r="AN47" s="31"/>
      <c r="AO47" s="34" t="str">
        <f t="shared" si="14"/>
        <v/>
      </c>
      <c r="AP47" s="31"/>
      <c r="AQ47" s="34" t="str">
        <f t="shared" si="15"/>
        <v/>
      </c>
      <c r="AR47" s="31"/>
      <c r="AS47" s="34" t="str">
        <f t="shared" si="16"/>
        <v/>
      </c>
      <c r="AT47" s="31"/>
      <c r="AU47" s="34" t="str">
        <f t="shared" si="17"/>
        <v/>
      </c>
      <c r="AV47" s="31"/>
      <c r="AW47" s="34" t="str">
        <f t="shared" si="18"/>
        <v/>
      </c>
      <c r="AX47" s="31"/>
      <c r="AY47" s="34" t="str">
        <f t="shared" si="19"/>
        <v/>
      </c>
      <c r="AZ47" s="31"/>
      <c r="BA47" s="34" t="str">
        <f t="shared" si="20"/>
        <v/>
      </c>
      <c r="BB47" s="21" t="s">
        <v>413</v>
      </c>
    </row>
    <row r="48" spans="1:54" ht="20" customHeight="1" x14ac:dyDescent="0.2">
      <c r="A48" s="678"/>
      <c r="B48" s="725"/>
      <c r="C48" s="255"/>
      <c r="D48" s="722" t="s">
        <v>85</v>
      </c>
      <c r="E48" s="723" t="s">
        <v>280</v>
      </c>
      <c r="F48" s="723" t="s">
        <v>281</v>
      </c>
      <c r="G48" s="722">
        <v>2014</v>
      </c>
      <c r="H48" s="287"/>
      <c r="I48" s="65">
        <v>28</v>
      </c>
      <c r="J48" s="61" t="s">
        <v>184</v>
      </c>
      <c r="K48" s="62" t="s">
        <v>192</v>
      </c>
      <c r="L48" s="31"/>
      <c r="M48" s="34" t="str">
        <f t="shared" si="0"/>
        <v/>
      </c>
      <c r="N48" s="31"/>
      <c r="O48" s="34" t="str">
        <f t="shared" si="1"/>
        <v/>
      </c>
      <c r="P48" s="56">
        <v>3</v>
      </c>
      <c r="Q48" s="34">
        <f t="shared" si="2"/>
        <v>10.714285714285714</v>
      </c>
      <c r="R48" s="31"/>
      <c r="S48" s="34" t="str">
        <f t="shared" si="3"/>
        <v/>
      </c>
      <c r="T48" s="31"/>
      <c r="U48" s="34" t="str">
        <f t="shared" si="4"/>
        <v/>
      </c>
      <c r="V48" s="31"/>
      <c r="W48" s="34" t="str">
        <f t="shared" si="5"/>
        <v/>
      </c>
      <c r="X48" s="31"/>
      <c r="Y48" s="34" t="str">
        <f t="shared" si="6"/>
        <v/>
      </c>
      <c r="Z48" s="31"/>
      <c r="AA48" s="34" t="str">
        <f t="shared" si="7"/>
        <v/>
      </c>
      <c r="AB48" s="31">
        <v>3</v>
      </c>
      <c r="AC48" s="34">
        <f t="shared" si="8"/>
        <v>10.714285714285714</v>
      </c>
      <c r="AD48" s="31">
        <v>4</v>
      </c>
      <c r="AE48" s="34">
        <f t="shared" si="9"/>
        <v>14.285714285714285</v>
      </c>
      <c r="AF48" s="56">
        <v>5</v>
      </c>
      <c r="AG48" s="34">
        <f t="shared" si="10"/>
        <v>17.857142857142858</v>
      </c>
      <c r="AH48" s="31"/>
      <c r="AI48" s="34" t="str">
        <f t="shared" si="11"/>
        <v/>
      </c>
      <c r="AJ48" s="31"/>
      <c r="AK48" s="34" t="str">
        <f t="shared" si="12"/>
        <v/>
      </c>
      <c r="AL48" s="31"/>
      <c r="AM48" s="34" t="str">
        <f t="shared" si="13"/>
        <v/>
      </c>
      <c r="AN48" s="31"/>
      <c r="AO48" s="34" t="str">
        <f t="shared" si="14"/>
        <v/>
      </c>
      <c r="AP48" s="31"/>
      <c r="AQ48" s="34" t="str">
        <f t="shared" si="15"/>
        <v/>
      </c>
      <c r="AR48" s="31"/>
      <c r="AS48" s="34" t="str">
        <f t="shared" si="16"/>
        <v/>
      </c>
      <c r="AT48" s="31"/>
      <c r="AU48" s="34" t="str">
        <f t="shared" si="17"/>
        <v/>
      </c>
      <c r="AV48" s="31"/>
      <c r="AW48" s="34" t="str">
        <f t="shared" si="18"/>
        <v/>
      </c>
      <c r="AX48" s="31"/>
      <c r="AY48" s="34" t="str">
        <f t="shared" si="19"/>
        <v/>
      </c>
      <c r="AZ48" s="31"/>
      <c r="BA48" s="34" t="str">
        <f t="shared" si="20"/>
        <v/>
      </c>
      <c r="BB48" s="21" t="s">
        <v>350</v>
      </c>
    </row>
    <row r="49" spans="1:54" ht="20" customHeight="1" x14ac:dyDescent="0.2">
      <c r="A49" s="678"/>
      <c r="B49" s="725"/>
      <c r="C49" s="253"/>
      <c r="D49" s="722" t="s">
        <v>85</v>
      </c>
      <c r="E49" s="723" t="s">
        <v>282</v>
      </c>
      <c r="F49" s="723" t="s">
        <v>283</v>
      </c>
      <c r="G49" s="722">
        <v>2015</v>
      </c>
      <c r="H49" s="287"/>
      <c r="I49" s="65">
        <v>10</v>
      </c>
      <c r="J49" s="61" t="s">
        <v>340</v>
      </c>
      <c r="K49" s="62" t="s">
        <v>351</v>
      </c>
      <c r="L49" s="31"/>
      <c r="M49" s="34" t="str">
        <f t="shared" si="0"/>
        <v/>
      </c>
      <c r="N49" s="31"/>
      <c r="O49" s="34" t="str">
        <f t="shared" si="1"/>
        <v/>
      </c>
      <c r="P49" s="56"/>
      <c r="Q49" s="34" t="str">
        <f t="shared" si="2"/>
        <v/>
      </c>
      <c r="R49" s="31"/>
      <c r="S49" s="34" t="str">
        <f t="shared" si="3"/>
        <v/>
      </c>
      <c r="T49" s="31"/>
      <c r="U49" s="34" t="str">
        <f t="shared" si="4"/>
        <v/>
      </c>
      <c r="V49" s="31"/>
      <c r="W49" s="34" t="str">
        <f t="shared" si="5"/>
        <v/>
      </c>
      <c r="X49" s="31"/>
      <c r="Y49" s="34" t="str">
        <f t="shared" si="6"/>
        <v/>
      </c>
      <c r="Z49" s="31"/>
      <c r="AA49" s="34" t="str">
        <f t="shared" si="7"/>
        <v/>
      </c>
      <c r="AB49" s="31"/>
      <c r="AC49" s="34" t="str">
        <f t="shared" si="8"/>
        <v/>
      </c>
      <c r="AD49" s="31"/>
      <c r="AE49" s="34" t="str">
        <f t="shared" si="9"/>
        <v/>
      </c>
      <c r="AF49" s="56"/>
      <c r="AG49" s="34" t="str">
        <f t="shared" si="10"/>
        <v/>
      </c>
      <c r="AH49" s="31"/>
      <c r="AI49" s="34" t="str">
        <f t="shared" si="11"/>
        <v/>
      </c>
      <c r="AJ49" s="31"/>
      <c r="AK49" s="34" t="str">
        <f t="shared" si="12"/>
        <v/>
      </c>
      <c r="AL49" s="31"/>
      <c r="AM49" s="34" t="str">
        <f t="shared" si="13"/>
        <v/>
      </c>
      <c r="AN49" s="31"/>
      <c r="AO49" s="34" t="str">
        <f t="shared" si="14"/>
        <v/>
      </c>
      <c r="AP49" s="31"/>
      <c r="AQ49" s="34" t="str">
        <f t="shared" si="15"/>
        <v/>
      </c>
      <c r="AR49" s="31"/>
      <c r="AS49" s="34" t="str">
        <f t="shared" si="16"/>
        <v/>
      </c>
      <c r="AT49" s="31"/>
      <c r="AU49" s="34" t="str">
        <f t="shared" si="17"/>
        <v/>
      </c>
      <c r="AV49" s="31"/>
      <c r="AW49" s="34" t="str">
        <f t="shared" si="18"/>
        <v/>
      </c>
      <c r="AX49" s="31"/>
      <c r="AY49" s="34" t="str">
        <f t="shared" si="19"/>
        <v/>
      </c>
      <c r="AZ49" s="31"/>
      <c r="BA49" s="34" t="str">
        <f t="shared" si="20"/>
        <v/>
      </c>
    </row>
    <row r="50" spans="1:54" ht="20" customHeight="1" x14ac:dyDescent="0.2">
      <c r="A50" s="678"/>
      <c r="B50" s="725"/>
      <c r="C50" s="255"/>
      <c r="D50" s="722" t="s">
        <v>85</v>
      </c>
      <c r="E50" s="723" t="s">
        <v>79</v>
      </c>
      <c r="F50" s="723" t="s">
        <v>80</v>
      </c>
      <c r="G50" s="722">
        <v>2015</v>
      </c>
      <c r="H50" s="287">
        <v>10</v>
      </c>
      <c r="I50" s="65">
        <v>11</v>
      </c>
      <c r="J50" s="61" t="s">
        <v>194</v>
      </c>
      <c r="K50" s="62" t="s">
        <v>168</v>
      </c>
      <c r="L50" s="31"/>
      <c r="M50" s="34" t="str">
        <f t="shared" si="0"/>
        <v/>
      </c>
      <c r="N50" s="31"/>
      <c r="O50" s="34" t="str">
        <f t="shared" si="1"/>
        <v/>
      </c>
      <c r="P50" s="56"/>
      <c r="Q50" s="34" t="str">
        <f t="shared" si="2"/>
        <v/>
      </c>
      <c r="R50" s="31"/>
      <c r="S50" s="34" t="str">
        <f t="shared" si="3"/>
        <v/>
      </c>
      <c r="T50" s="31"/>
      <c r="U50" s="34" t="str">
        <f t="shared" si="4"/>
        <v/>
      </c>
      <c r="V50" s="31"/>
      <c r="W50" s="34" t="str">
        <f t="shared" si="5"/>
        <v/>
      </c>
      <c r="X50" s="31"/>
      <c r="Y50" s="34" t="str">
        <f t="shared" si="6"/>
        <v/>
      </c>
      <c r="Z50" s="31"/>
      <c r="AA50" s="34" t="str">
        <f t="shared" si="7"/>
        <v/>
      </c>
      <c r="AB50" s="36">
        <v>1</v>
      </c>
      <c r="AC50" s="37">
        <f t="shared" si="8"/>
        <v>9.0909090909090917</v>
      </c>
      <c r="AD50" s="31"/>
      <c r="AE50" s="34" t="str">
        <f t="shared" si="9"/>
        <v/>
      </c>
      <c r="AF50" s="56">
        <v>3</v>
      </c>
      <c r="AG50" s="34">
        <f t="shared" si="10"/>
        <v>27.27272727272727</v>
      </c>
      <c r="AH50" s="31"/>
      <c r="AI50" s="34" t="str">
        <f t="shared" si="11"/>
        <v/>
      </c>
      <c r="AJ50" s="31"/>
      <c r="AK50" s="34" t="str">
        <f t="shared" si="12"/>
        <v/>
      </c>
      <c r="AL50" s="31"/>
      <c r="AM50" s="34" t="str">
        <f t="shared" si="13"/>
        <v/>
      </c>
      <c r="AN50" s="31"/>
      <c r="AO50" s="34" t="str">
        <f t="shared" si="14"/>
        <v/>
      </c>
      <c r="AP50" s="31"/>
      <c r="AQ50" s="34" t="str">
        <f t="shared" si="15"/>
        <v/>
      </c>
      <c r="AR50" s="31"/>
      <c r="AS50" s="34" t="str">
        <f t="shared" si="16"/>
        <v/>
      </c>
      <c r="AT50" s="31"/>
      <c r="AU50" s="34" t="str">
        <f t="shared" si="17"/>
        <v/>
      </c>
      <c r="AV50" s="31"/>
      <c r="AW50" s="34" t="str">
        <f t="shared" si="18"/>
        <v/>
      </c>
      <c r="AX50" s="31"/>
      <c r="AY50" s="34" t="str">
        <f t="shared" si="19"/>
        <v/>
      </c>
      <c r="AZ50" s="31"/>
      <c r="BA50" s="34" t="str">
        <f t="shared" si="20"/>
        <v/>
      </c>
      <c r="BB50" s="21" t="s">
        <v>193</v>
      </c>
    </row>
    <row r="51" spans="1:54" ht="20" customHeight="1" x14ac:dyDescent="0.2">
      <c r="A51" s="678"/>
      <c r="B51" s="725"/>
      <c r="C51" s="255"/>
      <c r="D51" s="722" t="s">
        <v>85</v>
      </c>
      <c r="E51" s="723" t="s">
        <v>526</v>
      </c>
      <c r="F51" s="723" t="s">
        <v>564</v>
      </c>
      <c r="G51" s="722">
        <v>1998</v>
      </c>
      <c r="H51" s="287"/>
      <c r="I51" s="65">
        <v>22</v>
      </c>
      <c r="J51" s="61" t="s">
        <v>184</v>
      </c>
      <c r="K51" s="62" t="s">
        <v>346</v>
      </c>
      <c r="L51" s="31"/>
      <c r="M51" s="34"/>
      <c r="N51" s="31"/>
      <c r="O51" s="34"/>
      <c r="P51" s="56"/>
      <c r="Q51" s="34"/>
      <c r="R51" s="31"/>
      <c r="S51" s="34"/>
      <c r="T51" s="31">
        <v>1</v>
      </c>
      <c r="U51" s="34">
        <f t="shared" si="4"/>
        <v>4.5454545454545459</v>
      </c>
      <c r="V51" s="31"/>
      <c r="W51" s="34"/>
      <c r="X51" s="31"/>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726"/>
      <c r="B52" s="721"/>
      <c r="C52" s="722"/>
      <c r="D52" s="722" t="s">
        <v>85</v>
      </c>
      <c r="E52" s="723" t="s">
        <v>646</v>
      </c>
      <c r="F52" s="723" t="s">
        <v>647</v>
      </c>
      <c r="G52" s="722">
        <v>1998</v>
      </c>
      <c r="H52" s="287"/>
      <c r="I52" s="701">
        <v>18</v>
      </c>
      <c r="J52" s="232" t="s">
        <v>217</v>
      </c>
      <c r="K52" s="250"/>
      <c r="L52" s="31"/>
      <c r="M52" s="34"/>
      <c r="N52" s="31"/>
      <c r="O52" s="34"/>
      <c r="P52" s="56"/>
      <c r="Q52" s="34"/>
      <c r="R52" s="31"/>
      <c r="S52" s="34"/>
      <c r="T52" s="31"/>
      <c r="U52" s="34"/>
      <c r="V52" s="31"/>
      <c r="W52" s="34"/>
      <c r="X52" s="31"/>
      <c r="Y52" s="34"/>
      <c r="Z52" s="31"/>
      <c r="AA52" s="34"/>
      <c r="AB52" s="31"/>
      <c r="AC52" s="34"/>
      <c r="AD52" s="31"/>
      <c r="AE52" s="34"/>
      <c r="AF52" s="56"/>
      <c r="AG52" s="34"/>
      <c r="AH52" s="31"/>
      <c r="AI52" s="34"/>
      <c r="AJ52" s="31"/>
      <c r="AK52" s="34"/>
      <c r="AL52" s="31"/>
      <c r="AM52" s="34"/>
      <c r="AN52" s="31"/>
      <c r="AO52" s="34"/>
      <c r="AP52" s="31"/>
      <c r="AQ52" s="34"/>
      <c r="AR52" s="31"/>
      <c r="AS52" s="34"/>
      <c r="AT52" s="31"/>
      <c r="AU52" s="34"/>
      <c r="AV52" s="31"/>
      <c r="AW52" s="34"/>
      <c r="AX52" s="31"/>
      <c r="AY52" s="34"/>
      <c r="AZ52" s="31"/>
      <c r="BA52" s="34"/>
    </row>
    <row r="53" spans="1:54" ht="20" customHeight="1" x14ac:dyDescent="0.2">
      <c r="A53" s="678"/>
      <c r="B53" s="725"/>
      <c r="C53" s="253"/>
      <c r="D53" s="722" t="s">
        <v>85</v>
      </c>
      <c r="E53" s="723" t="s">
        <v>91</v>
      </c>
      <c r="F53" s="723" t="s">
        <v>92</v>
      </c>
      <c r="G53" s="722">
        <v>2001</v>
      </c>
      <c r="H53" s="287">
        <v>170</v>
      </c>
      <c r="I53" s="65">
        <v>20</v>
      </c>
      <c r="J53" s="61" t="s">
        <v>175</v>
      </c>
      <c r="K53" s="62" t="s">
        <v>168</v>
      </c>
      <c r="L53" s="31"/>
      <c r="M53" s="34" t="str">
        <f t="shared" si="0"/>
        <v/>
      </c>
      <c r="N53" s="31"/>
      <c r="O53" s="34" t="str">
        <f t="shared" si="1"/>
        <v/>
      </c>
      <c r="P53" s="56"/>
      <c r="Q53" s="34" t="str">
        <f t="shared" si="2"/>
        <v/>
      </c>
      <c r="R53" s="31"/>
      <c r="S53" s="34" t="str">
        <f t="shared" si="3"/>
        <v/>
      </c>
      <c r="T53" s="31"/>
      <c r="U53" s="34" t="str">
        <f t="shared" si="4"/>
        <v/>
      </c>
      <c r="V53" s="31"/>
      <c r="W53" s="34" t="str">
        <f t="shared" si="5"/>
        <v/>
      </c>
      <c r="X53" s="31"/>
      <c r="Y53" s="34" t="str">
        <f t="shared" si="6"/>
        <v/>
      </c>
      <c r="Z53" s="31"/>
      <c r="AA53" s="34" t="str">
        <f t="shared" si="7"/>
        <v/>
      </c>
      <c r="AB53" s="31"/>
      <c r="AC53" s="34" t="str">
        <f t="shared" si="8"/>
        <v/>
      </c>
      <c r="AD53" s="31"/>
      <c r="AE53" s="34" t="str">
        <f t="shared" si="9"/>
        <v/>
      </c>
      <c r="AF53" s="56"/>
      <c r="AG53" s="34" t="str">
        <f t="shared" si="10"/>
        <v/>
      </c>
      <c r="AH53" s="31"/>
      <c r="AI53" s="34" t="str">
        <f t="shared" si="11"/>
        <v/>
      </c>
      <c r="AJ53" s="31"/>
      <c r="AK53" s="34" t="str">
        <f t="shared" si="12"/>
        <v/>
      </c>
      <c r="AL53" s="31"/>
      <c r="AM53" s="34" t="str">
        <f t="shared" si="13"/>
        <v/>
      </c>
      <c r="AN53" s="31"/>
      <c r="AO53" s="34" t="str">
        <f t="shared" si="14"/>
        <v/>
      </c>
      <c r="AP53" s="31"/>
      <c r="AQ53" s="34" t="str">
        <f t="shared" si="15"/>
        <v/>
      </c>
      <c r="AR53" s="31"/>
      <c r="AS53" s="34" t="str">
        <f t="shared" si="16"/>
        <v/>
      </c>
      <c r="AT53" s="31"/>
      <c r="AU53" s="34" t="str">
        <f t="shared" si="17"/>
        <v/>
      </c>
      <c r="AV53" s="31"/>
      <c r="AW53" s="34" t="str">
        <f t="shared" si="18"/>
        <v/>
      </c>
      <c r="AX53" s="31"/>
      <c r="AY53" s="34" t="str">
        <f t="shared" si="19"/>
        <v/>
      </c>
      <c r="AZ53" s="31"/>
      <c r="BA53" s="34" t="str">
        <f t="shared" si="20"/>
        <v/>
      </c>
      <c r="BB53" s="21" t="s">
        <v>180</v>
      </c>
    </row>
    <row r="54" spans="1:54" ht="20" customHeight="1" x14ac:dyDescent="0.2">
      <c r="A54" s="678"/>
      <c r="B54" s="725"/>
      <c r="C54" s="253"/>
      <c r="D54" s="722" t="s">
        <v>85</v>
      </c>
      <c r="E54" s="723" t="s">
        <v>286</v>
      </c>
      <c r="F54" s="723" t="s">
        <v>287</v>
      </c>
      <c r="G54" s="722">
        <v>2009</v>
      </c>
      <c r="H54" s="287"/>
      <c r="I54" s="65">
        <v>20</v>
      </c>
      <c r="J54" s="61" t="s">
        <v>213</v>
      </c>
      <c r="K54" s="62" t="s">
        <v>190</v>
      </c>
      <c r="L54" s="31"/>
      <c r="M54" s="34" t="str">
        <f t="shared" si="0"/>
        <v/>
      </c>
      <c r="N54" s="31"/>
      <c r="O54" s="34" t="str">
        <f t="shared" si="1"/>
        <v/>
      </c>
      <c r="P54" s="56"/>
      <c r="Q54" s="34" t="str">
        <f t="shared" si="2"/>
        <v/>
      </c>
      <c r="R54" s="31"/>
      <c r="S54" s="34" t="str">
        <f t="shared" si="3"/>
        <v/>
      </c>
      <c r="T54" s="31"/>
      <c r="U54" s="34" t="str">
        <f t="shared" si="4"/>
        <v/>
      </c>
      <c r="V54" s="31"/>
      <c r="W54" s="34" t="str">
        <f t="shared" si="5"/>
        <v/>
      </c>
      <c r="X54" s="31"/>
      <c r="Y54" s="34" t="str">
        <f t="shared" si="6"/>
        <v/>
      </c>
      <c r="Z54" s="31"/>
      <c r="AA54" s="34" t="str">
        <f t="shared" si="7"/>
        <v/>
      </c>
      <c r="AB54" s="31"/>
      <c r="AC54" s="34" t="str">
        <f t="shared" si="8"/>
        <v/>
      </c>
      <c r="AD54" s="31"/>
      <c r="AE54" s="34" t="str">
        <f t="shared" si="9"/>
        <v/>
      </c>
      <c r="AF54" s="56"/>
      <c r="AG54" s="34" t="str">
        <f t="shared" si="10"/>
        <v/>
      </c>
      <c r="AH54" s="31"/>
      <c r="AI54" s="34" t="str">
        <f t="shared" si="11"/>
        <v/>
      </c>
      <c r="AJ54" s="31"/>
      <c r="AK54" s="34" t="str">
        <f t="shared" si="12"/>
        <v/>
      </c>
      <c r="AL54" s="31"/>
      <c r="AM54" s="34" t="str">
        <f t="shared" si="13"/>
        <v/>
      </c>
      <c r="AN54" s="31"/>
      <c r="AO54" s="34" t="str">
        <f t="shared" si="14"/>
        <v/>
      </c>
      <c r="AP54" s="31"/>
      <c r="AQ54" s="34" t="str">
        <f t="shared" si="15"/>
        <v/>
      </c>
      <c r="AR54" s="31"/>
      <c r="AS54" s="34" t="str">
        <f t="shared" si="16"/>
        <v/>
      </c>
      <c r="AT54" s="31"/>
      <c r="AU54" s="34" t="str">
        <f t="shared" si="17"/>
        <v/>
      </c>
      <c r="AV54" s="31"/>
      <c r="AW54" s="34" t="str">
        <f t="shared" si="18"/>
        <v/>
      </c>
      <c r="AX54" s="31"/>
      <c r="AY54" s="34" t="str">
        <f t="shared" si="19"/>
        <v/>
      </c>
      <c r="AZ54" s="31"/>
      <c r="BA54" s="34" t="str">
        <f t="shared" si="20"/>
        <v/>
      </c>
      <c r="BB54" s="21" t="s">
        <v>355</v>
      </c>
    </row>
    <row r="55" spans="1:54" ht="20" customHeight="1" x14ac:dyDescent="0.2">
      <c r="A55" s="678"/>
      <c r="B55" s="725"/>
      <c r="C55" s="722"/>
      <c r="D55" s="722" t="s">
        <v>85</v>
      </c>
      <c r="E55" s="723" t="s">
        <v>288</v>
      </c>
      <c r="F55" s="723" t="s">
        <v>289</v>
      </c>
      <c r="G55" s="722">
        <v>2006</v>
      </c>
      <c r="H55" s="287"/>
      <c r="I55" s="65">
        <v>10</v>
      </c>
      <c r="J55" s="61" t="s">
        <v>356</v>
      </c>
      <c r="K55" s="62" t="s">
        <v>168</v>
      </c>
      <c r="L55" s="31"/>
      <c r="M55" s="34" t="str">
        <f t="shared" si="0"/>
        <v/>
      </c>
      <c r="N55" s="31"/>
      <c r="O55" s="34" t="str">
        <f t="shared" si="1"/>
        <v/>
      </c>
      <c r="P55" s="56"/>
      <c r="Q55" s="34" t="str">
        <f t="shared" si="2"/>
        <v/>
      </c>
      <c r="R55" s="31"/>
      <c r="S55" s="34" t="str">
        <f t="shared" si="3"/>
        <v/>
      </c>
      <c r="T55" s="36"/>
      <c r="U55" s="37" t="str">
        <f t="shared" si="4"/>
        <v/>
      </c>
      <c r="V55" s="31"/>
      <c r="W55" s="34" t="str">
        <f t="shared" si="5"/>
        <v/>
      </c>
      <c r="X55" s="31"/>
      <c r="Y55" s="34" t="str">
        <f t="shared" si="6"/>
        <v/>
      </c>
      <c r="Z55" s="31"/>
      <c r="AA55" s="34" t="str">
        <f t="shared" si="7"/>
        <v/>
      </c>
      <c r="AB55" s="31"/>
      <c r="AC55" s="34" t="str">
        <f t="shared" si="8"/>
        <v/>
      </c>
      <c r="AD55" s="31"/>
      <c r="AE55" s="34" t="str">
        <f t="shared" si="9"/>
        <v/>
      </c>
      <c r="AF55" s="56"/>
      <c r="AG55" s="34" t="str">
        <f t="shared" si="10"/>
        <v/>
      </c>
      <c r="AH55" s="31"/>
      <c r="AI55" s="34" t="str">
        <f t="shared" si="11"/>
        <v/>
      </c>
      <c r="AJ55" s="31"/>
      <c r="AK55" s="34" t="str">
        <f t="shared" si="12"/>
        <v/>
      </c>
      <c r="AL55" s="31"/>
      <c r="AM55" s="34" t="str">
        <f t="shared" si="13"/>
        <v/>
      </c>
      <c r="AN55" s="31"/>
      <c r="AO55" s="34" t="str">
        <f t="shared" si="14"/>
        <v/>
      </c>
      <c r="AP55" s="31"/>
      <c r="AQ55" s="34" t="str">
        <f t="shared" si="15"/>
        <v/>
      </c>
      <c r="AR55" s="31"/>
      <c r="AS55" s="34" t="str">
        <f t="shared" si="16"/>
        <v/>
      </c>
      <c r="AT55" s="31"/>
      <c r="AU55" s="34" t="str">
        <f t="shared" si="17"/>
        <v/>
      </c>
      <c r="AV55" s="31"/>
      <c r="AW55" s="34" t="str">
        <f t="shared" si="18"/>
        <v/>
      </c>
      <c r="AX55" s="31"/>
      <c r="AY55" s="34" t="str">
        <f t="shared" si="19"/>
        <v/>
      </c>
      <c r="AZ55" s="31"/>
      <c r="BA55" s="34" t="str">
        <f t="shared" si="20"/>
        <v/>
      </c>
      <c r="BB55" s="21" t="s">
        <v>357</v>
      </c>
    </row>
    <row r="56" spans="1:54" ht="20" customHeight="1" x14ac:dyDescent="0.2">
      <c r="A56" s="726"/>
      <c r="B56" s="725"/>
      <c r="C56" s="253"/>
      <c r="D56" s="722" t="s">
        <v>85</v>
      </c>
      <c r="E56" s="723" t="s">
        <v>531</v>
      </c>
      <c r="F56" s="723" t="s">
        <v>532</v>
      </c>
      <c r="G56" s="722">
        <v>2010</v>
      </c>
      <c r="H56" s="287"/>
      <c r="I56" s="701">
        <v>8</v>
      </c>
      <c r="J56" s="232" t="s">
        <v>213</v>
      </c>
      <c r="K56" s="250" t="s">
        <v>168</v>
      </c>
      <c r="L56" s="31"/>
      <c r="M56" s="34"/>
      <c r="N56" s="31"/>
      <c r="O56" s="34"/>
      <c r="P56" s="56"/>
      <c r="Q56" s="34"/>
      <c r="R56" s="31"/>
      <c r="S56" s="34"/>
      <c r="T56" s="31"/>
      <c r="U56" s="34"/>
      <c r="V56" s="31"/>
      <c r="W56" s="34"/>
      <c r="X56" s="31"/>
      <c r="Y56" s="34"/>
      <c r="Z56" s="31"/>
      <c r="AA56" s="34"/>
      <c r="AB56" s="31"/>
      <c r="AC56" s="34"/>
      <c r="AD56" s="31"/>
      <c r="AE56" s="34"/>
      <c r="AF56" s="56"/>
      <c r="AG56" s="34"/>
      <c r="AH56" s="31"/>
      <c r="AI56" s="34"/>
      <c r="AJ56" s="31"/>
      <c r="AK56" s="34"/>
      <c r="AL56" s="31"/>
      <c r="AM56" s="34"/>
      <c r="AN56" s="31"/>
      <c r="AO56" s="34"/>
      <c r="AP56" s="31"/>
      <c r="AQ56" s="34"/>
      <c r="AR56" s="31"/>
      <c r="AS56" s="34"/>
      <c r="AT56" s="31"/>
      <c r="AU56" s="34"/>
      <c r="AV56" s="31"/>
      <c r="AW56" s="34"/>
      <c r="AX56" s="31"/>
      <c r="AY56" s="34"/>
      <c r="AZ56" s="31"/>
      <c r="BA56" s="34"/>
    </row>
    <row r="57" spans="1:54" ht="20" customHeight="1" x14ac:dyDescent="0.2">
      <c r="A57" s="678"/>
      <c r="B57" s="721"/>
      <c r="C57" s="722"/>
      <c r="D57" s="722" t="s">
        <v>85</v>
      </c>
      <c r="E57" s="723" t="s">
        <v>292</v>
      </c>
      <c r="F57" s="723" t="s">
        <v>293</v>
      </c>
      <c r="G57" s="722">
        <v>2016</v>
      </c>
      <c r="H57" s="287"/>
      <c r="I57" s="65">
        <v>25</v>
      </c>
      <c r="J57" s="61" t="s">
        <v>213</v>
      </c>
      <c r="K57" s="62" t="s">
        <v>191</v>
      </c>
      <c r="L57" s="31"/>
      <c r="M57" s="34" t="str">
        <f t="shared" si="0"/>
        <v/>
      </c>
      <c r="N57" s="31"/>
      <c r="O57" s="34" t="str">
        <f t="shared" si="1"/>
        <v/>
      </c>
      <c r="P57" s="56"/>
      <c r="Q57" s="34" t="str">
        <f t="shared" si="2"/>
        <v/>
      </c>
      <c r="R57" s="31"/>
      <c r="S57" s="34" t="str">
        <f t="shared" si="3"/>
        <v/>
      </c>
      <c r="T57" s="31"/>
      <c r="U57" s="34" t="str">
        <f t="shared" si="4"/>
        <v/>
      </c>
      <c r="V57" s="31"/>
      <c r="W57" s="34" t="str">
        <f t="shared" si="5"/>
        <v/>
      </c>
      <c r="X57" s="31"/>
      <c r="Y57" s="34" t="str">
        <f t="shared" si="6"/>
        <v/>
      </c>
      <c r="Z57" s="31"/>
      <c r="AA57" s="34" t="str">
        <f t="shared" si="7"/>
        <v/>
      </c>
      <c r="AB57" s="31"/>
      <c r="AC57" s="34" t="str">
        <f t="shared" si="8"/>
        <v/>
      </c>
      <c r="AD57" s="31"/>
      <c r="AE57" s="34" t="str">
        <f t="shared" si="9"/>
        <v/>
      </c>
      <c r="AF57" s="56"/>
      <c r="AG57" s="34" t="str">
        <f t="shared" si="10"/>
        <v/>
      </c>
      <c r="AH57" s="31"/>
      <c r="AI57" s="34" t="str">
        <f t="shared" si="11"/>
        <v/>
      </c>
      <c r="AJ57" s="31"/>
      <c r="AK57" s="34" t="str">
        <f t="shared" si="12"/>
        <v/>
      </c>
      <c r="AL57" s="31"/>
      <c r="AM57" s="34" t="str">
        <f t="shared" si="13"/>
        <v/>
      </c>
      <c r="AN57" s="31"/>
      <c r="AO57" s="34" t="str">
        <f t="shared" si="14"/>
        <v/>
      </c>
      <c r="AP57" s="31"/>
      <c r="AQ57" s="34" t="str">
        <f t="shared" si="15"/>
        <v/>
      </c>
      <c r="AR57" s="31"/>
      <c r="AS57" s="34" t="str">
        <f t="shared" si="16"/>
        <v/>
      </c>
      <c r="AT57" s="31"/>
      <c r="AU57" s="34" t="str">
        <f t="shared" si="17"/>
        <v/>
      </c>
      <c r="AV57" s="31"/>
      <c r="AW57" s="34" t="str">
        <f t="shared" si="18"/>
        <v/>
      </c>
      <c r="AX57" s="31"/>
      <c r="AY57" s="34" t="str">
        <f t="shared" si="19"/>
        <v/>
      </c>
      <c r="AZ57" s="31"/>
      <c r="BA57" s="34" t="str">
        <f t="shared" si="20"/>
        <v/>
      </c>
    </row>
    <row r="58" spans="1:54" ht="20" customHeight="1" x14ac:dyDescent="0.2">
      <c r="A58" s="726"/>
      <c r="B58" s="721"/>
      <c r="C58" s="722"/>
      <c r="D58" s="722" t="s">
        <v>85</v>
      </c>
      <c r="E58" s="723" t="s">
        <v>650</v>
      </c>
      <c r="F58" s="723" t="s">
        <v>651</v>
      </c>
      <c r="G58" s="722">
        <v>2003</v>
      </c>
      <c r="H58" s="287"/>
      <c r="I58" s="701"/>
      <c r="J58" s="232" t="s">
        <v>210</v>
      </c>
      <c r="K58" s="250" t="s">
        <v>209</v>
      </c>
      <c r="L58" s="31"/>
      <c r="M58" s="34"/>
      <c r="N58" s="31"/>
      <c r="O58" s="34"/>
      <c r="P58" s="56"/>
      <c r="Q58" s="34"/>
      <c r="R58" s="31"/>
      <c r="S58" s="34"/>
      <c r="T58" s="31"/>
      <c r="U58" s="34"/>
      <c r="V58" s="31"/>
      <c r="W58" s="34"/>
      <c r="X58" s="31"/>
      <c r="Y58" s="34"/>
      <c r="Z58" s="31"/>
      <c r="AA58" s="34"/>
      <c r="AB58" s="31"/>
      <c r="AC58" s="34"/>
      <c r="AD58" s="31"/>
      <c r="AE58" s="34"/>
      <c r="AF58" s="56"/>
      <c r="AG58" s="34"/>
      <c r="AH58" s="31"/>
      <c r="AI58" s="34"/>
      <c r="AJ58" s="31"/>
      <c r="AK58" s="34"/>
      <c r="AL58" s="31"/>
      <c r="AM58" s="34"/>
      <c r="AN58" s="31"/>
      <c r="AO58" s="34"/>
      <c r="AP58" s="31"/>
      <c r="AQ58" s="34"/>
      <c r="AR58" s="31"/>
      <c r="AS58" s="34"/>
      <c r="AT58" s="31"/>
      <c r="AU58" s="34"/>
      <c r="AV58" s="31"/>
      <c r="AW58" s="34"/>
      <c r="AX58" s="31"/>
      <c r="AY58" s="34"/>
      <c r="AZ58" s="31"/>
      <c r="BA58" s="34"/>
    </row>
    <row r="59" spans="1:54" ht="20" customHeight="1" x14ac:dyDescent="0.2">
      <c r="A59" s="678"/>
      <c r="B59" s="725"/>
      <c r="C59" s="255"/>
      <c r="D59" s="722" t="s">
        <v>85</v>
      </c>
      <c r="E59" s="723" t="s">
        <v>99</v>
      </c>
      <c r="F59" s="723" t="s">
        <v>100</v>
      </c>
      <c r="G59" s="722">
        <v>2002</v>
      </c>
      <c r="H59" s="287">
        <v>103</v>
      </c>
      <c r="I59" s="65">
        <v>8</v>
      </c>
      <c r="J59" s="61"/>
      <c r="K59" s="62"/>
      <c r="L59" s="31"/>
      <c r="M59" s="34" t="str">
        <f t="shared" si="0"/>
        <v/>
      </c>
      <c r="N59" s="31"/>
      <c r="O59" s="34" t="str">
        <f t="shared" si="1"/>
        <v/>
      </c>
      <c r="P59" s="56">
        <v>2</v>
      </c>
      <c r="Q59" s="34">
        <f t="shared" si="2"/>
        <v>25</v>
      </c>
      <c r="R59" s="31"/>
      <c r="S59" s="34" t="str">
        <f t="shared" si="3"/>
        <v/>
      </c>
      <c r="T59" s="31"/>
      <c r="U59" s="34" t="str">
        <f t="shared" si="4"/>
        <v/>
      </c>
      <c r="V59" s="31"/>
      <c r="W59" s="34" t="str">
        <f t="shared" si="5"/>
        <v/>
      </c>
      <c r="X59" s="31"/>
      <c r="Y59" s="34" t="str">
        <f t="shared" si="6"/>
        <v/>
      </c>
      <c r="Z59" s="31"/>
      <c r="AA59" s="34" t="str">
        <f t="shared" si="7"/>
        <v/>
      </c>
      <c r="AB59" s="31"/>
      <c r="AC59" s="34" t="str">
        <f t="shared" si="8"/>
        <v/>
      </c>
      <c r="AD59" s="31"/>
      <c r="AE59" s="34" t="str">
        <f t="shared" si="9"/>
        <v/>
      </c>
      <c r="AF59" s="56"/>
      <c r="AG59" s="34" t="str">
        <f t="shared" si="10"/>
        <v/>
      </c>
      <c r="AH59" s="31"/>
      <c r="AI59" s="34" t="str">
        <f t="shared" si="11"/>
        <v/>
      </c>
      <c r="AJ59" s="31"/>
      <c r="AK59" s="34" t="str">
        <f t="shared" si="12"/>
        <v/>
      </c>
      <c r="AL59" s="31"/>
      <c r="AM59" s="34" t="str">
        <f t="shared" si="13"/>
        <v/>
      </c>
      <c r="AN59" s="31"/>
      <c r="AO59" s="34" t="str">
        <f t="shared" si="14"/>
        <v/>
      </c>
      <c r="AP59" s="31"/>
      <c r="AQ59" s="34" t="str">
        <f t="shared" si="15"/>
        <v/>
      </c>
      <c r="AR59" s="31"/>
      <c r="AS59" s="34" t="str">
        <f t="shared" si="16"/>
        <v/>
      </c>
      <c r="AT59" s="31"/>
      <c r="AU59" s="34" t="str">
        <f t="shared" si="17"/>
        <v/>
      </c>
      <c r="AV59" s="31"/>
      <c r="AW59" s="34" t="str">
        <f t="shared" si="18"/>
        <v/>
      </c>
      <c r="AX59" s="31"/>
      <c r="AY59" s="34" t="str">
        <f t="shared" si="19"/>
        <v/>
      </c>
      <c r="AZ59" s="31"/>
      <c r="BA59" s="34" t="str">
        <f t="shared" si="20"/>
        <v/>
      </c>
      <c r="BB59" s="21" t="s">
        <v>200</v>
      </c>
    </row>
    <row r="60" spans="1:54" ht="20" customHeight="1" x14ac:dyDescent="0.2">
      <c r="A60" s="680"/>
      <c r="B60" s="721"/>
      <c r="C60" s="722"/>
      <c r="D60" s="722" t="s">
        <v>85</v>
      </c>
      <c r="E60" s="723" t="s">
        <v>652</v>
      </c>
      <c r="F60" s="723" t="s">
        <v>653</v>
      </c>
      <c r="G60" s="722">
        <v>1991</v>
      </c>
      <c r="H60" s="287"/>
      <c r="I60" s="65">
        <v>13</v>
      </c>
      <c r="J60" s="61" t="s">
        <v>655</v>
      </c>
      <c r="K60" s="62" t="s">
        <v>191</v>
      </c>
      <c r="L60" s="31"/>
      <c r="M60" s="34"/>
      <c r="N60" s="31"/>
      <c r="O60" s="34"/>
      <c r="P60" s="56"/>
      <c r="Q60" s="34"/>
      <c r="R60" s="31"/>
      <c r="S60" s="34"/>
      <c r="T60" s="31"/>
      <c r="U60" s="34"/>
      <c r="V60" s="31"/>
      <c r="W60" s="34"/>
      <c r="X60" s="31"/>
      <c r="Y60" s="34"/>
      <c r="Z60" s="31"/>
      <c r="AA60" s="34"/>
      <c r="AB60" s="31"/>
      <c r="AC60" s="34"/>
      <c r="AD60" s="31"/>
      <c r="AE60" s="34"/>
      <c r="AF60" s="56"/>
      <c r="AG60" s="34"/>
      <c r="AH60" s="31"/>
      <c r="AI60" s="34"/>
      <c r="AJ60" s="31"/>
      <c r="AK60" s="34"/>
      <c r="AL60" s="31"/>
      <c r="AM60" s="34"/>
      <c r="AN60" s="31"/>
      <c r="AO60" s="34"/>
      <c r="AP60" s="31"/>
      <c r="AQ60" s="34"/>
      <c r="AR60" s="31"/>
      <c r="AS60" s="34"/>
      <c r="AT60" s="31"/>
      <c r="AU60" s="34"/>
      <c r="AV60" s="31"/>
      <c r="AW60" s="34"/>
      <c r="AX60" s="31"/>
      <c r="AY60" s="34"/>
      <c r="AZ60" s="31"/>
      <c r="BA60" s="34"/>
    </row>
    <row r="61" spans="1:54" ht="20" customHeight="1" x14ac:dyDescent="0.2">
      <c r="A61" s="680"/>
      <c r="B61" s="725"/>
      <c r="C61" s="253"/>
      <c r="D61" s="722" t="s">
        <v>85</v>
      </c>
      <c r="E61" s="723" t="s">
        <v>533</v>
      </c>
      <c r="F61" s="723" t="s">
        <v>654</v>
      </c>
      <c r="G61" s="722">
        <v>1998</v>
      </c>
      <c r="H61" s="287"/>
      <c r="I61" s="65">
        <v>9</v>
      </c>
      <c r="J61" s="61" t="s">
        <v>535</v>
      </c>
      <c r="K61" s="62" t="s">
        <v>168</v>
      </c>
      <c r="L61" s="31"/>
      <c r="M61" s="34"/>
      <c r="N61" s="31"/>
      <c r="O61" s="34"/>
      <c r="P61" s="56"/>
      <c r="Q61" s="34"/>
      <c r="R61" s="31"/>
      <c r="S61" s="34"/>
      <c r="T61" s="31"/>
      <c r="U61" s="34"/>
      <c r="V61" s="31"/>
      <c r="W61" s="34"/>
      <c r="X61" s="31"/>
      <c r="Y61" s="34"/>
      <c r="Z61" s="31"/>
      <c r="AA61" s="34"/>
      <c r="AB61" s="31"/>
      <c r="AC61" s="34"/>
      <c r="AD61" s="31"/>
      <c r="AE61" s="34"/>
      <c r="AF61" s="56"/>
      <c r="AG61" s="34"/>
      <c r="AH61" s="31"/>
      <c r="AI61" s="34"/>
      <c r="AJ61" s="31"/>
      <c r="AK61" s="34"/>
      <c r="AL61" s="31"/>
      <c r="AM61" s="34"/>
      <c r="AN61" s="31"/>
      <c r="AO61" s="34"/>
      <c r="AP61" s="31"/>
      <c r="AQ61" s="34"/>
      <c r="AR61" s="31"/>
      <c r="AS61" s="34"/>
      <c r="AT61" s="31"/>
      <c r="AU61" s="34"/>
      <c r="AV61" s="31"/>
      <c r="AW61" s="34"/>
      <c r="AX61" s="31"/>
      <c r="AY61" s="34"/>
      <c r="AZ61" s="31"/>
      <c r="BA61" s="34"/>
    </row>
    <row r="62" spans="1:54" ht="20" customHeight="1" x14ac:dyDescent="0.2">
      <c r="A62" s="726"/>
      <c r="B62" s="721"/>
      <c r="C62" s="722"/>
      <c r="D62" s="722" t="s">
        <v>85</v>
      </c>
      <c r="E62" s="723" t="s">
        <v>656</v>
      </c>
      <c r="F62" s="723" t="s">
        <v>657</v>
      </c>
      <c r="G62" s="722">
        <v>2007</v>
      </c>
      <c r="H62" s="757"/>
      <c r="I62" s="701"/>
      <c r="J62" s="232" t="s">
        <v>213</v>
      </c>
      <c r="K62" s="250" t="s">
        <v>168</v>
      </c>
      <c r="L62" s="31"/>
      <c r="M62" s="34"/>
      <c r="N62" s="31"/>
      <c r="O62" s="34"/>
      <c r="P62" s="56"/>
      <c r="Q62" s="34"/>
      <c r="R62" s="31"/>
      <c r="S62" s="34"/>
      <c r="T62" s="31"/>
      <c r="U62" s="34"/>
      <c r="V62" s="31"/>
      <c r="W62" s="34"/>
      <c r="X62" s="31"/>
      <c r="Y62" s="34"/>
      <c r="Z62" s="31"/>
      <c r="AA62" s="34"/>
      <c r="AB62" s="31"/>
      <c r="AC62" s="34"/>
      <c r="AD62" s="31"/>
      <c r="AE62" s="34"/>
      <c r="AF62" s="56"/>
      <c r="AG62" s="34"/>
      <c r="AH62" s="31"/>
      <c r="AI62" s="34"/>
      <c r="AJ62" s="31"/>
      <c r="AK62" s="34"/>
      <c r="AL62" s="31"/>
      <c r="AM62" s="34"/>
      <c r="AN62" s="31"/>
      <c r="AO62" s="34"/>
      <c r="AP62" s="31"/>
      <c r="AQ62" s="34"/>
      <c r="AR62" s="31"/>
      <c r="AS62" s="34"/>
      <c r="AT62" s="31"/>
      <c r="AU62" s="34"/>
      <c r="AV62" s="31"/>
      <c r="AW62" s="34"/>
      <c r="AX62" s="31"/>
      <c r="AY62" s="34"/>
      <c r="AZ62" s="31"/>
      <c r="BA62" s="34"/>
    </row>
    <row r="63" spans="1:54" ht="20" customHeight="1" x14ac:dyDescent="0.2">
      <c r="A63" s="726"/>
      <c r="B63" s="721"/>
      <c r="C63" s="722"/>
      <c r="D63" s="722" t="s">
        <v>85</v>
      </c>
      <c r="E63" s="723" t="s">
        <v>658</v>
      </c>
      <c r="F63" s="723" t="s">
        <v>659</v>
      </c>
      <c r="G63" s="722">
        <v>2012</v>
      </c>
      <c r="H63" s="287"/>
      <c r="I63" s="701">
        <v>11</v>
      </c>
      <c r="J63" s="232"/>
      <c r="K63" s="250" t="s">
        <v>660</v>
      </c>
      <c r="L63" s="31"/>
      <c r="M63" s="34"/>
      <c r="N63" s="31"/>
      <c r="O63" s="34"/>
      <c r="P63" s="56"/>
      <c r="Q63" s="34"/>
      <c r="R63" s="31"/>
      <c r="S63" s="34"/>
      <c r="T63" s="31"/>
      <c r="U63" s="34"/>
      <c r="V63" s="31"/>
      <c r="W63" s="34"/>
      <c r="X63" s="31"/>
      <c r="Y63" s="34"/>
      <c r="Z63" s="31"/>
      <c r="AA63" s="34"/>
      <c r="AB63" s="31"/>
      <c r="AC63" s="34"/>
      <c r="AD63" s="31"/>
      <c r="AE63" s="34"/>
      <c r="AF63" s="56"/>
      <c r="AG63" s="34"/>
      <c r="AH63" s="31"/>
      <c r="AI63" s="34"/>
      <c r="AJ63" s="31"/>
      <c r="AK63" s="34"/>
      <c r="AL63" s="31"/>
      <c r="AM63" s="34"/>
      <c r="AN63" s="31"/>
      <c r="AO63" s="34"/>
      <c r="AP63" s="31"/>
      <c r="AQ63" s="34"/>
      <c r="AR63" s="31"/>
      <c r="AS63" s="34"/>
      <c r="AT63" s="31"/>
      <c r="AU63" s="34"/>
      <c r="AV63" s="31"/>
      <c r="AW63" s="34"/>
      <c r="AX63" s="31"/>
      <c r="AY63" s="34"/>
      <c r="AZ63" s="31"/>
      <c r="BA63" s="34"/>
    </row>
    <row r="64" spans="1:54" ht="20" customHeight="1" x14ac:dyDescent="0.2">
      <c r="A64" s="678"/>
      <c r="B64" s="725"/>
      <c r="C64" s="253"/>
      <c r="D64" s="722" t="s">
        <v>85</v>
      </c>
      <c r="E64" s="723" t="s">
        <v>296</v>
      </c>
      <c r="F64" s="723" t="s">
        <v>297</v>
      </c>
      <c r="G64" s="722">
        <v>2015</v>
      </c>
      <c r="H64" s="287"/>
      <c r="I64" s="65">
        <v>41</v>
      </c>
      <c r="J64" s="61" t="s">
        <v>184</v>
      </c>
      <c r="K64" s="62"/>
      <c r="L64" s="31"/>
      <c r="M64" s="34" t="str">
        <f t="shared" si="0"/>
        <v/>
      </c>
      <c r="N64" s="31"/>
      <c r="O64" s="34" t="str">
        <f t="shared" si="1"/>
        <v/>
      </c>
      <c r="P64" s="56"/>
      <c r="Q64" s="34" t="str">
        <f t="shared" si="2"/>
        <v/>
      </c>
      <c r="R64" s="31"/>
      <c r="S64" s="34" t="str">
        <f t="shared" si="3"/>
        <v/>
      </c>
      <c r="T64" s="31"/>
      <c r="U64" s="34" t="str">
        <f t="shared" si="4"/>
        <v/>
      </c>
      <c r="V64" s="31"/>
      <c r="W64" s="34" t="str">
        <f t="shared" si="5"/>
        <v/>
      </c>
      <c r="X64" s="31"/>
      <c r="Y64" s="34" t="str">
        <f t="shared" si="6"/>
        <v/>
      </c>
      <c r="Z64" s="31"/>
      <c r="AA64" s="34" t="str">
        <f t="shared" si="7"/>
        <v/>
      </c>
      <c r="AB64" s="31"/>
      <c r="AC64" s="34" t="str">
        <f t="shared" si="8"/>
        <v/>
      </c>
      <c r="AD64" s="31"/>
      <c r="AE64" s="34" t="str">
        <f t="shared" si="9"/>
        <v/>
      </c>
      <c r="AF64" s="56"/>
      <c r="AG64" s="34" t="str">
        <f t="shared" si="10"/>
        <v/>
      </c>
      <c r="AH64" s="31"/>
      <c r="AI64" s="34" t="str">
        <f t="shared" si="11"/>
        <v/>
      </c>
      <c r="AJ64" s="31"/>
      <c r="AK64" s="34" t="str">
        <f t="shared" si="12"/>
        <v/>
      </c>
      <c r="AL64" s="31"/>
      <c r="AM64" s="34" t="str">
        <f t="shared" si="13"/>
        <v/>
      </c>
      <c r="AN64" s="31"/>
      <c r="AO64" s="34" t="str">
        <f t="shared" si="14"/>
        <v/>
      </c>
      <c r="AP64" s="31"/>
      <c r="AQ64" s="34" t="str">
        <f t="shared" si="15"/>
        <v/>
      </c>
      <c r="AR64" s="31"/>
      <c r="AS64" s="34" t="str">
        <f t="shared" si="16"/>
        <v/>
      </c>
      <c r="AT64" s="31"/>
      <c r="AU64" s="34" t="str">
        <f t="shared" si="17"/>
        <v/>
      </c>
      <c r="AV64" s="31"/>
      <c r="AW64" s="34" t="str">
        <f t="shared" si="18"/>
        <v/>
      </c>
      <c r="AX64" s="31"/>
      <c r="AY64" s="34" t="str">
        <f t="shared" si="19"/>
        <v/>
      </c>
      <c r="AZ64" s="31"/>
      <c r="BA64" s="34" t="str">
        <f t="shared" si="20"/>
        <v/>
      </c>
      <c r="BB64" s="21" t="s">
        <v>359</v>
      </c>
    </row>
    <row r="65" spans="1:54" ht="20" customHeight="1" x14ac:dyDescent="0.2">
      <c r="A65" s="680"/>
      <c r="B65" s="721"/>
      <c r="C65" s="722"/>
      <c r="D65" s="722"/>
      <c r="E65" s="723" t="s">
        <v>661</v>
      </c>
      <c r="F65" s="723" t="s">
        <v>662</v>
      </c>
      <c r="G65" s="722">
        <v>1999</v>
      </c>
      <c r="H65" s="287"/>
      <c r="I65" s="65">
        <v>2</v>
      </c>
      <c r="J65" s="61" t="s">
        <v>664</v>
      </c>
      <c r="K65" s="62" t="s">
        <v>663</v>
      </c>
      <c r="L65" s="31"/>
      <c r="M65" s="34"/>
      <c r="N65" s="31"/>
      <c r="O65" s="34"/>
      <c r="P65" s="56"/>
      <c r="Q65" s="34"/>
      <c r="R65" s="31"/>
      <c r="S65" s="34"/>
      <c r="T65" s="31"/>
      <c r="U65" s="34"/>
      <c r="V65" s="31"/>
      <c r="W65" s="34"/>
      <c r="X65" s="31"/>
      <c r="Y65" s="34"/>
      <c r="Z65" s="31"/>
      <c r="AA65" s="34"/>
      <c r="AB65" s="31"/>
      <c r="AC65" s="34"/>
      <c r="AD65" s="31"/>
      <c r="AE65" s="34"/>
      <c r="AF65" s="56"/>
      <c r="AG65" s="34"/>
      <c r="AH65" s="31"/>
      <c r="AI65" s="34"/>
      <c r="AJ65" s="31"/>
      <c r="AK65" s="34"/>
      <c r="AL65" s="31"/>
      <c r="AM65" s="34"/>
      <c r="AN65" s="31"/>
      <c r="AO65" s="34"/>
      <c r="AP65" s="31"/>
      <c r="AQ65" s="34"/>
      <c r="AR65" s="31"/>
      <c r="AS65" s="34"/>
      <c r="AT65" s="31"/>
      <c r="AU65" s="34"/>
      <c r="AV65" s="31"/>
      <c r="AW65" s="34"/>
      <c r="AX65" s="31"/>
      <c r="AY65" s="34"/>
      <c r="AZ65" s="31"/>
      <c r="BA65" s="34"/>
    </row>
    <row r="66" spans="1:54" ht="20" customHeight="1" x14ac:dyDescent="0.2">
      <c r="A66" s="680"/>
      <c r="B66" s="725"/>
      <c r="C66" s="255"/>
      <c r="D66" s="722" t="s">
        <v>85</v>
      </c>
      <c r="E66" s="723" t="s">
        <v>665</v>
      </c>
      <c r="F66" s="723" t="s">
        <v>666</v>
      </c>
      <c r="G66" s="722">
        <v>2012</v>
      </c>
      <c r="H66" s="287"/>
      <c r="I66" s="65">
        <v>26</v>
      </c>
      <c r="J66" s="61" t="s">
        <v>220</v>
      </c>
      <c r="K66" s="62" t="s">
        <v>667</v>
      </c>
      <c r="L66" s="31"/>
      <c r="M66" s="34"/>
      <c r="N66" s="31"/>
      <c r="O66" s="34"/>
      <c r="P66" s="56"/>
      <c r="Q66" s="34"/>
      <c r="R66" s="31"/>
      <c r="S66" s="34"/>
      <c r="T66" s="31"/>
      <c r="U66" s="34"/>
      <c r="V66" s="31"/>
      <c r="W66" s="34"/>
      <c r="X66" s="31"/>
      <c r="Y66" s="34"/>
      <c r="Z66" s="31"/>
      <c r="AA66" s="34"/>
      <c r="AB66" s="31"/>
      <c r="AC66" s="34"/>
      <c r="AD66" s="31"/>
      <c r="AE66" s="34"/>
      <c r="AF66" s="56"/>
      <c r="AG66" s="34"/>
      <c r="AH66" s="31"/>
      <c r="AI66" s="34"/>
      <c r="AJ66" s="31"/>
      <c r="AK66" s="34"/>
      <c r="AL66" s="31"/>
      <c r="AM66" s="34"/>
      <c r="AN66" s="31"/>
      <c r="AO66" s="34"/>
      <c r="AP66" s="31"/>
      <c r="AQ66" s="34"/>
      <c r="AR66" s="31"/>
      <c r="AS66" s="34"/>
      <c r="AT66" s="31"/>
      <c r="AU66" s="34"/>
      <c r="AV66" s="31"/>
      <c r="AW66" s="34"/>
      <c r="AX66" s="31"/>
      <c r="AY66" s="34"/>
      <c r="AZ66" s="31"/>
      <c r="BA66" s="34"/>
    </row>
    <row r="67" spans="1:54" ht="20" customHeight="1" x14ac:dyDescent="0.2">
      <c r="A67" s="680"/>
      <c r="B67" s="725"/>
      <c r="C67" s="722"/>
      <c r="D67" s="722" t="s">
        <v>85</v>
      </c>
      <c r="E67" s="723" t="s">
        <v>668</v>
      </c>
      <c r="F67" s="723" t="s">
        <v>669</v>
      </c>
      <c r="G67" s="722">
        <v>1998</v>
      </c>
      <c r="H67" s="287"/>
      <c r="I67" s="65">
        <v>25</v>
      </c>
      <c r="J67" s="61" t="s">
        <v>175</v>
      </c>
      <c r="K67" s="62" t="s">
        <v>191</v>
      </c>
      <c r="L67" s="31"/>
      <c r="M67" s="34"/>
      <c r="N67" s="31"/>
      <c r="O67" s="34"/>
      <c r="P67" s="56"/>
      <c r="Q67" s="34"/>
      <c r="R67" s="31"/>
      <c r="S67" s="34"/>
      <c r="T67" s="31"/>
      <c r="U67" s="34"/>
      <c r="V67" s="31"/>
      <c r="W67" s="34"/>
      <c r="X67" s="31"/>
      <c r="Y67" s="34"/>
      <c r="Z67" s="31"/>
      <c r="AA67" s="34"/>
      <c r="AB67" s="31"/>
      <c r="AC67" s="34"/>
      <c r="AD67" s="31"/>
      <c r="AE67" s="34"/>
      <c r="AF67" s="56"/>
      <c r="AG67" s="34"/>
      <c r="AH67" s="31"/>
      <c r="AI67" s="34"/>
      <c r="AJ67" s="31"/>
      <c r="AK67" s="34"/>
      <c r="AL67" s="31"/>
      <c r="AM67" s="34"/>
      <c r="AN67" s="31"/>
      <c r="AO67" s="34"/>
      <c r="AP67" s="31"/>
      <c r="AQ67" s="34"/>
      <c r="AR67" s="31"/>
      <c r="AS67" s="34"/>
      <c r="AT67" s="31"/>
      <c r="AU67" s="34"/>
      <c r="AV67" s="31"/>
      <c r="AW67" s="34"/>
      <c r="AX67" s="31"/>
      <c r="AY67" s="34"/>
      <c r="AZ67" s="31"/>
      <c r="BA67" s="34"/>
    </row>
    <row r="68" spans="1:54" ht="20" customHeight="1" x14ac:dyDescent="0.2">
      <c r="A68" s="678"/>
      <c r="B68" s="725"/>
      <c r="C68" s="253"/>
      <c r="D68" s="722" t="s">
        <v>85</v>
      </c>
      <c r="E68" s="723" t="s">
        <v>298</v>
      </c>
      <c r="F68" s="723" t="s">
        <v>299</v>
      </c>
      <c r="G68" s="722">
        <v>2009</v>
      </c>
      <c r="H68" s="287"/>
      <c r="I68" s="65">
        <v>68</v>
      </c>
      <c r="J68" s="61" t="s">
        <v>213</v>
      </c>
      <c r="K68" s="62" t="s">
        <v>360</v>
      </c>
      <c r="L68" s="31"/>
      <c r="M68" s="34" t="str">
        <f t="shared" si="0"/>
        <v/>
      </c>
      <c r="N68" s="31"/>
      <c r="O68" s="34" t="str">
        <f t="shared" si="1"/>
        <v/>
      </c>
      <c r="P68" s="56"/>
      <c r="Q68" s="34"/>
      <c r="R68" s="31"/>
      <c r="S68" s="34" t="str">
        <f t="shared" si="3"/>
        <v/>
      </c>
      <c r="T68" s="31"/>
      <c r="U68" s="34" t="str">
        <f t="shared" si="4"/>
        <v/>
      </c>
      <c r="V68" s="31"/>
      <c r="W68" s="34" t="str">
        <f t="shared" si="5"/>
        <v/>
      </c>
      <c r="X68" s="31"/>
      <c r="Y68" s="34" t="str">
        <f t="shared" si="6"/>
        <v/>
      </c>
      <c r="Z68" s="31"/>
      <c r="AA68" s="34" t="str">
        <f t="shared" si="7"/>
        <v/>
      </c>
      <c r="AB68" s="31"/>
      <c r="AC68" s="34" t="str">
        <f t="shared" si="8"/>
        <v/>
      </c>
      <c r="AD68" s="31"/>
      <c r="AE68" s="34" t="str">
        <f t="shared" si="9"/>
        <v/>
      </c>
      <c r="AF68" s="56"/>
      <c r="AG68" s="34" t="str">
        <f t="shared" si="10"/>
        <v/>
      </c>
      <c r="AH68" s="31"/>
      <c r="AI68" s="34" t="str">
        <f t="shared" si="11"/>
        <v/>
      </c>
      <c r="AJ68" s="31"/>
      <c r="AK68" s="34" t="str">
        <f t="shared" si="12"/>
        <v/>
      </c>
      <c r="AL68" s="31"/>
      <c r="AM68" s="34" t="str">
        <f t="shared" si="13"/>
        <v/>
      </c>
      <c r="AN68" s="31"/>
      <c r="AO68" s="34" t="str">
        <f t="shared" si="14"/>
        <v/>
      </c>
      <c r="AP68" s="31"/>
      <c r="AQ68" s="34" t="str">
        <f t="shared" si="15"/>
        <v/>
      </c>
      <c r="AR68" s="31"/>
      <c r="AS68" s="34" t="str">
        <f t="shared" si="16"/>
        <v/>
      </c>
      <c r="AT68" s="31"/>
      <c r="AU68" s="34" t="str">
        <f t="shared" si="17"/>
        <v/>
      </c>
      <c r="AV68" s="31"/>
      <c r="AW68" s="34" t="str">
        <f t="shared" si="18"/>
        <v/>
      </c>
      <c r="AX68" s="31"/>
      <c r="AY68" s="34" t="str">
        <f t="shared" si="19"/>
        <v/>
      </c>
      <c r="AZ68" s="31"/>
      <c r="BA68" s="34" t="str">
        <f t="shared" si="20"/>
        <v/>
      </c>
      <c r="BB68" s="21" t="s">
        <v>414</v>
      </c>
    </row>
    <row r="69" spans="1:54" ht="20" customHeight="1" x14ac:dyDescent="0.2">
      <c r="A69" s="678"/>
      <c r="B69" s="721"/>
      <c r="C69" s="722"/>
      <c r="D69" s="722" t="s">
        <v>85</v>
      </c>
      <c r="E69" s="723" t="s">
        <v>105</v>
      </c>
      <c r="F69" s="723" t="s">
        <v>106</v>
      </c>
      <c r="G69" s="722">
        <v>1989</v>
      </c>
      <c r="H69" s="287">
        <v>27</v>
      </c>
      <c r="I69" s="65"/>
      <c r="J69" s="61" t="s">
        <v>208</v>
      </c>
      <c r="K69" s="62" t="s">
        <v>177</v>
      </c>
      <c r="L69" s="31"/>
      <c r="M69" s="34" t="str">
        <f t="shared" si="0"/>
        <v/>
      </c>
      <c r="N69" s="31"/>
      <c r="O69" s="34" t="str">
        <f t="shared" si="1"/>
        <v/>
      </c>
      <c r="P69" s="56"/>
      <c r="Q69" s="34" t="str">
        <f t="shared" ref="Q69:Q85" si="21">IF((ISERROR((P69/$I69)*100)), "", IF(AND(NOT(ISERROR((P69/$I69)*100)),((P69/$I69)*100) &lt;&gt; 0), (P69/$I69)*100, ""))</f>
        <v/>
      </c>
      <c r="R69" s="31"/>
      <c r="S69" s="34" t="str">
        <f t="shared" si="3"/>
        <v/>
      </c>
      <c r="T69" s="31"/>
      <c r="U69" s="34" t="str">
        <f t="shared" si="4"/>
        <v/>
      </c>
      <c r="V69" s="36"/>
      <c r="W69" s="37" t="str">
        <f t="shared" si="5"/>
        <v/>
      </c>
      <c r="X69" s="31"/>
      <c r="Y69" s="34" t="str">
        <f t="shared" si="6"/>
        <v/>
      </c>
      <c r="Z69" s="31"/>
      <c r="AA69" s="34" t="str">
        <f t="shared" si="7"/>
        <v/>
      </c>
      <c r="AB69" s="31"/>
      <c r="AC69" s="34" t="str">
        <f t="shared" si="8"/>
        <v/>
      </c>
      <c r="AD69" s="31"/>
      <c r="AE69" s="34" t="str">
        <f t="shared" si="9"/>
        <v/>
      </c>
      <c r="AF69" s="56"/>
      <c r="AG69" s="34" t="str">
        <f t="shared" si="10"/>
        <v/>
      </c>
      <c r="AH69" s="31"/>
      <c r="AI69" s="34" t="str">
        <f t="shared" si="11"/>
        <v/>
      </c>
      <c r="AJ69" s="31"/>
      <c r="AK69" s="34" t="str">
        <f t="shared" si="12"/>
        <v/>
      </c>
      <c r="AL69" s="31"/>
      <c r="AM69" s="34" t="str">
        <f t="shared" si="13"/>
        <v/>
      </c>
      <c r="AN69" s="31"/>
      <c r="AO69" s="34" t="str">
        <f t="shared" si="14"/>
        <v/>
      </c>
      <c r="AP69" s="31"/>
      <c r="AQ69" s="34" t="str">
        <f t="shared" si="15"/>
        <v/>
      </c>
      <c r="AR69" s="31"/>
      <c r="AS69" s="34" t="str">
        <f t="shared" si="16"/>
        <v/>
      </c>
      <c r="AT69" s="31"/>
      <c r="AU69" s="34" t="str">
        <f t="shared" si="17"/>
        <v/>
      </c>
      <c r="AV69" s="31"/>
      <c r="AW69" s="34" t="str">
        <f t="shared" si="18"/>
        <v/>
      </c>
      <c r="AX69" s="31"/>
      <c r="AY69" s="34" t="str">
        <f t="shared" si="19"/>
        <v/>
      </c>
      <c r="AZ69" s="31"/>
      <c r="BA69" s="34" t="str">
        <f t="shared" si="20"/>
        <v/>
      </c>
    </row>
    <row r="70" spans="1:54" ht="20" customHeight="1" x14ac:dyDescent="0.2">
      <c r="A70" s="678"/>
      <c r="B70" s="721"/>
      <c r="C70" s="253"/>
      <c r="D70" s="722" t="s">
        <v>85</v>
      </c>
      <c r="E70" s="723" t="s">
        <v>300</v>
      </c>
      <c r="F70" s="723" t="s">
        <v>301</v>
      </c>
      <c r="G70" s="722">
        <v>2011</v>
      </c>
      <c r="H70" s="287"/>
      <c r="I70" s="65"/>
      <c r="J70" s="61"/>
      <c r="K70" s="62"/>
      <c r="L70" s="31"/>
      <c r="M70" s="34" t="str">
        <f t="shared" si="0"/>
        <v/>
      </c>
      <c r="N70" s="31"/>
      <c r="O70" s="34" t="str">
        <f t="shared" si="1"/>
        <v/>
      </c>
      <c r="P70" s="56"/>
      <c r="Q70" s="34" t="str">
        <f t="shared" si="21"/>
        <v/>
      </c>
      <c r="R70" s="31"/>
      <c r="S70" s="34" t="str">
        <f t="shared" si="3"/>
        <v/>
      </c>
      <c r="T70" s="31"/>
      <c r="U70" s="34" t="str">
        <f t="shared" si="4"/>
        <v/>
      </c>
      <c r="V70" s="31"/>
      <c r="W70" s="34" t="str">
        <f t="shared" si="5"/>
        <v/>
      </c>
      <c r="X70" s="31"/>
      <c r="Y70" s="34" t="str">
        <f t="shared" si="6"/>
        <v/>
      </c>
      <c r="Z70" s="31"/>
      <c r="AA70" s="34" t="str">
        <f t="shared" si="7"/>
        <v/>
      </c>
      <c r="AB70" s="31"/>
      <c r="AC70" s="34" t="str">
        <f t="shared" si="8"/>
        <v/>
      </c>
      <c r="AD70" s="31"/>
      <c r="AE70" s="34" t="str">
        <f t="shared" si="9"/>
        <v/>
      </c>
      <c r="AF70" s="56"/>
      <c r="AG70" s="34" t="str">
        <f t="shared" si="10"/>
        <v/>
      </c>
      <c r="AH70" s="31"/>
      <c r="AI70" s="34" t="str">
        <f t="shared" si="11"/>
        <v/>
      </c>
      <c r="AJ70" s="31"/>
      <c r="AK70" s="34" t="str">
        <f t="shared" si="12"/>
        <v/>
      </c>
      <c r="AL70" s="31"/>
      <c r="AM70" s="34" t="str">
        <f t="shared" si="13"/>
        <v/>
      </c>
      <c r="AN70" s="31"/>
      <c r="AO70" s="34" t="str">
        <f t="shared" si="14"/>
        <v/>
      </c>
      <c r="AP70" s="31"/>
      <c r="AQ70" s="34" t="str">
        <f t="shared" si="15"/>
        <v/>
      </c>
      <c r="AR70" s="31"/>
      <c r="AS70" s="34" t="str">
        <f t="shared" si="16"/>
        <v/>
      </c>
      <c r="AT70" s="31"/>
      <c r="AU70" s="34" t="str">
        <f t="shared" si="17"/>
        <v/>
      </c>
      <c r="AV70" s="31"/>
      <c r="AW70" s="34" t="str">
        <f t="shared" si="18"/>
        <v/>
      </c>
      <c r="AX70" s="31"/>
      <c r="AY70" s="34" t="str">
        <f t="shared" si="19"/>
        <v/>
      </c>
      <c r="AZ70" s="31"/>
      <c r="BA70" s="34" t="str">
        <f t="shared" si="20"/>
        <v/>
      </c>
      <c r="BB70" s="21" t="s">
        <v>361</v>
      </c>
    </row>
    <row r="71" spans="1:54" ht="20" customHeight="1" x14ac:dyDescent="0.2">
      <c r="A71" s="680"/>
      <c r="B71" s="721"/>
      <c r="C71" s="722"/>
      <c r="D71" s="722" t="s">
        <v>85</v>
      </c>
      <c r="E71" s="723" t="s">
        <v>670</v>
      </c>
      <c r="F71" s="723" t="s">
        <v>671</v>
      </c>
      <c r="G71" s="722">
        <v>2003</v>
      </c>
      <c r="H71" s="287"/>
      <c r="I71" s="65"/>
      <c r="J71" s="61" t="s">
        <v>672</v>
      </c>
      <c r="K71" s="62" t="s">
        <v>177</v>
      </c>
      <c r="L71" s="31"/>
      <c r="M71" s="34"/>
      <c r="N71" s="31"/>
      <c r="O71" s="34"/>
      <c r="P71" s="56"/>
      <c r="Q71" s="34"/>
      <c r="R71" s="31"/>
      <c r="S71" s="34"/>
      <c r="T71" s="31"/>
      <c r="U71" s="34"/>
      <c r="V71" s="31"/>
      <c r="W71" s="34"/>
      <c r="X71" s="31"/>
      <c r="Y71" s="34"/>
      <c r="Z71" s="31"/>
      <c r="AA71" s="34"/>
      <c r="AB71" s="31"/>
      <c r="AC71" s="34"/>
      <c r="AD71" s="31"/>
      <c r="AE71" s="34"/>
      <c r="AF71" s="56"/>
      <c r="AG71" s="34"/>
      <c r="AH71" s="31"/>
      <c r="AI71" s="34"/>
      <c r="AJ71" s="31"/>
      <c r="AK71" s="34"/>
      <c r="AL71" s="31"/>
      <c r="AM71" s="34"/>
      <c r="AN71" s="31"/>
      <c r="AO71" s="34"/>
      <c r="AP71" s="31"/>
      <c r="AQ71" s="34"/>
      <c r="AR71" s="31"/>
      <c r="AS71" s="34"/>
      <c r="AT71" s="31"/>
      <c r="AU71" s="34"/>
      <c r="AV71" s="31"/>
      <c r="AW71" s="34"/>
      <c r="AX71" s="31"/>
      <c r="AY71" s="34"/>
      <c r="AZ71" s="31"/>
      <c r="BA71" s="34"/>
    </row>
    <row r="72" spans="1:54" ht="20" customHeight="1" x14ac:dyDescent="0.2">
      <c r="A72" s="678"/>
      <c r="B72" s="725"/>
      <c r="C72" s="255"/>
      <c r="D72" s="722" t="s">
        <v>85</v>
      </c>
      <c r="E72" s="723" t="s">
        <v>107</v>
      </c>
      <c r="F72" s="723" t="s">
        <v>108</v>
      </c>
      <c r="G72" s="722">
        <v>2008</v>
      </c>
      <c r="H72" s="287">
        <v>54</v>
      </c>
      <c r="I72" s="65">
        <v>12</v>
      </c>
      <c r="J72" s="61" t="s">
        <v>167</v>
      </c>
      <c r="K72" s="62" t="s">
        <v>209</v>
      </c>
      <c r="L72" s="31"/>
      <c r="M72" s="34" t="str">
        <f t="shared" si="0"/>
        <v/>
      </c>
      <c r="N72" s="31"/>
      <c r="O72" s="34" t="str">
        <f t="shared" si="1"/>
        <v/>
      </c>
      <c r="P72" s="56"/>
      <c r="Q72" s="34" t="str">
        <f t="shared" si="21"/>
        <v/>
      </c>
      <c r="R72" s="31"/>
      <c r="S72" s="34" t="str">
        <f t="shared" si="3"/>
        <v/>
      </c>
      <c r="T72" s="31"/>
      <c r="U72" s="34" t="str">
        <f t="shared" si="4"/>
        <v/>
      </c>
      <c r="V72" s="31"/>
      <c r="W72" s="34" t="str">
        <f t="shared" si="5"/>
        <v/>
      </c>
      <c r="X72" s="31"/>
      <c r="Y72" s="34" t="str">
        <f t="shared" si="6"/>
        <v/>
      </c>
      <c r="Z72" s="31"/>
      <c r="AA72" s="34" t="str">
        <f t="shared" si="7"/>
        <v/>
      </c>
      <c r="AB72" s="31">
        <v>1</v>
      </c>
      <c r="AC72" s="34">
        <f t="shared" si="8"/>
        <v>8.3333333333333321</v>
      </c>
      <c r="AD72" s="31"/>
      <c r="AE72" s="34" t="str">
        <f t="shared" si="9"/>
        <v/>
      </c>
      <c r="AF72" s="56"/>
      <c r="AG72" s="34" t="str">
        <f t="shared" si="10"/>
        <v/>
      </c>
      <c r="AH72" s="31">
        <v>1</v>
      </c>
      <c r="AI72" s="34">
        <f t="shared" si="11"/>
        <v>8.3333333333333321</v>
      </c>
      <c r="AJ72" s="31"/>
      <c r="AK72" s="34" t="str">
        <f t="shared" si="12"/>
        <v/>
      </c>
      <c r="AL72" s="31"/>
      <c r="AM72" s="34" t="str">
        <f t="shared" si="13"/>
        <v/>
      </c>
      <c r="AN72" s="31"/>
      <c r="AO72" s="34" t="str">
        <f t="shared" si="14"/>
        <v/>
      </c>
      <c r="AP72" s="31"/>
      <c r="AQ72" s="34" t="str">
        <f t="shared" si="15"/>
        <v/>
      </c>
      <c r="AR72" s="31"/>
      <c r="AS72" s="34" t="str">
        <f t="shared" si="16"/>
        <v/>
      </c>
      <c r="AT72" s="31"/>
      <c r="AU72" s="34" t="str">
        <f t="shared" si="17"/>
        <v/>
      </c>
      <c r="AV72" s="31"/>
      <c r="AW72" s="34" t="str">
        <f t="shared" si="18"/>
        <v/>
      </c>
      <c r="AX72" s="31"/>
      <c r="AY72" s="34" t="str">
        <f t="shared" si="19"/>
        <v/>
      </c>
      <c r="AZ72" s="31"/>
      <c r="BA72" s="34" t="str">
        <f t="shared" si="20"/>
        <v/>
      </c>
      <c r="BB72" s="21" t="s">
        <v>415</v>
      </c>
    </row>
    <row r="73" spans="1:54" ht="20" customHeight="1" x14ac:dyDescent="0.2">
      <c r="A73" s="680"/>
      <c r="B73" s="721"/>
      <c r="C73" s="722"/>
      <c r="D73" s="722" t="s">
        <v>85</v>
      </c>
      <c r="E73" s="723" t="s">
        <v>677</v>
      </c>
      <c r="F73" s="723" t="s">
        <v>678</v>
      </c>
      <c r="G73" s="722"/>
      <c r="H73" s="287"/>
      <c r="I73" s="65"/>
      <c r="J73" s="61" t="s">
        <v>340</v>
      </c>
      <c r="K73" s="62" t="s">
        <v>168</v>
      </c>
      <c r="L73" s="31"/>
      <c r="M73" s="34"/>
      <c r="N73" s="31"/>
      <c r="O73" s="34"/>
      <c r="P73" s="56"/>
      <c r="Q73" s="34"/>
      <c r="R73" s="31"/>
      <c r="S73" s="34"/>
      <c r="T73" s="31"/>
      <c r="U73" s="34"/>
      <c r="V73" s="31"/>
      <c r="W73" s="34"/>
      <c r="X73" s="31"/>
      <c r="Y73" s="34"/>
      <c r="Z73" s="31"/>
      <c r="AA73" s="34"/>
      <c r="AB73" s="31"/>
      <c r="AC73" s="34"/>
      <c r="AD73" s="31"/>
      <c r="AE73" s="34"/>
      <c r="AF73" s="56"/>
      <c r="AG73" s="34"/>
      <c r="AH73" s="31"/>
      <c r="AI73" s="34"/>
      <c r="AJ73" s="31"/>
      <c r="AK73" s="34"/>
      <c r="AL73" s="31"/>
      <c r="AM73" s="34"/>
      <c r="AN73" s="31"/>
      <c r="AO73" s="34"/>
      <c r="AP73" s="31"/>
      <c r="AQ73" s="34"/>
      <c r="AR73" s="31"/>
      <c r="AS73" s="34"/>
      <c r="AT73" s="31"/>
      <c r="AU73" s="34"/>
      <c r="AV73" s="31"/>
      <c r="AW73" s="34"/>
      <c r="AX73" s="31"/>
      <c r="AY73" s="34"/>
      <c r="AZ73" s="31"/>
      <c r="BA73" s="34"/>
    </row>
    <row r="74" spans="1:54" ht="20" customHeight="1" x14ac:dyDescent="0.2">
      <c r="A74" s="678"/>
      <c r="B74" s="725"/>
      <c r="C74" s="253"/>
      <c r="D74" s="722" t="s">
        <v>85</v>
      </c>
      <c r="E74" s="723" t="s">
        <v>109</v>
      </c>
      <c r="F74" s="723" t="s">
        <v>110</v>
      </c>
      <c r="G74" s="722">
        <v>1999</v>
      </c>
      <c r="H74" s="287">
        <v>76</v>
      </c>
      <c r="I74" s="65">
        <v>7</v>
      </c>
      <c r="J74" s="61" t="s">
        <v>175</v>
      </c>
      <c r="K74" s="62" t="s">
        <v>191</v>
      </c>
      <c r="L74" s="31"/>
      <c r="M74" s="34" t="str">
        <f t="shared" si="0"/>
        <v/>
      </c>
      <c r="N74" s="31"/>
      <c r="O74" s="34" t="str">
        <f t="shared" si="1"/>
        <v/>
      </c>
      <c r="P74" s="56"/>
      <c r="Q74" s="34" t="str">
        <f t="shared" si="21"/>
        <v/>
      </c>
      <c r="R74" s="31"/>
      <c r="S74" s="34" t="str">
        <f t="shared" si="3"/>
        <v/>
      </c>
      <c r="T74" s="31"/>
      <c r="U74" s="34" t="str">
        <f t="shared" si="4"/>
        <v/>
      </c>
      <c r="V74" s="31"/>
      <c r="W74" s="34" t="str">
        <f t="shared" si="5"/>
        <v/>
      </c>
      <c r="X74" s="31"/>
      <c r="Y74" s="34" t="str">
        <f t="shared" si="6"/>
        <v/>
      </c>
      <c r="Z74" s="31"/>
      <c r="AA74" s="34" t="str">
        <f t="shared" si="7"/>
        <v/>
      </c>
      <c r="AB74" s="31"/>
      <c r="AC74" s="34" t="str">
        <f t="shared" si="8"/>
        <v/>
      </c>
      <c r="AD74" s="31"/>
      <c r="AE74" s="34" t="str">
        <f t="shared" si="9"/>
        <v/>
      </c>
      <c r="AF74" s="56"/>
      <c r="AG74" s="34" t="str">
        <f t="shared" si="10"/>
        <v/>
      </c>
      <c r="AH74" s="31"/>
      <c r="AI74" s="34" t="str">
        <f t="shared" si="11"/>
        <v/>
      </c>
      <c r="AJ74" s="31"/>
      <c r="AK74" s="34" t="str">
        <f t="shared" si="12"/>
        <v/>
      </c>
      <c r="AL74" s="31"/>
      <c r="AM74" s="34" t="str">
        <f t="shared" si="13"/>
        <v/>
      </c>
      <c r="AN74" s="31"/>
      <c r="AO74" s="34" t="str">
        <f t="shared" si="14"/>
        <v/>
      </c>
      <c r="AP74" s="31"/>
      <c r="AQ74" s="34" t="str">
        <f t="shared" si="15"/>
        <v/>
      </c>
      <c r="AR74" s="31"/>
      <c r="AS74" s="34" t="str">
        <f t="shared" si="16"/>
        <v/>
      </c>
      <c r="AT74" s="31"/>
      <c r="AU74" s="34" t="str">
        <f t="shared" si="17"/>
        <v/>
      </c>
      <c r="AV74" s="31"/>
      <c r="AW74" s="34" t="str">
        <f t="shared" si="18"/>
        <v/>
      </c>
      <c r="AX74" s="31"/>
      <c r="AY74" s="34" t="str">
        <f t="shared" si="19"/>
        <v/>
      </c>
      <c r="AZ74" s="31"/>
      <c r="BA74" s="34" t="str">
        <f t="shared" si="20"/>
        <v/>
      </c>
      <c r="BB74" s="21" t="s">
        <v>180</v>
      </c>
    </row>
    <row r="75" spans="1:54" ht="20" customHeight="1" x14ac:dyDescent="0.2">
      <c r="A75" s="678"/>
      <c r="B75" s="721"/>
      <c r="C75" s="253"/>
      <c r="D75" s="722" t="s">
        <v>85</v>
      </c>
      <c r="E75" s="723" t="s">
        <v>111</v>
      </c>
      <c r="F75" s="723" t="s">
        <v>112</v>
      </c>
      <c r="G75" s="722">
        <v>2008</v>
      </c>
      <c r="H75" s="287">
        <v>101</v>
      </c>
      <c r="I75" s="65">
        <v>16</v>
      </c>
      <c r="J75" s="61" t="s">
        <v>210</v>
      </c>
      <c r="K75" s="62"/>
      <c r="L75" s="31"/>
      <c r="M75" s="34" t="str">
        <f t="shared" si="0"/>
        <v/>
      </c>
      <c r="N75" s="31"/>
      <c r="O75" s="34" t="str">
        <f t="shared" si="1"/>
        <v/>
      </c>
      <c r="P75" s="56"/>
      <c r="Q75" s="34" t="str">
        <f t="shared" si="21"/>
        <v/>
      </c>
      <c r="R75" s="31"/>
      <c r="S75" s="34" t="str">
        <f t="shared" si="3"/>
        <v/>
      </c>
      <c r="T75" s="31"/>
      <c r="U75" s="34" t="str">
        <f t="shared" si="4"/>
        <v/>
      </c>
      <c r="V75" s="31"/>
      <c r="W75" s="34" t="str">
        <f t="shared" si="5"/>
        <v/>
      </c>
      <c r="X75" s="31"/>
      <c r="Y75" s="34" t="str">
        <f t="shared" si="6"/>
        <v/>
      </c>
      <c r="Z75" s="31"/>
      <c r="AA75" s="34" t="str">
        <f t="shared" si="7"/>
        <v/>
      </c>
      <c r="AB75" s="31"/>
      <c r="AC75" s="34" t="str">
        <f t="shared" si="8"/>
        <v/>
      </c>
      <c r="AD75" s="31"/>
      <c r="AE75" s="34" t="str">
        <f t="shared" si="9"/>
        <v/>
      </c>
      <c r="AF75" s="56"/>
      <c r="AG75" s="34" t="str">
        <f t="shared" si="10"/>
        <v/>
      </c>
      <c r="AH75" s="31"/>
      <c r="AI75" s="34" t="str">
        <f t="shared" si="11"/>
        <v/>
      </c>
      <c r="AJ75" s="31"/>
      <c r="AK75" s="34" t="str">
        <f t="shared" si="12"/>
        <v/>
      </c>
      <c r="AL75" s="31"/>
      <c r="AM75" s="34" t="str">
        <f t="shared" si="13"/>
        <v/>
      </c>
      <c r="AN75" s="31"/>
      <c r="AO75" s="34" t="str">
        <f t="shared" si="14"/>
        <v/>
      </c>
      <c r="AP75" s="31"/>
      <c r="AQ75" s="34" t="str">
        <f t="shared" si="15"/>
        <v/>
      </c>
      <c r="AR75" s="31"/>
      <c r="AS75" s="34" t="str">
        <f t="shared" si="16"/>
        <v/>
      </c>
      <c r="AT75" s="31"/>
      <c r="AU75" s="34" t="str">
        <f t="shared" si="17"/>
        <v/>
      </c>
      <c r="AV75" s="31"/>
      <c r="AW75" s="34" t="str">
        <f t="shared" si="18"/>
        <v/>
      </c>
      <c r="AX75" s="31"/>
      <c r="AY75" s="34" t="str">
        <f t="shared" si="19"/>
        <v/>
      </c>
      <c r="AZ75" s="31"/>
      <c r="BA75" s="34" t="str">
        <f t="shared" si="20"/>
        <v/>
      </c>
      <c r="BB75" s="21" t="s">
        <v>383</v>
      </c>
    </row>
    <row r="76" spans="1:54" ht="20" customHeight="1" x14ac:dyDescent="0.2">
      <c r="A76" s="678"/>
      <c r="B76" s="725"/>
      <c r="C76" s="255"/>
      <c r="D76" s="722" t="s">
        <v>85</v>
      </c>
      <c r="E76" s="723" t="s">
        <v>119</v>
      </c>
      <c r="F76" s="723" t="s">
        <v>120</v>
      </c>
      <c r="G76" s="722">
        <v>2003</v>
      </c>
      <c r="H76" s="287">
        <v>45</v>
      </c>
      <c r="I76" s="65">
        <v>16</v>
      </c>
      <c r="J76" s="61" t="s">
        <v>175</v>
      </c>
      <c r="K76" s="62" t="s">
        <v>416</v>
      </c>
      <c r="L76" s="31"/>
      <c r="M76" s="34" t="str">
        <f t="shared" si="0"/>
        <v/>
      </c>
      <c r="N76" s="31"/>
      <c r="O76" s="34" t="str">
        <f t="shared" si="1"/>
        <v/>
      </c>
      <c r="P76" s="36"/>
      <c r="Q76" s="37" t="str">
        <f t="shared" si="21"/>
        <v/>
      </c>
      <c r="R76" s="31"/>
      <c r="S76" s="34" t="str">
        <f t="shared" si="3"/>
        <v/>
      </c>
      <c r="T76" s="36"/>
      <c r="U76" s="37" t="str">
        <f t="shared" si="4"/>
        <v/>
      </c>
      <c r="V76" s="31"/>
      <c r="W76" s="34" t="str">
        <f t="shared" si="5"/>
        <v/>
      </c>
      <c r="X76" s="31"/>
      <c r="Y76" s="34" t="str">
        <f t="shared" si="6"/>
        <v/>
      </c>
      <c r="Z76" s="31"/>
      <c r="AA76" s="34" t="str">
        <f t="shared" si="7"/>
        <v/>
      </c>
      <c r="AB76" s="31"/>
      <c r="AC76" s="34" t="str">
        <f t="shared" si="8"/>
        <v/>
      </c>
      <c r="AD76" s="31"/>
      <c r="AE76" s="34" t="str">
        <f t="shared" si="9"/>
        <v/>
      </c>
      <c r="AF76" s="56"/>
      <c r="AG76" s="34" t="str">
        <f t="shared" si="10"/>
        <v/>
      </c>
      <c r="AH76" s="31"/>
      <c r="AI76" s="34" t="str">
        <f t="shared" si="11"/>
        <v/>
      </c>
      <c r="AJ76" s="31"/>
      <c r="AK76" s="34" t="str">
        <f t="shared" si="12"/>
        <v/>
      </c>
      <c r="AL76" s="31"/>
      <c r="AM76" s="34" t="str">
        <f t="shared" si="13"/>
        <v/>
      </c>
      <c r="AN76" s="31"/>
      <c r="AO76" s="34" t="str">
        <f t="shared" si="14"/>
        <v/>
      </c>
      <c r="AP76" s="31"/>
      <c r="AQ76" s="34" t="str">
        <f t="shared" si="15"/>
        <v/>
      </c>
      <c r="AR76" s="31"/>
      <c r="AS76" s="34" t="str">
        <f t="shared" si="16"/>
        <v/>
      </c>
      <c r="AT76" s="31"/>
      <c r="AU76" s="34" t="str">
        <f t="shared" si="17"/>
        <v/>
      </c>
      <c r="AV76" s="31"/>
      <c r="AW76" s="34" t="str">
        <f t="shared" si="18"/>
        <v/>
      </c>
      <c r="AX76" s="31"/>
      <c r="AY76" s="34" t="str">
        <f t="shared" si="19"/>
        <v/>
      </c>
      <c r="AZ76" s="31"/>
      <c r="BA76" s="34" t="str">
        <f t="shared" si="20"/>
        <v/>
      </c>
      <c r="BB76" s="21" t="s">
        <v>404</v>
      </c>
    </row>
    <row r="77" spans="1:54" ht="20" customHeight="1" x14ac:dyDescent="0.2">
      <c r="A77" s="678"/>
      <c r="B77" s="725"/>
      <c r="C77" s="255"/>
      <c r="D77" s="722" t="s">
        <v>85</v>
      </c>
      <c r="E77" s="723" t="s">
        <v>304</v>
      </c>
      <c r="F77" s="723" t="s">
        <v>305</v>
      </c>
      <c r="G77" s="722">
        <v>2015</v>
      </c>
      <c r="H77" s="287"/>
      <c r="I77" s="65">
        <v>5</v>
      </c>
      <c r="J77" s="61" t="s">
        <v>210</v>
      </c>
      <c r="K77" s="62" t="s">
        <v>187</v>
      </c>
      <c r="L77" s="31"/>
      <c r="M77" s="34" t="str">
        <f t="shared" si="0"/>
        <v/>
      </c>
      <c r="N77" s="31"/>
      <c r="O77" s="34" t="str">
        <f t="shared" si="1"/>
        <v/>
      </c>
      <c r="P77" s="56"/>
      <c r="Q77" s="34" t="str">
        <f t="shared" si="21"/>
        <v/>
      </c>
      <c r="R77" s="31"/>
      <c r="S77" s="34" t="str">
        <f t="shared" si="3"/>
        <v/>
      </c>
      <c r="T77" s="31"/>
      <c r="U77" s="34" t="str">
        <f t="shared" si="4"/>
        <v/>
      </c>
      <c r="V77" s="31"/>
      <c r="W77" s="34" t="str">
        <f t="shared" si="5"/>
        <v/>
      </c>
      <c r="X77" s="31"/>
      <c r="Y77" s="34" t="str">
        <f t="shared" si="6"/>
        <v/>
      </c>
      <c r="Z77" s="31"/>
      <c r="AA77" s="34" t="str">
        <f t="shared" si="7"/>
        <v/>
      </c>
      <c r="AB77" s="31"/>
      <c r="AC77" s="34" t="str">
        <f t="shared" si="8"/>
        <v/>
      </c>
      <c r="AD77" s="31"/>
      <c r="AE77" s="34" t="str">
        <f t="shared" si="9"/>
        <v/>
      </c>
      <c r="AF77" s="56">
        <v>1</v>
      </c>
      <c r="AG77" s="34">
        <f t="shared" si="10"/>
        <v>20</v>
      </c>
      <c r="AH77" s="31"/>
      <c r="AI77" s="34" t="str">
        <f t="shared" si="11"/>
        <v/>
      </c>
      <c r="AJ77" s="31"/>
      <c r="AK77" s="34" t="str">
        <f t="shared" si="12"/>
        <v/>
      </c>
      <c r="AL77" s="31"/>
      <c r="AM77" s="34" t="str">
        <f t="shared" si="13"/>
        <v/>
      </c>
      <c r="AN77" s="31"/>
      <c r="AO77" s="34" t="str">
        <f t="shared" si="14"/>
        <v/>
      </c>
      <c r="AP77" s="31"/>
      <c r="AQ77" s="34" t="str">
        <f t="shared" si="15"/>
        <v/>
      </c>
      <c r="AR77" s="31"/>
      <c r="AS77" s="34" t="str">
        <f t="shared" si="16"/>
        <v/>
      </c>
      <c r="AT77" s="31"/>
      <c r="AU77" s="34" t="str">
        <f t="shared" si="17"/>
        <v/>
      </c>
      <c r="AV77" s="31"/>
      <c r="AW77" s="34" t="str">
        <f t="shared" si="18"/>
        <v/>
      </c>
      <c r="AX77" s="31"/>
      <c r="AY77" s="34" t="str">
        <f t="shared" si="19"/>
        <v/>
      </c>
      <c r="AZ77" s="31"/>
      <c r="BA77" s="34" t="str">
        <f t="shared" si="20"/>
        <v/>
      </c>
      <c r="BB77" s="21" t="s">
        <v>417</v>
      </c>
    </row>
    <row r="78" spans="1:54" ht="20" customHeight="1" x14ac:dyDescent="0.2">
      <c r="A78" s="680"/>
      <c r="B78" s="721"/>
      <c r="C78" s="722"/>
      <c r="D78" s="722" t="s">
        <v>85</v>
      </c>
      <c r="E78" s="723" t="s">
        <v>679</v>
      </c>
      <c r="F78" s="723" t="s">
        <v>680</v>
      </c>
      <c r="G78" s="722">
        <v>1991</v>
      </c>
      <c r="H78" s="287"/>
      <c r="I78" s="65"/>
      <c r="J78" s="61" t="s">
        <v>175</v>
      </c>
      <c r="K78" s="62" t="s">
        <v>209</v>
      </c>
      <c r="L78" s="31"/>
      <c r="M78" s="34"/>
      <c r="N78" s="31"/>
      <c r="O78" s="34"/>
      <c r="P78" s="56"/>
      <c r="Q78" s="34"/>
      <c r="R78" s="31"/>
      <c r="S78" s="34"/>
      <c r="T78" s="31"/>
      <c r="U78" s="34"/>
      <c r="V78" s="31"/>
      <c r="W78" s="34"/>
      <c r="X78" s="31"/>
      <c r="Y78" s="34"/>
      <c r="Z78" s="31"/>
      <c r="AA78" s="34"/>
      <c r="AB78" s="31"/>
      <c r="AC78" s="34"/>
      <c r="AD78" s="31"/>
      <c r="AE78" s="34"/>
      <c r="AF78" s="56"/>
      <c r="AG78" s="34"/>
      <c r="AH78" s="31"/>
      <c r="AI78" s="34"/>
      <c r="AJ78" s="31"/>
      <c r="AK78" s="34"/>
      <c r="AL78" s="31"/>
      <c r="AM78" s="34"/>
      <c r="AN78" s="31"/>
      <c r="AO78" s="34"/>
      <c r="AP78" s="31"/>
      <c r="AQ78" s="34"/>
      <c r="AR78" s="31"/>
      <c r="AS78" s="34"/>
      <c r="AT78" s="31"/>
      <c r="AU78" s="34"/>
      <c r="AV78" s="31"/>
      <c r="AW78" s="34"/>
      <c r="AX78" s="31"/>
      <c r="AY78" s="34"/>
      <c r="AZ78" s="31"/>
      <c r="BA78" s="34"/>
    </row>
    <row r="79" spans="1:54" ht="20" customHeight="1" x14ac:dyDescent="0.2">
      <c r="A79" s="678"/>
      <c r="B79" s="725"/>
      <c r="C79" s="253"/>
      <c r="D79" s="722" t="s">
        <v>85</v>
      </c>
      <c r="E79" s="723" t="s">
        <v>306</v>
      </c>
      <c r="F79" s="723" t="s">
        <v>307</v>
      </c>
      <c r="G79" s="722">
        <v>2008</v>
      </c>
      <c r="H79" s="287"/>
      <c r="I79" s="65">
        <v>86</v>
      </c>
      <c r="J79" s="61" t="s">
        <v>175</v>
      </c>
      <c r="K79" s="62"/>
      <c r="L79" s="31"/>
      <c r="M79" s="34" t="str">
        <f t="shared" si="0"/>
        <v/>
      </c>
      <c r="N79" s="31"/>
      <c r="O79" s="34" t="str">
        <f t="shared" si="1"/>
        <v/>
      </c>
      <c r="P79" s="56"/>
      <c r="Q79" s="34" t="str">
        <f t="shared" si="21"/>
        <v/>
      </c>
      <c r="R79" s="31"/>
      <c r="S79" s="34" t="str">
        <f t="shared" si="3"/>
        <v/>
      </c>
      <c r="T79" s="31"/>
      <c r="U79" s="34" t="str">
        <f t="shared" si="4"/>
        <v/>
      </c>
      <c r="V79" s="31"/>
      <c r="W79" s="34" t="str">
        <f t="shared" si="5"/>
        <v/>
      </c>
      <c r="X79" s="31"/>
      <c r="Y79" s="34" t="str">
        <f t="shared" si="6"/>
        <v/>
      </c>
      <c r="Z79" s="31"/>
      <c r="AA79" s="34" t="str">
        <f t="shared" si="7"/>
        <v/>
      </c>
      <c r="AB79" s="31"/>
      <c r="AC79" s="34" t="str">
        <f t="shared" si="8"/>
        <v/>
      </c>
      <c r="AD79" s="31"/>
      <c r="AE79" s="34" t="str">
        <f t="shared" si="9"/>
        <v/>
      </c>
      <c r="AF79" s="56"/>
      <c r="AG79" s="34" t="str">
        <f t="shared" si="10"/>
        <v/>
      </c>
      <c r="AH79" s="31"/>
      <c r="AI79" s="34" t="str">
        <f t="shared" si="11"/>
        <v/>
      </c>
      <c r="AJ79" s="31"/>
      <c r="AK79" s="34" t="str">
        <f t="shared" si="12"/>
        <v/>
      </c>
      <c r="AL79" s="31"/>
      <c r="AM79" s="34" t="str">
        <f t="shared" si="13"/>
        <v/>
      </c>
      <c r="AN79" s="31"/>
      <c r="AO79" s="34" t="str">
        <f t="shared" si="14"/>
        <v/>
      </c>
      <c r="AP79" s="31"/>
      <c r="AQ79" s="34" t="str">
        <f t="shared" si="15"/>
        <v/>
      </c>
      <c r="AR79" s="31"/>
      <c r="AS79" s="34" t="str">
        <f t="shared" si="16"/>
        <v/>
      </c>
      <c r="AT79" s="31"/>
      <c r="AU79" s="34" t="str">
        <f t="shared" si="17"/>
        <v/>
      </c>
      <c r="AV79" s="31"/>
      <c r="AW79" s="34" t="str">
        <f t="shared" si="18"/>
        <v/>
      </c>
      <c r="AX79" s="31"/>
      <c r="AY79" s="34" t="str">
        <f t="shared" si="19"/>
        <v/>
      </c>
      <c r="AZ79" s="31"/>
      <c r="BA79" s="34" t="str">
        <f t="shared" si="20"/>
        <v/>
      </c>
      <c r="BB79" s="21" t="s">
        <v>364</v>
      </c>
    </row>
    <row r="80" spans="1:54" ht="20" customHeight="1" x14ac:dyDescent="0.2">
      <c r="A80" s="678"/>
      <c r="B80" s="725"/>
      <c r="C80" s="253"/>
      <c r="D80" s="722" t="s">
        <v>85</v>
      </c>
      <c r="E80" s="723" t="s">
        <v>308</v>
      </c>
      <c r="F80" s="723" t="s">
        <v>309</v>
      </c>
      <c r="G80" s="722">
        <v>2012</v>
      </c>
      <c r="H80" s="287"/>
      <c r="I80" s="65"/>
      <c r="J80" s="61" t="s">
        <v>365</v>
      </c>
      <c r="K80" s="62" t="s">
        <v>209</v>
      </c>
      <c r="L80" s="31"/>
      <c r="M80" s="34" t="str">
        <f t="shared" si="0"/>
        <v/>
      </c>
      <c r="N80" s="31"/>
      <c r="O80" s="34" t="str">
        <f t="shared" si="1"/>
        <v/>
      </c>
      <c r="P80" s="56"/>
      <c r="Q80" s="34" t="str">
        <f t="shared" si="21"/>
        <v/>
      </c>
      <c r="R80" s="31"/>
      <c r="S80" s="34" t="str">
        <f t="shared" si="3"/>
        <v/>
      </c>
      <c r="T80" s="31"/>
      <c r="U80" s="34" t="str">
        <f t="shared" si="4"/>
        <v/>
      </c>
      <c r="V80" s="31"/>
      <c r="W80" s="34" t="str">
        <f t="shared" si="5"/>
        <v/>
      </c>
      <c r="X80" s="31"/>
      <c r="Y80" s="34" t="str">
        <f t="shared" si="6"/>
        <v/>
      </c>
      <c r="Z80" s="31"/>
      <c r="AA80" s="34" t="str">
        <f t="shared" si="7"/>
        <v/>
      </c>
      <c r="AB80" s="31"/>
      <c r="AC80" s="34" t="str">
        <f t="shared" si="8"/>
        <v/>
      </c>
      <c r="AD80" s="31"/>
      <c r="AE80" s="34" t="str">
        <f t="shared" si="9"/>
        <v/>
      </c>
      <c r="AF80" s="56"/>
      <c r="AG80" s="34" t="str">
        <f t="shared" si="10"/>
        <v/>
      </c>
      <c r="AH80" s="31"/>
      <c r="AI80" s="34" t="str">
        <f t="shared" si="11"/>
        <v/>
      </c>
      <c r="AJ80" s="31"/>
      <c r="AK80" s="34" t="str">
        <f t="shared" si="12"/>
        <v/>
      </c>
      <c r="AL80" s="31"/>
      <c r="AM80" s="34" t="str">
        <f t="shared" si="13"/>
        <v/>
      </c>
      <c r="AN80" s="31"/>
      <c r="AO80" s="34" t="str">
        <f t="shared" si="14"/>
        <v/>
      </c>
      <c r="AP80" s="31"/>
      <c r="AQ80" s="34" t="str">
        <f t="shared" si="15"/>
        <v/>
      </c>
      <c r="AR80" s="31"/>
      <c r="AS80" s="34" t="str">
        <f t="shared" si="16"/>
        <v/>
      </c>
      <c r="AT80" s="31"/>
      <c r="AU80" s="34" t="str">
        <f t="shared" si="17"/>
        <v/>
      </c>
      <c r="AV80" s="31"/>
      <c r="AW80" s="34" t="str">
        <f t="shared" si="18"/>
        <v/>
      </c>
      <c r="AX80" s="31"/>
      <c r="AY80" s="34" t="str">
        <f t="shared" si="19"/>
        <v/>
      </c>
      <c r="AZ80" s="31"/>
      <c r="BA80" s="34" t="str">
        <f t="shared" si="20"/>
        <v/>
      </c>
    </row>
    <row r="81" spans="1:54" ht="20" customHeight="1" x14ac:dyDescent="0.2">
      <c r="A81" s="680"/>
      <c r="B81" s="721"/>
      <c r="C81" s="722"/>
      <c r="D81" s="722" t="s">
        <v>85</v>
      </c>
      <c r="E81" s="723" t="s">
        <v>681</v>
      </c>
      <c r="F81" s="723" t="s">
        <v>682</v>
      </c>
      <c r="G81" s="722">
        <v>2012</v>
      </c>
      <c r="H81" s="287"/>
      <c r="I81" s="65"/>
      <c r="J81" s="61" t="s">
        <v>213</v>
      </c>
      <c r="K81" s="62" t="s">
        <v>332</v>
      </c>
      <c r="L81" s="31"/>
      <c r="M81" s="34"/>
      <c r="N81" s="31"/>
      <c r="O81" s="34"/>
      <c r="P81" s="56"/>
      <c r="Q81" s="34"/>
      <c r="R81" s="31"/>
      <c r="S81" s="34"/>
      <c r="T81" s="31"/>
      <c r="U81" s="34"/>
      <c r="V81" s="31"/>
      <c r="W81" s="34"/>
      <c r="X81" s="31"/>
      <c r="Y81" s="34"/>
      <c r="Z81" s="31"/>
      <c r="AA81" s="34"/>
      <c r="AB81" s="31"/>
      <c r="AC81" s="34"/>
      <c r="AD81" s="31"/>
      <c r="AE81" s="34"/>
      <c r="AF81" s="56"/>
      <c r="AG81" s="34"/>
      <c r="AH81" s="31"/>
      <c r="AI81" s="34"/>
      <c r="AJ81" s="31"/>
      <c r="AK81" s="34"/>
      <c r="AL81" s="31"/>
      <c r="AM81" s="34"/>
      <c r="AN81" s="31"/>
      <c r="AO81" s="34"/>
      <c r="AP81" s="31"/>
      <c r="AQ81" s="34"/>
      <c r="AR81" s="31"/>
      <c r="AS81" s="34"/>
      <c r="AT81" s="31"/>
      <c r="AU81" s="34"/>
      <c r="AV81" s="31"/>
      <c r="AW81" s="34"/>
      <c r="AX81" s="31"/>
      <c r="AY81" s="34"/>
      <c r="AZ81" s="31"/>
      <c r="BA81" s="34"/>
    </row>
    <row r="82" spans="1:54" ht="20" customHeight="1" x14ac:dyDescent="0.2">
      <c r="A82" s="678"/>
      <c r="B82" s="721"/>
      <c r="C82" s="722"/>
      <c r="D82" s="722" t="s">
        <v>85</v>
      </c>
      <c r="E82" s="723" t="s">
        <v>127</v>
      </c>
      <c r="F82" s="723" t="s">
        <v>128</v>
      </c>
      <c r="G82" s="722">
        <v>2000</v>
      </c>
      <c r="H82" s="287">
        <v>252</v>
      </c>
      <c r="I82" s="65">
        <v>30</v>
      </c>
      <c r="J82" s="61" t="s">
        <v>217</v>
      </c>
      <c r="K82" s="62" t="s">
        <v>168</v>
      </c>
      <c r="L82" s="31"/>
      <c r="M82" s="34" t="str">
        <f t="shared" si="0"/>
        <v/>
      </c>
      <c r="N82" s="31"/>
      <c r="O82" s="34" t="str">
        <f t="shared" si="1"/>
        <v/>
      </c>
      <c r="P82" s="56"/>
      <c r="Q82" s="34" t="str">
        <f t="shared" si="21"/>
        <v/>
      </c>
      <c r="R82" s="31"/>
      <c r="S82" s="34" t="str">
        <f t="shared" si="3"/>
        <v/>
      </c>
      <c r="T82" s="31"/>
      <c r="U82" s="34" t="str">
        <f t="shared" si="4"/>
        <v/>
      </c>
      <c r="V82" s="31"/>
      <c r="W82" s="34" t="str">
        <f t="shared" si="5"/>
        <v/>
      </c>
      <c r="X82" s="31"/>
      <c r="Y82" s="34" t="str">
        <f t="shared" si="6"/>
        <v/>
      </c>
      <c r="Z82" s="31"/>
      <c r="AA82" s="34" t="str">
        <f t="shared" si="7"/>
        <v/>
      </c>
      <c r="AB82" s="31"/>
      <c r="AC82" s="34" t="str">
        <f t="shared" si="8"/>
        <v/>
      </c>
      <c r="AD82" s="31"/>
      <c r="AE82" s="34" t="str">
        <f t="shared" si="9"/>
        <v/>
      </c>
      <c r="AF82" s="56"/>
      <c r="AG82" s="34" t="str">
        <f t="shared" si="10"/>
        <v/>
      </c>
      <c r="AH82" s="31"/>
      <c r="AI82" s="34" t="str">
        <f t="shared" si="11"/>
        <v/>
      </c>
      <c r="AJ82" s="31"/>
      <c r="AK82" s="34" t="str">
        <f t="shared" si="12"/>
        <v/>
      </c>
      <c r="AL82" s="31"/>
      <c r="AM82" s="34" t="str">
        <f t="shared" si="13"/>
        <v/>
      </c>
      <c r="AN82" s="31"/>
      <c r="AO82" s="34" t="str">
        <f t="shared" si="14"/>
        <v/>
      </c>
      <c r="AP82" s="31"/>
      <c r="AQ82" s="34" t="str">
        <f t="shared" si="15"/>
        <v/>
      </c>
      <c r="AR82" s="31"/>
      <c r="AS82" s="34" t="str">
        <f t="shared" si="16"/>
        <v/>
      </c>
      <c r="AT82" s="31"/>
      <c r="AU82" s="34" t="str">
        <f t="shared" si="17"/>
        <v/>
      </c>
      <c r="AV82" s="31"/>
      <c r="AW82" s="34" t="str">
        <f t="shared" si="18"/>
        <v/>
      </c>
      <c r="AX82" s="31"/>
      <c r="AY82" s="34" t="str">
        <f t="shared" si="19"/>
        <v/>
      </c>
      <c r="AZ82" s="31"/>
      <c r="BA82" s="34" t="str">
        <f t="shared" si="20"/>
        <v/>
      </c>
      <c r="BB82" s="21" t="s">
        <v>418</v>
      </c>
    </row>
    <row r="83" spans="1:54" ht="20" customHeight="1" x14ac:dyDescent="0.2">
      <c r="A83" s="680"/>
      <c r="B83" s="721"/>
      <c r="C83" s="722"/>
      <c r="D83" s="722" t="s">
        <v>85</v>
      </c>
      <c r="E83" s="723" t="s">
        <v>683</v>
      </c>
      <c r="F83" s="723" t="s">
        <v>684</v>
      </c>
      <c r="G83" s="722">
        <v>2004</v>
      </c>
      <c r="H83" s="287"/>
      <c r="I83" s="65"/>
      <c r="J83" s="61" t="s">
        <v>213</v>
      </c>
      <c r="K83" s="62" t="s">
        <v>192</v>
      </c>
      <c r="L83" s="31"/>
      <c r="M83" s="34"/>
      <c r="N83" s="31"/>
      <c r="O83" s="34"/>
      <c r="P83" s="56"/>
      <c r="Q83" s="34"/>
      <c r="R83" s="31"/>
      <c r="S83" s="34"/>
      <c r="T83" s="31"/>
      <c r="U83" s="34"/>
      <c r="V83" s="31"/>
      <c r="W83" s="34"/>
      <c r="X83" s="31"/>
      <c r="Y83" s="34"/>
      <c r="Z83" s="31"/>
      <c r="AA83" s="34"/>
      <c r="AB83" s="31"/>
      <c r="AC83" s="34"/>
      <c r="AD83" s="31"/>
      <c r="AE83" s="34"/>
      <c r="AF83" s="56"/>
      <c r="AG83" s="34"/>
      <c r="AH83" s="31"/>
      <c r="AI83" s="34"/>
      <c r="AJ83" s="31"/>
      <c r="AK83" s="34"/>
      <c r="AL83" s="31"/>
      <c r="AM83" s="34"/>
      <c r="AN83" s="31"/>
      <c r="AO83" s="34"/>
      <c r="AP83" s="31"/>
      <c r="AQ83" s="34"/>
      <c r="AR83" s="31"/>
      <c r="AS83" s="34"/>
      <c r="AT83" s="31"/>
      <c r="AU83" s="34"/>
      <c r="AV83" s="31"/>
      <c r="AW83" s="34"/>
      <c r="AX83" s="31"/>
      <c r="AY83" s="34"/>
      <c r="AZ83" s="31"/>
      <c r="BA83" s="34"/>
    </row>
    <row r="84" spans="1:54" ht="20" customHeight="1" x14ac:dyDescent="0.2">
      <c r="A84" s="678"/>
      <c r="B84" s="725"/>
      <c r="C84" s="253"/>
      <c r="D84" s="722" t="s">
        <v>85</v>
      </c>
      <c r="E84" s="723" t="s">
        <v>568</v>
      </c>
      <c r="F84" s="723" t="s">
        <v>569</v>
      </c>
      <c r="G84" s="722">
        <v>2010</v>
      </c>
      <c r="H84" s="287"/>
      <c r="I84" s="65">
        <v>15</v>
      </c>
      <c r="J84" s="61" t="s">
        <v>184</v>
      </c>
      <c r="K84" s="62" t="s">
        <v>168</v>
      </c>
      <c r="L84" s="31"/>
      <c r="M84" s="34"/>
      <c r="N84" s="31">
        <v>2</v>
      </c>
      <c r="O84" s="34">
        <f t="shared" si="1"/>
        <v>13.333333333333334</v>
      </c>
      <c r="P84" s="56">
        <v>2</v>
      </c>
      <c r="Q84" s="34">
        <f t="shared" si="21"/>
        <v>13.333333333333334</v>
      </c>
      <c r="R84" s="31"/>
      <c r="S84" s="34"/>
      <c r="T84" s="31">
        <v>1</v>
      </c>
      <c r="U84" s="34">
        <f t="shared" si="4"/>
        <v>6.666666666666667</v>
      </c>
      <c r="V84" s="31"/>
      <c r="W84" s="34"/>
      <c r="X84" s="31"/>
      <c r="Y84" s="34"/>
      <c r="Z84" s="31"/>
      <c r="AA84" s="34"/>
      <c r="AB84" s="31"/>
      <c r="AC84" s="34"/>
      <c r="AD84" s="31"/>
      <c r="AE84" s="34"/>
      <c r="AF84" s="56"/>
      <c r="AG84" s="34"/>
      <c r="AH84" s="31"/>
      <c r="AI84" s="34"/>
      <c r="AJ84" s="31"/>
      <c r="AK84" s="34"/>
      <c r="AL84" s="31"/>
      <c r="AM84" s="34"/>
      <c r="AN84" s="31"/>
      <c r="AO84" s="34"/>
      <c r="AP84" s="31"/>
      <c r="AQ84" s="34"/>
      <c r="AR84" s="31"/>
      <c r="AS84" s="34"/>
      <c r="AT84" s="31"/>
      <c r="AU84" s="34"/>
      <c r="AV84" s="31"/>
      <c r="AW84" s="34"/>
      <c r="AX84" s="31"/>
      <c r="AY84" s="34"/>
      <c r="AZ84" s="31"/>
      <c r="BA84" s="34"/>
      <c r="BB84" s="21" t="s">
        <v>570</v>
      </c>
    </row>
    <row r="85" spans="1:54" ht="20" customHeight="1" x14ac:dyDescent="0.2">
      <c r="A85" s="678"/>
      <c r="B85" s="725"/>
      <c r="C85" s="255"/>
      <c r="D85" s="722" t="s">
        <v>85</v>
      </c>
      <c r="E85" s="723" t="s">
        <v>133</v>
      </c>
      <c r="F85" s="723" t="s">
        <v>134</v>
      </c>
      <c r="G85" s="722">
        <v>2001</v>
      </c>
      <c r="H85" s="287">
        <v>192</v>
      </c>
      <c r="I85" s="65">
        <v>19</v>
      </c>
      <c r="J85" s="61" t="s">
        <v>175</v>
      </c>
      <c r="K85" s="62" t="s">
        <v>168</v>
      </c>
      <c r="L85" s="31"/>
      <c r="M85" s="34" t="str">
        <f t="shared" si="0"/>
        <v/>
      </c>
      <c r="N85" s="31"/>
      <c r="O85" s="34" t="str">
        <f t="shared" si="1"/>
        <v/>
      </c>
      <c r="P85" s="56"/>
      <c r="Q85" s="34" t="str">
        <f t="shared" si="21"/>
        <v/>
      </c>
      <c r="R85" s="31"/>
      <c r="S85" s="34" t="str">
        <f t="shared" si="3"/>
        <v/>
      </c>
      <c r="T85" s="31"/>
      <c r="U85" s="34" t="str">
        <f t="shared" si="4"/>
        <v/>
      </c>
      <c r="V85" s="31"/>
      <c r="W85" s="34" t="str">
        <f t="shared" si="5"/>
        <v/>
      </c>
      <c r="X85" s="31"/>
      <c r="Y85" s="34" t="str">
        <f t="shared" si="6"/>
        <v/>
      </c>
      <c r="Z85" s="31"/>
      <c r="AA85" s="34" t="str">
        <f t="shared" si="7"/>
        <v/>
      </c>
      <c r="AB85" s="31">
        <v>2</v>
      </c>
      <c r="AC85" s="34">
        <f t="shared" si="8"/>
        <v>10.526315789473683</v>
      </c>
      <c r="AD85" s="31"/>
      <c r="AE85" s="34" t="str">
        <f t="shared" si="9"/>
        <v/>
      </c>
      <c r="AF85" s="56"/>
      <c r="AG85" s="34" t="str">
        <f t="shared" si="10"/>
        <v/>
      </c>
      <c r="AH85" s="31"/>
      <c r="AI85" s="34" t="str">
        <f t="shared" si="11"/>
        <v/>
      </c>
      <c r="AJ85" s="31"/>
      <c r="AK85" s="34" t="str">
        <f t="shared" si="12"/>
        <v/>
      </c>
      <c r="AL85" s="31"/>
      <c r="AM85" s="34" t="str">
        <f t="shared" si="13"/>
        <v/>
      </c>
      <c r="AN85" s="31"/>
      <c r="AO85" s="34" t="str">
        <f t="shared" si="14"/>
        <v/>
      </c>
      <c r="AP85" s="36">
        <v>1</v>
      </c>
      <c r="AQ85" s="37">
        <f t="shared" si="15"/>
        <v>5.2631578947368416</v>
      </c>
      <c r="AR85" s="31"/>
      <c r="AS85" s="34" t="str">
        <f t="shared" si="16"/>
        <v/>
      </c>
      <c r="AT85" s="31"/>
      <c r="AU85" s="34" t="str">
        <f t="shared" si="17"/>
        <v/>
      </c>
      <c r="AV85" s="31"/>
      <c r="AW85" s="34" t="str">
        <f t="shared" si="18"/>
        <v/>
      </c>
      <c r="AX85" s="31"/>
      <c r="AY85" s="34" t="str">
        <f t="shared" si="19"/>
        <v/>
      </c>
      <c r="AZ85" s="31"/>
      <c r="BA85" s="34" t="str">
        <f t="shared" si="20"/>
        <v/>
      </c>
      <c r="BB85" s="21" t="s">
        <v>387</v>
      </c>
    </row>
    <row r="86" spans="1:54" ht="20" customHeight="1" x14ac:dyDescent="0.2">
      <c r="A86" s="678"/>
      <c r="B86" s="725"/>
      <c r="C86" s="255"/>
      <c r="D86" s="722" t="s">
        <v>85</v>
      </c>
      <c r="E86" s="723" t="s">
        <v>685</v>
      </c>
      <c r="F86" s="723" t="s">
        <v>686</v>
      </c>
      <c r="G86" s="722">
        <v>2003</v>
      </c>
      <c r="H86" s="287"/>
      <c r="I86" s="65"/>
      <c r="J86" s="61" t="s">
        <v>175</v>
      </c>
      <c r="K86" s="62" t="s">
        <v>168</v>
      </c>
      <c r="L86" s="31"/>
      <c r="M86" s="34"/>
      <c r="N86" s="31"/>
      <c r="O86" s="34"/>
      <c r="P86" s="56"/>
      <c r="Q86" s="34"/>
      <c r="R86" s="31"/>
      <c r="S86" s="34"/>
      <c r="T86" s="31"/>
      <c r="U86" s="34"/>
      <c r="V86" s="31"/>
      <c r="W86" s="34"/>
      <c r="X86" s="31"/>
      <c r="Y86" s="34"/>
      <c r="Z86" s="31"/>
      <c r="AA86" s="34"/>
      <c r="AB86" s="31"/>
      <c r="AC86" s="34"/>
      <c r="AD86" s="31"/>
      <c r="AE86" s="34"/>
      <c r="AF86" s="56"/>
      <c r="AG86" s="34"/>
      <c r="AH86" s="31"/>
      <c r="AI86" s="34"/>
      <c r="AJ86" s="31"/>
      <c r="AK86" s="34"/>
      <c r="AL86" s="31"/>
      <c r="AM86" s="34"/>
      <c r="AN86" s="31"/>
      <c r="AO86" s="34"/>
      <c r="AP86" s="31"/>
      <c r="AQ86" s="34"/>
      <c r="AR86" s="31"/>
      <c r="AS86" s="34"/>
      <c r="AT86" s="31"/>
      <c r="AU86" s="34"/>
      <c r="AV86" s="31"/>
      <c r="AW86" s="34"/>
      <c r="AX86" s="31"/>
      <c r="AY86" s="34"/>
      <c r="AZ86" s="31"/>
      <c r="BA86" s="34"/>
    </row>
    <row r="87" spans="1:54" ht="20" customHeight="1" x14ac:dyDescent="0.2">
      <c r="A87" s="678"/>
      <c r="B87" s="721"/>
      <c r="C87" s="255"/>
      <c r="D87" s="722"/>
      <c r="E87" s="723" t="s">
        <v>151</v>
      </c>
      <c r="F87" s="723" t="s">
        <v>419</v>
      </c>
      <c r="G87" s="722">
        <v>1999</v>
      </c>
      <c r="H87" s="287"/>
      <c r="I87" s="65">
        <v>30</v>
      </c>
      <c r="J87" s="61" t="s">
        <v>420</v>
      </c>
      <c r="K87" s="62" t="s">
        <v>219</v>
      </c>
      <c r="L87" s="31"/>
      <c r="M87" s="34"/>
      <c r="N87" s="31"/>
      <c r="O87" s="34"/>
      <c r="P87" s="56"/>
      <c r="Q87" s="34"/>
      <c r="R87" s="31"/>
      <c r="S87" s="34"/>
      <c r="T87" s="31"/>
      <c r="U87" s="34"/>
      <c r="V87" s="31"/>
      <c r="W87" s="34"/>
      <c r="X87" s="31"/>
      <c r="Y87" s="34"/>
      <c r="Z87" s="31"/>
      <c r="AA87" s="34"/>
      <c r="AB87" s="31"/>
      <c r="AC87" s="34"/>
      <c r="AD87" s="31"/>
      <c r="AE87" s="34"/>
      <c r="AF87" s="56"/>
      <c r="AG87" s="34"/>
      <c r="AH87" s="31"/>
      <c r="AI87" s="34"/>
      <c r="AJ87" s="31"/>
      <c r="AK87" s="34"/>
      <c r="AL87" s="31"/>
      <c r="AM87" s="34"/>
      <c r="AN87" s="31"/>
      <c r="AO87" s="34"/>
      <c r="AP87" s="31"/>
      <c r="AQ87" s="34"/>
      <c r="AR87" s="31"/>
      <c r="AS87" s="34"/>
      <c r="AT87" s="31"/>
      <c r="AU87" s="34"/>
      <c r="AV87" s="31"/>
      <c r="AW87" s="34"/>
      <c r="AX87" s="31"/>
      <c r="AY87" s="34"/>
      <c r="AZ87" s="31"/>
      <c r="BA87" s="34"/>
      <c r="BB87" s="21" t="s">
        <v>388</v>
      </c>
    </row>
    <row r="88" spans="1:54" ht="20" customHeight="1" x14ac:dyDescent="0.2">
      <c r="A88" s="678"/>
      <c r="B88" s="725"/>
      <c r="C88" s="255"/>
      <c r="D88" s="722" t="s">
        <v>85</v>
      </c>
      <c r="E88" s="723" t="s">
        <v>135</v>
      </c>
      <c r="F88" s="723" t="s">
        <v>136</v>
      </c>
      <c r="G88" s="722">
        <v>2007</v>
      </c>
      <c r="H88" s="287">
        <v>240</v>
      </c>
      <c r="I88" s="65">
        <v>53</v>
      </c>
      <c r="J88" s="61" t="s">
        <v>220</v>
      </c>
      <c r="K88" s="62" t="s">
        <v>168</v>
      </c>
      <c r="L88" s="31"/>
      <c r="M88" s="34" t="str">
        <f t="shared" ref="M88:M96" si="22">IF((ISERROR((L88/$I88)*100)), "", IF(AND(NOT(ISERROR((L88/$I88)*100)),((L88/$I88)*100) &lt;&gt; 0), (L88/$I88)*100, ""))</f>
        <v/>
      </c>
      <c r="N88" s="31">
        <v>1</v>
      </c>
      <c r="O88" s="34">
        <f t="shared" ref="O88:O96" si="23">IF((ISERROR((N88/$I88)*100)), "", IF(AND(NOT(ISERROR((N88/$I88)*100)),((N88/$I88)*100) &lt;&gt; 0), (N88/$I88)*100, ""))</f>
        <v>1.8867924528301887</v>
      </c>
      <c r="P88" s="56">
        <v>7</v>
      </c>
      <c r="Q88" s="34">
        <f t="shared" ref="Q88:Q96" si="24">IF((ISERROR((P88/$I88)*100)), "", IF(AND(NOT(ISERROR((P88/$I88)*100)),((P88/$I88)*100) &lt;&gt; 0), (P88/$I88)*100, ""))</f>
        <v>13.20754716981132</v>
      </c>
      <c r="R88" s="31"/>
      <c r="S88" s="34" t="str">
        <f t="shared" ref="S88:S96" si="25">IF((ISERROR((R88/$I88)*100)), "", IF(AND(NOT(ISERROR((R88/$I88)*100)),((R88/$I88)*100) &lt;&gt; 0), (R88/$I88)*100, ""))</f>
        <v/>
      </c>
      <c r="T88" s="31"/>
      <c r="U88" s="34" t="str">
        <f t="shared" ref="U88:U96" si="26">IF((ISERROR((T88/$I88)*100)), "", IF(AND(NOT(ISERROR((T88/$I88)*100)),((T88/$I88)*100) &lt;&gt; 0), (T88/$I88)*100, ""))</f>
        <v/>
      </c>
      <c r="V88" s="31"/>
      <c r="W88" s="34" t="str">
        <f t="shared" ref="W88:W96" si="27">IF((ISERROR((V88/$I88)*100)), "", IF(AND(NOT(ISERROR((V88/$I88)*100)),((V88/$I88)*100) &lt;&gt; 0), (V88/$I88)*100, ""))</f>
        <v/>
      </c>
      <c r="X88" s="31"/>
      <c r="Y88" s="34" t="str">
        <f t="shared" ref="Y88:Y96" si="28">IF((ISERROR((X88/$I88)*100)), "", IF(AND(NOT(ISERROR((X88/$I88)*100)),((X88/$I88)*100) &lt;&gt; 0), (X88/$I88)*100, ""))</f>
        <v/>
      </c>
      <c r="Z88" s="31"/>
      <c r="AA88" s="34" t="str">
        <f>IF((ISERROR((Z88/$I88)*100)), "", IF(AND(NOT(ISERROR((Z88/$I88)*100)),((Z88/$I88)*100) &lt;&gt; 0), (Z88/$I88)*100, ""))</f>
        <v/>
      </c>
      <c r="AB88" s="31">
        <v>3</v>
      </c>
      <c r="AC88" s="34">
        <f t="shared" ref="AC88:AC96" si="29">IF((ISERROR((AB88/$I88)*100)), "", IF(AND(NOT(ISERROR((AB88/$I88)*100)),((AB88/$I88)*100) &lt;&gt; 0), (AB88/$I88)*100, ""))</f>
        <v>5.6603773584905666</v>
      </c>
      <c r="AD88" s="31">
        <v>2</v>
      </c>
      <c r="AE88" s="34">
        <f t="shared" ref="AE88:AE96" si="30">IF((ISERROR((AD88/$I88)*100)), "", IF(AND(NOT(ISERROR((AD88/$I88)*100)),((AD88/$I88)*100) &lt;&gt; 0), (AD88/$I88)*100, ""))</f>
        <v>3.7735849056603774</v>
      </c>
      <c r="AF88" s="56"/>
      <c r="AG88" s="34" t="str">
        <f t="shared" ref="AG88:AG96" si="31">IF((ISERROR((AF88/$I88)*100)), "", IF(AND(NOT(ISERROR((AF88/$I88)*100)),((AF88/$I88)*100) &lt;&gt; 0), (AF88/$I88)*100, ""))</f>
        <v/>
      </c>
      <c r="AH88" s="31"/>
      <c r="AI88" s="34" t="str">
        <f t="shared" ref="AI88:AI96" si="32">IF((ISERROR((AH88/$I88)*100)), "", IF(AND(NOT(ISERROR((AH88/$I88)*100)),((AH88/$I88)*100) &lt;&gt; 0), (AH88/$I88)*100, ""))</f>
        <v/>
      </c>
      <c r="AJ88" s="31"/>
      <c r="AK88" s="34" t="str">
        <f t="shared" ref="AK88:AK96" si="33">IF((ISERROR((AJ88/$I88)*100)), "", IF(AND(NOT(ISERROR((AJ88/$I88)*100)),((AJ88/$I88)*100) &lt;&gt; 0), (AJ88/$I88)*100, ""))</f>
        <v/>
      </c>
      <c r="AL88" s="31"/>
      <c r="AM88" s="34" t="str">
        <f t="shared" ref="AM88:AM96" si="34">IF((ISERROR((AL88/$I88)*100)), "", IF(AND(NOT(ISERROR((AL88/$I88)*100)),((AL88/$I88)*100) &lt;&gt; 0), (AL88/$I88)*100, ""))</f>
        <v/>
      </c>
      <c r="AN88" s="31"/>
      <c r="AO88" s="34" t="str">
        <f t="shared" ref="AO88:AO96" si="35">IF((ISERROR((AN88/$I88)*100)), "", IF(AND(NOT(ISERROR((AN88/$I88)*100)),((AN88/$I88)*100) &lt;&gt; 0), (AN88/$I88)*100, ""))</f>
        <v/>
      </c>
      <c r="AP88" s="31"/>
      <c r="AQ88" s="34" t="str">
        <f t="shared" ref="AQ88:AQ96" si="36">IF((ISERROR((AP88/$I88)*100)), "", IF(AND(NOT(ISERROR((AP88/$I88)*100)),((AP88/$I88)*100) &lt;&gt; 0), (AP88/$I88)*100, ""))</f>
        <v/>
      </c>
      <c r="AR88" s="31"/>
      <c r="AS88" s="34" t="str">
        <f t="shared" ref="AS88:AS96" si="37">IF((ISERROR((AR88/$I88)*100)), "", IF(AND(NOT(ISERROR((AR88/$I88)*100)),((AR88/$I88)*100) &lt;&gt; 0), (AR88/$I88)*100, ""))</f>
        <v/>
      </c>
      <c r="AT88" s="31"/>
      <c r="AU88" s="34" t="str">
        <f t="shared" ref="AU88:AU96" si="38">IF((ISERROR((AT88/$I88)*100)), "", IF(AND(NOT(ISERROR((AT88/$I88)*100)),((AT88/$I88)*100) &lt;&gt; 0), (AT88/$I88)*100, ""))</f>
        <v/>
      </c>
      <c r="AV88" s="31"/>
      <c r="AW88" s="34" t="str">
        <f t="shared" si="18"/>
        <v/>
      </c>
      <c r="AX88" s="31">
        <v>3</v>
      </c>
      <c r="AY88" s="34">
        <f t="shared" si="19"/>
        <v>5.6603773584905666</v>
      </c>
      <c r="AZ88" s="31"/>
      <c r="BA88" s="34" t="str">
        <f t="shared" si="20"/>
        <v/>
      </c>
      <c r="BB88" s="21" t="s">
        <v>586</v>
      </c>
    </row>
    <row r="89" spans="1:54" ht="20" customHeight="1" x14ac:dyDescent="0.2">
      <c r="A89" s="678"/>
      <c r="B89" s="725"/>
      <c r="C89" s="255"/>
      <c r="D89" s="722" t="s">
        <v>85</v>
      </c>
      <c r="E89" s="723" t="s">
        <v>310</v>
      </c>
      <c r="F89" s="723" t="s">
        <v>311</v>
      </c>
      <c r="G89" s="722">
        <v>2010</v>
      </c>
      <c r="H89" s="287"/>
      <c r="I89" s="65">
        <v>53</v>
      </c>
      <c r="J89" s="78" t="s">
        <v>366</v>
      </c>
      <c r="K89" s="62" t="s">
        <v>405</v>
      </c>
      <c r="L89" s="31"/>
      <c r="M89" s="34" t="str">
        <f t="shared" si="22"/>
        <v/>
      </c>
      <c r="N89" s="31"/>
      <c r="O89" s="34" t="str">
        <f t="shared" si="23"/>
        <v/>
      </c>
      <c r="P89" s="56">
        <v>15</v>
      </c>
      <c r="Q89" s="34">
        <f t="shared" si="24"/>
        <v>28.30188679245283</v>
      </c>
      <c r="R89" s="31"/>
      <c r="S89" s="34" t="str">
        <f t="shared" si="25"/>
        <v/>
      </c>
      <c r="T89" s="31">
        <v>15</v>
      </c>
      <c r="U89" s="34">
        <f t="shared" si="26"/>
        <v>28.30188679245283</v>
      </c>
      <c r="V89" s="31"/>
      <c r="W89" s="34" t="str">
        <f t="shared" si="27"/>
        <v/>
      </c>
      <c r="X89" s="31"/>
      <c r="Y89" s="34" t="str">
        <f t="shared" si="28"/>
        <v/>
      </c>
      <c r="Z89" s="31"/>
      <c r="AA89" s="34" t="str">
        <f>IF((ISERROR((Z89/$I89)*100)), "", IF(AND(NOT(ISERROR((Z89/$I89)*100)),((Z89/$I89)*100) &lt;&gt; 0), (Z89/$I89)*100, ""))</f>
        <v/>
      </c>
      <c r="AB89" s="31">
        <v>2</v>
      </c>
      <c r="AC89" s="34">
        <f t="shared" si="29"/>
        <v>3.7735849056603774</v>
      </c>
      <c r="AD89" s="31">
        <v>9</v>
      </c>
      <c r="AE89" s="34">
        <f t="shared" si="30"/>
        <v>16.981132075471699</v>
      </c>
      <c r="AF89" s="56"/>
      <c r="AG89" s="34" t="str">
        <f t="shared" si="31"/>
        <v/>
      </c>
      <c r="AH89" s="31"/>
      <c r="AI89" s="34" t="str">
        <f t="shared" si="32"/>
        <v/>
      </c>
      <c r="AJ89" s="31">
        <v>3</v>
      </c>
      <c r="AK89" s="34">
        <f t="shared" si="33"/>
        <v>5.6603773584905666</v>
      </c>
      <c r="AL89" s="31">
        <v>2</v>
      </c>
      <c r="AM89" s="34">
        <f t="shared" si="34"/>
        <v>3.7735849056603774</v>
      </c>
      <c r="AN89" s="31"/>
      <c r="AO89" s="34" t="str">
        <f t="shared" si="35"/>
        <v/>
      </c>
      <c r="AP89" s="31"/>
      <c r="AQ89" s="34" t="str">
        <f t="shared" si="36"/>
        <v/>
      </c>
      <c r="AR89" s="31"/>
      <c r="AS89" s="34" t="str">
        <f t="shared" si="37"/>
        <v/>
      </c>
      <c r="AT89" s="31"/>
      <c r="AU89" s="34" t="str">
        <f t="shared" si="38"/>
        <v/>
      </c>
      <c r="AV89" s="31"/>
      <c r="AW89" s="34" t="str">
        <f t="shared" si="18"/>
        <v/>
      </c>
      <c r="AX89" s="31"/>
      <c r="AY89" s="34" t="str">
        <f t="shared" si="19"/>
        <v/>
      </c>
      <c r="AZ89" s="31"/>
      <c r="BA89" s="34" t="str">
        <f t="shared" si="20"/>
        <v/>
      </c>
      <c r="BB89" s="21" t="s">
        <v>367</v>
      </c>
    </row>
    <row r="90" spans="1:54" ht="20" customHeight="1" x14ac:dyDescent="0.2">
      <c r="A90" s="678"/>
      <c r="B90" s="725"/>
      <c r="C90" s="255"/>
      <c r="D90" s="722" t="s">
        <v>85</v>
      </c>
      <c r="E90" s="723" t="s">
        <v>312</v>
      </c>
      <c r="F90" s="723" t="s">
        <v>313</v>
      </c>
      <c r="G90" s="722">
        <v>2014</v>
      </c>
      <c r="H90" s="287"/>
      <c r="I90" s="65">
        <v>39</v>
      </c>
      <c r="J90" s="61" t="s">
        <v>210</v>
      </c>
      <c r="K90" s="62" t="s">
        <v>368</v>
      </c>
      <c r="L90" s="31"/>
      <c r="M90" s="34" t="str">
        <f t="shared" si="22"/>
        <v/>
      </c>
      <c r="N90" s="31"/>
      <c r="O90" s="34" t="str">
        <f t="shared" si="23"/>
        <v/>
      </c>
      <c r="P90" s="56">
        <v>6</v>
      </c>
      <c r="Q90" s="34">
        <f t="shared" si="24"/>
        <v>15.384615384615385</v>
      </c>
      <c r="R90" s="31"/>
      <c r="S90" s="34" t="str">
        <f t="shared" si="25"/>
        <v/>
      </c>
      <c r="T90" s="31">
        <v>1</v>
      </c>
      <c r="U90" s="34">
        <f t="shared" si="26"/>
        <v>2.5641025641025639</v>
      </c>
      <c r="V90" s="31">
        <v>2</v>
      </c>
      <c r="W90" s="34">
        <f t="shared" si="27"/>
        <v>5.1282051282051277</v>
      </c>
      <c r="X90" s="31"/>
      <c r="Y90" s="34" t="str">
        <f t="shared" si="28"/>
        <v/>
      </c>
      <c r="Z90" s="31"/>
      <c r="AA90" s="34"/>
      <c r="AB90" s="31"/>
      <c r="AC90" s="34" t="str">
        <f t="shared" si="29"/>
        <v/>
      </c>
      <c r="AD90" s="31"/>
      <c r="AE90" s="34" t="str">
        <f t="shared" si="30"/>
        <v/>
      </c>
      <c r="AF90" s="56"/>
      <c r="AG90" s="34" t="str">
        <f t="shared" si="31"/>
        <v/>
      </c>
      <c r="AH90" s="31"/>
      <c r="AI90" s="34" t="str">
        <f t="shared" si="32"/>
        <v/>
      </c>
      <c r="AJ90" s="31"/>
      <c r="AK90" s="34" t="str">
        <f t="shared" si="33"/>
        <v/>
      </c>
      <c r="AL90" s="31"/>
      <c r="AM90" s="34" t="str">
        <f t="shared" si="34"/>
        <v/>
      </c>
      <c r="AN90" s="31">
        <v>1</v>
      </c>
      <c r="AO90" s="34">
        <f t="shared" si="35"/>
        <v>2.5641025641025639</v>
      </c>
      <c r="AP90" s="31"/>
      <c r="AQ90" s="34" t="str">
        <f t="shared" si="36"/>
        <v/>
      </c>
      <c r="AR90" s="31"/>
      <c r="AS90" s="34" t="str">
        <f t="shared" si="37"/>
        <v/>
      </c>
      <c r="AT90" s="31"/>
      <c r="AU90" s="34" t="str">
        <f t="shared" si="38"/>
        <v/>
      </c>
      <c r="AV90" s="31"/>
      <c r="AW90" s="34" t="str">
        <f t="shared" si="18"/>
        <v/>
      </c>
      <c r="AX90" s="31"/>
      <c r="AY90" s="34" t="str">
        <f t="shared" si="19"/>
        <v/>
      </c>
      <c r="AZ90" s="31"/>
      <c r="BA90" s="34" t="str">
        <f t="shared" si="20"/>
        <v/>
      </c>
      <c r="BB90" s="21" t="s">
        <v>406</v>
      </c>
    </row>
    <row r="91" spans="1:54" ht="20" customHeight="1" x14ac:dyDescent="0.2">
      <c r="A91" s="678"/>
      <c r="B91" s="725"/>
      <c r="C91" s="255"/>
      <c r="D91" s="722" t="s">
        <v>85</v>
      </c>
      <c r="E91" s="723" t="s">
        <v>314</v>
      </c>
      <c r="F91" s="723" t="s">
        <v>315</v>
      </c>
      <c r="G91" s="722">
        <v>2010</v>
      </c>
      <c r="H91" s="287"/>
      <c r="I91" s="65">
        <v>789</v>
      </c>
      <c r="J91" s="61" t="s">
        <v>210</v>
      </c>
      <c r="K91" s="62" t="s">
        <v>370</v>
      </c>
      <c r="L91" s="31"/>
      <c r="M91" s="34" t="str">
        <f t="shared" si="22"/>
        <v/>
      </c>
      <c r="N91" s="31"/>
      <c r="O91" s="34" t="str">
        <f t="shared" si="23"/>
        <v/>
      </c>
      <c r="P91" s="56"/>
      <c r="Q91" s="34" t="str">
        <f t="shared" si="24"/>
        <v/>
      </c>
      <c r="R91" s="31"/>
      <c r="S91" s="34" t="str">
        <f t="shared" si="25"/>
        <v/>
      </c>
      <c r="T91" s="31"/>
      <c r="U91" s="34" t="str">
        <f t="shared" si="26"/>
        <v/>
      </c>
      <c r="V91" s="31"/>
      <c r="W91" s="34" t="str">
        <f t="shared" si="27"/>
        <v/>
      </c>
      <c r="X91" s="31"/>
      <c r="Y91" s="34" t="str">
        <f t="shared" si="28"/>
        <v/>
      </c>
      <c r="Z91" s="31"/>
      <c r="AA91" s="34" t="str">
        <f>IF((ISERROR((Z91/$I91)*100)), "", IF(AND(NOT(ISERROR((Z91/$I91)*100)),((Z91/$I91)*100) &lt;&gt; 0), (Z91/$I91)*100, ""))</f>
        <v/>
      </c>
      <c r="AB91" s="31"/>
      <c r="AC91" s="34" t="str">
        <f t="shared" si="29"/>
        <v/>
      </c>
      <c r="AD91" s="31"/>
      <c r="AE91" s="34" t="str">
        <f t="shared" si="30"/>
        <v/>
      </c>
      <c r="AF91" s="56">
        <v>43</v>
      </c>
      <c r="AG91" s="34">
        <f t="shared" si="31"/>
        <v>5.4499366286438535</v>
      </c>
      <c r="AH91" s="31"/>
      <c r="AI91" s="34" t="str">
        <f t="shared" si="32"/>
        <v/>
      </c>
      <c r="AJ91" s="31"/>
      <c r="AK91" s="34" t="str">
        <f t="shared" si="33"/>
        <v/>
      </c>
      <c r="AL91" s="31"/>
      <c r="AM91" s="34" t="str">
        <f t="shared" si="34"/>
        <v/>
      </c>
      <c r="AN91" s="31"/>
      <c r="AO91" s="34" t="str">
        <f t="shared" si="35"/>
        <v/>
      </c>
      <c r="AP91" s="31"/>
      <c r="AQ91" s="34" t="str">
        <f t="shared" si="36"/>
        <v/>
      </c>
      <c r="AR91" s="31"/>
      <c r="AS91" s="34" t="str">
        <f t="shared" si="37"/>
        <v/>
      </c>
      <c r="AT91" s="31"/>
      <c r="AU91" s="34" t="str">
        <f t="shared" si="38"/>
        <v/>
      </c>
      <c r="AV91" s="31"/>
      <c r="AW91" s="34" t="str">
        <f t="shared" si="18"/>
        <v/>
      </c>
      <c r="AX91" s="31"/>
      <c r="AY91" s="34" t="str">
        <f t="shared" si="19"/>
        <v/>
      </c>
      <c r="AZ91" s="31"/>
      <c r="BA91" s="34" t="str">
        <f t="shared" si="20"/>
        <v/>
      </c>
      <c r="BB91" s="21" t="s">
        <v>369</v>
      </c>
    </row>
    <row r="92" spans="1:54" ht="20" customHeight="1" x14ac:dyDescent="0.2">
      <c r="A92" s="680"/>
      <c r="B92" s="721"/>
      <c r="C92" s="722"/>
      <c r="D92" s="722" t="s">
        <v>85</v>
      </c>
      <c r="E92" s="723" t="s">
        <v>694</v>
      </c>
      <c r="F92" s="723" t="s">
        <v>695</v>
      </c>
      <c r="G92" s="722">
        <v>2007</v>
      </c>
      <c r="H92" s="287"/>
      <c r="I92" s="65">
        <v>171</v>
      </c>
      <c r="J92" s="61"/>
      <c r="K92" s="62" t="s">
        <v>209</v>
      </c>
      <c r="L92" s="31"/>
      <c r="M92" s="34"/>
      <c r="N92" s="31"/>
      <c r="O92" s="34"/>
      <c r="P92" s="56"/>
      <c r="Q92" s="34"/>
      <c r="R92" s="31"/>
      <c r="S92" s="34"/>
      <c r="T92" s="31"/>
      <c r="U92" s="34"/>
      <c r="V92" s="31"/>
      <c r="W92" s="34"/>
      <c r="X92" s="31"/>
      <c r="Y92" s="34"/>
      <c r="Z92" s="31"/>
      <c r="AA92" s="34"/>
      <c r="AB92" s="31"/>
      <c r="AC92" s="34"/>
      <c r="AD92" s="31"/>
      <c r="AE92" s="34"/>
      <c r="AF92" s="56"/>
      <c r="AG92" s="34"/>
      <c r="AH92" s="31"/>
      <c r="AI92" s="34"/>
      <c r="AJ92" s="31"/>
      <c r="AK92" s="34"/>
      <c r="AL92" s="31"/>
      <c r="AM92" s="34"/>
      <c r="AN92" s="31"/>
      <c r="AO92" s="34"/>
      <c r="AP92" s="31"/>
      <c r="AQ92" s="34"/>
      <c r="AR92" s="31"/>
      <c r="AS92" s="34"/>
      <c r="AT92" s="31"/>
      <c r="AU92" s="34"/>
      <c r="AV92" s="31"/>
      <c r="AW92" s="34"/>
      <c r="AX92" s="31"/>
      <c r="AY92" s="34"/>
      <c r="AZ92" s="31"/>
      <c r="BA92" s="34"/>
    </row>
    <row r="93" spans="1:54" ht="20" customHeight="1" x14ac:dyDescent="0.2">
      <c r="A93" s="678"/>
      <c r="B93" s="725"/>
      <c r="C93" s="253"/>
      <c r="D93" s="722" t="s">
        <v>85</v>
      </c>
      <c r="E93" s="723" t="s">
        <v>143</v>
      </c>
      <c r="F93" s="723" t="s">
        <v>144</v>
      </c>
      <c r="G93" s="722">
        <v>2008</v>
      </c>
      <c r="H93" s="287">
        <v>156</v>
      </c>
      <c r="I93" s="65">
        <v>50</v>
      </c>
      <c r="J93" s="61" t="s">
        <v>175</v>
      </c>
      <c r="K93" s="62" t="s">
        <v>587</v>
      </c>
      <c r="L93" s="31"/>
      <c r="M93" s="34" t="str">
        <f t="shared" si="22"/>
        <v/>
      </c>
      <c r="N93" s="31"/>
      <c r="O93" s="34" t="str">
        <f t="shared" si="23"/>
        <v/>
      </c>
      <c r="P93" s="56"/>
      <c r="Q93" s="34" t="str">
        <f t="shared" si="24"/>
        <v/>
      </c>
      <c r="R93" s="31"/>
      <c r="S93" s="34" t="str">
        <f t="shared" si="25"/>
        <v/>
      </c>
      <c r="T93" s="31"/>
      <c r="U93" s="34" t="str">
        <f t="shared" si="26"/>
        <v/>
      </c>
      <c r="V93" s="31"/>
      <c r="W93" s="34" t="str">
        <f t="shared" si="27"/>
        <v/>
      </c>
      <c r="X93" s="31"/>
      <c r="Y93" s="34" t="str">
        <f t="shared" si="28"/>
        <v/>
      </c>
      <c r="Z93" s="31"/>
      <c r="AA93" s="34" t="str">
        <f>IF((ISERROR((Z93/$I93)*100)), "", IF(AND(NOT(ISERROR((Z93/$I93)*100)),((Z93/$I93)*100) &lt;&gt; 0), (Z93/$I93)*100, ""))</f>
        <v/>
      </c>
      <c r="AB93" s="31"/>
      <c r="AC93" s="34" t="str">
        <f t="shared" si="29"/>
        <v/>
      </c>
      <c r="AD93" s="31"/>
      <c r="AE93" s="34" t="str">
        <f t="shared" si="30"/>
        <v/>
      </c>
      <c r="AF93" s="56"/>
      <c r="AG93" s="34" t="str">
        <f t="shared" si="31"/>
        <v/>
      </c>
      <c r="AH93" s="31"/>
      <c r="AI93" s="34" t="str">
        <f t="shared" si="32"/>
        <v/>
      </c>
      <c r="AJ93" s="31"/>
      <c r="AK93" s="34" t="str">
        <f t="shared" si="33"/>
        <v/>
      </c>
      <c r="AL93" s="31"/>
      <c r="AM93" s="34" t="str">
        <f t="shared" si="34"/>
        <v/>
      </c>
      <c r="AN93" s="31"/>
      <c r="AO93" s="34" t="str">
        <f t="shared" si="35"/>
        <v/>
      </c>
      <c r="AP93" s="31"/>
      <c r="AQ93" s="34" t="str">
        <f t="shared" si="36"/>
        <v/>
      </c>
      <c r="AR93" s="31"/>
      <c r="AS93" s="34" t="str">
        <f t="shared" si="37"/>
        <v/>
      </c>
      <c r="AT93" s="31"/>
      <c r="AU93" s="34" t="str">
        <f t="shared" si="38"/>
        <v/>
      </c>
      <c r="AV93" s="31"/>
      <c r="AW93" s="34" t="str">
        <f t="shared" si="18"/>
        <v/>
      </c>
      <c r="AX93" s="31"/>
      <c r="AY93" s="34" t="str">
        <f t="shared" si="19"/>
        <v/>
      </c>
      <c r="AZ93" s="31"/>
      <c r="BA93" s="34" t="str">
        <f t="shared" si="20"/>
        <v/>
      </c>
      <c r="BB93" s="21" t="s">
        <v>588</v>
      </c>
    </row>
    <row r="94" spans="1:54" ht="20" customHeight="1" x14ac:dyDescent="0.2">
      <c r="A94" s="680"/>
      <c r="B94" s="721"/>
      <c r="C94" s="722"/>
      <c r="D94" s="722" t="s">
        <v>85</v>
      </c>
      <c r="E94" s="723" t="s">
        <v>696</v>
      </c>
      <c r="F94" s="723" t="s">
        <v>697</v>
      </c>
      <c r="G94" s="722">
        <v>2006</v>
      </c>
      <c r="H94" s="287"/>
      <c r="I94" s="65">
        <v>27</v>
      </c>
      <c r="J94" s="61" t="s">
        <v>175</v>
      </c>
      <c r="K94" s="62" t="s">
        <v>702</v>
      </c>
      <c r="L94" s="53"/>
      <c r="M94" s="54"/>
      <c r="N94" s="53"/>
      <c r="O94" s="54"/>
      <c r="P94" s="55"/>
      <c r="Q94" s="54"/>
      <c r="R94" s="53"/>
      <c r="S94" s="54"/>
      <c r="T94" s="53"/>
      <c r="U94" s="54"/>
      <c r="V94" s="53"/>
      <c r="W94" s="54"/>
      <c r="X94" s="53"/>
      <c r="Y94" s="54"/>
      <c r="Z94" s="53"/>
      <c r="AA94" s="54"/>
      <c r="AB94" s="53"/>
      <c r="AC94" s="54"/>
      <c r="AD94" s="53"/>
      <c r="AE94" s="54"/>
      <c r="AF94" s="55"/>
      <c r="AG94" s="54"/>
      <c r="AH94" s="53"/>
      <c r="AI94" s="54"/>
      <c r="AJ94" s="53"/>
      <c r="AK94" s="54"/>
      <c r="AL94" s="53"/>
      <c r="AM94" s="54"/>
      <c r="AN94" s="53"/>
      <c r="AO94" s="54"/>
      <c r="AP94" s="53"/>
      <c r="AQ94" s="54"/>
      <c r="AR94" s="53"/>
      <c r="AS94" s="54"/>
      <c r="AT94" s="53"/>
      <c r="AU94" s="54"/>
      <c r="AV94" s="53"/>
      <c r="AW94" s="54"/>
      <c r="AX94" s="53"/>
      <c r="AY94" s="54"/>
      <c r="AZ94" s="53"/>
      <c r="BA94" s="54"/>
    </row>
    <row r="95" spans="1:54" ht="20" customHeight="1" x14ac:dyDescent="0.2">
      <c r="A95" s="678"/>
      <c r="B95" s="725"/>
      <c r="C95" s="253"/>
      <c r="D95" s="722" t="s">
        <v>85</v>
      </c>
      <c r="E95" s="723" t="s">
        <v>318</v>
      </c>
      <c r="F95" s="723" t="s">
        <v>319</v>
      </c>
      <c r="G95" s="722">
        <v>2009</v>
      </c>
      <c r="H95" s="287"/>
      <c r="I95" s="65">
        <v>12</v>
      </c>
      <c r="J95" s="61" t="s">
        <v>213</v>
      </c>
      <c r="K95" s="62" t="s">
        <v>191</v>
      </c>
      <c r="L95" s="53"/>
      <c r="M95" s="54" t="str">
        <f t="shared" si="22"/>
        <v/>
      </c>
      <c r="N95" s="53"/>
      <c r="O95" s="54" t="str">
        <f t="shared" si="23"/>
        <v/>
      </c>
      <c r="P95" s="55"/>
      <c r="Q95" s="54" t="str">
        <f t="shared" si="24"/>
        <v/>
      </c>
      <c r="R95" s="53"/>
      <c r="S95" s="54" t="str">
        <f t="shared" si="25"/>
        <v/>
      </c>
      <c r="T95" s="53"/>
      <c r="U95" s="54" t="str">
        <f t="shared" si="26"/>
        <v/>
      </c>
      <c r="V95" s="53"/>
      <c r="W95" s="54" t="str">
        <f t="shared" si="27"/>
        <v/>
      </c>
      <c r="X95" s="53"/>
      <c r="Y95" s="54" t="str">
        <f t="shared" si="28"/>
        <v/>
      </c>
      <c r="Z95" s="53"/>
      <c r="AA95" s="54" t="str">
        <f>IF((ISERROR((Z95/$I95)*100)), "", IF(AND(NOT(ISERROR((Z95/$I95)*100)),((Z95/$I95)*100) &lt;&gt; 0), (Z95/$I95)*100, ""))</f>
        <v/>
      </c>
      <c r="AB95" s="53"/>
      <c r="AC95" s="54" t="str">
        <f t="shared" si="29"/>
        <v/>
      </c>
      <c r="AD95" s="53"/>
      <c r="AE95" s="54" t="str">
        <f t="shared" si="30"/>
        <v/>
      </c>
      <c r="AF95" s="55"/>
      <c r="AG95" s="54" t="str">
        <f t="shared" si="31"/>
        <v/>
      </c>
      <c r="AH95" s="53"/>
      <c r="AI95" s="54" t="str">
        <f t="shared" si="32"/>
        <v/>
      </c>
      <c r="AJ95" s="53"/>
      <c r="AK95" s="54" t="str">
        <f t="shared" si="33"/>
        <v/>
      </c>
      <c r="AL95" s="53"/>
      <c r="AM95" s="54" t="str">
        <f t="shared" si="34"/>
        <v/>
      </c>
      <c r="AN95" s="53"/>
      <c r="AO95" s="54" t="str">
        <f t="shared" si="35"/>
        <v/>
      </c>
      <c r="AP95" s="53"/>
      <c r="AQ95" s="54" t="str">
        <f t="shared" si="36"/>
        <v/>
      </c>
      <c r="AR95" s="53"/>
      <c r="AS95" s="54" t="str">
        <f t="shared" si="37"/>
        <v/>
      </c>
      <c r="AT95" s="53"/>
      <c r="AU95" s="54" t="str">
        <f t="shared" si="38"/>
        <v/>
      </c>
      <c r="AV95" s="53"/>
      <c r="AW95" s="54" t="str">
        <f t="shared" si="18"/>
        <v/>
      </c>
      <c r="AX95" s="53"/>
      <c r="AY95" s="54" t="str">
        <f t="shared" si="19"/>
        <v/>
      </c>
      <c r="AZ95" s="53"/>
      <c r="BA95" s="54" t="str">
        <f t="shared" si="20"/>
        <v/>
      </c>
      <c r="BB95" s="21" t="s">
        <v>179</v>
      </c>
    </row>
    <row r="96" spans="1:54" ht="20" customHeight="1" x14ac:dyDescent="0.2">
      <c r="A96" s="678"/>
      <c r="B96" s="725"/>
      <c r="C96" s="253"/>
      <c r="D96" s="722" t="s">
        <v>85</v>
      </c>
      <c r="E96" s="723" t="s">
        <v>147</v>
      </c>
      <c r="F96" s="723" t="s">
        <v>148</v>
      </c>
      <c r="G96" s="722">
        <v>2011</v>
      </c>
      <c r="H96" s="287">
        <v>112</v>
      </c>
      <c r="I96" s="65">
        <v>17</v>
      </c>
      <c r="J96" s="61" t="s">
        <v>217</v>
      </c>
      <c r="K96" s="62" t="s">
        <v>192</v>
      </c>
      <c r="L96" s="770"/>
      <c r="M96" s="771" t="str">
        <f t="shared" si="22"/>
        <v/>
      </c>
      <c r="N96" s="770"/>
      <c r="O96" s="771" t="str">
        <f t="shared" si="23"/>
        <v/>
      </c>
      <c r="P96" s="772"/>
      <c r="Q96" s="771" t="str">
        <f t="shared" si="24"/>
        <v/>
      </c>
      <c r="R96" s="770"/>
      <c r="S96" s="771" t="str">
        <f t="shared" si="25"/>
        <v/>
      </c>
      <c r="T96" s="770"/>
      <c r="U96" s="771" t="str">
        <f t="shared" si="26"/>
        <v/>
      </c>
      <c r="V96" s="770"/>
      <c r="W96" s="771" t="str">
        <f t="shared" si="27"/>
        <v/>
      </c>
      <c r="X96" s="770"/>
      <c r="Y96" s="771" t="str">
        <f t="shared" si="28"/>
        <v/>
      </c>
      <c r="Z96" s="770"/>
      <c r="AA96" s="771" t="str">
        <f>IF((ISERROR((Z96/$I96)*100)), "", IF(AND(NOT(ISERROR((Z96/$I96)*100)),((Z96/$I96)*100) &lt;&gt; 0), (Z96/$I96)*100, ""))</f>
        <v/>
      </c>
      <c r="AB96" s="770"/>
      <c r="AC96" s="771" t="str">
        <f t="shared" si="29"/>
        <v/>
      </c>
      <c r="AD96" s="770"/>
      <c r="AE96" s="771" t="str">
        <f t="shared" si="30"/>
        <v/>
      </c>
      <c r="AF96" s="772"/>
      <c r="AG96" s="771" t="str">
        <f t="shared" si="31"/>
        <v/>
      </c>
      <c r="AH96" s="770"/>
      <c r="AI96" s="771" t="str">
        <f t="shared" si="32"/>
        <v/>
      </c>
      <c r="AJ96" s="770"/>
      <c r="AK96" s="771" t="str">
        <f t="shared" si="33"/>
        <v/>
      </c>
      <c r="AL96" s="770"/>
      <c r="AM96" s="771" t="str">
        <f t="shared" si="34"/>
        <v/>
      </c>
      <c r="AN96" s="770"/>
      <c r="AO96" s="771" t="str">
        <f t="shared" si="35"/>
        <v/>
      </c>
      <c r="AP96" s="770"/>
      <c r="AQ96" s="771" t="str">
        <f t="shared" si="36"/>
        <v/>
      </c>
      <c r="AR96" s="770"/>
      <c r="AS96" s="771" t="str">
        <f t="shared" si="37"/>
        <v/>
      </c>
      <c r="AT96" s="770"/>
      <c r="AU96" s="771" t="str">
        <f t="shared" si="38"/>
        <v/>
      </c>
      <c r="AV96" s="770"/>
      <c r="AW96" s="771" t="str">
        <f t="shared" si="18"/>
        <v/>
      </c>
      <c r="AX96" s="770"/>
      <c r="AY96" s="771" t="str">
        <f t="shared" si="19"/>
        <v/>
      </c>
      <c r="AZ96" s="770"/>
      <c r="BA96" s="771" t="str">
        <f t="shared" si="20"/>
        <v/>
      </c>
      <c r="BB96" s="21" t="s">
        <v>589</v>
      </c>
    </row>
    <row r="97" spans="1:53" ht="20" customHeight="1" thickBot="1" x14ac:dyDescent="0.25">
      <c r="A97" s="732"/>
      <c r="B97" s="733"/>
      <c r="C97" s="281"/>
      <c r="D97" s="734" t="s">
        <v>85</v>
      </c>
      <c r="E97" s="735" t="s">
        <v>698</v>
      </c>
      <c r="F97" s="735" t="s">
        <v>701</v>
      </c>
      <c r="G97" s="734">
        <v>1998</v>
      </c>
      <c r="H97" s="736"/>
      <c r="I97" s="773">
        <v>15</v>
      </c>
      <c r="J97" s="765" t="s">
        <v>175</v>
      </c>
      <c r="K97" s="766" t="s">
        <v>333</v>
      </c>
      <c r="L97" s="767"/>
      <c r="M97" s="768"/>
      <c r="N97" s="767"/>
      <c r="O97" s="768"/>
      <c r="P97" s="769"/>
      <c r="Q97" s="768"/>
      <c r="R97" s="767"/>
      <c r="S97" s="768"/>
      <c r="T97" s="767"/>
      <c r="U97" s="768"/>
      <c r="V97" s="767"/>
      <c r="W97" s="768"/>
      <c r="X97" s="767"/>
      <c r="Y97" s="768"/>
      <c r="Z97" s="767"/>
      <c r="AA97" s="768"/>
      <c r="AB97" s="767"/>
      <c r="AC97" s="768"/>
      <c r="AD97" s="767"/>
      <c r="AE97" s="768"/>
      <c r="AF97" s="769"/>
      <c r="AG97" s="768"/>
      <c r="AH97" s="767"/>
      <c r="AI97" s="768"/>
      <c r="AJ97" s="767"/>
      <c r="AK97" s="768"/>
      <c r="AL97" s="767"/>
      <c r="AM97" s="768"/>
      <c r="AN97" s="767"/>
      <c r="AO97" s="768"/>
      <c r="AP97" s="767"/>
      <c r="AQ97" s="768"/>
      <c r="AR97" s="767"/>
      <c r="AS97" s="768"/>
      <c r="AT97" s="767"/>
      <c r="AU97" s="768"/>
      <c r="AV97" s="767"/>
      <c r="AW97" s="768"/>
      <c r="AX97" s="767"/>
      <c r="AY97" s="768"/>
      <c r="AZ97" s="767"/>
      <c r="BA97" s="768"/>
    </row>
    <row r="98" spans="1:53" s="774" customFormat="1" ht="20" customHeight="1" x14ac:dyDescent="0.2">
      <c r="D98" s="775"/>
      <c r="G98" s="776"/>
      <c r="H98" s="777" t="s">
        <v>240</v>
      </c>
      <c r="I98" s="778">
        <f>SUM(I11:I97)</f>
        <v>2626</v>
      </c>
      <c r="J98" s="779" t="s">
        <v>447</v>
      </c>
      <c r="K98" s="780" t="s">
        <v>453</v>
      </c>
      <c r="L98" s="781">
        <f>IF((SUM(L11:L96)&lt;&gt;0), SUMIF($I11:$I96, "&gt;0", L11:L96), "")</f>
        <v>5</v>
      </c>
      <c r="M98" s="782">
        <f>IF(ISERROR((L98/$I98)*100), "", IF(((L98/$I98)*100) &lt;&gt; 0, (L98/$I98)*100, ""))</f>
        <v>0.19040365575019041</v>
      </c>
      <c r="N98" s="781">
        <f>IF((SUM(N11:N96)&lt;&gt;0), SUMIF($I11:$I96, "&gt;0", N11:N96), "")</f>
        <v>28</v>
      </c>
      <c r="O98" s="782">
        <f>IF(ISERROR((N98/$I98)*100), "", IF(((N98/$I98)*100) &lt;&gt; 0, (N98/$I98)*100, ""))</f>
        <v>1.0662604722010662</v>
      </c>
      <c r="P98" s="781">
        <f>IF((SUM(P11:P96)&lt;&gt;0), SUMIF($I11:$I96, "&gt;0", P11:P96), "")</f>
        <v>187</v>
      </c>
      <c r="Q98" s="782">
        <f>IF(ISERROR((P98/$I98)*100), "", IF(((P98/$I98)*100) &lt;&gt; 0, (P98/$I98)*100, ""))</f>
        <v>7.1210967250571215</v>
      </c>
      <c r="R98" s="781">
        <f>IF((SUM(R11:R96)&lt;&gt;0), SUMIF($I11:$I96, "&gt;0", R11:R96), "")</f>
        <v>2</v>
      </c>
      <c r="S98" s="782">
        <f>IF(ISERROR((R98/$I98)*100), "", IF(((R98/$I98)*100) &lt;&gt; 0, (R98/$I98)*100, ""))</f>
        <v>7.6161462300076158E-2</v>
      </c>
      <c r="T98" s="781">
        <f>IF((SUM(T11:T96)&lt;&gt;0), SUMIF($I11:$I96, "&gt;0", T11:T96), "")</f>
        <v>61</v>
      </c>
      <c r="U98" s="782">
        <f>IF(ISERROR((T98/$I98)*100), "", IF(((T98/$I98)*100) &lt;&gt; 0, (T98/$I98)*100, ""))</f>
        <v>2.3229246001523229</v>
      </c>
      <c r="V98" s="781">
        <f>IF((SUM(V11:V96)&lt;&gt;0), SUMIF($I11:$I96, "&gt;0", V11:V96), "")</f>
        <v>42</v>
      </c>
      <c r="W98" s="782">
        <f>IF(ISERROR((V98/$I98)*100), "", IF(((V98/$I98)*100) &lt;&gt; 0, (V98/$I98)*100, ""))</f>
        <v>1.5993907083015995</v>
      </c>
      <c r="X98" s="781">
        <f>IF((SUM(X11:X96)&lt;&gt;0), SUMIF($I11:$I96, "&gt;0", X11:X96), "")</f>
        <v>1</v>
      </c>
      <c r="Y98" s="782">
        <f>IF(ISERROR((X98/$I98)*100), "", IF(((X98/$I98)*100) &lt;&gt; 0, (X98/$I98)*100, ""))</f>
        <v>3.8080731150038079E-2</v>
      </c>
      <c r="Z98" s="781">
        <f>IF((SUM(Z11:Z96)&lt;&gt;0), SUMIF($I11:$I96, "&gt;0", Z11:Z96), "")</f>
        <v>6</v>
      </c>
      <c r="AA98" s="782">
        <f>IF(ISERROR((Z98/$I98)*100), "", IF(((Z98/$I98)*100) &lt;&gt; 0, (Z98/$I98)*100, ""))</f>
        <v>0.22848438690022849</v>
      </c>
      <c r="AB98" s="781">
        <f>IF((SUM(AB11:AB96)&lt;&gt;0), SUMIF($I11:$I96, "&gt;0", AB11:AB96), "")</f>
        <v>41</v>
      </c>
      <c r="AC98" s="782">
        <f>IF(ISERROR((AB98/$I98)*100), "", IF(((AB98/$I98)*100) &lt;&gt; 0, (AB98/$I98)*100, ""))</f>
        <v>1.5613099771515613</v>
      </c>
      <c r="AD98" s="781">
        <f>IF((SUM(AD11:AD96)&lt;&gt;0), SUMIF($I11:$I96, "&gt;0", AD11:AD96), "")</f>
        <v>25</v>
      </c>
      <c r="AE98" s="782">
        <f>IF(ISERROR((AD98/$I98)*100), "", IF(((AD98/$I98)*100) &lt;&gt; 0, (AD98/$I98)*100, ""))</f>
        <v>0.95201827875095202</v>
      </c>
      <c r="AF98" s="781">
        <f>IF((SUM(AF11:AF96)&lt;&gt;0), SUMIF($I11:$I96, "&gt;0", AF11:AF96), "")</f>
        <v>121</v>
      </c>
      <c r="AG98" s="782">
        <f>IF(ISERROR((AF98/$I98)*100), "", IF(((AF98/$I98)*100) &lt;&gt; 0, (AF98/$I98)*100, ""))</f>
        <v>4.6077684691546077</v>
      </c>
      <c r="AH98" s="781">
        <f>IF((SUM(AH11:AH96)&lt;&gt;0), SUMIF($I11:$I96, "&gt;0", AH11:AH96), "")</f>
        <v>2</v>
      </c>
      <c r="AI98" s="782">
        <f>IF(ISERROR((AH98/$I98)*100), "", IF(((AH98/$I98)*100) &lt;&gt; 0, (AH98/$I98)*100, ""))</f>
        <v>7.6161462300076158E-2</v>
      </c>
      <c r="AJ98" s="781">
        <f>IF((SUM(AJ11:AJ96)&lt;&gt;0), SUMIF($I11:$I96, "&gt;0", AJ11:AJ96), "")</f>
        <v>4</v>
      </c>
      <c r="AK98" s="782">
        <f>IF(ISERROR((AJ98/$I98)*100), "", IF(((AJ98/$I98)*100) &lt;&gt; 0, (AJ98/$I98)*100, ""))</f>
        <v>0.15232292460015232</v>
      </c>
      <c r="AL98" s="781">
        <f>IF((SUM(AL11:AL96)&lt;&gt;0), SUMIF($I11:$I96, "&gt;0", AL11:AL96), "")</f>
        <v>11</v>
      </c>
      <c r="AM98" s="782">
        <f>IF(ISERROR((AL98/$I98)*100), "", IF(((AL98/$I98)*100) &lt;&gt; 0, (AL98/$I98)*100, ""))</f>
        <v>0.41888804265041885</v>
      </c>
      <c r="AN98" s="781">
        <f>IF((SUM(AN11:AN96)&lt;&gt;0), SUMIF($I11:$I96, "&gt;0", AN11:AN96), "")</f>
        <v>2</v>
      </c>
      <c r="AO98" s="782">
        <f>IF(ISERROR((AN98/$I98)*100), "", IF(((AN98/$I98)*100) &lt;&gt; 0, (AN98/$I98)*100, ""))</f>
        <v>7.6161462300076158E-2</v>
      </c>
      <c r="AP98" s="781">
        <f>IF((SUM(AP11:AP96)&lt;&gt;0), SUMIF($I11:$I96, "&gt;0", AP11:AP96), "")</f>
        <v>1</v>
      </c>
      <c r="AQ98" s="782">
        <f>IF(ISERROR((AP98/$I98)*100), "", IF(((AP98/$I98)*100) &lt;&gt; 0, (AP98/$I98)*100, ""))</f>
        <v>3.8080731150038079E-2</v>
      </c>
      <c r="AR98" s="781" t="str">
        <f>IF((SUM(AR11:AR96)&lt;&gt;0), SUMIF($I11:$I96, "&gt;0", AR11:AR96), "")</f>
        <v/>
      </c>
      <c r="AS98" s="782" t="str">
        <f>IF(ISERROR((AR98/$I98)*100), "", IF(((AR98/$I98)*100) &lt;&gt; 0, (AR98/$I98)*100, ""))</f>
        <v/>
      </c>
      <c r="AT98" s="781" t="str">
        <f>IF((SUM(AT11:AT96)&lt;&gt;0), SUMIF($I11:$I96, "&gt;0", AT11:AT96), "")</f>
        <v/>
      </c>
      <c r="AU98" s="782" t="str">
        <f>IF(ISERROR((AT98/$I98)*100), "", IF(((AT98/$I98)*100) &lt;&gt; 0, (AT98/$I98)*100, ""))</f>
        <v/>
      </c>
      <c r="AV98" s="781" t="str">
        <f>IF((SUM(AV11:AV96)&lt;&gt;0), SUMIF($I11:$I96, "&gt;0", AV11:AV96), "")</f>
        <v/>
      </c>
      <c r="AW98" s="782" t="str">
        <f>IF(ISERROR((AV98/$I98)*100), "", IF(((AV98/$I98)*100) &lt;&gt; 0, (AV98/$I98)*100, ""))</f>
        <v/>
      </c>
      <c r="AX98" s="781">
        <f>IF((SUM(AX11:AX96)&lt;&gt;0), SUMIF($I11:$I96, "&gt;0", AX11:AX96), "")</f>
        <v>3</v>
      </c>
      <c r="AY98" s="782">
        <f>IF(ISERROR((AX98/$I98)*100), "", IF(((AX98/$I98)*100) &lt;&gt; 0, (AX98/$I98)*100, ""))</f>
        <v>0.11424219345011424</v>
      </c>
      <c r="AZ98" s="781" t="str">
        <f>IF((SUM(AZ11:AZ96)&lt;&gt;0), SUMIF($I11:$I96, "&gt;0", AZ11:AZ96), "")</f>
        <v/>
      </c>
      <c r="BA98" s="782" t="str">
        <f>IF(ISERROR((AZ98/$I98)*100), "", IF(((AZ98/$I98)*100) &lt;&gt; 0, (AZ98/$I98)*100, ""))</f>
        <v/>
      </c>
    </row>
    <row r="99" spans="1:53" s="774" customFormat="1" ht="20" customHeight="1" x14ac:dyDescent="0.2">
      <c r="D99" s="775"/>
      <c r="G99" s="776"/>
      <c r="H99" s="777" t="s">
        <v>241</v>
      </c>
      <c r="I99" s="783" t="s">
        <v>239</v>
      </c>
      <c r="J99" s="784" t="s">
        <v>454</v>
      </c>
      <c r="K99" s="785" t="s">
        <v>455</v>
      </c>
      <c r="L99" s="786">
        <f>IF(SUMIF(L11:L96, "&gt; 0", $I11:$I96) &gt; 0, SUMIF(L11:L96, "&gt; 0", $I11:$I96), "")</f>
        <v>8</v>
      </c>
      <c r="M99" s="787">
        <f>(L98/L99)*100</f>
        <v>62.5</v>
      </c>
      <c r="N99" s="786">
        <f>IF(SUMIF(N11:N96, "&gt; 0", $I11:$I96) &gt; 0, SUMIF(N11:N96, "&gt; 0", $I11:$I96), "")</f>
        <v>130</v>
      </c>
      <c r="O99" s="787">
        <f>(N98/N99)*100</f>
        <v>21.53846153846154</v>
      </c>
      <c r="P99" s="786">
        <f>IF(SUMIF(P11:P96, "&gt; 0", $I11:$I96) &gt; 0, SUMIF(P11:P96, "&gt; 0", $I11:$I96), "")</f>
        <v>403</v>
      </c>
      <c r="Q99" s="787">
        <f>(P98/P99)*100</f>
        <v>46.401985111662533</v>
      </c>
      <c r="R99" s="786">
        <f>IF(SUMIF(R11:R96, "&gt; 0", $I11:$I96) &gt; 0, SUMIF(R11:R96, "&gt; 0", $I11:$I96), "")</f>
        <v>8</v>
      </c>
      <c r="S99" s="787">
        <f>(R98/R99)*100</f>
        <v>25</v>
      </c>
      <c r="T99" s="786">
        <f>IF(SUMIF(T11:T96, "&gt; 0", $I11:$I96) &gt; 0, SUMIF(T11:T96, "&gt; 0", $I11:$I96), "")</f>
        <v>324</v>
      </c>
      <c r="U99" s="787">
        <f>(T98/T99)*100</f>
        <v>18.827160493827162</v>
      </c>
      <c r="V99" s="786">
        <f>IF(SUMIF(V11:V96, "&gt; 0", $I11:$I96) &gt; 0, SUMIF(V11:V96, "&gt; 0", $I11:$I96), "")</f>
        <v>226</v>
      </c>
      <c r="W99" s="787">
        <f>(V98/V99)*100</f>
        <v>18.584070796460178</v>
      </c>
      <c r="X99" s="786">
        <f>IF(SUMIF(X11:X96, "&gt; 0", $I11:$I96) &gt; 0, SUMIF(X11:X96, "&gt; 0", $I11:$I96), "")</f>
        <v>8</v>
      </c>
      <c r="Y99" s="787">
        <f>(X98/X99)*100</f>
        <v>12.5</v>
      </c>
      <c r="Z99" s="786">
        <f>IF(SUMIF(Z11:Z96, "&gt; 0", $I11:$I96) &gt; 0, SUMIF(Z11:Z96, "&gt; 0", $I11:$I96), "")</f>
        <v>37</v>
      </c>
      <c r="AA99" s="787">
        <f>(Z98/Z99)*100</f>
        <v>16.216216216216218</v>
      </c>
      <c r="AB99" s="786">
        <f>IF(SUMIF(AB11:AB96, "&gt; 0", $I11:$I96) &gt; 0, SUMIF(AB11:AB96, "&gt; 0", $I11:$I96), "")</f>
        <v>356</v>
      </c>
      <c r="AC99" s="787">
        <f>(AB98/AB99)*100</f>
        <v>11.51685393258427</v>
      </c>
      <c r="AD99" s="786">
        <f>IF(SUMIF(AD11:AD96, "&gt; 0", $I11:$I96) &gt; 0, SUMIF(AD11:AD96, "&gt; 0", $I11:$I96), "")</f>
        <v>313</v>
      </c>
      <c r="AE99" s="787">
        <f>(AD98/AD99)*100</f>
        <v>7.9872204472843444</v>
      </c>
      <c r="AF99" s="786">
        <f>IF(SUMIF(AF11:AF96, "&gt; 0", $I11:$I96) &gt; 0, SUMIF(AF11:AF96, "&gt; 0", $I11:$I96), "")</f>
        <v>1011</v>
      </c>
      <c r="AG99" s="787">
        <f>(AF98/AF99)*100</f>
        <v>11.968348170128586</v>
      </c>
      <c r="AH99" s="786">
        <f>IF(SUMIF(AH11:AH96, "&gt; 0", $I11:$I96) &gt; 0, SUMIF(AH11:AH96, "&gt; 0", $I11:$I96), "")</f>
        <v>27</v>
      </c>
      <c r="AI99" s="787">
        <f>(AH98/AH99)*100</f>
        <v>7.4074074074074066</v>
      </c>
      <c r="AJ99" s="786">
        <f>IF(SUMIF(AJ11:AJ96, "&gt; 0", $I11:$I96) &gt; 0, SUMIF(AJ11:AJ96, "&gt; 0", $I11:$I96), "")</f>
        <v>61</v>
      </c>
      <c r="AK99" s="787">
        <f>(AJ98/AJ99)*100</f>
        <v>6.557377049180328</v>
      </c>
      <c r="AL99" s="786">
        <f>IF(SUMIF(AL11:AL96, "&gt; 0", $I11:$I96) &gt; 0, SUMIF(AL11:AL96, "&gt; 0", $I11:$I96), "")</f>
        <v>232</v>
      </c>
      <c r="AM99" s="787">
        <f>(AL98/AL99)*100</f>
        <v>4.7413793103448274</v>
      </c>
      <c r="AN99" s="786">
        <f>IF(SUMIF(AN11:AN96, "&gt; 0", $I11:$I96) &gt; 0, SUMIF(AN11:AN96, "&gt; 0", $I11:$I96), "")</f>
        <v>47</v>
      </c>
      <c r="AO99" s="787">
        <f>(AN98/AN99)*100</f>
        <v>4.2553191489361701</v>
      </c>
      <c r="AP99" s="786">
        <f>IF(SUMIF(AP11:AP96, "&gt; 0", $I11:$I96) &gt; 0, SUMIF(AP11:AP96, "&gt; 0", $I11:$I96), "")</f>
        <v>19</v>
      </c>
      <c r="AQ99" s="787">
        <f>IF(NOT(ISERROR((AP98/AP99)*100)), (AP98/AP99)*100, "")</f>
        <v>5.2631578947368416</v>
      </c>
      <c r="AR99" s="786" t="str">
        <f>IF(SUMIF(AR11:AR96, "&gt; 0", $I11:$I96) &gt; 0, SUMIF(AR11:AR96, "&gt; 0", $I11:$I96), "")</f>
        <v/>
      </c>
      <c r="AS99" s="787" t="str">
        <f>IF((ISERROR((AR98/AR99)*100)), "", (AR98/AR99)*100)</f>
        <v/>
      </c>
      <c r="AT99" s="786" t="str">
        <f>IF(SUMIF(AT11:AT96, "&gt; 0", $I11:$I96) &gt; 0, SUMIF(AT11:AT96, "&gt; 0", $I11:$I96), "")</f>
        <v/>
      </c>
      <c r="AU99" s="787" t="str">
        <f>IF((ISERROR((AT98/AT99)*100)), "", (AT98/AT99)*100)</f>
        <v/>
      </c>
      <c r="AV99" s="786" t="str">
        <f>IF(SUMIF(AV11:AV96, "&gt; 0", $I11:$I96) &gt; 0, SUMIF(AV11:AV96, "&gt; 0", $I11:$I96), "")</f>
        <v/>
      </c>
      <c r="AW99" s="787" t="str">
        <f>IF((ISERROR((AV98/AV99)*100)), "", (AV98/AV99)*100)</f>
        <v/>
      </c>
      <c r="AX99" s="786">
        <f>IF(SUMIF(AX11:AX96, "&gt; 0", $I11:$I96) &gt; 0, SUMIF(AX11:AX96, "&gt; 0", $I11:$I96), "")</f>
        <v>53</v>
      </c>
      <c r="AY99" s="787">
        <f>IF((ISERROR((AX98/AX99)*100)), "", (AX98/AX99)*100)</f>
        <v>5.6603773584905666</v>
      </c>
      <c r="AZ99" s="786" t="str">
        <f>IF(SUMIF(AZ11:AZ96, "&gt; 0", $I11:$I96) &gt; 0, SUMIF(AZ11:AZ96, "&gt; 0", $I11:$I96), "")</f>
        <v/>
      </c>
      <c r="BA99" s="787" t="str">
        <f>IF((ISERROR((AZ98/AZ99)*100)), "", (AZ98/AZ99)*100)</f>
        <v/>
      </c>
    </row>
    <row r="100" spans="1:53" ht="20" customHeight="1" thickBot="1" x14ac:dyDescent="0.25">
      <c r="I100" s="354" t="s">
        <v>448</v>
      </c>
      <c r="J100" s="357"/>
      <c r="K100" s="358"/>
      <c r="L100" s="328" t="s">
        <v>237</v>
      </c>
      <c r="M100" s="330" t="s">
        <v>238</v>
      </c>
      <c r="N100" s="328" t="s">
        <v>237</v>
      </c>
      <c r="O100" s="330" t="s">
        <v>238</v>
      </c>
      <c r="P100" s="328" t="s">
        <v>237</v>
      </c>
      <c r="Q100" s="330" t="s">
        <v>238</v>
      </c>
      <c r="R100" s="328" t="s">
        <v>237</v>
      </c>
      <c r="S100" s="330" t="s">
        <v>238</v>
      </c>
      <c r="T100" s="328" t="s">
        <v>237</v>
      </c>
      <c r="U100" s="330" t="s">
        <v>238</v>
      </c>
      <c r="V100" s="328" t="s">
        <v>237</v>
      </c>
      <c r="W100" s="330" t="s">
        <v>238</v>
      </c>
      <c r="X100" s="328" t="s">
        <v>237</v>
      </c>
      <c r="Y100" s="330" t="s">
        <v>238</v>
      </c>
      <c r="Z100" s="328" t="s">
        <v>237</v>
      </c>
      <c r="AA100" s="330" t="s">
        <v>238</v>
      </c>
      <c r="AB100" s="369" t="s">
        <v>237</v>
      </c>
      <c r="AC100" s="331" t="s">
        <v>238</v>
      </c>
      <c r="AD100" s="328" t="s">
        <v>237</v>
      </c>
      <c r="AE100" s="330" t="s">
        <v>238</v>
      </c>
      <c r="AF100" s="328" t="s">
        <v>237</v>
      </c>
      <c r="AG100" s="330" t="s">
        <v>238</v>
      </c>
      <c r="AH100" s="328" t="s">
        <v>237</v>
      </c>
      <c r="AI100" s="330" t="s">
        <v>238</v>
      </c>
      <c r="AJ100" s="328" t="s">
        <v>237</v>
      </c>
      <c r="AK100" s="330" t="s">
        <v>238</v>
      </c>
      <c r="AL100" s="329" t="s">
        <v>237</v>
      </c>
      <c r="AM100" s="330" t="s">
        <v>238</v>
      </c>
      <c r="AN100" s="328" t="s">
        <v>237</v>
      </c>
      <c r="AO100" s="330" t="s">
        <v>238</v>
      </c>
      <c r="AP100" s="328" t="s">
        <v>237</v>
      </c>
      <c r="AQ100" s="330" t="s">
        <v>238</v>
      </c>
      <c r="AR100" s="328" t="s">
        <v>237</v>
      </c>
      <c r="AS100" s="330" t="s">
        <v>238</v>
      </c>
      <c r="AT100" s="328" t="s">
        <v>237</v>
      </c>
      <c r="AU100" s="330" t="s">
        <v>238</v>
      </c>
      <c r="AV100" s="328" t="s">
        <v>237</v>
      </c>
      <c r="AW100" s="330" t="s">
        <v>238</v>
      </c>
      <c r="AX100" s="328" t="s">
        <v>237</v>
      </c>
      <c r="AY100" s="330" t="s">
        <v>238</v>
      </c>
      <c r="AZ100" s="328" t="s">
        <v>237</v>
      </c>
      <c r="BA100" s="330" t="s">
        <v>238</v>
      </c>
    </row>
    <row r="101" spans="1:53" x14ac:dyDescent="0.2">
      <c r="F101" s="40" t="s">
        <v>243</v>
      </c>
      <c r="G101" s="43">
        <v>1</v>
      </c>
      <c r="I101" s="355"/>
      <c r="J101" s="359"/>
      <c r="K101" s="360"/>
      <c r="L101" s="328"/>
      <c r="M101" s="331"/>
      <c r="N101" s="328"/>
      <c r="O101" s="331"/>
      <c r="P101" s="328"/>
      <c r="Q101" s="331"/>
      <c r="R101" s="328"/>
      <c r="S101" s="331"/>
      <c r="T101" s="328"/>
      <c r="U101" s="331"/>
      <c r="V101" s="328"/>
      <c r="W101" s="331"/>
      <c r="X101" s="328"/>
      <c r="Y101" s="331"/>
      <c r="Z101" s="328"/>
      <c r="AA101" s="331"/>
      <c r="AB101" s="328"/>
      <c r="AC101" s="331"/>
      <c r="AD101" s="328"/>
      <c r="AE101" s="331"/>
      <c r="AF101" s="328"/>
      <c r="AG101" s="331"/>
      <c r="AH101" s="328"/>
      <c r="AI101" s="331"/>
      <c r="AJ101" s="328"/>
      <c r="AK101" s="331"/>
      <c r="AL101" s="386"/>
      <c r="AM101" s="331"/>
      <c r="AN101" s="328"/>
      <c r="AO101" s="331"/>
      <c r="AP101" s="328"/>
      <c r="AQ101" s="331"/>
      <c r="AR101" s="328"/>
      <c r="AS101" s="331"/>
      <c r="AT101" s="328"/>
      <c r="AU101" s="331"/>
      <c r="AV101" s="328"/>
      <c r="AW101" s="331"/>
      <c r="AX101" s="328"/>
      <c r="AY101" s="331"/>
      <c r="AZ101" s="328"/>
      <c r="BA101" s="331"/>
    </row>
    <row r="102" spans="1:53" x14ac:dyDescent="0.2">
      <c r="F102" s="41"/>
      <c r="G102" s="42"/>
      <c r="I102" s="355"/>
      <c r="J102" s="359"/>
      <c r="K102" s="360"/>
      <c r="L102" s="328"/>
      <c r="M102" s="331"/>
      <c r="N102" s="328"/>
      <c r="O102" s="331"/>
      <c r="P102" s="328"/>
      <c r="Q102" s="331"/>
      <c r="R102" s="328"/>
      <c r="S102" s="331"/>
      <c r="T102" s="328"/>
      <c r="U102" s="331"/>
      <c r="V102" s="328"/>
      <c r="W102" s="331"/>
      <c r="X102" s="328"/>
      <c r="Y102" s="331"/>
      <c r="Z102" s="328"/>
      <c r="AA102" s="331"/>
      <c r="AB102" s="328"/>
      <c r="AC102" s="331"/>
      <c r="AD102" s="328"/>
      <c r="AE102" s="331"/>
      <c r="AF102" s="328"/>
      <c r="AG102" s="331"/>
      <c r="AH102" s="328"/>
      <c r="AI102" s="331"/>
      <c r="AJ102" s="328"/>
      <c r="AK102" s="331"/>
      <c r="AL102" s="386"/>
      <c r="AM102" s="331"/>
      <c r="AN102" s="328"/>
      <c r="AO102" s="331"/>
      <c r="AP102" s="328"/>
      <c r="AQ102" s="331"/>
      <c r="AR102" s="328"/>
      <c r="AS102" s="331"/>
      <c r="AT102" s="328"/>
      <c r="AU102" s="331"/>
      <c r="AV102" s="328"/>
      <c r="AW102" s="331"/>
      <c r="AX102" s="328"/>
      <c r="AY102" s="331"/>
      <c r="AZ102" s="328"/>
      <c r="BA102" s="331"/>
    </row>
    <row r="103" spans="1:53" x14ac:dyDescent="0.2">
      <c r="F103" s="347" t="s">
        <v>244</v>
      </c>
      <c r="G103" s="348"/>
      <c r="I103" s="355"/>
      <c r="J103" s="359"/>
      <c r="K103" s="360"/>
      <c r="L103" s="328"/>
      <c r="M103" s="331"/>
      <c r="N103" s="328"/>
      <c r="O103" s="331"/>
      <c r="P103" s="328"/>
      <c r="Q103" s="331"/>
      <c r="R103" s="328"/>
      <c r="S103" s="331"/>
      <c r="T103" s="328"/>
      <c r="U103" s="331"/>
      <c r="V103" s="328"/>
      <c r="W103" s="331"/>
      <c r="X103" s="328"/>
      <c r="Y103" s="331"/>
      <c r="Z103" s="328"/>
      <c r="AA103" s="331"/>
      <c r="AB103" s="328"/>
      <c r="AC103" s="331"/>
      <c r="AD103" s="328"/>
      <c r="AE103" s="331"/>
      <c r="AF103" s="328"/>
      <c r="AG103" s="331"/>
      <c r="AH103" s="328"/>
      <c r="AI103" s="331"/>
      <c r="AJ103" s="328"/>
      <c r="AK103" s="331"/>
      <c r="AL103" s="386"/>
      <c r="AM103" s="331"/>
      <c r="AN103" s="328"/>
      <c r="AO103" s="331"/>
      <c r="AP103" s="328"/>
      <c r="AQ103" s="331"/>
      <c r="AR103" s="328"/>
      <c r="AS103" s="331"/>
      <c r="AT103" s="328"/>
      <c r="AU103" s="331"/>
      <c r="AV103" s="328"/>
      <c r="AW103" s="331"/>
      <c r="AX103" s="328"/>
      <c r="AY103" s="331"/>
      <c r="AZ103" s="328"/>
      <c r="BA103" s="331"/>
    </row>
    <row r="104" spans="1:53" x14ac:dyDescent="0.2">
      <c r="F104" s="347"/>
      <c r="G104" s="348"/>
      <c r="I104" s="355"/>
      <c r="J104" s="359"/>
      <c r="K104" s="360"/>
      <c r="L104" s="329"/>
      <c r="M104" s="331"/>
      <c r="N104" s="329"/>
      <c r="O104" s="331"/>
      <c r="P104" s="329"/>
      <c r="Q104" s="331"/>
      <c r="R104" s="329"/>
      <c r="S104" s="331"/>
      <c r="T104" s="329"/>
      <c r="U104" s="331"/>
      <c r="V104" s="329"/>
      <c r="W104" s="331"/>
      <c r="X104" s="329"/>
      <c r="Y104" s="331"/>
      <c r="Z104" s="329"/>
      <c r="AA104" s="331"/>
      <c r="AB104" s="329"/>
      <c r="AC104" s="331"/>
      <c r="AD104" s="329"/>
      <c r="AE104" s="331"/>
      <c r="AF104" s="329"/>
      <c r="AG104" s="331"/>
      <c r="AH104" s="329"/>
      <c r="AI104" s="331"/>
      <c r="AJ104" s="329"/>
      <c r="AK104" s="331"/>
      <c r="AL104" s="369"/>
      <c r="AM104" s="387"/>
      <c r="AN104" s="329"/>
      <c r="AO104" s="331"/>
      <c r="AP104" s="329"/>
      <c r="AQ104" s="331"/>
      <c r="AR104" s="329"/>
      <c r="AS104" s="331"/>
      <c r="AT104" s="329"/>
      <c r="AU104" s="331"/>
      <c r="AV104" s="329"/>
      <c r="AW104" s="331"/>
      <c r="AX104" s="329"/>
      <c r="AY104" s="331"/>
      <c r="AZ104" s="329"/>
      <c r="BA104" s="331"/>
    </row>
    <row r="105" spans="1:53" ht="16" customHeight="1" x14ac:dyDescent="0.2">
      <c r="F105" s="347"/>
      <c r="G105" s="348"/>
      <c r="I105" s="355"/>
      <c r="J105" s="359"/>
      <c r="K105" s="360"/>
      <c r="L105" s="353" t="s">
        <v>236</v>
      </c>
      <c r="M105" s="381"/>
      <c r="N105" s="353" t="s">
        <v>234</v>
      </c>
      <c r="O105" s="381"/>
      <c r="P105" s="351" t="s">
        <v>207</v>
      </c>
      <c r="Q105" s="332"/>
      <c r="R105" s="351" t="s">
        <v>171</v>
      </c>
      <c r="S105" s="332"/>
      <c r="T105" s="351" t="s">
        <v>164</v>
      </c>
      <c r="U105" s="332"/>
      <c r="V105" s="351" t="s">
        <v>172</v>
      </c>
      <c r="W105" s="332"/>
      <c r="X105" s="351" t="s">
        <v>170</v>
      </c>
      <c r="Y105" s="332"/>
      <c r="Z105" s="351" t="s">
        <v>173</v>
      </c>
      <c r="AA105" s="332"/>
      <c r="AB105" s="351" t="s">
        <v>157</v>
      </c>
      <c r="AC105" s="332"/>
      <c r="AD105" s="351" t="s">
        <v>158</v>
      </c>
      <c r="AE105" s="332"/>
      <c r="AF105" s="351" t="s">
        <v>371</v>
      </c>
      <c r="AG105" s="332"/>
      <c r="AH105" s="353" t="s">
        <v>233</v>
      </c>
      <c r="AI105" s="381"/>
      <c r="AJ105" s="351" t="s">
        <v>163</v>
      </c>
      <c r="AK105" s="332"/>
      <c r="AL105" s="351" t="s">
        <v>159</v>
      </c>
      <c r="AM105" s="333"/>
      <c r="AN105" s="353" t="s">
        <v>235</v>
      </c>
      <c r="AO105" s="381"/>
      <c r="AP105" s="351" t="s">
        <v>160</v>
      </c>
      <c r="AQ105" s="332"/>
      <c r="AR105" s="351" t="s">
        <v>161</v>
      </c>
      <c r="AS105" s="332"/>
      <c r="AT105" s="351" t="s">
        <v>206</v>
      </c>
      <c r="AU105" s="332"/>
      <c r="AV105" s="351" t="s">
        <v>205</v>
      </c>
      <c r="AW105" s="332"/>
      <c r="AX105" s="351" t="s">
        <v>204</v>
      </c>
      <c r="AY105" s="332"/>
      <c r="AZ105" s="351" t="s">
        <v>201</v>
      </c>
      <c r="BA105" s="333"/>
    </row>
    <row r="106" spans="1:53" x14ac:dyDescent="0.2">
      <c r="F106" s="347"/>
      <c r="G106" s="348"/>
      <c r="I106" s="355"/>
      <c r="J106" s="359"/>
      <c r="K106" s="360"/>
      <c r="L106" s="322"/>
      <c r="M106" s="379"/>
      <c r="N106" s="322"/>
      <c r="O106" s="379"/>
      <c r="P106" s="340"/>
      <c r="Q106" s="334"/>
      <c r="R106" s="340"/>
      <c r="S106" s="334"/>
      <c r="T106" s="340"/>
      <c r="U106" s="334"/>
      <c r="V106" s="340"/>
      <c r="W106" s="334"/>
      <c r="X106" s="340"/>
      <c r="Y106" s="334"/>
      <c r="Z106" s="340"/>
      <c r="AA106" s="334"/>
      <c r="AB106" s="340"/>
      <c r="AC106" s="334"/>
      <c r="AD106" s="340"/>
      <c r="AE106" s="334"/>
      <c r="AF106" s="340"/>
      <c r="AG106" s="334"/>
      <c r="AH106" s="322"/>
      <c r="AI106" s="379"/>
      <c r="AJ106" s="340"/>
      <c r="AK106" s="334"/>
      <c r="AL106" s="340"/>
      <c r="AM106" s="335"/>
      <c r="AN106" s="322"/>
      <c r="AO106" s="379"/>
      <c r="AP106" s="340"/>
      <c r="AQ106" s="334"/>
      <c r="AR106" s="340"/>
      <c r="AS106" s="334"/>
      <c r="AT106" s="340"/>
      <c r="AU106" s="334"/>
      <c r="AV106" s="340"/>
      <c r="AW106" s="334"/>
      <c r="AX106" s="340"/>
      <c r="AY106" s="334"/>
      <c r="AZ106" s="340"/>
      <c r="BA106" s="335"/>
    </row>
    <row r="107" spans="1:53" ht="17" thickBot="1" x14ac:dyDescent="0.25">
      <c r="F107" s="347"/>
      <c r="G107" s="348"/>
      <c r="I107" s="355"/>
      <c r="J107" s="359"/>
      <c r="K107" s="360"/>
      <c r="L107" s="382"/>
      <c r="M107" s="383"/>
      <c r="N107" s="382"/>
      <c r="O107" s="383"/>
      <c r="P107" s="384"/>
      <c r="Q107" s="385"/>
      <c r="R107" s="384"/>
      <c r="S107" s="385"/>
      <c r="T107" s="384"/>
      <c r="U107" s="385"/>
      <c r="V107" s="384"/>
      <c r="W107" s="385"/>
      <c r="X107" s="384"/>
      <c r="Y107" s="385"/>
      <c r="Z107" s="384"/>
      <c r="AA107" s="385"/>
      <c r="AB107" s="384"/>
      <c r="AC107" s="385"/>
      <c r="AD107" s="384"/>
      <c r="AE107" s="385"/>
      <c r="AF107" s="384"/>
      <c r="AG107" s="385"/>
      <c r="AH107" s="382"/>
      <c r="AI107" s="383"/>
      <c r="AJ107" s="384"/>
      <c r="AK107" s="385"/>
      <c r="AL107" s="384"/>
      <c r="AM107" s="388"/>
      <c r="AN107" s="382"/>
      <c r="AO107" s="383"/>
      <c r="AP107" s="384"/>
      <c r="AQ107" s="385"/>
      <c r="AR107" s="384"/>
      <c r="AS107" s="385"/>
      <c r="AT107" s="384"/>
      <c r="AU107" s="385"/>
      <c r="AV107" s="384"/>
      <c r="AW107" s="385"/>
      <c r="AX107" s="384"/>
      <c r="AY107" s="385"/>
      <c r="AZ107" s="384"/>
      <c r="BA107" s="388"/>
    </row>
    <row r="108" spans="1:53" ht="20" thickBot="1" x14ac:dyDescent="0.3">
      <c r="F108" s="349"/>
      <c r="G108" s="350"/>
      <c r="I108" s="356"/>
      <c r="J108" s="361"/>
      <c r="K108" s="362"/>
      <c r="L108" s="389" t="s">
        <v>162</v>
      </c>
      <c r="M108" s="390"/>
      <c r="N108" s="390"/>
      <c r="O108" s="390"/>
      <c r="P108" s="390"/>
      <c r="Q108" s="390"/>
      <c r="R108" s="390"/>
      <c r="S108" s="390"/>
      <c r="T108" s="390"/>
      <c r="U108" s="390"/>
      <c r="V108" s="39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A108" s="391"/>
    </row>
    <row r="109" spans="1:53" x14ac:dyDescent="0.2">
      <c r="I109" s="110" t="s">
        <v>451</v>
      </c>
    </row>
    <row r="110" spans="1:53" x14ac:dyDescent="0.2">
      <c r="I110" s="111"/>
    </row>
  </sheetData>
  <mergeCells count="140">
    <mergeCell ref="A7:A10"/>
    <mergeCell ref="AZ105:BA107"/>
    <mergeCell ref="AR105:AS107"/>
    <mergeCell ref="L108:BA108"/>
    <mergeCell ref="AL3:AM5"/>
    <mergeCell ref="AL105:AM107"/>
    <mergeCell ref="AH105:AI107"/>
    <mergeCell ref="AP105:AQ107"/>
    <mergeCell ref="AV105:AW107"/>
    <mergeCell ref="AX105:AY107"/>
    <mergeCell ref="AT105:AU107"/>
    <mergeCell ref="AN105:AO107"/>
    <mergeCell ref="X105:Y107"/>
    <mergeCell ref="Z105:AA107"/>
    <mergeCell ref="AB105:AC107"/>
    <mergeCell ref="AJ105:AK107"/>
    <mergeCell ref="AF105:AG107"/>
    <mergeCell ref="BA100:BA104"/>
    <mergeCell ref="AG100:AG104"/>
    <mergeCell ref="AB100:AB104"/>
    <mergeCell ref="AC100:AC104"/>
    <mergeCell ref="AJ100:AJ104"/>
    <mergeCell ref="AK100:AK104"/>
    <mergeCell ref="Z100:Z104"/>
    <mergeCell ref="AA100:AA104"/>
    <mergeCell ref="F103:G108"/>
    <mergeCell ref="L105:M107"/>
    <mergeCell ref="V105:W107"/>
    <mergeCell ref="N105:O107"/>
    <mergeCell ref="T105:U107"/>
    <mergeCell ref="R105:S107"/>
    <mergeCell ref="P105:Q107"/>
    <mergeCell ref="AD105:AE107"/>
    <mergeCell ref="AZ100:AZ104"/>
    <mergeCell ref="AR100:AR104"/>
    <mergeCell ref="AS100:AS104"/>
    <mergeCell ref="AT100:AT104"/>
    <mergeCell ref="AU100:AU104"/>
    <mergeCell ref="AV100:AV104"/>
    <mergeCell ref="AW100:AW104"/>
    <mergeCell ref="AX100:AX104"/>
    <mergeCell ref="AY100:AY104"/>
    <mergeCell ref="AP100:AP104"/>
    <mergeCell ref="AQ100:AQ104"/>
    <mergeCell ref="AL100:AL104"/>
    <mergeCell ref="AM100:AM104"/>
    <mergeCell ref="AH100:AH104"/>
    <mergeCell ref="AI100:AI104"/>
    <mergeCell ref="AF100:AF104"/>
    <mergeCell ref="AN100:AN104"/>
    <mergeCell ref="AO100:AO104"/>
    <mergeCell ref="X100:X104"/>
    <mergeCell ref="Y100:Y104"/>
    <mergeCell ref="AD100:AD104"/>
    <mergeCell ref="AE100:AE104"/>
    <mergeCell ref="R100:R104"/>
    <mergeCell ref="S100:S104"/>
    <mergeCell ref="P100:P104"/>
    <mergeCell ref="Q100:Q104"/>
    <mergeCell ref="T100:T104"/>
    <mergeCell ref="U100:U104"/>
    <mergeCell ref="V100:V104"/>
    <mergeCell ref="W100:W104"/>
    <mergeCell ref="N100:N104"/>
    <mergeCell ref="O100:O104"/>
    <mergeCell ref="B7:B10"/>
    <mergeCell ref="C7:C10"/>
    <mergeCell ref="I100:I108"/>
    <mergeCell ref="J100:K108"/>
    <mergeCell ref="L100:L104"/>
    <mergeCell ref="M100:M104"/>
    <mergeCell ref="AZ6:AZ10"/>
    <mergeCell ref="AP6:AP10"/>
    <mergeCell ref="AQ6:AQ10"/>
    <mergeCell ref="AL6:AL10"/>
    <mergeCell ref="AM6:AM10"/>
    <mergeCell ref="AH6:AH10"/>
    <mergeCell ref="AI6:AI10"/>
    <mergeCell ref="AF6:AF10"/>
    <mergeCell ref="AG6:AG10"/>
    <mergeCell ref="AB6:AB10"/>
    <mergeCell ref="AC6:AC10"/>
    <mergeCell ref="AJ6:AJ10"/>
    <mergeCell ref="AK6:AK10"/>
    <mergeCell ref="Z6:Z10"/>
    <mergeCell ref="AA6:AA10"/>
    <mergeCell ref="AN6:AN10"/>
    <mergeCell ref="W6:W10"/>
    <mergeCell ref="BA6:BA10"/>
    <mergeCell ref="AR6:AR10"/>
    <mergeCell ref="AS6:AS10"/>
    <mergeCell ref="AT6:AT10"/>
    <mergeCell ref="AU6:AU10"/>
    <mergeCell ref="AV6:AV10"/>
    <mergeCell ref="AW6:AW10"/>
    <mergeCell ref="AX6:AX10"/>
    <mergeCell ref="AY6:AY10"/>
    <mergeCell ref="N6:N10"/>
    <mergeCell ref="O6:O10"/>
    <mergeCell ref="AR3:AS5"/>
    <mergeCell ref="E5:E7"/>
    <mergeCell ref="H6:H10"/>
    <mergeCell ref="I6:I10"/>
    <mergeCell ref="J6:J10"/>
    <mergeCell ref="K6:K10"/>
    <mergeCell ref="L6:L10"/>
    <mergeCell ref="M6:M10"/>
    <mergeCell ref="AH3:AI5"/>
    <mergeCell ref="AP3:AQ5"/>
    <mergeCell ref="AO6:AO10"/>
    <mergeCell ref="X6:X10"/>
    <mergeCell ref="Y6:Y10"/>
    <mergeCell ref="AD6:AD10"/>
    <mergeCell ref="AE6:AE10"/>
    <mergeCell ref="R6:R10"/>
    <mergeCell ref="S6:S10"/>
    <mergeCell ref="P6:P10"/>
    <mergeCell ref="Q6:Q10"/>
    <mergeCell ref="T6:T10"/>
    <mergeCell ref="U6:U10"/>
    <mergeCell ref="V6:V10"/>
    <mergeCell ref="L2:BA2"/>
    <mergeCell ref="E3:E4"/>
    <mergeCell ref="L3:M5"/>
    <mergeCell ref="V3:W5"/>
    <mergeCell ref="N3:O5"/>
    <mergeCell ref="T3:U5"/>
    <mergeCell ref="R3:S5"/>
    <mergeCell ref="P3:Q5"/>
    <mergeCell ref="AD3:AE5"/>
    <mergeCell ref="AN3:AO5"/>
    <mergeCell ref="AV3:AW5"/>
    <mergeCell ref="AX3:AY5"/>
    <mergeCell ref="AT3:AU5"/>
    <mergeCell ref="AZ3:BA5"/>
    <mergeCell ref="X3:Y5"/>
    <mergeCell ref="Z3:AA5"/>
    <mergeCell ref="AB3:AC5"/>
    <mergeCell ref="AJ3:AK5"/>
    <mergeCell ref="AF3:AG5"/>
  </mergeCells>
  <pageMargins left="0.7" right="0.7" top="0.75" bottom="0.75" header="0.3" footer="0.3"/>
  <ignoredErrors>
    <ignoredError sqref="AR98:AS99 AT98:AU99 AV98:BA99 AP98:AQ99 W98:W99 M98:V99 X98:AO99" formula="1"/>
    <ignoredError sqref="K36 J93 J87:J91 J85 J79:J80 J74:J77 J72 J68:J70 J64 J59 J57 J53:J55 J39:J45 J37 J23:J24 J17:J21 J82 J47:J50 J30:J32 J11:J12 J26 J36 J95:J96 J1:J10 J97 J38 J27:J29 J13:J16 J33:J35 J51:J52 J83:J84 J22 J25 J46 J56 J58 J60:J63 J65:J67 J71 J73 J78 J81 J86 J92 J94"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C21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94" width="6.83203125" style="22" customWidth="1"/>
    <col min="95" max="95" width="62" style="21" customWidth="1"/>
    <col min="96" max="16384" width="10.83203125" style="21"/>
  </cols>
  <sheetData>
    <row r="1" spans="1:99" ht="17" thickBot="1" x14ac:dyDescent="0.25"/>
    <row r="2" spans="1:99" ht="19" customHeight="1" x14ac:dyDescent="0.2">
      <c r="E2" s="640" t="s">
        <v>423</v>
      </c>
    </row>
    <row r="3" spans="1:99" ht="17" customHeight="1" thickBot="1" x14ac:dyDescent="0.25">
      <c r="E3" s="641"/>
      <c r="K3" s="22"/>
      <c r="CQ3" s="22"/>
    </row>
    <row r="4" spans="1:99" ht="20" customHeight="1" thickBot="1" x14ac:dyDescent="0.25">
      <c r="E4" s="22"/>
      <c r="L4" s="401" t="s">
        <v>424</v>
      </c>
      <c r="M4" s="402"/>
      <c r="N4" s="402"/>
      <c r="O4" s="402"/>
      <c r="P4" s="402"/>
      <c r="Q4" s="402"/>
      <c r="R4" s="402"/>
      <c r="S4" s="402"/>
      <c r="T4" s="402"/>
      <c r="U4" s="402"/>
      <c r="V4" s="402"/>
      <c r="W4" s="402"/>
      <c r="X4" s="402"/>
      <c r="Y4" s="402"/>
      <c r="Z4" s="402"/>
      <c r="AA4" s="402"/>
      <c r="AB4" s="402"/>
      <c r="AC4" s="402"/>
      <c r="AD4" s="402"/>
      <c r="AE4" s="402"/>
      <c r="AF4" s="402"/>
      <c r="AG4" s="402"/>
      <c r="AH4" s="402"/>
      <c r="AI4" s="402"/>
      <c r="AJ4" s="402"/>
      <c r="AK4" s="402"/>
      <c r="AL4" s="402"/>
      <c r="AM4" s="402"/>
      <c r="AN4" s="402"/>
      <c r="AO4" s="402"/>
      <c r="AP4" s="402"/>
      <c r="AQ4" s="402"/>
      <c r="AR4" s="402"/>
      <c r="AS4" s="402"/>
      <c r="AT4" s="402"/>
      <c r="AU4" s="402"/>
      <c r="AV4" s="402"/>
      <c r="AW4" s="402"/>
      <c r="AX4" s="402"/>
      <c r="AY4" s="403"/>
      <c r="AZ4" s="21"/>
      <c r="BA4" s="615" t="s">
        <v>424</v>
      </c>
      <c r="BB4" s="616"/>
      <c r="BC4" s="616"/>
      <c r="BD4" s="616"/>
      <c r="BE4" s="616"/>
      <c r="BF4" s="616"/>
      <c r="BG4" s="616"/>
      <c r="BH4" s="616"/>
      <c r="BI4" s="616"/>
      <c r="BJ4" s="617"/>
      <c r="BK4" s="21"/>
      <c r="BL4" s="615" t="s">
        <v>424</v>
      </c>
      <c r="BM4" s="616"/>
      <c r="BN4" s="616"/>
      <c r="BO4" s="616"/>
      <c r="BP4" s="616"/>
      <c r="BQ4" s="616"/>
      <c r="BR4" s="616"/>
      <c r="BS4" s="616"/>
      <c r="BT4" s="616"/>
      <c r="BU4" s="617"/>
      <c r="BV4" s="21"/>
      <c r="BW4" s="615" t="s">
        <v>424</v>
      </c>
      <c r="BX4" s="616"/>
      <c r="BY4" s="616"/>
      <c r="BZ4" s="616"/>
      <c r="CA4" s="616"/>
      <c r="CB4" s="616"/>
      <c r="CC4" s="616"/>
      <c r="CD4" s="616"/>
      <c r="CE4" s="616"/>
      <c r="CF4" s="617"/>
      <c r="CG4" s="21"/>
      <c r="CH4" s="21"/>
      <c r="CI4" s="21"/>
      <c r="CJ4" s="21"/>
      <c r="CK4" s="21"/>
      <c r="CL4" s="21"/>
      <c r="CM4" s="21"/>
      <c r="CN4" s="21"/>
      <c r="CO4" s="21"/>
      <c r="CP4" s="21"/>
    </row>
    <row r="5" spans="1:99" ht="20" customHeight="1" thickBot="1" x14ac:dyDescent="0.25">
      <c r="E5" s="237" t="s">
        <v>546</v>
      </c>
      <c r="F5" s="22"/>
      <c r="L5" s="404" t="s">
        <v>520</v>
      </c>
      <c r="M5" s="405"/>
      <c r="N5" s="405"/>
      <c r="O5" s="405"/>
      <c r="P5" s="405"/>
      <c r="Q5" s="405"/>
      <c r="R5" s="405"/>
      <c r="S5" s="405"/>
      <c r="T5" s="405"/>
      <c r="U5" s="405"/>
      <c r="V5" s="405"/>
      <c r="W5" s="405"/>
      <c r="X5" s="405"/>
      <c r="Y5" s="405"/>
      <c r="Z5" s="405"/>
      <c r="AA5" s="405"/>
      <c r="AB5" s="405"/>
      <c r="AC5" s="405"/>
      <c r="AD5" s="405"/>
      <c r="AE5" s="405"/>
      <c r="AF5" s="405"/>
      <c r="AG5" s="405"/>
      <c r="AH5" s="405"/>
      <c r="AI5" s="405"/>
      <c r="AJ5" s="405"/>
      <c r="AK5" s="405"/>
      <c r="AL5" s="405"/>
      <c r="AM5" s="405"/>
      <c r="AN5" s="405"/>
      <c r="AO5" s="405"/>
      <c r="AP5" s="405"/>
      <c r="AQ5" s="405"/>
      <c r="AR5" s="405"/>
      <c r="AS5" s="405"/>
      <c r="AT5" s="405"/>
      <c r="AU5" s="405"/>
      <c r="AV5" s="405"/>
      <c r="AW5" s="405"/>
      <c r="AX5" s="405"/>
      <c r="AY5" s="406"/>
      <c r="AZ5" s="21"/>
      <c r="BA5" s="404"/>
      <c r="BB5" s="405"/>
      <c r="BC5" s="405"/>
      <c r="BD5" s="405"/>
      <c r="BE5" s="405"/>
      <c r="BF5" s="405"/>
      <c r="BG5" s="405"/>
      <c r="BH5" s="405"/>
      <c r="BI5" s="405"/>
      <c r="BJ5" s="618"/>
      <c r="BK5" s="21"/>
      <c r="BL5" s="404"/>
      <c r="BM5" s="405"/>
      <c r="BN5" s="405"/>
      <c r="BO5" s="405"/>
      <c r="BP5" s="405"/>
      <c r="BQ5" s="405"/>
      <c r="BR5" s="405"/>
      <c r="BS5" s="405"/>
      <c r="BT5" s="405"/>
      <c r="BU5" s="618"/>
      <c r="BV5" s="21"/>
      <c r="BW5" s="404"/>
      <c r="BX5" s="405"/>
      <c r="BY5" s="405"/>
      <c r="BZ5" s="405"/>
      <c r="CA5" s="405"/>
      <c r="CB5" s="405"/>
      <c r="CC5" s="405"/>
      <c r="CD5" s="405"/>
      <c r="CE5" s="405"/>
      <c r="CF5" s="618"/>
      <c r="CG5" s="21"/>
      <c r="CH5" s="21"/>
      <c r="CI5" s="21"/>
      <c r="CJ5" s="21"/>
      <c r="CK5" s="21"/>
      <c r="CL5" s="21"/>
      <c r="CM5" s="21"/>
      <c r="CN5" s="21"/>
      <c r="CO5" s="21"/>
      <c r="CP5" s="21"/>
    </row>
    <row r="6" spans="1:99" ht="20" customHeight="1" thickBot="1" x14ac:dyDescent="0.25">
      <c r="C6" s="60"/>
      <c r="E6" s="238" t="s">
        <v>547</v>
      </c>
      <c r="F6" s="22"/>
      <c r="L6" s="320" t="s">
        <v>431</v>
      </c>
      <c r="M6" s="378"/>
      <c r="N6" s="378"/>
      <c r="O6" s="378"/>
      <c r="P6" s="378"/>
      <c r="Q6" s="378"/>
      <c r="R6" s="378"/>
      <c r="S6" s="378"/>
      <c r="T6" s="378"/>
      <c r="U6" s="321"/>
      <c r="V6" s="320" t="s">
        <v>432</v>
      </c>
      <c r="W6" s="378"/>
      <c r="X6" s="378"/>
      <c r="Y6" s="378"/>
      <c r="Z6" s="378"/>
      <c r="AA6" s="378"/>
      <c r="AB6" s="378"/>
      <c r="AC6" s="378"/>
      <c r="AD6" s="378"/>
      <c r="AE6" s="321"/>
      <c r="AF6" s="320" t="s">
        <v>480</v>
      </c>
      <c r="AG6" s="378"/>
      <c r="AH6" s="378"/>
      <c r="AI6" s="378"/>
      <c r="AJ6" s="378"/>
      <c r="AK6" s="378"/>
      <c r="AL6" s="378"/>
      <c r="AM6" s="378"/>
      <c r="AN6" s="378"/>
      <c r="AO6" s="321"/>
      <c r="AP6" s="320" t="s">
        <v>525</v>
      </c>
      <c r="AQ6" s="378"/>
      <c r="AR6" s="378"/>
      <c r="AS6" s="378"/>
      <c r="AT6" s="378"/>
      <c r="AU6" s="378"/>
      <c r="AV6" s="378"/>
      <c r="AW6" s="378"/>
      <c r="AX6" s="378"/>
      <c r="AY6" s="400"/>
      <c r="AZ6" s="21"/>
      <c r="BA6" s="320" t="s">
        <v>490</v>
      </c>
      <c r="BB6" s="378"/>
      <c r="BC6" s="378"/>
      <c r="BD6" s="378"/>
      <c r="BE6" s="378"/>
      <c r="BF6" s="378"/>
      <c r="BG6" s="378"/>
      <c r="BH6" s="378"/>
      <c r="BI6" s="378"/>
      <c r="BJ6" s="321"/>
      <c r="BK6" s="21"/>
      <c r="BL6" s="320" t="s">
        <v>493</v>
      </c>
      <c r="BM6" s="378"/>
      <c r="BN6" s="378"/>
      <c r="BO6" s="378"/>
      <c r="BP6" s="378"/>
      <c r="BQ6" s="378"/>
      <c r="BR6" s="378"/>
      <c r="BS6" s="378"/>
      <c r="BT6" s="378"/>
      <c r="BU6" s="321"/>
      <c r="BV6" s="21"/>
      <c r="BW6" s="320" t="s">
        <v>510</v>
      </c>
      <c r="BX6" s="378"/>
      <c r="BY6" s="378"/>
      <c r="BZ6" s="378"/>
      <c r="CA6" s="378"/>
      <c r="CB6" s="378"/>
      <c r="CC6" s="378"/>
      <c r="CD6" s="378"/>
      <c r="CE6" s="378"/>
      <c r="CF6" s="321"/>
      <c r="CG6" s="21"/>
      <c r="CH6" s="21"/>
      <c r="CI6" s="21"/>
      <c r="CJ6" s="21"/>
      <c r="CK6" s="21"/>
      <c r="CL6" s="21"/>
      <c r="CM6" s="21"/>
      <c r="CN6" s="21"/>
      <c r="CO6" s="21"/>
      <c r="CP6" s="21"/>
    </row>
    <row r="7" spans="1:99" ht="20" customHeight="1" thickBot="1" x14ac:dyDescent="0.25">
      <c r="B7" s="87"/>
      <c r="C7" s="88"/>
      <c r="D7" s="48"/>
      <c r="E7" s="238" t="s">
        <v>548</v>
      </c>
      <c r="F7" s="48"/>
      <c r="H7" s="48"/>
      <c r="I7" s="48"/>
      <c r="J7" s="48"/>
      <c r="K7" s="48"/>
      <c r="L7" s="433" t="s">
        <v>428</v>
      </c>
      <c r="M7" s="434"/>
      <c r="N7" s="434"/>
      <c r="O7" s="435"/>
      <c r="P7" s="436" t="s">
        <v>429</v>
      </c>
      <c r="Q7" s="437"/>
      <c r="R7" s="437"/>
      <c r="S7" s="438"/>
      <c r="T7" s="439" t="s">
        <v>483</v>
      </c>
      <c r="U7" s="463"/>
      <c r="V7" s="433" t="s">
        <v>428</v>
      </c>
      <c r="W7" s="434"/>
      <c r="X7" s="434"/>
      <c r="Y7" s="435"/>
      <c r="Z7" s="436" t="s">
        <v>429</v>
      </c>
      <c r="AA7" s="437"/>
      <c r="AB7" s="437"/>
      <c r="AC7" s="438"/>
      <c r="AD7" s="439" t="s">
        <v>483</v>
      </c>
      <c r="AE7" s="463"/>
      <c r="AF7" s="433" t="s">
        <v>428</v>
      </c>
      <c r="AG7" s="434"/>
      <c r="AH7" s="434"/>
      <c r="AI7" s="435"/>
      <c r="AJ7" s="436" t="s">
        <v>429</v>
      </c>
      <c r="AK7" s="437"/>
      <c r="AL7" s="437"/>
      <c r="AM7" s="438"/>
      <c r="AN7" s="439" t="s">
        <v>483</v>
      </c>
      <c r="AO7" s="463"/>
      <c r="AP7" s="433" t="s">
        <v>428</v>
      </c>
      <c r="AQ7" s="434"/>
      <c r="AR7" s="434"/>
      <c r="AS7" s="435"/>
      <c r="AT7" s="436" t="s">
        <v>429</v>
      </c>
      <c r="AU7" s="437"/>
      <c r="AV7" s="437"/>
      <c r="AW7" s="438"/>
      <c r="AX7" s="439" t="s">
        <v>483</v>
      </c>
      <c r="AY7" s="440"/>
      <c r="AZ7" s="21"/>
      <c r="BA7" s="433" t="s">
        <v>428</v>
      </c>
      <c r="BB7" s="434"/>
      <c r="BC7" s="434"/>
      <c r="BD7" s="435"/>
      <c r="BE7" s="436" t="s">
        <v>429</v>
      </c>
      <c r="BF7" s="437"/>
      <c r="BG7" s="437"/>
      <c r="BH7" s="438"/>
      <c r="BI7" s="439" t="s">
        <v>483</v>
      </c>
      <c r="BJ7" s="463"/>
      <c r="BK7" s="21"/>
      <c r="BL7" s="433" t="s">
        <v>428</v>
      </c>
      <c r="BM7" s="434"/>
      <c r="BN7" s="434"/>
      <c r="BO7" s="435"/>
      <c r="BP7" s="436" t="s">
        <v>429</v>
      </c>
      <c r="BQ7" s="437"/>
      <c r="BR7" s="437"/>
      <c r="BS7" s="438"/>
      <c r="BT7" s="439" t="s">
        <v>483</v>
      </c>
      <c r="BU7" s="463"/>
      <c r="BV7" s="21"/>
      <c r="BW7" s="433" t="s">
        <v>428</v>
      </c>
      <c r="BX7" s="434"/>
      <c r="BY7" s="434"/>
      <c r="BZ7" s="435"/>
      <c r="CA7" s="436" t="s">
        <v>429</v>
      </c>
      <c r="CB7" s="437"/>
      <c r="CC7" s="437"/>
      <c r="CD7" s="438"/>
      <c r="CE7" s="439" t="s">
        <v>483</v>
      </c>
      <c r="CF7" s="463"/>
      <c r="CG7" s="21"/>
      <c r="CH7" s="47"/>
      <c r="CI7" s="21"/>
      <c r="CJ7" s="21"/>
      <c r="CK7" s="21"/>
      <c r="CL7" s="21"/>
      <c r="CM7" s="21"/>
      <c r="CN7" s="21"/>
      <c r="CO7" s="21"/>
      <c r="CP7" s="21"/>
    </row>
    <row r="8" spans="1:99" ht="20" customHeight="1" thickBot="1" x14ac:dyDescent="0.25">
      <c r="A8" s="702"/>
      <c r="B8" s="89"/>
      <c r="C8" s="90"/>
      <c r="D8" s="48"/>
      <c r="E8" s="239" t="s">
        <v>565</v>
      </c>
      <c r="F8" s="48"/>
      <c r="H8" s="370" t="s">
        <v>24</v>
      </c>
      <c r="I8" s="306" t="s">
        <v>322</v>
      </c>
      <c r="J8" s="376" t="s">
        <v>320</v>
      </c>
      <c r="K8" s="458" t="s">
        <v>321</v>
      </c>
      <c r="L8" s="454" t="s">
        <v>494</v>
      </c>
      <c r="M8" s="443" t="s">
        <v>495</v>
      </c>
      <c r="N8" s="407" t="s">
        <v>540</v>
      </c>
      <c r="O8" s="407" t="s">
        <v>482</v>
      </c>
      <c r="P8" s="409" t="s">
        <v>494</v>
      </c>
      <c r="Q8" s="412" t="s">
        <v>495</v>
      </c>
      <c r="R8" s="446" t="s">
        <v>540</v>
      </c>
      <c r="S8" s="471" t="s">
        <v>482</v>
      </c>
      <c r="T8" s="418" t="s">
        <v>484</v>
      </c>
      <c r="U8" s="430" t="s">
        <v>238</v>
      </c>
      <c r="V8" s="441" t="s">
        <v>494</v>
      </c>
      <c r="W8" s="443" t="s">
        <v>495</v>
      </c>
      <c r="X8" s="407" t="s">
        <v>481</v>
      </c>
      <c r="Y8" s="407" t="s">
        <v>482</v>
      </c>
      <c r="Z8" s="409" t="s">
        <v>494</v>
      </c>
      <c r="AA8" s="412" t="s">
        <v>495</v>
      </c>
      <c r="AB8" s="446" t="s">
        <v>481</v>
      </c>
      <c r="AC8" s="448" t="s">
        <v>482</v>
      </c>
      <c r="AD8" s="418" t="s">
        <v>484</v>
      </c>
      <c r="AE8" s="430" t="s">
        <v>238</v>
      </c>
      <c r="AF8" s="441" t="s">
        <v>541</v>
      </c>
      <c r="AG8" s="443" t="s">
        <v>542</v>
      </c>
      <c r="AH8" s="407" t="s">
        <v>524</v>
      </c>
      <c r="AI8" s="407" t="s">
        <v>482</v>
      </c>
      <c r="AJ8" s="409" t="s">
        <v>541</v>
      </c>
      <c r="AK8" s="412" t="s">
        <v>542</v>
      </c>
      <c r="AL8" s="446" t="s">
        <v>524</v>
      </c>
      <c r="AM8" s="448" t="s">
        <v>482</v>
      </c>
      <c r="AN8" s="418" t="s">
        <v>237</v>
      </c>
      <c r="AO8" s="430" t="s">
        <v>238</v>
      </c>
      <c r="AP8" s="441" t="s">
        <v>543</v>
      </c>
      <c r="AQ8" s="443" t="s">
        <v>544</v>
      </c>
      <c r="AR8" s="407" t="s">
        <v>485</v>
      </c>
      <c r="AS8" s="407" t="s">
        <v>482</v>
      </c>
      <c r="AT8" s="409" t="s">
        <v>543</v>
      </c>
      <c r="AU8" s="412" t="s">
        <v>544</v>
      </c>
      <c r="AV8" s="446" t="s">
        <v>485</v>
      </c>
      <c r="AW8" s="448" t="s">
        <v>482</v>
      </c>
      <c r="AX8" s="418" t="s">
        <v>545</v>
      </c>
      <c r="AY8" s="421" t="s">
        <v>238</v>
      </c>
      <c r="AZ8" s="21"/>
      <c r="BA8" s="450" t="s">
        <v>543</v>
      </c>
      <c r="BB8" s="443" t="s">
        <v>544</v>
      </c>
      <c r="BC8" s="407" t="s">
        <v>485</v>
      </c>
      <c r="BD8" s="407" t="s">
        <v>482</v>
      </c>
      <c r="BE8" s="409" t="s">
        <v>543</v>
      </c>
      <c r="BF8" s="412" t="s">
        <v>544</v>
      </c>
      <c r="BG8" s="446" t="s">
        <v>485</v>
      </c>
      <c r="BH8" s="448" t="s">
        <v>482</v>
      </c>
      <c r="BI8" s="418" t="s">
        <v>545</v>
      </c>
      <c r="BJ8" s="430" t="s">
        <v>238</v>
      </c>
      <c r="BK8" s="21"/>
      <c r="BL8" s="450" t="s">
        <v>497</v>
      </c>
      <c r="BM8" s="443" t="s">
        <v>498</v>
      </c>
      <c r="BN8" s="407" t="s">
        <v>481</v>
      </c>
      <c r="BO8" s="407" t="s">
        <v>482</v>
      </c>
      <c r="BP8" s="409" t="s">
        <v>497</v>
      </c>
      <c r="BQ8" s="412" t="s">
        <v>498</v>
      </c>
      <c r="BR8" s="446" t="s">
        <v>481</v>
      </c>
      <c r="BS8" s="448" t="s">
        <v>482</v>
      </c>
      <c r="BT8" s="418" t="s">
        <v>481</v>
      </c>
      <c r="BU8" s="430" t="s">
        <v>482</v>
      </c>
      <c r="BV8" s="21"/>
      <c r="BW8" s="450" t="s">
        <v>511</v>
      </c>
      <c r="BX8" s="443" t="s">
        <v>512</v>
      </c>
      <c r="BY8" s="407" t="s">
        <v>482</v>
      </c>
      <c r="BZ8" s="407"/>
      <c r="CA8" s="409" t="s">
        <v>511</v>
      </c>
      <c r="CB8" s="412" t="s">
        <v>512</v>
      </c>
      <c r="CC8" s="446" t="s">
        <v>482</v>
      </c>
      <c r="CD8" s="448"/>
      <c r="CE8" s="418" t="s">
        <v>482</v>
      </c>
      <c r="CF8" s="430"/>
      <c r="CG8" s="21"/>
      <c r="CH8" s="47"/>
      <c r="CI8" s="21"/>
      <c r="CJ8" s="21"/>
      <c r="CK8" s="21"/>
      <c r="CL8" s="21"/>
      <c r="CM8" s="21"/>
      <c r="CN8" s="21"/>
      <c r="CO8" s="21"/>
      <c r="CP8" s="21"/>
    </row>
    <row r="9" spans="1:99" ht="23" customHeight="1" thickBot="1" x14ac:dyDescent="0.25">
      <c r="A9" s="370" t="s">
        <v>597</v>
      </c>
      <c r="B9" s="370" t="s">
        <v>245</v>
      </c>
      <c r="C9" s="371" t="s">
        <v>479</v>
      </c>
      <c r="D9" s="48"/>
      <c r="F9" s="47"/>
      <c r="H9" s="370"/>
      <c r="I9" s="293"/>
      <c r="J9" s="294"/>
      <c r="K9" s="459"/>
      <c r="L9" s="454"/>
      <c r="M9" s="444"/>
      <c r="N9" s="407"/>
      <c r="O9" s="407"/>
      <c r="P9" s="410"/>
      <c r="Q9" s="412"/>
      <c r="R9" s="446"/>
      <c r="S9" s="471"/>
      <c r="T9" s="419"/>
      <c r="U9" s="431"/>
      <c r="V9" s="441"/>
      <c r="W9" s="444"/>
      <c r="X9" s="407"/>
      <c r="Y9" s="407"/>
      <c r="Z9" s="410"/>
      <c r="AA9" s="412"/>
      <c r="AB9" s="446"/>
      <c r="AC9" s="448"/>
      <c r="AD9" s="419"/>
      <c r="AE9" s="431"/>
      <c r="AF9" s="441"/>
      <c r="AG9" s="444"/>
      <c r="AH9" s="407"/>
      <c r="AI9" s="407"/>
      <c r="AJ9" s="410"/>
      <c r="AK9" s="412"/>
      <c r="AL9" s="446"/>
      <c r="AM9" s="448"/>
      <c r="AN9" s="419"/>
      <c r="AO9" s="431"/>
      <c r="AP9" s="441"/>
      <c r="AQ9" s="444"/>
      <c r="AR9" s="407"/>
      <c r="AS9" s="407"/>
      <c r="AT9" s="410"/>
      <c r="AU9" s="412"/>
      <c r="AV9" s="446"/>
      <c r="AW9" s="448"/>
      <c r="AX9" s="419"/>
      <c r="AY9" s="422"/>
      <c r="AZ9" s="21"/>
      <c r="BA9" s="450"/>
      <c r="BB9" s="444"/>
      <c r="BC9" s="407"/>
      <c r="BD9" s="407"/>
      <c r="BE9" s="410"/>
      <c r="BF9" s="412"/>
      <c r="BG9" s="446"/>
      <c r="BH9" s="448"/>
      <c r="BI9" s="419"/>
      <c r="BJ9" s="431"/>
      <c r="BK9" s="21"/>
      <c r="BL9" s="450"/>
      <c r="BM9" s="444"/>
      <c r="BN9" s="407"/>
      <c r="BO9" s="407"/>
      <c r="BP9" s="410"/>
      <c r="BQ9" s="412"/>
      <c r="BR9" s="446"/>
      <c r="BS9" s="448"/>
      <c r="BT9" s="419"/>
      <c r="BU9" s="431"/>
      <c r="BV9" s="21"/>
      <c r="BW9" s="450"/>
      <c r="BX9" s="444"/>
      <c r="BY9" s="407"/>
      <c r="BZ9" s="407"/>
      <c r="CA9" s="410"/>
      <c r="CB9" s="412"/>
      <c r="CC9" s="446"/>
      <c r="CD9" s="448"/>
      <c r="CE9" s="419"/>
      <c r="CF9" s="431"/>
      <c r="CG9" s="21"/>
      <c r="CH9" s="47"/>
      <c r="CI9" s="21"/>
      <c r="CJ9" s="21"/>
      <c r="CK9" s="21"/>
      <c r="CL9" s="21"/>
      <c r="CM9" s="21"/>
      <c r="CN9" s="21"/>
      <c r="CO9" s="21"/>
      <c r="CP9" s="21"/>
    </row>
    <row r="10" spans="1:99" ht="23" customHeight="1" thickBot="1" x14ac:dyDescent="0.25">
      <c r="A10" s="370"/>
      <c r="B10" s="370"/>
      <c r="C10" s="371"/>
      <c r="D10" s="48"/>
      <c r="E10" s="236" t="s">
        <v>546</v>
      </c>
      <c r="F10" s="47"/>
      <c r="H10" s="370"/>
      <c r="I10" s="293"/>
      <c r="J10" s="294"/>
      <c r="K10" s="459"/>
      <c r="L10" s="454"/>
      <c r="M10" s="444"/>
      <c r="N10" s="407"/>
      <c r="O10" s="407"/>
      <c r="P10" s="410"/>
      <c r="Q10" s="412"/>
      <c r="R10" s="446"/>
      <c r="S10" s="471"/>
      <c r="T10" s="419"/>
      <c r="U10" s="431"/>
      <c r="V10" s="441"/>
      <c r="W10" s="444"/>
      <c r="X10" s="407"/>
      <c r="Y10" s="407"/>
      <c r="Z10" s="410"/>
      <c r="AA10" s="412"/>
      <c r="AB10" s="446"/>
      <c r="AC10" s="448"/>
      <c r="AD10" s="419"/>
      <c r="AE10" s="431"/>
      <c r="AF10" s="441"/>
      <c r="AG10" s="444"/>
      <c r="AH10" s="407"/>
      <c r="AI10" s="407"/>
      <c r="AJ10" s="410"/>
      <c r="AK10" s="412"/>
      <c r="AL10" s="446"/>
      <c r="AM10" s="448"/>
      <c r="AN10" s="419"/>
      <c r="AO10" s="431"/>
      <c r="AP10" s="441"/>
      <c r="AQ10" s="444"/>
      <c r="AR10" s="407"/>
      <c r="AS10" s="407"/>
      <c r="AT10" s="410"/>
      <c r="AU10" s="412"/>
      <c r="AV10" s="446"/>
      <c r="AW10" s="448"/>
      <c r="AX10" s="419"/>
      <c r="AY10" s="422"/>
      <c r="AZ10" s="21"/>
      <c r="BA10" s="450"/>
      <c r="BB10" s="444"/>
      <c r="BC10" s="407"/>
      <c r="BD10" s="407"/>
      <c r="BE10" s="410"/>
      <c r="BF10" s="412"/>
      <c r="BG10" s="446"/>
      <c r="BH10" s="448"/>
      <c r="BI10" s="419"/>
      <c r="BJ10" s="431"/>
      <c r="BK10" s="21"/>
      <c r="BL10" s="450"/>
      <c r="BM10" s="444"/>
      <c r="BN10" s="407"/>
      <c r="BO10" s="407"/>
      <c r="BP10" s="410"/>
      <c r="BQ10" s="412"/>
      <c r="BR10" s="446"/>
      <c r="BS10" s="448"/>
      <c r="BT10" s="419"/>
      <c r="BU10" s="431"/>
      <c r="BV10" s="21"/>
      <c r="BW10" s="450"/>
      <c r="BX10" s="444"/>
      <c r="BY10" s="407"/>
      <c r="BZ10" s="407"/>
      <c r="CA10" s="410"/>
      <c r="CB10" s="412"/>
      <c r="CC10" s="446"/>
      <c r="CD10" s="448"/>
      <c r="CE10" s="419"/>
      <c r="CF10" s="431"/>
      <c r="CG10" s="21"/>
      <c r="CH10" s="47"/>
      <c r="CI10" s="21"/>
      <c r="CJ10" s="21"/>
      <c r="CK10" s="21"/>
      <c r="CL10" s="21"/>
      <c r="CM10" s="21"/>
      <c r="CN10" s="21"/>
      <c r="CO10" s="21"/>
      <c r="CP10" s="21"/>
    </row>
    <row r="11" spans="1:99" ht="23" customHeight="1" x14ac:dyDescent="0.2">
      <c r="A11" s="370"/>
      <c r="B11" s="370"/>
      <c r="C11" s="371"/>
      <c r="D11" s="48"/>
      <c r="E11" s="47"/>
      <c r="F11" s="47"/>
      <c r="G11" s="48"/>
      <c r="H11" s="370"/>
      <c r="I11" s="293"/>
      <c r="J11" s="294"/>
      <c r="K11" s="459"/>
      <c r="L11" s="454"/>
      <c r="M11" s="444"/>
      <c r="N11" s="407"/>
      <c r="O11" s="407"/>
      <c r="P11" s="410"/>
      <c r="Q11" s="412"/>
      <c r="R11" s="446"/>
      <c r="S11" s="471"/>
      <c r="T11" s="419"/>
      <c r="U11" s="431"/>
      <c r="V11" s="441"/>
      <c r="W11" s="444"/>
      <c r="X11" s="407"/>
      <c r="Y11" s="407"/>
      <c r="Z11" s="410"/>
      <c r="AA11" s="412"/>
      <c r="AB11" s="446"/>
      <c r="AC11" s="448"/>
      <c r="AD11" s="419"/>
      <c r="AE11" s="431"/>
      <c r="AF11" s="441"/>
      <c r="AG11" s="444"/>
      <c r="AH11" s="407"/>
      <c r="AI11" s="407"/>
      <c r="AJ11" s="410"/>
      <c r="AK11" s="412"/>
      <c r="AL11" s="446"/>
      <c r="AM11" s="448"/>
      <c r="AN11" s="419"/>
      <c r="AO11" s="431"/>
      <c r="AP11" s="441"/>
      <c r="AQ11" s="444"/>
      <c r="AR11" s="407"/>
      <c r="AS11" s="407"/>
      <c r="AT11" s="410"/>
      <c r="AU11" s="412"/>
      <c r="AV11" s="446"/>
      <c r="AW11" s="448"/>
      <c r="AX11" s="419"/>
      <c r="AY11" s="422"/>
      <c r="AZ11" s="21"/>
      <c r="BA11" s="450"/>
      <c r="BB11" s="444"/>
      <c r="BC11" s="407"/>
      <c r="BD11" s="407"/>
      <c r="BE11" s="410"/>
      <c r="BF11" s="412"/>
      <c r="BG11" s="446"/>
      <c r="BH11" s="448"/>
      <c r="BI11" s="419"/>
      <c r="BJ11" s="431"/>
      <c r="BK11" s="21"/>
      <c r="BL11" s="450"/>
      <c r="BM11" s="444"/>
      <c r="BN11" s="407"/>
      <c r="BO11" s="407"/>
      <c r="BP11" s="410"/>
      <c r="BQ11" s="412"/>
      <c r="BR11" s="446"/>
      <c r="BS11" s="448"/>
      <c r="BT11" s="419"/>
      <c r="BU11" s="431"/>
      <c r="BV11" s="21"/>
      <c r="BW11" s="450"/>
      <c r="BX11" s="444"/>
      <c r="BY11" s="407"/>
      <c r="BZ11" s="407"/>
      <c r="CA11" s="410"/>
      <c r="CB11" s="412"/>
      <c r="CC11" s="446"/>
      <c r="CD11" s="448"/>
      <c r="CE11" s="419"/>
      <c r="CF11" s="431"/>
      <c r="CG11" s="21"/>
      <c r="CH11" s="47"/>
      <c r="CI11" s="21"/>
      <c r="CJ11" s="21"/>
      <c r="CK11" s="21"/>
      <c r="CL11" s="21"/>
      <c r="CM11" s="21"/>
      <c r="CN11" s="21"/>
      <c r="CO11" s="21"/>
      <c r="CP11" s="21"/>
    </row>
    <row r="12" spans="1:99" s="20" customFormat="1" ht="23" customHeight="1" thickBot="1" x14ac:dyDescent="0.25">
      <c r="A12" s="452"/>
      <c r="B12" s="452"/>
      <c r="C12" s="453"/>
      <c r="D12" s="91" t="s">
        <v>20</v>
      </c>
      <c r="E12" s="92" t="s">
        <v>21</v>
      </c>
      <c r="F12" s="92" t="s">
        <v>22</v>
      </c>
      <c r="G12" s="91" t="s">
        <v>23</v>
      </c>
      <c r="H12" s="452"/>
      <c r="I12" s="456"/>
      <c r="J12" s="457"/>
      <c r="K12" s="460"/>
      <c r="L12" s="455"/>
      <c r="M12" s="445"/>
      <c r="N12" s="408"/>
      <c r="O12" s="408"/>
      <c r="P12" s="411"/>
      <c r="Q12" s="413"/>
      <c r="R12" s="447"/>
      <c r="S12" s="472"/>
      <c r="T12" s="420"/>
      <c r="U12" s="432"/>
      <c r="V12" s="442"/>
      <c r="W12" s="445"/>
      <c r="X12" s="408"/>
      <c r="Y12" s="408"/>
      <c r="Z12" s="411"/>
      <c r="AA12" s="413"/>
      <c r="AB12" s="447"/>
      <c r="AC12" s="449"/>
      <c r="AD12" s="420"/>
      <c r="AE12" s="432"/>
      <c r="AF12" s="442"/>
      <c r="AG12" s="445"/>
      <c r="AH12" s="408"/>
      <c r="AI12" s="408"/>
      <c r="AJ12" s="411"/>
      <c r="AK12" s="413"/>
      <c r="AL12" s="447"/>
      <c r="AM12" s="449"/>
      <c r="AN12" s="420"/>
      <c r="AO12" s="432"/>
      <c r="AP12" s="442"/>
      <c r="AQ12" s="445"/>
      <c r="AR12" s="408"/>
      <c r="AS12" s="408"/>
      <c r="AT12" s="411"/>
      <c r="AU12" s="413"/>
      <c r="AV12" s="447"/>
      <c r="AW12" s="449"/>
      <c r="AX12" s="420"/>
      <c r="AY12" s="423"/>
      <c r="AZ12" s="21"/>
      <c r="BA12" s="451"/>
      <c r="BB12" s="445"/>
      <c r="BC12" s="408"/>
      <c r="BD12" s="408"/>
      <c r="BE12" s="411"/>
      <c r="BF12" s="413"/>
      <c r="BG12" s="447"/>
      <c r="BH12" s="449"/>
      <c r="BI12" s="420"/>
      <c r="BJ12" s="432"/>
      <c r="BK12" s="21"/>
      <c r="BL12" s="451"/>
      <c r="BM12" s="445"/>
      <c r="BN12" s="408"/>
      <c r="BO12" s="408"/>
      <c r="BP12" s="411"/>
      <c r="BQ12" s="413"/>
      <c r="BR12" s="447"/>
      <c r="BS12" s="449"/>
      <c r="BT12" s="420"/>
      <c r="BU12" s="432"/>
      <c r="BV12" s="21"/>
      <c r="BW12" s="451"/>
      <c r="BX12" s="445"/>
      <c r="BY12" s="408"/>
      <c r="BZ12" s="408"/>
      <c r="CA12" s="411"/>
      <c r="CB12" s="413"/>
      <c r="CC12" s="447"/>
      <c r="CD12" s="449"/>
      <c r="CE12" s="420"/>
      <c r="CF12" s="432"/>
      <c r="CG12" s="138" t="s">
        <v>25</v>
      </c>
      <c r="CH12" s="139"/>
      <c r="CI12" s="139"/>
      <c r="CJ12" s="139"/>
      <c r="CK12" s="139"/>
      <c r="CL12" s="139"/>
      <c r="CM12" s="139"/>
      <c r="CN12" s="139"/>
      <c r="CO12" s="139"/>
      <c r="CP12" s="139"/>
      <c r="CQ12" s="139"/>
      <c r="CR12" s="139"/>
      <c r="CS12" s="139"/>
      <c r="CT12" s="139"/>
      <c r="CU12" s="139"/>
    </row>
    <row r="13" spans="1:99" ht="20" customHeight="1" x14ac:dyDescent="0.2">
      <c r="B13" s="89"/>
      <c r="C13" s="90"/>
      <c r="D13" s="48" t="s">
        <v>85</v>
      </c>
      <c r="E13" s="47" t="s">
        <v>488</v>
      </c>
      <c r="F13" s="47" t="s">
        <v>489</v>
      </c>
      <c r="G13" s="48">
        <v>2012</v>
      </c>
      <c r="H13" s="176"/>
      <c r="I13" s="249">
        <v>51</v>
      </c>
      <c r="J13" s="178" t="s">
        <v>181</v>
      </c>
      <c r="K13" s="179" t="s">
        <v>190</v>
      </c>
      <c r="L13" s="98">
        <v>126.75</v>
      </c>
      <c r="M13" s="98">
        <v>68.42</v>
      </c>
      <c r="N13" s="98">
        <f t="shared" ref="N13:N16" si="0">IF(AND(M13-L13 &lt;&gt; 0, NOT(ISERROR(M13-L13)), L13 &lt;&gt; ""), M13-L13, "")</f>
        <v>-58.33</v>
      </c>
      <c r="O13" s="98">
        <f>IF(NOT(ISERROR(100-(M13/L13)*100)), (100-(M13/L13)*100)*-1, "")</f>
        <v>-46.019723865877715</v>
      </c>
      <c r="P13" s="145">
        <v>107.83</v>
      </c>
      <c r="Q13" s="145">
        <v>104.57</v>
      </c>
      <c r="R13" s="146">
        <f t="shared" ref="R13:R16" si="1">IF(AND(Q13-P13 &lt;&gt; 0, NOT(ISERROR(Q13-P13)), P13 &lt;&gt; ""), Q13-P13, "")</f>
        <v>-3.2600000000000051</v>
      </c>
      <c r="S13" s="150">
        <f>IF(NOT(ISERROR(100-(Q13/P13)*100)), (100-(Q13/P13)*100)*-1, "")</f>
        <v>-3.0232773810627833</v>
      </c>
      <c r="T13" s="143">
        <f t="shared" ref="T13:T16" si="2">IF(NOT(ISERROR(N13-R13)), N13-R13, "")</f>
        <v>-55.069999999999993</v>
      </c>
      <c r="U13" s="144"/>
      <c r="V13" s="98">
        <v>434.21</v>
      </c>
      <c r="W13" s="98">
        <v>449.88</v>
      </c>
      <c r="X13" s="98">
        <f>IF(AND(NOT(ISERROR(W13-V13)), W13 &lt;&gt; "", V13 &lt;&gt; ""), W13-V13, "")</f>
        <v>15.670000000000016</v>
      </c>
      <c r="Y13" s="98">
        <f t="shared" ref="Y13:Y51" si="3">IF(NOT(ISERROR(100-(W13/V13)*100)), (100-(W13/V13)*100)*-1, "")</f>
        <v>3.6088528592155882</v>
      </c>
      <c r="Z13" s="145">
        <v>412.27</v>
      </c>
      <c r="AA13" s="145">
        <v>420.57</v>
      </c>
      <c r="AB13" s="146">
        <f t="shared" ref="AB13:AB51" si="4">IF(AND(NOT(ISERROR(AA13-Z13)), AA13 &lt;&gt; "", Z13 &lt;&gt; ""), AA13-Z13, "")</f>
        <v>8.3000000000000114</v>
      </c>
      <c r="AC13" s="149">
        <f t="shared" ref="AC13:AC51" si="5">IF(NOT(ISERROR(100-(AA13/Z13)*100)), (100-(AA13/Z13)*100)*-1, "")</f>
        <v>2.0132437480291969</v>
      </c>
      <c r="AD13" s="143">
        <f t="shared" ref="AD13:AD51" si="6">IF(NOT(ISERROR(X13-AB13)), X13-AB13, "")</f>
        <v>7.3700000000000045</v>
      </c>
      <c r="AE13" s="144"/>
      <c r="AF13" s="187"/>
      <c r="AG13" s="188"/>
      <c r="AH13" s="188" t="str">
        <f t="shared" ref="AH13:AH20" si="7">IF(AND(NOT(ISERROR(AG13-AF13)), AG13&lt;&gt;"", AF13&lt;&gt;""), AG13-AF13, "")</f>
        <v/>
      </c>
      <c r="AI13" s="188"/>
      <c r="AJ13" s="189"/>
      <c r="AK13" s="190"/>
      <c r="AL13" s="191" t="str">
        <f t="shared" ref="AL13:AL51" si="8">IF(AND(NOT(ISERROR(AK13-AJ13)), AK13&lt;&gt;"", AJ13&lt;&gt;""), AK13-AJ13, "")</f>
        <v/>
      </c>
      <c r="AM13" s="192"/>
      <c r="AN13" s="143" t="str">
        <f>IF(NOT(ISERROR(AH13-AL13)), AH13-AL13, "")</f>
        <v/>
      </c>
      <c r="AO13" s="194"/>
      <c r="AP13" s="108"/>
      <c r="AQ13" s="98"/>
      <c r="AR13" s="98"/>
      <c r="AS13" s="98"/>
      <c r="AT13" s="145"/>
      <c r="AU13" s="146"/>
      <c r="AV13" s="147"/>
      <c r="AW13" s="148"/>
      <c r="AX13" s="143"/>
      <c r="AY13" s="234"/>
      <c r="AZ13" s="21"/>
      <c r="BA13" s="187"/>
      <c r="BB13" s="188"/>
      <c r="BC13" s="188"/>
      <c r="BD13" s="188"/>
      <c r="BE13" s="189"/>
      <c r="BF13" s="190"/>
      <c r="BG13" s="191"/>
      <c r="BH13" s="192"/>
      <c r="BI13" s="193"/>
      <c r="BJ13" s="194"/>
      <c r="BK13" s="21"/>
      <c r="BL13" s="208"/>
      <c r="BM13" s="209"/>
      <c r="BN13" s="188"/>
      <c r="BO13" s="188"/>
      <c r="BP13" s="189"/>
      <c r="BQ13" s="190"/>
      <c r="BR13" s="191"/>
      <c r="BS13" s="192"/>
      <c r="BT13" s="193"/>
      <c r="BU13" s="194"/>
      <c r="BV13" s="21"/>
      <c r="BW13" s="212">
        <v>65.42</v>
      </c>
      <c r="BX13" s="213">
        <v>70.23</v>
      </c>
      <c r="BY13" s="98">
        <f t="shared" ref="BY13:BY21" si="9">IF(AND(NOT(ISERROR(BX13-BW13)), BX13 &lt;&gt; "", BW13 &lt;&gt; ""), BX13 - BW13, "")</f>
        <v>4.8100000000000023</v>
      </c>
      <c r="BZ13" s="188"/>
      <c r="CA13" s="189">
        <v>63.27</v>
      </c>
      <c r="CB13" s="190">
        <v>64.83</v>
      </c>
      <c r="CC13" s="147">
        <f t="shared" ref="CC13:CC51" si="10">IF(AND(NOT(ISERROR(CB13-CA13)), CB13 &lt;&gt; "", CA13 &lt;&gt; ""), CB13 - CA13, "")</f>
        <v>1.5599999999999952</v>
      </c>
      <c r="CD13" s="192"/>
      <c r="CE13" s="143">
        <f t="shared" ref="CE13:CE51" si="11">IF(NOT(ISERROR(BY13-CC13)), BY13-CC13, "")</f>
        <v>3.2500000000000071</v>
      </c>
      <c r="CF13" s="194"/>
      <c r="CG13" s="47"/>
      <c r="CH13" s="47"/>
      <c r="CI13" s="47"/>
      <c r="CJ13" s="47"/>
      <c r="CK13" s="47"/>
      <c r="CL13" s="47"/>
      <c r="CM13" s="47"/>
      <c r="CN13" s="47"/>
      <c r="CO13" s="47"/>
      <c r="CP13" s="47"/>
      <c r="CQ13" s="47"/>
      <c r="CR13" s="47"/>
      <c r="CS13" s="47"/>
      <c r="CT13" s="47"/>
      <c r="CU13" s="47"/>
    </row>
    <row r="14" spans="1:99" ht="20" customHeight="1" x14ac:dyDescent="0.2">
      <c r="B14" s="45"/>
      <c r="C14" s="58"/>
      <c r="D14" s="22" t="s">
        <v>85</v>
      </c>
      <c r="E14" s="21" t="s">
        <v>250</v>
      </c>
      <c r="F14" s="21" t="s">
        <v>251</v>
      </c>
      <c r="G14" s="22">
        <v>2008</v>
      </c>
      <c r="I14" s="65">
        <v>13</v>
      </c>
      <c r="J14" s="61" t="s">
        <v>217</v>
      </c>
      <c r="K14" s="83" t="s">
        <v>330</v>
      </c>
      <c r="L14" s="98"/>
      <c r="M14" s="98"/>
      <c r="N14" s="98" t="str">
        <f t="shared" si="0"/>
        <v/>
      </c>
      <c r="O14" s="98" t="str">
        <f t="shared" ref="O14:O51" si="12">IF(NOT(ISERROR(100-(M14/L14)*100)), (100-(M14/L14)*100)*-1, "")</f>
        <v/>
      </c>
      <c r="P14" s="145"/>
      <c r="Q14" s="145"/>
      <c r="R14" s="146" t="str">
        <f t="shared" si="1"/>
        <v/>
      </c>
      <c r="S14" s="150" t="str">
        <f t="shared" ref="S14:S51" si="13">IF(NOT(ISERROR(100-(Q14/P14)*100)), (100-(Q14/P14)*100)*-1, "")</f>
        <v/>
      </c>
      <c r="T14" s="143" t="str">
        <f t="shared" si="2"/>
        <v/>
      </c>
      <c r="U14" s="144"/>
      <c r="V14" s="98"/>
      <c r="W14" s="98"/>
      <c r="X14" s="98" t="str">
        <f t="shared" ref="X14:X51" si="14">IF(AND(NOT(ISERROR(W14-V14)), W14 &lt;&gt; "", V14 &lt;&gt; ""), W14-V14, "")</f>
        <v/>
      </c>
      <c r="Y14" s="98" t="str">
        <f t="shared" si="3"/>
        <v/>
      </c>
      <c r="Z14" s="145"/>
      <c r="AA14" s="145"/>
      <c r="AB14" s="146" t="str">
        <f t="shared" si="4"/>
        <v/>
      </c>
      <c r="AC14" s="149" t="str">
        <f t="shared" si="5"/>
        <v/>
      </c>
      <c r="AD14" s="143" t="str">
        <f t="shared" si="6"/>
        <v/>
      </c>
      <c r="AE14" s="144"/>
      <c r="AF14" s="187"/>
      <c r="AG14" s="188"/>
      <c r="AH14" s="188" t="str">
        <f t="shared" si="7"/>
        <v/>
      </c>
      <c r="AI14" s="188"/>
      <c r="AJ14" s="189"/>
      <c r="AK14" s="190"/>
      <c r="AL14" s="191" t="str">
        <f t="shared" si="8"/>
        <v/>
      </c>
      <c r="AM14" s="192"/>
      <c r="AN14" s="143" t="str">
        <f t="shared" ref="AN14:AN51" si="15">IF(NOT(ISERROR(AH14-AL14)), AH14-AL14, "")</f>
        <v/>
      </c>
      <c r="AO14" s="194"/>
      <c r="AP14" s="108"/>
      <c r="AQ14" s="98"/>
      <c r="AR14" s="98"/>
      <c r="AS14" s="98"/>
      <c r="AT14" s="145"/>
      <c r="AU14" s="146"/>
      <c r="AV14" s="147"/>
      <c r="AW14" s="148"/>
      <c r="AX14" s="143"/>
      <c r="AY14" s="234"/>
      <c r="AZ14" s="21"/>
      <c r="BA14" s="187"/>
      <c r="BB14" s="188">
        <v>0.39</v>
      </c>
      <c r="BC14" s="188"/>
      <c r="BD14" s="188"/>
      <c r="BE14" s="189"/>
      <c r="BF14" s="190">
        <v>0.26</v>
      </c>
      <c r="BG14" s="191"/>
      <c r="BH14" s="192"/>
      <c r="BI14" s="193">
        <v>0.12</v>
      </c>
      <c r="BJ14" s="194"/>
      <c r="BK14" s="21"/>
      <c r="BL14" s="208"/>
      <c r="BM14" s="209"/>
      <c r="BN14" s="98"/>
      <c r="BO14" s="98"/>
      <c r="BP14" s="145"/>
      <c r="BQ14" s="146"/>
      <c r="BR14" s="147"/>
      <c r="BS14" s="148"/>
      <c r="BT14" s="143"/>
      <c r="BU14" s="144"/>
      <c r="BV14" s="21"/>
      <c r="BW14" s="208"/>
      <c r="BX14" s="209"/>
      <c r="BY14" s="98" t="str">
        <f t="shared" si="9"/>
        <v/>
      </c>
      <c r="BZ14" s="98"/>
      <c r="CA14" s="145"/>
      <c r="CB14" s="146"/>
      <c r="CC14" s="147" t="str">
        <f t="shared" si="10"/>
        <v/>
      </c>
      <c r="CD14" s="148"/>
      <c r="CE14" s="143" t="str">
        <f t="shared" si="11"/>
        <v/>
      </c>
      <c r="CF14" s="144"/>
      <c r="CG14" s="21"/>
      <c r="CH14" s="21"/>
      <c r="CI14" s="21"/>
      <c r="CJ14" s="21"/>
      <c r="CK14" s="21"/>
      <c r="CL14" s="21"/>
      <c r="CM14" s="21"/>
      <c r="CN14" s="21"/>
      <c r="CO14" s="21"/>
      <c r="CP14" s="21"/>
    </row>
    <row r="15" spans="1:99" ht="20" customHeight="1" x14ac:dyDescent="0.2">
      <c r="B15" s="46"/>
      <c r="C15" s="58"/>
      <c r="D15" s="22" t="s">
        <v>85</v>
      </c>
      <c r="E15" s="21" t="s">
        <v>36</v>
      </c>
      <c r="F15" s="21" t="s">
        <v>37</v>
      </c>
      <c r="G15" s="22">
        <v>2008</v>
      </c>
      <c r="H15" s="22">
        <v>40</v>
      </c>
      <c r="I15" s="65">
        <v>29</v>
      </c>
      <c r="J15" s="61" t="s">
        <v>175</v>
      </c>
      <c r="K15" s="83" t="s">
        <v>168</v>
      </c>
      <c r="L15" s="98"/>
      <c r="M15" s="98"/>
      <c r="N15" s="98" t="str">
        <f t="shared" si="0"/>
        <v/>
      </c>
      <c r="O15" s="98" t="str">
        <f t="shared" si="12"/>
        <v/>
      </c>
      <c r="P15" s="145"/>
      <c r="Q15" s="145"/>
      <c r="R15" s="146" t="str">
        <f t="shared" si="1"/>
        <v/>
      </c>
      <c r="S15" s="150" t="str">
        <f t="shared" si="13"/>
        <v/>
      </c>
      <c r="T15" s="143" t="str">
        <f t="shared" si="2"/>
        <v/>
      </c>
      <c r="U15" s="144"/>
      <c r="V15" s="98"/>
      <c r="W15" s="98"/>
      <c r="X15" s="98" t="str">
        <f t="shared" si="14"/>
        <v/>
      </c>
      <c r="Y15" s="98" t="str">
        <f t="shared" si="3"/>
        <v/>
      </c>
      <c r="Z15" s="145"/>
      <c r="AA15" s="145"/>
      <c r="AB15" s="146" t="str">
        <f t="shared" si="4"/>
        <v/>
      </c>
      <c r="AC15" s="149" t="str">
        <f t="shared" si="5"/>
        <v/>
      </c>
      <c r="AD15" s="143" t="str">
        <f t="shared" si="6"/>
        <v/>
      </c>
      <c r="AE15" s="144"/>
      <c r="AF15" s="187"/>
      <c r="AG15" s="188"/>
      <c r="AH15" s="188" t="str">
        <f t="shared" si="7"/>
        <v/>
      </c>
      <c r="AI15" s="188"/>
      <c r="AJ15" s="189"/>
      <c r="AK15" s="190"/>
      <c r="AL15" s="191" t="str">
        <f t="shared" si="8"/>
        <v/>
      </c>
      <c r="AM15" s="192"/>
      <c r="AN15" s="143" t="str">
        <f t="shared" si="15"/>
        <v/>
      </c>
      <c r="AO15" s="194"/>
      <c r="AP15" s="108"/>
      <c r="AQ15" s="98"/>
      <c r="AR15" s="98"/>
      <c r="AS15" s="98"/>
      <c r="AT15" s="145"/>
      <c r="AU15" s="146"/>
      <c r="AV15" s="147"/>
      <c r="AW15" s="148"/>
      <c r="AX15" s="143"/>
      <c r="AY15" s="234"/>
      <c r="AZ15" s="21"/>
      <c r="BA15" s="108"/>
      <c r="BB15" s="98"/>
      <c r="BC15" s="98"/>
      <c r="BD15" s="98"/>
      <c r="BE15" s="145"/>
      <c r="BF15" s="146"/>
      <c r="BG15" s="147"/>
      <c r="BH15" s="148"/>
      <c r="BI15" s="143"/>
      <c r="BJ15" s="144"/>
      <c r="BK15" s="21"/>
      <c r="BL15" s="208" t="s">
        <v>499</v>
      </c>
      <c r="BM15" s="209" t="s">
        <v>500</v>
      </c>
      <c r="BN15" s="98">
        <v>136</v>
      </c>
      <c r="BO15" s="98"/>
      <c r="BP15" s="210" t="s">
        <v>501</v>
      </c>
      <c r="BQ15" s="211" t="s">
        <v>502</v>
      </c>
      <c r="BR15" s="147">
        <v>15</v>
      </c>
      <c r="BS15" s="148"/>
      <c r="BT15" s="143">
        <v>121</v>
      </c>
      <c r="BU15" s="144"/>
      <c r="BV15" s="21"/>
      <c r="BW15" s="208"/>
      <c r="BX15" s="209"/>
      <c r="BY15" s="98" t="str">
        <f t="shared" si="9"/>
        <v/>
      </c>
      <c r="BZ15" s="98"/>
      <c r="CA15" s="210"/>
      <c r="CB15" s="211"/>
      <c r="CC15" s="147" t="str">
        <f t="shared" si="10"/>
        <v/>
      </c>
      <c r="CD15" s="148"/>
      <c r="CE15" s="143" t="str">
        <f t="shared" si="11"/>
        <v/>
      </c>
      <c r="CF15" s="144"/>
      <c r="CG15" s="21"/>
      <c r="CH15" s="21"/>
      <c r="CI15" s="21"/>
      <c r="CJ15" s="21"/>
      <c r="CK15" s="21"/>
      <c r="CL15" s="21"/>
      <c r="CM15" s="21"/>
      <c r="CN15" s="21"/>
      <c r="CO15" s="21"/>
      <c r="CP15" s="21"/>
    </row>
    <row r="16" spans="1:99" ht="20" customHeight="1" x14ac:dyDescent="0.2">
      <c r="B16" s="45"/>
      <c r="C16" s="58"/>
      <c r="D16" s="22" t="s">
        <v>85</v>
      </c>
      <c r="E16" s="21" t="s">
        <v>43</v>
      </c>
      <c r="F16" s="21" t="s">
        <v>44</v>
      </c>
      <c r="G16" s="22">
        <v>1976</v>
      </c>
      <c r="H16" s="22">
        <v>179</v>
      </c>
      <c r="I16" s="65">
        <v>8</v>
      </c>
      <c r="J16" s="78" t="s">
        <v>331</v>
      </c>
      <c r="K16" s="83"/>
      <c r="L16" s="98"/>
      <c r="M16" s="98"/>
      <c r="N16" s="98" t="str">
        <f t="shared" si="0"/>
        <v/>
      </c>
      <c r="O16" s="98" t="str">
        <f t="shared" si="12"/>
        <v/>
      </c>
      <c r="P16" s="145"/>
      <c r="Q16" s="145"/>
      <c r="R16" s="146" t="str">
        <f t="shared" si="1"/>
        <v/>
      </c>
      <c r="S16" s="150" t="str">
        <f t="shared" si="13"/>
        <v/>
      </c>
      <c r="T16" s="143" t="str">
        <f t="shared" si="2"/>
        <v/>
      </c>
      <c r="U16" s="144"/>
      <c r="V16" s="98">
        <v>414</v>
      </c>
      <c r="W16" s="98">
        <v>294</v>
      </c>
      <c r="X16" s="98">
        <f t="shared" si="14"/>
        <v>-120</v>
      </c>
      <c r="Y16" s="98">
        <f t="shared" ref="Y16" si="16">IF(NOT(ISERROR(100-(W16/V16)*100)), (100-(W16/V16)*100)*-1, "")</f>
        <v>-28.985507246376812</v>
      </c>
      <c r="Z16" s="145"/>
      <c r="AA16" s="145"/>
      <c r="AB16" s="146" t="str">
        <f t="shared" si="4"/>
        <v/>
      </c>
      <c r="AC16" s="149" t="str">
        <f t="shared" si="5"/>
        <v/>
      </c>
      <c r="AD16" s="143" t="str">
        <f t="shared" si="6"/>
        <v/>
      </c>
      <c r="AE16" s="144"/>
      <c r="AF16" s="187"/>
      <c r="AG16" s="188"/>
      <c r="AH16" s="188" t="str">
        <f t="shared" si="7"/>
        <v/>
      </c>
      <c r="AI16" s="188"/>
      <c r="AJ16" s="189"/>
      <c r="AK16" s="190"/>
      <c r="AL16" s="191" t="str">
        <f t="shared" si="8"/>
        <v/>
      </c>
      <c r="AM16" s="192"/>
      <c r="AN16" s="143" t="str">
        <f t="shared" si="15"/>
        <v/>
      </c>
      <c r="AO16" s="194"/>
      <c r="AP16" s="108"/>
      <c r="AQ16" s="98"/>
      <c r="AR16" s="98"/>
      <c r="AS16" s="98"/>
      <c r="AT16" s="145"/>
      <c r="AU16" s="146"/>
      <c r="AV16" s="147"/>
      <c r="AW16" s="148"/>
      <c r="AX16" s="143"/>
      <c r="AY16" s="234"/>
      <c r="AZ16" s="21"/>
      <c r="BA16" s="108"/>
      <c r="BB16" s="98"/>
      <c r="BC16" s="98"/>
      <c r="BD16" s="98"/>
      <c r="BE16" s="145"/>
      <c r="BF16" s="146"/>
      <c r="BG16" s="147"/>
      <c r="BH16" s="148"/>
      <c r="BI16" s="143"/>
      <c r="BJ16" s="144"/>
      <c r="BK16" s="21"/>
      <c r="BL16" s="208"/>
      <c r="BM16" s="209"/>
      <c r="BN16" s="98"/>
      <c r="BO16" s="98"/>
      <c r="BP16" s="145"/>
      <c r="BQ16" s="146"/>
      <c r="BR16" s="147"/>
      <c r="BS16" s="148"/>
      <c r="BT16" s="143"/>
      <c r="BU16" s="144"/>
      <c r="BV16" s="21"/>
      <c r="BW16" s="208"/>
      <c r="BX16" s="209"/>
      <c r="BY16" s="98" t="str">
        <f t="shared" si="9"/>
        <v/>
      </c>
      <c r="BZ16" s="98"/>
      <c r="CA16" s="145"/>
      <c r="CB16" s="146"/>
      <c r="CC16" s="147" t="str">
        <f t="shared" si="10"/>
        <v/>
      </c>
      <c r="CD16" s="148"/>
      <c r="CE16" s="143" t="str">
        <f t="shared" si="11"/>
        <v/>
      </c>
      <c r="CF16" s="144"/>
      <c r="CG16" s="21" t="s">
        <v>503</v>
      </c>
      <c r="CH16" s="21"/>
      <c r="CI16" s="21"/>
      <c r="CJ16" s="21"/>
      <c r="CK16" s="21"/>
      <c r="CL16" s="21"/>
      <c r="CM16" s="21"/>
      <c r="CN16" s="21"/>
      <c r="CO16" s="21"/>
      <c r="CP16" s="21"/>
    </row>
    <row r="17" spans="1:94" ht="20" customHeight="1" x14ac:dyDescent="0.2">
      <c r="A17" s="702"/>
      <c r="B17" s="46"/>
      <c r="C17" s="58"/>
      <c r="D17" s="696" t="s">
        <v>85</v>
      </c>
      <c r="E17" s="697" t="s">
        <v>612</v>
      </c>
      <c r="F17" s="697" t="s">
        <v>613</v>
      </c>
      <c r="G17" s="698">
        <v>2004</v>
      </c>
      <c r="H17" s="699"/>
      <c r="I17" s="701"/>
      <c r="J17" s="232" t="s">
        <v>614</v>
      </c>
      <c r="K17" s="250"/>
      <c r="L17" s="98"/>
      <c r="M17" s="98"/>
      <c r="N17" s="98"/>
      <c r="O17" s="98"/>
      <c r="P17" s="145"/>
      <c r="Q17" s="145"/>
      <c r="R17" s="146"/>
      <c r="S17" s="150"/>
      <c r="T17" s="143"/>
      <c r="U17" s="144"/>
      <c r="V17" s="98"/>
      <c r="W17" s="98"/>
      <c r="X17" s="98"/>
      <c r="Y17" s="98"/>
      <c r="Z17" s="145"/>
      <c r="AA17" s="145"/>
      <c r="AB17" s="146"/>
      <c r="AC17" s="149"/>
      <c r="AD17" s="143"/>
      <c r="AE17" s="144"/>
      <c r="AF17" s="187"/>
      <c r="AG17" s="188"/>
      <c r="AH17" s="188"/>
      <c r="AI17" s="188"/>
      <c r="AJ17" s="189"/>
      <c r="AK17" s="190"/>
      <c r="AL17" s="191"/>
      <c r="AM17" s="192"/>
      <c r="AN17" s="143"/>
      <c r="AO17" s="194"/>
      <c r="AP17" s="108"/>
      <c r="AQ17" s="98"/>
      <c r="AR17" s="98"/>
      <c r="AS17" s="98"/>
      <c r="AT17" s="145"/>
      <c r="AU17" s="146"/>
      <c r="AV17" s="147"/>
      <c r="AW17" s="148"/>
      <c r="AX17" s="143"/>
      <c r="AY17" s="234"/>
      <c r="AZ17" s="21"/>
      <c r="BA17" s="108"/>
      <c r="BB17" s="98"/>
      <c r="BC17" s="98"/>
      <c r="BD17" s="98"/>
      <c r="BE17" s="145"/>
      <c r="BF17" s="146"/>
      <c r="BG17" s="147"/>
      <c r="BH17" s="148"/>
      <c r="BI17" s="143"/>
      <c r="BJ17" s="144"/>
      <c r="BK17" s="21"/>
      <c r="BL17" s="208"/>
      <c r="BM17" s="209"/>
      <c r="BN17" s="98"/>
      <c r="BO17" s="98"/>
      <c r="BP17" s="145"/>
      <c r="BQ17" s="146"/>
      <c r="BR17" s="147"/>
      <c r="BS17" s="148"/>
      <c r="BT17" s="143"/>
      <c r="BU17" s="144"/>
      <c r="BV17" s="21"/>
      <c r="BW17" s="208"/>
      <c r="BX17" s="209"/>
      <c r="BY17" s="98"/>
      <c r="BZ17" s="98"/>
      <c r="CA17" s="145"/>
      <c r="CB17" s="146"/>
      <c r="CC17" s="147"/>
      <c r="CD17" s="148"/>
      <c r="CE17" s="143"/>
      <c r="CF17" s="144"/>
      <c r="CG17" s="21"/>
      <c r="CH17" s="21"/>
      <c r="CI17" s="21"/>
      <c r="CJ17" s="21"/>
      <c r="CK17" s="21"/>
      <c r="CL17" s="21"/>
      <c r="CM17" s="21"/>
      <c r="CN17" s="21"/>
      <c r="CO17" s="21"/>
      <c r="CP17" s="21"/>
    </row>
    <row r="18" spans="1:94" ht="20" customHeight="1" x14ac:dyDescent="0.2">
      <c r="B18" s="45"/>
      <c r="C18" s="59"/>
      <c r="D18" s="22" t="s">
        <v>85</v>
      </c>
      <c r="E18" s="21" t="s">
        <v>256</v>
      </c>
      <c r="F18" s="21" t="s">
        <v>257</v>
      </c>
      <c r="G18" s="22">
        <v>2012</v>
      </c>
      <c r="I18" s="65">
        <v>80</v>
      </c>
      <c r="J18" s="61" t="s">
        <v>213</v>
      </c>
      <c r="K18" s="83" t="s">
        <v>190</v>
      </c>
      <c r="L18" s="98">
        <v>81.209999999999994</v>
      </c>
      <c r="M18" s="98">
        <v>45.2</v>
      </c>
      <c r="N18" s="98">
        <f>IF(AND(M18-L18 &lt;&gt; 0, NOT(ISERROR(M18-L18)), L18 &lt;&gt; ""), M18-L18, "")</f>
        <v>-36.009999999999991</v>
      </c>
      <c r="O18" s="98">
        <f t="shared" si="12"/>
        <v>-44.341829823913301</v>
      </c>
      <c r="P18" s="145">
        <v>78.2</v>
      </c>
      <c r="Q18" s="145">
        <v>79.599999999999994</v>
      </c>
      <c r="R18" s="146">
        <f>IF(AND(Q18-P18 &lt;&gt; 0, NOT(ISERROR(Q18-P18)), P18 &lt;&gt; ""), Q18-P18, "")</f>
        <v>1.3999999999999915</v>
      </c>
      <c r="S18" s="150">
        <f t="shared" si="13"/>
        <v>1.7902813299232747</v>
      </c>
      <c r="T18" s="143">
        <f>IF(NOT(ISERROR(N18-R18)), N18-R18, "")</f>
        <v>-37.409999999999982</v>
      </c>
      <c r="U18" s="144"/>
      <c r="V18" s="98">
        <v>410.28</v>
      </c>
      <c r="W18" s="98">
        <v>481.1</v>
      </c>
      <c r="X18" s="98">
        <f t="shared" si="14"/>
        <v>70.82000000000005</v>
      </c>
      <c r="Y18" s="98">
        <f t="shared" si="3"/>
        <v>17.261382470507968</v>
      </c>
      <c r="Z18" s="145">
        <v>413</v>
      </c>
      <c r="AA18" s="145">
        <v>416.23</v>
      </c>
      <c r="AB18" s="146">
        <f t="shared" si="4"/>
        <v>3.2300000000000182</v>
      </c>
      <c r="AC18" s="149">
        <f t="shared" si="5"/>
        <v>0.78208232445520309</v>
      </c>
      <c r="AD18" s="143">
        <f t="shared" si="6"/>
        <v>67.590000000000032</v>
      </c>
      <c r="AE18" s="144"/>
      <c r="AF18" s="187"/>
      <c r="AG18" s="188"/>
      <c r="AH18" s="188" t="str">
        <f t="shared" si="7"/>
        <v/>
      </c>
      <c r="AI18" s="188"/>
      <c r="AJ18" s="189"/>
      <c r="AK18" s="190"/>
      <c r="AL18" s="191" t="str">
        <f t="shared" si="8"/>
        <v/>
      </c>
      <c r="AM18" s="192"/>
      <c r="AN18" s="143" t="str">
        <f t="shared" si="15"/>
        <v/>
      </c>
      <c r="AO18" s="194"/>
      <c r="AP18" s="108"/>
      <c r="AQ18" s="98"/>
      <c r="AR18" s="98"/>
      <c r="AS18" s="98"/>
      <c r="AT18" s="145"/>
      <c r="AU18" s="146"/>
      <c r="AV18" s="147"/>
      <c r="AW18" s="148"/>
      <c r="AX18" s="143"/>
      <c r="AY18" s="234"/>
      <c r="AZ18" s="21"/>
      <c r="BA18" s="108"/>
      <c r="BB18" s="98"/>
      <c r="BC18" s="98"/>
      <c r="BD18" s="98"/>
      <c r="BE18" s="145"/>
      <c r="BF18" s="146"/>
      <c r="BG18" s="147"/>
      <c r="BH18" s="148"/>
      <c r="BI18" s="143"/>
      <c r="BJ18" s="144"/>
      <c r="BK18" s="21"/>
      <c r="BL18" s="208"/>
      <c r="BM18" s="209"/>
      <c r="BN18" s="98"/>
      <c r="BO18" s="98"/>
      <c r="BP18" s="145"/>
      <c r="BQ18" s="146"/>
      <c r="BR18" s="147"/>
      <c r="BS18" s="148"/>
      <c r="BT18" s="143"/>
      <c r="BU18" s="144"/>
      <c r="BV18" s="21"/>
      <c r="BW18" s="208"/>
      <c r="BX18" s="209"/>
      <c r="BY18" s="98" t="str">
        <f t="shared" si="9"/>
        <v/>
      </c>
      <c r="BZ18" s="98"/>
      <c r="CA18" s="145"/>
      <c r="CB18" s="146"/>
      <c r="CC18" s="147" t="str">
        <f t="shared" si="10"/>
        <v/>
      </c>
      <c r="CD18" s="148"/>
      <c r="CE18" s="143" t="str">
        <f t="shared" si="11"/>
        <v/>
      </c>
      <c r="CF18" s="144"/>
      <c r="CG18" s="21" t="s">
        <v>223</v>
      </c>
      <c r="CH18" s="21"/>
      <c r="CI18" s="21"/>
      <c r="CJ18" s="21"/>
      <c r="CK18" s="21"/>
      <c r="CL18" s="21"/>
      <c r="CM18" s="21"/>
      <c r="CN18" s="21"/>
      <c r="CO18" s="21"/>
      <c r="CP18" s="21"/>
    </row>
    <row r="19" spans="1:94" ht="20" customHeight="1" x14ac:dyDescent="0.2">
      <c r="B19" s="45"/>
      <c r="C19" s="58"/>
      <c r="D19" s="22" t="s">
        <v>85</v>
      </c>
      <c r="E19" s="21" t="s">
        <v>258</v>
      </c>
      <c r="F19" s="21" t="s">
        <v>259</v>
      </c>
      <c r="G19" s="22">
        <v>2013</v>
      </c>
      <c r="I19" s="65">
        <v>12</v>
      </c>
      <c r="J19" s="61" t="s">
        <v>213</v>
      </c>
      <c r="K19" s="83" t="s">
        <v>333</v>
      </c>
      <c r="L19" s="98"/>
      <c r="M19" s="98"/>
      <c r="N19" s="98" t="str">
        <f t="shared" ref="N19:N51" si="17">IF(AND(M19-L19 &lt;&gt; 0, NOT(ISERROR(M19-L19)), L19 &lt;&gt; ""), M19-L19, "")</f>
        <v/>
      </c>
      <c r="O19" s="98" t="str">
        <f t="shared" si="12"/>
        <v/>
      </c>
      <c r="P19" s="145"/>
      <c r="Q19" s="145"/>
      <c r="R19" s="146" t="str">
        <f t="shared" ref="R19:R51" si="18">IF(AND(Q19-P19 &lt;&gt; 0, NOT(ISERROR(Q19-P19)), P19 &lt;&gt; ""), Q19-P19, "")</f>
        <v/>
      </c>
      <c r="S19" s="150" t="str">
        <f t="shared" si="13"/>
        <v/>
      </c>
      <c r="T19" s="143" t="str">
        <f t="shared" ref="T19:T51" si="19">IF(NOT(ISERROR(N19-R19)), N19-R19, "")</f>
        <v/>
      </c>
      <c r="U19" s="144"/>
      <c r="V19" s="98">
        <v>432</v>
      </c>
      <c r="W19" s="98">
        <v>432</v>
      </c>
      <c r="X19" s="98">
        <f t="shared" si="14"/>
        <v>0</v>
      </c>
      <c r="Y19" s="98">
        <f t="shared" si="3"/>
        <v>0</v>
      </c>
      <c r="Z19" s="145">
        <v>432</v>
      </c>
      <c r="AA19" s="145">
        <v>432</v>
      </c>
      <c r="AB19" s="146">
        <f t="shared" si="4"/>
        <v>0</v>
      </c>
      <c r="AC19" s="149">
        <f t="shared" si="5"/>
        <v>0</v>
      </c>
      <c r="AD19" s="143">
        <f t="shared" si="6"/>
        <v>0</v>
      </c>
      <c r="AE19" s="144"/>
      <c r="AF19" s="187"/>
      <c r="AG19" s="188"/>
      <c r="AH19" s="188" t="str">
        <f t="shared" si="7"/>
        <v/>
      </c>
      <c r="AI19" s="188"/>
      <c r="AJ19" s="189"/>
      <c r="AK19" s="190"/>
      <c r="AL19" s="191" t="str">
        <f t="shared" si="8"/>
        <v/>
      </c>
      <c r="AM19" s="192"/>
      <c r="AN19" s="143" t="str">
        <f t="shared" si="15"/>
        <v/>
      </c>
      <c r="AO19" s="194"/>
      <c r="AP19" s="108"/>
      <c r="AQ19" s="98"/>
      <c r="AR19" s="98"/>
      <c r="AS19" s="98"/>
      <c r="AT19" s="145"/>
      <c r="AU19" s="146"/>
      <c r="AV19" s="147"/>
      <c r="AW19" s="148"/>
      <c r="AX19" s="143"/>
      <c r="AY19" s="234"/>
      <c r="AZ19" s="21"/>
      <c r="BA19" s="108"/>
      <c r="BB19" s="98"/>
      <c r="BC19" s="98"/>
      <c r="BD19" s="98"/>
      <c r="BE19" s="145"/>
      <c r="BF19" s="146"/>
      <c r="BG19" s="147"/>
      <c r="BH19" s="148"/>
      <c r="BI19" s="143"/>
      <c r="BJ19" s="144"/>
      <c r="BK19" s="21"/>
      <c r="BL19" s="208" t="s">
        <v>504</v>
      </c>
      <c r="BM19" s="209" t="s">
        <v>505</v>
      </c>
      <c r="BN19" s="98">
        <v>80</v>
      </c>
      <c r="BO19" s="98"/>
      <c r="BP19" s="210" t="s">
        <v>506</v>
      </c>
      <c r="BQ19" s="211" t="s">
        <v>507</v>
      </c>
      <c r="BR19" s="147">
        <v>40</v>
      </c>
      <c r="BS19" s="148"/>
      <c r="BT19" s="143">
        <v>40</v>
      </c>
      <c r="BU19" s="144"/>
      <c r="BV19" s="21"/>
      <c r="BW19" s="208"/>
      <c r="BX19" s="209"/>
      <c r="BY19" s="98" t="str">
        <f t="shared" si="9"/>
        <v/>
      </c>
      <c r="BZ19" s="98"/>
      <c r="CA19" s="210"/>
      <c r="CB19" s="211"/>
      <c r="CC19" s="147" t="str">
        <f t="shared" si="10"/>
        <v/>
      </c>
      <c r="CD19" s="148"/>
      <c r="CE19" s="143" t="str">
        <f t="shared" si="11"/>
        <v/>
      </c>
      <c r="CF19" s="144"/>
      <c r="CG19" s="21"/>
      <c r="CH19" s="21"/>
      <c r="CI19" s="21"/>
      <c r="CJ19" s="21"/>
      <c r="CK19" s="21"/>
      <c r="CL19" s="21"/>
      <c r="CM19" s="21"/>
      <c r="CN19" s="21"/>
      <c r="CO19" s="21"/>
      <c r="CP19" s="21"/>
    </row>
    <row r="20" spans="1:94" ht="20" customHeight="1" x14ac:dyDescent="0.2">
      <c r="B20" s="45"/>
      <c r="C20" s="58"/>
      <c r="D20" s="22" t="s">
        <v>85</v>
      </c>
      <c r="E20" s="21" t="s">
        <v>264</v>
      </c>
      <c r="F20" s="21" t="s">
        <v>265</v>
      </c>
      <c r="G20" s="22">
        <v>1994</v>
      </c>
      <c r="I20" s="65">
        <v>20</v>
      </c>
      <c r="J20" s="61" t="s">
        <v>335</v>
      </c>
      <c r="K20" s="83"/>
      <c r="L20" s="98"/>
      <c r="M20" s="98"/>
      <c r="N20" s="98" t="str">
        <f t="shared" si="17"/>
        <v/>
      </c>
      <c r="O20" s="98" t="str">
        <f t="shared" si="12"/>
        <v/>
      </c>
      <c r="P20" s="145"/>
      <c r="Q20" s="145"/>
      <c r="R20" s="146" t="str">
        <f t="shared" si="18"/>
        <v/>
      </c>
      <c r="S20" s="150" t="str">
        <f t="shared" si="13"/>
        <v/>
      </c>
      <c r="T20" s="143" t="str">
        <f t="shared" si="19"/>
        <v/>
      </c>
      <c r="U20" s="144"/>
      <c r="V20" s="98"/>
      <c r="W20" s="98"/>
      <c r="X20" s="98" t="str">
        <f t="shared" si="14"/>
        <v/>
      </c>
      <c r="Y20" s="98" t="str">
        <f t="shared" si="3"/>
        <v/>
      </c>
      <c r="Z20" s="145"/>
      <c r="AA20" s="145"/>
      <c r="AB20" s="146" t="str">
        <f t="shared" si="4"/>
        <v/>
      </c>
      <c r="AC20" s="149" t="str">
        <f t="shared" si="5"/>
        <v/>
      </c>
      <c r="AD20" s="143" t="str">
        <f t="shared" si="6"/>
        <v/>
      </c>
      <c r="AE20" s="144"/>
      <c r="AF20" s="187"/>
      <c r="AG20" s="188"/>
      <c r="AH20" s="188" t="str">
        <f t="shared" si="7"/>
        <v/>
      </c>
      <c r="AI20" s="188"/>
      <c r="AJ20" s="189"/>
      <c r="AK20" s="190"/>
      <c r="AL20" s="191" t="str">
        <f t="shared" si="8"/>
        <v/>
      </c>
      <c r="AM20" s="192"/>
      <c r="AN20" s="143" t="str">
        <f t="shared" si="15"/>
        <v/>
      </c>
      <c r="AO20" s="194"/>
      <c r="AP20" s="108"/>
      <c r="AQ20" s="98"/>
      <c r="AR20" s="98"/>
      <c r="AS20" s="98"/>
      <c r="AT20" s="145"/>
      <c r="AU20" s="146"/>
      <c r="AV20" s="147"/>
      <c r="AW20" s="148"/>
      <c r="AX20" s="143"/>
      <c r="AY20" s="234"/>
      <c r="AZ20" s="21"/>
      <c r="BA20" s="108"/>
      <c r="BB20" s="98"/>
      <c r="BC20" s="98"/>
      <c r="BD20" s="98"/>
      <c r="BE20" s="145"/>
      <c r="BF20" s="146"/>
      <c r="BG20" s="147"/>
      <c r="BH20" s="148"/>
      <c r="BI20" s="143"/>
      <c r="BJ20" s="144"/>
      <c r="BK20" s="21"/>
      <c r="BL20" s="208"/>
      <c r="BM20" s="209"/>
      <c r="BN20" s="98"/>
      <c r="BO20" s="98"/>
      <c r="BP20" s="145"/>
      <c r="BQ20" s="146"/>
      <c r="BR20" s="147"/>
      <c r="BS20" s="148"/>
      <c r="BT20" s="143"/>
      <c r="BU20" s="144"/>
      <c r="BV20" s="21"/>
      <c r="BW20" s="208"/>
      <c r="BX20" s="209"/>
      <c r="BY20" s="98" t="str">
        <f t="shared" si="9"/>
        <v/>
      </c>
      <c r="BZ20" s="98"/>
      <c r="CA20" s="145"/>
      <c r="CB20" s="146"/>
      <c r="CC20" s="147" t="str">
        <f t="shared" si="10"/>
        <v/>
      </c>
      <c r="CD20" s="148"/>
      <c r="CE20" s="143" t="str">
        <f t="shared" si="11"/>
        <v/>
      </c>
      <c r="CF20" s="144"/>
      <c r="CG20" s="21"/>
      <c r="CH20" s="21"/>
      <c r="CI20" s="21"/>
      <c r="CJ20" s="21"/>
      <c r="CK20" s="21"/>
      <c r="CL20" s="21"/>
      <c r="CM20" s="21"/>
      <c r="CN20" s="21"/>
      <c r="CO20" s="21"/>
      <c r="CP20" s="21"/>
    </row>
    <row r="21" spans="1:94" ht="20" customHeight="1" x14ac:dyDescent="0.2">
      <c r="B21" s="45"/>
      <c r="C21" s="59"/>
      <c r="D21" s="22" t="s">
        <v>85</v>
      </c>
      <c r="E21" s="21" t="s">
        <v>336</v>
      </c>
      <c r="F21" s="21" t="s">
        <v>337</v>
      </c>
      <c r="G21" s="22">
        <v>2008</v>
      </c>
      <c r="I21" s="65">
        <v>16</v>
      </c>
      <c r="J21" s="61" t="s">
        <v>175</v>
      </c>
      <c r="K21" s="83" t="s">
        <v>338</v>
      </c>
      <c r="L21" s="98"/>
      <c r="M21" s="98"/>
      <c r="N21" s="98" t="str">
        <f t="shared" si="17"/>
        <v/>
      </c>
      <c r="O21" s="98" t="str">
        <f t="shared" si="12"/>
        <v/>
      </c>
      <c r="P21" s="145"/>
      <c r="Q21" s="145"/>
      <c r="R21" s="146" t="str">
        <f t="shared" si="18"/>
        <v/>
      </c>
      <c r="S21" s="150" t="str">
        <f t="shared" si="13"/>
        <v/>
      </c>
      <c r="T21" s="143" t="str">
        <f t="shared" si="19"/>
        <v/>
      </c>
      <c r="U21" s="144"/>
      <c r="V21" s="98">
        <v>459</v>
      </c>
      <c r="W21" s="98">
        <v>489</v>
      </c>
      <c r="X21" s="98">
        <f t="shared" si="14"/>
        <v>30</v>
      </c>
      <c r="Y21" s="98">
        <f t="shared" si="3"/>
        <v>6.5359477124183059</v>
      </c>
      <c r="Z21" s="145">
        <v>493</v>
      </c>
      <c r="AA21" s="145">
        <v>521</v>
      </c>
      <c r="AB21" s="146">
        <f t="shared" si="4"/>
        <v>28</v>
      </c>
      <c r="AC21" s="149">
        <f t="shared" si="5"/>
        <v>5.6795131845841667</v>
      </c>
      <c r="AD21" s="143">
        <f t="shared" si="6"/>
        <v>2</v>
      </c>
      <c r="AE21" s="144"/>
      <c r="AF21" s="108">
        <v>42</v>
      </c>
      <c r="AG21" s="98">
        <v>40</v>
      </c>
      <c r="AH21" s="98">
        <f>IF(AND(NOT(ISERROR(AG21-AF21)), AG21&lt;&gt;"", AF21&lt;&gt;""), AG21-AF21, "")</f>
        <v>-2</v>
      </c>
      <c r="AI21" s="98"/>
      <c r="AJ21" s="145">
        <v>37</v>
      </c>
      <c r="AK21" s="146">
        <v>34</v>
      </c>
      <c r="AL21" s="147">
        <f t="shared" si="8"/>
        <v>-3</v>
      </c>
      <c r="AM21" s="148"/>
      <c r="AN21" s="143">
        <f t="shared" si="15"/>
        <v>1</v>
      </c>
      <c r="AO21" s="144"/>
      <c r="AP21" s="108"/>
      <c r="AQ21" s="98"/>
      <c r="AR21" s="98"/>
      <c r="AS21" s="98"/>
      <c r="AT21" s="145"/>
      <c r="AU21" s="146"/>
      <c r="AV21" s="147"/>
      <c r="AW21" s="148"/>
      <c r="AX21" s="143"/>
      <c r="AY21" s="234"/>
      <c r="AZ21" s="21"/>
      <c r="BA21" s="108"/>
      <c r="BB21" s="98"/>
      <c r="BC21" s="98"/>
      <c r="BD21" s="98"/>
      <c r="BE21" s="145"/>
      <c r="BF21" s="146"/>
      <c r="BG21" s="147"/>
      <c r="BH21" s="148"/>
      <c r="BI21" s="143"/>
      <c r="BJ21" s="144"/>
      <c r="BK21" s="21"/>
      <c r="BL21" s="208"/>
      <c r="BM21" s="209"/>
      <c r="BN21" s="98"/>
      <c r="BO21" s="98"/>
      <c r="BP21" s="145"/>
      <c r="BQ21" s="146"/>
      <c r="BR21" s="147"/>
      <c r="BS21" s="148"/>
      <c r="BT21" s="143"/>
      <c r="BU21" s="144"/>
      <c r="BV21" s="21"/>
      <c r="BW21" s="208"/>
      <c r="BX21" s="209"/>
      <c r="BY21" s="98" t="str">
        <f t="shared" si="9"/>
        <v/>
      </c>
      <c r="BZ21" s="98"/>
      <c r="CA21" s="145"/>
      <c r="CB21" s="146"/>
      <c r="CC21" s="147" t="str">
        <f t="shared" si="10"/>
        <v/>
      </c>
      <c r="CD21" s="148"/>
      <c r="CE21" s="143" t="str">
        <f t="shared" si="11"/>
        <v/>
      </c>
      <c r="CF21" s="144"/>
      <c r="CG21" s="21" t="s">
        <v>509</v>
      </c>
      <c r="CH21" s="21"/>
      <c r="CI21" s="21"/>
      <c r="CJ21" s="21"/>
      <c r="CK21" s="21"/>
      <c r="CL21" s="21"/>
      <c r="CM21" s="21"/>
      <c r="CN21" s="21"/>
      <c r="CO21" s="21"/>
      <c r="CP21" s="21"/>
    </row>
    <row r="22" spans="1:94" ht="20" customHeight="1" x14ac:dyDescent="0.2">
      <c r="B22" s="45"/>
      <c r="C22" s="58"/>
      <c r="D22" s="22" t="s">
        <v>85</v>
      </c>
      <c r="E22" s="21" t="s">
        <v>54</v>
      </c>
      <c r="F22" s="21" t="s">
        <v>55</v>
      </c>
      <c r="G22" s="22">
        <v>1996</v>
      </c>
      <c r="H22" s="22">
        <v>82</v>
      </c>
      <c r="I22" s="65">
        <v>15</v>
      </c>
      <c r="J22" s="61" t="s">
        <v>175</v>
      </c>
      <c r="K22" s="83" t="s">
        <v>177</v>
      </c>
      <c r="L22" s="98">
        <v>24.06</v>
      </c>
      <c r="M22" s="98">
        <v>24.55</v>
      </c>
      <c r="N22" s="98">
        <f t="shared" si="17"/>
        <v>0.49000000000000199</v>
      </c>
      <c r="O22" s="98">
        <f t="shared" si="12"/>
        <v>2.036575228595197</v>
      </c>
      <c r="P22" s="145">
        <v>24.1</v>
      </c>
      <c r="Q22" s="145">
        <v>24.39</v>
      </c>
      <c r="R22" s="146">
        <f t="shared" si="18"/>
        <v>0.28999999999999915</v>
      </c>
      <c r="S22" s="150">
        <f t="shared" si="13"/>
        <v>1.2033195020746916</v>
      </c>
      <c r="T22" s="143">
        <f t="shared" si="19"/>
        <v>0.20000000000000284</v>
      </c>
      <c r="U22" s="144"/>
      <c r="V22" s="98">
        <v>336</v>
      </c>
      <c r="W22" s="98">
        <v>316.8</v>
      </c>
      <c r="X22" s="98">
        <f t="shared" si="14"/>
        <v>-19.199999999999989</v>
      </c>
      <c r="Y22" s="98">
        <f t="shared" si="3"/>
        <v>-5.7142857142857224</v>
      </c>
      <c r="Z22" s="145">
        <v>336</v>
      </c>
      <c r="AA22" s="145">
        <v>295.2</v>
      </c>
      <c r="AB22" s="146">
        <f t="shared" si="4"/>
        <v>-40.800000000000011</v>
      </c>
      <c r="AC22" s="149">
        <f t="shared" si="5"/>
        <v>-12.142857142857139</v>
      </c>
      <c r="AD22" s="143">
        <f t="shared" si="6"/>
        <v>21.600000000000023</v>
      </c>
      <c r="AE22" s="144"/>
      <c r="AF22" s="108"/>
      <c r="AG22" s="98"/>
      <c r="AH22" s="98" t="str">
        <f t="shared" ref="AH22:AH51" si="20">IF(AND(NOT(ISERROR(AG22-AF22)), AG22&lt;&gt;"", AF22&lt;&gt;""), AG22-AF22, "")</f>
        <v/>
      </c>
      <c r="AI22" s="98"/>
      <c r="AJ22" s="145"/>
      <c r="AK22" s="146"/>
      <c r="AL22" s="147" t="str">
        <f t="shared" si="8"/>
        <v/>
      </c>
      <c r="AM22" s="148"/>
      <c r="AN22" s="143" t="str">
        <f t="shared" si="15"/>
        <v/>
      </c>
      <c r="AO22" s="144"/>
      <c r="AP22" s="108"/>
      <c r="AQ22" s="98"/>
      <c r="AR22" s="98"/>
      <c r="AS22" s="98"/>
      <c r="AT22" s="145"/>
      <c r="AU22" s="146"/>
      <c r="AV22" s="147"/>
      <c r="AW22" s="148"/>
      <c r="AX22" s="143"/>
      <c r="AY22" s="234"/>
      <c r="AZ22" s="21"/>
      <c r="BA22" s="108"/>
      <c r="BB22" s="98"/>
      <c r="BC22" s="98"/>
      <c r="BD22" s="98"/>
      <c r="BE22" s="145"/>
      <c r="BF22" s="146"/>
      <c r="BG22" s="147"/>
      <c r="BH22" s="148"/>
      <c r="BI22" s="143"/>
      <c r="BJ22" s="144"/>
      <c r="BK22" s="21"/>
      <c r="BL22" s="208"/>
      <c r="BM22" s="209"/>
      <c r="BN22" s="98"/>
      <c r="BO22" s="98"/>
      <c r="BP22" s="145"/>
      <c r="BQ22" s="146"/>
      <c r="BR22" s="147"/>
      <c r="BS22" s="148"/>
      <c r="BT22" s="143"/>
      <c r="BU22" s="144"/>
      <c r="BV22" s="21"/>
      <c r="BW22" s="108">
        <v>68</v>
      </c>
      <c r="BX22" s="98">
        <v>63</v>
      </c>
      <c r="BY22" s="98">
        <f>IF(AND(NOT(ISERROR(BX22-BW22)), BX22 &lt;&gt; "", BW22 &lt;&gt; ""), BX22 - BW22, "")</f>
        <v>-5</v>
      </c>
      <c r="BZ22" s="98"/>
      <c r="CA22" s="145">
        <v>68</v>
      </c>
      <c r="CB22" s="146">
        <v>66</v>
      </c>
      <c r="CC22" s="147">
        <f t="shared" si="10"/>
        <v>-2</v>
      </c>
      <c r="CD22" s="148"/>
      <c r="CE22" s="143">
        <f t="shared" si="11"/>
        <v>-3</v>
      </c>
      <c r="CF22" s="144"/>
      <c r="CG22" s="21"/>
      <c r="CH22" s="21"/>
      <c r="CI22" s="21"/>
      <c r="CJ22" s="21"/>
      <c r="CK22" s="21"/>
      <c r="CL22" s="21"/>
      <c r="CM22" s="21"/>
      <c r="CN22" s="21"/>
      <c r="CO22" s="21"/>
      <c r="CP22" s="21"/>
    </row>
    <row r="23" spans="1:94" ht="20" customHeight="1" x14ac:dyDescent="0.2">
      <c r="B23" s="46"/>
      <c r="C23" s="58"/>
      <c r="D23" s="22" t="s">
        <v>85</v>
      </c>
      <c r="E23" s="21" t="s">
        <v>513</v>
      </c>
      <c r="F23" s="21" t="s">
        <v>514</v>
      </c>
      <c r="G23" s="22">
        <v>1995</v>
      </c>
      <c r="I23" s="65">
        <v>12</v>
      </c>
      <c r="J23" s="61" t="s">
        <v>210</v>
      </c>
      <c r="K23" s="83" t="s">
        <v>209</v>
      </c>
      <c r="L23" s="98"/>
      <c r="M23" s="98"/>
      <c r="N23" s="98" t="str">
        <f t="shared" si="17"/>
        <v/>
      </c>
      <c r="O23" s="98" t="str">
        <f t="shared" si="12"/>
        <v/>
      </c>
      <c r="P23" s="145"/>
      <c r="Q23" s="145"/>
      <c r="R23" s="146" t="str">
        <f t="shared" si="18"/>
        <v/>
      </c>
      <c r="S23" s="150" t="str">
        <f t="shared" si="13"/>
        <v/>
      </c>
      <c r="T23" s="143" t="str">
        <f t="shared" si="19"/>
        <v/>
      </c>
      <c r="U23" s="144"/>
      <c r="V23" s="98"/>
      <c r="W23" s="98"/>
      <c r="X23" s="98" t="str">
        <f t="shared" si="14"/>
        <v/>
      </c>
      <c r="Y23" s="98" t="str">
        <f t="shared" si="3"/>
        <v/>
      </c>
      <c r="Z23" s="145"/>
      <c r="AA23" s="145"/>
      <c r="AB23" s="146" t="str">
        <f t="shared" si="4"/>
        <v/>
      </c>
      <c r="AC23" s="149" t="str">
        <f t="shared" si="5"/>
        <v/>
      </c>
      <c r="AD23" s="143" t="str">
        <f t="shared" si="6"/>
        <v/>
      </c>
      <c r="AE23" s="144"/>
      <c r="AF23" s="108"/>
      <c r="AG23" s="98"/>
      <c r="AH23" s="98" t="str">
        <f t="shared" si="20"/>
        <v/>
      </c>
      <c r="AI23" s="98"/>
      <c r="AJ23" s="145"/>
      <c r="AK23" s="146"/>
      <c r="AL23" s="147" t="str">
        <f t="shared" si="8"/>
        <v/>
      </c>
      <c r="AM23" s="148"/>
      <c r="AN23" s="143" t="str">
        <f t="shared" si="15"/>
        <v/>
      </c>
      <c r="AO23" s="144"/>
      <c r="AP23" s="108"/>
      <c r="AQ23" s="98"/>
      <c r="AR23" s="98"/>
      <c r="AS23" s="98"/>
      <c r="AT23" s="145"/>
      <c r="AU23" s="146"/>
      <c r="AV23" s="147"/>
      <c r="AW23" s="148"/>
      <c r="AX23" s="143"/>
      <c r="AY23" s="234"/>
      <c r="AZ23" s="21"/>
      <c r="BA23" s="108"/>
      <c r="BB23" s="98"/>
      <c r="BC23" s="98"/>
      <c r="BD23" s="98"/>
      <c r="BE23" s="145"/>
      <c r="BF23" s="146"/>
      <c r="BG23" s="147"/>
      <c r="BH23" s="148"/>
      <c r="BI23" s="143"/>
      <c r="BJ23" s="144"/>
      <c r="BK23" s="21"/>
      <c r="BL23" s="208"/>
      <c r="BM23" s="209"/>
      <c r="BN23" s="98"/>
      <c r="BO23" s="98"/>
      <c r="BP23" s="145"/>
      <c r="BQ23" s="146"/>
      <c r="BR23" s="147"/>
      <c r="BS23" s="148"/>
      <c r="BT23" s="143"/>
      <c r="BU23" s="144"/>
      <c r="BV23" s="21"/>
      <c r="BW23" s="108"/>
      <c r="BX23" s="98">
        <v>83</v>
      </c>
      <c r="BY23" s="98" t="str">
        <f t="shared" ref="BY23:BY51" si="21">IF(AND(NOT(ISERROR(BX23-BW23)), BX23 &lt;&gt; "", BW23 &lt;&gt; ""), BX23 - BW23, "")</f>
        <v/>
      </c>
      <c r="BZ23" s="98"/>
      <c r="CA23" s="145"/>
      <c r="CB23" s="146">
        <v>75</v>
      </c>
      <c r="CC23" s="147" t="str">
        <f t="shared" si="10"/>
        <v/>
      </c>
      <c r="CD23" s="148"/>
      <c r="CE23" s="143" t="str">
        <f t="shared" si="11"/>
        <v/>
      </c>
      <c r="CF23" s="144"/>
      <c r="CG23" s="21"/>
      <c r="CH23" s="21"/>
      <c r="CI23" s="21"/>
      <c r="CJ23" s="21"/>
      <c r="CK23" s="21"/>
      <c r="CL23" s="21"/>
      <c r="CM23" s="21"/>
      <c r="CN23" s="21"/>
      <c r="CO23" s="21"/>
      <c r="CP23" s="21"/>
    </row>
    <row r="24" spans="1:94" ht="20" customHeight="1" x14ac:dyDescent="0.2">
      <c r="B24" s="45"/>
      <c r="C24" s="58"/>
      <c r="D24" s="22" t="s">
        <v>85</v>
      </c>
      <c r="E24" s="21" t="s">
        <v>515</v>
      </c>
      <c r="F24" s="21" t="s">
        <v>516</v>
      </c>
      <c r="G24" s="22">
        <v>2011</v>
      </c>
      <c r="I24" s="65">
        <v>36</v>
      </c>
      <c r="J24" s="61" t="s">
        <v>210</v>
      </c>
      <c r="K24" s="83"/>
      <c r="L24" s="98"/>
      <c r="M24" s="98">
        <v>20.7</v>
      </c>
      <c r="N24" s="98" t="str">
        <f t="shared" si="17"/>
        <v/>
      </c>
      <c r="O24" s="98" t="str">
        <f t="shared" si="12"/>
        <v/>
      </c>
      <c r="P24" s="145"/>
      <c r="Q24" s="145">
        <v>18.100000000000001</v>
      </c>
      <c r="R24" s="146" t="str">
        <f t="shared" si="18"/>
        <v/>
      </c>
      <c r="S24" s="150" t="str">
        <f t="shared" si="13"/>
        <v/>
      </c>
      <c r="T24" s="143" t="str">
        <f t="shared" si="19"/>
        <v/>
      </c>
      <c r="U24" s="144"/>
      <c r="V24" s="98"/>
      <c r="W24" s="98">
        <v>355.1</v>
      </c>
      <c r="X24" s="98" t="str">
        <f t="shared" si="14"/>
        <v/>
      </c>
      <c r="Y24" s="98" t="str">
        <f t="shared" si="3"/>
        <v/>
      </c>
      <c r="Z24" s="145"/>
      <c r="AA24" s="145">
        <v>366.1</v>
      </c>
      <c r="AB24" s="146" t="str">
        <f t="shared" si="4"/>
        <v/>
      </c>
      <c r="AC24" s="149" t="str">
        <f t="shared" si="5"/>
        <v/>
      </c>
      <c r="AD24" s="143" t="str">
        <f t="shared" si="6"/>
        <v/>
      </c>
      <c r="AE24" s="144"/>
      <c r="AF24" s="108"/>
      <c r="AG24" s="98">
        <v>10.8</v>
      </c>
      <c r="AH24" s="98" t="str">
        <f t="shared" si="20"/>
        <v/>
      </c>
      <c r="AI24" s="98"/>
      <c r="AJ24" s="145"/>
      <c r="AK24" s="146">
        <v>16.5</v>
      </c>
      <c r="AL24" s="147" t="str">
        <f t="shared" si="8"/>
        <v/>
      </c>
      <c r="AM24" s="148"/>
      <c r="AN24" s="143" t="str">
        <f t="shared" si="15"/>
        <v/>
      </c>
      <c r="AO24" s="144"/>
      <c r="AP24" s="108"/>
      <c r="AQ24" s="98"/>
      <c r="AR24" s="98"/>
      <c r="AS24" s="98"/>
      <c r="AT24" s="145"/>
      <c r="AU24" s="146"/>
      <c r="AV24" s="147"/>
      <c r="AW24" s="148"/>
      <c r="AX24" s="143"/>
      <c r="AY24" s="234"/>
      <c r="AZ24" s="21"/>
      <c r="BA24" s="108"/>
      <c r="BB24" s="98"/>
      <c r="BC24" s="98"/>
      <c r="BD24" s="98"/>
      <c r="BE24" s="145"/>
      <c r="BF24" s="146"/>
      <c r="BG24" s="147"/>
      <c r="BH24" s="148"/>
      <c r="BI24" s="143"/>
      <c r="BJ24" s="144"/>
      <c r="BK24" s="21"/>
      <c r="BL24" s="208"/>
      <c r="BM24" s="209"/>
      <c r="BN24" s="98"/>
      <c r="BO24" s="98"/>
      <c r="BP24" s="145"/>
      <c r="BQ24" s="146"/>
      <c r="BR24" s="147"/>
      <c r="BS24" s="148"/>
      <c r="BT24" s="143"/>
      <c r="BU24" s="144"/>
      <c r="BV24" s="21"/>
      <c r="BW24" s="108"/>
      <c r="BX24" s="98">
        <v>83</v>
      </c>
      <c r="BY24" s="98" t="str">
        <f t="shared" si="21"/>
        <v/>
      </c>
      <c r="BZ24" s="98"/>
      <c r="CA24" s="145"/>
      <c r="CB24" s="146">
        <v>79.2</v>
      </c>
      <c r="CC24" s="147" t="str">
        <f t="shared" si="10"/>
        <v/>
      </c>
      <c r="CD24" s="148"/>
      <c r="CE24" s="143" t="str">
        <f t="shared" si="11"/>
        <v/>
      </c>
      <c r="CF24" s="144"/>
      <c r="CG24" s="21"/>
      <c r="CH24" s="21"/>
      <c r="CI24" s="21"/>
      <c r="CJ24" s="21"/>
      <c r="CK24" s="21"/>
      <c r="CL24" s="21"/>
      <c r="CM24" s="21"/>
      <c r="CN24" s="21"/>
      <c r="CO24" s="21"/>
      <c r="CP24" s="21"/>
    </row>
    <row r="25" spans="1:94" ht="20" customHeight="1" x14ac:dyDescent="0.2">
      <c r="B25" s="46"/>
      <c r="C25" s="60"/>
      <c r="D25" s="22" t="s">
        <v>85</v>
      </c>
      <c r="E25" s="21" t="s">
        <v>57</v>
      </c>
      <c r="F25" s="21" t="s">
        <v>58</v>
      </c>
      <c r="G25" s="22">
        <v>2006</v>
      </c>
      <c r="H25" s="22">
        <v>132</v>
      </c>
      <c r="I25" s="65">
        <v>7</v>
      </c>
      <c r="J25" s="61" t="s">
        <v>175</v>
      </c>
      <c r="K25" s="62" t="s">
        <v>168</v>
      </c>
      <c r="L25" s="98">
        <v>156</v>
      </c>
      <c r="M25" s="98">
        <v>63.6</v>
      </c>
      <c r="N25" s="98">
        <f t="shared" si="17"/>
        <v>-92.4</v>
      </c>
      <c r="O25" s="98">
        <f t="shared" si="12"/>
        <v>-59.230769230769234</v>
      </c>
      <c r="P25" s="145">
        <v>156</v>
      </c>
      <c r="Q25" s="145">
        <v>114.6</v>
      </c>
      <c r="R25" s="146">
        <f t="shared" si="18"/>
        <v>-41.400000000000006</v>
      </c>
      <c r="S25" s="150">
        <f t="shared" si="13"/>
        <v>-26.538461538461547</v>
      </c>
      <c r="T25" s="143">
        <f t="shared" si="19"/>
        <v>-51</v>
      </c>
      <c r="U25" s="144"/>
      <c r="V25" s="98">
        <v>483</v>
      </c>
      <c r="W25" s="98">
        <v>590.4</v>
      </c>
      <c r="X25" s="98">
        <f t="shared" si="14"/>
        <v>107.39999999999998</v>
      </c>
      <c r="Y25" s="98">
        <f t="shared" si="3"/>
        <v>22.23602484472049</v>
      </c>
      <c r="Z25" s="145">
        <v>483</v>
      </c>
      <c r="AA25" s="145">
        <v>525</v>
      </c>
      <c r="AB25" s="146">
        <f t="shared" si="4"/>
        <v>42</v>
      </c>
      <c r="AC25" s="149">
        <f t="shared" si="5"/>
        <v>8.6956521739130324</v>
      </c>
      <c r="AD25" s="143">
        <f t="shared" si="6"/>
        <v>65.399999999999977</v>
      </c>
      <c r="AE25" s="144"/>
      <c r="AF25" s="187">
        <v>0.35</v>
      </c>
      <c r="AG25" s="188">
        <v>0.08</v>
      </c>
      <c r="AH25" s="188">
        <f t="shared" si="20"/>
        <v>-0.26999999999999996</v>
      </c>
      <c r="AI25" s="188"/>
      <c r="AJ25" s="189">
        <v>0.35</v>
      </c>
      <c r="AK25" s="190">
        <v>0.26</v>
      </c>
      <c r="AL25" s="191">
        <f t="shared" si="8"/>
        <v>-8.9999999999999969E-2</v>
      </c>
      <c r="AM25" s="192"/>
      <c r="AN25" s="143">
        <f t="shared" si="15"/>
        <v>-0.18</v>
      </c>
      <c r="AO25" s="194"/>
      <c r="AP25" s="212"/>
      <c r="AQ25" s="213"/>
      <c r="AR25" s="98"/>
      <c r="AS25" s="213"/>
      <c r="AT25" s="214"/>
      <c r="AU25" s="215"/>
      <c r="AV25" s="216"/>
      <c r="AW25" s="217"/>
      <c r="AX25" s="218"/>
      <c r="AY25" s="235"/>
      <c r="AZ25" s="21"/>
      <c r="BA25" s="108"/>
      <c r="BB25" s="98"/>
      <c r="BC25" s="98"/>
      <c r="BD25" s="98"/>
      <c r="BE25" s="145"/>
      <c r="BF25" s="146"/>
      <c r="BG25" s="147"/>
      <c r="BH25" s="148"/>
      <c r="BI25" s="143"/>
      <c r="BJ25" s="144"/>
      <c r="BK25" s="21"/>
      <c r="BL25" s="208"/>
      <c r="BM25" s="209"/>
      <c r="BN25" s="98"/>
      <c r="BO25" s="98"/>
      <c r="BP25" s="145"/>
      <c r="BQ25" s="146"/>
      <c r="BR25" s="147"/>
      <c r="BS25" s="148"/>
      <c r="BT25" s="143"/>
      <c r="BU25" s="144"/>
      <c r="BV25" s="21"/>
      <c r="BW25" s="208"/>
      <c r="BX25" s="209"/>
      <c r="BY25" s="98" t="str">
        <f t="shared" si="21"/>
        <v/>
      </c>
      <c r="BZ25" s="98"/>
      <c r="CA25" s="145"/>
      <c r="CB25" s="146"/>
      <c r="CC25" s="147" t="str">
        <f t="shared" si="10"/>
        <v/>
      </c>
      <c r="CD25" s="148"/>
      <c r="CE25" s="143" t="str">
        <f t="shared" si="11"/>
        <v/>
      </c>
      <c r="CF25" s="144"/>
      <c r="CG25" s="21"/>
      <c r="CH25" s="21"/>
      <c r="CI25" s="21"/>
      <c r="CJ25" s="21"/>
      <c r="CK25" s="21"/>
      <c r="CL25" s="21"/>
      <c r="CM25" s="21"/>
      <c r="CN25" s="21"/>
      <c r="CO25" s="21"/>
      <c r="CP25" s="21"/>
    </row>
    <row r="26" spans="1:94" ht="20" customHeight="1" x14ac:dyDescent="0.2">
      <c r="A26" s="702"/>
      <c r="B26" s="45"/>
      <c r="C26" s="59"/>
      <c r="D26" s="22" t="s">
        <v>85</v>
      </c>
      <c r="E26" s="21" t="s">
        <v>517</v>
      </c>
      <c r="F26" s="21" t="s">
        <v>518</v>
      </c>
      <c r="G26" s="22">
        <v>2012</v>
      </c>
      <c r="I26" s="65">
        <v>19</v>
      </c>
      <c r="J26" s="61" t="s">
        <v>519</v>
      </c>
      <c r="K26" s="83"/>
      <c r="L26" s="98"/>
      <c r="M26" s="98">
        <v>24.3</v>
      </c>
      <c r="N26" s="98" t="str">
        <f t="shared" si="17"/>
        <v/>
      </c>
      <c r="O26" s="98" t="str">
        <f t="shared" si="12"/>
        <v/>
      </c>
      <c r="P26" s="145"/>
      <c r="Q26" s="145">
        <v>17.7</v>
      </c>
      <c r="R26" s="146" t="str">
        <f t="shared" si="18"/>
        <v/>
      </c>
      <c r="S26" s="150" t="str">
        <f t="shared" si="13"/>
        <v/>
      </c>
      <c r="T26" s="143" t="str">
        <f t="shared" si="19"/>
        <v/>
      </c>
      <c r="U26" s="144"/>
      <c r="V26" s="98"/>
      <c r="W26" s="98"/>
      <c r="X26" s="98" t="str">
        <f t="shared" si="14"/>
        <v/>
      </c>
      <c r="Y26" s="98" t="str">
        <f t="shared" si="3"/>
        <v/>
      </c>
      <c r="Z26" s="145"/>
      <c r="AA26" s="145"/>
      <c r="AB26" s="146" t="str">
        <f t="shared" si="4"/>
        <v/>
      </c>
      <c r="AC26" s="149" t="str">
        <f t="shared" si="5"/>
        <v/>
      </c>
      <c r="AD26" s="143" t="str">
        <f t="shared" si="6"/>
        <v/>
      </c>
      <c r="AE26" s="144"/>
      <c r="AF26" s="187"/>
      <c r="AG26" s="188"/>
      <c r="AH26" s="188" t="str">
        <f t="shared" si="20"/>
        <v/>
      </c>
      <c r="AI26" s="188"/>
      <c r="AJ26" s="189"/>
      <c r="AK26" s="190"/>
      <c r="AL26" s="191" t="str">
        <f t="shared" si="8"/>
        <v/>
      </c>
      <c r="AM26" s="192"/>
      <c r="AN26" s="143" t="str">
        <f t="shared" si="15"/>
        <v/>
      </c>
      <c r="AO26" s="194"/>
      <c r="AP26" s="212"/>
      <c r="AQ26" s="213"/>
      <c r="AR26" s="98"/>
      <c r="AS26" s="213"/>
      <c r="AT26" s="214"/>
      <c r="AU26" s="215"/>
      <c r="AV26" s="216"/>
      <c r="AW26" s="217"/>
      <c r="AX26" s="218"/>
      <c r="AY26" s="235"/>
      <c r="AZ26" s="21"/>
      <c r="BA26" s="108"/>
      <c r="BB26" s="98"/>
      <c r="BC26" s="98"/>
      <c r="BD26" s="98"/>
      <c r="BE26" s="145"/>
      <c r="BF26" s="146"/>
      <c r="BG26" s="147"/>
      <c r="BH26" s="148"/>
      <c r="BI26" s="143"/>
      <c r="BJ26" s="144"/>
      <c r="BK26" s="21"/>
      <c r="BL26" s="208"/>
      <c r="BM26" s="209"/>
      <c r="BN26" s="98"/>
      <c r="BO26" s="98"/>
      <c r="BP26" s="145"/>
      <c r="BQ26" s="146"/>
      <c r="BR26" s="147"/>
      <c r="BS26" s="148"/>
      <c r="BT26" s="143"/>
      <c r="BU26" s="144"/>
      <c r="BV26" s="21"/>
      <c r="BW26" s="208"/>
      <c r="BX26" s="98">
        <v>69</v>
      </c>
      <c r="BY26" s="98" t="str">
        <f t="shared" si="21"/>
        <v/>
      </c>
      <c r="BZ26" s="98"/>
      <c r="CA26" s="145"/>
      <c r="CB26" s="146">
        <v>70.2</v>
      </c>
      <c r="CC26" s="147" t="str">
        <f t="shared" si="10"/>
        <v/>
      </c>
      <c r="CD26" s="148"/>
      <c r="CE26" s="143" t="str">
        <f t="shared" si="11"/>
        <v/>
      </c>
      <c r="CF26" s="144"/>
      <c r="CG26" s="21" t="s">
        <v>522</v>
      </c>
      <c r="CH26" s="21"/>
      <c r="CI26" s="21"/>
      <c r="CJ26" s="21"/>
      <c r="CK26" s="21"/>
      <c r="CL26" s="21"/>
      <c r="CM26" s="21"/>
      <c r="CN26" s="21"/>
      <c r="CO26" s="21"/>
      <c r="CP26" s="21"/>
    </row>
    <row r="27" spans="1:94" ht="20" customHeight="1" x14ac:dyDescent="0.2">
      <c r="B27" s="45"/>
      <c r="C27" s="58"/>
      <c r="D27" s="22" t="s">
        <v>85</v>
      </c>
      <c r="E27" s="21" t="s">
        <v>63</v>
      </c>
      <c r="F27" s="21" t="s">
        <v>64</v>
      </c>
      <c r="G27" s="22">
        <v>2012</v>
      </c>
      <c r="H27" s="22">
        <v>83</v>
      </c>
      <c r="I27" s="65">
        <v>70</v>
      </c>
      <c r="J27" s="61" t="s">
        <v>181</v>
      </c>
      <c r="K27" s="83" t="s">
        <v>190</v>
      </c>
      <c r="L27" s="98">
        <v>126.8</v>
      </c>
      <c r="M27" s="98">
        <v>68.400000000000006</v>
      </c>
      <c r="N27" s="98">
        <f t="shared" si="17"/>
        <v>-58.399999999999991</v>
      </c>
      <c r="O27" s="98">
        <f t="shared" si="12"/>
        <v>-46.056782334384849</v>
      </c>
      <c r="P27" s="145">
        <v>107.8</v>
      </c>
      <c r="Q27" s="145">
        <v>104.1</v>
      </c>
      <c r="R27" s="146">
        <f t="shared" si="18"/>
        <v>-3.7000000000000028</v>
      </c>
      <c r="S27" s="150">
        <f t="shared" si="13"/>
        <v>-3.4322820037105686</v>
      </c>
      <c r="T27" s="143">
        <f t="shared" si="19"/>
        <v>-54.699999999999989</v>
      </c>
      <c r="U27" s="144"/>
      <c r="V27" s="98">
        <v>434.2</v>
      </c>
      <c r="W27" s="98">
        <v>449.9</v>
      </c>
      <c r="X27" s="98">
        <f t="shared" si="14"/>
        <v>15.699999999999989</v>
      </c>
      <c r="Y27" s="98">
        <f t="shared" si="3"/>
        <v>3.6158452326116901</v>
      </c>
      <c r="Z27" s="145">
        <v>412.3</v>
      </c>
      <c r="AA27" s="145">
        <v>420.6</v>
      </c>
      <c r="AB27" s="146">
        <f t="shared" si="4"/>
        <v>8.3000000000000114</v>
      </c>
      <c r="AC27" s="149">
        <f t="shared" si="5"/>
        <v>2.0130972592772309</v>
      </c>
      <c r="AD27" s="143">
        <f t="shared" si="6"/>
        <v>7.3999999999999773</v>
      </c>
      <c r="AE27" s="144"/>
      <c r="AF27" s="187">
        <v>0.9</v>
      </c>
      <c r="AG27" s="188">
        <v>0.8</v>
      </c>
      <c r="AH27" s="188">
        <f t="shared" si="20"/>
        <v>-9.9999999999999978E-2</v>
      </c>
      <c r="AI27" s="188"/>
      <c r="AJ27" s="189">
        <v>0.7</v>
      </c>
      <c r="AK27" s="190">
        <v>0.6</v>
      </c>
      <c r="AL27" s="191">
        <f t="shared" si="8"/>
        <v>-9.9999999999999978E-2</v>
      </c>
      <c r="AM27" s="192"/>
      <c r="AN27" s="143">
        <f t="shared" si="15"/>
        <v>0</v>
      </c>
      <c r="AO27" s="194"/>
      <c r="AP27" s="212"/>
      <c r="AQ27" s="213"/>
      <c r="AR27" s="98"/>
      <c r="AS27" s="213"/>
      <c r="AT27" s="214"/>
      <c r="AU27" s="215"/>
      <c r="AV27" s="216"/>
      <c r="AW27" s="217"/>
      <c r="AX27" s="218"/>
      <c r="AY27" s="235"/>
      <c r="AZ27" s="21"/>
      <c r="BA27" s="108"/>
      <c r="BB27" s="98"/>
      <c r="BC27" s="98"/>
      <c r="BD27" s="98"/>
      <c r="BE27" s="145"/>
      <c r="BF27" s="146"/>
      <c r="BG27" s="147"/>
      <c r="BH27" s="148"/>
      <c r="BI27" s="143"/>
      <c r="BJ27" s="144"/>
      <c r="BK27" s="21"/>
      <c r="BL27" s="208"/>
      <c r="BM27" s="209"/>
      <c r="BN27" s="98"/>
      <c r="BO27" s="98"/>
      <c r="BP27" s="145"/>
      <c r="BQ27" s="146"/>
      <c r="BR27" s="147"/>
      <c r="BS27" s="148"/>
      <c r="BT27" s="143"/>
      <c r="BU27" s="144"/>
      <c r="BV27" s="21"/>
      <c r="BW27" s="208"/>
      <c r="BX27" s="209"/>
      <c r="BY27" s="98" t="str">
        <f t="shared" si="21"/>
        <v/>
      </c>
      <c r="BZ27" s="98"/>
      <c r="CA27" s="145"/>
      <c r="CB27" s="146"/>
      <c r="CC27" s="147" t="str">
        <f t="shared" si="10"/>
        <v/>
      </c>
      <c r="CD27" s="148"/>
      <c r="CE27" s="143" t="str">
        <f t="shared" si="11"/>
        <v/>
      </c>
      <c r="CF27" s="144"/>
      <c r="CG27" s="21"/>
      <c r="CH27" s="21"/>
      <c r="CI27" s="21"/>
      <c r="CJ27" s="21"/>
      <c r="CK27" s="21"/>
      <c r="CL27" s="21"/>
      <c r="CM27" s="21"/>
      <c r="CN27" s="21"/>
      <c r="CO27" s="21"/>
      <c r="CP27" s="21"/>
    </row>
    <row r="28" spans="1:94" ht="20" customHeight="1" x14ac:dyDescent="0.2">
      <c r="B28" s="45"/>
      <c r="C28" s="59"/>
      <c r="D28" s="22" t="s">
        <v>85</v>
      </c>
      <c r="E28" s="21" t="s">
        <v>282</v>
      </c>
      <c r="F28" s="21" t="s">
        <v>283</v>
      </c>
      <c r="G28" s="22">
        <v>2015</v>
      </c>
      <c r="I28" s="65">
        <v>10</v>
      </c>
      <c r="J28" s="61" t="s">
        <v>340</v>
      </c>
      <c r="K28" s="83" t="s">
        <v>351</v>
      </c>
      <c r="L28" s="98">
        <v>46.9</v>
      </c>
      <c r="M28" s="98">
        <v>33.700000000000003</v>
      </c>
      <c r="N28" s="98">
        <f t="shared" si="17"/>
        <v>-13.199999999999996</v>
      </c>
      <c r="O28" s="98">
        <f t="shared" si="12"/>
        <v>-28.144989339019176</v>
      </c>
      <c r="P28" s="145">
        <v>54.3</v>
      </c>
      <c r="Q28" s="145">
        <v>61.3</v>
      </c>
      <c r="R28" s="146">
        <f t="shared" si="18"/>
        <v>7</v>
      </c>
      <c r="S28" s="150">
        <f t="shared" si="13"/>
        <v>12.891344383057103</v>
      </c>
      <c r="T28" s="143">
        <f t="shared" si="19"/>
        <v>-20.199999999999996</v>
      </c>
      <c r="U28" s="144"/>
      <c r="V28" s="98">
        <v>348.6</v>
      </c>
      <c r="W28" s="98">
        <v>401.2</v>
      </c>
      <c r="X28" s="98">
        <f t="shared" si="14"/>
        <v>52.599999999999966</v>
      </c>
      <c r="Y28" s="98">
        <f t="shared" si="3"/>
        <v>15.088927137119896</v>
      </c>
      <c r="Z28" s="145">
        <v>354</v>
      </c>
      <c r="AA28" s="145">
        <v>367.6</v>
      </c>
      <c r="AB28" s="146">
        <f t="shared" si="4"/>
        <v>13.600000000000023</v>
      </c>
      <c r="AC28" s="149">
        <f t="shared" si="5"/>
        <v>3.8418079096045403</v>
      </c>
      <c r="AD28" s="143">
        <f t="shared" si="6"/>
        <v>38.999999999999943</v>
      </c>
      <c r="AE28" s="144"/>
      <c r="AF28" s="108">
        <v>13.8</v>
      </c>
      <c r="AG28" s="98">
        <v>6.5</v>
      </c>
      <c r="AH28" s="98">
        <f t="shared" si="20"/>
        <v>-7.3000000000000007</v>
      </c>
      <c r="AI28" s="98"/>
      <c r="AJ28" s="145">
        <v>14.4</v>
      </c>
      <c r="AK28" s="146">
        <v>13</v>
      </c>
      <c r="AL28" s="147">
        <f t="shared" si="8"/>
        <v>-1.4000000000000004</v>
      </c>
      <c r="AM28" s="148"/>
      <c r="AN28" s="143">
        <f t="shared" si="15"/>
        <v>-5.9</v>
      </c>
      <c r="AO28" s="144"/>
      <c r="AP28" s="108"/>
      <c r="AQ28" s="98"/>
      <c r="AR28" s="98"/>
      <c r="AS28" s="98"/>
      <c r="AT28" s="145"/>
      <c r="AU28" s="146"/>
      <c r="AV28" s="147"/>
      <c r="AW28" s="148"/>
      <c r="AX28" s="143"/>
      <c r="AY28" s="234"/>
      <c r="AZ28" s="21"/>
      <c r="BA28" s="108"/>
      <c r="BB28" s="98"/>
      <c r="BC28" s="98"/>
      <c r="BD28" s="98"/>
      <c r="BE28" s="145"/>
      <c r="BF28" s="146"/>
      <c r="BG28" s="147"/>
      <c r="BH28" s="148"/>
      <c r="BI28" s="143"/>
      <c r="BJ28" s="144"/>
      <c r="BK28" s="21"/>
      <c r="BL28" s="208"/>
      <c r="BM28" s="209"/>
      <c r="BN28" s="98"/>
      <c r="BO28" s="98"/>
      <c r="BP28" s="145"/>
      <c r="BQ28" s="146"/>
      <c r="BR28" s="147"/>
      <c r="BS28" s="148"/>
      <c r="BT28" s="143"/>
      <c r="BU28" s="144"/>
      <c r="BV28" s="21"/>
      <c r="BW28" s="187">
        <v>0.75</v>
      </c>
      <c r="BX28" s="188">
        <v>0.79</v>
      </c>
      <c r="BY28" s="188">
        <f t="shared" si="21"/>
        <v>4.0000000000000036E-2</v>
      </c>
      <c r="BZ28" s="188"/>
      <c r="CA28" s="189">
        <v>0.75</v>
      </c>
      <c r="CB28" s="190">
        <v>0.72</v>
      </c>
      <c r="CC28" s="191">
        <f t="shared" si="10"/>
        <v>-3.0000000000000027E-2</v>
      </c>
      <c r="CD28" s="192"/>
      <c r="CE28" s="143">
        <f t="shared" si="11"/>
        <v>7.0000000000000062E-2</v>
      </c>
      <c r="CF28" s="194"/>
      <c r="CG28" s="21"/>
      <c r="CH28" s="21"/>
      <c r="CI28" s="21"/>
      <c r="CJ28" s="21"/>
      <c r="CK28" s="21"/>
      <c r="CL28" s="21"/>
      <c r="CM28" s="21"/>
      <c r="CN28" s="21"/>
      <c r="CO28" s="21"/>
      <c r="CP28" s="21"/>
    </row>
    <row r="29" spans="1:94" ht="20" customHeight="1" x14ac:dyDescent="0.2">
      <c r="B29" s="45"/>
      <c r="C29" s="58"/>
      <c r="D29" s="22" t="s">
        <v>85</v>
      </c>
      <c r="E29" s="21" t="s">
        <v>79</v>
      </c>
      <c r="F29" s="21" t="s">
        <v>80</v>
      </c>
      <c r="G29" s="22">
        <v>2015</v>
      </c>
      <c r="H29" s="22">
        <v>10</v>
      </c>
      <c r="I29" s="65">
        <v>11</v>
      </c>
      <c r="J29" s="61" t="s">
        <v>194</v>
      </c>
      <c r="K29" s="83" t="s">
        <v>168</v>
      </c>
      <c r="L29" s="98">
        <v>23.6</v>
      </c>
      <c r="M29" s="98">
        <v>7.8</v>
      </c>
      <c r="N29" s="98">
        <f t="shared" si="17"/>
        <v>-15.8</v>
      </c>
      <c r="O29" s="98">
        <f t="shared" si="12"/>
        <v>-66.949152542372886</v>
      </c>
      <c r="P29" s="145">
        <v>23.6</v>
      </c>
      <c r="Q29" s="145">
        <v>19</v>
      </c>
      <c r="R29" s="146">
        <f t="shared" si="18"/>
        <v>-4.6000000000000014</v>
      </c>
      <c r="S29" s="150">
        <f t="shared" si="13"/>
        <v>-19.491525423728817</v>
      </c>
      <c r="T29" s="143">
        <f t="shared" si="19"/>
        <v>-11.2</v>
      </c>
      <c r="U29" s="144"/>
      <c r="V29" s="98">
        <v>454.7</v>
      </c>
      <c r="W29" s="98">
        <v>458.3</v>
      </c>
      <c r="X29" s="98">
        <f t="shared" si="14"/>
        <v>3.6000000000000227</v>
      </c>
      <c r="Y29" s="98">
        <f t="shared" si="3"/>
        <v>0.79173081152407576</v>
      </c>
      <c r="Z29" s="145">
        <v>454.7</v>
      </c>
      <c r="AA29" s="145">
        <v>496.4</v>
      </c>
      <c r="AB29" s="146">
        <f t="shared" si="4"/>
        <v>41.699999999999989</v>
      </c>
      <c r="AC29" s="149">
        <f t="shared" si="5"/>
        <v>9.1708819001539439</v>
      </c>
      <c r="AD29" s="143">
        <f t="shared" si="6"/>
        <v>-38.099999999999966</v>
      </c>
      <c r="AE29" s="144"/>
      <c r="AF29" s="108"/>
      <c r="AG29" s="98"/>
      <c r="AH29" s="98" t="str">
        <f t="shared" si="20"/>
        <v/>
      </c>
      <c r="AI29" s="98"/>
      <c r="AJ29" s="145"/>
      <c r="AK29" s="146"/>
      <c r="AL29" s="147" t="str">
        <f t="shared" si="8"/>
        <v/>
      </c>
      <c r="AM29" s="148"/>
      <c r="AN29" s="143" t="str">
        <f t="shared" si="15"/>
        <v/>
      </c>
      <c r="AO29" s="144"/>
      <c r="AP29" s="108">
        <v>60.6</v>
      </c>
      <c r="AQ29" s="98">
        <v>42.3</v>
      </c>
      <c r="AR29" s="98">
        <f t="shared" ref="AR29:AR31" si="22">AP29-AQ29</f>
        <v>18.300000000000004</v>
      </c>
      <c r="AS29" s="98"/>
      <c r="AT29" s="145">
        <v>60.6</v>
      </c>
      <c r="AU29" s="146">
        <v>57.3</v>
      </c>
      <c r="AV29" s="147">
        <f>AT29-AU29</f>
        <v>3.3000000000000043</v>
      </c>
      <c r="AW29" s="148"/>
      <c r="AX29" s="143">
        <f>AR29-AV29</f>
        <v>15</v>
      </c>
      <c r="AY29" s="234"/>
      <c r="AZ29" s="21"/>
      <c r="BA29" s="108"/>
      <c r="BB29" s="98"/>
      <c r="BC29" s="98"/>
      <c r="BD29" s="98"/>
      <c r="BE29" s="145"/>
      <c r="BF29" s="146"/>
      <c r="BG29" s="147"/>
      <c r="BH29" s="148"/>
      <c r="BI29" s="143"/>
      <c r="BJ29" s="144"/>
      <c r="BK29" s="21"/>
      <c r="BL29" s="208"/>
      <c r="BM29" s="209"/>
      <c r="BN29" s="98"/>
      <c r="BO29" s="98"/>
      <c r="BP29" s="145"/>
      <c r="BQ29" s="146"/>
      <c r="BR29" s="147"/>
      <c r="BS29" s="148"/>
      <c r="BT29" s="143"/>
      <c r="BU29" s="144"/>
      <c r="BV29" s="21"/>
      <c r="BW29" s="212">
        <v>82.9</v>
      </c>
      <c r="BX29" s="213">
        <v>89.2</v>
      </c>
      <c r="BY29" s="98">
        <f t="shared" si="21"/>
        <v>6.2999999999999972</v>
      </c>
      <c r="BZ29" s="98"/>
      <c r="CA29" s="145">
        <v>82.9</v>
      </c>
      <c r="CB29" s="146">
        <v>86.8</v>
      </c>
      <c r="CC29" s="147">
        <f t="shared" si="10"/>
        <v>3.8999999999999915</v>
      </c>
      <c r="CD29" s="148"/>
      <c r="CE29" s="143">
        <f t="shared" si="11"/>
        <v>2.4000000000000057</v>
      </c>
      <c r="CF29" s="144"/>
      <c r="CG29" s="21"/>
      <c r="CH29" s="21"/>
      <c r="CI29" s="21"/>
      <c r="CJ29" s="21"/>
      <c r="CK29" s="21"/>
      <c r="CL29" s="21"/>
      <c r="CM29" s="21"/>
      <c r="CN29" s="21"/>
      <c r="CO29" s="21"/>
      <c r="CP29" s="21"/>
    </row>
    <row r="30" spans="1:94" ht="20" customHeight="1" x14ac:dyDescent="0.2">
      <c r="B30" s="45"/>
      <c r="C30" s="58"/>
      <c r="D30" s="22" t="s">
        <v>85</v>
      </c>
      <c r="E30" s="21" t="s">
        <v>528</v>
      </c>
      <c r="F30" s="21" t="s">
        <v>529</v>
      </c>
      <c r="G30" s="22">
        <v>2000</v>
      </c>
      <c r="I30" s="65">
        <v>19</v>
      </c>
      <c r="J30" s="61" t="s">
        <v>340</v>
      </c>
      <c r="K30" s="83"/>
      <c r="L30" s="98"/>
      <c r="M30" s="98">
        <v>7.59</v>
      </c>
      <c r="N30" s="98" t="str">
        <f t="shared" si="17"/>
        <v/>
      </c>
      <c r="O30" s="98" t="str">
        <f t="shared" si="12"/>
        <v/>
      </c>
      <c r="P30" s="145"/>
      <c r="Q30" s="145">
        <v>6.8</v>
      </c>
      <c r="R30" s="146" t="str">
        <f t="shared" si="18"/>
        <v/>
      </c>
      <c r="S30" s="150" t="str">
        <f t="shared" si="13"/>
        <v/>
      </c>
      <c r="T30" s="143" t="str">
        <f t="shared" si="19"/>
        <v/>
      </c>
      <c r="U30" s="144"/>
      <c r="V30" s="98"/>
      <c r="W30" s="98">
        <v>379.6</v>
      </c>
      <c r="X30" s="98" t="str">
        <f t="shared" si="14"/>
        <v/>
      </c>
      <c r="Y30" s="98" t="str">
        <f t="shared" si="3"/>
        <v/>
      </c>
      <c r="Z30" s="145"/>
      <c r="AA30" s="145">
        <v>342.7</v>
      </c>
      <c r="AB30" s="146" t="str">
        <f t="shared" si="4"/>
        <v/>
      </c>
      <c r="AC30" s="149" t="str">
        <f t="shared" si="5"/>
        <v/>
      </c>
      <c r="AD30" s="143" t="str">
        <f t="shared" si="6"/>
        <v/>
      </c>
      <c r="AE30" s="144"/>
      <c r="AF30" s="108"/>
      <c r="AG30" s="98"/>
      <c r="AH30" s="98" t="str">
        <f t="shared" si="20"/>
        <v/>
      </c>
      <c r="AI30" s="98"/>
      <c r="AJ30" s="145"/>
      <c r="AK30" s="146"/>
      <c r="AL30" s="147" t="str">
        <f t="shared" si="8"/>
        <v/>
      </c>
      <c r="AM30" s="148"/>
      <c r="AN30" s="143" t="str">
        <f t="shared" si="15"/>
        <v/>
      </c>
      <c r="AO30" s="144"/>
      <c r="AP30" s="108"/>
      <c r="AQ30" s="98"/>
      <c r="AR30" s="98"/>
      <c r="AS30" s="98"/>
      <c r="AT30" s="145"/>
      <c r="AU30" s="146"/>
      <c r="AV30" s="147"/>
      <c r="AW30" s="148"/>
      <c r="AX30" s="143"/>
      <c r="AY30" s="234"/>
      <c r="AZ30" s="21"/>
      <c r="BA30" s="108"/>
      <c r="BB30" s="98"/>
      <c r="BC30" s="98"/>
      <c r="BD30" s="98"/>
      <c r="BE30" s="145"/>
      <c r="BF30" s="146"/>
      <c r="BG30" s="147"/>
      <c r="BH30" s="148"/>
      <c r="BI30" s="143"/>
      <c r="BJ30" s="144"/>
      <c r="BK30" s="21"/>
      <c r="BL30" s="208"/>
      <c r="BM30" s="209"/>
      <c r="BN30" s="98"/>
      <c r="BO30" s="98"/>
      <c r="BP30" s="145"/>
      <c r="BQ30" s="146"/>
      <c r="BR30" s="147"/>
      <c r="BS30" s="148"/>
      <c r="BT30" s="143"/>
      <c r="BU30" s="144"/>
      <c r="BV30" s="21"/>
      <c r="BW30" s="212"/>
      <c r="BX30" s="213">
        <v>91.16</v>
      </c>
      <c r="BY30" s="98" t="str">
        <f t="shared" si="21"/>
        <v/>
      </c>
      <c r="BZ30" s="98"/>
      <c r="CA30" s="145"/>
      <c r="CB30" s="190">
        <v>90.98</v>
      </c>
      <c r="CC30" s="147" t="str">
        <f t="shared" si="10"/>
        <v/>
      </c>
      <c r="CD30" s="148"/>
      <c r="CE30" s="143" t="str">
        <f t="shared" si="11"/>
        <v/>
      </c>
      <c r="CF30" s="144"/>
      <c r="CG30" s="21"/>
      <c r="CH30" s="21"/>
      <c r="CI30" s="21"/>
      <c r="CJ30" s="21"/>
      <c r="CK30" s="21"/>
      <c r="CL30" s="21"/>
      <c r="CM30" s="21"/>
      <c r="CN30" s="21"/>
      <c r="CO30" s="21"/>
      <c r="CP30" s="21"/>
    </row>
    <row r="31" spans="1:94" ht="20" customHeight="1" x14ac:dyDescent="0.2">
      <c r="B31" s="45"/>
      <c r="C31" s="59"/>
      <c r="D31" s="22" t="s">
        <v>85</v>
      </c>
      <c r="E31" s="21" t="s">
        <v>91</v>
      </c>
      <c r="F31" s="21" t="s">
        <v>92</v>
      </c>
      <c r="G31" s="22">
        <v>2001</v>
      </c>
      <c r="H31" s="22">
        <v>170</v>
      </c>
      <c r="I31" s="65">
        <v>20</v>
      </c>
      <c r="J31" s="61" t="s">
        <v>175</v>
      </c>
      <c r="K31" s="83" t="s">
        <v>168</v>
      </c>
      <c r="L31" s="98">
        <v>35.799999999999997</v>
      </c>
      <c r="M31" s="98">
        <v>20.2</v>
      </c>
      <c r="N31" s="98">
        <f t="shared" si="17"/>
        <v>-15.599999999999998</v>
      </c>
      <c r="O31" s="98">
        <f t="shared" si="12"/>
        <v>-43.575418994413404</v>
      </c>
      <c r="P31" s="145">
        <v>35.799999999999997</v>
      </c>
      <c r="Q31" s="145">
        <v>58.9</v>
      </c>
      <c r="R31" s="146">
        <f t="shared" si="18"/>
        <v>23.1</v>
      </c>
      <c r="S31" s="150">
        <f t="shared" si="13"/>
        <v>64.525139664804499</v>
      </c>
      <c r="T31" s="143">
        <f t="shared" si="19"/>
        <v>-38.700000000000003</v>
      </c>
      <c r="U31" s="144"/>
      <c r="V31" s="98">
        <v>446.1</v>
      </c>
      <c r="W31" s="98">
        <v>404.3</v>
      </c>
      <c r="X31" s="98">
        <f t="shared" si="14"/>
        <v>-41.800000000000011</v>
      </c>
      <c r="Y31" s="98">
        <f t="shared" si="3"/>
        <v>-9.3700963909437434</v>
      </c>
      <c r="Z31" s="145">
        <v>446.1</v>
      </c>
      <c r="AA31" s="145">
        <v>382</v>
      </c>
      <c r="AB31" s="146">
        <f t="shared" si="4"/>
        <v>-64.100000000000023</v>
      </c>
      <c r="AC31" s="149">
        <f t="shared" si="5"/>
        <v>-14.368975566016601</v>
      </c>
      <c r="AD31" s="143">
        <f t="shared" si="6"/>
        <v>22.300000000000011</v>
      </c>
      <c r="AE31" s="144"/>
      <c r="AF31" s="108"/>
      <c r="AG31" s="98"/>
      <c r="AH31" s="98" t="str">
        <f t="shared" si="20"/>
        <v/>
      </c>
      <c r="AI31" s="98"/>
      <c r="AJ31" s="145"/>
      <c r="AK31" s="146"/>
      <c r="AL31" s="147" t="str">
        <f t="shared" si="8"/>
        <v/>
      </c>
      <c r="AM31" s="148"/>
      <c r="AN31" s="143" t="str">
        <f t="shared" si="15"/>
        <v/>
      </c>
      <c r="AO31" s="144"/>
      <c r="AP31" s="108">
        <v>42.4</v>
      </c>
      <c r="AQ31" s="98">
        <v>42</v>
      </c>
      <c r="AR31" s="98">
        <f t="shared" si="22"/>
        <v>0.39999999999999858</v>
      </c>
      <c r="AS31" s="98"/>
      <c r="AT31" s="145">
        <v>42.4</v>
      </c>
      <c r="AU31" s="146">
        <v>42</v>
      </c>
      <c r="AV31" s="147">
        <f>AT31-AU31</f>
        <v>0.39999999999999858</v>
      </c>
      <c r="AW31" s="148"/>
      <c r="AX31" s="143">
        <f>AR31-AV31</f>
        <v>0</v>
      </c>
      <c r="AY31" s="234"/>
      <c r="AZ31" s="21"/>
      <c r="BA31" s="108"/>
      <c r="BB31" s="98"/>
      <c r="BC31" s="98"/>
      <c r="BD31" s="98"/>
      <c r="BE31" s="145"/>
      <c r="BF31" s="146"/>
      <c r="BG31" s="147"/>
      <c r="BH31" s="148"/>
      <c r="BI31" s="143"/>
      <c r="BJ31" s="144"/>
      <c r="BK31" s="21"/>
      <c r="BL31" s="208"/>
      <c r="BM31" s="209"/>
      <c r="BN31" s="98"/>
      <c r="BO31" s="98"/>
      <c r="BP31" s="145"/>
      <c r="BQ31" s="146"/>
      <c r="BR31" s="147"/>
      <c r="BS31" s="148"/>
      <c r="BT31" s="143"/>
      <c r="BU31" s="144"/>
      <c r="BV31" s="21"/>
      <c r="BW31" s="208"/>
      <c r="BX31" s="209"/>
      <c r="BY31" s="98" t="str">
        <f t="shared" si="21"/>
        <v/>
      </c>
      <c r="BZ31" s="98"/>
      <c r="CA31" s="145"/>
      <c r="CB31" s="146"/>
      <c r="CC31" s="147" t="str">
        <f t="shared" si="10"/>
        <v/>
      </c>
      <c r="CD31" s="148"/>
      <c r="CE31" s="143" t="str">
        <f t="shared" si="11"/>
        <v/>
      </c>
      <c r="CF31" s="144"/>
      <c r="CG31" s="21" t="s">
        <v>567</v>
      </c>
      <c r="CH31" s="21"/>
      <c r="CI31" s="21"/>
      <c r="CJ31" s="21"/>
      <c r="CK31" s="21"/>
      <c r="CL31" s="21"/>
      <c r="CM31" s="21"/>
      <c r="CN31" s="21"/>
      <c r="CO31" s="21"/>
      <c r="CP31" s="21"/>
    </row>
    <row r="32" spans="1:94" ht="20" customHeight="1" x14ac:dyDescent="0.2">
      <c r="B32" s="45"/>
      <c r="C32" s="59"/>
      <c r="D32" s="22" t="s">
        <v>85</v>
      </c>
      <c r="E32" s="21" t="s">
        <v>286</v>
      </c>
      <c r="F32" s="21" t="s">
        <v>287</v>
      </c>
      <c r="G32" s="22">
        <v>2009</v>
      </c>
      <c r="I32" s="65">
        <v>20</v>
      </c>
      <c r="J32" s="61" t="s">
        <v>213</v>
      </c>
      <c r="K32" s="83" t="s">
        <v>190</v>
      </c>
      <c r="L32" s="98"/>
      <c r="M32" s="98">
        <v>15.5</v>
      </c>
      <c r="N32" s="98" t="str">
        <f t="shared" si="17"/>
        <v/>
      </c>
      <c r="O32" s="98" t="str">
        <f t="shared" si="12"/>
        <v/>
      </c>
      <c r="P32" s="145"/>
      <c r="Q32" s="145">
        <v>44.5</v>
      </c>
      <c r="R32" s="146" t="str">
        <f t="shared" si="18"/>
        <v/>
      </c>
      <c r="S32" s="150" t="str">
        <f t="shared" si="13"/>
        <v/>
      </c>
      <c r="T32" s="143" t="str">
        <f t="shared" si="19"/>
        <v/>
      </c>
      <c r="U32" s="144"/>
      <c r="V32" s="98"/>
      <c r="W32" s="98">
        <v>387.5</v>
      </c>
      <c r="X32" s="98" t="str">
        <f t="shared" si="14"/>
        <v/>
      </c>
      <c r="Y32" s="98" t="str">
        <f t="shared" si="3"/>
        <v/>
      </c>
      <c r="Z32" s="145"/>
      <c r="AA32" s="145">
        <v>376.7</v>
      </c>
      <c r="AB32" s="146" t="str">
        <f t="shared" si="4"/>
        <v/>
      </c>
      <c r="AC32" s="149" t="str">
        <f t="shared" si="5"/>
        <v/>
      </c>
      <c r="AD32" s="143" t="str">
        <f t="shared" si="6"/>
        <v/>
      </c>
      <c r="AE32" s="144"/>
      <c r="AF32" s="108"/>
      <c r="AG32" s="98"/>
      <c r="AH32" s="98" t="str">
        <f t="shared" si="20"/>
        <v/>
      </c>
      <c r="AI32" s="98"/>
      <c r="AJ32" s="145"/>
      <c r="AK32" s="146"/>
      <c r="AL32" s="147" t="str">
        <f t="shared" si="8"/>
        <v/>
      </c>
      <c r="AM32" s="148"/>
      <c r="AN32" s="143" t="str">
        <f t="shared" si="15"/>
        <v/>
      </c>
      <c r="AO32" s="144"/>
      <c r="AP32" s="108"/>
      <c r="AQ32" s="98"/>
      <c r="AR32" s="98"/>
      <c r="AS32" s="98"/>
      <c r="AT32" s="145"/>
      <c r="AU32" s="146"/>
      <c r="AV32" s="147"/>
      <c r="AW32" s="148"/>
      <c r="AX32" s="143"/>
      <c r="AY32" s="234"/>
      <c r="AZ32" s="21"/>
      <c r="BA32" s="108"/>
      <c r="BB32" s="98"/>
      <c r="BC32" s="98"/>
      <c r="BD32" s="98"/>
      <c r="BE32" s="145"/>
      <c r="BF32" s="146"/>
      <c r="BG32" s="147"/>
      <c r="BH32" s="148"/>
      <c r="BI32" s="143"/>
      <c r="BJ32" s="144"/>
      <c r="BK32" s="21"/>
      <c r="BL32" s="208"/>
      <c r="BM32" s="209"/>
      <c r="BN32" s="98"/>
      <c r="BO32" s="98"/>
      <c r="BP32" s="145"/>
      <c r="BQ32" s="146"/>
      <c r="BR32" s="147"/>
      <c r="BS32" s="148"/>
      <c r="BT32" s="143"/>
      <c r="BU32" s="144"/>
      <c r="BV32" s="21"/>
      <c r="BW32" s="208"/>
      <c r="BX32" s="213">
        <v>73.099999999999994</v>
      </c>
      <c r="BY32" s="98" t="str">
        <f t="shared" si="21"/>
        <v/>
      </c>
      <c r="BZ32" s="98"/>
      <c r="CA32" s="145"/>
      <c r="CB32" s="146">
        <v>67.3</v>
      </c>
      <c r="CC32" s="147" t="str">
        <f t="shared" si="10"/>
        <v/>
      </c>
      <c r="CD32" s="148"/>
      <c r="CE32" s="143" t="str">
        <f t="shared" si="11"/>
        <v/>
      </c>
      <c r="CF32" s="144"/>
      <c r="CG32" s="21" t="s">
        <v>445</v>
      </c>
      <c r="CH32" s="21"/>
      <c r="CI32" s="21"/>
      <c r="CJ32" s="21"/>
      <c r="CK32" s="21"/>
      <c r="CL32" s="21"/>
      <c r="CM32" s="21"/>
      <c r="CN32" s="21"/>
      <c r="CO32" s="21"/>
      <c r="CP32" s="21"/>
    </row>
    <row r="33" spans="1:94" ht="20" customHeight="1" x14ac:dyDescent="0.2">
      <c r="B33" s="45"/>
      <c r="C33" s="22"/>
      <c r="D33" s="22" t="s">
        <v>85</v>
      </c>
      <c r="E33" s="21" t="s">
        <v>288</v>
      </c>
      <c r="F33" s="21" t="s">
        <v>289</v>
      </c>
      <c r="G33" s="22">
        <v>2006</v>
      </c>
      <c r="I33" s="65">
        <v>10</v>
      </c>
      <c r="J33" s="61" t="s">
        <v>356</v>
      </c>
      <c r="K33" s="83" t="s">
        <v>168</v>
      </c>
      <c r="L33" s="98"/>
      <c r="M33" s="98"/>
      <c r="N33" s="98" t="str">
        <f t="shared" si="17"/>
        <v/>
      </c>
      <c r="O33" s="98" t="str">
        <f t="shared" si="12"/>
        <v/>
      </c>
      <c r="P33" s="145"/>
      <c r="Q33" s="145"/>
      <c r="R33" s="146" t="str">
        <f t="shared" si="18"/>
        <v/>
      </c>
      <c r="S33" s="150" t="str">
        <f t="shared" si="13"/>
        <v/>
      </c>
      <c r="T33" s="143" t="str">
        <f t="shared" si="19"/>
        <v/>
      </c>
      <c r="U33" s="144"/>
      <c r="V33" s="98"/>
      <c r="W33" s="98"/>
      <c r="X33" s="98" t="str">
        <f t="shared" si="14"/>
        <v/>
      </c>
      <c r="Y33" s="98" t="str">
        <f t="shared" si="3"/>
        <v/>
      </c>
      <c r="Z33" s="145"/>
      <c r="AA33" s="145"/>
      <c r="AB33" s="146" t="str">
        <f t="shared" si="4"/>
        <v/>
      </c>
      <c r="AC33" s="149" t="str">
        <f t="shared" si="5"/>
        <v/>
      </c>
      <c r="AD33" s="143" t="str">
        <f t="shared" si="6"/>
        <v/>
      </c>
      <c r="AE33" s="144"/>
      <c r="AF33" s="108"/>
      <c r="AG33" s="98"/>
      <c r="AH33" s="98" t="str">
        <f t="shared" si="20"/>
        <v/>
      </c>
      <c r="AI33" s="98"/>
      <c r="AJ33" s="145"/>
      <c r="AK33" s="146"/>
      <c r="AL33" s="147" t="str">
        <f t="shared" si="8"/>
        <v/>
      </c>
      <c r="AM33" s="148"/>
      <c r="AN33" s="143" t="str">
        <f t="shared" si="15"/>
        <v/>
      </c>
      <c r="AO33" s="144"/>
      <c r="AP33" s="108"/>
      <c r="AQ33" s="98"/>
      <c r="AR33" s="98"/>
      <c r="AS33" s="98"/>
      <c r="AT33" s="145"/>
      <c r="AU33" s="146"/>
      <c r="AV33" s="147"/>
      <c r="AW33" s="148"/>
      <c r="AX33" s="143"/>
      <c r="AY33" s="234"/>
      <c r="AZ33" s="21"/>
      <c r="BA33" s="108"/>
      <c r="BB33" s="98"/>
      <c r="BC33" s="98"/>
      <c r="BD33" s="98"/>
      <c r="BE33" s="145"/>
      <c r="BF33" s="146"/>
      <c r="BG33" s="147"/>
      <c r="BH33" s="148"/>
      <c r="BI33" s="143"/>
      <c r="BJ33" s="144"/>
      <c r="BK33" s="21"/>
      <c r="BL33" s="208"/>
      <c r="BM33" s="209"/>
      <c r="BN33" s="98"/>
      <c r="BO33" s="98"/>
      <c r="BP33" s="145"/>
      <c r="BQ33" s="146"/>
      <c r="BR33" s="147"/>
      <c r="BS33" s="148"/>
      <c r="BT33" s="143"/>
      <c r="BU33" s="144"/>
      <c r="BV33" s="21"/>
      <c r="BW33" s="208"/>
      <c r="BX33" s="209"/>
      <c r="BY33" s="98" t="str">
        <f t="shared" si="21"/>
        <v/>
      </c>
      <c r="BZ33" s="98"/>
      <c r="CA33" s="145"/>
      <c r="CB33" s="146"/>
      <c r="CC33" s="147" t="str">
        <f t="shared" si="10"/>
        <v/>
      </c>
      <c r="CD33" s="148"/>
      <c r="CE33" s="143" t="str">
        <f t="shared" si="11"/>
        <v/>
      </c>
      <c r="CF33" s="144"/>
      <c r="CG33" s="21"/>
      <c r="CH33" s="21"/>
      <c r="CI33" s="21"/>
      <c r="CJ33" s="21"/>
      <c r="CK33" s="21"/>
      <c r="CL33" s="21"/>
      <c r="CM33" s="21"/>
      <c r="CN33" s="21"/>
      <c r="CO33" s="21"/>
      <c r="CP33" s="21"/>
    </row>
    <row r="34" spans="1:94" ht="20" customHeight="1" x14ac:dyDescent="0.2">
      <c r="A34" s="702"/>
      <c r="B34" s="45"/>
      <c r="C34" s="59"/>
      <c r="D34" s="22" t="s">
        <v>85</v>
      </c>
      <c r="E34" s="21" t="s">
        <v>531</v>
      </c>
      <c r="F34" s="21" t="s">
        <v>532</v>
      </c>
      <c r="G34" s="22">
        <v>2010</v>
      </c>
      <c r="I34" s="65">
        <v>8</v>
      </c>
      <c r="J34" s="61" t="s">
        <v>213</v>
      </c>
      <c r="K34" s="83" t="s">
        <v>168</v>
      </c>
      <c r="L34" s="98">
        <v>26.6</v>
      </c>
      <c r="M34" s="98">
        <v>15</v>
      </c>
      <c r="N34" s="98">
        <f t="shared" si="17"/>
        <v>-11.600000000000001</v>
      </c>
      <c r="O34" s="98">
        <f t="shared" si="12"/>
        <v>-43.609022556390975</v>
      </c>
      <c r="P34" s="145">
        <v>26.6</v>
      </c>
      <c r="Q34" s="145">
        <v>17.3</v>
      </c>
      <c r="R34" s="146">
        <f t="shared" si="18"/>
        <v>-9.3000000000000007</v>
      </c>
      <c r="S34" s="150">
        <f t="shared" si="13"/>
        <v>-34.962406015037601</v>
      </c>
      <c r="T34" s="143">
        <f t="shared" si="19"/>
        <v>-2.3000000000000007</v>
      </c>
      <c r="U34" s="144"/>
      <c r="V34" s="98">
        <v>402.2</v>
      </c>
      <c r="W34" s="98">
        <v>417</v>
      </c>
      <c r="X34" s="98">
        <f t="shared" si="14"/>
        <v>14.800000000000011</v>
      </c>
      <c r="Y34" s="98">
        <f t="shared" si="3"/>
        <v>3.6797613127797177</v>
      </c>
      <c r="Z34" s="145">
        <v>402.2</v>
      </c>
      <c r="AA34" s="145">
        <v>378.8</v>
      </c>
      <c r="AB34" s="146">
        <f t="shared" si="4"/>
        <v>-23.399999999999977</v>
      </c>
      <c r="AC34" s="149">
        <f t="shared" si="5"/>
        <v>-5.818000994530081</v>
      </c>
      <c r="AD34" s="143">
        <f t="shared" si="6"/>
        <v>38.199999999999989</v>
      </c>
      <c r="AE34" s="144"/>
      <c r="AF34" s="108"/>
      <c r="AG34" s="98"/>
      <c r="AH34" s="98" t="str">
        <f t="shared" si="20"/>
        <v/>
      </c>
      <c r="AI34" s="98"/>
      <c r="AJ34" s="145"/>
      <c r="AK34" s="146"/>
      <c r="AL34" s="147" t="str">
        <f t="shared" si="8"/>
        <v/>
      </c>
      <c r="AM34" s="148"/>
      <c r="AN34" s="143" t="str">
        <f t="shared" si="15"/>
        <v/>
      </c>
      <c r="AO34" s="144"/>
      <c r="AP34" s="108">
        <v>19.5</v>
      </c>
      <c r="AQ34" s="98">
        <v>13.3</v>
      </c>
      <c r="AR34" s="98">
        <f>AP34-AQ34</f>
        <v>6.1999999999999993</v>
      </c>
      <c r="AS34" s="98"/>
      <c r="AT34" s="145">
        <v>19.5</v>
      </c>
      <c r="AU34" s="146">
        <v>23</v>
      </c>
      <c r="AV34" s="147">
        <f>AT34-AU34</f>
        <v>-3.5</v>
      </c>
      <c r="AW34" s="148"/>
      <c r="AX34" s="143">
        <f>AR34-AV34</f>
        <v>9.6999999999999993</v>
      </c>
      <c r="AY34" s="234"/>
      <c r="AZ34" s="21"/>
      <c r="BA34" s="108"/>
      <c r="BB34" s="98"/>
      <c r="BC34" s="98"/>
      <c r="BD34" s="98"/>
      <c r="BE34" s="145"/>
      <c r="BF34" s="146"/>
      <c r="BG34" s="147"/>
      <c r="BH34" s="148"/>
      <c r="BI34" s="143"/>
      <c r="BJ34" s="144"/>
      <c r="BK34" s="21"/>
      <c r="BL34" s="208"/>
      <c r="BM34" s="209"/>
      <c r="BN34" s="98"/>
      <c r="BO34" s="98"/>
      <c r="BP34" s="145"/>
      <c r="BQ34" s="146"/>
      <c r="BR34" s="147"/>
      <c r="BS34" s="148"/>
      <c r="BT34" s="143"/>
      <c r="BU34" s="144"/>
      <c r="BV34" s="21"/>
      <c r="BW34" s="212">
        <v>79.5</v>
      </c>
      <c r="BX34" s="213">
        <v>86.4</v>
      </c>
      <c r="BY34" s="98">
        <f t="shared" si="21"/>
        <v>6.9000000000000057</v>
      </c>
      <c r="BZ34" s="98"/>
      <c r="CA34" s="145">
        <v>79.5</v>
      </c>
      <c r="CB34" s="146">
        <v>76.400000000000006</v>
      </c>
      <c r="CC34" s="147">
        <f t="shared" si="10"/>
        <v>-3.0999999999999943</v>
      </c>
      <c r="CD34" s="148"/>
      <c r="CE34" s="143">
        <f t="shared" si="11"/>
        <v>10</v>
      </c>
      <c r="CF34" s="144"/>
      <c r="CG34" s="21"/>
      <c r="CH34" s="21"/>
      <c r="CI34" s="21"/>
      <c r="CJ34" s="21"/>
      <c r="CK34" s="21"/>
      <c r="CL34" s="21"/>
      <c r="CM34" s="21"/>
      <c r="CN34" s="21"/>
      <c r="CO34" s="21"/>
      <c r="CP34" s="21"/>
    </row>
    <row r="35" spans="1:94" ht="20" customHeight="1" x14ac:dyDescent="0.2">
      <c r="A35" s="702"/>
      <c r="B35" s="46"/>
      <c r="C35" s="22"/>
      <c r="D35" s="696" t="s">
        <v>85</v>
      </c>
      <c r="E35" s="697" t="s">
        <v>650</v>
      </c>
      <c r="F35" s="697" t="s">
        <v>651</v>
      </c>
      <c r="G35" s="698">
        <v>2003</v>
      </c>
      <c r="H35" s="699"/>
      <c r="I35" s="701"/>
      <c r="J35" s="232" t="s">
        <v>210</v>
      </c>
      <c r="K35" s="250" t="s">
        <v>209</v>
      </c>
      <c r="L35" s="98"/>
      <c r="M35" s="98"/>
      <c r="N35" s="98"/>
      <c r="O35" s="98"/>
      <c r="P35" s="145"/>
      <c r="Q35" s="145"/>
      <c r="R35" s="146"/>
      <c r="S35" s="150"/>
      <c r="T35" s="143"/>
      <c r="U35" s="144"/>
      <c r="V35" s="98"/>
      <c r="W35" s="98"/>
      <c r="X35" s="98"/>
      <c r="Y35" s="98"/>
      <c r="Z35" s="145"/>
      <c r="AA35" s="145"/>
      <c r="AB35" s="146"/>
      <c r="AC35" s="149"/>
      <c r="AD35" s="143"/>
      <c r="AE35" s="144"/>
      <c r="AF35" s="108"/>
      <c r="AG35" s="98"/>
      <c r="AH35" s="98"/>
      <c r="AI35" s="98"/>
      <c r="AJ35" s="145"/>
      <c r="AK35" s="146"/>
      <c r="AL35" s="147"/>
      <c r="AM35" s="148"/>
      <c r="AN35" s="143"/>
      <c r="AO35" s="144"/>
      <c r="AP35" s="108"/>
      <c r="AQ35" s="98"/>
      <c r="AR35" s="98"/>
      <c r="AS35" s="98"/>
      <c r="AT35" s="145"/>
      <c r="AU35" s="146"/>
      <c r="AV35" s="147"/>
      <c r="AW35" s="148"/>
      <c r="AX35" s="143"/>
      <c r="AY35" s="234"/>
      <c r="AZ35" s="21"/>
      <c r="BA35" s="108"/>
      <c r="BB35" s="98"/>
      <c r="BC35" s="98"/>
      <c r="BD35" s="98"/>
      <c r="BE35" s="145"/>
      <c r="BF35" s="146"/>
      <c r="BG35" s="147"/>
      <c r="BH35" s="148"/>
      <c r="BI35" s="143"/>
      <c r="BJ35" s="144"/>
      <c r="BK35" s="21"/>
      <c r="BL35" s="208"/>
      <c r="BM35" s="209"/>
      <c r="BN35" s="98"/>
      <c r="BO35" s="98"/>
      <c r="BP35" s="145"/>
      <c r="BQ35" s="146"/>
      <c r="BR35" s="147"/>
      <c r="BS35" s="148"/>
      <c r="BT35" s="143"/>
      <c r="BU35" s="144"/>
      <c r="BV35" s="21"/>
      <c r="BW35" s="212"/>
      <c r="BX35" s="213"/>
      <c r="BY35" s="98"/>
      <c r="BZ35" s="98"/>
      <c r="CA35" s="145"/>
      <c r="CB35" s="146"/>
      <c r="CC35" s="147"/>
      <c r="CD35" s="148"/>
      <c r="CE35" s="143"/>
      <c r="CF35" s="144"/>
      <c r="CG35" s="21"/>
      <c r="CH35" s="21"/>
      <c r="CI35" s="21"/>
      <c r="CJ35" s="21"/>
      <c r="CK35" s="21"/>
      <c r="CL35" s="21"/>
      <c r="CM35" s="21"/>
      <c r="CN35" s="21"/>
      <c r="CO35" s="21"/>
      <c r="CP35" s="21"/>
    </row>
    <row r="36" spans="1:94" ht="20" customHeight="1" x14ac:dyDescent="0.2">
      <c r="A36" s="702"/>
      <c r="B36" s="45"/>
      <c r="C36" s="59"/>
      <c r="D36" s="22" t="s">
        <v>85</v>
      </c>
      <c r="E36" s="21" t="s">
        <v>533</v>
      </c>
      <c r="F36" s="21" t="s">
        <v>534</v>
      </c>
      <c r="G36" s="22">
        <v>1998</v>
      </c>
      <c r="I36" s="65">
        <v>9</v>
      </c>
      <c r="J36" s="61" t="s">
        <v>535</v>
      </c>
      <c r="K36" s="83" t="s">
        <v>168</v>
      </c>
      <c r="L36" s="98">
        <v>42.1</v>
      </c>
      <c r="M36" s="98">
        <v>19.100000000000001</v>
      </c>
      <c r="N36" s="98">
        <f t="shared" si="17"/>
        <v>-23</v>
      </c>
      <c r="O36" s="98">
        <f t="shared" si="12"/>
        <v>-54.631828978622323</v>
      </c>
      <c r="P36" s="145"/>
      <c r="Q36" s="145"/>
      <c r="R36" s="146" t="str">
        <f t="shared" si="18"/>
        <v/>
      </c>
      <c r="S36" s="150" t="str">
        <f t="shared" si="13"/>
        <v/>
      </c>
      <c r="T36" s="143" t="str">
        <f t="shared" si="19"/>
        <v/>
      </c>
      <c r="U36" s="144"/>
      <c r="V36" s="98">
        <v>450</v>
      </c>
      <c r="W36" s="98">
        <v>479</v>
      </c>
      <c r="X36" s="98">
        <f t="shared" si="14"/>
        <v>29</v>
      </c>
      <c r="Y36" s="98">
        <f t="shared" si="3"/>
        <v>6.4444444444444571</v>
      </c>
      <c r="Z36" s="145"/>
      <c r="AA36" s="145"/>
      <c r="AB36" s="146" t="str">
        <f t="shared" si="4"/>
        <v/>
      </c>
      <c r="AC36" s="149" t="str">
        <f t="shared" si="5"/>
        <v/>
      </c>
      <c r="AD36" s="143" t="str">
        <f t="shared" si="6"/>
        <v/>
      </c>
      <c r="AE36" s="144"/>
      <c r="AF36" s="108">
        <v>14.9</v>
      </c>
      <c r="AG36" s="98">
        <v>13.3</v>
      </c>
      <c r="AH36" s="98">
        <f t="shared" si="20"/>
        <v>-1.5999999999999996</v>
      </c>
      <c r="AI36" s="98"/>
      <c r="AJ36" s="145"/>
      <c r="AK36" s="146"/>
      <c r="AL36" s="147" t="str">
        <f t="shared" si="8"/>
        <v/>
      </c>
      <c r="AM36" s="148"/>
      <c r="AN36" s="143" t="str">
        <f t="shared" si="15"/>
        <v/>
      </c>
      <c r="AO36" s="144"/>
      <c r="AP36" s="108"/>
      <c r="AQ36" s="98"/>
      <c r="AR36" s="98"/>
      <c r="AS36" s="98"/>
      <c r="AT36" s="145"/>
      <c r="AU36" s="146"/>
      <c r="AV36" s="147"/>
      <c r="AW36" s="148"/>
      <c r="AX36" s="143"/>
      <c r="AY36" s="234"/>
      <c r="AZ36" s="21"/>
      <c r="BA36" s="108"/>
      <c r="BB36" s="98"/>
      <c r="BC36" s="98"/>
      <c r="BD36" s="98"/>
      <c r="BE36" s="145"/>
      <c r="BF36" s="146"/>
      <c r="BG36" s="147"/>
      <c r="BH36" s="148"/>
      <c r="BI36" s="143"/>
      <c r="BJ36" s="144"/>
      <c r="BK36" s="21"/>
      <c r="BL36" s="208"/>
      <c r="BM36" s="209"/>
      <c r="BN36" s="98"/>
      <c r="BO36" s="98"/>
      <c r="BP36" s="145"/>
      <c r="BQ36" s="146"/>
      <c r="BR36" s="147"/>
      <c r="BS36" s="148"/>
      <c r="BT36" s="143"/>
      <c r="BU36" s="144"/>
      <c r="BV36" s="21"/>
      <c r="BW36" s="108">
        <v>68</v>
      </c>
      <c r="BX36" s="213">
        <v>72.27</v>
      </c>
      <c r="BY36" s="98">
        <f t="shared" si="21"/>
        <v>4.269999999999996</v>
      </c>
      <c r="BZ36" s="98"/>
      <c r="CA36" s="145"/>
      <c r="CB36" s="146"/>
      <c r="CC36" s="147" t="str">
        <f t="shared" si="10"/>
        <v/>
      </c>
      <c r="CD36" s="148"/>
      <c r="CE36" s="143" t="str">
        <f t="shared" si="11"/>
        <v/>
      </c>
      <c r="CF36" s="144"/>
      <c r="CG36" s="21"/>
      <c r="CH36" s="21"/>
      <c r="CI36" s="21"/>
      <c r="CJ36" s="21"/>
      <c r="CK36" s="21"/>
      <c r="CL36" s="21"/>
      <c r="CM36" s="21"/>
      <c r="CN36" s="21"/>
      <c r="CO36" s="21"/>
      <c r="CP36" s="21"/>
    </row>
    <row r="37" spans="1:94" ht="20" customHeight="1" x14ac:dyDescent="0.2">
      <c r="A37" s="702"/>
      <c r="B37" s="46"/>
      <c r="C37" s="22"/>
      <c r="D37" s="696" t="s">
        <v>85</v>
      </c>
      <c r="E37" s="697" t="s">
        <v>656</v>
      </c>
      <c r="F37" s="697" t="s">
        <v>657</v>
      </c>
      <c r="G37" s="698">
        <v>2007</v>
      </c>
      <c r="H37" s="700"/>
      <c r="I37" s="701"/>
      <c r="J37" s="232" t="s">
        <v>213</v>
      </c>
      <c r="K37" s="250" t="s">
        <v>168</v>
      </c>
      <c r="L37" s="98"/>
      <c r="M37" s="98"/>
      <c r="N37" s="98"/>
      <c r="O37" s="98"/>
      <c r="P37" s="145"/>
      <c r="Q37" s="145"/>
      <c r="R37" s="146"/>
      <c r="S37" s="150"/>
      <c r="T37" s="143"/>
      <c r="U37" s="144"/>
      <c r="V37" s="98"/>
      <c r="W37" s="98"/>
      <c r="X37" s="98"/>
      <c r="Y37" s="98"/>
      <c r="Z37" s="145"/>
      <c r="AA37" s="145"/>
      <c r="AB37" s="146"/>
      <c r="AC37" s="149"/>
      <c r="AD37" s="143"/>
      <c r="AE37" s="144"/>
      <c r="AF37" s="108"/>
      <c r="AG37" s="98"/>
      <c r="AH37" s="98"/>
      <c r="AI37" s="98"/>
      <c r="AJ37" s="145"/>
      <c r="AK37" s="146"/>
      <c r="AL37" s="147"/>
      <c r="AM37" s="148"/>
      <c r="AN37" s="143"/>
      <c r="AO37" s="144"/>
      <c r="AP37" s="108"/>
      <c r="AQ37" s="98"/>
      <c r="AR37" s="98"/>
      <c r="AS37" s="98"/>
      <c r="AT37" s="145"/>
      <c r="AU37" s="146"/>
      <c r="AV37" s="147"/>
      <c r="AW37" s="148"/>
      <c r="AX37" s="143"/>
      <c r="AY37" s="234"/>
      <c r="AZ37" s="21"/>
      <c r="BA37" s="108"/>
      <c r="BB37" s="98"/>
      <c r="BC37" s="98"/>
      <c r="BD37" s="98"/>
      <c r="BE37" s="145"/>
      <c r="BF37" s="146"/>
      <c r="BG37" s="147"/>
      <c r="BH37" s="148"/>
      <c r="BI37" s="143"/>
      <c r="BJ37" s="144"/>
      <c r="BK37" s="21"/>
      <c r="BL37" s="208"/>
      <c r="BM37" s="209"/>
      <c r="BN37" s="98"/>
      <c r="BO37" s="98"/>
      <c r="BP37" s="145"/>
      <c r="BQ37" s="146"/>
      <c r="BR37" s="147"/>
      <c r="BS37" s="148"/>
      <c r="BT37" s="143"/>
      <c r="BU37" s="144"/>
      <c r="BV37" s="21"/>
      <c r="BW37" s="108"/>
      <c r="BX37" s="213"/>
      <c r="BY37" s="98"/>
      <c r="BZ37" s="98"/>
      <c r="CA37" s="145"/>
      <c r="CB37" s="146"/>
      <c r="CC37" s="147"/>
      <c r="CD37" s="148"/>
      <c r="CE37" s="143"/>
      <c r="CF37" s="144"/>
      <c r="CG37" s="21"/>
      <c r="CH37" s="21"/>
      <c r="CI37" s="21"/>
      <c r="CJ37" s="21"/>
      <c r="CK37" s="21"/>
      <c r="CL37" s="21"/>
      <c r="CM37" s="21"/>
      <c r="CN37" s="21"/>
      <c r="CO37" s="21"/>
      <c r="CP37" s="21"/>
    </row>
    <row r="38" spans="1:94" ht="20" customHeight="1" x14ac:dyDescent="0.2">
      <c r="A38" s="702"/>
      <c r="B38" s="45"/>
      <c r="C38" s="22"/>
      <c r="D38" s="696" t="s">
        <v>85</v>
      </c>
      <c r="E38" s="697" t="s">
        <v>668</v>
      </c>
      <c r="F38" s="697" t="s">
        <v>669</v>
      </c>
      <c r="G38" s="698">
        <v>1998</v>
      </c>
      <c r="H38" s="699"/>
      <c r="I38" s="701">
        <v>25</v>
      </c>
      <c r="J38" s="232" t="s">
        <v>175</v>
      </c>
      <c r="K38" s="250" t="s">
        <v>191</v>
      </c>
      <c r="L38" s="98"/>
      <c r="M38" s="98"/>
      <c r="N38" s="98"/>
      <c r="O38" s="98"/>
      <c r="P38" s="145"/>
      <c r="Q38" s="145"/>
      <c r="R38" s="146"/>
      <c r="S38" s="150"/>
      <c r="T38" s="143"/>
      <c r="U38" s="144"/>
      <c r="V38" s="98"/>
      <c r="W38" s="98"/>
      <c r="X38" s="98"/>
      <c r="Y38" s="98"/>
      <c r="Z38" s="145"/>
      <c r="AA38" s="145"/>
      <c r="AB38" s="146"/>
      <c r="AC38" s="149"/>
      <c r="AD38" s="143"/>
      <c r="AE38" s="144"/>
      <c r="AF38" s="108"/>
      <c r="AG38" s="98"/>
      <c r="AH38" s="98"/>
      <c r="AI38" s="98"/>
      <c r="AJ38" s="145"/>
      <c r="AK38" s="146"/>
      <c r="AL38" s="147"/>
      <c r="AM38" s="148"/>
      <c r="AN38" s="143"/>
      <c r="AO38" s="144"/>
      <c r="AP38" s="108"/>
      <c r="AQ38" s="98"/>
      <c r="AR38" s="98"/>
      <c r="AS38" s="98"/>
      <c r="AT38" s="145"/>
      <c r="AU38" s="146"/>
      <c r="AV38" s="147"/>
      <c r="AW38" s="148"/>
      <c r="AX38" s="143"/>
      <c r="AY38" s="234"/>
      <c r="AZ38" s="21"/>
      <c r="BA38" s="108"/>
      <c r="BB38" s="98"/>
      <c r="BC38" s="98"/>
      <c r="BD38" s="98"/>
      <c r="BE38" s="145"/>
      <c r="BF38" s="146"/>
      <c r="BG38" s="147"/>
      <c r="BH38" s="148"/>
      <c r="BI38" s="143"/>
      <c r="BJ38" s="144"/>
      <c r="BK38" s="21"/>
      <c r="BL38" s="208"/>
      <c r="BM38" s="209"/>
      <c r="BN38" s="98"/>
      <c r="BO38" s="98"/>
      <c r="BP38" s="145"/>
      <c r="BQ38" s="146"/>
      <c r="BR38" s="147"/>
      <c r="BS38" s="148"/>
      <c r="BT38" s="143"/>
      <c r="BU38" s="144"/>
      <c r="BV38" s="21"/>
      <c r="BW38" s="108"/>
      <c r="BX38" s="213"/>
      <c r="BY38" s="98"/>
      <c r="BZ38" s="98"/>
      <c r="CA38" s="145"/>
      <c r="CB38" s="146"/>
      <c r="CC38" s="147"/>
      <c r="CD38" s="148"/>
      <c r="CE38" s="143"/>
      <c r="CF38" s="144"/>
      <c r="CG38" s="21"/>
      <c r="CH38" s="21"/>
      <c r="CI38" s="21"/>
      <c r="CJ38" s="21"/>
      <c r="CK38" s="21"/>
      <c r="CL38" s="21"/>
      <c r="CM38" s="21"/>
      <c r="CN38" s="21"/>
      <c r="CO38" s="21"/>
      <c r="CP38" s="21"/>
    </row>
    <row r="39" spans="1:94" ht="20" customHeight="1" x14ac:dyDescent="0.2">
      <c r="B39" s="46"/>
      <c r="C39" s="22"/>
      <c r="D39" s="22" t="s">
        <v>85</v>
      </c>
      <c r="E39" s="21" t="s">
        <v>105</v>
      </c>
      <c r="F39" s="21" t="s">
        <v>106</v>
      </c>
      <c r="G39" s="22">
        <v>1989</v>
      </c>
      <c r="H39" s="22">
        <v>27</v>
      </c>
      <c r="I39" s="65"/>
      <c r="J39" s="61" t="s">
        <v>208</v>
      </c>
      <c r="K39" s="83" t="s">
        <v>177</v>
      </c>
      <c r="L39" s="98"/>
      <c r="M39" s="98"/>
      <c r="N39" s="98" t="str">
        <f t="shared" si="17"/>
        <v/>
      </c>
      <c r="O39" s="98" t="str">
        <f t="shared" si="12"/>
        <v/>
      </c>
      <c r="P39" s="145"/>
      <c r="Q39" s="145"/>
      <c r="R39" s="146" t="str">
        <f t="shared" si="18"/>
        <v/>
      </c>
      <c r="S39" s="150" t="str">
        <f t="shared" si="13"/>
        <v/>
      </c>
      <c r="T39" s="143" t="str">
        <f t="shared" si="19"/>
        <v/>
      </c>
      <c r="U39" s="144"/>
      <c r="V39" s="98"/>
      <c r="W39" s="98"/>
      <c r="X39" s="98" t="str">
        <f t="shared" si="14"/>
        <v/>
      </c>
      <c r="Y39" s="98" t="str">
        <f t="shared" si="3"/>
        <v/>
      </c>
      <c r="Z39" s="145"/>
      <c r="AA39" s="145"/>
      <c r="AB39" s="146" t="str">
        <f t="shared" si="4"/>
        <v/>
      </c>
      <c r="AC39" s="149" t="str">
        <f t="shared" si="5"/>
        <v/>
      </c>
      <c r="AD39" s="143" t="str">
        <f t="shared" si="6"/>
        <v/>
      </c>
      <c r="AE39" s="144"/>
      <c r="AF39" s="108"/>
      <c r="AG39" s="98"/>
      <c r="AH39" s="98" t="str">
        <f t="shared" si="20"/>
        <v/>
      </c>
      <c r="AI39" s="98"/>
      <c r="AJ39" s="145"/>
      <c r="AK39" s="146"/>
      <c r="AL39" s="147" t="str">
        <f t="shared" si="8"/>
        <v/>
      </c>
      <c r="AM39" s="148"/>
      <c r="AN39" s="143" t="str">
        <f t="shared" si="15"/>
        <v/>
      </c>
      <c r="AO39" s="144"/>
      <c r="AP39" s="108"/>
      <c r="AQ39" s="98"/>
      <c r="AR39" s="98"/>
      <c r="AS39" s="98"/>
      <c r="AT39" s="145"/>
      <c r="AU39" s="146"/>
      <c r="AV39" s="147"/>
      <c r="AW39" s="148"/>
      <c r="AX39" s="143"/>
      <c r="AY39" s="234"/>
      <c r="AZ39" s="21"/>
      <c r="BA39" s="108"/>
      <c r="BB39" s="98"/>
      <c r="BC39" s="98"/>
      <c r="BD39" s="98"/>
      <c r="BE39" s="145"/>
      <c r="BF39" s="146"/>
      <c r="BG39" s="147"/>
      <c r="BH39" s="148"/>
      <c r="BI39" s="143"/>
      <c r="BJ39" s="144"/>
      <c r="BK39" s="21"/>
      <c r="BL39" s="208"/>
      <c r="BM39" s="209"/>
      <c r="BN39" s="98"/>
      <c r="BO39" s="98"/>
      <c r="BP39" s="145"/>
      <c r="BQ39" s="146"/>
      <c r="BR39" s="147"/>
      <c r="BS39" s="148"/>
      <c r="BT39" s="143"/>
      <c r="BU39" s="144"/>
      <c r="BV39" s="21"/>
      <c r="BW39" s="208"/>
      <c r="BX39" s="209"/>
      <c r="BY39" s="98" t="str">
        <f t="shared" si="21"/>
        <v/>
      </c>
      <c r="BZ39" s="98"/>
      <c r="CA39" s="145"/>
      <c r="CB39" s="146"/>
      <c r="CC39" s="147" t="str">
        <f t="shared" si="10"/>
        <v/>
      </c>
      <c r="CD39" s="148"/>
      <c r="CE39" s="143" t="str">
        <f t="shared" si="11"/>
        <v/>
      </c>
      <c r="CF39" s="144"/>
      <c r="CG39" s="21"/>
      <c r="CH39" s="21"/>
      <c r="CI39" s="21"/>
      <c r="CJ39" s="21"/>
      <c r="CK39" s="21"/>
      <c r="CL39" s="21"/>
      <c r="CM39" s="21"/>
      <c r="CN39" s="21"/>
      <c r="CO39" s="21"/>
      <c r="CP39" s="21"/>
    </row>
    <row r="40" spans="1:94" ht="20" customHeight="1" x14ac:dyDescent="0.2">
      <c r="A40" s="702"/>
      <c r="B40" s="46"/>
      <c r="C40" s="22"/>
      <c r="D40" s="696" t="s">
        <v>85</v>
      </c>
      <c r="E40" s="697" t="s">
        <v>670</v>
      </c>
      <c r="F40" s="697" t="s">
        <v>671</v>
      </c>
      <c r="G40" s="698">
        <v>2003</v>
      </c>
      <c r="H40" s="699"/>
      <c r="I40" s="701"/>
      <c r="J40" s="232" t="s">
        <v>672</v>
      </c>
      <c r="K40" s="250" t="s">
        <v>177</v>
      </c>
      <c r="L40" s="98"/>
      <c r="M40" s="98"/>
      <c r="N40" s="98"/>
      <c r="O40" s="98"/>
      <c r="P40" s="145"/>
      <c r="Q40" s="145"/>
      <c r="R40" s="146"/>
      <c r="S40" s="150"/>
      <c r="T40" s="143"/>
      <c r="U40" s="144"/>
      <c r="V40" s="98"/>
      <c r="W40" s="98"/>
      <c r="X40" s="98"/>
      <c r="Y40" s="98"/>
      <c r="Z40" s="145"/>
      <c r="AA40" s="145"/>
      <c r="AB40" s="146"/>
      <c r="AC40" s="149"/>
      <c r="AD40" s="143"/>
      <c r="AE40" s="144"/>
      <c r="AF40" s="108"/>
      <c r="AG40" s="98"/>
      <c r="AH40" s="98"/>
      <c r="AI40" s="98"/>
      <c r="AJ40" s="145"/>
      <c r="AK40" s="146"/>
      <c r="AL40" s="147"/>
      <c r="AM40" s="148"/>
      <c r="AN40" s="143"/>
      <c r="AO40" s="144"/>
      <c r="AP40" s="108"/>
      <c r="AQ40" s="98"/>
      <c r="AR40" s="98"/>
      <c r="AS40" s="98"/>
      <c r="AT40" s="145"/>
      <c r="AU40" s="146"/>
      <c r="AV40" s="147"/>
      <c r="AW40" s="148"/>
      <c r="AX40" s="143"/>
      <c r="AY40" s="234"/>
      <c r="AZ40" s="21"/>
      <c r="BA40" s="108"/>
      <c r="BB40" s="98"/>
      <c r="BC40" s="98"/>
      <c r="BD40" s="98"/>
      <c r="BE40" s="145"/>
      <c r="BF40" s="146"/>
      <c r="BG40" s="147"/>
      <c r="BH40" s="148"/>
      <c r="BI40" s="143"/>
      <c r="BJ40" s="144"/>
      <c r="BK40" s="21"/>
      <c r="BL40" s="208"/>
      <c r="BM40" s="209"/>
      <c r="BN40" s="98"/>
      <c r="BO40" s="98"/>
      <c r="BP40" s="145"/>
      <c r="BQ40" s="146"/>
      <c r="BR40" s="147"/>
      <c r="BS40" s="148"/>
      <c r="BT40" s="143"/>
      <c r="BU40" s="144"/>
      <c r="BV40" s="21"/>
      <c r="BW40" s="208"/>
      <c r="BX40" s="209"/>
      <c r="BY40" s="98"/>
      <c r="BZ40" s="98"/>
      <c r="CA40" s="145"/>
      <c r="CB40" s="146"/>
      <c r="CC40" s="147"/>
      <c r="CD40" s="148"/>
      <c r="CE40" s="143"/>
      <c r="CF40" s="144"/>
      <c r="CG40" s="21"/>
      <c r="CH40" s="21"/>
      <c r="CI40" s="21"/>
      <c r="CJ40" s="21"/>
      <c r="CK40" s="21"/>
      <c r="CL40" s="21"/>
      <c r="CM40" s="21"/>
      <c r="CN40" s="21"/>
      <c r="CO40" s="21"/>
      <c r="CP40" s="21"/>
    </row>
    <row r="41" spans="1:94" ht="20" customHeight="1" x14ac:dyDescent="0.2">
      <c r="A41" s="702"/>
      <c r="B41" s="46"/>
      <c r="C41" s="22"/>
      <c r="D41" s="696" t="s">
        <v>85</v>
      </c>
      <c r="E41" s="697" t="s">
        <v>673</v>
      </c>
      <c r="F41" s="697" t="s">
        <v>674</v>
      </c>
      <c r="G41" s="698">
        <v>2003</v>
      </c>
      <c r="H41" s="699"/>
      <c r="I41" s="65">
        <v>15</v>
      </c>
      <c r="J41" s="61" t="s">
        <v>213</v>
      </c>
      <c r="K41" s="62" t="s">
        <v>675</v>
      </c>
      <c r="L41" s="98"/>
      <c r="M41" s="98"/>
      <c r="N41" s="98"/>
      <c r="O41" s="98"/>
      <c r="P41" s="145"/>
      <c r="Q41" s="145"/>
      <c r="R41" s="146"/>
      <c r="S41" s="150"/>
      <c r="T41" s="143"/>
      <c r="U41" s="144"/>
      <c r="V41" s="98"/>
      <c r="W41" s="98"/>
      <c r="X41" s="98"/>
      <c r="Y41" s="98"/>
      <c r="Z41" s="145"/>
      <c r="AA41" s="145"/>
      <c r="AB41" s="146"/>
      <c r="AC41" s="149"/>
      <c r="AD41" s="143"/>
      <c r="AE41" s="144"/>
      <c r="AF41" s="108"/>
      <c r="AG41" s="98"/>
      <c r="AH41" s="98"/>
      <c r="AI41" s="98"/>
      <c r="AJ41" s="145"/>
      <c r="AK41" s="146"/>
      <c r="AL41" s="147"/>
      <c r="AM41" s="148"/>
      <c r="AN41" s="143"/>
      <c r="AO41" s="144"/>
      <c r="AP41" s="108"/>
      <c r="AQ41" s="98"/>
      <c r="AR41" s="98"/>
      <c r="AS41" s="98"/>
      <c r="AT41" s="145"/>
      <c r="AU41" s="146"/>
      <c r="AV41" s="147"/>
      <c r="AW41" s="148"/>
      <c r="AX41" s="143"/>
      <c r="AY41" s="234"/>
      <c r="AZ41" s="21"/>
      <c r="BA41" s="108"/>
      <c r="BB41" s="98"/>
      <c r="BC41" s="98"/>
      <c r="BD41" s="98"/>
      <c r="BE41" s="145"/>
      <c r="BF41" s="146"/>
      <c r="BG41" s="147"/>
      <c r="BH41" s="148"/>
      <c r="BI41" s="143"/>
      <c r="BJ41" s="144"/>
      <c r="BK41" s="21"/>
      <c r="BL41" s="208"/>
      <c r="BM41" s="209"/>
      <c r="BN41" s="98"/>
      <c r="BO41" s="98"/>
      <c r="BP41" s="145"/>
      <c r="BQ41" s="146"/>
      <c r="BR41" s="147"/>
      <c r="BS41" s="148"/>
      <c r="BT41" s="143"/>
      <c r="BU41" s="144"/>
      <c r="BV41" s="21"/>
      <c r="BW41" s="208"/>
      <c r="BX41" s="209"/>
      <c r="BY41" s="98"/>
      <c r="BZ41" s="98"/>
      <c r="CA41" s="145"/>
      <c r="CB41" s="146"/>
      <c r="CC41" s="147"/>
      <c r="CD41" s="148"/>
      <c r="CE41" s="143"/>
      <c r="CF41" s="144"/>
      <c r="CG41" s="21"/>
      <c r="CH41" s="21"/>
      <c r="CI41" s="21"/>
      <c r="CJ41" s="21"/>
      <c r="CK41" s="21"/>
      <c r="CL41" s="21"/>
      <c r="CM41" s="21"/>
      <c r="CN41" s="21"/>
      <c r="CO41" s="21"/>
      <c r="CP41" s="21"/>
    </row>
    <row r="42" spans="1:94" ht="20" customHeight="1" x14ac:dyDescent="0.2">
      <c r="B42" s="45"/>
      <c r="C42" s="59"/>
      <c r="D42" s="22" t="s">
        <v>85</v>
      </c>
      <c r="E42" s="21" t="s">
        <v>308</v>
      </c>
      <c r="F42" s="21" t="s">
        <v>309</v>
      </c>
      <c r="G42" s="22">
        <v>2012</v>
      </c>
      <c r="I42" s="65"/>
      <c r="J42" s="61" t="s">
        <v>365</v>
      </c>
      <c r="K42" s="83" t="s">
        <v>209</v>
      </c>
      <c r="L42" s="98"/>
      <c r="M42" s="98">
        <v>7</v>
      </c>
      <c r="N42" s="98" t="str">
        <f t="shared" si="17"/>
        <v/>
      </c>
      <c r="O42" s="98" t="str">
        <f t="shared" si="12"/>
        <v/>
      </c>
      <c r="P42" s="145"/>
      <c r="Q42" s="145">
        <v>15</v>
      </c>
      <c r="R42" s="146" t="str">
        <f t="shared" si="18"/>
        <v/>
      </c>
      <c r="S42" s="150" t="str">
        <f t="shared" si="13"/>
        <v/>
      </c>
      <c r="T42" s="143" t="str">
        <f t="shared" si="19"/>
        <v/>
      </c>
      <c r="U42" s="144"/>
      <c r="V42" s="98"/>
      <c r="W42" s="98">
        <v>424</v>
      </c>
      <c r="X42" s="98" t="str">
        <f t="shared" si="14"/>
        <v/>
      </c>
      <c r="Y42" s="98" t="str">
        <f t="shared" si="3"/>
        <v/>
      </c>
      <c r="Z42" s="145"/>
      <c r="AA42" s="145">
        <v>387</v>
      </c>
      <c r="AB42" s="146" t="str">
        <f t="shared" si="4"/>
        <v/>
      </c>
      <c r="AC42" s="149" t="str">
        <f t="shared" si="5"/>
        <v/>
      </c>
      <c r="AD42" s="143" t="str">
        <f t="shared" si="6"/>
        <v/>
      </c>
      <c r="AE42" s="144"/>
      <c r="AF42" s="108"/>
      <c r="AG42" s="98"/>
      <c r="AH42" s="98" t="str">
        <f t="shared" si="20"/>
        <v/>
      </c>
      <c r="AI42" s="98"/>
      <c r="AJ42" s="145"/>
      <c r="AK42" s="146"/>
      <c r="AL42" s="147" t="str">
        <f t="shared" si="8"/>
        <v/>
      </c>
      <c r="AM42" s="148"/>
      <c r="AN42" s="143" t="str">
        <f t="shared" si="15"/>
        <v/>
      </c>
      <c r="AO42" s="144"/>
      <c r="AP42" s="108"/>
      <c r="AQ42" s="98"/>
      <c r="AR42" s="98"/>
      <c r="AS42" s="98"/>
      <c r="AT42" s="145"/>
      <c r="AU42" s="146"/>
      <c r="AV42" s="147"/>
      <c r="AW42" s="148"/>
      <c r="AX42" s="143"/>
      <c r="AY42" s="234"/>
      <c r="AZ42" s="21"/>
      <c r="BA42" s="108"/>
      <c r="BB42" s="98"/>
      <c r="BC42" s="98"/>
      <c r="BD42" s="98"/>
      <c r="BE42" s="145"/>
      <c r="BF42" s="146"/>
      <c r="BG42" s="147"/>
      <c r="BH42" s="148"/>
      <c r="BI42" s="143"/>
      <c r="BJ42" s="144"/>
      <c r="BK42" s="21"/>
      <c r="BL42" s="208"/>
      <c r="BM42" s="209"/>
      <c r="BN42" s="98"/>
      <c r="BO42" s="98"/>
      <c r="BP42" s="145"/>
      <c r="BQ42" s="146"/>
      <c r="BR42" s="147"/>
      <c r="BS42" s="148"/>
      <c r="BT42" s="143"/>
      <c r="BU42" s="144"/>
      <c r="BV42" s="21"/>
      <c r="BW42" s="208"/>
      <c r="BX42" s="213">
        <v>88.1</v>
      </c>
      <c r="BY42" s="98" t="str">
        <f t="shared" si="21"/>
        <v/>
      </c>
      <c r="BZ42" s="98"/>
      <c r="CA42" s="145"/>
      <c r="CB42" s="146">
        <v>80.5</v>
      </c>
      <c r="CC42" s="147" t="str">
        <f t="shared" si="10"/>
        <v/>
      </c>
      <c r="CD42" s="148"/>
      <c r="CE42" s="143" t="str">
        <f t="shared" si="11"/>
        <v/>
      </c>
      <c r="CF42" s="144">
        <v>7.6</v>
      </c>
      <c r="CG42" s="21" t="s">
        <v>536</v>
      </c>
      <c r="CH42" s="21"/>
      <c r="CI42" s="21"/>
      <c r="CJ42" s="21"/>
      <c r="CK42" s="21"/>
      <c r="CL42" s="21"/>
      <c r="CM42" s="21"/>
      <c r="CN42" s="21"/>
      <c r="CO42" s="21"/>
      <c r="CP42" s="21"/>
    </row>
    <row r="43" spans="1:94" ht="20" customHeight="1" x14ac:dyDescent="0.2">
      <c r="B43" s="46"/>
      <c r="C43" s="22"/>
      <c r="D43" s="22" t="s">
        <v>85</v>
      </c>
      <c r="E43" s="21" t="s">
        <v>127</v>
      </c>
      <c r="F43" s="21" t="s">
        <v>128</v>
      </c>
      <c r="G43" s="22">
        <v>2000</v>
      </c>
      <c r="H43" s="22">
        <v>252</v>
      </c>
      <c r="I43" s="65">
        <v>30</v>
      </c>
      <c r="J43" s="61" t="s">
        <v>217</v>
      </c>
      <c r="K43" s="83" t="s">
        <v>168</v>
      </c>
      <c r="L43" s="98"/>
      <c r="M43" s="98"/>
      <c r="N43" s="98" t="str">
        <f t="shared" si="17"/>
        <v/>
      </c>
      <c r="O43" s="98" t="str">
        <f t="shared" si="12"/>
        <v/>
      </c>
      <c r="P43" s="145"/>
      <c r="Q43" s="145"/>
      <c r="R43" s="146" t="str">
        <f t="shared" si="18"/>
        <v/>
      </c>
      <c r="S43" s="150" t="str">
        <f t="shared" si="13"/>
        <v/>
      </c>
      <c r="T43" s="143" t="str">
        <f t="shared" si="19"/>
        <v/>
      </c>
      <c r="U43" s="144"/>
      <c r="V43" s="98"/>
      <c r="W43" s="98"/>
      <c r="X43" s="98" t="str">
        <f t="shared" si="14"/>
        <v/>
      </c>
      <c r="Y43" s="98" t="str">
        <f t="shared" si="3"/>
        <v/>
      </c>
      <c r="Z43" s="145"/>
      <c r="AA43" s="145"/>
      <c r="AB43" s="146" t="str">
        <f t="shared" si="4"/>
        <v/>
      </c>
      <c r="AC43" s="149" t="str">
        <f t="shared" si="5"/>
        <v/>
      </c>
      <c r="AD43" s="143" t="str">
        <f t="shared" si="6"/>
        <v/>
      </c>
      <c r="AE43" s="144"/>
      <c r="AF43" s="108"/>
      <c r="AG43" s="98"/>
      <c r="AH43" s="98" t="str">
        <f t="shared" si="20"/>
        <v/>
      </c>
      <c r="AI43" s="98"/>
      <c r="AJ43" s="145"/>
      <c r="AK43" s="146"/>
      <c r="AL43" s="147" t="str">
        <f t="shared" si="8"/>
        <v/>
      </c>
      <c r="AM43" s="148"/>
      <c r="AN43" s="143" t="str">
        <f t="shared" si="15"/>
        <v/>
      </c>
      <c r="AO43" s="144"/>
      <c r="AP43" s="108"/>
      <c r="AQ43" s="98"/>
      <c r="AR43" s="98"/>
      <c r="AS43" s="98"/>
      <c r="AT43" s="145"/>
      <c r="AU43" s="146"/>
      <c r="AV43" s="147"/>
      <c r="AW43" s="148"/>
      <c r="AX43" s="143"/>
      <c r="AY43" s="234"/>
      <c r="AZ43" s="21"/>
      <c r="BA43" s="108"/>
      <c r="BB43" s="98"/>
      <c r="BC43" s="98"/>
      <c r="BD43" s="98"/>
      <c r="BE43" s="145"/>
      <c r="BF43" s="146"/>
      <c r="BG43" s="147"/>
      <c r="BH43" s="148"/>
      <c r="BI43" s="143"/>
      <c r="BJ43" s="144"/>
      <c r="BK43" s="21"/>
      <c r="BL43" s="208"/>
      <c r="BM43" s="209"/>
      <c r="BN43" s="98"/>
      <c r="BO43" s="98"/>
      <c r="BP43" s="145"/>
      <c r="BQ43" s="146"/>
      <c r="BR43" s="147"/>
      <c r="BS43" s="148"/>
      <c r="BT43" s="143"/>
      <c r="BU43" s="144"/>
      <c r="BV43" s="21"/>
      <c r="BW43" s="208"/>
      <c r="BX43" s="209"/>
      <c r="BY43" s="98" t="str">
        <f t="shared" si="21"/>
        <v/>
      </c>
      <c r="BZ43" s="98"/>
      <c r="CA43" s="145"/>
      <c r="CB43" s="146"/>
      <c r="CC43" s="147" t="str">
        <f t="shared" si="10"/>
        <v/>
      </c>
      <c r="CD43" s="148"/>
      <c r="CE43" s="143" t="str">
        <f t="shared" si="11"/>
        <v/>
      </c>
      <c r="CF43" s="144"/>
      <c r="CG43" s="21"/>
      <c r="CH43" s="21"/>
      <c r="CI43" s="21"/>
      <c r="CJ43" s="21"/>
      <c r="CK43" s="21"/>
      <c r="CL43" s="21"/>
      <c r="CM43" s="21"/>
      <c r="CN43" s="21"/>
      <c r="CO43" s="21"/>
      <c r="CP43" s="21"/>
    </row>
    <row r="44" spans="1:94" ht="20" customHeight="1" x14ac:dyDescent="0.2">
      <c r="B44" s="45"/>
      <c r="C44" s="59"/>
      <c r="D44" s="22" t="s">
        <v>85</v>
      </c>
      <c r="E44" s="21" t="s">
        <v>568</v>
      </c>
      <c r="F44" s="21" t="s">
        <v>569</v>
      </c>
      <c r="G44" s="22">
        <v>2010</v>
      </c>
      <c r="I44" s="65">
        <v>15</v>
      </c>
      <c r="J44" s="61" t="s">
        <v>184</v>
      </c>
      <c r="K44" s="62" t="s">
        <v>168</v>
      </c>
      <c r="L44" s="98">
        <v>39.799999999999997</v>
      </c>
      <c r="M44" s="98">
        <v>33.299999999999997</v>
      </c>
      <c r="N44" s="98">
        <f t="shared" si="17"/>
        <v>-6.5</v>
      </c>
      <c r="O44" s="98">
        <f t="shared" si="12"/>
        <v>-16.331658291457288</v>
      </c>
      <c r="P44" s="145">
        <v>21.9</v>
      </c>
      <c r="Q44" s="145">
        <v>28.9</v>
      </c>
      <c r="R44" s="146">
        <f t="shared" si="18"/>
        <v>7</v>
      </c>
      <c r="S44" s="150">
        <f t="shared" si="13"/>
        <v>31.963470319634723</v>
      </c>
      <c r="T44" s="143">
        <f t="shared" si="19"/>
        <v>-13.5</v>
      </c>
      <c r="U44" s="144"/>
      <c r="V44" s="98">
        <v>370.7</v>
      </c>
      <c r="W44" s="98">
        <v>385</v>
      </c>
      <c r="X44" s="98">
        <f t="shared" si="14"/>
        <v>14.300000000000011</v>
      </c>
      <c r="Y44" s="98">
        <f t="shared" si="3"/>
        <v>3.857566765578639</v>
      </c>
      <c r="Z44" s="145">
        <v>91.7</v>
      </c>
      <c r="AA44" s="145">
        <v>401.9</v>
      </c>
      <c r="AB44" s="146">
        <f t="shared" si="4"/>
        <v>310.2</v>
      </c>
      <c r="AC44" s="149">
        <f t="shared" si="5"/>
        <v>338.27699018538715</v>
      </c>
      <c r="AD44" s="143">
        <f t="shared" si="6"/>
        <v>-295.89999999999998</v>
      </c>
      <c r="AE44" s="144"/>
      <c r="AF44" s="108">
        <v>29.7</v>
      </c>
      <c r="AG44" s="98">
        <v>28.5</v>
      </c>
      <c r="AH44" s="98">
        <f t="shared" si="20"/>
        <v>-1.1999999999999993</v>
      </c>
      <c r="AI44" s="98"/>
      <c r="AJ44" s="145">
        <v>24.1</v>
      </c>
      <c r="AK44" s="146">
        <v>23.8</v>
      </c>
      <c r="AL44" s="147">
        <f t="shared" si="8"/>
        <v>-0.30000000000000071</v>
      </c>
      <c r="AM44" s="148"/>
      <c r="AN44" s="143">
        <f t="shared" si="15"/>
        <v>-0.89999999999999858</v>
      </c>
      <c r="AO44" s="144"/>
      <c r="AP44" s="108">
        <v>76</v>
      </c>
      <c r="AQ44" s="98">
        <v>70.400000000000006</v>
      </c>
      <c r="AR44" s="98">
        <f t="shared" ref="AR44" si="23">AP44-AQ44</f>
        <v>5.5999999999999943</v>
      </c>
      <c r="AS44" s="98"/>
      <c r="AT44" s="145">
        <v>47.6</v>
      </c>
      <c r="AU44" s="146">
        <v>44.4</v>
      </c>
      <c r="AV44" s="147">
        <f t="shared" ref="AV44" si="24">AT44-AU44</f>
        <v>3.2000000000000028</v>
      </c>
      <c r="AW44" s="148"/>
      <c r="AX44" s="143">
        <f>AR44-AV44</f>
        <v>2.3999999999999915</v>
      </c>
      <c r="AY44" s="234"/>
      <c r="AZ44" s="21"/>
      <c r="BA44" s="108"/>
      <c r="BB44" s="98"/>
      <c r="BC44" s="98"/>
      <c r="BD44" s="98"/>
      <c r="BE44" s="145"/>
      <c r="BF44" s="146"/>
      <c r="BG44" s="147"/>
      <c r="BH44" s="148"/>
      <c r="BI44" s="143"/>
      <c r="BJ44" s="144"/>
      <c r="BK44" s="21"/>
      <c r="BL44" s="208"/>
      <c r="BM44" s="209"/>
      <c r="BN44" s="98"/>
      <c r="BO44" s="98"/>
      <c r="BP44" s="145"/>
      <c r="BQ44" s="146"/>
      <c r="BR44" s="147"/>
      <c r="BS44" s="148"/>
      <c r="BT44" s="143"/>
      <c r="BU44" s="144"/>
      <c r="BV44" s="21"/>
      <c r="BW44" s="212">
        <v>74.7</v>
      </c>
      <c r="BX44" s="213">
        <v>78.099999999999994</v>
      </c>
      <c r="BY44" s="98">
        <f t="shared" si="21"/>
        <v>3.3999999999999915</v>
      </c>
      <c r="BZ44" s="98"/>
      <c r="CA44" s="145">
        <v>82.1</v>
      </c>
      <c r="CB44" s="146">
        <v>81.2</v>
      </c>
      <c r="CC44" s="147">
        <f t="shared" si="10"/>
        <v>-0.89999999999999147</v>
      </c>
      <c r="CD44" s="148"/>
      <c r="CE44" s="143">
        <f t="shared" si="11"/>
        <v>4.2999999999999829</v>
      </c>
      <c r="CF44" s="144"/>
      <c r="CG44" s="20" t="s">
        <v>576</v>
      </c>
      <c r="CH44" s="21"/>
      <c r="CI44" s="21"/>
      <c r="CJ44" s="21"/>
      <c r="CK44" s="21"/>
      <c r="CL44" s="21"/>
      <c r="CM44" s="21"/>
      <c r="CN44" s="21"/>
      <c r="CO44" s="21"/>
      <c r="CP44" s="21"/>
    </row>
    <row r="45" spans="1:94" ht="20" customHeight="1" x14ac:dyDescent="0.2">
      <c r="B45" s="45"/>
      <c r="C45" s="58"/>
      <c r="D45" s="22" t="s">
        <v>85</v>
      </c>
      <c r="E45" s="21" t="s">
        <v>133</v>
      </c>
      <c r="F45" s="21" t="s">
        <v>134</v>
      </c>
      <c r="G45" s="22">
        <v>2001</v>
      </c>
      <c r="H45" s="22">
        <v>192</v>
      </c>
      <c r="I45" s="65">
        <v>19</v>
      </c>
      <c r="J45" s="61" t="s">
        <v>175</v>
      </c>
      <c r="K45" s="83" t="s">
        <v>168</v>
      </c>
      <c r="L45" s="98"/>
      <c r="M45" s="98"/>
      <c r="N45" s="98" t="str">
        <f t="shared" si="17"/>
        <v/>
      </c>
      <c r="O45" s="98" t="str">
        <f t="shared" si="12"/>
        <v/>
      </c>
      <c r="P45" s="145"/>
      <c r="Q45" s="145"/>
      <c r="R45" s="146" t="str">
        <f t="shared" si="18"/>
        <v/>
      </c>
      <c r="S45" s="150" t="str">
        <f t="shared" si="13"/>
        <v/>
      </c>
      <c r="T45" s="143" t="str">
        <f t="shared" si="19"/>
        <v/>
      </c>
      <c r="U45" s="144"/>
      <c r="V45" s="98"/>
      <c r="W45" s="98"/>
      <c r="X45" s="98" t="str">
        <f t="shared" si="14"/>
        <v/>
      </c>
      <c r="Y45" s="98" t="str">
        <f t="shared" si="3"/>
        <v/>
      </c>
      <c r="Z45" s="145"/>
      <c r="AA45" s="145"/>
      <c r="AB45" s="146" t="str">
        <f t="shared" si="4"/>
        <v/>
      </c>
      <c r="AC45" s="149" t="str">
        <f t="shared" si="5"/>
        <v/>
      </c>
      <c r="AD45" s="143" t="str">
        <f t="shared" si="6"/>
        <v/>
      </c>
      <c r="AE45" s="144"/>
      <c r="AF45" s="108"/>
      <c r="AG45" s="98"/>
      <c r="AH45" s="98" t="str">
        <f t="shared" si="20"/>
        <v/>
      </c>
      <c r="AI45" s="98"/>
      <c r="AJ45" s="145"/>
      <c r="AK45" s="146"/>
      <c r="AL45" s="147" t="str">
        <f t="shared" si="8"/>
        <v/>
      </c>
      <c r="AM45" s="148"/>
      <c r="AN45" s="143" t="str">
        <f t="shared" si="15"/>
        <v/>
      </c>
      <c r="AO45" s="144"/>
      <c r="AP45" s="108"/>
      <c r="AQ45" s="98"/>
      <c r="AR45" s="98"/>
      <c r="AS45" s="98"/>
      <c r="AT45" s="145"/>
      <c r="AU45" s="146"/>
      <c r="AV45" s="147"/>
      <c r="AW45" s="148"/>
      <c r="AX45" s="143"/>
      <c r="AY45" s="234"/>
      <c r="AZ45" s="21"/>
      <c r="BA45" s="108"/>
      <c r="BB45" s="98"/>
      <c r="BC45" s="98"/>
      <c r="BD45" s="98"/>
      <c r="BE45" s="145"/>
      <c r="BF45" s="146"/>
      <c r="BG45" s="147"/>
      <c r="BH45" s="148"/>
      <c r="BI45" s="143"/>
      <c r="BJ45" s="144"/>
      <c r="BK45" s="21"/>
      <c r="BL45" s="208" t="s">
        <v>577</v>
      </c>
      <c r="BM45" s="209" t="s">
        <v>578</v>
      </c>
      <c r="BN45" s="98" t="str">
        <f>"-"&amp;23</f>
        <v>-23</v>
      </c>
      <c r="BO45" s="98"/>
      <c r="BP45" s="210" t="s">
        <v>579</v>
      </c>
      <c r="BQ45" s="211" t="s">
        <v>580</v>
      </c>
      <c r="BR45" s="147" t="str">
        <f>"-"&amp;33</f>
        <v>-33</v>
      </c>
      <c r="BS45" s="148"/>
      <c r="BT45" s="143"/>
      <c r="BU45" s="144"/>
      <c r="BV45" s="21"/>
      <c r="BW45" s="208"/>
      <c r="BX45" s="209"/>
      <c r="BY45" s="98" t="str">
        <f t="shared" si="21"/>
        <v/>
      </c>
      <c r="BZ45" s="98"/>
      <c r="CA45" s="145"/>
      <c r="CB45" s="146"/>
      <c r="CC45" s="147" t="str">
        <f t="shared" si="10"/>
        <v/>
      </c>
      <c r="CD45" s="148"/>
      <c r="CE45" s="143" t="str">
        <f t="shared" si="11"/>
        <v/>
      </c>
      <c r="CF45" s="144"/>
      <c r="CG45" s="21"/>
      <c r="CH45" s="21"/>
      <c r="CI45" s="21"/>
      <c r="CJ45" s="21"/>
      <c r="CK45" s="21"/>
      <c r="CL45" s="21"/>
      <c r="CM45" s="21"/>
      <c r="CN45" s="21"/>
      <c r="CO45" s="21"/>
      <c r="CP45" s="21"/>
    </row>
    <row r="46" spans="1:94" ht="20" customHeight="1" x14ac:dyDescent="0.2">
      <c r="A46" s="702"/>
      <c r="B46" s="46"/>
      <c r="C46" s="22"/>
      <c r="D46" s="696" t="s">
        <v>85</v>
      </c>
      <c r="E46" s="697" t="s">
        <v>685</v>
      </c>
      <c r="F46" s="697" t="s">
        <v>686</v>
      </c>
      <c r="G46" s="698">
        <v>2003</v>
      </c>
      <c r="H46" s="699"/>
      <c r="I46" s="65"/>
      <c r="J46" s="61" t="s">
        <v>175</v>
      </c>
      <c r="K46" s="62" t="s">
        <v>168</v>
      </c>
      <c r="L46" s="98"/>
      <c r="M46" s="98"/>
      <c r="N46" s="98"/>
      <c r="O46" s="98"/>
      <c r="P46" s="145"/>
      <c r="Q46" s="145"/>
      <c r="R46" s="146"/>
      <c r="S46" s="150"/>
      <c r="T46" s="143"/>
      <c r="U46" s="144"/>
      <c r="V46" s="98"/>
      <c r="W46" s="98"/>
      <c r="X46" s="98"/>
      <c r="Y46" s="98"/>
      <c r="Z46" s="145"/>
      <c r="AA46" s="145"/>
      <c r="AB46" s="146"/>
      <c r="AC46" s="149"/>
      <c r="AD46" s="143"/>
      <c r="AE46" s="144"/>
      <c r="AF46" s="108"/>
      <c r="AG46" s="98"/>
      <c r="AH46" s="98"/>
      <c r="AI46" s="98"/>
      <c r="AJ46" s="145"/>
      <c r="AK46" s="146"/>
      <c r="AL46" s="147"/>
      <c r="AM46" s="148"/>
      <c r="AN46" s="143"/>
      <c r="AO46" s="144"/>
      <c r="AP46" s="108"/>
      <c r="AQ46" s="98"/>
      <c r="AR46" s="98"/>
      <c r="AS46" s="98"/>
      <c r="AT46" s="145"/>
      <c r="AU46" s="146"/>
      <c r="AV46" s="147"/>
      <c r="AW46" s="148"/>
      <c r="AX46" s="143"/>
      <c r="AY46" s="234"/>
      <c r="AZ46" s="21"/>
      <c r="BA46" s="108"/>
      <c r="BB46" s="98"/>
      <c r="BC46" s="98"/>
      <c r="BD46" s="98"/>
      <c r="BE46" s="145"/>
      <c r="BF46" s="146"/>
      <c r="BG46" s="147"/>
      <c r="BH46" s="148"/>
      <c r="BI46" s="143"/>
      <c r="BJ46" s="144"/>
      <c r="BK46" s="21"/>
      <c r="BL46" s="208"/>
      <c r="BM46" s="209"/>
      <c r="BN46" s="98"/>
      <c r="BO46" s="98"/>
      <c r="BP46" s="210"/>
      <c r="BQ46" s="211"/>
      <c r="BR46" s="147"/>
      <c r="BS46" s="148"/>
      <c r="BT46" s="143"/>
      <c r="BU46" s="144"/>
      <c r="BV46" s="21"/>
      <c r="BW46" s="208"/>
      <c r="BX46" s="209"/>
      <c r="BY46" s="98"/>
      <c r="BZ46" s="98"/>
      <c r="CA46" s="145"/>
      <c r="CB46" s="146"/>
      <c r="CC46" s="147"/>
      <c r="CD46" s="148"/>
      <c r="CE46" s="143"/>
      <c r="CF46" s="144"/>
      <c r="CG46" s="21"/>
      <c r="CH46" s="21"/>
      <c r="CI46" s="21"/>
      <c r="CJ46" s="21"/>
      <c r="CK46" s="21"/>
      <c r="CL46" s="21"/>
      <c r="CM46" s="21"/>
      <c r="CN46" s="21"/>
      <c r="CO46" s="21"/>
      <c r="CP46" s="21"/>
    </row>
    <row r="47" spans="1:94" ht="20" customHeight="1" x14ac:dyDescent="0.2">
      <c r="B47" s="45"/>
      <c r="C47" s="58"/>
      <c r="D47" s="22" t="s">
        <v>85</v>
      </c>
      <c r="E47" s="21" t="s">
        <v>135</v>
      </c>
      <c r="F47" s="21" t="s">
        <v>136</v>
      </c>
      <c r="G47" s="22">
        <v>2007</v>
      </c>
      <c r="H47" s="22">
        <v>240</v>
      </c>
      <c r="I47" s="65">
        <v>53</v>
      </c>
      <c r="J47" s="61" t="s">
        <v>220</v>
      </c>
      <c r="K47" s="83" t="s">
        <v>168</v>
      </c>
      <c r="L47" s="98">
        <v>53</v>
      </c>
      <c r="M47" s="98">
        <v>31.7</v>
      </c>
      <c r="N47" s="98">
        <f t="shared" si="17"/>
        <v>-21.3</v>
      </c>
      <c r="O47" s="98">
        <f t="shared" si="12"/>
        <v>-40.188679245283019</v>
      </c>
      <c r="P47" s="145">
        <v>47.3</v>
      </c>
      <c r="Q47" s="145">
        <v>50.4</v>
      </c>
      <c r="R47" s="146">
        <f t="shared" si="18"/>
        <v>3.1000000000000014</v>
      </c>
      <c r="S47" s="150">
        <f t="shared" si="13"/>
        <v>6.5539112050740016</v>
      </c>
      <c r="T47" s="143">
        <f t="shared" si="19"/>
        <v>-24.400000000000002</v>
      </c>
      <c r="U47" s="144"/>
      <c r="V47" s="98">
        <v>518.9</v>
      </c>
      <c r="W47" s="98">
        <v>538.70000000000005</v>
      </c>
      <c r="X47" s="98">
        <f t="shared" si="14"/>
        <v>19.800000000000068</v>
      </c>
      <c r="Y47" s="98">
        <f t="shared" si="3"/>
        <v>3.8157641164001035</v>
      </c>
      <c r="Z47" s="145">
        <v>533.79999999999995</v>
      </c>
      <c r="AA47" s="145">
        <v>520.20000000000005</v>
      </c>
      <c r="AB47" s="146">
        <f t="shared" si="4"/>
        <v>-13.599999999999909</v>
      </c>
      <c r="AC47" s="149">
        <f t="shared" si="5"/>
        <v>-2.5477707006369315</v>
      </c>
      <c r="AD47" s="143">
        <f t="shared" si="6"/>
        <v>33.399999999999977</v>
      </c>
      <c r="AE47" s="144"/>
      <c r="AF47" s="108"/>
      <c r="AG47" s="98"/>
      <c r="AH47" s="98" t="str">
        <f t="shared" si="20"/>
        <v/>
      </c>
      <c r="AI47" s="98"/>
      <c r="AJ47" s="145"/>
      <c r="AK47" s="146"/>
      <c r="AL47" s="147" t="str">
        <f t="shared" si="8"/>
        <v/>
      </c>
      <c r="AM47" s="148"/>
      <c r="AN47" s="143" t="str">
        <f t="shared" si="15"/>
        <v/>
      </c>
      <c r="AO47" s="144"/>
      <c r="AP47" s="108"/>
      <c r="AQ47" s="98"/>
      <c r="AR47" s="98"/>
      <c r="AS47" s="98"/>
      <c r="AT47" s="145"/>
      <c r="AU47" s="146"/>
      <c r="AV47" s="147"/>
      <c r="AW47" s="148"/>
      <c r="AX47" s="143"/>
      <c r="AY47" s="234"/>
      <c r="AZ47" s="21"/>
      <c r="BA47" s="108"/>
      <c r="BB47" s="98"/>
      <c r="BC47" s="98"/>
      <c r="BD47" s="98"/>
      <c r="BE47" s="145"/>
      <c r="BF47" s="146"/>
      <c r="BG47" s="147"/>
      <c r="BH47" s="148"/>
      <c r="BI47" s="143"/>
      <c r="BJ47" s="144"/>
      <c r="BK47" s="21"/>
      <c r="BL47" s="208" t="s">
        <v>582</v>
      </c>
      <c r="BM47" s="209" t="s">
        <v>583</v>
      </c>
      <c r="BN47" s="98">
        <v>-44</v>
      </c>
      <c r="BO47" s="98"/>
      <c r="BP47" s="210" t="s">
        <v>584</v>
      </c>
      <c r="BQ47" s="211" t="s">
        <v>585</v>
      </c>
      <c r="BR47" s="147">
        <v>13</v>
      </c>
      <c r="BS47" s="148"/>
      <c r="BT47" s="143"/>
      <c r="BU47" s="144"/>
      <c r="BV47" s="21"/>
      <c r="BW47" s="212">
        <v>80.099999999999994</v>
      </c>
      <c r="BX47" s="213">
        <v>82.7</v>
      </c>
      <c r="BY47" s="98">
        <f t="shared" si="21"/>
        <v>2.6000000000000085</v>
      </c>
      <c r="BZ47" s="98"/>
      <c r="CA47" s="145">
        <v>82.4</v>
      </c>
      <c r="CB47" s="146">
        <v>80.3</v>
      </c>
      <c r="CC47" s="147">
        <f t="shared" si="10"/>
        <v>-2.1000000000000085</v>
      </c>
      <c r="CD47" s="148"/>
      <c r="CE47" s="143">
        <f t="shared" si="11"/>
        <v>4.7000000000000171</v>
      </c>
      <c r="CF47" s="144"/>
      <c r="CG47" s="21"/>
      <c r="CH47" s="21"/>
      <c r="CI47" s="21"/>
      <c r="CJ47" s="21"/>
      <c r="CK47" s="21"/>
      <c r="CL47" s="21"/>
      <c r="CM47" s="21"/>
      <c r="CN47" s="21"/>
      <c r="CO47" s="21"/>
      <c r="CP47" s="21"/>
    </row>
    <row r="48" spans="1:94" ht="20" customHeight="1" x14ac:dyDescent="0.2">
      <c r="B48" s="45"/>
      <c r="C48" s="58"/>
      <c r="D48" s="22" t="s">
        <v>85</v>
      </c>
      <c r="E48" s="21" t="s">
        <v>310</v>
      </c>
      <c r="F48" s="21" t="s">
        <v>311</v>
      </c>
      <c r="G48" s="22">
        <v>2010</v>
      </c>
      <c r="I48" s="65">
        <v>53</v>
      </c>
      <c r="J48" s="78" t="s">
        <v>366</v>
      </c>
      <c r="K48" s="83" t="s">
        <v>405</v>
      </c>
      <c r="L48" s="98"/>
      <c r="M48" s="98"/>
      <c r="N48" s="98" t="str">
        <f t="shared" si="17"/>
        <v/>
      </c>
      <c r="O48" s="98" t="str">
        <f t="shared" si="12"/>
        <v/>
      </c>
      <c r="P48" s="145"/>
      <c r="Q48" s="145"/>
      <c r="R48" s="146" t="str">
        <f t="shared" si="18"/>
        <v/>
      </c>
      <c r="S48" s="150" t="str">
        <f t="shared" si="13"/>
        <v/>
      </c>
      <c r="T48" s="143" t="str">
        <f t="shared" si="19"/>
        <v/>
      </c>
      <c r="U48" s="144"/>
      <c r="V48" s="98"/>
      <c r="W48" s="98"/>
      <c r="X48" s="98" t="str">
        <f t="shared" si="14"/>
        <v/>
      </c>
      <c r="Y48" s="98" t="str">
        <f t="shared" si="3"/>
        <v/>
      </c>
      <c r="Z48" s="145"/>
      <c r="AA48" s="145"/>
      <c r="AB48" s="146" t="str">
        <f t="shared" si="4"/>
        <v/>
      </c>
      <c r="AC48" s="149" t="str">
        <f t="shared" si="5"/>
        <v/>
      </c>
      <c r="AD48" s="143" t="str">
        <f t="shared" si="6"/>
        <v/>
      </c>
      <c r="AE48" s="144"/>
      <c r="AF48" s="108"/>
      <c r="AG48" s="98"/>
      <c r="AH48" s="98" t="str">
        <f t="shared" si="20"/>
        <v/>
      </c>
      <c r="AI48" s="98"/>
      <c r="AJ48" s="145"/>
      <c r="AK48" s="146"/>
      <c r="AL48" s="147" t="str">
        <f t="shared" si="8"/>
        <v/>
      </c>
      <c r="AM48" s="148"/>
      <c r="AN48" s="143" t="str">
        <f t="shared" si="15"/>
        <v/>
      </c>
      <c r="AO48" s="144"/>
      <c r="AP48" s="108"/>
      <c r="AQ48" s="98"/>
      <c r="AR48" s="98"/>
      <c r="AS48" s="98"/>
      <c r="AT48" s="145"/>
      <c r="AU48" s="146"/>
      <c r="AV48" s="147"/>
      <c r="AW48" s="148"/>
      <c r="AX48" s="143"/>
      <c r="AY48" s="234"/>
      <c r="AZ48" s="21"/>
      <c r="BA48" s="108"/>
      <c r="BB48" s="98"/>
      <c r="BC48" s="98"/>
      <c r="BD48" s="98"/>
      <c r="BE48" s="145"/>
      <c r="BF48" s="146"/>
      <c r="BG48" s="147"/>
      <c r="BH48" s="148"/>
      <c r="BI48" s="143"/>
      <c r="BJ48" s="144"/>
      <c r="BK48" s="21"/>
      <c r="BL48" s="208"/>
      <c r="BM48" s="209"/>
      <c r="BN48" s="98"/>
      <c r="BO48" s="98"/>
      <c r="BP48" s="145"/>
      <c r="BQ48" s="146"/>
      <c r="BR48" s="147"/>
      <c r="BS48" s="148"/>
      <c r="BT48" s="143"/>
      <c r="BU48" s="144"/>
      <c r="BV48" s="21"/>
      <c r="BW48" s="208"/>
      <c r="BX48" s="209"/>
      <c r="BY48" s="98" t="str">
        <f t="shared" si="21"/>
        <v/>
      </c>
      <c r="BZ48" s="98"/>
      <c r="CA48" s="145"/>
      <c r="CB48" s="146"/>
      <c r="CC48" s="147" t="str">
        <f t="shared" si="10"/>
        <v/>
      </c>
      <c r="CD48" s="148"/>
      <c r="CE48" s="143" t="str">
        <f t="shared" si="11"/>
        <v/>
      </c>
      <c r="CF48" s="144"/>
      <c r="CG48" s="21"/>
      <c r="CH48" s="21"/>
      <c r="CI48" s="21"/>
      <c r="CJ48" s="21"/>
      <c r="CK48" s="21"/>
      <c r="CL48" s="21"/>
      <c r="CM48" s="21"/>
      <c r="CN48" s="21"/>
      <c r="CO48" s="21"/>
      <c r="CP48" s="21"/>
    </row>
    <row r="49" spans="2:95" ht="20" customHeight="1" x14ac:dyDescent="0.2">
      <c r="B49" s="45"/>
      <c r="C49" s="58"/>
      <c r="D49" s="22" t="s">
        <v>85</v>
      </c>
      <c r="E49" s="21" t="s">
        <v>314</v>
      </c>
      <c r="F49" s="21" t="s">
        <v>315</v>
      </c>
      <c r="G49" s="22">
        <v>2010</v>
      </c>
      <c r="I49" s="65">
        <v>789</v>
      </c>
      <c r="J49" s="61" t="s">
        <v>210</v>
      </c>
      <c r="K49" s="83" t="s">
        <v>370</v>
      </c>
      <c r="L49" s="98"/>
      <c r="M49" s="98"/>
      <c r="N49" s="98" t="str">
        <f t="shared" si="17"/>
        <v/>
      </c>
      <c r="O49" s="98" t="str">
        <f t="shared" si="12"/>
        <v/>
      </c>
      <c r="P49" s="145"/>
      <c r="Q49" s="145"/>
      <c r="R49" s="146" t="str">
        <f t="shared" si="18"/>
        <v/>
      </c>
      <c r="S49" s="150" t="str">
        <f t="shared" si="13"/>
        <v/>
      </c>
      <c r="T49" s="143" t="str">
        <f t="shared" si="19"/>
        <v/>
      </c>
      <c r="U49" s="144"/>
      <c r="V49" s="98"/>
      <c r="W49" s="98"/>
      <c r="X49" s="98" t="str">
        <f t="shared" si="14"/>
        <v/>
      </c>
      <c r="Y49" s="98" t="str">
        <f t="shared" si="3"/>
        <v/>
      </c>
      <c r="Z49" s="145"/>
      <c r="AA49" s="145"/>
      <c r="AB49" s="146" t="str">
        <f t="shared" si="4"/>
        <v/>
      </c>
      <c r="AC49" s="149" t="str">
        <f t="shared" si="5"/>
        <v/>
      </c>
      <c r="AD49" s="143" t="str">
        <f t="shared" si="6"/>
        <v/>
      </c>
      <c r="AE49" s="144"/>
      <c r="AF49" s="108"/>
      <c r="AG49" s="98"/>
      <c r="AH49" s="98" t="str">
        <f t="shared" si="20"/>
        <v/>
      </c>
      <c r="AI49" s="98"/>
      <c r="AJ49" s="145"/>
      <c r="AK49" s="146"/>
      <c r="AL49" s="147" t="str">
        <f t="shared" si="8"/>
        <v/>
      </c>
      <c r="AM49" s="148"/>
      <c r="AN49" s="143" t="str">
        <f t="shared" si="15"/>
        <v/>
      </c>
      <c r="AO49" s="144"/>
      <c r="AP49" s="108"/>
      <c r="AQ49" s="98"/>
      <c r="AR49" s="98"/>
      <c r="AS49" s="98"/>
      <c r="AT49" s="145"/>
      <c r="AU49" s="146"/>
      <c r="AV49" s="147"/>
      <c r="AW49" s="148"/>
      <c r="AX49" s="143"/>
      <c r="AY49" s="234"/>
      <c r="AZ49" s="21"/>
      <c r="BA49" s="108"/>
      <c r="BB49" s="98"/>
      <c r="BC49" s="98"/>
      <c r="BD49" s="98"/>
      <c r="BE49" s="145"/>
      <c r="BF49" s="146"/>
      <c r="BG49" s="147"/>
      <c r="BH49" s="148"/>
      <c r="BI49" s="143"/>
      <c r="BJ49" s="144"/>
      <c r="BK49" s="21"/>
      <c r="BL49" s="208"/>
      <c r="BM49" s="209"/>
      <c r="BN49" s="98"/>
      <c r="BO49" s="98"/>
      <c r="BP49" s="145"/>
      <c r="BQ49" s="146"/>
      <c r="BR49" s="147"/>
      <c r="BS49" s="148"/>
      <c r="BT49" s="143"/>
      <c r="BU49" s="144"/>
      <c r="BV49" s="21"/>
      <c r="BW49" s="208"/>
      <c r="BX49" s="209"/>
      <c r="BY49" s="98" t="str">
        <f t="shared" si="21"/>
        <v/>
      </c>
      <c r="BZ49" s="98"/>
      <c r="CA49" s="145"/>
      <c r="CB49" s="146"/>
      <c r="CC49" s="147" t="str">
        <f t="shared" si="10"/>
        <v/>
      </c>
      <c r="CD49" s="148"/>
      <c r="CE49" s="143" t="str">
        <f t="shared" si="11"/>
        <v/>
      </c>
      <c r="CF49" s="144"/>
      <c r="CG49" s="21"/>
      <c r="CH49" s="21"/>
      <c r="CI49" s="21"/>
      <c r="CJ49" s="21"/>
      <c r="CK49" s="21"/>
      <c r="CL49" s="21"/>
      <c r="CM49" s="21"/>
      <c r="CN49" s="21"/>
      <c r="CO49" s="21"/>
      <c r="CP49" s="21"/>
    </row>
    <row r="50" spans="2:95" ht="20" customHeight="1" x14ac:dyDescent="0.2">
      <c r="B50" s="45"/>
      <c r="C50" s="59"/>
      <c r="D50" s="22" t="s">
        <v>85</v>
      </c>
      <c r="E50" s="21" t="s">
        <v>143</v>
      </c>
      <c r="F50" s="21" t="s">
        <v>144</v>
      </c>
      <c r="G50" s="22">
        <v>2008</v>
      </c>
      <c r="H50" s="22">
        <v>156</v>
      </c>
      <c r="I50" s="65">
        <v>50</v>
      </c>
      <c r="J50" s="61" t="s">
        <v>175</v>
      </c>
      <c r="K50" s="83" t="s">
        <v>587</v>
      </c>
      <c r="L50" s="98">
        <v>76.59</v>
      </c>
      <c r="M50" s="98">
        <v>42.53</v>
      </c>
      <c r="N50" s="98">
        <f t="shared" si="17"/>
        <v>-34.06</v>
      </c>
      <c r="O50" s="98">
        <f t="shared" si="12"/>
        <v>-44.470557514035782</v>
      </c>
      <c r="P50" s="145">
        <v>76.59</v>
      </c>
      <c r="Q50" s="145">
        <v>66.790000000000006</v>
      </c>
      <c r="R50" s="146">
        <f t="shared" si="18"/>
        <v>-9.7999999999999972</v>
      </c>
      <c r="S50" s="150">
        <f t="shared" si="13"/>
        <v>-12.79540409975192</v>
      </c>
      <c r="T50" s="143">
        <f t="shared" si="19"/>
        <v>-24.260000000000005</v>
      </c>
      <c r="U50" s="144"/>
      <c r="V50" s="98">
        <v>449.27</v>
      </c>
      <c r="W50" s="98">
        <v>466.84</v>
      </c>
      <c r="X50" s="98">
        <f t="shared" si="14"/>
        <v>17.569999999999993</v>
      </c>
      <c r="Y50" s="98">
        <f t="shared" si="3"/>
        <v>3.9107886126382709</v>
      </c>
      <c r="Z50" s="145">
        <v>449.27</v>
      </c>
      <c r="AA50" s="145">
        <v>443.12</v>
      </c>
      <c r="AB50" s="146">
        <f t="shared" si="4"/>
        <v>-6.1499999999999773</v>
      </c>
      <c r="AC50" s="149">
        <f t="shared" si="5"/>
        <v>-1.3688873060742992</v>
      </c>
      <c r="AD50" s="143">
        <f t="shared" si="6"/>
        <v>23.71999999999997</v>
      </c>
      <c r="AE50" s="144"/>
      <c r="AF50" s="108">
        <v>12.08</v>
      </c>
      <c r="AG50" s="98">
        <v>11.83</v>
      </c>
      <c r="AH50" s="98">
        <f t="shared" si="20"/>
        <v>-0.25</v>
      </c>
      <c r="AI50" s="98"/>
      <c r="AJ50" s="145">
        <v>12.08</v>
      </c>
      <c r="AK50" s="146">
        <v>11.38</v>
      </c>
      <c r="AL50" s="147">
        <f t="shared" si="8"/>
        <v>-0.69999999999999929</v>
      </c>
      <c r="AM50" s="148"/>
      <c r="AN50" s="143">
        <f t="shared" si="15"/>
        <v>0.44999999999999929</v>
      </c>
      <c r="AO50" s="144"/>
      <c r="AP50" s="108"/>
      <c r="AQ50" s="98"/>
      <c r="AR50" s="98"/>
      <c r="AS50" s="98"/>
      <c r="AT50" s="145"/>
      <c r="AU50" s="146"/>
      <c r="AV50" s="147"/>
      <c r="AW50" s="148"/>
      <c r="AX50" s="143"/>
      <c r="AY50" s="234"/>
      <c r="AZ50" s="21"/>
      <c r="BA50" s="108"/>
      <c r="BB50" s="98"/>
      <c r="BC50" s="98"/>
      <c r="BD50" s="98"/>
      <c r="BE50" s="145"/>
      <c r="BF50" s="146"/>
      <c r="BG50" s="147"/>
      <c r="BH50" s="148"/>
      <c r="BI50" s="143"/>
      <c r="BJ50" s="144"/>
      <c r="BK50" s="21"/>
      <c r="BL50" s="208"/>
      <c r="BM50" s="209"/>
      <c r="BN50" s="98"/>
      <c r="BO50" s="98"/>
      <c r="BP50" s="145"/>
      <c r="BQ50" s="146"/>
      <c r="BR50" s="147"/>
      <c r="BS50" s="148"/>
      <c r="BT50" s="143"/>
      <c r="BU50" s="144"/>
      <c r="BV50" s="21"/>
      <c r="BW50" s="212">
        <v>86.04</v>
      </c>
      <c r="BX50" s="213">
        <v>85.16</v>
      </c>
      <c r="BY50" s="98">
        <f t="shared" si="21"/>
        <v>-0.88000000000000966</v>
      </c>
      <c r="BZ50" s="98"/>
      <c r="CA50" s="145">
        <v>86.04</v>
      </c>
      <c r="CB50" s="146">
        <v>84.77</v>
      </c>
      <c r="CC50" s="147">
        <f t="shared" si="10"/>
        <v>-1.2700000000000102</v>
      </c>
      <c r="CD50" s="148"/>
      <c r="CE50" s="143">
        <f t="shared" si="11"/>
        <v>0.39000000000000057</v>
      </c>
      <c r="CF50" s="144"/>
      <c r="CG50" s="21"/>
      <c r="CH50" s="21"/>
      <c r="CI50" s="21"/>
      <c r="CJ50" s="21"/>
      <c r="CK50" s="21"/>
      <c r="CL50" s="21"/>
      <c r="CM50" s="21"/>
      <c r="CN50" s="21"/>
      <c r="CO50" s="21"/>
      <c r="CP50" s="21"/>
    </row>
    <row r="51" spans="2:95" ht="20" customHeight="1" thickBot="1" x14ac:dyDescent="0.25">
      <c r="B51" s="45"/>
      <c r="C51" s="59"/>
      <c r="D51" s="22" t="s">
        <v>85</v>
      </c>
      <c r="E51" s="21" t="s">
        <v>318</v>
      </c>
      <c r="F51" s="21" t="s">
        <v>319</v>
      </c>
      <c r="G51" s="22">
        <v>2009</v>
      </c>
      <c r="I51" s="66">
        <v>12</v>
      </c>
      <c r="J51" s="63" t="s">
        <v>213</v>
      </c>
      <c r="K51" s="84" t="s">
        <v>191</v>
      </c>
      <c r="L51" s="188"/>
      <c r="M51" s="188">
        <v>25.3</v>
      </c>
      <c r="N51" s="98" t="str">
        <f t="shared" si="17"/>
        <v/>
      </c>
      <c r="O51" s="98" t="str">
        <f t="shared" si="12"/>
        <v/>
      </c>
      <c r="P51" s="189"/>
      <c r="Q51" s="189">
        <v>53.35</v>
      </c>
      <c r="R51" s="146" t="str">
        <f t="shared" si="18"/>
        <v/>
      </c>
      <c r="S51" s="150" t="str">
        <f t="shared" si="13"/>
        <v/>
      </c>
      <c r="T51" s="143" t="str">
        <f t="shared" si="19"/>
        <v/>
      </c>
      <c r="U51" s="194"/>
      <c r="V51" s="188"/>
      <c r="W51" s="98">
        <v>495</v>
      </c>
      <c r="X51" s="98" t="str">
        <f t="shared" si="14"/>
        <v/>
      </c>
      <c r="Y51" s="98" t="str">
        <f t="shared" si="3"/>
        <v/>
      </c>
      <c r="Z51" s="145"/>
      <c r="AA51" s="145">
        <v>474</v>
      </c>
      <c r="AB51" s="146" t="str">
        <f t="shared" si="4"/>
        <v/>
      </c>
      <c r="AC51" s="149" t="str">
        <f t="shared" si="5"/>
        <v/>
      </c>
      <c r="AD51" s="143" t="str">
        <f t="shared" si="6"/>
        <v/>
      </c>
      <c r="AE51" s="194"/>
      <c r="AF51" s="187"/>
      <c r="AG51" s="188">
        <v>1.99</v>
      </c>
      <c r="AH51" s="188" t="str">
        <f t="shared" si="20"/>
        <v/>
      </c>
      <c r="AI51" s="188"/>
      <c r="AJ51" s="189"/>
      <c r="AK51" s="190">
        <v>2.0699999999999998</v>
      </c>
      <c r="AL51" s="191" t="str">
        <f t="shared" si="8"/>
        <v/>
      </c>
      <c r="AM51" s="192"/>
      <c r="AN51" s="143" t="str">
        <f t="shared" si="15"/>
        <v/>
      </c>
      <c r="AO51" s="194"/>
      <c r="AP51" s="108"/>
      <c r="AQ51" s="98"/>
      <c r="AR51" s="98"/>
      <c r="AS51" s="98"/>
      <c r="AT51" s="145"/>
      <c r="AU51" s="146"/>
      <c r="AV51" s="147"/>
      <c r="AW51" s="148"/>
      <c r="AX51" s="143"/>
      <c r="AY51" s="234"/>
      <c r="AZ51" s="21"/>
      <c r="BA51" s="108"/>
      <c r="BB51" s="98"/>
      <c r="BC51" s="98"/>
      <c r="BD51" s="98"/>
      <c r="BE51" s="145"/>
      <c r="BF51" s="146"/>
      <c r="BG51" s="147"/>
      <c r="BH51" s="148"/>
      <c r="BI51" s="143"/>
      <c r="BJ51" s="144"/>
      <c r="BK51" s="21"/>
      <c r="BL51" s="208"/>
      <c r="BM51" s="209"/>
      <c r="BN51" s="98"/>
      <c r="BO51" s="98"/>
      <c r="BP51" s="145"/>
      <c r="BQ51" s="146"/>
      <c r="BR51" s="147"/>
      <c r="BS51" s="148"/>
      <c r="BT51" s="143"/>
      <c r="BU51" s="144"/>
      <c r="BV51" s="21"/>
      <c r="BW51" s="208"/>
      <c r="BX51" s="209"/>
      <c r="BY51" s="98" t="str">
        <f t="shared" si="21"/>
        <v/>
      </c>
      <c r="BZ51" s="98"/>
      <c r="CA51" s="145"/>
      <c r="CB51" s="146"/>
      <c r="CC51" s="147" t="str">
        <f t="shared" si="10"/>
        <v/>
      </c>
      <c r="CD51" s="148"/>
      <c r="CE51" s="143" t="str">
        <f t="shared" si="11"/>
        <v/>
      </c>
      <c r="CF51" s="144"/>
      <c r="CG51" s="21"/>
      <c r="CH51" s="21"/>
      <c r="CI51" s="21"/>
      <c r="CJ51" s="21"/>
      <c r="CK51" s="21"/>
      <c r="CL51" s="21"/>
      <c r="CM51" s="21"/>
      <c r="CN51" s="21"/>
      <c r="CO51" s="21"/>
      <c r="CP51" s="21"/>
    </row>
    <row r="52" spans="2:95" ht="22" customHeight="1" x14ac:dyDescent="0.2">
      <c r="F52" s="20"/>
      <c r="G52" s="20"/>
      <c r="H52" s="20"/>
      <c r="I52" s="20"/>
      <c r="J52" s="20"/>
      <c r="K52" s="20"/>
      <c r="L52" s="454" t="s">
        <v>494</v>
      </c>
      <c r="M52" s="443" t="s">
        <v>495</v>
      </c>
      <c r="N52" s="407" t="s">
        <v>540</v>
      </c>
      <c r="O52" s="407" t="s">
        <v>482</v>
      </c>
      <c r="P52" s="409" t="s">
        <v>494</v>
      </c>
      <c r="Q52" s="412" t="s">
        <v>495</v>
      </c>
      <c r="R52" s="414" t="s">
        <v>540</v>
      </c>
      <c r="S52" s="461" t="s">
        <v>482</v>
      </c>
      <c r="T52" s="418" t="s">
        <v>484</v>
      </c>
      <c r="U52" s="430" t="s">
        <v>238</v>
      </c>
      <c r="V52" s="454" t="s">
        <v>494</v>
      </c>
      <c r="W52" s="443" t="s">
        <v>495</v>
      </c>
      <c r="X52" s="407" t="s">
        <v>481</v>
      </c>
      <c r="Y52" s="407" t="s">
        <v>482</v>
      </c>
      <c r="Z52" s="409" t="s">
        <v>494</v>
      </c>
      <c r="AA52" s="412" t="s">
        <v>495</v>
      </c>
      <c r="AB52" s="414" t="s">
        <v>481</v>
      </c>
      <c r="AC52" s="461" t="s">
        <v>482</v>
      </c>
      <c r="AD52" s="418" t="s">
        <v>484</v>
      </c>
      <c r="AE52" s="430" t="s">
        <v>238</v>
      </c>
      <c r="AF52" s="454" t="s">
        <v>541</v>
      </c>
      <c r="AG52" s="443" t="s">
        <v>542</v>
      </c>
      <c r="AH52" s="407" t="s">
        <v>524</v>
      </c>
      <c r="AI52" s="407" t="s">
        <v>482</v>
      </c>
      <c r="AJ52" s="409" t="s">
        <v>541</v>
      </c>
      <c r="AK52" s="412" t="s">
        <v>542</v>
      </c>
      <c r="AL52" s="414" t="s">
        <v>524</v>
      </c>
      <c r="AM52" s="416" t="s">
        <v>482</v>
      </c>
      <c r="AN52" s="418" t="s">
        <v>237</v>
      </c>
      <c r="AO52" s="430" t="s">
        <v>238</v>
      </c>
      <c r="AP52" s="454" t="s">
        <v>543</v>
      </c>
      <c r="AQ52" s="443" t="s">
        <v>544</v>
      </c>
      <c r="AR52" s="407" t="s">
        <v>485</v>
      </c>
      <c r="AS52" s="407" t="s">
        <v>482</v>
      </c>
      <c r="AT52" s="409" t="s">
        <v>543</v>
      </c>
      <c r="AU52" s="412" t="s">
        <v>544</v>
      </c>
      <c r="AV52" s="414" t="s">
        <v>485</v>
      </c>
      <c r="AW52" s="416" t="s">
        <v>482</v>
      </c>
      <c r="AX52" s="418" t="s">
        <v>545</v>
      </c>
      <c r="AY52" s="421" t="s">
        <v>238</v>
      </c>
      <c r="AZ52" s="21"/>
      <c r="BA52" s="454" t="s">
        <v>543</v>
      </c>
      <c r="BB52" s="443" t="s">
        <v>544</v>
      </c>
      <c r="BC52" s="407" t="s">
        <v>485</v>
      </c>
      <c r="BD52" s="407" t="s">
        <v>482</v>
      </c>
      <c r="BE52" s="409" t="s">
        <v>543</v>
      </c>
      <c r="BF52" s="412" t="s">
        <v>544</v>
      </c>
      <c r="BG52" s="414" t="s">
        <v>485</v>
      </c>
      <c r="BH52" s="416" t="s">
        <v>482</v>
      </c>
      <c r="BI52" s="418" t="s">
        <v>545</v>
      </c>
      <c r="BJ52" s="430" t="s">
        <v>238</v>
      </c>
      <c r="BK52" s="21"/>
      <c r="BL52" s="450" t="s">
        <v>497</v>
      </c>
      <c r="BM52" s="443" t="s">
        <v>498</v>
      </c>
      <c r="BN52" s="407" t="s">
        <v>481</v>
      </c>
      <c r="BO52" s="407" t="s">
        <v>482</v>
      </c>
      <c r="BP52" s="409" t="s">
        <v>497</v>
      </c>
      <c r="BQ52" s="412" t="s">
        <v>498</v>
      </c>
      <c r="BR52" s="446" t="s">
        <v>481</v>
      </c>
      <c r="BS52" s="448" t="s">
        <v>482</v>
      </c>
      <c r="BT52" s="418" t="s">
        <v>481</v>
      </c>
      <c r="BU52" s="430" t="s">
        <v>482</v>
      </c>
      <c r="BV52" s="21"/>
      <c r="BW52" s="454" t="s">
        <v>511</v>
      </c>
      <c r="BX52" s="443" t="s">
        <v>512</v>
      </c>
      <c r="BY52" s="407" t="s">
        <v>482</v>
      </c>
      <c r="BZ52" s="407"/>
      <c r="CA52" s="409" t="s">
        <v>511</v>
      </c>
      <c r="CB52" s="412" t="s">
        <v>512</v>
      </c>
      <c r="CC52" s="414" t="s">
        <v>482</v>
      </c>
      <c r="CD52" s="416"/>
      <c r="CE52" s="418" t="s">
        <v>482</v>
      </c>
      <c r="CF52" s="430"/>
      <c r="CG52" s="21"/>
      <c r="CH52" s="21"/>
      <c r="CI52" s="21"/>
      <c r="CJ52" s="21"/>
      <c r="CK52" s="21"/>
      <c r="CL52" s="21"/>
      <c r="CM52" s="21"/>
      <c r="CN52" s="21"/>
      <c r="CO52" s="21"/>
      <c r="CP52" s="21"/>
    </row>
    <row r="53" spans="2:95" ht="23" customHeight="1" x14ac:dyDescent="0.2">
      <c r="F53" s="20"/>
      <c r="G53" s="20"/>
      <c r="H53" s="20"/>
      <c r="I53" s="20"/>
      <c r="J53" s="20"/>
      <c r="K53" s="20"/>
      <c r="L53" s="454"/>
      <c r="M53" s="444"/>
      <c r="N53" s="407"/>
      <c r="O53" s="407"/>
      <c r="P53" s="410"/>
      <c r="Q53" s="412"/>
      <c r="R53" s="414"/>
      <c r="S53" s="461"/>
      <c r="T53" s="419"/>
      <c r="U53" s="431"/>
      <c r="V53" s="454"/>
      <c r="W53" s="444"/>
      <c r="X53" s="407"/>
      <c r="Y53" s="407"/>
      <c r="Z53" s="410"/>
      <c r="AA53" s="412"/>
      <c r="AB53" s="414"/>
      <c r="AC53" s="461"/>
      <c r="AD53" s="419"/>
      <c r="AE53" s="431"/>
      <c r="AF53" s="454"/>
      <c r="AG53" s="444"/>
      <c r="AH53" s="407"/>
      <c r="AI53" s="407"/>
      <c r="AJ53" s="410"/>
      <c r="AK53" s="412"/>
      <c r="AL53" s="414"/>
      <c r="AM53" s="416"/>
      <c r="AN53" s="419"/>
      <c r="AO53" s="431"/>
      <c r="AP53" s="454"/>
      <c r="AQ53" s="444"/>
      <c r="AR53" s="407"/>
      <c r="AS53" s="407"/>
      <c r="AT53" s="410"/>
      <c r="AU53" s="412"/>
      <c r="AV53" s="414"/>
      <c r="AW53" s="416"/>
      <c r="AX53" s="419"/>
      <c r="AY53" s="422"/>
      <c r="AZ53" s="21"/>
      <c r="BA53" s="454"/>
      <c r="BB53" s="444"/>
      <c r="BC53" s="407"/>
      <c r="BD53" s="407"/>
      <c r="BE53" s="410"/>
      <c r="BF53" s="412"/>
      <c r="BG53" s="414"/>
      <c r="BH53" s="416"/>
      <c r="BI53" s="419"/>
      <c r="BJ53" s="431"/>
      <c r="BK53" s="21"/>
      <c r="BL53" s="450"/>
      <c r="BM53" s="444"/>
      <c r="BN53" s="407"/>
      <c r="BO53" s="407"/>
      <c r="BP53" s="410"/>
      <c r="BQ53" s="412"/>
      <c r="BR53" s="446"/>
      <c r="BS53" s="448"/>
      <c r="BT53" s="419"/>
      <c r="BU53" s="431"/>
      <c r="BV53" s="21"/>
      <c r="BW53" s="454"/>
      <c r="BX53" s="444"/>
      <c r="BY53" s="407"/>
      <c r="BZ53" s="407"/>
      <c r="CA53" s="410"/>
      <c r="CB53" s="412"/>
      <c r="CC53" s="414"/>
      <c r="CD53" s="416"/>
      <c r="CE53" s="419"/>
      <c r="CF53" s="431"/>
      <c r="CG53" s="21"/>
      <c r="CH53" s="21"/>
      <c r="CI53" s="21"/>
      <c r="CJ53" s="21"/>
      <c r="CK53" s="21"/>
      <c r="CL53" s="21"/>
      <c r="CM53" s="21"/>
      <c r="CN53" s="21"/>
      <c r="CO53" s="21"/>
      <c r="CP53" s="21"/>
    </row>
    <row r="54" spans="2:95" ht="23" customHeight="1" x14ac:dyDescent="0.2">
      <c r="F54" s="20"/>
      <c r="G54" s="20"/>
      <c r="H54" s="20"/>
      <c r="I54" s="20"/>
      <c r="J54" s="20"/>
      <c r="K54" s="20"/>
      <c r="L54" s="454"/>
      <c r="M54" s="444"/>
      <c r="N54" s="407"/>
      <c r="O54" s="407"/>
      <c r="P54" s="410"/>
      <c r="Q54" s="412"/>
      <c r="R54" s="414"/>
      <c r="S54" s="461"/>
      <c r="T54" s="419"/>
      <c r="U54" s="431"/>
      <c r="V54" s="454"/>
      <c r="W54" s="444"/>
      <c r="X54" s="407"/>
      <c r="Y54" s="407"/>
      <c r="Z54" s="410"/>
      <c r="AA54" s="412"/>
      <c r="AB54" s="414"/>
      <c r="AC54" s="461"/>
      <c r="AD54" s="419"/>
      <c r="AE54" s="431"/>
      <c r="AF54" s="454"/>
      <c r="AG54" s="444"/>
      <c r="AH54" s="407"/>
      <c r="AI54" s="407"/>
      <c r="AJ54" s="410"/>
      <c r="AK54" s="412"/>
      <c r="AL54" s="414"/>
      <c r="AM54" s="416"/>
      <c r="AN54" s="419"/>
      <c r="AO54" s="431"/>
      <c r="AP54" s="454"/>
      <c r="AQ54" s="444"/>
      <c r="AR54" s="407"/>
      <c r="AS54" s="407"/>
      <c r="AT54" s="410"/>
      <c r="AU54" s="412"/>
      <c r="AV54" s="414"/>
      <c r="AW54" s="416"/>
      <c r="AX54" s="419"/>
      <c r="AY54" s="422"/>
      <c r="AZ54" s="21"/>
      <c r="BA54" s="454"/>
      <c r="BB54" s="444"/>
      <c r="BC54" s="407"/>
      <c r="BD54" s="407"/>
      <c r="BE54" s="410"/>
      <c r="BF54" s="412"/>
      <c r="BG54" s="414"/>
      <c r="BH54" s="416"/>
      <c r="BI54" s="419"/>
      <c r="BJ54" s="431"/>
      <c r="BK54" s="21"/>
      <c r="BL54" s="450"/>
      <c r="BM54" s="444"/>
      <c r="BN54" s="407"/>
      <c r="BO54" s="407"/>
      <c r="BP54" s="410"/>
      <c r="BQ54" s="412"/>
      <c r="BR54" s="446"/>
      <c r="BS54" s="448"/>
      <c r="BT54" s="419"/>
      <c r="BU54" s="431"/>
      <c r="BV54" s="21"/>
      <c r="BW54" s="454"/>
      <c r="BX54" s="444"/>
      <c r="BY54" s="407"/>
      <c r="BZ54" s="407"/>
      <c r="CA54" s="410"/>
      <c r="CB54" s="412"/>
      <c r="CC54" s="414"/>
      <c r="CD54" s="416"/>
      <c r="CE54" s="419"/>
      <c r="CF54" s="431"/>
      <c r="CG54" s="21"/>
      <c r="CH54" s="21"/>
      <c r="CI54" s="21"/>
      <c r="CJ54" s="21"/>
      <c r="CK54" s="21"/>
      <c r="CL54" s="21"/>
      <c r="CM54" s="21"/>
      <c r="CN54" s="21"/>
      <c r="CO54" s="21"/>
      <c r="CP54" s="21"/>
    </row>
    <row r="55" spans="2:95" ht="23" customHeight="1" x14ac:dyDescent="0.2">
      <c r="F55" s="20"/>
      <c r="G55" s="20"/>
      <c r="H55" s="20"/>
      <c r="I55" s="20"/>
      <c r="J55" s="20"/>
      <c r="K55" s="20"/>
      <c r="L55" s="454"/>
      <c r="M55" s="444"/>
      <c r="N55" s="407"/>
      <c r="O55" s="407"/>
      <c r="P55" s="410"/>
      <c r="Q55" s="412"/>
      <c r="R55" s="414"/>
      <c r="S55" s="461"/>
      <c r="T55" s="419"/>
      <c r="U55" s="431"/>
      <c r="V55" s="454"/>
      <c r="W55" s="444"/>
      <c r="X55" s="407"/>
      <c r="Y55" s="407"/>
      <c r="Z55" s="410"/>
      <c r="AA55" s="412"/>
      <c r="AB55" s="414"/>
      <c r="AC55" s="461"/>
      <c r="AD55" s="419"/>
      <c r="AE55" s="431"/>
      <c r="AF55" s="454"/>
      <c r="AG55" s="444"/>
      <c r="AH55" s="407"/>
      <c r="AI55" s="407"/>
      <c r="AJ55" s="410"/>
      <c r="AK55" s="412"/>
      <c r="AL55" s="414"/>
      <c r="AM55" s="416"/>
      <c r="AN55" s="419"/>
      <c r="AO55" s="431"/>
      <c r="AP55" s="454"/>
      <c r="AQ55" s="444"/>
      <c r="AR55" s="407"/>
      <c r="AS55" s="407"/>
      <c r="AT55" s="410"/>
      <c r="AU55" s="412"/>
      <c r="AV55" s="414"/>
      <c r="AW55" s="416"/>
      <c r="AX55" s="419"/>
      <c r="AY55" s="422"/>
      <c r="AZ55" s="21"/>
      <c r="BA55" s="454"/>
      <c r="BB55" s="444"/>
      <c r="BC55" s="407"/>
      <c r="BD55" s="407"/>
      <c r="BE55" s="410"/>
      <c r="BF55" s="412"/>
      <c r="BG55" s="414"/>
      <c r="BH55" s="416"/>
      <c r="BI55" s="419"/>
      <c r="BJ55" s="431"/>
      <c r="BK55" s="21"/>
      <c r="BL55" s="450"/>
      <c r="BM55" s="444"/>
      <c r="BN55" s="407"/>
      <c r="BO55" s="407"/>
      <c r="BP55" s="410"/>
      <c r="BQ55" s="412"/>
      <c r="BR55" s="446"/>
      <c r="BS55" s="448"/>
      <c r="BT55" s="419"/>
      <c r="BU55" s="431"/>
      <c r="BV55" s="21"/>
      <c r="BW55" s="454"/>
      <c r="BX55" s="444"/>
      <c r="BY55" s="407"/>
      <c r="BZ55" s="407"/>
      <c r="CA55" s="410"/>
      <c r="CB55" s="412"/>
      <c r="CC55" s="414"/>
      <c r="CD55" s="416"/>
      <c r="CE55" s="419"/>
      <c r="CF55" s="431"/>
      <c r="CG55" s="21"/>
      <c r="CH55" s="21"/>
      <c r="CI55" s="21"/>
      <c r="CJ55" s="21"/>
      <c r="CK55" s="21"/>
      <c r="CL55" s="21"/>
      <c r="CM55" s="21"/>
      <c r="CN55" s="21"/>
      <c r="CO55" s="21"/>
      <c r="CP55" s="21"/>
    </row>
    <row r="56" spans="2:95" ht="23" customHeight="1" thickBot="1" x14ac:dyDescent="0.25">
      <c r="F56" s="20"/>
      <c r="G56" s="20"/>
      <c r="H56" s="20"/>
      <c r="I56" s="20"/>
      <c r="J56" s="20"/>
      <c r="K56" s="20"/>
      <c r="L56" s="455"/>
      <c r="M56" s="445"/>
      <c r="N56" s="408"/>
      <c r="O56" s="408"/>
      <c r="P56" s="411"/>
      <c r="Q56" s="413"/>
      <c r="R56" s="415"/>
      <c r="S56" s="462"/>
      <c r="T56" s="420"/>
      <c r="U56" s="432"/>
      <c r="V56" s="455"/>
      <c r="W56" s="445"/>
      <c r="X56" s="408"/>
      <c r="Y56" s="408"/>
      <c r="Z56" s="411"/>
      <c r="AA56" s="413"/>
      <c r="AB56" s="415"/>
      <c r="AC56" s="462"/>
      <c r="AD56" s="420"/>
      <c r="AE56" s="432"/>
      <c r="AF56" s="455"/>
      <c r="AG56" s="445"/>
      <c r="AH56" s="408"/>
      <c r="AI56" s="408"/>
      <c r="AJ56" s="411"/>
      <c r="AK56" s="413"/>
      <c r="AL56" s="415"/>
      <c r="AM56" s="417"/>
      <c r="AN56" s="420"/>
      <c r="AO56" s="432"/>
      <c r="AP56" s="455"/>
      <c r="AQ56" s="445"/>
      <c r="AR56" s="408"/>
      <c r="AS56" s="408"/>
      <c r="AT56" s="411"/>
      <c r="AU56" s="413"/>
      <c r="AV56" s="415"/>
      <c r="AW56" s="417"/>
      <c r="AX56" s="420"/>
      <c r="AY56" s="423"/>
      <c r="AZ56" s="21"/>
      <c r="BA56" s="455"/>
      <c r="BB56" s="445"/>
      <c r="BC56" s="408"/>
      <c r="BD56" s="408"/>
      <c r="BE56" s="411"/>
      <c r="BF56" s="413"/>
      <c r="BG56" s="415"/>
      <c r="BH56" s="417"/>
      <c r="BI56" s="420"/>
      <c r="BJ56" s="432"/>
      <c r="BK56" s="21"/>
      <c r="BL56" s="451"/>
      <c r="BM56" s="445"/>
      <c r="BN56" s="408"/>
      <c r="BO56" s="408"/>
      <c r="BP56" s="411"/>
      <c r="BQ56" s="413"/>
      <c r="BR56" s="447"/>
      <c r="BS56" s="449"/>
      <c r="BT56" s="420"/>
      <c r="BU56" s="432"/>
      <c r="BV56" s="21"/>
      <c r="BW56" s="455"/>
      <c r="BX56" s="445"/>
      <c r="BY56" s="408"/>
      <c r="BZ56" s="408"/>
      <c r="CA56" s="411"/>
      <c r="CB56" s="413"/>
      <c r="CC56" s="415"/>
      <c r="CD56" s="417"/>
      <c r="CE56" s="420"/>
      <c r="CF56" s="432"/>
      <c r="CG56" s="21"/>
      <c r="CH56" s="21"/>
      <c r="CI56" s="21"/>
      <c r="CJ56" s="21"/>
      <c r="CK56" s="21"/>
      <c r="CL56" s="21"/>
      <c r="CM56" s="21"/>
      <c r="CN56" s="21"/>
      <c r="CO56" s="21"/>
      <c r="CP56" s="21"/>
    </row>
    <row r="57" spans="2:95" ht="20" customHeight="1" thickBot="1" x14ac:dyDescent="0.25">
      <c r="F57" s="20"/>
      <c r="G57" s="20"/>
      <c r="H57" s="20"/>
      <c r="I57" s="20"/>
      <c r="J57" s="20"/>
      <c r="K57" s="20"/>
      <c r="L57" s="324" t="s">
        <v>428</v>
      </c>
      <c r="M57" s="380"/>
      <c r="N57" s="380"/>
      <c r="O57" s="466"/>
      <c r="P57" s="467" t="s">
        <v>429</v>
      </c>
      <c r="Q57" s="468"/>
      <c r="R57" s="468"/>
      <c r="S57" s="469"/>
      <c r="T57" s="464" t="s">
        <v>483</v>
      </c>
      <c r="U57" s="465"/>
      <c r="V57" s="324" t="s">
        <v>428</v>
      </c>
      <c r="W57" s="380"/>
      <c r="X57" s="380"/>
      <c r="Y57" s="466"/>
      <c r="Z57" s="467" t="s">
        <v>429</v>
      </c>
      <c r="AA57" s="468"/>
      <c r="AB57" s="468"/>
      <c r="AC57" s="469"/>
      <c r="AD57" s="464" t="s">
        <v>483</v>
      </c>
      <c r="AE57" s="465"/>
      <c r="AF57" s="322" t="s">
        <v>428</v>
      </c>
      <c r="AG57" s="379"/>
      <c r="AH57" s="379"/>
      <c r="AI57" s="424"/>
      <c r="AJ57" s="425" t="s">
        <v>429</v>
      </c>
      <c r="AK57" s="426"/>
      <c r="AL57" s="426"/>
      <c r="AM57" s="427"/>
      <c r="AN57" s="428" t="s">
        <v>483</v>
      </c>
      <c r="AO57" s="470"/>
      <c r="AP57" s="322" t="s">
        <v>428</v>
      </c>
      <c r="AQ57" s="379"/>
      <c r="AR57" s="379"/>
      <c r="AS57" s="424"/>
      <c r="AT57" s="425" t="s">
        <v>429</v>
      </c>
      <c r="AU57" s="426"/>
      <c r="AV57" s="426"/>
      <c r="AW57" s="427"/>
      <c r="AX57" s="428" t="s">
        <v>483</v>
      </c>
      <c r="AY57" s="429"/>
      <c r="AZ57" s="21"/>
      <c r="BA57" s="322" t="s">
        <v>428</v>
      </c>
      <c r="BB57" s="379"/>
      <c r="BC57" s="379"/>
      <c r="BD57" s="424"/>
      <c r="BE57" s="425" t="s">
        <v>429</v>
      </c>
      <c r="BF57" s="426"/>
      <c r="BG57" s="426"/>
      <c r="BH57" s="427"/>
      <c r="BI57" s="428" t="s">
        <v>483</v>
      </c>
      <c r="BJ57" s="470"/>
      <c r="BK57" s="21"/>
      <c r="BL57" s="322" t="s">
        <v>428</v>
      </c>
      <c r="BM57" s="379"/>
      <c r="BN57" s="379"/>
      <c r="BO57" s="424"/>
      <c r="BP57" s="425" t="s">
        <v>429</v>
      </c>
      <c r="BQ57" s="426"/>
      <c r="BR57" s="426"/>
      <c r="BS57" s="427"/>
      <c r="BT57" s="428" t="s">
        <v>483</v>
      </c>
      <c r="BU57" s="470"/>
      <c r="BV57" s="21"/>
      <c r="BW57" s="322" t="s">
        <v>428</v>
      </c>
      <c r="BX57" s="379"/>
      <c r="BY57" s="379"/>
      <c r="BZ57" s="424"/>
      <c r="CA57" s="425" t="s">
        <v>429</v>
      </c>
      <c r="CB57" s="426"/>
      <c r="CC57" s="426"/>
      <c r="CD57" s="427"/>
      <c r="CE57" s="428" t="s">
        <v>483</v>
      </c>
      <c r="CF57" s="470"/>
      <c r="CG57" s="21"/>
      <c r="CH57" s="21"/>
      <c r="CI57" s="21"/>
      <c r="CJ57" s="21"/>
      <c r="CK57" s="21"/>
      <c r="CL57" s="21"/>
      <c r="CM57" s="21"/>
      <c r="CN57" s="21"/>
      <c r="CO57" s="21"/>
      <c r="CP57" s="21"/>
    </row>
    <row r="58" spans="2:95" ht="20" customHeight="1" thickBot="1" x14ac:dyDescent="0.25">
      <c r="F58" s="20"/>
      <c r="G58" s="20"/>
      <c r="H58" s="20"/>
      <c r="I58" s="20"/>
      <c r="J58" s="20"/>
      <c r="K58" s="20"/>
      <c r="L58" s="600" t="s">
        <v>442</v>
      </c>
      <c r="M58" s="599"/>
      <c r="N58" s="599"/>
      <c r="O58" s="599"/>
      <c r="P58" s="599"/>
      <c r="Q58" s="599"/>
      <c r="R58" s="599"/>
      <c r="S58" s="599"/>
      <c r="T58" s="599"/>
      <c r="U58" s="601"/>
      <c r="V58" s="598" t="s">
        <v>432</v>
      </c>
      <c r="W58" s="599"/>
      <c r="X58" s="599"/>
      <c r="Y58" s="599"/>
      <c r="Z58" s="599"/>
      <c r="AA58" s="599"/>
      <c r="AB58" s="599"/>
      <c r="AC58" s="599"/>
      <c r="AD58" s="599"/>
      <c r="AE58" s="599"/>
      <c r="AF58" s="393" t="s">
        <v>480</v>
      </c>
      <c r="AG58" s="394"/>
      <c r="AH58" s="394"/>
      <c r="AI58" s="394"/>
      <c r="AJ58" s="394"/>
      <c r="AK58" s="394"/>
      <c r="AL58" s="394"/>
      <c r="AM58" s="394"/>
      <c r="AN58" s="394"/>
      <c r="AO58" s="476"/>
      <c r="AP58" s="393" t="s">
        <v>525</v>
      </c>
      <c r="AQ58" s="394"/>
      <c r="AR58" s="394"/>
      <c r="AS58" s="394"/>
      <c r="AT58" s="394"/>
      <c r="AU58" s="394"/>
      <c r="AV58" s="394"/>
      <c r="AW58" s="394"/>
      <c r="AX58" s="394"/>
      <c r="AY58" s="395"/>
      <c r="AZ58" s="21"/>
      <c r="BA58" s="393" t="s">
        <v>490</v>
      </c>
      <c r="BB58" s="394"/>
      <c r="BC58" s="394"/>
      <c r="BD58" s="394"/>
      <c r="BE58" s="394"/>
      <c r="BF58" s="394"/>
      <c r="BG58" s="394"/>
      <c r="BH58" s="394"/>
      <c r="BI58" s="394"/>
      <c r="BJ58" s="476"/>
      <c r="BK58" s="21"/>
      <c r="BL58" s="393" t="s">
        <v>496</v>
      </c>
      <c r="BM58" s="394"/>
      <c r="BN58" s="394"/>
      <c r="BO58" s="394"/>
      <c r="BP58" s="394"/>
      <c r="BQ58" s="394"/>
      <c r="BR58" s="394"/>
      <c r="BS58" s="394"/>
      <c r="BT58" s="394"/>
      <c r="BU58" s="476"/>
      <c r="BV58" s="21"/>
      <c r="BW58" s="393" t="s">
        <v>510</v>
      </c>
      <c r="BX58" s="394"/>
      <c r="BY58" s="394"/>
      <c r="BZ58" s="394"/>
      <c r="CA58" s="394"/>
      <c r="CB58" s="394"/>
      <c r="CC58" s="394"/>
      <c r="CD58" s="394"/>
      <c r="CE58" s="394"/>
      <c r="CF58" s="476"/>
      <c r="CG58" s="21"/>
      <c r="CH58" s="21"/>
      <c r="CI58" s="21"/>
      <c r="CJ58" s="21"/>
      <c r="CK58" s="21"/>
      <c r="CL58" s="21"/>
      <c r="CM58" s="21"/>
      <c r="CN58" s="21"/>
      <c r="CO58" s="21"/>
      <c r="CP58" s="21"/>
    </row>
    <row r="59" spans="2:95" ht="20" customHeight="1" x14ac:dyDescent="0.2">
      <c r="F59" s="20"/>
      <c r="G59" s="20"/>
      <c r="H59" s="20"/>
      <c r="I59" s="20"/>
      <c r="J59" s="20"/>
      <c r="K59" s="20"/>
      <c r="L59" s="320" t="s">
        <v>521</v>
      </c>
      <c r="M59" s="378"/>
      <c r="N59" s="378"/>
      <c r="O59" s="378"/>
      <c r="P59" s="378"/>
      <c r="Q59" s="378"/>
      <c r="R59" s="378"/>
      <c r="S59" s="378"/>
      <c r="T59" s="378"/>
      <c r="U59" s="378"/>
      <c r="V59" s="378"/>
      <c r="W59" s="378"/>
      <c r="X59" s="378"/>
      <c r="Y59" s="378"/>
      <c r="Z59" s="378"/>
      <c r="AA59" s="378"/>
      <c r="AB59" s="378"/>
      <c r="AC59" s="378"/>
      <c r="AD59" s="378"/>
      <c r="AE59" s="378"/>
      <c r="AF59" s="378"/>
      <c r="AG59" s="378"/>
      <c r="AH59" s="378"/>
      <c r="AI59" s="378"/>
      <c r="AJ59" s="378"/>
      <c r="AK59" s="378"/>
      <c r="AL59" s="378"/>
      <c r="AM59" s="378"/>
      <c r="AN59" s="378"/>
      <c r="AO59" s="378"/>
      <c r="AP59" s="378"/>
      <c r="AQ59" s="378"/>
      <c r="AR59" s="378"/>
      <c r="AS59" s="378"/>
      <c r="AT59" s="378"/>
      <c r="AU59" s="378"/>
      <c r="AV59" s="378"/>
      <c r="AW59" s="378"/>
      <c r="AX59" s="378"/>
      <c r="AY59" s="400"/>
      <c r="AZ59" s="21"/>
      <c r="BA59" s="320"/>
      <c r="BB59" s="378"/>
      <c r="BC59" s="378"/>
      <c r="BD59" s="378"/>
      <c r="BE59" s="378"/>
      <c r="BF59" s="378"/>
      <c r="BG59" s="378"/>
      <c r="BH59" s="378"/>
      <c r="BI59" s="378"/>
      <c r="BJ59" s="321"/>
      <c r="BK59" s="21"/>
      <c r="BL59" s="320"/>
      <c r="BM59" s="378"/>
      <c r="BN59" s="378"/>
      <c r="BO59" s="378"/>
      <c r="BP59" s="378"/>
      <c r="BQ59" s="378"/>
      <c r="BR59" s="378"/>
      <c r="BS59" s="378"/>
      <c r="BT59" s="378"/>
      <c r="BU59" s="321"/>
      <c r="BV59" s="21"/>
      <c r="BW59" s="320"/>
      <c r="BX59" s="378"/>
      <c r="BY59" s="378"/>
      <c r="BZ59" s="378"/>
      <c r="CA59" s="378"/>
      <c r="CB59" s="378"/>
      <c r="CC59" s="378"/>
      <c r="CD59" s="378"/>
      <c r="CE59" s="378"/>
      <c r="CF59" s="321"/>
      <c r="CG59" s="21"/>
      <c r="CH59" s="21"/>
      <c r="CI59" s="21"/>
      <c r="CJ59" s="21"/>
      <c r="CK59" s="21"/>
      <c r="CL59" s="21"/>
      <c r="CM59" s="21"/>
      <c r="CN59" s="21"/>
      <c r="CO59" s="21"/>
      <c r="CP59" s="21"/>
    </row>
    <row r="60" spans="2:95" ht="20" thickBot="1" x14ac:dyDescent="0.3">
      <c r="F60" s="20"/>
      <c r="G60" s="20"/>
      <c r="H60" s="20"/>
      <c r="I60" s="20"/>
      <c r="J60" s="20"/>
      <c r="K60" s="20"/>
      <c r="L60" s="396" t="s">
        <v>424</v>
      </c>
      <c r="M60" s="397"/>
      <c r="N60" s="397"/>
      <c r="O60" s="397"/>
      <c r="P60" s="397"/>
      <c r="Q60" s="397"/>
      <c r="R60" s="397"/>
      <c r="S60" s="397"/>
      <c r="T60" s="397"/>
      <c r="U60" s="397"/>
      <c r="V60" s="397"/>
      <c r="W60" s="397"/>
      <c r="X60" s="397"/>
      <c r="Y60" s="397"/>
      <c r="Z60" s="397"/>
      <c r="AA60" s="397"/>
      <c r="AB60" s="397"/>
      <c r="AC60" s="397"/>
      <c r="AD60" s="397"/>
      <c r="AE60" s="397"/>
      <c r="AF60" s="397"/>
      <c r="AG60" s="397"/>
      <c r="AH60" s="397"/>
      <c r="AI60" s="397"/>
      <c r="AJ60" s="397"/>
      <c r="AK60" s="397"/>
      <c r="AL60" s="397"/>
      <c r="AM60" s="397"/>
      <c r="AN60" s="397"/>
      <c r="AO60" s="397"/>
      <c r="AP60" s="397"/>
      <c r="AQ60" s="397"/>
      <c r="AR60" s="397"/>
      <c r="AS60" s="397"/>
      <c r="AT60" s="397"/>
      <c r="AU60" s="397"/>
      <c r="AV60" s="397"/>
      <c r="AW60" s="397"/>
      <c r="AX60" s="397"/>
      <c r="AY60" s="399"/>
      <c r="AZ60" s="21"/>
      <c r="BA60" s="396"/>
      <c r="BB60" s="397"/>
      <c r="BC60" s="397"/>
      <c r="BD60" s="397"/>
      <c r="BE60" s="397"/>
      <c r="BF60" s="397"/>
      <c r="BG60" s="397"/>
      <c r="BH60" s="397"/>
      <c r="BI60" s="397"/>
      <c r="BJ60" s="398"/>
      <c r="BK60" s="21"/>
      <c r="BL60" s="396"/>
      <c r="BM60" s="397"/>
      <c r="BN60" s="397"/>
      <c r="BO60" s="397"/>
      <c r="BP60" s="397"/>
      <c r="BQ60" s="397"/>
      <c r="BR60" s="397"/>
      <c r="BS60" s="397"/>
      <c r="BT60" s="397"/>
      <c r="BU60" s="398"/>
      <c r="BV60" s="21"/>
      <c r="BW60" s="396"/>
      <c r="BX60" s="397"/>
      <c r="BY60" s="397"/>
      <c r="BZ60" s="397"/>
      <c r="CA60" s="397"/>
      <c r="CB60" s="397"/>
      <c r="CC60" s="397"/>
      <c r="CD60" s="397"/>
      <c r="CE60" s="397"/>
      <c r="CF60" s="398"/>
      <c r="CG60" s="21"/>
      <c r="CH60" s="21"/>
      <c r="CI60" s="21"/>
      <c r="CJ60" s="21"/>
      <c r="CK60" s="21"/>
      <c r="CL60" s="21"/>
      <c r="CM60" s="21"/>
      <c r="CN60" s="21"/>
      <c r="CO60" s="21"/>
      <c r="CP60" s="21"/>
    </row>
    <row r="61" spans="2:95" x14ac:dyDescent="0.2">
      <c r="F61" s="20"/>
      <c r="G61" s="20"/>
      <c r="H61" s="20"/>
      <c r="I61" s="20"/>
      <c r="J61" s="20"/>
      <c r="K61" s="20"/>
      <c r="L61" s="111" t="s">
        <v>554</v>
      </c>
      <c r="BL61" s="111" t="s">
        <v>581</v>
      </c>
    </row>
    <row r="63" spans="2:95" ht="17" customHeight="1" thickBot="1" x14ac:dyDescent="0.25">
      <c r="F63" s="22"/>
      <c r="K63" s="22"/>
      <c r="CQ63" s="22"/>
    </row>
    <row r="64" spans="2:95" ht="20" customHeight="1" x14ac:dyDescent="0.2">
      <c r="F64" s="22"/>
      <c r="L64" s="622" t="s">
        <v>424</v>
      </c>
      <c r="M64" s="623"/>
      <c r="N64" s="623"/>
      <c r="O64" s="623"/>
      <c r="P64" s="623"/>
      <c r="Q64" s="623"/>
      <c r="R64" s="623"/>
      <c r="S64" s="623"/>
      <c r="T64" s="623"/>
      <c r="U64" s="623"/>
      <c r="V64" s="623"/>
      <c r="W64" s="623"/>
      <c r="X64" s="623"/>
      <c r="Y64" s="623"/>
      <c r="Z64" s="623"/>
      <c r="AA64" s="623"/>
      <c r="AB64" s="623"/>
      <c r="AC64" s="623"/>
      <c r="AD64" s="623"/>
      <c r="AE64" s="623"/>
      <c r="AF64" s="623"/>
      <c r="AG64" s="623"/>
      <c r="AH64" s="623"/>
      <c r="AI64" s="623"/>
      <c r="AJ64" s="623"/>
      <c r="AK64" s="623"/>
      <c r="AL64" s="623"/>
      <c r="AM64" s="623"/>
      <c r="AN64" s="623"/>
      <c r="AO64" s="623"/>
      <c r="AP64" s="623"/>
      <c r="AQ64" s="623"/>
      <c r="AR64" s="623"/>
      <c r="AS64" s="623"/>
      <c r="AT64" s="623"/>
      <c r="AU64" s="623"/>
      <c r="AV64" s="623"/>
      <c r="AW64" s="623"/>
      <c r="AX64" s="623"/>
      <c r="AY64" s="623"/>
      <c r="AZ64" s="623"/>
      <c r="BA64" s="623"/>
      <c r="BB64" s="623"/>
      <c r="BC64" s="623"/>
      <c r="BD64" s="623"/>
      <c r="BE64" s="623"/>
      <c r="BF64" s="623"/>
      <c r="BG64" s="623"/>
      <c r="BH64" s="623"/>
      <c r="BI64" s="623"/>
      <c r="BJ64" s="623"/>
      <c r="BK64" s="623"/>
      <c r="BL64" s="623"/>
      <c r="BM64" s="623"/>
      <c r="BN64" s="623"/>
      <c r="BO64" s="623"/>
      <c r="BP64" s="623"/>
      <c r="BQ64" s="623"/>
      <c r="BR64" s="623"/>
      <c r="BS64" s="623"/>
      <c r="BT64" s="623"/>
      <c r="BU64" s="623"/>
      <c r="BV64" s="623"/>
      <c r="BW64" s="623"/>
      <c r="BX64" s="623"/>
      <c r="BY64" s="623"/>
      <c r="BZ64" s="623"/>
      <c r="CA64" s="623"/>
      <c r="CB64" s="623"/>
      <c r="CC64" s="624"/>
      <c r="CD64" s="21"/>
      <c r="CE64" s="622"/>
      <c r="CF64" s="623"/>
      <c r="CG64" s="623"/>
      <c r="CH64" s="623"/>
      <c r="CI64" s="623"/>
      <c r="CJ64" s="623"/>
      <c r="CK64" s="623"/>
      <c r="CL64" s="623"/>
      <c r="CM64" s="623"/>
      <c r="CN64" s="624"/>
      <c r="CO64" s="21"/>
      <c r="CP64" s="21"/>
    </row>
    <row r="65" spans="1:107" ht="20" customHeight="1" thickBot="1" x14ac:dyDescent="0.25">
      <c r="E65" s="22"/>
      <c r="F65" s="22"/>
      <c r="L65" s="625" t="s">
        <v>425</v>
      </c>
      <c r="M65" s="626"/>
      <c r="N65" s="626"/>
      <c r="O65" s="626"/>
      <c r="P65" s="626"/>
      <c r="Q65" s="626"/>
      <c r="R65" s="626"/>
      <c r="S65" s="626"/>
      <c r="T65" s="626"/>
      <c r="U65" s="626"/>
      <c r="V65" s="626"/>
      <c r="W65" s="626"/>
      <c r="X65" s="626"/>
      <c r="Y65" s="626"/>
      <c r="Z65" s="626"/>
      <c r="AA65" s="626"/>
      <c r="AB65" s="626"/>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c r="BJ65" s="626"/>
      <c r="BK65" s="626"/>
      <c r="BL65" s="626"/>
      <c r="BM65" s="626"/>
      <c r="BN65" s="626"/>
      <c r="BO65" s="626"/>
      <c r="BP65" s="626"/>
      <c r="BQ65" s="626"/>
      <c r="BR65" s="626"/>
      <c r="BS65" s="626"/>
      <c r="BT65" s="626"/>
      <c r="BU65" s="626"/>
      <c r="BV65" s="626"/>
      <c r="BW65" s="626"/>
      <c r="BX65" s="626"/>
      <c r="BY65" s="626"/>
      <c r="BZ65" s="626"/>
      <c r="CA65" s="626"/>
      <c r="CB65" s="626"/>
      <c r="CC65" s="627"/>
      <c r="CD65" s="21"/>
      <c r="CE65" s="625"/>
      <c r="CF65" s="626"/>
      <c r="CG65" s="626"/>
      <c r="CH65" s="626"/>
      <c r="CI65" s="626"/>
      <c r="CJ65" s="626"/>
      <c r="CK65" s="626"/>
      <c r="CL65" s="626"/>
      <c r="CM65" s="626"/>
      <c r="CN65" s="627"/>
      <c r="CO65" s="21"/>
      <c r="CP65" s="21"/>
    </row>
    <row r="66" spans="1:107" ht="20" customHeight="1" thickBot="1" x14ac:dyDescent="0.25">
      <c r="C66" s="60"/>
      <c r="E66" s="374" t="s">
        <v>547</v>
      </c>
      <c r="F66" s="22"/>
      <c r="L66" s="608" t="s">
        <v>433</v>
      </c>
      <c r="M66" s="595"/>
      <c r="N66" s="595"/>
      <c r="O66" s="595"/>
      <c r="P66" s="595"/>
      <c r="Q66" s="595"/>
      <c r="R66" s="595"/>
      <c r="S66" s="595"/>
      <c r="T66" s="151"/>
      <c r="U66" s="151"/>
      <c r="V66" s="525" t="s">
        <v>434</v>
      </c>
      <c r="W66" s="526"/>
      <c r="X66" s="526"/>
      <c r="Y66" s="526"/>
      <c r="Z66" s="526"/>
      <c r="AA66" s="526"/>
      <c r="AB66" s="526"/>
      <c r="AC66" s="526"/>
      <c r="AD66" s="526"/>
      <c r="AE66" s="597"/>
      <c r="AF66" s="594" t="s">
        <v>437</v>
      </c>
      <c r="AG66" s="595"/>
      <c r="AH66" s="595"/>
      <c r="AI66" s="595"/>
      <c r="AJ66" s="595"/>
      <c r="AK66" s="595"/>
      <c r="AL66" s="595"/>
      <c r="AM66" s="595"/>
      <c r="AN66" s="595"/>
      <c r="AO66" s="596"/>
      <c r="AP66" s="525" t="s">
        <v>438</v>
      </c>
      <c r="AQ66" s="526"/>
      <c r="AR66" s="526"/>
      <c r="AS66" s="526"/>
      <c r="AT66" s="526"/>
      <c r="AU66" s="526"/>
      <c r="AV66" s="526"/>
      <c r="AW66" s="526"/>
      <c r="AX66" s="526"/>
      <c r="AY66" s="597"/>
      <c r="AZ66" s="525" t="s">
        <v>440</v>
      </c>
      <c r="BA66" s="526"/>
      <c r="BB66" s="526"/>
      <c r="BC66" s="526"/>
      <c r="BD66" s="526"/>
      <c r="BE66" s="526"/>
      <c r="BF66" s="526"/>
      <c r="BG66" s="526"/>
      <c r="BH66" s="526"/>
      <c r="BI66" s="597"/>
      <c r="BJ66" s="525" t="s">
        <v>444</v>
      </c>
      <c r="BK66" s="526"/>
      <c r="BL66" s="526"/>
      <c r="BM66" s="526"/>
      <c r="BN66" s="526"/>
      <c r="BO66" s="526"/>
      <c r="BP66" s="526"/>
      <c r="BQ66" s="526"/>
      <c r="BR66" s="526"/>
      <c r="BS66" s="597"/>
      <c r="BT66" s="525" t="s">
        <v>491</v>
      </c>
      <c r="BU66" s="526"/>
      <c r="BV66" s="526"/>
      <c r="BW66" s="526"/>
      <c r="BX66" s="526"/>
      <c r="BY66" s="526"/>
      <c r="BZ66" s="526"/>
      <c r="CA66" s="526"/>
      <c r="CB66" s="526"/>
      <c r="CC66" s="597"/>
      <c r="CD66" s="21"/>
      <c r="CE66" s="525" t="s">
        <v>508</v>
      </c>
      <c r="CF66" s="526"/>
      <c r="CG66" s="526"/>
      <c r="CH66" s="526"/>
      <c r="CI66" s="526"/>
      <c r="CJ66" s="526"/>
      <c r="CK66" s="526"/>
      <c r="CL66" s="526"/>
      <c r="CM66" s="526"/>
      <c r="CN66" s="597"/>
      <c r="CO66" s="21"/>
      <c r="CP66" s="21"/>
    </row>
    <row r="67" spans="1:107" ht="20" customHeight="1" thickBot="1" x14ac:dyDescent="0.25">
      <c r="B67" s="87"/>
      <c r="C67" s="88"/>
      <c r="E67" s="392"/>
      <c r="F67" s="22"/>
      <c r="H67" s="48"/>
      <c r="I67" s="48"/>
      <c r="J67" s="48"/>
      <c r="K67" s="48"/>
      <c r="L67" s="609" t="s">
        <v>428</v>
      </c>
      <c r="M67" s="610"/>
      <c r="N67" s="610"/>
      <c r="O67" s="611"/>
      <c r="P67" s="473" t="s">
        <v>429</v>
      </c>
      <c r="Q67" s="474"/>
      <c r="R67" s="474"/>
      <c r="S67" s="475"/>
      <c r="T67" s="519" t="s">
        <v>487</v>
      </c>
      <c r="U67" s="520"/>
      <c r="V67" s="602" t="s">
        <v>428</v>
      </c>
      <c r="W67" s="603"/>
      <c r="X67" s="603"/>
      <c r="Y67" s="604"/>
      <c r="Z67" s="605" t="s">
        <v>429</v>
      </c>
      <c r="AA67" s="606"/>
      <c r="AB67" s="606"/>
      <c r="AC67" s="607"/>
      <c r="AD67" s="519" t="s">
        <v>487</v>
      </c>
      <c r="AE67" s="520"/>
      <c r="AF67" s="602" t="s">
        <v>428</v>
      </c>
      <c r="AG67" s="603"/>
      <c r="AH67" s="603"/>
      <c r="AI67" s="604"/>
      <c r="AJ67" s="605" t="s">
        <v>429</v>
      </c>
      <c r="AK67" s="606"/>
      <c r="AL67" s="606"/>
      <c r="AM67" s="607"/>
      <c r="AN67" s="519" t="s">
        <v>487</v>
      </c>
      <c r="AO67" s="520"/>
      <c r="AP67" s="602" t="s">
        <v>428</v>
      </c>
      <c r="AQ67" s="603"/>
      <c r="AR67" s="603"/>
      <c r="AS67" s="604"/>
      <c r="AT67" s="605" t="s">
        <v>429</v>
      </c>
      <c r="AU67" s="606"/>
      <c r="AV67" s="606"/>
      <c r="AW67" s="607"/>
      <c r="AX67" s="519" t="s">
        <v>487</v>
      </c>
      <c r="AY67" s="520"/>
      <c r="AZ67" s="602" t="s">
        <v>428</v>
      </c>
      <c r="BA67" s="603"/>
      <c r="BB67" s="603"/>
      <c r="BC67" s="604"/>
      <c r="BD67" s="605" t="s">
        <v>429</v>
      </c>
      <c r="BE67" s="606"/>
      <c r="BF67" s="606"/>
      <c r="BG67" s="607"/>
      <c r="BH67" s="519" t="s">
        <v>487</v>
      </c>
      <c r="BI67" s="520"/>
      <c r="BJ67" s="602" t="s">
        <v>428</v>
      </c>
      <c r="BK67" s="603"/>
      <c r="BL67" s="603"/>
      <c r="BM67" s="604"/>
      <c r="BN67" s="605" t="s">
        <v>429</v>
      </c>
      <c r="BO67" s="606"/>
      <c r="BP67" s="606"/>
      <c r="BQ67" s="607"/>
      <c r="BR67" s="519" t="s">
        <v>487</v>
      </c>
      <c r="BS67" s="520"/>
      <c r="BT67" s="602" t="s">
        <v>428</v>
      </c>
      <c r="BU67" s="603"/>
      <c r="BV67" s="603"/>
      <c r="BW67" s="604"/>
      <c r="BX67" s="605" t="s">
        <v>429</v>
      </c>
      <c r="BY67" s="606"/>
      <c r="BZ67" s="606"/>
      <c r="CA67" s="607"/>
      <c r="CB67" s="519" t="s">
        <v>487</v>
      </c>
      <c r="CC67" s="520"/>
      <c r="CD67" s="21"/>
      <c r="CE67" s="602" t="s">
        <v>428</v>
      </c>
      <c r="CF67" s="603"/>
      <c r="CG67" s="603"/>
      <c r="CH67" s="604"/>
      <c r="CI67" s="605" t="s">
        <v>429</v>
      </c>
      <c r="CJ67" s="606"/>
      <c r="CK67" s="606"/>
      <c r="CL67" s="607"/>
      <c r="CM67" s="519" t="s">
        <v>487</v>
      </c>
      <c r="CN67" s="520"/>
      <c r="CO67" s="47"/>
      <c r="CP67" s="21"/>
    </row>
    <row r="68" spans="1:107" ht="20" customHeight="1" x14ac:dyDescent="0.2">
      <c r="B68" s="89"/>
      <c r="C68" s="90"/>
      <c r="E68" s="22"/>
      <c r="F68" s="22"/>
      <c r="H68" s="370" t="s">
        <v>24</v>
      </c>
      <c r="I68" s="306" t="s">
        <v>322</v>
      </c>
      <c r="J68" s="376" t="s">
        <v>320</v>
      </c>
      <c r="K68" s="458" t="s">
        <v>321</v>
      </c>
      <c r="L68" s="493" t="s">
        <v>439</v>
      </c>
      <c r="M68" s="496" t="s">
        <v>426</v>
      </c>
      <c r="N68" s="477" t="s">
        <v>485</v>
      </c>
      <c r="O68" s="477" t="s">
        <v>482</v>
      </c>
      <c r="P68" s="510" t="s">
        <v>439</v>
      </c>
      <c r="Q68" s="499" t="s">
        <v>426</v>
      </c>
      <c r="R68" s="480" t="s">
        <v>485</v>
      </c>
      <c r="S68" s="480" t="s">
        <v>482</v>
      </c>
      <c r="T68" s="483" t="s">
        <v>486</v>
      </c>
      <c r="U68" s="486" t="s">
        <v>238</v>
      </c>
      <c r="V68" s="493" t="s">
        <v>439</v>
      </c>
      <c r="W68" s="496" t="s">
        <v>426</v>
      </c>
      <c r="X68" s="477" t="s">
        <v>485</v>
      </c>
      <c r="Y68" s="477" t="s">
        <v>482</v>
      </c>
      <c r="Z68" s="510" t="s">
        <v>439</v>
      </c>
      <c r="AA68" s="499" t="s">
        <v>426</v>
      </c>
      <c r="AB68" s="480" t="s">
        <v>485</v>
      </c>
      <c r="AC68" s="480" t="s">
        <v>482</v>
      </c>
      <c r="AD68" s="483" t="s">
        <v>486</v>
      </c>
      <c r="AE68" s="486" t="s">
        <v>238</v>
      </c>
      <c r="AF68" s="493" t="s">
        <v>439</v>
      </c>
      <c r="AG68" s="496" t="s">
        <v>426</v>
      </c>
      <c r="AH68" s="477" t="s">
        <v>485</v>
      </c>
      <c r="AI68" s="477" t="s">
        <v>482</v>
      </c>
      <c r="AJ68" s="510" t="s">
        <v>439</v>
      </c>
      <c r="AK68" s="499" t="s">
        <v>426</v>
      </c>
      <c r="AL68" s="480" t="s">
        <v>485</v>
      </c>
      <c r="AM68" s="480" t="s">
        <v>482</v>
      </c>
      <c r="AN68" s="483" t="s">
        <v>486</v>
      </c>
      <c r="AO68" s="486" t="s">
        <v>238</v>
      </c>
      <c r="AP68" s="493" t="s">
        <v>439</v>
      </c>
      <c r="AQ68" s="496" t="s">
        <v>426</v>
      </c>
      <c r="AR68" s="477" t="s">
        <v>485</v>
      </c>
      <c r="AS68" s="477" t="s">
        <v>482</v>
      </c>
      <c r="AT68" s="510" t="s">
        <v>439</v>
      </c>
      <c r="AU68" s="499" t="s">
        <v>426</v>
      </c>
      <c r="AV68" s="480" t="s">
        <v>485</v>
      </c>
      <c r="AW68" s="480" t="s">
        <v>482</v>
      </c>
      <c r="AX68" s="483" t="s">
        <v>486</v>
      </c>
      <c r="AY68" s="486" t="s">
        <v>238</v>
      </c>
      <c r="AZ68" s="493" t="s">
        <v>439</v>
      </c>
      <c r="BA68" s="496" t="s">
        <v>426</v>
      </c>
      <c r="BB68" s="477" t="s">
        <v>485</v>
      </c>
      <c r="BC68" s="477" t="s">
        <v>482</v>
      </c>
      <c r="BD68" s="510" t="s">
        <v>439</v>
      </c>
      <c r="BE68" s="499" t="s">
        <v>426</v>
      </c>
      <c r="BF68" s="480" t="s">
        <v>485</v>
      </c>
      <c r="BG68" s="480" t="s">
        <v>482</v>
      </c>
      <c r="BH68" s="483" t="s">
        <v>486</v>
      </c>
      <c r="BI68" s="486" t="s">
        <v>238</v>
      </c>
      <c r="BJ68" s="493" t="s">
        <v>439</v>
      </c>
      <c r="BK68" s="496" t="s">
        <v>426</v>
      </c>
      <c r="BL68" s="477" t="s">
        <v>485</v>
      </c>
      <c r="BM68" s="477" t="s">
        <v>482</v>
      </c>
      <c r="BN68" s="510" t="s">
        <v>439</v>
      </c>
      <c r="BO68" s="499" t="s">
        <v>426</v>
      </c>
      <c r="BP68" s="480" t="s">
        <v>485</v>
      </c>
      <c r="BQ68" s="480" t="s">
        <v>482</v>
      </c>
      <c r="BR68" s="483" t="s">
        <v>486</v>
      </c>
      <c r="BS68" s="486" t="s">
        <v>238</v>
      </c>
      <c r="BT68" s="493" t="s">
        <v>439</v>
      </c>
      <c r="BU68" s="496" t="s">
        <v>426</v>
      </c>
      <c r="BV68" s="477" t="s">
        <v>485</v>
      </c>
      <c r="BW68" s="477" t="s">
        <v>482</v>
      </c>
      <c r="BX68" s="510" t="s">
        <v>439</v>
      </c>
      <c r="BY68" s="499" t="s">
        <v>426</v>
      </c>
      <c r="BZ68" s="480" t="s">
        <v>485</v>
      </c>
      <c r="CA68" s="480" t="s">
        <v>482</v>
      </c>
      <c r="CB68" s="483" t="s">
        <v>486</v>
      </c>
      <c r="CC68" s="486" t="s">
        <v>238</v>
      </c>
      <c r="CD68" s="21"/>
      <c r="CE68" s="630" t="s">
        <v>439</v>
      </c>
      <c r="CF68" s="496" t="s">
        <v>426</v>
      </c>
      <c r="CG68" s="477" t="s">
        <v>485</v>
      </c>
      <c r="CH68" s="477" t="s">
        <v>482</v>
      </c>
      <c r="CI68" s="510" t="s">
        <v>439</v>
      </c>
      <c r="CJ68" s="499" t="s">
        <v>426</v>
      </c>
      <c r="CK68" s="480" t="s">
        <v>485</v>
      </c>
      <c r="CL68" s="480" t="s">
        <v>482</v>
      </c>
      <c r="CM68" s="483" t="s">
        <v>486</v>
      </c>
      <c r="CN68" s="486" t="s">
        <v>238</v>
      </c>
      <c r="CO68" s="47"/>
      <c r="CP68" s="21"/>
    </row>
    <row r="69" spans="1:107" ht="23" customHeight="1" x14ac:dyDescent="0.2">
      <c r="A69" s="370" t="s">
        <v>597</v>
      </c>
      <c r="B69" s="370" t="s">
        <v>245</v>
      </c>
      <c r="C69" s="371" t="s">
        <v>479</v>
      </c>
      <c r="E69" s="22"/>
      <c r="F69" s="22"/>
      <c r="H69" s="370"/>
      <c r="I69" s="293"/>
      <c r="J69" s="294"/>
      <c r="K69" s="459"/>
      <c r="L69" s="494"/>
      <c r="M69" s="497"/>
      <c r="N69" s="478"/>
      <c r="O69" s="478"/>
      <c r="P69" s="506"/>
      <c r="Q69" s="499"/>
      <c r="R69" s="481"/>
      <c r="S69" s="481"/>
      <c r="T69" s="484"/>
      <c r="U69" s="487"/>
      <c r="V69" s="494"/>
      <c r="W69" s="497"/>
      <c r="X69" s="478"/>
      <c r="Y69" s="478"/>
      <c r="Z69" s="506"/>
      <c r="AA69" s="499"/>
      <c r="AB69" s="481"/>
      <c r="AC69" s="481"/>
      <c r="AD69" s="484"/>
      <c r="AE69" s="487"/>
      <c r="AF69" s="494"/>
      <c r="AG69" s="497"/>
      <c r="AH69" s="478"/>
      <c r="AI69" s="478"/>
      <c r="AJ69" s="506"/>
      <c r="AK69" s="499"/>
      <c r="AL69" s="481"/>
      <c r="AM69" s="481"/>
      <c r="AN69" s="484"/>
      <c r="AO69" s="487"/>
      <c r="AP69" s="494"/>
      <c r="AQ69" s="497"/>
      <c r="AR69" s="478"/>
      <c r="AS69" s="478"/>
      <c r="AT69" s="506"/>
      <c r="AU69" s="499"/>
      <c r="AV69" s="481"/>
      <c r="AW69" s="481"/>
      <c r="AX69" s="484"/>
      <c r="AY69" s="487"/>
      <c r="AZ69" s="494"/>
      <c r="BA69" s="497"/>
      <c r="BB69" s="478"/>
      <c r="BC69" s="478"/>
      <c r="BD69" s="506"/>
      <c r="BE69" s="499"/>
      <c r="BF69" s="481"/>
      <c r="BG69" s="481"/>
      <c r="BH69" s="484"/>
      <c r="BI69" s="487"/>
      <c r="BJ69" s="494"/>
      <c r="BK69" s="497"/>
      <c r="BL69" s="478"/>
      <c r="BM69" s="478"/>
      <c r="BN69" s="506"/>
      <c r="BO69" s="499"/>
      <c r="BP69" s="481"/>
      <c r="BQ69" s="481"/>
      <c r="BR69" s="484"/>
      <c r="BS69" s="487"/>
      <c r="BT69" s="494"/>
      <c r="BU69" s="497"/>
      <c r="BV69" s="478"/>
      <c r="BW69" s="478"/>
      <c r="BX69" s="506"/>
      <c r="BY69" s="499"/>
      <c r="BZ69" s="481"/>
      <c r="CA69" s="481"/>
      <c r="CB69" s="484"/>
      <c r="CC69" s="487"/>
      <c r="CD69" s="21"/>
      <c r="CE69" s="631"/>
      <c r="CF69" s="497"/>
      <c r="CG69" s="478"/>
      <c r="CH69" s="478"/>
      <c r="CI69" s="506"/>
      <c r="CJ69" s="499"/>
      <c r="CK69" s="481"/>
      <c r="CL69" s="481"/>
      <c r="CM69" s="484"/>
      <c r="CN69" s="487"/>
      <c r="CO69" s="47"/>
      <c r="CP69" s="21"/>
    </row>
    <row r="70" spans="1:107" ht="23" customHeight="1" x14ac:dyDescent="0.2">
      <c r="A70" s="370"/>
      <c r="B70" s="370"/>
      <c r="C70" s="371"/>
      <c r="D70" s="48"/>
      <c r="E70" s="47"/>
      <c r="F70" s="47"/>
      <c r="H70" s="370"/>
      <c r="I70" s="293"/>
      <c r="J70" s="294"/>
      <c r="K70" s="459"/>
      <c r="L70" s="494"/>
      <c r="M70" s="497"/>
      <c r="N70" s="478"/>
      <c r="O70" s="478"/>
      <c r="P70" s="506"/>
      <c r="Q70" s="499"/>
      <c r="R70" s="481"/>
      <c r="S70" s="481"/>
      <c r="T70" s="484"/>
      <c r="U70" s="487"/>
      <c r="V70" s="494"/>
      <c r="W70" s="497"/>
      <c r="X70" s="478"/>
      <c r="Y70" s="478"/>
      <c r="Z70" s="506"/>
      <c r="AA70" s="499"/>
      <c r="AB70" s="481"/>
      <c r="AC70" s="481"/>
      <c r="AD70" s="484"/>
      <c r="AE70" s="487"/>
      <c r="AF70" s="494"/>
      <c r="AG70" s="497"/>
      <c r="AH70" s="478"/>
      <c r="AI70" s="478"/>
      <c r="AJ70" s="506"/>
      <c r="AK70" s="499"/>
      <c r="AL70" s="481"/>
      <c r="AM70" s="481"/>
      <c r="AN70" s="484"/>
      <c r="AO70" s="487"/>
      <c r="AP70" s="494"/>
      <c r="AQ70" s="497"/>
      <c r="AR70" s="478"/>
      <c r="AS70" s="478"/>
      <c r="AT70" s="506"/>
      <c r="AU70" s="499"/>
      <c r="AV70" s="481"/>
      <c r="AW70" s="481"/>
      <c r="AX70" s="484"/>
      <c r="AY70" s="487"/>
      <c r="AZ70" s="494"/>
      <c r="BA70" s="497"/>
      <c r="BB70" s="478"/>
      <c r="BC70" s="478"/>
      <c r="BD70" s="506"/>
      <c r="BE70" s="499"/>
      <c r="BF70" s="481"/>
      <c r="BG70" s="481"/>
      <c r="BH70" s="484"/>
      <c r="BI70" s="487"/>
      <c r="BJ70" s="494"/>
      <c r="BK70" s="497"/>
      <c r="BL70" s="478"/>
      <c r="BM70" s="478"/>
      <c r="BN70" s="506"/>
      <c r="BO70" s="499"/>
      <c r="BP70" s="481"/>
      <c r="BQ70" s="481"/>
      <c r="BR70" s="484"/>
      <c r="BS70" s="487"/>
      <c r="BT70" s="494"/>
      <c r="BU70" s="497"/>
      <c r="BV70" s="478"/>
      <c r="BW70" s="478"/>
      <c r="BX70" s="506"/>
      <c r="BY70" s="499"/>
      <c r="BZ70" s="481"/>
      <c r="CA70" s="481"/>
      <c r="CB70" s="484"/>
      <c r="CC70" s="487"/>
      <c r="CD70" s="21"/>
      <c r="CE70" s="631"/>
      <c r="CF70" s="497"/>
      <c r="CG70" s="478"/>
      <c r="CH70" s="478"/>
      <c r="CI70" s="506"/>
      <c r="CJ70" s="499"/>
      <c r="CK70" s="481"/>
      <c r="CL70" s="481"/>
      <c r="CM70" s="484"/>
      <c r="CN70" s="487"/>
      <c r="CO70" s="47"/>
      <c r="CP70" s="21"/>
    </row>
    <row r="71" spans="1:107" ht="23" customHeight="1" x14ac:dyDescent="0.2">
      <c r="A71" s="370"/>
      <c r="B71" s="370"/>
      <c r="C71" s="371"/>
      <c r="D71" s="48"/>
      <c r="E71" s="47"/>
      <c r="F71" s="47"/>
      <c r="G71" s="48"/>
      <c r="H71" s="370"/>
      <c r="I71" s="293"/>
      <c r="J71" s="294"/>
      <c r="K71" s="459"/>
      <c r="L71" s="494"/>
      <c r="M71" s="497"/>
      <c r="N71" s="478"/>
      <c r="O71" s="478"/>
      <c r="P71" s="506"/>
      <c r="Q71" s="499"/>
      <c r="R71" s="481"/>
      <c r="S71" s="481"/>
      <c r="T71" s="484"/>
      <c r="U71" s="487"/>
      <c r="V71" s="494"/>
      <c r="W71" s="497"/>
      <c r="X71" s="478"/>
      <c r="Y71" s="478"/>
      <c r="Z71" s="506"/>
      <c r="AA71" s="499"/>
      <c r="AB71" s="481"/>
      <c r="AC71" s="481"/>
      <c r="AD71" s="484"/>
      <c r="AE71" s="487"/>
      <c r="AF71" s="494"/>
      <c r="AG71" s="497"/>
      <c r="AH71" s="478"/>
      <c r="AI71" s="478"/>
      <c r="AJ71" s="506"/>
      <c r="AK71" s="499"/>
      <c r="AL71" s="481"/>
      <c r="AM71" s="481"/>
      <c r="AN71" s="484"/>
      <c r="AO71" s="487"/>
      <c r="AP71" s="494"/>
      <c r="AQ71" s="497"/>
      <c r="AR71" s="478"/>
      <c r="AS71" s="478"/>
      <c r="AT71" s="506"/>
      <c r="AU71" s="499"/>
      <c r="AV71" s="481"/>
      <c r="AW71" s="481"/>
      <c r="AX71" s="484"/>
      <c r="AY71" s="487"/>
      <c r="AZ71" s="494"/>
      <c r="BA71" s="497"/>
      <c r="BB71" s="478"/>
      <c r="BC71" s="478"/>
      <c r="BD71" s="506"/>
      <c r="BE71" s="499"/>
      <c r="BF71" s="481"/>
      <c r="BG71" s="481"/>
      <c r="BH71" s="484"/>
      <c r="BI71" s="487"/>
      <c r="BJ71" s="494"/>
      <c r="BK71" s="497"/>
      <c r="BL71" s="478"/>
      <c r="BM71" s="478"/>
      <c r="BN71" s="506"/>
      <c r="BO71" s="499"/>
      <c r="BP71" s="481"/>
      <c r="BQ71" s="481"/>
      <c r="BR71" s="484"/>
      <c r="BS71" s="487"/>
      <c r="BT71" s="494"/>
      <c r="BU71" s="497"/>
      <c r="BV71" s="478"/>
      <c r="BW71" s="478"/>
      <c r="BX71" s="506"/>
      <c r="BY71" s="499"/>
      <c r="BZ71" s="481"/>
      <c r="CA71" s="481"/>
      <c r="CB71" s="484"/>
      <c r="CC71" s="487"/>
      <c r="CD71" s="21"/>
      <c r="CE71" s="631"/>
      <c r="CF71" s="497"/>
      <c r="CG71" s="478"/>
      <c r="CH71" s="478"/>
      <c r="CI71" s="506"/>
      <c r="CJ71" s="499"/>
      <c r="CK71" s="481"/>
      <c r="CL71" s="481"/>
      <c r="CM71" s="484"/>
      <c r="CN71" s="487"/>
      <c r="CO71" s="47"/>
      <c r="CP71" s="21"/>
    </row>
    <row r="72" spans="1:107" ht="23" customHeight="1" thickBot="1" x14ac:dyDescent="0.25">
      <c r="A72" s="452"/>
      <c r="B72" s="452"/>
      <c r="C72" s="453"/>
      <c r="D72" s="91" t="s">
        <v>20</v>
      </c>
      <c r="E72" s="92" t="s">
        <v>21</v>
      </c>
      <c r="F72" s="92" t="s">
        <v>22</v>
      </c>
      <c r="G72" s="91" t="s">
        <v>23</v>
      </c>
      <c r="H72" s="452"/>
      <c r="I72" s="456"/>
      <c r="J72" s="457"/>
      <c r="K72" s="460"/>
      <c r="L72" s="495"/>
      <c r="M72" s="498"/>
      <c r="N72" s="479"/>
      <c r="O72" s="479"/>
      <c r="P72" s="507"/>
      <c r="Q72" s="500"/>
      <c r="R72" s="482"/>
      <c r="S72" s="482"/>
      <c r="T72" s="485"/>
      <c r="U72" s="488"/>
      <c r="V72" s="495"/>
      <c r="W72" s="498"/>
      <c r="X72" s="479"/>
      <c r="Y72" s="479"/>
      <c r="Z72" s="507"/>
      <c r="AA72" s="500"/>
      <c r="AB72" s="482"/>
      <c r="AC72" s="482"/>
      <c r="AD72" s="485"/>
      <c r="AE72" s="488"/>
      <c r="AF72" s="495"/>
      <c r="AG72" s="498"/>
      <c r="AH72" s="479"/>
      <c r="AI72" s="479"/>
      <c r="AJ72" s="507"/>
      <c r="AK72" s="500"/>
      <c r="AL72" s="482"/>
      <c r="AM72" s="482"/>
      <c r="AN72" s="485"/>
      <c r="AO72" s="488"/>
      <c r="AP72" s="495"/>
      <c r="AQ72" s="498"/>
      <c r="AR72" s="479"/>
      <c r="AS72" s="479"/>
      <c r="AT72" s="507"/>
      <c r="AU72" s="500"/>
      <c r="AV72" s="482"/>
      <c r="AW72" s="482"/>
      <c r="AX72" s="485"/>
      <c r="AY72" s="488"/>
      <c r="AZ72" s="495"/>
      <c r="BA72" s="498"/>
      <c r="BB72" s="479"/>
      <c r="BC72" s="479"/>
      <c r="BD72" s="507"/>
      <c r="BE72" s="500"/>
      <c r="BF72" s="482"/>
      <c r="BG72" s="482"/>
      <c r="BH72" s="485"/>
      <c r="BI72" s="488"/>
      <c r="BJ72" s="495"/>
      <c r="BK72" s="498"/>
      <c r="BL72" s="479"/>
      <c r="BM72" s="479"/>
      <c r="BN72" s="507"/>
      <c r="BO72" s="500"/>
      <c r="BP72" s="482"/>
      <c r="BQ72" s="482"/>
      <c r="BR72" s="485"/>
      <c r="BS72" s="488"/>
      <c r="BT72" s="495"/>
      <c r="BU72" s="498"/>
      <c r="BV72" s="479"/>
      <c r="BW72" s="479"/>
      <c r="BX72" s="507"/>
      <c r="BY72" s="500"/>
      <c r="BZ72" s="482"/>
      <c r="CA72" s="482"/>
      <c r="CB72" s="485"/>
      <c r="CC72" s="488"/>
      <c r="CD72" s="21"/>
      <c r="CE72" s="632"/>
      <c r="CF72" s="498"/>
      <c r="CG72" s="479"/>
      <c r="CH72" s="479"/>
      <c r="CI72" s="507"/>
      <c r="CJ72" s="500"/>
      <c r="CK72" s="482"/>
      <c r="CL72" s="482"/>
      <c r="CM72" s="485"/>
      <c r="CN72" s="488"/>
      <c r="CO72" s="140" t="s">
        <v>25</v>
      </c>
      <c r="CP72" s="141"/>
      <c r="CQ72" s="141"/>
      <c r="CR72" s="141"/>
      <c r="CS72" s="141"/>
      <c r="CT72" s="141"/>
      <c r="CU72" s="141"/>
      <c r="CV72" s="141"/>
      <c r="CW72" s="141"/>
      <c r="CX72" s="141"/>
      <c r="CY72" s="141"/>
      <c r="CZ72" s="141"/>
      <c r="DA72" s="141"/>
      <c r="DB72" s="141"/>
      <c r="DC72" s="141"/>
    </row>
    <row r="73" spans="1:107" ht="20" customHeight="1" x14ac:dyDescent="0.2">
      <c r="B73" s="45"/>
      <c r="C73" s="60"/>
      <c r="D73" s="48" t="s">
        <v>85</v>
      </c>
      <c r="E73" s="47" t="s">
        <v>246</v>
      </c>
      <c r="F73" s="47" t="s">
        <v>247</v>
      </c>
      <c r="G73" s="48">
        <v>2015</v>
      </c>
      <c r="H73" s="48"/>
      <c r="I73" s="81">
        <v>40</v>
      </c>
      <c r="J73" s="76" t="s">
        <v>323</v>
      </c>
      <c r="K73" s="82" t="s">
        <v>324</v>
      </c>
      <c r="L73" s="93">
        <v>4.5</v>
      </c>
      <c r="M73" s="94"/>
      <c r="N73" s="94" t="str">
        <f t="shared" ref="N73:N74" si="25">IF(AND(NOT(ISERROR(M73-L73)), L73&lt;&gt;"", M73&lt;&gt;""), M73-L73, "")</f>
        <v/>
      </c>
      <c r="O73" s="95">
        <v>0</v>
      </c>
      <c r="P73" s="152">
        <v>5</v>
      </c>
      <c r="Q73" s="152"/>
      <c r="R73" s="153" t="str">
        <f>IF(AND(NOT(ISERROR(Q73-P73)), P73&lt;&gt;"", Q73&lt;&gt;""), Q73-P73, "")</f>
        <v/>
      </c>
      <c r="S73" s="153">
        <v>0</v>
      </c>
      <c r="T73" s="158"/>
      <c r="U73" s="159"/>
      <c r="V73" s="97"/>
      <c r="W73" s="94"/>
      <c r="X73" s="94" t="str">
        <f t="shared" ref="X73:X103" si="26">IF(AND(NOT(ISERROR(W73-V73)), V73&lt;&gt;"", W73&lt;&gt;""), W73-V73, "")</f>
        <v/>
      </c>
      <c r="Y73" s="95" t="str">
        <f t="shared" ref="Y73:Y103" si="27">IF(NOT(ISERROR(100-(W73/V73)*100)), (100-(W73/V73)*100)*-1, "")</f>
        <v/>
      </c>
      <c r="Z73" s="152"/>
      <c r="AA73" s="152"/>
      <c r="AB73" s="153" t="str">
        <f t="shared" ref="AB73:AB103" si="28">IF(AND(NOT(ISERROR(AA73-Z73)), Z73&lt;&gt;"", AA73&lt;&gt;""), AA73-Z73, "")</f>
        <v/>
      </c>
      <c r="AC73" s="153" t="str">
        <f t="shared" ref="AC73:AC103" si="29">IF(NOT(ISERROR(100-(AA73/Z73)*100)), (100-(AA73/Z73)*100)*-1, "")</f>
        <v/>
      </c>
      <c r="AD73" s="158"/>
      <c r="AE73" s="159"/>
      <c r="AF73" s="104"/>
      <c r="AG73" s="96"/>
      <c r="AH73" s="96" t="str">
        <f t="shared" ref="AH73:AH103" si="30">IF(AND(NOT(ISERROR(AG73-AF73)), AF73&lt;&gt;"", AG73&lt;&gt;""), AG73-AF73, "")</f>
        <v/>
      </c>
      <c r="AI73" s="96"/>
      <c r="AJ73" s="153"/>
      <c r="AK73" s="153"/>
      <c r="AL73" s="153" t="str">
        <f t="shared" ref="AL73:AL103" si="31">IF(AND(NOT(ISERROR(AK73-AJ73)), AJ73&lt;&gt;"", AK73&lt;&gt;""), AK73-AJ73, "")</f>
        <v/>
      </c>
      <c r="AM73" s="156"/>
      <c r="AN73" s="158"/>
      <c r="AO73" s="159"/>
      <c r="AP73" s="106"/>
      <c r="AQ73" s="96"/>
      <c r="AR73" s="96"/>
      <c r="AS73" s="96"/>
      <c r="AT73" s="153"/>
      <c r="AU73" s="153"/>
      <c r="AV73" s="153"/>
      <c r="AW73" s="153"/>
      <c r="AX73" s="158"/>
      <c r="AY73" s="159"/>
      <c r="AZ73" s="109"/>
      <c r="BA73" s="96"/>
      <c r="BB73" s="96"/>
      <c r="BC73" s="96"/>
      <c r="BD73" s="153"/>
      <c r="BE73" s="153"/>
      <c r="BF73" s="153"/>
      <c r="BG73" s="153"/>
      <c r="BH73" s="158"/>
      <c r="BI73" s="159"/>
      <c r="BJ73" s="104"/>
      <c r="BK73" s="96"/>
      <c r="BL73" s="96"/>
      <c r="BM73" s="96"/>
      <c r="BN73" s="153"/>
      <c r="BO73" s="153"/>
      <c r="BP73" s="153"/>
      <c r="BQ73" s="153"/>
      <c r="BR73" s="158"/>
      <c r="BS73" s="159"/>
      <c r="BT73" s="104"/>
      <c r="BU73" s="96"/>
      <c r="BV73" s="96"/>
      <c r="BW73" s="96"/>
      <c r="BX73" s="153"/>
      <c r="BY73" s="153"/>
      <c r="BZ73" s="153"/>
      <c r="CA73" s="153"/>
      <c r="CB73" s="158"/>
      <c r="CC73" s="159"/>
      <c r="CD73" s="21"/>
      <c r="CE73" s="104"/>
      <c r="CF73" s="96"/>
      <c r="CG73" s="96"/>
      <c r="CH73" s="96"/>
      <c r="CI73" s="153"/>
      <c r="CJ73" s="153"/>
      <c r="CK73" s="153"/>
      <c r="CL73" s="153"/>
      <c r="CM73" s="158"/>
      <c r="CN73" s="159"/>
      <c r="CO73" s="47" t="s">
        <v>430</v>
      </c>
      <c r="CP73" s="21"/>
    </row>
    <row r="74" spans="1:107" ht="20" customHeight="1" x14ac:dyDescent="0.2">
      <c r="B74" s="45"/>
      <c r="C74" s="58"/>
      <c r="D74" s="22" t="s">
        <v>85</v>
      </c>
      <c r="E74" s="21" t="s">
        <v>250</v>
      </c>
      <c r="F74" s="21" t="s">
        <v>251</v>
      </c>
      <c r="G74" s="22">
        <v>2008</v>
      </c>
      <c r="I74" s="65">
        <v>13</v>
      </c>
      <c r="J74" s="61" t="s">
        <v>217</v>
      </c>
      <c r="K74" s="83" t="s">
        <v>330</v>
      </c>
      <c r="L74" s="99"/>
      <c r="M74" s="100"/>
      <c r="N74" s="100" t="str">
        <f t="shared" si="25"/>
        <v/>
      </c>
      <c r="O74" s="101" t="str">
        <f t="shared" ref="O74:O103" si="32">IF(NOT(ISERROR(100-(M74/L74)*100)), (100-(M74/L74)*100)*-1, "")</f>
        <v/>
      </c>
      <c r="P74" s="154"/>
      <c r="Q74" s="154"/>
      <c r="R74" s="155" t="str">
        <f t="shared" ref="R74:R103" si="33">IF(AND(NOT(ISERROR(Q74-P74)), P74&lt;&gt;"", Q74&lt;&gt;""), Q74-P74, "")</f>
        <v/>
      </c>
      <c r="S74" s="155" t="str">
        <f t="shared" ref="S74:S103" si="34">IF(NOT(ISERROR(100-(Q74/P74)*100)), (100-(Q74/P74)*100)*-1, "")</f>
        <v/>
      </c>
      <c r="T74" s="160"/>
      <c r="U74" s="161"/>
      <c r="V74" s="103"/>
      <c r="W74" s="100"/>
      <c r="X74" s="100" t="str">
        <f t="shared" si="26"/>
        <v/>
      </c>
      <c r="Y74" s="101" t="str">
        <f t="shared" si="27"/>
        <v/>
      </c>
      <c r="Z74" s="154"/>
      <c r="AA74" s="154"/>
      <c r="AB74" s="155" t="str">
        <f t="shared" si="28"/>
        <v/>
      </c>
      <c r="AC74" s="155" t="str">
        <f t="shared" si="29"/>
        <v/>
      </c>
      <c r="AD74" s="160"/>
      <c r="AE74" s="161"/>
      <c r="AF74" s="105"/>
      <c r="AG74" s="102"/>
      <c r="AH74" s="102" t="str">
        <f t="shared" si="30"/>
        <v/>
      </c>
      <c r="AI74" s="102"/>
      <c r="AJ74" s="155"/>
      <c r="AK74" s="155"/>
      <c r="AL74" s="155" t="str">
        <f t="shared" si="31"/>
        <v/>
      </c>
      <c r="AM74" s="157"/>
      <c r="AN74" s="160"/>
      <c r="AO74" s="161"/>
      <c r="AP74" s="107"/>
      <c r="AQ74" s="102"/>
      <c r="AR74" s="102"/>
      <c r="AS74" s="102"/>
      <c r="AT74" s="155"/>
      <c r="AU74" s="155"/>
      <c r="AV74" s="155"/>
      <c r="AW74" s="155"/>
      <c r="AX74" s="160"/>
      <c r="AY74" s="161"/>
      <c r="AZ74" s="103"/>
      <c r="BA74" s="102"/>
      <c r="BB74" s="102"/>
      <c r="BC74" s="102"/>
      <c r="BD74" s="155"/>
      <c r="BE74" s="155"/>
      <c r="BF74" s="155"/>
      <c r="BG74" s="155"/>
      <c r="BH74" s="160"/>
      <c r="BI74" s="161"/>
      <c r="BJ74" s="105"/>
      <c r="BK74" s="102"/>
      <c r="BL74" s="102"/>
      <c r="BM74" s="102"/>
      <c r="BN74" s="155"/>
      <c r="BO74" s="155"/>
      <c r="BP74" s="155"/>
      <c r="BQ74" s="155"/>
      <c r="BR74" s="160"/>
      <c r="BS74" s="161"/>
      <c r="BT74" s="195"/>
      <c r="BU74" s="196">
        <v>0.41</v>
      </c>
      <c r="BV74" s="196"/>
      <c r="BW74" s="196"/>
      <c r="BX74" s="155"/>
      <c r="BY74" s="155">
        <v>0.5</v>
      </c>
      <c r="BZ74" s="155"/>
      <c r="CA74" s="155"/>
      <c r="CB74" s="197">
        <v>-0.09</v>
      </c>
      <c r="CC74" s="198"/>
      <c r="CD74" s="21"/>
      <c r="CE74" s="195"/>
      <c r="CF74" s="196">
        <v>0.45</v>
      </c>
      <c r="CG74" s="196"/>
      <c r="CH74" s="196"/>
      <c r="CI74" s="155"/>
      <c r="CJ74" s="224">
        <v>0.51</v>
      </c>
      <c r="CK74" s="155"/>
      <c r="CL74" s="155"/>
      <c r="CM74" s="197">
        <v>-0.06</v>
      </c>
      <c r="CN74" s="198"/>
      <c r="CO74" s="21"/>
      <c r="CP74" s="21"/>
    </row>
    <row r="75" spans="1:107" ht="20" customHeight="1" x14ac:dyDescent="0.2">
      <c r="B75" s="45"/>
      <c r="C75" s="58"/>
      <c r="D75" s="22" t="s">
        <v>85</v>
      </c>
      <c r="E75" s="21" t="s">
        <v>41</v>
      </c>
      <c r="F75" s="21" t="s">
        <v>42</v>
      </c>
      <c r="G75" s="22">
        <v>2004</v>
      </c>
      <c r="H75" s="22">
        <v>79</v>
      </c>
      <c r="I75" s="65">
        <v>12</v>
      </c>
      <c r="J75" s="61" t="s">
        <v>167</v>
      </c>
      <c r="K75" s="83" t="s">
        <v>168</v>
      </c>
      <c r="L75" s="99">
        <v>7.4</v>
      </c>
      <c r="M75" s="100">
        <v>3.4</v>
      </c>
      <c r="N75" s="100">
        <f>IF(AND(NOT(ISERROR(M75-L75)), L75&lt;&gt;"", M75&lt;&gt;""), M75-L75, "")</f>
        <v>-4</v>
      </c>
      <c r="O75" s="101">
        <f t="shared" si="32"/>
        <v>-54.054054054054056</v>
      </c>
      <c r="P75" s="154">
        <v>8.9</v>
      </c>
      <c r="Q75" s="154">
        <v>7</v>
      </c>
      <c r="R75" s="155">
        <f t="shared" si="33"/>
        <v>-1.9000000000000004</v>
      </c>
      <c r="S75" s="155">
        <f t="shared" si="34"/>
        <v>-21.348314606741582</v>
      </c>
      <c r="T75" s="160"/>
      <c r="U75" s="161"/>
      <c r="V75" s="228">
        <v>8.9</v>
      </c>
      <c r="W75" s="226">
        <v>6</v>
      </c>
      <c r="X75" s="100">
        <f t="shared" si="26"/>
        <v>-2.9000000000000004</v>
      </c>
      <c r="Y75" s="101">
        <f t="shared" si="27"/>
        <v>-32.584269662921344</v>
      </c>
      <c r="Z75" s="227">
        <v>7.3</v>
      </c>
      <c r="AA75" s="227">
        <v>5.7</v>
      </c>
      <c r="AB75" s="155">
        <f t="shared" si="28"/>
        <v>-1.5999999999999996</v>
      </c>
      <c r="AC75" s="155">
        <f t="shared" si="29"/>
        <v>-21.917808219178085</v>
      </c>
      <c r="AD75" s="197"/>
      <c r="AE75" s="198"/>
      <c r="AF75" s="105"/>
      <c r="AG75" s="102"/>
      <c r="AH75" s="102" t="str">
        <f t="shared" si="30"/>
        <v/>
      </c>
      <c r="AI75" s="102"/>
      <c r="AJ75" s="155"/>
      <c r="AK75" s="155"/>
      <c r="AL75" s="155" t="str">
        <f t="shared" si="31"/>
        <v/>
      </c>
      <c r="AM75" s="157"/>
      <c r="AN75" s="160"/>
      <c r="AO75" s="161"/>
      <c r="AP75" s="107"/>
      <c r="AQ75" s="102"/>
      <c r="AR75" s="102"/>
      <c r="AS75" s="102"/>
      <c r="AT75" s="155"/>
      <c r="AU75" s="155"/>
      <c r="AV75" s="155"/>
      <c r="AW75" s="155"/>
      <c r="AX75" s="160"/>
      <c r="AY75" s="161"/>
      <c r="AZ75" s="103"/>
      <c r="BA75" s="102"/>
      <c r="BB75" s="102"/>
      <c r="BC75" s="102"/>
      <c r="BD75" s="155"/>
      <c r="BE75" s="155"/>
      <c r="BF75" s="155"/>
      <c r="BG75" s="155"/>
      <c r="BH75" s="160"/>
      <c r="BI75" s="161"/>
      <c r="BJ75" s="105"/>
      <c r="BK75" s="102"/>
      <c r="BL75" s="102"/>
      <c r="BM75" s="102"/>
      <c r="BN75" s="155"/>
      <c r="BO75" s="155"/>
      <c r="BP75" s="155"/>
      <c r="BQ75" s="155"/>
      <c r="BR75" s="160"/>
      <c r="BS75" s="161"/>
      <c r="BT75" s="105"/>
      <c r="BU75" s="102"/>
      <c r="BV75" s="102"/>
      <c r="BW75" s="102"/>
      <c r="BX75" s="155"/>
      <c r="BY75" s="155"/>
      <c r="BZ75" s="155"/>
      <c r="CA75" s="155"/>
      <c r="CB75" s="160"/>
      <c r="CC75" s="161"/>
      <c r="CD75" s="21"/>
      <c r="CE75" s="105"/>
      <c r="CF75" s="102"/>
      <c r="CG75" s="102"/>
      <c r="CH75" s="102"/>
      <c r="CI75" s="155"/>
      <c r="CJ75" s="155"/>
      <c r="CK75" s="155"/>
      <c r="CL75" s="155"/>
      <c r="CM75" s="160"/>
      <c r="CN75" s="161"/>
      <c r="CO75" s="21" t="s">
        <v>435</v>
      </c>
      <c r="CP75" s="21"/>
    </row>
    <row r="76" spans="1:107" ht="20" customHeight="1" x14ac:dyDescent="0.2">
      <c r="B76" s="45"/>
      <c r="C76" s="59"/>
      <c r="D76" s="22" t="s">
        <v>85</v>
      </c>
      <c r="E76" s="21" t="s">
        <v>252</v>
      </c>
      <c r="F76" s="21" t="s">
        <v>253</v>
      </c>
      <c r="G76" s="22">
        <v>2014</v>
      </c>
      <c r="I76" s="65">
        <v>48</v>
      </c>
      <c r="J76" s="61" t="s">
        <v>213</v>
      </c>
      <c r="K76" s="83" t="s">
        <v>332</v>
      </c>
      <c r="L76" s="99">
        <v>7.2</v>
      </c>
      <c r="M76" s="100">
        <v>5.3</v>
      </c>
      <c r="N76" s="100">
        <f t="shared" ref="N76:N103" si="35">IF(AND(NOT(ISERROR(M76-L76)), L76&lt;&gt;"", M76&lt;&gt;""), M76-L76, "")</f>
        <v>-1.9000000000000004</v>
      </c>
      <c r="O76" s="101">
        <f t="shared" si="32"/>
        <v>-26.3888888888889</v>
      </c>
      <c r="P76" s="154">
        <v>5.5</v>
      </c>
      <c r="Q76" s="154">
        <v>5.4</v>
      </c>
      <c r="R76" s="155">
        <f t="shared" si="33"/>
        <v>-9.9999999999999645E-2</v>
      </c>
      <c r="S76" s="155">
        <f t="shared" si="34"/>
        <v>-1.818181818181813</v>
      </c>
      <c r="T76" s="160"/>
      <c r="U76" s="161"/>
      <c r="V76" s="103"/>
      <c r="W76" s="100"/>
      <c r="X76" s="100" t="str">
        <f t="shared" si="26"/>
        <v/>
      </c>
      <c r="Y76" s="101" t="str">
        <f t="shared" si="27"/>
        <v/>
      </c>
      <c r="Z76" s="154"/>
      <c r="AA76" s="154"/>
      <c r="AB76" s="155" t="str">
        <f t="shared" si="28"/>
        <v/>
      </c>
      <c r="AC76" s="155" t="str">
        <f t="shared" si="29"/>
        <v/>
      </c>
      <c r="AD76" s="160"/>
      <c r="AE76" s="161"/>
      <c r="AF76" s="105"/>
      <c r="AG76" s="102"/>
      <c r="AH76" s="102" t="str">
        <f t="shared" si="30"/>
        <v/>
      </c>
      <c r="AI76" s="102"/>
      <c r="AJ76" s="155"/>
      <c r="AK76" s="155"/>
      <c r="AL76" s="155" t="str">
        <f t="shared" si="31"/>
        <v/>
      </c>
      <c r="AM76" s="157"/>
      <c r="AN76" s="160"/>
      <c r="AO76" s="161"/>
      <c r="AP76" s="107"/>
      <c r="AQ76" s="102"/>
      <c r="AR76" s="102"/>
      <c r="AS76" s="102"/>
      <c r="AT76" s="155"/>
      <c r="AU76" s="155"/>
      <c r="AV76" s="155"/>
      <c r="AW76" s="155"/>
      <c r="AX76" s="160"/>
      <c r="AY76" s="161"/>
      <c r="AZ76" s="103"/>
      <c r="BA76" s="102"/>
      <c r="BB76" s="102"/>
      <c r="BC76" s="102"/>
      <c r="BD76" s="155"/>
      <c r="BE76" s="155"/>
      <c r="BF76" s="155"/>
      <c r="BG76" s="155"/>
      <c r="BH76" s="160"/>
      <c r="BI76" s="161"/>
      <c r="BJ76" s="105"/>
      <c r="BK76" s="102"/>
      <c r="BL76" s="102"/>
      <c r="BM76" s="102"/>
      <c r="BN76" s="155"/>
      <c r="BO76" s="155"/>
      <c r="BP76" s="155"/>
      <c r="BQ76" s="155"/>
      <c r="BR76" s="160"/>
      <c r="BS76" s="161"/>
      <c r="BT76" s="105"/>
      <c r="BU76" s="102"/>
      <c r="BV76" s="102"/>
      <c r="BW76" s="102"/>
      <c r="BX76" s="155"/>
      <c r="BY76" s="155"/>
      <c r="BZ76" s="155"/>
      <c r="CA76" s="155"/>
      <c r="CB76" s="160"/>
      <c r="CC76" s="161"/>
      <c r="CD76" s="21"/>
      <c r="CE76" s="105"/>
      <c r="CF76" s="102"/>
      <c r="CG76" s="102"/>
      <c r="CH76" s="102"/>
      <c r="CI76" s="155"/>
      <c r="CJ76" s="155"/>
      <c r="CK76" s="155"/>
      <c r="CL76" s="155"/>
      <c r="CM76" s="160"/>
      <c r="CN76" s="161"/>
      <c r="CO76" s="21" t="s">
        <v>436</v>
      </c>
      <c r="CP76" s="21"/>
    </row>
    <row r="77" spans="1:107" ht="20" customHeight="1" x14ac:dyDescent="0.2">
      <c r="B77" s="45"/>
      <c r="C77" s="59"/>
      <c r="D77" s="22" t="s">
        <v>85</v>
      </c>
      <c r="E77" s="21" t="s">
        <v>256</v>
      </c>
      <c r="F77" s="21" t="s">
        <v>257</v>
      </c>
      <c r="G77" s="22">
        <v>2012</v>
      </c>
      <c r="I77" s="65">
        <v>80</v>
      </c>
      <c r="J77" s="61" t="s">
        <v>213</v>
      </c>
      <c r="K77" s="83" t="s">
        <v>190</v>
      </c>
      <c r="L77" s="99"/>
      <c r="M77" s="100"/>
      <c r="N77" s="100" t="str">
        <f t="shared" si="35"/>
        <v/>
      </c>
      <c r="O77" s="101" t="str">
        <f t="shared" si="32"/>
        <v/>
      </c>
      <c r="P77" s="154"/>
      <c r="Q77" s="154"/>
      <c r="R77" s="155" t="str">
        <f t="shared" si="33"/>
        <v/>
      </c>
      <c r="S77" s="155" t="str">
        <f t="shared" si="34"/>
        <v/>
      </c>
      <c r="T77" s="160"/>
      <c r="U77" s="161"/>
      <c r="V77" s="103"/>
      <c r="W77" s="100"/>
      <c r="X77" s="100" t="str">
        <f t="shared" si="26"/>
        <v/>
      </c>
      <c r="Y77" s="101" t="str">
        <f t="shared" si="27"/>
        <v/>
      </c>
      <c r="Z77" s="154"/>
      <c r="AA77" s="154"/>
      <c r="AB77" s="155" t="str">
        <f t="shared" si="28"/>
        <v/>
      </c>
      <c r="AC77" s="155" t="str">
        <f t="shared" si="29"/>
        <v/>
      </c>
      <c r="AD77" s="160"/>
      <c r="AE77" s="161"/>
      <c r="AF77" s="105">
        <v>66.67</v>
      </c>
      <c r="AG77" s="102">
        <v>54.78</v>
      </c>
      <c r="AH77" s="102">
        <f t="shared" si="30"/>
        <v>-11.89</v>
      </c>
      <c r="AI77" s="102">
        <f t="shared" ref="AI77" si="36">IF(NOT(ISERROR(100-(AG77/AF77)*100)), (100-(AG77/AF77)*100)*-1, "")</f>
        <v>-17.834108294585278</v>
      </c>
      <c r="AJ77" s="155">
        <v>64.2</v>
      </c>
      <c r="AK77" s="155">
        <v>64.8</v>
      </c>
      <c r="AL77" s="155">
        <f t="shared" si="31"/>
        <v>0.59999999999999432</v>
      </c>
      <c r="AM77" s="157">
        <f t="shared" ref="AM77" si="37">IF(NOT(ISERROR(100-(AK77/AJ77)*100)), (100-(AK77/AJ77)*100)*-1, "")</f>
        <v>0.93457943925233167</v>
      </c>
      <c r="AN77" s="160"/>
      <c r="AO77" s="161"/>
      <c r="AP77" s="107"/>
      <c r="AQ77" s="102"/>
      <c r="AR77" s="102"/>
      <c r="AS77" s="102"/>
      <c r="AT77" s="155"/>
      <c r="AU77" s="155"/>
      <c r="AV77" s="155"/>
      <c r="AW77" s="155"/>
      <c r="AX77" s="160"/>
      <c r="AY77" s="161"/>
      <c r="AZ77" s="103"/>
      <c r="BA77" s="102"/>
      <c r="BB77" s="102"/>
      <c r="BC77" s="102"/>
      <c r="BD77" s="155"/>
      <c r="BE77" s="155"/>
      <c r="BF77" s="155"/>
      <c r="BG77" s="155"/>
      <c r="BH77" s="160"/>
      <c r="BI77" s="161"/>
      <c r="BJ77" s="105"/>
      <c r="BK77" s="102"/>
      <c r="BL77" s="102"/>
      <c r="BM77" s="102"/>
      <c r="BN77" s="155"/>
      <c r="BO77" s="155"/>
      <c r="BP77" s="155"/>
      <c r="BQ77" s="155"/>
      <c r="BR77" s="160"/>
      <c r="BS77" s="161"/>
      <c r="BT77" s="105"/>
      <c r="BU77" s="102"/>
      <c r="BV77" s="102"/>
      <c r="BW77" s="102"/>
      <c r="BX77" s="155"/>
      <c r="BY77" s="155"/>
      <c r="BZ77" s="155"/>
      <c r="CA77" s="155"/>
      <c r="CB77" s="160"/>
      <c r="CC77" s="161"/>
      <c r="CD77" s="21"/>
      <c r="CE77" s="105"/>
      <c r="CF77" s="102"/>
      <c r="CG77" s="102"/>
      <c r="CH77" s="102"/>
      <c r="CI77" s="155"/>
      <c r="CJ77" s="155"/>
      <c r="CK77" s="155"/>
      <c r="CL77" s="155"/>
      <c r="CM77" s="160"/>
      <c r="CN77" s="161"/>
      <c r="CO77" s="21" t="s">
        <v>223</v>
      </c>
      <c r="CP77" s="21"/>
    </row>
    <row r="78" spans="1:107" ht="20" customHeight="1" x14ac:dyDescent="0.2">
      <c r="B78" s="45"/>
      <c r="C78" s="58"/>
      <c r="D78" s="22" t="s">
        <v>85</v>
      </c>
      <c r="E78" s="21" t="s">
        <v>258</v>
      </c>
      <c r="F78" s="21" t="s">
        <v>259</v>
      </c>
      <c r="G78" s="22">
        <v>2013</v>
      </c>
      <c r="I78" s="65">
        <v>12</v>
      </c>
      <c r="J78" s="61" t="s">
        <v>213</v>
      </c>
      <c r="K78" s="83" t="s">
        <v>333</v>
      </c>
      <c r="L78" s="99"/>
      <c r="M78" s="100"/>
      <c r="N78" s="100" t="str">
        <f t="shared" si="35"/>
        <v/>
      </c>
      <c r="O78" s="101" t="str">
        <f t="shared" si="32"/>
        <v/>
      </c>
      <c r="P78" s="154"/>
      <c r="Q78" s="154"/>
      <c r="R78" s="155" t="str">
        <f t="shared" si="33"/>
        <v/>
      </c>
      <c r="S78" s="155" t="str">
        <f t="shared" si="34"/>
        <v/>
      </c>
      <c r="T78" s="160"/>
      <c r="U78" s="161"/>
      <c r="V78" s="103"/>
      <c r="W78" s="100"/>
      <c r="X78" s="100" t="str">
        <f t="shared" si="26"/>
        <v/>
      </c>
      <c r="Y78" s="101" t="str">
        <f t="shared" si="27"/>
        <v/>
      </c>
      <c r="Z78" s="154"/>
      <c r="AA78" s="154"/>
      <c r="AB78" s="155" t="str">
        <f t="shared" si="28"/>
        <v/>
      </c>
      <c r="AC78" s="155" t="str">
        <f t="shared" si="29"/>
        <v/>
      </c>
      <c r="AD78" s="160"/>
      <c r="AE78" s="161"/>
      <c r="AF78" s="105"/>
      <c r="AG78" s="102"/>
      <c r="AH78" s="102" t="str">
        <f t="shared" si="30"/>
        <v/>
      </c>
      <c r="AI78" s="102"/>
      <c r="AJ78" s="155"/>
      <c r="AK78" s="155"/>
      <c r="AL78" s="155" t="str">
        <f t="shared" si="31"/>
        <v/>
      </c>
      <c r="AM78" s="157"/>
      <c r="AN78" s="160"/>
      <c r="AO78" s="161"/>
      <c r="AP78" s="107"/>
      <c r="AQ78" s="102"/>
      <c r="AR78" s="102"/>
      <c r="AS78" s="102"/>
      <c r="AT78" s="155"/>
      <c r="AU78" s="155"/>
      <c r="AV78" s="155"/>
      <c r="AW78" s="155"/>
      <c r="AX78" s="160"/>
      <c r="AY78" s="161"/>
      <c r="AZ78" s="103"/>
      <c r="BA78" s="102"/>
      <c r="BB78" s="102"/>
      <c r="BC78" s="102"/>
      <c r="BD78" s="155"/>
      <c r="BE78" s="155"/>
      <c r="BF78" s="155"/>
      <c r="BG78" s="155"/>
      <c r="BH78" s="160"/>
      <c r="BI78" s="161"/>
      <c r="BJ78" s="105"/>
      <c r="BK78" s="102"/>
      <c r="BL78" s="102"/>
      <c r="BM78" s="102"/>
      <c r="BN78" s="155"/>
      <c r="BO78" s="155"/>
      <c r="BP78" s="155"/>
      <c r="BQ78" s="155"/>
      <c r="BR78" s="160"/>
      <c r="BS78" s="161"/>
      <c r="BT78" s="105"/>
      <c r="BU78" s="102"/>
      <c r="BV78" s="102"/>
      <c r="BW78" s="102"/>
      <c r="BX78" s="155"/>
      <c r="BY78" s="155"/>
      <c r="BZ78" s="155"/>
      <c r="CA78" s="155"/>
      <c r="CB78" s="160"/>
      <c r="CC78" s="161"/>
      <c r="CD78" s="21"/>
      <c r="CE78" s="105"/>
      <c r="CF78" s="102"/>
      <c r="CG78" s="102"/>
      <c r="CH78" s="102"/>
      <c r="CI78" s="155"/>
      <c r="CJ78" s="155"/>
      <c r="CK78" s="155"/>
      <c r="CL78" s="155"/>
      <c r="CM78" s="160"/>
      <c r="CN78" s="161"/>
      <c r="CO78" s="21"/>
      <c r="CP78" s="21"/>
    </row>
    <row r="79" spans="1:107" ht="20" customHeight="1" x14ac:dyDescent="0.2">
      <c r="B79" s="45"/>
      <c r="C79" s="58"/>
      <c r="D79" s="22" t="s">
        <v>85</v>
      </c>
      <c r="E79" s="21" t="s">
        <v>264</v>
      </c>
      <c r="F79" s="21" t="s">
        <v>265</v>
      </c>
      <c r="G79" s="22">
        <v>1994</v>
      </c>
      <c r="I79" s="65">
        <v>20</v>
      </c>
      <c r="J79" s="61" t="s">
        <v>335</v>
      </c>
      <c r="K79" s="83"/>
      <c r="L79" s="99"/>
      <c r="M79" s="100"/>
      <c r="N79" s="100" t="str">
        <f t="shared" si="35"/>
        <v/>
      </c>
      <c r="O79" s="101" t="str">
        <f t="shared" si="32"/>
        <v/>
      </c>
      <c r="P79" s="154"/>
      <c r="Q79" s="154"/>
      <c r="R79" s="155" t="str">
        <f t="shared" si="33"/>
        <v/>
      </c>
      <c r="S79" s="155" t="str">
        <f t="shared" si="34"/>
        <v/>
      </c>
      <c r="T79" s="160"/>
      <c r="U79" s="161"/>
      <c r="V79" s="103"/>
      <c r="W79" s="100"/>
      <c r="X79" s="100" t="str">
        <f t="shared" si="26"/>
        <v/>
      </c>
      <c r="Y79" s="101" t="str">
        <f t="shared" si="27"/>
        <v/>
      </c>
      <c r="Z79" s="154"/>
      <c r="AA79" s="154"/>
      <c r="AB79" s="155" t="str">
        <f t="shared" si="28"/>
        <v/>
      </c>
      <c r="AC79" s="155" t="str">
        <f t="shared" si="29"/>
        <v/>
      </c>
      <c r="AD79" s="160"/>
      <c r="AE79" s="161"/>
      <c r="AF79" s="105"/>
      <c r="AG79" s="102"/>
      <c r="AH79" s="102" t="str">
        <f t="shared" si="30"/>
        <v/>
      </c>
      <c r="AI79" s="102"/>
      <c r="AJ79" s="155"/>
      <c r="AK79" s="155"/>
      <c r="AL79" s="155" t="str">
        <f t="shared" si="31"/>
        <v/>
      </c>
      <c r="AM79" s="157"/>
      <c r="AN79" s="160"/>
      <c r="AO79" s="161"/>
      <c r="AP79" s="107">
        <v>3.61</v>
      </c>
      <c r="AQ79" s="102"/>
      <c r="AR79" s="102"/>
      <c r="AS79" s="102"/>
      <c r="AT79" s="155">
        <v>3.15</v>
      </c>
      <c r="AU79" s="155"/>
      <c r="AV79" s="155"/>
      <c r="AW79" s="155"/>
      <c r="AX79" s="160"/>
      <c r="AY79" s="161"/>
      <c r="AZ79" s="103"/>
      <c r="BA79" s="102"/>
      <c r="BB79" s="102"/>
      <c r="BC79" s="102"/>
      <c r="BD79" s="155"/>
      <c r="BE79" s="155"/>
      <c r="BF79" s="155"/>
      <c r="BG79" s="155"/>
      <c r="BH79" s="160"/>
      <c r="BI79" s="161"/>
      <c r="BJ79" s="105"/>
      <c r="BK79" s="102"/>
      <c r="BL79" s="102"/>
      <c r="BM79" s="102"/>
      <c r="BN79" s="155"/>
      <c r="BO79" s="155"/>
      <c r="BP79" s="155"/>
      <c r="BQ79" s="155"/>
      <c r="BR79" s="160"/>
      <c r="BS79" s="161"/>
      <c r="BT79" s="105"/>
      <c r="BU79" s="102"/>
      <c r="BV79" s="102"/>
      <c r="BW79" s="102"/>
      <c r="BX79" s="155"/>
      <c r="BY79" s="155"/>
      <c r="BZ79" s="155"/>
      <c r="CA79" s="155"/>
      <c r="CB79" s="160"/>
      <c r="CC79" s="161"/>
      <c r="CD79" s="21"/>
      <c r="CE79" s="105"/>
      <c r="CF79" s="102"/>
      <c r="CG79" s="102"/>
      <c r="CH79" s="102"/>
      <c r="CI79" s="155"/>
      <c r="CJ79" s="155"/>
      <c r="CK79" s="155"/>
      <c r="CL79" s="155"/>
      <c r="CM79" s="160"/>
      <c r="CN79" s="161"/>
      <c r="CO79" s="21"/>
      <c r="CP79" s="21"/>
    </row>
    <row r="80" spans="1:107" ht="20" customHeight="1" x14ac:dyDescent="0.2">
      <c r="B80" s="45"/>
      <c r="C80" s="59"/>
      <c r="D80" s="22" t="s">
        <v>85</v>
      </c>
      <c r="E80" s="21" t="s">
        <v>59</v>
      </c>
      <c r="F80" s="21" t="s">
        <v>60</v>
      </c>
      <c r="G80" s="22">
        <v>2009</v>
      </c>
      <c r="H80" s="22">
        <v>49</v>
      </c>
      <c r="I80" s="65">
        <v>22</v>
      </c>
      <c r="J80" s="61" t="s">
        <v>175</v>
      </c>
      <c r="K80" s="83" t="s">
        <v>188</v>
      </c>
      <c r="L80" s="99"/>
      <c r="M80" s="100"/>
      <c r="N80" s="100" t="str">
        <f t="shared" si="35"/>
        <v/>
      </c>
      <c r="O80" s="101" t="str">
        <f t="shared" si="32"/>
        <v/>
      </c>
      <c r="P80" s="154"/>
      <c r="Q80" s="154"/>
      <c r="R80" s="155" t="str">
        <f t="shared" si="33"/>
        <v/>
      </c>
      <c r="S80" s="155" t="str">
        <f t="shared" si="34"/>
        <v/>
      </c>
      <c r="T80" s="160"/>
      <c r="U80" s="161"/>
      <c r="V80" s="103"/>
      <c r="W80" s="100"/>
      <c r="X80" s="100" t="str">
        <f t="shared" si="26"/>
        <v/>
      </c>
      <c r="Y80" s="101" t="str">
        <f t="shared" si="27"/>
        <v/>
      </c>
      <c r="Z80" s="154"/>
      <c r="AA80" s="154"/>
      <c r="AB80" s="155" t="str">
        <f t="shared" si="28"/>
        <v/>
      </c>
      <c r="AC80" s="155" t="str">
        <f t="shared" si="29"/>
        <v/>
      </c>
      <c r="AD80" s="160"/>
      <c r="AE80" s="161"/>
      <c r="AF80" s="105"/>
      <c r="AG80" s="102"/>
      <c r="AH80" s="102" t="str">
        <f t="shared" si="30"/>
        <v/>
      </c>
      <c r="AI80" s="102"/>
      <c r="AJ80" s="155"/>
      <c r="AK80" s="155"/>
      <c r="AL80" s="155" t="str">
        <f t="shared" si="31"/>
        <v/>
      </c>
      <c r="AM80" s="157"/>
      <c r="AN80" s="160"/>
      <c r="AO80" s="161"/>
      <c r="AP80" s="107"/>
      <c r="AQ80" s="102"/>
      <c r="AR80" s="102"/>
      <c r="AS80" s="102"/>
      <c r="AT80" s="155"/>
      <c r="AU80" s="155"/>
      <c r="AV80" s="155"/>
      <c r="AW80" s="155"/>
      <c r="AX80" s="160"/>
      <c r="AY80" s="161"/>
      <c r="AZ80" s="103">
        <v>3.72</v>
      </c>
      <c r="BA80" s="102">
        <v>1.78</v>
      </c>
      <c r="BB80" s="196">
        <f t="shared" ref="BB80" si="38">IF(AND(NOT(ISERROR(BA80-AZ80)), AZ80&lt;&gt;"", BA80&lt;&gt;""), BA80-AZ80, "")</f>
        <v>-1.9400000000000002</v>
      </c>
      <c r="BC80" s="102">
        <f t="shared" ref="BC80" si="39">IF(NOT(ISERROR(100-(BA80/AZ80)*100)), (100-(BA80/AZ80)*100)*-1, "")</f>
        <v>-52.150537634408607</v>
      </c>
      <c r="BD80" s="155">
        <v>3.72</v>
      </c>
      <c r="BE80" s="155">
        <v>3.44</v>
      </c>
      <c r="BF80" s="224">
        <f t="shared" ref="BF80" si="40">IF(AND(NOT(ISERROR(BE80-BD80)), BD80&lt;&gt;"", BE80&lt;&gt;""), BE80-BD80, "")</f>
        <v>-0.28000000000000025</v>
      </c>
      <c r="BG80" s="155">
        <f t="shared" ref="BG80" si="41">IF(NOT(ISERROR(100-(BE80/BD80)*100)), (100-(BE80/BD80)*100)*-1, "")</f>
        <v>-7.5268817204301115</v>
      </c>
      <c r="BH80" s="160"/>
      <c r="BI80" s="161"/>
      <c r="BJ80" s="105"/>
      <c r="BK80" s="102"/>
      <c r="BL80" s="102"/>
      <c r="BM80" s="102"/>
      <c r="BN80" s="155"/>
      <c r="BO80" s="155"/>
      <c r="BP80" s="224"/>
      <c r="BQ80" s="155"/>
      <c r="BR80" s="160"/>
      <c r="BS80" s="161"/>
      <c r="BT80" s="105"/>
      <c r="BU80" s="102"/>
      <c r="BV80" s="102"/>
      <c r="BW80" s="102"/>
      <c r="BX80" s="155"/>
      <c r="BY80" s="155"/>
      <c r="BZ80" s="224"/>
      <c r="CA80" s="155"/>
      <c r="CB80" s="160"/>
      <c r="CC80" s="161"/>
      <c r="CD80" s="21"/>
      <c r="CE80" s="105"/>
      <c r="CF80" s="102"/>
      <c r="CG80" s="102"/>
      <c r="CH80" s="102"/>
      <c r="CI80" s="155"/>
      <c r="CJ80" s="155"/>
      <c r="CK80" s="224"/>
      <c r="CL80" s="155"/>
      <c r="CM80" s="160"/>
      <c r="CN80" s="161"/>
      <c r="CO80" s="21"/>
      <c r="CP80" s="21"/>
    </row>
    <row r="81" spans="1:94" ht="20" customHeight="1" x14ac:dyDescent="0.2">
      <c r="A81" s="702"/>
      <c r="B81" s="45"/>
      <c r="C81" s="59"/>
      <c r="D81" s="22" t="s">
        <v>85</v>
      </c>
      <c r="E81" s="21" t="s">
        <v>517</v>
      </c>
      <c r="F81" s="21" t="s">
        <v>518</v>
      </c>
      <c r="G81" s="22">
        <v>2012</v>
      </c>
      <c r="I81" s="65">
        <v>19</v>
      </c>
      <c r="J81" s="61" t="s">
        <v>519</v>
      </c>
      <c r="K81" s="83"/>
      <c r="L81" s="99"/>
      <c r="M81" s="100">
        <v>11.2</v>
      </c>
      <c r="N81" s="100" t="str">
        <f t="shared" si="35"/>
        <v/>
      </c>
      <c r="O81" s="101" t="str">
        <f t="shared" si="32"/>
        <v/>
      </c>
      <c r="P81" s="154"/>
      <c r="Q81" s="154">
        <v>10.6</v>
      </c>
      <c r="R81" s="155" t="str">
        <f t="shared" si="33"/>
        <v/>
      </c>
      <c r="S81" s="155" t="str">
        <f t="shared" si="34"/>
        <v/>
      </c>
      <c r="T81" s="160"/>
      <c r="U81" s="161"/>
      <c r="V81" s="103"/>
      <c r="W81" s="100"/>
      <c r="X81" s="100" t="str">
        <f t="shared" si="26"/>
        <v/>
      </c>
      <c r="Y81" s="101" t="str">
        <f t="shared" si="27"/>
        <v/>
      </c>
      <c r="Z81" s="154"/>
      <c r="AA81" s="154"/>
      <c r="AB81" s="155" t="str">
        <f t="shared" si="28"/>
        <v/>
      </c>
      <c r="AC81" s="155" t="str">
        <f t="shared" si="29"/>
        <v/>
      </c>
      <c r="AD81" s="160"/>
      <c r="AE81" s="161"/>
      <c r="AF81" s="105"/>
      <c r="AG81" s="102"/>
      <c r="AH81" s="102" t="str">
        <f t="shared" si="30"/>
        <v/>
      </c>
      <c r="AI81" s="102"/>
      <c r="AJ81" s="155"/>
      <c r="AK81" s="155"/>
      <c r="AL81" s="155" t="str">
        <f t="shared" si="31"/>
        <v/>
      </c>
      <c r="AM81" s="157"/>
      <c r="AN81" s="160"/>
      <c r="AO81" s="161"/>
      <c r="AP81" s="107"/>
      <c r="AQ81" s="102"/>
      <c r="AR81" s="102"/>
      <c r="AS81" s="102"/>
      <c r="AT81" s="155"/>
      <c r="AU81" s="155"/>
      <c r="AV81" s="155"/>
      <c r="AW81" s="155"/>
      <c r="AX81" s="160"/>
      <c r="AY81" s="161"/>
      <c r="AZ81" s="103"/>
      <c r="BA81" s="102"/>
      <c r="BB81" s="102"/>
      <c r="BC81" s="102"/>
      <c r="BD81" s="155"/>
      <c r="BE81" s="155"/>
      <c r="BF81" s="155"/>
      <c r="BG81" s="155"/>
      <c r="BH81" s="160"/>
      <c r="BI81" s="161"/>
      <c r="BJ81" s="105"/>
      <c r="BK81" s="102"/>
      <c r="BL81" s="102"/>
      <c r="BM81" s="102"/>
      <c r="BN81" s="155"/>
      <c r="BO81" s="155"/>
      <c r="BP81" s="155"/>
      <c r="BQ81" s="155"/>
      <c r="BR81" s="160"/>
      <c r="BS81" s="161"/>
      <c r="BT81" s="105"/>
      <c r="BU81" s="102"/>
      <c r="BV81" s="102"/>
      <c r="BW81" s="102"/>
      <c r="BX81" s="155"/>
      <c r="BY81" s="155"/>
      <c r="BZ81" s="155"/>
      <c r="CA81" s="155"/>
      <c r="CB81" s="160"/>
      <c r="CC81" s="161"/>
      <c r="CD81" s="21"/>
      <c r="CE81" s="105"/>
      <c r="CF81" s="102"/>
      <c r="CG81" s="102"/>
      <c r="CH81" s="102"/>
      <c r="CI81" s="155"/>
      <c r="CJ81" s="155"/>
      <c r="CK81" s="155"/>
      <c r="CL81" s="155"/>
      <c r="CM81" s="160"/>
      <c r="CN81" s="161"/>
      <c r="CO81" s="21" t="s">
        <v>523</v>
      </c>
      <c r="CP81" s="21"/>
    </row>
    <row r="82" spans="1:94" ht="20" customHeight="1" x14ac:dyDescent="0.2">
      <c r="B82" s="45"/>
      <c r="C82" s="58"/>
      <c r="D82" s="22" t="s">
        <v>85</v>
      </c>
      <c r="E82" s="21" t="s">
        <v>63</v>
      </c>
      <c r="F82" s="21" t="s">
        <v>64</v>
      </c>
      <c r="G82" s="22">
        <v>2012</v>
      </c>
      <c r="H82" s="22">
        <v>83</v>
      </c>
      <c r="I82" s="65">
        <v>70</v>
      </c>
      <c r="J82" s="61" t="s">
        <v>181</v>
      </c>
      <c r="K82" s="83" t="s">
        <v>190</v>
      </c>
      <c r="L82" s="99"/>
      <c r="M82" s="100"/>
      <c r="N82" s="100" t="str">
        <f t="shared" si="35"/>
        <v/>
      </c>
      <c r="O82" s="101" t="str">
        <f t="shared" si="32"/>
        <v/>
      </c>
      <c r="P82" s="154"/>
      <c r="Q82" s="154"/>
      <c r="R82" s="155" t="str">
        <f t="shared" si="33"/>
        <v/>
      </c>
      <c r="S82" s="155" t="str">
        <f t="shared" si="34"/>
        <v/>
      </c>
      <c r="T82" s="160"/>
      <c r="U82" s="161"/>
      <c r="V82" s="103"/>
      <c r="W82" s="100"/>
      <c r="X82" s="100" t="str">
        <f t="shared" si="26"/>
        <v/>
      </c>
      <c r="Y82" s="101" t="str">
        <f t="shared" si="27"/>
        <v/>
      </c>
      <c r="Z82" s="154"/>
      <c r="AA82" s="154"/>
      <c r="AB82" s="155" t="str">
        <f t="shared" si="28"/>
        <v/>
      </c>
      <c r="AC82" s="155" t="str">
        <f t="shared" si="29"/>
        <v/>
      </c>
      <c r="AD82" s="160"/>
      <c r="AE82" s="161"/>
      <c r="AF82" s="105"/>
      <c r="AG82" s="102"/>
      <c r="AH82" s="102" t="str">
        <f t="shared" si="30"/>
        <v/>
      </c>
      <c r="AI82" s="102"/>
      <c r="AJ82" s="155"/>
      <c r="AK82" s="155"/>
      <c r="AL82" s="155" t="str">
        <f t="shared" si="31"/>
        <v/>
      </c>
      <c r="AM82" s="157"/>
      <c r="AN82" s="160"/>
      <c r="AO82" s="161"/>
      <c r="AP82" s="107"/>
      <c r="AQ82" s="102"/>
      <c r="AR82" s="102"/>
      <c r="AS82" s="102"/>
      <c r="AT82" s="155"/>
      <c r="AU82" s="155"/>
      <c r="AV82" s="155"/>
      <c r="AW82" s="155"/>
      <c r="AX82" s="160"/>
      <c r="AY82" s="161"/>
      <c r="AZ82" s="103"/>
      <c r="BA82" s="102"/>
      <c r="BB82" s="102"/>
      <c r="BC82" s="102"/>
      <c r="BD82" s="155"/>
      <c r="BE82" s="155"/>
      <c r="BF82" s="155"/>
      <c r="BG82" s="155"/>
      <c r="BH82" s="160"/>
      <c r="BI82" s="161"/>
      <c r="BJ82" s="105"/>
      <c r="BK82" s="102"/>
      <c r="BL82" s="102"/>
      <c r="BM82" s="102"/>
      <c r="BN82" s="155"/>
      <c r="BO82" s="155"/>
      <c r="BP82" s="155"/>
      <c r="BQ82" s="155"/>
      <c r="BR82" s="160"/>
      <c r="BS82" s="161"/>
      <c r="BT82" s="105"/>
      <c r="BU82" s="102"/>
      <c r="BV82" s="102"/>
      <c r="BW82" s="102"/>
      <c r="BX82" s="155"/>
      <c r="BY82" s="155"/>
      <c r="BZ82" s="155"/>
      <c r="CA82" s="155"/>
      <c r="CB82" s="160"/>
      <c r="CC82" s="161"/>
      <c r="CD82" s="21"/>
      <c r="CE82" s="105"/>
      <c r="CF82" s="102"/>
      <c r="CG82" s="102"/>
      <c r="CH82" s="102"/>
      <c r="CI82" s="155"/>
      <c r="CJ82" s="155"/>
      <c r="CK82" s="155"/>
      <c r="CL82" s="155"/>
      <c r="CM82" s="160"/>
      <c r="CN82" s="161"/>
      <c r="CO82" s="21"/>
      <c r="CP82" s="21"/>
    </row>
    <row r="83" spans="1:94" ht="20" customHeight="1" x14ac:dyDescent="0.2">
      <c r="B83" s="45"/>
      <c r="C83" s="59"/>
      <c r="D83" s="22" t="s">
        <v>85</v>
      </c>
      <c r="E83" s="21" t="s">
        <v>277</v>
      </c>
      <c r="F83" s="21" t="s">
        <v>278</v>
      </c>
      <c r="G83" s="22">
        <v>2013</v>
      </c>
      <c r="I83" s="65">
        <v>23</v>
      </c>
      <c r="J83" s="61"/>
      <c r="K83" s="83"/>
      <c r="L83" s="99">
        <v>11.63</v>
      </c>
      <c r="M83" s="100">
        <v>8.6999999999999993</v>
      </c>
      <c r="N83" s="100">
        <f t="shared" si="35"/>
        <v>-2.9300000000000015</v>
      </c>
      <c r="O83" s="101">
        <f t="shared" si="32"/>
        <v>-25.193465176268276</v>
      </c>
      <c r="P83" s="154">
        <v>10.66</v>
      </c>
      <c r="Q83" s="154">
        <v>10.11</v>
      </c>
      <c r="R83" s="155">
        <f t="shared" si="33"/>
        <v>-0.55000000000000071</v>
      </c>
      <c r="S83" s="155">
        <f t="shared" si="34"/>
        <v>-5.1594746716697983</v>
      </c>
      <c r="T83" s="160"/>
      <c r="U83" s="161"/>
      <c r="V83" s="103">
        <v>7.04</v>
      </c>
      <c r="W83" s="100"/>
      <c r="X83" s="100" t="str">
        <f t="shared" si="26"/>
        <v/>
      </c>
      <c r="Y83" s="101"/>
      <c r="Z83" s="154">
        <v>6.33</v>
      </c>
      <c r="AA83" s="154"/>
      <c r="AB83" s="155" t="str">
        <f t="shared" si="28"/>
        <v/>
      </c>
      <c r="AC83" s="155"/>
      <c r="AD83" s="160"/>
      <c r="AE83" s="161"/>
      <c r="AF83" s="105"/>
      <c r="AG83" s="102"/>
      <c r="AH83" s="102" t="str">
        <f t="shared" si="30"/>
        <v/>
      </c>
      <c r="AI83" s="102"/>
      <c r="AJ83" s="155"/>
      <c r="AK83" s="155"/>
      <c r="AL83" s="155" t="str">
        <f t="shared" si="31"/>
        <v/>
      </c>
      <c r="AM83" s="157"/>
      <c r="AN83" s="160"/>
      <c r="AO83" s="161"/>
      <c r="AP83" s="107"/>
      <c r="AQ83" s="102"/>
      <c r="AR83" s="102"/>
      <c r="AS83" s="102"/>
      <c r="AT83" s="155"/>
      <c r="AU83" s="155"/>
      <c r="AV83" s="155"/>
      <c r="AW83" s="155"/>
      <c r="AX83" s="160"/>
      <c r="AY83" s="161"/>
      <c r="AZ83" s="103"/>
      <c r="BA83" s="102"/>
      <c r="BB83" s="102"/>
      <c r="BC83" s="102"/>
      <c r="BD83" s="155"/>
      <c r="BE83" s="155"/>
      <c r="BF83" s="155"/>
      <c r="BG83" s="155"/>
      <c r="BH83" s="160"/>
      <c r="BI83" s="161"/>
      <c r="BJ83" s="105"/>
      <c r="BK83" s="102"/>
      <c r="BL83" s="102"/>
      <c r="BM83" s="102"/>
      <c r="BN83" s="155"/>
      <c r="BO83" s="155"/>
      <c r="BP83" s="155"/>
      <c r="BQ83" s="155"/>
      <c r="BR83" s="160"/>
      <c r="BS83" s="161"/>
      <c r="BT83" s="105"/>
      <c r="BU83" s="102"/>
      <c r="BV83" s="102"/>
      <c r="BW83" s="102"/>
      <c r="BX83" s="155"/>
      <c r="BY83" s="155"/>
      <c r="BZ83" s="155"/>
      <c r="CA83" s="155"/>
      <c r="CB83" s="160"/>
      <c r="CC83" s="161"/>
      <c r="CD83" s="21"/>
      <c r="CE83" s="105"/>
      <c r="CF83" s="102"/>
      <c r="CG83" s="102"/>
      <c r="CH83" s="102"/>
      <c r="CI83" s="155"/>
      <c r="CJ83" s="155"/>
      <c r="CK83" s="155"/>
      <c r="CL83" s="155"/>
      <c r="CM83" s="160"/>
      <c r="CN83" s="161"/>
      <c r="CO83" s="21"/>
      <c r="CP83" s="21"/>
    </row>
    <row r="84" spans="1:94" ht="20" customHeight="1" x14ac:dyDescent="0.2">
      <c r="B84" s="45"/>
      <c r="C84" s="58"/>
      <c r="D84" s="22" t="s">
        <v>85</v>
      </c>
      <c r="E84" s="21" t="s">
        <v>79</v>
      </c>
      <c r="F84" s="21" t="s">
        <v>80</v>
      </c>
      <c r="G84" s="22">
        <v>2015</v>
      </c>
      <c r="H84" s="22">
        <v>10</v>
      </c>
      <c r="I84" s="65">
        <v>11</v>
      </c>
      <c r="J84" s="61" t="s">
        <v>194</v>
      </c>
      <c r="K84" s="83" t="s">
        <v>168</v>
      </c>
      <c r="L84" s="99"/>
      <c r="M84" s="100"/>
      <c r="N84" s="100" t="str">
        <f t="shared" si="35"/>
        <v/>
      </c>
      <c r="O84" s="101" t="str">
        <f t="shared" si="32"/>
        <v/>
      </c>
      <c r="P84" s="154"/>
      <c r="Q84" s="154"/>
      <c r="R84" s="155" t="str">
        <f t="shared" si="33"/>
        <v/>
      </c>
      <c r="S84" s="155" t="str">
        <f t="shared" si="34"/>
        <v/>
      </c>
      <c r="T84" s="160"/>
      <c r="U84" s="161"/>
      <c r="V84" s="103"/>
      <c r="W84" s="100"/>
      <c r="X84" s="100" t="str">
        <f t="shared" si="26"/>
        <v/>
      </c>
      <c r="Y84" s="101" t="str">
        <f t="shared" si="27"/>
        <v/>
      </c>
      <c r="Z84" s="154"/>
      <c r="AA84" s="154"/>
      <c r="AB84" s="155" t="str">
        <f t="shared" si="28"/>
        <v/>
      </c>
      <c r="AC84" s="155" t="str">
        <f t="shared" si="29"/>
        <v/>
      </c>
      <c r="AD84" s="160"/>
      <c r="AE84" s="161"/>
      <c r="AF84" s="105"/>
      <c r="AG84" s="102"/>
      <c r="AH84" s="102" t="str">
        <f t="shared" si="30"/>
        <v/>
      </c>
      <c r="AI84" s="102"/>
      <c r="AJ84" s="155"/>
      <c r="AK84" s="155"/>
      <c r="AL84" s="155" t="str">
        <f t="shared" si="31"/>
        <v/>
      </c>
      <c r="AM84" s="157"/>
      <c r="AN84" s="160"/>
      <c r="AO84" s="161"/>
      <c r="AP84" s="107"/>
      <c r="AQ84" s="102"/>
      <c r="AR84" s="102"/>
      <c r="AS84" s="102"/>
      <c r="AT84" s="155"/>
      <c r="AU84" s="155"/>
      <c r="AV84" s="155"/>
      <c r="AW84" s="155"/>
      <c r="AX84" s="160"/>
      <c r="AY84" s="161"/>
      <c r="AZ84" s="103"/>
      <c r="BA84" s="102"/>
      <c r="BB84" s="102"/>
      <c r="BC84" s="102"/>
      <c r="BD84" s="155"/>
      <c r="BE84" s="155"/>
      <c r="BF84" s="155"/>
      <c r="BG84" s="155"/>
      <c r="BH84" s="160"/>
      <c r="BI84" s="161"/>
      <c r="BJ84" s="105">
        <v>59.2</v>
      </c>
      <c r="BK84" s="102">
        <v>52.4</v>
      </c>
      <c r="BL84" s="196">
        <f t="shared" ref="BL84" si="42">IF(AND(NOT(ISERROR(BK84-BJ84)), BJ84&lt;&gt;"", BK84&lt;&gt;""), BK84-BJ84, "")</f>
        <v>-6.8000000000000043</v>
      </c>
      <c r="BM84" s="102">
        <f t="shared" ref="BM84" si="43">IF(NOT(ISERROR(100-(BK84/BJ84)*100)), (100-(BK84/BJ84)*100)*-1, "")</f>
        <v>-11.486486486486484</v>
      </c>
      <c r="BN84" s="155">
        <v>59.2</v>
      </c>
      <c r="BO84" s="155">
        <v>48.3</v>
      </c>
      <c r="BP84" s="155">
        <f t="shared" ref="BP84" si="44">IF(AND(NOT(ISERROR(BO84-BN84)), BN84&lt;&gt;"", BO84&lt;&gt;""), BO84-BN84, "")</f>
        <v>-10.900000000000006</v>
      </c>
      <c r="BQ84" s="155">
        <f t="shared" ref="BQ84" si="45">IF(NOT(ISERROR(100-(BO84/BN84)*100)), (100-(BO84/BN84)*100)*-1, "")</f>
        <v>-18.412162162162176</v>
      </c>
      <c r="BR84" s="160"/>
      <c r="BS84" s="161"/>
      <c r="BT84" s="105"/>
      <c r="BU84" s="102"/>
      <c r="BV84" s="102"/>
      <c r="BW84" s="102"/>
      <c r="BX84" s="155"/>
      <c r="BY84" s="155"/>
      <c r="BZ84" s="155"/>
      <c r="CA84" s="155"/>
      <c r="CB84" s="160"/>
      <c r="CC84" s="161"/>
      <c r="CD84" s="21"/>
      <c r="CE84" s="105"/>
      <c r="CF84" s="102"/>
      <c r="CG84" s="102"/>
      <c r="CH84" s="102"/>
      <c r="CI84" s="155"/>
      <c r="CJ84" s="155"/>
      <c r="CK84" s="155"/>
      <c r="CL84" s="155"/>
      <c r="CM84" s="160"/>
      <c r="CN84" s="161"/>
      <c r="CO84" s="21"/>
      <c r="CP84" s="21"/>
    </row>
    <row r="85" spans="1:94" ht="20" customHeight="1" x14ac:dyDescent="0.2">
      <c r="B85" s="45"/>
      <c r="C85" s="22"/>
      <c r="D85" s="22" t="s">
        <v>85</v>
      </c>
      <c r="E85" s="21" t="s">
        <v>530</v>
      </c>
      <c r="F85" s="21" t="s">
        <v>529</v>
      </c>
      <c r="G85" s="22">
        <v>2000</v>
      </c>
      <c r="I85" s="65">
        <v>19</v>
      </c>
      <c r="J85" s="61" t="s">
        <v>340</v>
      </c>
      <c r="K85" s="83"/>
      <c r="L85" s="99"/>
      <c r="M85" s="100"/>
      <c r="N85" s="100" t="str">
        <f t="shared" si="35"/>
        <v/>
      </c>
      <c r="O85" s="101" t="str">
        <f t="shared" si="32"/>
        <v/>
      </c>
      <c r="P85" s="154"/>
      <c r="Q85" s="154"/>
      <c r="R85" s="155" t="str">
        <f t="shared" si="33"/>
        <v/>
      </c>
      <c r="S85" s="155" t="str">
        <f t="shared" si="34"/>
        <v/>
      </c>
      <c r="T85" s="160"/>
      <c r="U85" s="161"/>
      <c r="V85" s="103"/>
      <c r="W85" s="100"/>
      <c r="X85" s="100" t="str">
        <f t="shared" si="26"/>
        <v/>
      </c>
      <c r="Y85" s="101" t="str">
        <f t="shared" si="27"/>
        <v/>
      </c>
      <c r="Z85" s="154"/>
      <c r="AA85" s="154"/>
      <c r="AB85" s="155" t="str">
        <f t="shared" si="28"/>
        <v/>
      </c>
      <c r="AC85" s="155" t="str">
        <f t="shared" si="29"/>
        <v/>
      </c>
      <c r="AD85" s="160"/>
      <c r="AE85" s="161"/>
      <c r="AF85" s="105"/>
      <c r="AG85" s="102"/>
      <c r="AH85" s="102" t="str">
        <f t="shared" si="30"/>
        <v/>
      </c>
      <c r="AI85" s="102"/>
      <c r="AJ85" s="155"/>
      <c r="AK85" s="155"/>
      <c r="AL85" s="155" t="str">
        <f t="shared" si="31"/>
        <v/>
      </c>
      <c r="AM85" s="157"/>
      <c r="AN85" s="160"/>
      <c r="AO85" s="161"/>
      <c r="AP85" s="223">
        <v>1.8846000000000001</v>
      </c>
      <c r="AQ85" s="196">
        <v>2.2570999999999999</v>
      </c>
      <c r="AR85" s="196">
        <f t="shared" ref="AR85" si="46">IF(AND(NOT(ISERROR(AQ85-AP85)), AP85&lt;&gt;"", AQ85&lt;&gt;""), AQ85-AP85, "")</f>
        <v>0.37249999999999983</v>
      </c>
      <c r="AS85" s="102">
        <f t="shared" ref="AS85" si="47">IF(NOT(ISERROR(100-(AQ85/AP85)*100)), (100-(AQ85/AP85)*100)*-1, "")</f>
        <v>19.765467473203842</v>
      </c>
      <c r="AT85" s="224">
        <v>1.88</v>
      </c>
      <c r="AU85" s="224">
        <v>2.1282000000000001</v>
      </c>
      <c r="AV85" s="224">
        <f t="shared" ref="AV85" si="48">IF(AND(NOT(ISERROR(AU85-AT85)), AT85&lt;&gt;"", AU85&lt;&gt;""), AU85-AT85, "")</f>
        <v>0.2482000000000002</v>
      </c>
      <c r="AW85" s="155">
        <f t="shared" ref="AW85" si="49">IF(NOT(ISERROR(100-(AU85/AT85)*100)), (100-(AU85/AT85)*100)*-1, "")</f>
        <v>13.202127659574472</v>
      </c>
      <c r="AX85" s="197"/>
      <c r="AY85" s="198"/>
      <c r="AZ85" s="103"/>
      <c r="BA85" s="102"/>
      <c r="BB85" s="102"/>
      <c r="BC85" s="102"/>
      <c r="BD85" s="155"/>
      <c r="BE85" s="155"/>
      <c r="BF85" s="155"/>
      <c r="BG85" s="155"/>
      <c r="BH85" s="160"/>
      <c r="BI85" s="161"/>
      <c r="BJ85" s="105"/>
      <c r="BK85" s="102"/>
      <c r="BL85" s="102"/>
      <c r="BM85" s="102"/>
      <c r="BN85" s="155"/>
      <c r="BO85" s="155"/>
      <c r="BP85" s="155"/>
      <c r="BQ85" s="155"/>
      <c r="BR85" s="160"/>
      <c r="BS85" s="161"/>
      <c r="BT85" s="105"/>
      <c r="BU85" s="102"/>
      <c r="BV85" s="102"/>
      <c r="BW85" s="102"/>
      <c r="BX85" s="155"/>
      <c r="BY85" s="155"/>
      <c r="BZ85" s="155"/>
      <c r="CA85" s="155"/>
      <c r="CB85" s="160"/>
      <c r="CC85" s="161"/>
      <c r="CD85" s="21"/>
      <c r="CE85" s="105"/>
      <c r="CF85" s="102"/>
      <c r="CG85" s="102"/>
      <c r="CH85" s="102"/>
      <c r="CI85" s="155"/>
      <c r="CJ85" s="155"/>
      <c r="CK85" s="155"/>
      <c r="CL85" s="155"/>
      <c r="CM85" s="160"/>
      <c r="CN85" s="161"/>
      <c r="CO85" s="21"/>
      <c r="CP85" s="21"/>
    </row>
    <row r="86" spans="1:94" ht="20" customHeight="1" x14ac:dyDescent="0.2">
      <c r="B86" s="45"/>
      <c r="C86" s="59"/>
      <c r="D86" s="22" t="s">
        <v>85</v>
      </c>
      <c r="E86" s="21" t="s">
        <v>91</v>
      </c>
      <c r="F86" s="21" t="s">
        <v>92</v>
      </c>
      <c r="G86" s="22">
        <v>2001</v>
      </c>
      <c r="H86" s="22">
        <v>170</v>
      </c>
      <c r="I86" s="65">
        <v>20</v>
      </c>
      <c r="J86" s="61" t="s">
        <v>175</v>
      </c>
      <c r="K86" s="83" t="s">
        <v>168</v>
      </c>
      <c r="L86" s="99"/>
      <c r="M86" s="100"/>
      <c r="N86" s="100"/>
      <c r="O86" s="101"/>
      <c r="P86" s="154"/>
      <c r="Q86" s="154"/>
      <c r="R86" s="155"/>
      <c r="S86" s="155"/>
      <c r="T86" s="160"/>
      <c r="U86" s="161"/>
      <c r="V86" s="103"/>
      <c r="W86" s="100"/>
      <c r="X86" s="100"/>
      <c r="Y86" s="101"/>
      <c r="Z86" s="154"/>
      <c r="AA86" s="154"/>
      <c r="AB86" s="155"/>
      <c r="AC86" s="155"/>
      <c r="AD86" s="160"/>
      <c r="AE86" s="161"/>
      <c r="AF86" s="105"/>
      <c r="AG86" s="102"/>
      <c r="AH86" s="102"/>
      <c r="AI86" s="102"/>
      <c r="AJ86" s="155"/>
      <c r="AK86" s="155"/>
      <c r="AL86" s="155"/>
      <c r="AM86" s="157"/>
      <c r="AN86" s="160"/>
      <c r="AO86" s="161"/>
      <c r="AP86" s="223"/>
      <c r="AQ86" s="196"/>
      <c r="AR86" s="196"/>
      <c r="AS86" s="102"/>
      <c r="AT86" s="224"/>
      <c r="AU86" s="224"/>
      <c r="AV86" s="224"/>
      <c r="AW86" s="155"/>
      <c r="AX86" s="197"/>
      <c r="AY86" s="198"/>
      <c r="AZ86" s="103"/>
      <c r="BA86" s="102"/>
      <c r="BB86" s="102"/>
      <c r="BC86" s="102"/>
      <c r="BD86" s="155"/>
      <c r="BE86" s="155"/>
      <c r="BF86" s="155"/>
      <c r="BG86" s="155"/>
      <c r="BH86" s="160"/>
      <c r="BI86" s="161"/>
      <c r="BJ86" s="105"/>
      <c r="BK86" s="102"/>
      <c r="BL86" s="102"/>
      <c r="BM86" s="102"/>
      <c r="BN86" s="155"/>
      <c r="BO86" s="155"/>
      <c r="BP86" s="155"/>
      <c r="BQ86" s="155"/>
      <c r="BR86" s="160"/>
      <c r="BS86" s="161"/>
      <c r="BT86" s="105"/>
      <c r="BU86" s="102"/>
      <c r="BV86" s="102"/>
      <c r="BW86" s="102"/>
      <c r="BX86" s="155"/>
      <c r="BY86" s="155"/>
      <c r="BZ86" s="155"/>
      <c r="CA86" s="155"/>
      <c r="CB86" s="160"/>
      <c r="CC86" s="161"/>
      <c r="CD86" s="21"/>
      <c r="CE86" s="105"/>
      <c r="CF86" s="102"/>
      <c r="CG86" s="102"/>
      <c r="CH86" s="102"/>
      <c r="CI86" s="155"/>
      <c r="CJ86" s="155"/>
      <c r="CK86" s="155"/>
      <c r="CL86" s="155"/>
      <c r="CM86" s="160"/>
      <c r="CN86" s="161"/>
      <c r="CO86" s="21" t="s">
        <v>567</v>
      </c>
      <c r="CP86" s="21"/>
    </row>
    <row r="87" spans="1:94" ht="20" customHeight="1" x14ac:dyDescent="0.2">
      <c r="B87" s="46"/>
      <c r="C87" s="22"/>
      <c r="D87" s="22" t="s">
        <v>85</v>
      </c>
      <c r="E87" s="21" t="s">
        <v>292</v>
      </c>
      <c r="F87" s="21" t="s">
        <v>293</v>
      </c>
      <c r="G87" s="22">
        <v>2016</v>
      </c>
      <c r="I87" s="65">
        <v>25</v>
      </c>
      <c r="J87" s="61" t="s">
        <v>213</v>
      </c>
      <c r="K87" s="83" t="s">
        <v>191</v>
      </c>
      <c r="L87" s="99"/>
      <c r="M87" s="100"/>
      <c r="N87" s="100" t="str">
        <f t="shared" si="35"/>
        <v/>
      </c>
      <c r="O87" s="101" t="str">
        <f t="shared" si="32"/>
        <v/>
      </c>
      <c r="P87" s="154"/>
      <c r="Q87" s="154"/>
      <c r="R87" s="155" t="str">
        <f t="shared" si="33"/>
        <v/>
      </c>
      <c r="S87" s="155" t="str">
        <f t="shared" si="34"/>
        <v/>
      </c>
      <c r="T87" s="160"/>
      <c r="U87" s="161"/>
      <c r="V87" s="103"/>
      <c r="W87" s="100"/>
      <c r="X87" s="100" t="str">
        <f t="shared" si="26"/>
        <v/>
      </c>
      <c r="Y87" s="101" t="str">
        <f t="shared" si="27"/>
        <v/>
      </c>
      <c r="Z87" s="154"/>
      <c r="AA87" s="154"/>
      <c r="AB87" s="155" t="str">
        <f t="shared" si="28"/>
        <v/>
      </c>
      <c r="AC87" s="155" t="str">
        <f t="shared" si="29"/>
        <v/>
      </c>
      <c r="AD87" s="160"/>
      <c r="AE87" s="161"/>
      <c r="AF87" s="105"/>
      <c r="AG87" s="102"/>
      <c r="AH87" s="102" t="str">
        <f t="shared" si="30"/>
        <v/>
      </c>
      <c r="AI87" s="102"/>
      <c r="AJ87" s="155"/>
      <c r="AK87" s="155"/>
      <c r="AL87" s="155" t="str">
        <f t="shared" si="31"/>
        <v/>
      </c>
      <c r="AM87" s="157"/>
      <c r="AN87" s="160"/>
      <c r="AO87" s="161"/>
      <c r="AP87" s="107"/>
      <c r="AQ87" s="102"/>
      <c r="AR87" s="102"/>
      <c r="AS87" s="102"/>
      <c r="AT87" s="155"/>
      <c r="AU87" s="155"/>
      <c r="AV87" s="155"/>
      <c r="AW87" s="155"/>
      <c r="AX87" s="160"/>
      <c r="AY87" s="161"/>
      <c r="AZ87" s="103"/>
      <c r="BA87" s="102"/>
      <c r="BB87" s="102"/>
      <c r="BC87" s="102"/>
      <c r="BD87" s="155"/>
      <c r="BE87" s="155"/>
      <c r="BF87" s="155"/>
      <c r="BG87" s="155"/>
      <c r="BH87" s="160"/>
      <c r="BI87" s="161"/>
      <c r="BJ87" s="105"/>
      <c r="BK87" s="102"/>
      <c r="BL87" s="102"/>
      <c r="BM87" s="102"/>
      <c r="BN87" s="155"/>
      <c r="BO87" s="155"/>
      <c r="BP87" s="155"/>
      <c r="BQ87" s="155"/>
      <c r="BR87" s="160"/>
      <c r="BS87" s="161"/>
      <c r="BT87" s="105"/>
      <c r="BU87" s="102"/>
      <c r="BV87" s="102"/>
      <c r="BW87" s="102"/>
      <c r="BX87" s="155"/>
      <c r="BY87" s="155"/>
      <c r="BZ87" s="155"/>
      <c r="CA87" s="155"/>
      <c r="CB87" s="160"/>
      <c r="CC87" s="161"/>
      <c r="CD87" s="21"/>
      <c r="CE87" s="105"/>
      <c r="CF87" s="102"/>
      <c r="CG87" s="102"/>
      <c r="CH87" s="102"/>
      <c r="CI87" s="155"/>
      <c r="CJ87" s="155"/>
      <c r="CK87" s="155"/>
      <c r="CL87" s="155"/>
      <c r="CM87" s="160"/>
      <c r="CN87" s="161"/>
      <c r="CO87" s="21"/>
      <c r="CP87" s="21"/>
    </row>
    <row r="88" spans="1:94" ht="20" customHeight="1" x14ac:dyDescent="0.2">
      <c r="A88" s="702"/>
      <c r="B88" s="46"/>
      <c r="C88" s="22"/>
      <c r="D88" s="696" t="s">
        <v>85</v>
      </c>
      <c r="E88" s="697" t="s">
        <v>656</v>
      </c>
      <c r="F88" s="697" t="s">
        <v>657</v>
      </c>
      <c r="G88" s="698">
        <v>2007</v>
      </c>
      <c r="H88" s="700"/>
      <c r="I88" s="701"/>
      <c r="J88" s="232" t="s">
        <v>213</v>
      </c>
      <c r="K88" s="250" t="s">
        <v>168</v>
      </c>
      <c r="L88" s="99"/>
      <c r="M88" s="100"/>
      <c r="N88" s="100"/>
      <c r="O88" s="101"/>
      <c r="P88" s="154"/>
      <c r="Q88" s="154"/>
      <c r="R88" s="155"/>
      <c r="S88" s="155"/>
      <c r="T88" s="160"/>
      <c r="U88" s="161"/>
      <c r="V88" s="103"/>
      <c r="W88" s="100"/>
      <c r="X88" s="100"/>
      <c r="Y88" s="101"/>
      <c r="Z88" s="154"/>
      <c r="AA88" s="154"/>
      <c r="AB88" s="155"/>
      <c r="AC88" s="155"/>
      <c r="AD88" s="160"/>
      <c r="AE88" s="161"/>
      <c r="AF88" s="105"/>
      <c r="AG88" s="102"/>
      <c r="AH88" s="102"/>
      <c r="AI88" s="102"/>
      <c r="AJ88" s="155"/>
      <c r="AK88" s="155"/>
      <c r="AL88" s="155"/>
      <c r="AM88" s="157"/>
      <c r="AN88" s="160"/>
      <c r="AO88" s="161"/>
      <c r="AP88" s="107"/>
      <c r="AQ88" s="102"/>
      <c r="AR88" s="102"/>
      <c r="AS88" s="102"/>
      <c r="AT88" s="155"/>
      <c r="AU88" s="155"/>
      <c r="AV88" s="155"/>
      <c r="AW88" s="155"/>
      <c r="AX88" s="160"/>
      <c r="AY88" s="161"/>
      <c r="AZ88" s="103"/>
      <c r="BA88" s="102"/>
      <c r="BB88" s="102"/>
      <c r="BC88" s="102"/>
      <c r="BD88" s="155"/>
      <c r="BE88" s="155"/>
      <c r="BF88" s="155"/>
      <c r="BG88" s="155"/>
      <c r="BH88" s="160"/>
      <c r="BI88" s="161"/>
      <c r="BJ88" s="105"/>
      <c r="BK88" s="102"/>
      <c r="BL88" s="102"/>
      <c r="BM88" s="102"/>
      <c r="BN88" s="155"/>
      <c r="BO88" s="155"/>
      <c r="BP88" s="155"/>
      <c r="BQ88" s="155"/>
      <c r="BR88" s="160"/>
      <c r="BS88" s="161"/>
      <c r="BT88" s="105"/>
      <c r="BU88" s="102"/>
      <c r="BV88" s="102"/>
      <c r="BW88" s="102"/>
      <c r="BX88" s="155"/>
      <c r="BY88" s="155"/>
      <c r="BZ88" s="155"/>
      <c r="CA88" s="155"/>
      <c r="CB88" s="160"/>
      <c r="CC88" s="161"/>
      <c r="CD88" s="21"/>
      <c r="CE88" s="105"/>
      <c r="CF88" s="102"/>
      <c r="CG88" s="102"/>
      <c r="CH88" s="102"/>
      <c r="CI88" s="155"/>
      <c r="CJ88" s="155"/>
      <c r="CK88" s="155"/>
      <c r="CL88" s="155"/>
      <c r="CM88" s="160"/>
      <c r="CN88" s="161"/>
      <c r="CO88" s="21"/>
      <c r="CP88" s="21"/>
    </row>
    <row r="89" spans="1:94" ht="20" customHeight="1" x14ac:dyDescent="0.2">
      <c r="A89" s="702"/>
      <c r="B89" s="46"/>
      <c r="C89" s="22"/>
      <c r="D89" s="696" t="s">
        <v>85</v>
      </c>
      <c r="E89" s="697" t="s">
        <v>665</v>
      </c>
      <c r="F89" s="697" t="s">
        <v>666</v>
      </c>
      <c r="G89" s="698">
        <v>2012</v>
      </c>
      <c r="H89" s="699"/>
      <c r="I89" s="65">
        <v>26</v>
      </c>
      <c r="J89" s="61" t="s">
        <v>220</v>
      </c>
      <c r="K89" s="62" t="s">
        <v>667</v>
      </c>
      <c r="L89" s="99"/>
      <c r="M89" s="100"/>
      <c r="N89" s="100"/>
      <c r="O89" s="101"/>
      <c r="P89" s="154"/>
      <c r="Q89" s="154"/>
      <c r="R89" s="155"/>
      <c r="S89" s="155"/>
      <c r="T89" s="160"/>
      <c r="U89" s="161"/>
      <c r="V89" s="103"/>
      <c r="W89" s="100"/>
      <c r="X89" s="100"/>
      <c r="Y89" s="101"/>
      <c r="Z89" s="154"/>
      <c r="AA89" s="154"/>
      <c r="AB89" s="155"/>
      <c r="AC89" s="155"/>
      <c r="AD89" s="160"/>
      <c r="AE89" s="161"/>
      <c r="AF89" s="105"/>
      <c r="AG89" s="102"/>
      <c r="AH89" s="102"/>
      <c r="AI89" s="102"/>
      <c r="AJ89" s="155"/>
      <c r="AK89" s="155"/>
      <c r="AL89" s="155"/>
      <c r="AM89" s="157"/>
      <c r="AN89" s="160"/>
      <c r="AO89" s="161"/>
      <c r="AP89" s="107"/>
      <c r="AQ89" s="102"/>
      <c r="AR89" s="102"/>
      <c r="AS89" s="102"/>
      <c r="AT89" s="155"/>
      <c r="AU89" s="155"/>
      <c r="AV89" s="155"/>
      <c r="AW89" s="155"/>
      <c r="AX89" s="160"/>
      <c r="AY89" s="161"/>
      <c r="AZ89" s="103"/>
      <c r="BA89" s="102"/>
      <c r="BB89" s="102"/>
      <c r="BC89" s="102"/>
      <c r="BD89" s="155"/>
      <c r="BE89" s="155"/>
      <c r="BF89" s="155"/>
      <c r="BG89" s="155"/>
      <c r="BH89" s="160"/>
      <c r="BI89" s="161"/>
      <c r="BJ89" s="105"/>
      <c r="BK89" s="102"/>
      <c r="BL89" s="102"/>
      <c r="BM89" s="102"/>
      <c r="BN89" s="155"/>
      <c r="BO89" s="155"/>
      <c r="BP89" s="155"/>
      <c r="BQ89" s="155"/>
      <c r="BR89" s="160"/>
      <c r="BS89" s="161"/>
      <c r="BT89" s="105"/>
      <c r="BU89" s="102"/>
      <c r="BV89" s="102"/>
      <c r="BW89" s="102"/>
      <c r="BX89" s="155"/>
      <c r="BY89" s="155"/>
      <c r="BZ89" s="155"/>
      <c r="CA89" s="155"/>
      <c r="CB89" s="160"/>
      <c r="CC89" s="161"/>
      <c r="CD89" s="21"/>
      <c r="CE89" s="105"/>
      <c r="CF89" s="102"/>
      <c r="CG89" s="102"/>
      <c r="CH89" s="102"/>
      <c r="CI89" s="155"/>
      <c r="CJ89" s="155"/>
      <c r="CK89" s="155"/>
      <c r="CL89" s="155"/>
      <c r="CM89" s="160"/>
      <c r="CN89" s="161"/>
      <c r="CO89" s="21"/>
      <c r="CP89" s="21"/>
    </row>
    <row r="90" spans="1:94" ht="20" customHeight="1" x14ac:dyDescent="0.2">
      <c r="A90" s="702"/>
      <c r="B90" s="45"/>
      <c r="C90" s="22"/>
      <c r="D90" s="696" t="s">
        <v>85</v>
      </c>
      <c r="E90" s="697" t="s">
        <v>668</v>
      </c>
      <c r="F90" s="697" t="s">
        <v>669</v>
      </c>
      <c r="G90" s="698">
        <v>1998</v>
      </c>
      <c r="H90" s="699"/>
      <c r="I90" s="701">
        <v>25</v>
      </c>
      <c r="J90" s="232" t="s">
        <v>175</v>
      </c>
      <c r="K90" s="250" t="s">
        <v>191</v>
      </c>
      <c r="L90" s="99"/>
      <c r="M90" s="100"/>
      <c r="N90" s="100"/>
      <c r="O90" s="101"/>
      <c r="P90" s="154"/>
      <c r="Q90" s="154"/>
      <c r="R90" s="155"/>
      <c r="S90" s="155"/>
      <c r="T90" s="160"/>
      <c r="U90" s="161"/>
      <c r="V90" s="103"/>
      <c r="W90" s="100"/>
      <c r="X90" s="100"/>
      <c r="Y90" s="101"/>
      <c r="Z90" s="154"/>
      <c r="AA90" s="154"/>
      <c r="AB90" s="155"/>
      <c r="AC90" s="155"/>
      <c r="AD90" s="160"/>
      <c r="AE90" s="161"/>
      <c r="AF90" s="105"/>
      <c r="AG90" s="102"/>
      <c r="AH90" s="102"/>
      <c r="AI90" s="102"/>
      <c r="AJ90" s="155"/>
      <c r="AK90" s="155"/>
      <c r="AL90" s="155"/>
      <c r="AM90" s="157"/>
      <c r="AN90" s="160"/>
      <c r="AO90" s="161"/>
      <c r="AP90" s="107"/>
      <c r="AQ90" s="102"/>
      <c r="AR90" s="102"/>
      <c r="AS90" s="102"/>
      <c r="AT90" s="155"/>
      <c r="AU90" s="155"/>
      <c r="AV90" s="155"/>
      <c r="AW90" s="155"/>
      <c r="AX90" s="160"/>
      <c r="AY90" s="161"/>
      <c r="AZ90" s="103"/>
      <c r="BA90" s="102"/>
      <c r="BB90" s="102"/>
      <c r="BC90" s="102"/>
      <c r="BD90" s="155"/>
      <c r="BE90" s="155"/>
      <c r="BF90" s="155"/>
      <c r="BG90" s="155"/>
      <c r="BH90" s="160"/>
      <c r="BI90" s="161"/>
      <c r="BJ90" s="105"/>
      <c r="BK90" s="102"/>
      <c r="BL90" s="102"/>
      <c r="BM90" s="102"/>
      <c r="BN90" s="155"/>
      <c r="BO90" s="155"/>
      <c r="BP90" s="155"/>
      <c r="BQ90" s="155"/>
      <c r="BR90" s="160"/>
      <c r="BS90" s="161"/>
      <c r="BT90" s="105"/>
      <c r="BU90" s="102"/>
      <c r="BV90" s="102"/>
      <c r="BW90" s="102"/>
      <c r="BX90" s="155"/>
      <c r="BY90" s="155"/>
      <c r="BZ90" s="155"/>
      <c r="CA90" s="155"/>
      <c r="CB90" s="160"/>
      <c r="CC90" s="161"/>
      <c r="CD90" s="21"/>
      <c r="CE90" s="105"/>
      <c r="CF90" s="102"/>
      <c r="CG90" s="102"/>
      <c r="CH90" s="102"/>
      <c r="CI90" s="155"/>
      <c r="CJ90" s="155"/>
      <c r="CK90" s="155"/>
      <c r="CL90" s="155"/>
      <c r="CM90" s="160"/>
      <c r="CN90" s="161"/>
      <c r="CO90" s="21"/>
      <c r="CP90" s="21"/>
    </row>
    <row r="91" spans="1:94" ht="20" customHeight="1" x14ac:dyDescent="0.2">
      <c r="B91" s="46"/>
      <c r="C91" s="59"/>
      <c r="D91" s="22" t="s">
        <v>85</v>
      </c>
      <c r="E91" s="21" t="s">
        <v>300</v>
      </c>
      <c r="F91" s="21" t="s">
        <v>301</v>
      </c>
      <c r="G91" s="22">
        <v>2011</v>
      </c>
      <c r="I91" s="65"/>
      <c r="J91" s="61"/>
      <c r="K91" s="83"/>
      <c r="L91" s="99"/>
      <c r="M91" s="100"/>
      <c r="N91" s="100" t="str">
        <f t="shared" si="35"/>
        <v/>
      </c>
      <c r="O91" s="101" t="str">
        <f t="shared" si="32"/>
        <v/>
      </c>
      <c r="P91" s="154"/>
      <c r="Q91" s="154"/>
      <c r="R91" s="155" t="str">
        <f t="shared" si="33"/>
        <v/>
      </c>
      <c r="S91" s="155" t="str">
        <f t="shared" si="34"/>
        <v/>
      </c>
      <c r="T91" s="160"/>
      <c r="U91" s="161"/>
      <c r="V91" s="103"/>
      <c r="W91" s="100"/>
      <c r="X91" s="100" t="str">
        <f t="shared" si="26"/>
        <v/>
      </c>
      <c r="Y91" s="101" t="str">
        <f t="shared" si="27"/>
        <v/>
      </c>
      <c r="Z91" s="154"/>
      <c r="AA91" s="154"/>
      <c r="AB91" s="155" t="str">
        <f t="shared" si="28"/>
        <v/>
      </c>
      <c r="AC91" s="155" t="str">
        <f t="shared" si="29"/>
        <v/>
      </c>
      <c r="AD91" s="160"/>
      <c r="AE91" s="161"/>
      <c r="AF91" s="105"/>
      <c r="AG91" s="102"/>
      <c r="AH91" s="102" t="str">
        <f t="shared" si="30"/>
        <v/>
      </c>
      <c r="AI91" s="102"/>
      <c r="AJ91" s="155"/>
      <c r="AK91" s="155"/>
      <c r="AL91" s="155" t="str">
        <f t="shared" si="31"/>
        <v/>
      </c>
      <c r="AM91" s="157"/>
      <c r="AN91" s="160"/>
      <c r="AO91" s="161"/>
      <c r="AP91" s="107"/>
      <c r="AQ91" s="102"/>
      <c r="AR91" s="102"/>
      <c r="AS91" s="102"/>
      <c r="AT91" s="155"/>
      <c r="AU91" s="155"/>
      <c r="AV91" s="155"/>
      <c r="AW91" s="155"/>
      <c r="AX91" s="160"/>
      <c r="AY91" s="161"/>
      <c r="AZ91" s="103"/>
      <c r="BA91" s="102"/>
      <c r="BB91" s="102"/>
      <c r="BC91" s="102"/>
      <c r="BD91" s="155"/>
      <c r="BE91" s="155"/>
      <c r="BF91" s="155"/>
      <c r="BG91" s="155"/>
      <c r="BH91" s="160"/>
      <c r="BI91" s="161"/>
      <c r="BJ91" s="105"/>
      <c r="BK91" s="102"/>
      <c r="BL91" s="102"/>
      <c r="BM91" s="102"/>
      <c r="BN91" s="155"/>
      <c r="BO91" s="155"/>
      <c r="BP91" s="155"/>
      <c r="BQ91" s="155"/>
      <c r="BR91" s="160"/>
      <c r="BS91" s="161"/>
      <c r="BT91" s="105"/>
      <c r="BU91" s="102"/>
      <c r="BV91" s="102"/>
      <c r="BW91" s="102"/>
      <c r="BX91" s="155"/>
      <c r="BY91" s="155"/>
      <c r="BZ91" s="155"/>
      <c r="CA91" s="155"/>
      <c r="CB91" s="160"/>
      <c r="CC91" s="161"/>
      <c r="CD91" s="21"/>
      <c r="CE91" s="105"/>
      <c r="CF91" s="102"/>
      <c r="CG91" s="102"/>
      <c r="CH91" s="102"/>
      <c r="CI91" s="155"/>
      <c r="CJ91" s="155"/>
      <c r="CK91" s="155"/>
      <c r="CL91" s="155"/>
      <c r="CM91" s="160"/>
      <c r="CN91" s="161"/>
      <c r="CO91" s="21"/>
      <c r="CP91" s="21"/>
    </row>
    <row r="92" spans="1:94" ht="20" customHeight="1" x14ac:dyDescent="0.2">
      <c r="B92" s="45"/>
      <c r="C92" s="58"/>
      <c r="D92" s="22" t="s">
        <v>85</v>
      </c>
      <c r="E92" s="21" t="s">
        <v>107</v>
      </c>
      <c r="F92" s="21" t="s">
        <v>108</v>
      </c>
      <c r="G92" s="22">
        <v>2008</v>
      </c>
      <c r="H92" s="22">
        <v>54</v>
      </c>
      <c r="I92" s="65">
        <v>12</v>
      </c>
      <c r="J92" s="61" t="s">
        <v>167</v>
      </c>
      <c r="K92" s="83" t="s">
        <v>209</v>
      </c>
      <c r="L92" s="225">
        <v>7.75</v>
      </c>
      <c r="M92" s="226">
        <v>4.58</v>
      </c>
      <c r="N92" s="100">
        <f t="shared" si="35"/>
        <v>-3.17</v>
      </c>
      <c r="O92" s="101">
        <f t="shared" si="32"/>
        <v>-40.903225806451616</v>
      </c>
      <c r="P92" s="227">
        <v>6.38</v>
      </c>
      <c r="Q92" s="227">
        <v>5.54</v>
      </c>
      <c r="R92" s="155">
        <f t="shared" si="33"/>
        <v>-0.83999999999999986</v>
      </c>
      <c r="S92" s="155">
        <f t="shared" si="34"/>
        <v>-13.16614420062696</v>
      </c>
      <c r="T92" s="197"/>
      <c r="U92" s="198"/>
      <c r="V92" s="228">
        <v>7.83</v>
      </c>
      <c r="W92" s="226">
        <v>7.17</v>
      </c>
      <c r="X92" s="100">
        <f t="shared" si="26"/>
        <v>-0.66000000000000014</v>
      </c>
      <c r="Y92" s="101">
        <f t="shared" si="27"/>
        <v>-8.4291187739463709</v>
      </c>
      <c r="Z92" s="227">
        <v>7.31</v>
      </c>
      <c r="AA92" s="227">
        <v>8.08</v>
      </c>
      <c r="AB92" s="155">
        <f t="shared" si="28"/>
        <v>0.77000000000000046</v>
      </c>
      <c r="AC92" s="155">
        <f t="shared" si="29"/>
        <v>10.533515731874161</v>
      </c>
      <c r="AD92" s="197"/>
      <c r="AE92" s="198"/>
      <c r="AF92" s="105"/>
      <c r="AG92" s="102"/>
      <c r="AH92" s="102" t="str">
        <f t="shared" si="30"/>
        <v/>
      </c>
      <c r="AI92" s="102"/>
      <c r="AJ92" s="155"/>
      <c r="AK92" s="155"/>
      <c r="AL92" s="155" t="str">
        <f t="shared" si="31"/>
        <v/>
      </c>
      <c r="AM92" s="157"/>
      <c r="AN92" s="160"/>
      <c r="AO92" s="161"/>
      <c r="AP92" s="107"/>
      <c r="AQ92" s="102"/>
      <c r="AR92" s="102"/>
      <c r="AS92" s="102"/>
      <c r="AT92" s="155"/>
      <c r="AU92" s="155"/>
      <c r="AV92" s="155"/>
      <c r="AW92" s="155"/>
      <c r="AX92" s="160"/>
      <c r="AY92" s="161"/>
      <c r="AZ92" s="103"/>
      <c r="BA92" s="102"/>
      <c r="BB92" s="102"/>
      <c r="BC92" s="102"/>
      <c r="BD92" s="155"/>
      <c r="BE92" s="155"/>
      <c r="BF92" s="155"/>
      <c r="BG92" s="155"/>
      <c r="BH92" s="160"/>
      <c r="BI92" s="161"/>
      <c r="BJ92" s="105"/>
      <c r="BK92" s="102"/>
      <c r="BL92" s="102"/>
      <c r="BM92" s="102"/>
      <c r="BN92" s="155"/>
      <c r="BO92" s="155"/>
      <c r="BP92" s="155"/>
      <c r="BQ92" s="155"/>
      <c r="BR92" s="160"/>
      <c r="BS92" s="161"/>
      <c r="BT92" s="105"/>
      <c r="BU92" s="102"/>
      <c r="BV92" s="102"/>
      <c r="BW92" s="102"/>
      <c r="BX92" s="155"/>
      <c r="BY92" s="155"/>
      <c r="BZ92" s="155"/>
      <c r="CA92" s="155"/>
      <c r="CB92" s="160"/>
      <c r="CC92" s="161"/>
      <c r="CD92" s="21"/>
      <c r="CE92" s="105"/>
      <c r="CF92" s="102"/>
      <c r="CG92" s="102"/>
      <c r="CH92" s="102"/>
      <c r="CI92" s="155"/>
      <c r="CJ92" s="155"/>
      <c r="CK92" s="155"/>
      <c r="CL92" s="155"/>
      <c r="CM92" s="160"/>
      <c r="CN92" s="161"/>
      <c r="CO92" s="21"/>
      <c r="CP92" s="21"/>
    </row>
    <row r="93" spans="1:94" ht="20" customHeight="1" x14ac:dyDescent="0.2">
      <c r="A93" s="702"/>
      <c r="B93" s="46"/>
      <c r="C93" s="22"/>
      <c r="D93" s="696" t="s">
        <v>85</v>
      </c>
      <c r="E93" s="697" t="s">
        <v>673</v>
      </c>
      <c r="F93" s="697" t="s">
        <v>674</v>
      </c>
      <c r="G93" s="698">
        <v>2003</v>
      </c>
      <c r="H93" s="699"/>
      <c r="I93" s="65">
        <v>15</v>
      </c>
      <c r="J93" s="61" t="s">
        <v>213</v>
      </c>
      <c r="K93" s="62" t="s">
        <v>675</v>
      </c>
      <c r="L93" s="225"/>
      <c r="M93" s="226"/>
      <c r="N93" s="100"/>
      <c r="O93" s="101"/>
      <c r="P93" s="227"/>
      <c r="Q93" s="227"/>
      <c r="R93" s="155"/>
      <c r="S93" s="155"/>
      <c r="T93" s="197"/>
      <c r="U93" s="198"/>
      <c r="V93" s="228"/>
      <c r="W93" s="226"/>
      <c r="X93" s="100"/>
      <c r="Y93" s="101"/>
      <c r="Z93" s="227"/>
      <c r="AA93" s="227"/>
      <c r="AB93" s="155"/>
      <c r="AC93" s="155"/>
      <c r="AD93" s="197"/>
      <c r="AE93" s="198"/>
      <c r="AF93" s="105"/>
      <c r="AG93" s="102"/>
      <c r="AH93" s="102"/>
      <c r="AI93" s="102"/>
      <c r="AJ93" s="155"/>
      <c r="AK93" s="155"/>
      <c r="AL93" s="155"/>
      <c r="AM93" s="157"/>
      <c r="AN93" s="160"/>
      <c r="AO93" s="161"/>
      <c r="AP93" s="107"/>
      <c r="AQ93" s="102"/>
      <c r="AR93" s="102"/>
      <c r="AS93" s="102"/>
      <c r="AT93" s="155"/>
      <c r="AU93" s="155"/>
      <c r="AV93" s="155"/>
      <c r="AW93" s="155"/>
      <c r="AX93" s="160"/>
      <c r="AY93" s="161"/>
      <c r="AZ93" s="103"/>
      <c r="BA93" s="102"/>
      <c r="BB93" s="102"/>
      <c r="BC93" s="102"/>
      <c r="BD93" s="155"/>
      <c r="BE93" s="155"/>
      <c r="BF93" s="155"/>
      <c r="BG93" s="155"/>
      <c r="BH93" s="160"/>
      <c r="BI93" s="161"/>
      <c r="BJ93" s="105"/>
      <c r="BK93" s="102"/>
      <c r="BL93" s="102"/>
      <c r="BM93" s="102"/>
      <c r="BN93" s="155"/>
      <c r="BO93" s="155"/>
      <c r="BP93" s="155"/>
      <c r="BQ93" s="155"/>
      <c r="BR93" s="160"/>
      <c r="BS93" s="161"/>
      <c r="BT93" s="105"/>
      <c r="BU93" s="102"/>
      <c r="BV93" s="102"/>
      <c r="BW93" s="102"/>
      <c r="BX93" s="155"/>
      <c r="BY93" s="155"/>
      <c r="BZ93" s="155"/>
      <c r="CA93" s="155"/>
      <c r="CB93" s="160"/>
      <c r="CC93" s="161"/>
      <c r="CD93" s="21"/>
      <c r="CE93" s="105"/>
      <c r="CF93" s="102"/>
      <c r="CG93" s="102"/>
      <c r="CH93" s="102"/>
      <c r="CI93" s="155"/>
      <c r="CJ93" s="155"/>
      <c r="CK93" s="155"/>
      <c r="CL93" s="155"/>
      <c r="CM93" s="160"/>
      <c r="CN93" s="161"/>
      <c r="CO93" s="21"/>
      <c r="CP93" s="21"/>
    </row>
    <row r="94" spans="1:94" ht="20" customHeight="1" x14ac:dyDescent="0.2">
      <c r="A94" s="702"/>
      <c r="B94" s="46"/>
      <c r="C94" s="22"/>
      <c r="D94" s="696" t="s">
        <v>85</v>
      </c>
      <c r="E94" s="697" t="s">
        <v>677</v>
      </c>
      <c r="F94" s="697" t="s">
        <v>678</v>
      </c>
      <c r="G94" s="698"/>
      <c r="H94" s="699"/>
      <c r="I94" s="65"/>
      <c r="J94" s="61" t="s">
        <v>340</v>
      </c>
      <c r="K94" s="62" t="s">
        <v>168</v>
      </c>
      <c r="L94" s="225"/>
      <c r="M94" s="226"/>
      <c r="N94" s="100"/>
      <c r="O94" s="101"/>
      <c r="P94" s="227"/>
      <c r="Q94" s="227"/>
      <c r="R94" s="155"/>
      <c r="S94" s="155"/>
      <c r="T94" s="197"/>
      <c r="U94" s="198"/>
      <c r="V94" s="228"/>
      <c r="W94" s="226"/>
      <c r="X94" s="100"/>
      <c r="Y94" s="101"/>
      <c r="Z94" s="227"/>
      <c r="AA94" s="227"/>
      <c r="AB94" s="155"/>
      <c r="AC94" s="155"/>
      <c r="AD94" s="197"/>
      <c r="AE94" s="198"/>
      <c r="AF94" s="105"/>
      <c r="AG94" s="102"/>
      <c r="AH94" s="102"/>
      <c r="AI94" s="102"/>
      <c r="AJ94" s="155"/>
      <c r="AK94" s="155"/>
      <c r="AL94" s="155"/>
      <c r="AM94" s="157"/>
      <c r="AN94" s="160"/>
      <c r="AO94" s="161"/>
      <c r="AP94" s="107"/>
      <c r="AQ94" s="102"/>
      <c r="AR94" s="102"/>
      <c r="AS94" s="102"/>
      <c r="AT94" s="155"/>
      <c r="AU94" s="155"/>
      <c r="AV94" s="155"/>
      <c r="AW94" s="155"/>
      <c r="AX94" s="160"/>
      <c r="AY94" s="161"/>
      <c r="AZ94" s="103"/>
      <c r="BA94" s="102"/>
      <c r="BB94" s="102"/>
      <c r="BC94" s="102"/>
      <c r="BD94" s="155"/>
      <c r="BE94" s="155"/>
      <c r="BF94" s="155"/>
      <c r="BG94" s="155"/>
      <c r="BH94" s="160"/>
      <c r="BI94" s="161"/>
      <c r="BJ94" s="105"/>
      <c r="BK94" s="102"/>
      <c r="BL94" s="102"/>
      <c r="BM94" s="102"/>
      <c r="BN94" s="155"/>
      <c r="BO94" s="155"/>
      <c r="BP94" s="155"/>
      <c r="BQ94" s="155"/>
      <c r="BR94" s="160"/>
      <c r="BS94" s="161"/>
      <c r="BT94" s="105"/>
      <c r="BU94" s="102"/>
      <c r="BV94" s="102"/>
      <c r="BW94" s="102"/>
      <c r="BX94" s="155"/>
      <c r="BY94" s="155"/>
      <c r="BZ94" s="155"/>
      <c r="CA94" s="155"/>
      <c r="CB94" s="160"/>
      <c r="CC94" s="161"/>
      <c r="CD94" s="21"/>
      <c r="CE94" s="105"/>
      <c r="CF94" s="102"/>
      <c r="CG94" s="102"/>
      <c r="CH94" s="102"/>
      <c r="CI94" s="155"/>
      <c r="CJ94" s="155"/>
      <c r="CK94" s="155"/>
      <c r="CL94" s="155"/>
      <c r="CM94" s="160"/>
      <c r="CN94" s="161"/>
      <c r="CO94" s="21"/>
      <c r="CP94" s="21"/>
    </row>
    <row r="95" spans="1:94" ht="20" customHeight="1" x14ac:dyDescent="0.2">
      <c r="B95" s="45"/>
      <c r="C95" s="58"/>
      <c r="D95" s="22" t="s">
        <v>85</v>
      </c>
      <c r="E95" s="21" t="s">
        <v>119</v>
      </c>
      <c r="F95" s="21" t="s">
        <v>120</v>
      </c>
      <c r="G95" s="22">
        <v>2003</v>
      </c>
      <c r="H95" s="22">
        <v>45</v>
      </c>
      <c r="I95" s="65">
        <v>16</v>
      </c>
      <c r="J95" s="61" t="s">
        <v>175</v>
      </c>
      <c r="K95" s="83" t="s">
        <v>416</v>
      </c>
      <c r="L95" s="99"/>
      <c r="M95" s="100"/>
      <c r="N95" s="100" t="str">
        <f t="shared" si="35"/>
        <v/>
      </c>
      <c r="O95" s="101" t="str">
        <f t="shared" si="32"/>
        <v/>
      </c>
      <c r="P95" s="154"/>
      <c r="Q95" s="154"/>
      <c r="R95" s="155" t="str">
        <f t="shared" si="33"/>
        <v/>
      </c>
      <c r="S95" s="155" t="str">
        <f t="shared" si="34"/>
        <v/>
      </c>
      <c r="T95" s="160"/>
      <c r="U95" s="161"/>
      <c r="V95" s="103"/>
      <c r="W95" s="100"/>
      <c r="X95" s="100" t="str">
        <f t="shared" si="26"/>
        <v/>
      </c>
      <c r="Y95" s="101" t="str">
        <f t="shared" si="27"/>
        <v/>
      </c>
      <c r="Z95" s="154"/>
      <c r="AA95" s="154"/>
      <c r="AB95" s="155" t="str">
        <f t="shared" si="28"/>
        <v/>
      </c>
      <c r="AC95" s="155" t="str">
        <f t="shared" si="29"/>
        <v/>
      </c>
      <c r="AD95" s="160"/>
      <c r="AE95" s="161"/>
      <c r="AF95" s="105"/>
      <c r="AG95" s="102"/>
      <c r="AH95" s="102" t="str">
        <f t="shared" si="30"/>
        <v/>
      </c>
      <c r="AI95" s="102"/>
      <c r="AJ95" s="155"/>
      <c r="AK95" s="155"/>
      <c r="AL95" s="155" t="str">
        <f t="shared" si="31"/>
        <v/>
      </c>
      <c r="AM95" s="157"/>
      <c r="AN95" s="160"/>
      <c r="AO95" s="161"/>
      <c r="AP95" s="107"/>
      <c r="AQ95" s="102"/>
      <c r="AR95" s="102"/>
      <c r="AS95" s="102"/>
      <c r="AT95" s="155"/>
      <c r="AU95" s="155"/>
      <c r="AV95" s="155"/>
      <c r="AW95" s="155"/>
      <c r="AX95" s="160"/>
      <c r="AY95" s="161"/>
      <c r="AZ95" s="103"/>
      <c r="BA95" s="102"/>
      <c r="BB95" s="102"/>
      <c r="BC95" s="102"/>
      <c r="BD95" s="155"/>
      <c r="BE95" s="155"/>
      <c r="BF95" s="155"/>
      <c r="BG95" s="155"/>
      <c r="BH95" s="160"/>
      <c r="BI95" s="161"/>
      <c r="BJ95" s="105"/>
      <c r="BK95" s="102"/>
      <c r="BL95" s="102"/>
      <c r="BM95" s="102"/>
      <c r="BN95" s="155"/>
      <c r="BO95" s="155"/>
      <c r="BP95" s="155"/>
      <c r="BQ95" s="155"/>
      <c r="BR95" s="160"/>
      <c r="BS95" s="161"/>
      <c r="BT95" s="105"/>
      <c r="BU95" s="102"/>
      <c r="BV95" s="102"/>
      <c r="BW95" s="102"/>
      <c r="BX95" s="155"/>
      <c r="BY95" s="155"/>
      <c r="BZ95" s="155"/>
      <c r="CA95" s="155"/>
      <c r="CB95" s="160"/>
      <c r="CC95" s="161"/>
      <c r="CD95" s="21"/>
      <c r="CE95" s="105"/>
      <c r="CF95" s="102"/>
      <c r="CG95" s="102"/>
      <c r="CH95" s="102"/>
      <c r="CI95" s="155"/>
      <c r="CJ95" s="155"/>
      <c r="CK95" s="155"/>
      <c r="CL95" s="155"/>
      <c r="CM95" s="160"/>
      <c r="CN95" s="161"/>
      <c r="CO95" s="21"/>
      <c r="CP95" s="21"/>
    </row>
    <row r="96" spans="1:94" ht="20" customHeight="1" x14ac:dyDescent="0.2">
      <c r="A96" s="702"/>
      <c r="B96" s="46"/>
      <c r="C96" s="22"/>
      <c r="D96" s="696" t="s">
        <v>85</v>
      </c>
      <c r="E96" s="697" t="s">
        <v>679</v>
      </c>
      <c r="F96" s="697" t="s">
        <v>680</v>
      </c>
      <c r="G96" s="698">
        <v>1991</v>
      </c>
      <c r="H96" s="699"/>
      <c r="I96" s="65"/>
      <c r="J96" s="61" t="s">
        <v>175</v>
      </c>
      <c r="K96" s="62" t="s">
        <v>209</v>
      </c>
      <c r="L96" s="99"/>
      <c r="M96" s="100"/>
      <c r="N96" s="100"/>
      <c r="O96" s="101"/>
      <c r="P96" s="154"/>
      <c r="Q96" s="154"/>
      <c r="R96" s="155"/>
      <c r="S96" s="155"/>
      <c r="T96" s="160"/>
      <c r="U96" s="161"/>
      <c r="V96" s="103"/>
      <c r="W96" s="100"/>
      <c r="X96" s="100"/>
      <c r="Y96" s="101"/>
      <c r="Z96" s="154"/>
      <c r="AA96" s="154"/>
      <c r="AB96" s="155"/>
      <c r="AC96" s="155"/>
      <c r="AD96" s="160"/>
      <c r="AE96" s="161"/>
      <c r="AF96" s="105"/>
      <c r="AG96" s="102"/>
      <c r="AH96" s="102"/>
      <c r="AI96" s="102"/>
      <c r="AJ96" s="155"/>
      <c r="AK96" s="155"/>
      <c r="AL96" s="155"/>
      <c r="AM96" s="157"/>
      <c r="AN96" s="160"/>
      <c r="AO96" s="161"/>
      <c r="AP96" s="107"/>
      <c r="AQ96" s="102"/>
      <c r="AR96" s="102"/>
      <c r="AS96" s="102"/>
      <c r="AT96" s="155"/>
      <c r="AU96" s="155"/>
      <c r="AV96" s="155"/>
      <c r="AW96" s="155"/>
      <c r="AX96" s="160"/>
      <c r="AY96" s="161"/>
      <c r="AZ96" s="103"/>
      <c r="BA96" s="102"/>
      <c r="BB96" s="102"/>
      <c r="BC96" s="102"/>
      <c r="BD96" s="155"/>
      <c r="BE96" s="155"/>
      <c r="BF96" s="155"/>
      <c r="BG96" s="155"/>
      <c r="BH96" s="160"/>
      <c r="BI96" s="161"/>
      <c r="BJ96" s="105"/>
      <c r="BK96" s="102"/>
      <c r="BL96" s="102"/>
      <c r="BM96" s="102"/>
      <c r="BN96" s="155"/>
      <c r="BO96" s="155"/>
      <c r="BP96" s="155"/>
      <c r="BQ96" s="155"/>
      <c r="BR96" s="160"/>
      <c r="BS96" s="161"/>
      <c r="BT96" s="105"/>
      <c r="BU96" s="102"/>
      <c r="BV96" s="102"/>
      <c r="BW96" s="102"/>
      <c r="BX96" s="155"/>
      <c r="BY96" s="155"/>
      <c r="BZ96" s="155"/>
      <c r="CA96" s="155"/>
      <c r="CB96" s="160"/>
      <c r="CC96" s="161"/>
      <c r="CD96" s="21"/>
      <c r="CE96" s="105"/>
      <c r="CF96" s="102"/>
      <c r="CG96" s="102"/>
      <c r="CH96" s="102"/>
      <c r="CI96" s="155"/>
      <c r="CJ96" s="155"/>
      <c r="CK96" s="155"/>
      <c r="CL96" s="155"/>
      <c r="CM96" s="160"/>
      <c r="CN96" s="161"/>
      <c r="CO96" s="21"/>
      <c r="CP96" s="21"/>
    </row>
    <row r="97" spans="1:94" ht="20" customHeight="1" x14ac:dyDescent="0.2">
      <c r="B97" s="46"/>
      <c r="C97" s="22"/>
      <c r="D97" s="22" t="s">
        <v>85</v>
      </c>
      <c r="E97" s="21" t="s">
        <v>127</v>
      </c>
      <c r="F97" s="21" t="s">
        <v>128</v>
      </c>
      <c r="G97" s="22">
        <v>2000</v>
      </c>
      <c r="H97" s="22">
        <v>252</v>
      </c>
      <c r="I97" s="65">
        <v>30</v>
      </c>
      <c r="J97" s="61" t="s">
        <v>217</v>
      </c>
      <c r="K97" s="83" t="s">
        <v>168</v>
      </c>
      <c r="L97" s="99"/>
      <c r="M97" s="100"/>
      <c r="N97" s="100" t="str">
        <f t="shared" si="35"/>
        <v/>
      </c>
      <c r="O97" s="101" t="str">
        <f t="shared" si="32"/>
        <v/>
      </c>
      <c r="P97" s="154"/>
      <c r="Q97" s="154"/>
      <c r="R97" s="155" t="str">
        <f t="shared" si="33"/>
        <v/>
      </c>
      <c r="S97" s="155" t="str">
        <f t="shared" si="34"/>
        <v/>
      </c>
      <c r="T97" s="160"/>
      <c r="U97" s="161"/>
      <c r="V97" s="103"/>
      <c r="W97" s="100"/>
      <c r="X97" s="100" t="str">
        <f t="shared" si="26"/>
        <v/>
      </c>
      <c r="Y97" s="101" t="str">
        <f t="shared" si="27"/>
        <v/>
      </c>
      <c r="Z97" s="154"/>
      <c r="AA97" s="154"/>
      <c r="AB97" s="155" t="str">
        <f t="shared" si="28"/>
        <v/>
      </c>
      <c r="AC97" s="155" t="str">
        <f t="shared" si="29"/>
        <v/>
      </c>
      <c r="AD97" s="160"/>
      <c r="AE97" s="161"/>
      <c r="AF97" s="105"/>
      <c r="AG97" s="102"/>
      <c r="AH97" s="102" t="str">
        <f t="shared" si="30"/>
        <v/>
      </c>
      <c r="AI97" s="102"/>
      <c r="AJ97" s="155"/>
      <c r="AK97" s="155"/>
      <c r="AL97" s="155" t="str">
        <f t="shared" si="31"/>
        <v/>
      </c>
      <c r="AM97" s="157"/>
      <c r="AN97" s="160"/>
      <c r="AO97" s="161"/>
      <c r="AP97" s="107"/>
      <c r="AQ97" s="102"/>
      <c r="AR97" s="102"/>
      <c r="AS97" s="102"/>
      <c r="AT97" s="155"/>
      <c r="AU97" s="155"/>
      <c r="AV97" s="155"/>
      <c r="AW97" s="155"/>
      <c r="AX97" s="160"/>
      <c r="AY97" s="161"/>
      <c r="AZ97" s="103"/>
      <c r="BA97" s="102"/>
      <c r="BB97" s="102"/>
      <c r="BC97" s="102"/>
      <c r="BD97" s="155"/>
      <c r="BE97" s="155"/>
      <c r="BF97" s="155"/>
      <c r="BG97" s="155"/>
      <c r="BH97" s="160"/>
      <c r="BI97" s="161"/>
      <c r="BJ97" s="105"/>
      <c r="BK97" s="102"/>
      <c r="BL97" s="102"/>
      <c r="BM97" s="102"/>
      <c r="BN97" s="155"/>
      <c r="BO97" s="155"/>
      <c r="BP97" s="155"/>
      <c r="BQ97" s="155"/>
      <c r="BR97" s="160"/>
      <c r="BS97" s="161"/>
      <c r="BT97" s="105"/>
      <c r="BU97" s="102"/>
      <c r="BV97" s="102"/>
      <c r="BW97" s="102"/>
      <c r="BX97" s="155"/>
      <c r="BY97" s="155"/>
      <c r="BZ97" s="155"/>
      <c r="CA97" s="155"/>
      <c r="CB97" s="160"/>
      <c r="CC97" s="161"/>
      <c r="CD97" s="21"/>
      <c r="CE97" s="105"/>
      <c r="CF97" s="102"/>
      <c r="CG97" s="102"/>
      <c r="CH97" s="102"/>
      <c r="CI97" s="155"/>
      <c r="CJ97" s="155"/>
      <c r="CK97" s="155"/>
      <c r="CL97" s="155"/>
      <c r="CM97" s="160"/>
      <c r="CN97" s="161"/>
      <c r="CO97" s="21"/>
      <c r="CP97" s="21"/>
    </row>
    <row r="98" spans="1:94" ht="20" customHeight="1" x14ac:dyDescent="0.2">
      <c r="A98" s="702"/>
      <c r="B98" s="46"/>
      <c r="C98" s="22"/>
      <c r="D98" s="696" t="s">
        <v>85</v>
      </c>
      <c r="E98" s="697" t="s">
        <v>685</v>
      </c>
      <c r="F98" s="697" t="s">
        <v>686</v>
      </c>
      <c r="G98" s="698">
        <v>2003</v>
      </c>
      <c r="H98" s="699"/>
      <c r="I98" s="65"/>
      <c r="J98" s="61" t="s">
        <v>175</v>
      </c>
      <c r="K98" s="62" t="s">
        <v>168</v>
      </c>
      <c r="L98" s="99"/>
      <c r="M98" s="100"/>
      <c r="N98" s="100"/>
      <c r="O98" s="101"/>
      <c r="P98" s="154"/>
      <c r="Q98" s="154"/>
      <c r="R98" s="155"/>
      <c r="S98" s="155"/>
      <c r="T98" s="160"/>
      <c r="U98" s="161"/>
      <c r="V98" s="103"/>
      <c r="W98" s="100"/>
      <c r="X98" s="100"/>
      <c r="Y98" s="101"/>
      <c r="Z98" s="154"/>
      <c r="AA98" s="154"/>
      <c r="AB98" s="155"/>
      <c r="AC98" s="155"/>
      <c r="AD98" s="160"/>
      <c r="AE98" s="161"/>
      <c r="AF98" s="105"/>
      <c r="AG98" s="102"/>
      <c r="AH98" s="102"/>
      <c r="AI98" s="102"/>
      <c r="AJ98" s="155"/>
      <c r="AK98" s="155"/>
      <c r="AL98" s="155"/>
      <c r="AM98" s="157"/>
      <c r="AN98" s="160"/>
      <c r="AO98" s="161"/>
      <c r="AP98" s="107"/>
      <c r="AQ98" s="102"/>
      <c r="AR98" s="102"/>
      <c r="AS98" s="102"/>
      <c r="AT98" s="155"/>
      <c r="AU98" s="155"/>
      <c r="AV98" s="155"/>
      <c r="AW98" s="155"/>
      <c r="AX98" s="160"/>
      <c r="AY98" s="161"/>
      <c r="AZ98" s="103"/>
      <c r="BA98" s="102"/>
      <c r="BB98" s="102"/>
      <c r="BC98" s="102"/>
      <c r="BD98" s="155"/>
      <c r="BE98" s="155"/>
      <c r="BF98" s="155"/>
      <c r="BG98" s="155"/>
      <c r="BH98" s="160"/>
      <c r="BI98" s="161"/>
      <c r="BJ98" s="105"/>
      <c r="BK98" s="102"/>
      <c r="BL98" s="102"/>
      <c r="BM98" s="102"/>
      <c r="BN98" s="155"/>
      <c r="BO98" s="155"/>
      <c r="BP98" s="155"/>
      <c r="BQ98" s="155"/>
      <c r="BR98" s="160"/>
      <c r="BS98" s="161"/>
      <c r="BT98" s="105"/>
      <c r="BU98" s="102"/>
      <c r="BV98" s="102"/>
      <c r="BW98" s="102"/>
      <c r="BX98" s="155"/>
      <c r="BY98" s="155"/>
      <c r="BZ98" s="155"/>
      <c r="CA98" s="155"/>
      <c r="CB98" s="160"/>
      <c r="CC98" s="161"/>
      <c r="CD98" s="21"/>
      <c r="CE98" s="105"/>
      <c r="CF98" s="102"/>
      <c r="CG98" s="102"/>
      <c r="CH98" s="102"/>
      <c r="CI98" s="155"/>
      <c r="CJ98" s="155"/>
      <c r="CK98" s="155"/>
      <c r="CL98" s="155"/>
      <c r="CM98" s="160"/>
      <c r="CN98" s="161"/>
      <c r="CO98" s="21"/>
      <c r="CP98" s="21"/>
    </row>
    <row r="99" spans="1:94" ht="20" customHeight="1" x14ac:dyDescent="0.2">
      <c r="B99" s="45"/>
      <c r="C99" s="58"/>
      <c r="D99" s="22" t="s">
        <v>85</v>
      </c>
      <c r="E99" s="21" t="s">
        <v>310</v>
      </c>
      <c r="F99" s="21" t="s">
        <v>311</v>
      </c>
      <c r="G99" s="22">
        <v>2010</v>
      </c>
      <c r="I99" s="65">
        <v>53</v>
      </c>
      <c r="J99" s="78" t="s">
        <v>366</v>
      </c>
      <c r="K99" s="83" t="s">
        <v>405</v>
      </c>
      <c r="L99" s="99"/>
      <c r="M99" s="100"/>
      <c r="N99" s="100" t="str">
        <f t="shared" si="35"/>
        <v/>
      </c>
      <c r="O99" s="101" t="str">
        <f t="shared" si="32"/>
        <v/>
      </c>
      <c r="P99" s="154"/>
      <c r="Q99" s="154"/>
      <c r="R99" s="155" t="str">
        <f t="shared" si="33"/>
        <v/>
      </c>
      <c r="S99" s="155" t="str">
        <f t="shared" si="34"/>
        <v/>
      </c>
      <c r="T99" s="160"/>
      <c r="U99" s="161"/>
      <c r="V99" s="103"/>
      <c r="W99" s="100"/>
      <c r="X99" s="100" t="str">
        <f t="shared" si="26"/>
        <v/>
      </c>
      <c r="Y99" s="101" t="str">
        <f t="shared" si="27"/>
        <v/>
      </c>
      <c r="Z99" s="154"/>
      <c r="AA99" s="154"/>
      <c r="AB99" s="155" t="str">
        <f t="shared" si="28"/>
        <v/>
      </c>
      <c r="AC99" s="155" t="str">
        <f t="shared" si="29"/>
        <v/>
      </c>
      <c r="AD99" s="160"/>
      <c r="AE99" s="161"/>
      <c r="AF99" s="105"/>
      <c r="AG99" s="102"/>
      <c r="AH99" s="102" t="str">
        <f t="shared" si="30"/>
        <v/>
      </c>
      <c r="AI99" s="102"/>
      <c r="AJ99" s="155"/>
      <c r="AK99" s="155"/>
      <c r="AL99" s="155" t="str">
        <f t="shared" si="31"/>
        <v/>
      </c>
      <c r="AM99" s="157"/>
      <c r="AN99" s="160"/>
      <c r="AO99" s="161"/>
      <c r="AP99" s="107"/>
      <c r="AQ99" s="102"/>
      <c r="AR99" s="102"/>
      <c r="AS99" s="102"/>
      <c r="AT99" s="155"/>
      <c r="AU99" s="155"/>
      <c r="AV99" s="155"/>
      <c r="AW99" s="155"/>
      <c r="AX99" s="160"/>
      <c r="AY99" s="161"/>
      <c r="AZ99" s="103"/>
      <c r="BA99" s="102"/>
      <c r="BB99" s="102"/>
      <c r="BC99" s="102"/>
      <c r="BD99" s="155"/>
      <c r="BE99" s="155"/>
      <c r="BF99" s="155"/>
      <c r="BG99" s="155"/>
      <c r="BH99" s="160"/>
      <c r="BI99" s="161"/>
      <c r="BJ99" s="105"/>
      <c r="BK99" s="102"/>
      <c r="BL99" s="102"/>
      <c r="BM99" s="102"/>
      <c r="BN99" s="155"/>
      <c r="BO99" s="155"/>
      <c r="BP99" s="155"/>
      <c r="BQ99" s="155"/>
      <c r="BR99" s="160"/>
      <c r="BS99" s="161"/>
      <c r="BT99" s="105"/>
      <c r="BU99" s="102"/>
      <c r="BV99" s="102"/>
      <c r="BW99" s="102"/>
      <c r="BX99" s="155"/>
      <c r="BY99" s="155"/>
      <c r="BZ99" s="155"/>
      <c r="CA99" s="155"/>
      <c r="CB99" s="160"/>
      <c r="CC99" s="161"/>
      <c r="CD99" s="21"/>
      <c r="CE99" s="105"/>
      <c r="CF99" s="102"/>
      <c r="CG99" s="102"/>
      <c r="CH99" s="102"/>
      <c r="CI99" s="155"/>
      <c r="CJ99" s="155"/>
      <c r="CK99" s="155"/>
      <c r="CL99" s="155"/>
      <c r="CM99" s="160"/>
      <c r="CN99" s="161"/>
      <c r="CO99" s="21"/>
      <c r="CP99" s="21"/>
    </row>
    <row r="100" spans="1:94" ht="20" customHeight="1" x14ac:dyDescent="0.2">
      <c r="B100" s="45"/>
      <c r="C100" s="58"/>
      <c r="D100" s="22" t="s">
        <v>85</v>
      </c>
      <c r="E100" s="21" t="s">
        <v>312</v>
      </c>
      <c r="F100" s="21" t="s">
        <v>313</v>
      </c>
      <c r="G100" s="22">
        <v>2014</v>
      </c>
      <c r="I100" s="65">
        <v>39</v>
      </c>
      <c r="J100" s="61" t="s">
        <v>210</v>
      </c>
      <c r="K100" s="83" t="s">
        <v>368</v>
      </c>
      <c r="L100" s="99">
        <v>4.6100000000000003</v>
      </c>
      <c r="M100" s="100"/>
      <c r="N100" s="100" t="str">
        <f t="shared" si="35"/>
        <v/>
      </c>
      <c r="O100" s="101"/>
      <c r="P100" s="154">
        <v>4.03</v>
      </c>
      <c r="Q100" s="154"/>
      <c r="R100" s="155" t="str">
        <f t="shared" si="33"/>
        <v/>
      </c>
      <c r="S100" s="155"/>
      <c r="T100" s="160"/>
      <c r="U100" s="161"/>
      <c r="V100" s="103"/>
      <c r="W100" s="100"/>
      <c r="X100" s="100" t="str">
        <f t="shared" si="26"/>
        <v/>
      </c>
      <c r="Y100" s="101" t="str">
        <f t="shared" si="27"/>
        <v/>
      </c>
      <c r="Z100" s="154"/>
      <c r="AA100" s="154"/>
      <c r="AB100" s="155" t="str">
        <f t="shared" si="28"/>
        <v/>
      </c>
      <c r="AC100" s="155" t="str">
        <f t="shared" si="29"/>
        <v/>
      </c>
      <c r="AD100" s="160"/>
      <c r="AE100" s="161"/>
      <c r="AF100" s="105"/>
      <c r="AG100" s="102"/>
      <c r="AH100" s="102" t="str">
        <f t="shared" si="30"/>
        <v/>
      </c>
      <c r="AI100" s="102"/>
      <c r="AJ100" s="155"/>
      <c r="AK100" s="155"/>
      <c r="AL100" s="155" t="str">
        <f t="shared" si="31"/>
        <v/>
      </c>
      <c r="AM100" s="157"/>
      <c r="AN100" s="160"/>
      <c r="AO100" s="161"/>
      <c r="AP100" s="107"/>
      <c r="AQ100" s="102"/>
      <c r="AR100" s="102"/>
      <c r="AS100" s="102"/>
      <c r="AT100" s="155"/>
      <c r="AU100" s="155"/>
      <c r="AV100" s="155"/>
      <c r="AW100" s="155"/>
      <c r="AX100" s="160"/>
      <c r="AY100" s="161"/>
      <c r="AZ100" s="103"/>
      <c r="BA100" s="102"/>
      <c r="BB100" s="102"/>
      <c r="BC100" s="102"/>
      <c r="BD100" s="155"/>
      <c r="BE100" s="155"/>
      <c r="BF100" s="155"/>
      <c r="BG100" s="155"/>
      <c r="BH100" s="160"/>
      <c r="BI100" s="161"/>
      <c r="BJ100" s="105"/>
      <c r="BK100" s="102"/>
      <c r="BL100" s="102"/>
      <c r="BM100" s="102"/>
      <c r="BN100" s="155"/>
      <c r="BO100" s="155"/>
      <c r="BP100" s="155"/>
      <c r="BQ100" s="155"/>
      <c r="BR100" s="160"/>
      <c r="BS100" s="161"/>
      <c r="BT100" s="105"/>
      <c r="BU100" s="102"/>
      <c r="BV100" s="102"/>
      <c r="BW100" s="102"/>
      <c r="BX100" s="155"/>
      <c r="BY100" s="155"/>
      <c r="BZ100" s="155"/>
      <c r="CA100" s="155"/>
      <c r="CB100" s="160"/>
      <c r="CC100" s="161"/>
      <c r="CD100" s="21"/>
      <c r="CE100" s="105"/>
      <c r="CF100" s="102"/>
      <c r="CG100" s="102"/>
      <c r="CH100" s="102"/>
      <c r="CI100" s="155"/>
      <c r="CJ100" s="155"/>
      <c r="CK100" s="155"/>
      <c r="CL100" s="155"/>
      <c r="CM100" s="160"/>
      <c r="CN100" s="161"/>
      <c r="CO100" s="21" t="s">
        <v>539</v>
      </c>
      <c r="CP100" s="21"/>
    </row>
    <row r="101" spans="1:94" ht="20" customHeight="1" x14ac:dyDescent="0.2">
      <c r="B101" s="45"/>
      <c r="C101" s="58"/>
      <c r="D101" s="22" t="s">
        <v>85</v>
      </c>
      <c r="E101" s="21" t="s">
        <v>314</v>
      </c>
      <c r="F101" s="21" t="s">
        <v>315</v>
      </c>
      <c r="G101" s="22">
        <v>2010</v>
      </c>
      <c r="I101" s="65">
        <v>789</v>
      </c>
      <c r="J101" s="61" t="s">
        <v>210</v>
      </c>
      <c r="K101" s="83" t="s">
        <v>370</v>
      </c>
      <c r="L101" s="99"/>
      <c r="M101" s="100"/>
      <c r="N101" s="100" t="str">
        <f t="shared" si="35"/>
        <v/>
      </c>
      <c r="O101" s="101" t="str">
        <f t="shared" si="32"/>
        <v/>
      </c>
      <c r="P101" s="154"/>
      <c r="Q101" s="154"/>
      <c r="R101" s="155" t="str">
        <f t="shared" si="33"/>
        <v/>
      </c>
      <c r="S101" s="155" t="str">
        <f t="shared" si="34"/>
        <v/>
      </c>
      <c r="T101" s="160"/>
      <c r="U101" s="161"/>
      <c r="V101" s="103"/>
      <c r="W101" s="100"/>
      <c r="X101" s="100" t="str">
        <f t="shared" si="26"/>
        <v/>
      </c>
      <c r="Y101" s="101" t="str">
        <f t="shared" si="27"/>
        <v/>
      </c>
      <c r="Z101" s="154"/>
      <c r="AA101" s="154"/>
      <c r="AB101" s="155" t="str">
        <f t="shared" si="28"/>
        <v/>
      </c>
      <c r="AC101" s="155" t="str">
        <f t="shared" si="29"/>
        <v/>
      </c>
      <c r="AD101" s="160"/>
      <c r="AE101" s="161"/>
      <c r="AF101" s="105"/>
      <c r="AG101" s="102"/>
      <c r="AH101" s="102" t="str">
        <f t="shared" si="30"/>
        <v/>
      </c>
      <c r="AI101" s="102"/>
      <c r="AJ101" s="155"/>
      <c r="AK101" s="155"/>
      <c r="AL101" s="155" t="str">
        <f t="shared" si="31"/>
        <v/>
      </c>
      <c r="AM101" s="157"/>
      <c r="AN101" s="160"/>
      <c r="AO101" s="161"/>
      <c r="AP101" s="107"/>
      <c r="AQ101" s="102"/>
      <c r="AR101" s="102"/>
      <c r="AS101" s="102"/>
      <c r="AT101" s="155"/>
      <c r="AU101" s="155"/>
      <c r="AV101" s="155"/>
      <c r="AW101" s="155"/>
      <c r="AX101" s="160"/>
      <c r="AY101" s="161"/>
      <c r="AZ101" s="103"/>
      <c r="BA101" s="102"/>
      <c r="BB101" s="102"/>
      <c r="BC101" s="102"/>
      <c r="BD101" s="155"/>
      <c r="BE101" s="155"/>
      <c r="BF101" s="155"/>
      <c r="BG101" s="155"/>
      <c r="BH101" s="160"/>
      <c r="BI101" s="161"/>
      <c r="BJ101" s="105"/>
      <c r="BK101" s="102"/>
      <c r="BL101" s="102"/>
      <c r="BM101" s="102"/>
      <c r="BN101" s="155"/>
      <c r="BO101" s="155"/>
      <c r="BP101" s="155"/>
      <c r="BQ101" s="155"/>
      <c r="BR101" s="160"/>
      <c r="BS101" s="161"/>
      <c r="BT101" s="105"/>
      <c r="BU101" s="102"/>
      <c r="BV101" s="102"/>
      <c r="BW101" s="102"/>
      <c r="BX101" s="155"/>
      <c r="BY101" s="155"/>
      <c r="BZ101" s="155"/>
      <c r="CA101" s="155"/>
      <c r="CB101" s="160"/>
      <c r="CC101" s="161"/>
      <c r="CD101" s="21"/>
      <c r="CE101" s="105"/>
      <c r="CF101" s="102"/>
      <c r="CG101" s="102"/>
      <c r="CH101" s="102"/>
      <c r="CI101" s="155"/>
      <c r="CJ101" s="155"/>
      <c r="CK101" s="155"/>
      <c r="CL101" s="155"/>
      <c r="CM101" s="160"/>
      <c r="CN101" s="161"/>
      <c r="CO101" s="21"/>
      <c r="CP101" s="21"/>
    </row>
    <row r="102" spans="1:94" ht="20" customHeight="1" x14ac:dyDescent="0.2">
      <c r="A102" s="702"/>
      <c r="B102" s="46"/>
      <c r="C102" s="22"/>
      <c r="D102" s="696" t="s">
        <v>85</v>
      </c>
      <c r="E102" s="697" t="s">
        <v>694</v>
      </c>
      <c r="F102" s="697" t="s">
        <v>695</v>
      </c>
      <c r="G102" s="698">
        <v>2007</v>
      </c>
      <c r="H102" s="699"/>
      <c r="I102" s="65">
        <v>171</v>
      </c>
      <c r="J102" s="61"/>
      <c r="K102" s="62" t="s">
        <v>209</v>
      </c>
      <c r="L102" s="100"/>
      <c r="M102" s="100"/>
      <c r="N102" s="100"/>
      <c r="O102" s="101"/>
      <c r="P102" s="154"/>
      <c r="Q102" s="154"/>
      <c r="R102" s="155"/>
      <c r="S102" s="155"/>
      <c r="T102" s="160"/>
      <c r="U102" s="161"/>
      <c r="V102" s="103"/>
      <c r="W102" s="100"/>
      <c r="X102" s="100"/>
      <c r="Y102" s="101"/>
      <c r="Z102" s="154"/>
      <c r="AA102" s="154"/>
      <c r="AB102" s="155"/>
      <c r="AC102" s="155"/>
      <c r="AD102" s="160"/>
      <c r="AE102" s="161"/>
      <c r="AF102" s="105"/>
      <c r="AG102" s="102"/>
      <c r="AH102" s="102"/>
      <c r="AI102" s="102"/>
      <c r="AJ102" s="155"/>
      <c r="AK102" s="155"/>
      <c r="AL102" s="155"/>
      <c r="AM102" s="157"/>
      <c r="AN102" s="160"/>
      <c r="AO102" s="161"/>
      <c r="AP102" s="107"/>
      <c r="AQ102" s="102"/>
      <c r="AR102" s="102"/>
      <c r="AS102" s="102"/>
      <c r="AT102" s="155"/>
      <c r="AU102" s="155"/>
      <c r="AV102" s="155"/>
      <c r="AW102" s="155"/>
      <c r="AX102" s="160"/>
      <c r="AY102" s="161"/>
      <c r="AZ102" s="103"/>
      <c r="BA102" s="102"/>
      <c r="BB102" s="102"/>
      <c r="BC102" s="102"/>
      <c r="BD102" s="155"/>
      <c r="BE102" s="155"/>
      <c r="BF102" s="155"/>
      <c r="BG102" s="155"/>
      <c r="BH102" s="160"/>
      <c r="BI102" s="161"/>
      <c r="BJ102" s="105"/>
      <c r="BK102" s="102"/>
      <c r="BL102" s="102"/>
      <c r="BM102" s="102"/>
      <c r="BN102" s="155"/>
      <c r="BO102" s="155"/>
      <c r="BP102" s="155"/>
      <c r="BQ102" s="155"/>
      <c r="BR102" s="160"/>
      <c r="BS102" s="161"/>
      <c r="BT102" s="105"/>
      <c r="BU102" s="102"/>
      <c r="BV102" s="102"/>
      <c r="BW102" s="102"/>
      <c r="BX102" s="155"/>
      <c r="BY102" s="155"/>
      <c r="BZ102" s="155"/>
      <c r="CA102" s="155"/>
      <c r="CB102" s="160"/>
      <c r="CC102" s="161"/>
      <c r="CD102" s="21"/>
      <c r="CE102" s="105"/>
      <c r="CF102" s="102"/>
      <c r="CG102" s="102"/>
      <c r="CH102" s="102"/>
      <c r="CI102" s="155"/>
      <c r="CJ102" s="155"/>
      <c r="CK102" s="155"/>
      <c r="CL102" s="155"/>
      <c r="CM102" s="160"/>
      <c r="CN102" s="161"/>
      <c r="CO102" s="21"/>
      <c r="CP102" s="21"/>
    </row>
    <row r="103" spans="1:94" ht="20" customHeight="1" thickBot="1" x14ac:dyDescent="0.25">
      <c r="B103" s="45"/>
      <c r="C103" s="59"/>
      <c r="D103" s="22" t="s">
        <v>85</v>
      </c>
      <c r="E103" s="21" t="s">
        <v>318</v>
      </c>
      <c r="F103" s="21" t="s">
        <v>319</v>
      </c>
      <c r="G103" s="22">
        <v>2009</v>
      </c>
      <c r="I103" s="66">
        <v>12</v>
      </c>
      <c r="J103" s="63" t="s">
        <v>213</v>
      </c>
      <c r="K103" s="84" t="s">
        <v>191</v>
      </c>
      <c r="L103" s="142"/>
      <c r="M103" s="100"/>
      <c r="N103" s="100" t="str">
        <f t="shared" si="35"/>
        <v/>
      </c>
      <c r="O103" s="101" t="str">
        <f t="shared" si="32"/>
        <v/>
      </c>
      <c r="P103" s="154"/>
      <c r="Q103" s="154"/>
      <c r="R103" s="155" t="str">
        <f t="shared" si="33"/>
        <v/>
      </c>
      <c r="S103" s="155" t="str">
        <f t="shared" si="34"/>
        <v/>
      </c>
      <c r="T103" s="160"/>
      <c r="U103" s="161"/>
      <c r="V103" s="103"/>
      <c r="W103" s="100"/>
      <c r="X103" s="100" t="str">
        <f t="shared" si="26"/>
        <v/>
      </c>
      <c r="Y103" s="101" t="str">
        <f t="shared" si="27"/>
        <v/>
      </c>
      <c r="Z103" s="154"/>
      <c r="AA103" s="154"/>
      <c r="AB103" s="155" t="str">
        <f t="shared" si="28"/>
        <v/>
      </c>
      <c r="AC103" s="155" t="str">
        <f t="shared" si="29"/>
        <v/>
      </c>
      <c r="AD103" s="160"/>
      <c r="AE103" s="161"/>
      <c r="AF103" s="105"/>
      <c r="AG103" s="102"/>
      <c r="AH103" s="102" t="str">
        <f t="shared" si="30"/>
        <v/>
      </c>
      <c r="AI103" s="102"/>
      <c r="AJ103" s="155"/>
      <c r="AK103" s="155"/>
      <c r="AL103" s="155" t="str">
        <f t="shared" si="31"/>
        <v/>
      </c>
      <c r="AM103" s="157"/>
      <c r="AN103" s="160"/>
      <c r="AO103" s="161"/>
      <c r="AP103" s="107"/>
      <c r="AQ103" s="102"/>
      <c r="AR103" s="102"/>
      <c r="AS103" s="102"/>
      <c r="AT103" s="155"/>
      <c r="AU103" s="155"/>
      <c r="AV103" s="155"/>
      <c r="AW103" s="155"/>
      <c r="AX103" s="160"/>
      <c r="AY103" s="161"/>
      <c r="AZ103" s="103"/>
      <c r="BA103" s="102"/>
      <c r="BB103" s="102"/>
      <c r="BC103" s="102"/>
      <c r="BD103" s="155"/>
      <c r="BE103" s="155"/>
      <c r="BF103" s="155"/>
      <c r="BG103" s="155"/>
      <c r="BH103" s="160"/>
      <c r="BI103" s="161"/>
      <c r="BJ103" s="105"/>
      <c r="BK103" s="102"/>
      <c r="BL103" s="102"/>
      <c r="BM103" s="102"/>
      <c r="BN103" s="155"/>
      <c r="BO103" s="155"/>
      <c r="BP103" s="155"/>
      <c r="BQ103" s="155"/>
      <c r="BR103" s="160"/>
      <c r="BS103" s="161"/>
      <c r="BT103" s="105"/>
      <c r="BU103" s="102"/>
      <c r="BV103" s="102"/>
      <c r="BW103" s="102"/>
      <c r="BX103" s="155"/>
      <c r="BY103" s="155"/>
      <c r="BZ103" s="155"/>
      <c r="CA103" s="155"/>
      <c r="CB103" s="160"/>
      <c r="CC103" s="161"/>
      <c r="CD103" s="21"/>
      <c r="CE103" s="105"/>
      <c r="CF103" s="102"/>
      <c r="CG103" s="102"/>
      <c r="CH103" s="102"/>
      <c r="CI103" s="155"/>
      <c r="CJ103" s="155"/>
      <c r="CK103" s="155"/>
      <c r="CL103" s="155"/>
      <c r="CM103" s="160"/>
      <c r="CN103" s="161"/>
      <c r="CO103" s="21"/>
      <c r="CP103" s="21"/>
    </row>
    <row r="104" spans="1:94" ht="20" customHeight="1" x14ac:dyDescent="0.2">
      <c r="F104" s="20"/>
      <c r="G104" s="20"/>
      <c r="H104" s="20"/>
      <c r="I104" s="20"/>
      <c r="J104" s="20"/>
      <c r="K104" s="20"/>
      <c r="L104" s="501" t="s">
        <v>439</v>
      </c>
      <c r="M104" s="504" t="s">
        <v>426</v>
      </c>
      <c r="N104" s="489" t="s">
        <v>485</v>
      </c>
      <c r="O104" s="489" t="s">
        <v>482</v>
      </c>
      <c r="P104" s="505" t="s">
        <v>439</v>
      </c>
      <c r="Q104" s="508" t="s">
        <v>426</v>
      </c>
      <c r="R104" s="490" t="s">
        <v>485</v>
      </c>
      <c r="S104" s="490" t="s">
        <v>482</v>
      </c>
      <c r="T104" s="491" t="s">
        <v>486</v>
      </c>
      <c r="U104" s="492" t="s">
        <v>238</v>
      </c>
      <c r="V104" s="509" t="s">
        <v>439</v>
      </c>
      <c r="W104" s="504" t="s">
        <v>426</v>
      </c>
      <c r="X104" s="489" t="s">
        <v>485</v>
      </c>
      <c r="Y104" s="489" t="s">
        <v>482</v>
      </c>
      <c r="Z104" s="505" t="s">
        <v>439</v>
      </c>
      <c r="AA104" s="508" t="s">
        <v>426</v>
      </c>
      <c r="AB104" s="490" t="s">
        <v>485</v>
      </c>
      <c r="AC104" s="490" t="s">
        <v>482</v>
      </c>
      <c r="AD104" s="491" t="s">
        <v>486</v>
      </c>
      <c r="AE104" s="492" t="s">
        <v>238</v>
      </c>
      <c r="AF104" s="509" t="s">
        <v>439</v>
      </c>
      <c r="AG104" s="504" t="s">
        <v>426</v>
      </c>
      <c r="AH104" s="489" t="s">
        <v>485</v>
      </c>
      <c r="AI104" s="489" t="s">
        <v>482</v>
      </c>
      <c r="AJ104" s="505" t="s">
        <v>439</v>
      </c>
      <c r="AK104" s="508" t="s">
        <v>426</v>
      </c>
      <c r="AL104" s="490" t="s">
        <v>485</v>
      </c>
      <c r="AM104" s="490" t="s">
        <v>482</v>
      </c>
      <c r="AN104" s="491" t="s">
        <v>486</v>
      </c>
      <c r="AO104" s="492" t="s">
        <v>238</v>
      </c>
      <c r="AP104" s="509" t="s">
        <v>439</v>
      </c>
      <c r="AQ104" s="504" t="s">
        <v>426</v>
      </c>
      <c r="AR104" s="489" t="s">
        <v>485</v>
      </c>
      <c r="AS104" s="489" t="s">
        <v>482</v>
      </c>
      <c r="AT104" s="505" t="s">
        <v>439</v>
      </c>
      <c r="AU104" s="508" t="s">
        <v>426</v>
      </c>
      <c r="AV104" s="490" t="s">
        <v>485</v>
      </c>
      <c r="AW104" s="490" t="s">
        <v>482</v>
      </c>
      <c r="AX104" s="491" t="s">
        <v>486</v>
      </c>
      <c r="AY104" s="492" t="s">
        <v>238</v>
      </c>
      <c r="AZ104" s="509" t="s">
        <v>439</v>
      </c>
      <c r="BA104" s="504" t="s">
        <v>426</v>
      </c>
      <c r="BB104" s="489" t="s">
        <v>485</v>
      </c>
      <c r="BC104" s="489" t="s">
        <v>482</v>
      </c>
      <c r="BD104" s="505" t="s">
        <v>439</v>
      </c>
      <c r="BE104" s="508" t="s">
        <v>426</v>
      </c>
      <c r="BF104" s="490" t="s">
        <v>485</v>
      </c>
      <c r="BG104" s="490" t="s">
        <v>482</v>
      </c>
      <c r="BH104" s="491" t="s">
        <v>486</v>
      </c>
      <c r="BI104" s="492" t="s">
        <v>238</v>
      </c>
      <c r="BJ104" s="509" t="s">
        <v>439</v>
      </c>
      <c r="BK104" s="504" t="s">
        <v>426</v>
      </c>
      <c r="BL104" s="489" t="s">
        <v>485</v>
      </c>
      <c r="BM104" s="489" t="s">
        <v>482</v>
      </c>
      <c r="BN104" s="505" t="s">
        <v>439</v>
      </c>
      <c r="BO104" s="508" t="s">
        <v>426</v>
      </c>
      <c r="BP104" s="490" t="s">
        <v>485</v>
      </c>
      <c r="BQ104" s="490" t="s">
        <v>482</v>
      </c>
      <c r="BR104" s="491" t="s">
        <v>486</v>
      </c>
      <c r="BS104" s="492" t="s">
        <v>238</v>
      </c>
      <c r="BT104" s="509" t="s">
        <v>439</v>
      </c>
      <c r="BU104" s="504" t="s">
        <v>426</v>
      </c>
      <c r="BV104" s="489" t="s">
        <v>485</v>
      </c>
      <c r="BW104" s="489" t="s">
        <v>482</v>
      </c>
      <c r="BX104" s="505" t="s">
        <v>439</v>
      </c>
      <c r="BY104" s="508" t="s">
        <v>426</v>
      </c>
      <c r="BZ104" s="490" t="s">
        <v>485</v>
      </c>
      <c r="CA104" s="490" t="s">
        <v>482</v>
      </c>
      <c r="CB104" s="491" t="s">
        <v>486</v>
      </c>
      <c r="CC104" s="492" t="s">
        <v>238</v>
      </c>
      <c r="CD104" s="21"/>
      <c r="CE104" s="628" t="s">
        <v>439</v>
      </c>
      <c r="CF104" s="496" t="s">
        <v>426</v>
      </c>
      <c r="CG104" s="477" t="s">
        <v>485</v>
      </c>
      <c r="CH104" s="477" t="s">
        <v>482</v>
      </c>
      <c r="CI104" s="510" t="s">
        <v>439</v>
      </c>
      <c r="CJ104" s="499" t="s">
        <v>426</v>
      </c>
      <c r="CK104" s="480" t="s">
        <v>485</v>
      </c>
      <c r="CL104" s="480" t="s">
        <v>482</v>
      </c>
      <c r="CM104" s="483" t="s">
        <v>486</v>
      </c>
      <c r="CN104" s="486" t="s">
        <v>238</v>
      </c>
      <c r="CO104" s="21"/>
      <c r="CP104" s="21"/>
    </row>
    <row r="105" spans="1:94" ht="20" customHeight="1" x14ac:dyDescent="0.2">
      <c r="F105" s="20"/>
      <c r="G105" s="20"/>
      <c r="H105" s="20"/>
      <c r="I105" s="20"/>
      <c r="J105" s="20"/>
      <c r="K105" s="20"/>
      <c r="L105" s="502"/>
      <c r="M105" s="497"/>
      <c r="N105" s="478"/>
      <c r="O105" s="478"/>
      <c r="P105" s="506"/>
      <c r="Q105" s="499"/>
      <c r="R105" s="481"/>
      <c r="S105" s="481"/>
      <c r="T105" s="484"/>
      <c r="U105" s="487"/>
      <c r="V105" s="494"/>
      <c r="W105" s="497"/>
      <c r="X105" s="478"/>
      <c r="Y105" s="478"/>
      <c r="Z105" s="506"/>
      <c r="AA105" s="499"/>
      <c r="AB105" s="481"/>
      <c r="AC105" s="481"/>
      <c r="AD105" s="484"/>
      <c r="AE105" s="487"/>
      <c r="AF105" s="494"/>
      <c r="AG105" s="497"/>
      <c r="AH105" s="478"/>
      <c r="AI105" s="478"/>
      <c r="AJ105" s="506"/>
      <c r="AK105" s="499"/>
      <c r="AL105" s="481"/>
      <c r="AM105" s="481"/>
      <c r="AN105" s="484"/>
      <c r="AO105" s="487"/>
      <c r="AP105" s="494"/>
      <c r="AQ105" s="497"/>
      <c r="AR105" s="478"/>
      <c r="AS105" s="478"/>
      <c r="AT105" s="506"/>
      <c r="AU105" s="499"/>
      <c r="AV105" s="481"/>
      <c r="AW105" s="481"/>
      <c r="AX105" s="484"/>
      <c r="AY105" s="487"/>
      <c r="AZ105" s="494"/>
      <c r="BA105" s="497"/>
      <c r="BB105" s="478"/>
      <c r="BC105" s="478"/>
      <c r="BD105" s="506"/>
      <c r="BE105" s="499"/>
      <c r="BF105" s="481"/>
      <c r="BG105" s="481"/>
      <c r="BH105" s="484"/>
      <c r="BI105" s="487"/>
      <c r="BJ105" s="494"/>
      <c r="BK105" s="497"/>
      <c r="BL105" s="478"/>
      <c r="BM105" s="478"/>
      <c r="BN105" s="506"/>
      <c r="BO105" s="499"/>
      <c r="BP105" s="481"/>
      <c r="BQ105" s="481"/>
      <c r="BR105" s="484"/>
      <c r="BS105" s="487"/>
      <c r="BT105" s="494"/>
      <c r="BU105" s="497"/>
      <c r="BV105" s="478"/>
      <c r="BW105" s="478"/>
      <c r="BX105" s="506"/>
      <c r="BY105" s="499"/>
      <c r="BZ105" s="481"/>
      <c r="CA105" s="481"/>
      <c r="CB105" s="484"/>
      <c r="CC105" s="487"/>
      <c r="CD105" s="21"/>
      <c r="CE105" s="502"/>
      <c r="CF105" s="497"/>
      <c r="CG105" s="478"/>
      <c r="CH105" s="478"/>
      <c r="CI105" s="506"/>
      <c r="CJ105" s="499"/>
      <c r="CK105" s="481"/>
      <c r="CL105" s="481"/>
      <c r="CM105" s="484"/>
      <c r="CN105" s="487"/>
      <c r="CO105" s="21"/>
      <c r="CP105" s="21"/>
    </row>
    <row r="106" spans="1:94" ht="20" customHeight="1" x14ac:dyDescent="0.2">
      <c r="F106" s="20"/>
      <c r="G106" s="20"/>
      <c r="H106" s="20"/>
      <c r="I106" s="20"/>
      <c r="J106" s="20"/>
      <c r="K106" s="20"/>
      <c r="L106" s="502"/>
      <c r="M106" s="497"/>
      <c r="N106" s="478"/>
      <c r="O106" s="478"/>
      <c r="P106" s="506"/>
      <c r="Q106" s="499"/>
      <c r="R106" s="481"/>
      <c r="S106" s="481"/>
      <c r="T106" s="484"/>
      <c r="U106" s="487"/>
      <c r="V106" s="494"/>
      <c r="W106" s="497"/>
      <c r="X106" s="478"/>
      <c r="Y106" s="478"/>
      <c r="Z106" s="506"/>
      <c r="AA106" s="499"/>
      <c r="AB106" s="481"/>
      <c r="AC106" s="481"/>
      <c r="AD106" s="484"/>
      <c r="AE106" s="487"/>
      <c r="AF106" s="494"/>
      <c r="AG106" s="497"/>
      <c r="AH106" s="478"/>
      <c r="AI106" s="478"/>
      <c r="AJ106" s="506"/>
      <c r="AK106" s="499"/>
      <c r="AL106" s="481"/>
      <c r="AM106" s="481"/>
      <c r="AN106" s="484"/>
      <c r="AO106" s="487"/>
      <c r="AP106" s="494"/>
      <c r="AQ106" s="497"/>
      <c r="AR106" s="478"/>
      <c r="AS106" s="478"/>
      <c r="AT106" s="506"/>
      <c r="AU106" s="499"/>
      <c r="AV106" s="481"/>
      <c r="AW106" s="481"/>
      <c r="AX106" s="484"/>
      <c r="AY106" s="487"/>
      <c r="AZ106" s="494"/>
      <c r="BA106" s="497"/>
      <c r="BB106" s="478"/>
      <c r="BC106" s="478"/>
      <c r="BD106" s="506"/>
      <c r="BE106" s="499"/>
      <c r="BF106" s="481"/>
      <c r="BG106" s="481"/>
      <c r="BH106" s="484"/>
      <c r="BI106" s="487"/>
      <c r="BJ106" s="494"/>
      <c r="BK106" s="497"/>
      <c r="BL106" s="478"/>
      <c r="BM106" s="478"/>
      <c r="BN106" s="506"/>
      <c r="BO106" s="499"/>
      <c r="BP106" s="481"/>
      <c r="BQ106" s="481"/>
      <c r="BR106" s="484"/>
      <c r="BS106" s="487"/>
      <c r="BT106" s="494"/>
      <c r="BU106" s="497"/>
      <c r="BV106" s="478"/>
      <c r="BW106" s="478"/>
      <c r="BX106" s="506"/>
      <c r="BY106" s="499"/>
      <c r="BZ106" s="481"/>
      <c r="CA106" s="481"/>
      <c r="CB106" s="484"/>
      <c r="CC106" s="487"/>
      <c r="CD106" s="21"/>
      <c r="CE106" s="502"/>
      <c r="CF106" s="497"/>
      <c r="CG106" s="478"/>
      <c r="CH106" s="478"/>
      <c r="CI106" s="506"/>
      <c r="CJ106" s="499"/>
      <c r="CK106" s="481"/>
      <c r="CL106" s="481"/>
      <c r="CM106" s="484"/>
      <c r="CN106" s="487"/>
      <c r="CO106" s="21"/>
      <c r="CP106" s="21"/>
    </row>
    <row r="107" spans="1:94" ht="20" customHeight="1" x14ac:dyDescent="0.2">
      <c r="F107" s="20"/>
      <c r="G107" s="20"/>
      <c r="H107" s="20"/>
      <c r="I107" s="20"/>
      <c r="J107" s="20"/>
      <c r="K107" s="20"/>
      <c r="L107" s="502"/>
      <c r="M107" s="497"/>
      <c r="N107" s="478"/>
      <c r="O107" s="478"/>
      <c r="P107" s="506"/>
      <c r="Q107" s="499"/>
      <c r="R107" s="481"/>
      <c r="S107" s="481"/>
      <c r="T107" s="484"/>
      <c r="U107" s="487"/>
      <c r="V107" s="494"/>
      <c r="W107" s="497"/>
      <c r="X107" s="478"/>
      <c r="Y107" s="478"/>
      <c r="Z107" s="506"/>
      <c r="AA107" s="499"/>
      <c r="AB107" s="481"/>
      <c r="AC107" s="481"/>
      <c r="AD107" s="484"/>
      <c r="AE107" s="487"/>
      <c r="AF107" s="494"/>
      <c r="AG107" s="497"/>
      <c r="AH107" s="478"/>
      <c r="AI107" s="478"/>
      <c r="AJ107" s="506"/>
      <c r="AK107" s="499"/>
      <c r="AL107" s="481"/>
      <c r="AM107" s="481"/>
      <c r="AN107" s="484"/>
      <c r="AO107" s="487"/>
      <c r="AP107" s="494"/>
      <c r="AQ107" s="497"/>
      <c r="AR107" s="478"/>
      <c r="AS107" s="478"/>
      <c r="AT107" s="506"/>
      <c r="AU107" s="499"/>
      <c r="AV107" s="481"/>
      <c r="AW107" s="481"/>
      <c r="AX107" s="484"/>
      <c r="AY107" s="487"/>
      <c r="AZ107" s="494"/>
      <c r="BA107" s="497"/>
      <c r="BB107" s="478"/>
      <c r="BC107" s="478"/>
      <c r="BD107" s="506"/>
      <c r="BE107" s="499"/>
      <c r="BF107" s="481"/>
      <c r="BG107" s="481"/>
      <c r="BH107" s="484"/>
      <c r="BI107" s="487"/>
      <c r="BJ107" s="494"/>
      <c r="BK107" s="497"/>
      <c r="BL107" s="478"/>
      <c r="BM107" s="478"/>
      <c r="BN107" s="506"/>
      <c r="BO107" s="499"/>
      <c r="BP107" s="481"/>
      <c r="BQ107" s="481"/>
      <c r="BR107" s="484"/>
      <c r="BS107" s="487"/>
      <c r="BT107" s="494"/>
      <c r="BU107" s="497"/>
      <c r="BV107" s="478"/>
      <c r="BW107" s="478"/>
      <c r="BX107" s="506"/>
      <c r="BY107" s="499"/>
      <c r="BZ107" s="481"/>
      <c r="CA107" s="481"/>
      <c r="CB107" s="484"/>
      <c r="CC107" s="487"/>
      <c r="CD107" s="21"/>
      <c r="CE107" s="502"/>
      <c r="CF107" s="497"/>
      <c r="CG107" s="478"/>
      <c r="CH107" s="478"/>
      <c r="CI107" s="506"/>
      <c r="CJ107" s="499"/>
      <c r="CK107" s="481"/>
      <c r="CL107" s="481"/>
      <c r="CM107" s="484"/>
      <c r="CN107" s="487"/>
      <c r="CO107" s="21"/>
      <c r="CP107" s="21"/>
    </row>
    <row r="108" spans="1:94" ht="20" customHeight="1" thickBot="1" x14ac:dyDescent="0.25">
      <c r="F108" s="20"/>
      <c r="G108" s="20"/>
      <c r="H108" s="20"/>
      <c r="I108" s="20"/>
      <c r="J108" s="20"/>
      <c r="K108" s="20"/>
      <c r="L108" s="503"/>
      <c r="M108" s="498"/>
      <c r="N108" s="479"/>
      <c r="O108" s="479"/>
      <c r="P108" s="507"/>
      <c r="Q108" s="500"/>
      <c r="R108" s="482"/>
      <c r="S108" s="482"/>
      <c r="T108" s="485"/>
      <c r="U108" s="488"/>
      <c r="V108" s="495"/>
      <c r="W108" s="498"/>
      <c r="X108" s="479"/>
      <c r="Y108" s="479"/>
      <c r="Z108" s="507"/>
      <c r="AA108" s="500"/>
      <c r="AB108" s="482"/>
      <c r="AC108" s="482"/>
      <c r="AD108" s="485"/>
      <c r="AE108" s="488"/>
      <c r="AF108" s="495"/>
      <c r="AG108" s="498"/>
      <c r="AH108" s="479"/>
      <c r="AI108" s="479"/>
      <c r="AJ108" s="507"/>
      <c r="AK108" s="500"/>
      <c r="AL108" s="482"/>
      <c r="AM108" s="482"/>
      <c r="AN108" s="485"/>
      <c r="AO108" s="488"/>
      <c r="AP108" s="495"/>
      <c r="AQ108" s="498"/>
      <c r="AR108" s="479"/>
      <c r="AS108" s="479"/>
      <c r="AT108" s="507"/>
      <c r="AU108" s="500"/>
      <c r="AV108" s="482"/>
      <c r="AW108" s="482"/>
      <c r="AX108" s="485"/>
      <c r="AY108" s="488"/>
      <c r="AZ108" s="495"/>
      <c r="BA108" s="498"/>
      <c r="BB108" s="479"/>
      <c r="BC108" s="479"/>
      <c r="BD108" s="507"/>
      <c r="BE108" s="500"/>
      <c r="BF108" s="482"/>
      <c r="BG108" s="482"/>
      <c r="BH108" s="485"/>
      <c r="BI108" s="488"/>
      <c r="BJ108" s="495"/>
      <c r="BK108" s="498"/>
      <c r="BL108" s="479"/>
      <c r="BM108" s="479"/>
      <c r="BN108" s="507"/>
      <c r="BO108" s="500"/>
      <c r="BP108" s="482"/>
      <c r="BQ108" s="482"/>
      <c r="BR108" s="485"/>
      <c r="BS108" s="488"/>
      <c r="BT108" s="495"/>
      <c r="BU108" s="498"/>
      <c r="BV108" s="479"/>
      <c r="BW108" s="479"/>
      <c r="BX108" s="507"/>
      <c r="BY108" s="500"/>
      <c r="BZ108" s="482"/>
      <c r="CA108" s="482"/>
      <c r="CB108" s="485"/>
      <c r="CC108" s="488"/>
      <c r="CD108" s="21"/>
      <c r="CE108" s="503"/>
      <c r="CF108" s="498"/>
      <c r="CG108" s="479"/>
      <c r="CH108" s="479"/>
      <c r="CI108" s="507"/>
      <c r="CJ108" s="500"/>
      <c r="CK108" s="482"/>
      <c r="CL108" s="482"/>
      <c r="CM108" s="485"/>
      <c r="CN108" s="488"/>
      <c r="CO108" s="21"/>
      <c r="CP108" s="21"/>
    </row>
    <row r="109" spans="1:94" ht="20" customHeight="1" thickBot="1" x14ac:dyDescent="0.25">
      <c r="F109" s="20"/>
      <c r="G109" s="20"/>
      <c r="H109" s="20"/>
      <c r="I109" s="20"/>
      <c r="J109" s="20"/>
      <c r="K109" s="20"/>
      <c r="L109" s="528" t="s">
        <v>428</v>
      </c>
      <c r="M109" s="526"/>
      <c r="N109" s="526"/>
      <c r="O109" s="527"/>
      <c r="P109" s="529" t="s">
        <v>429</v>
      </c>
      <c r="Q109" s="530"/>
      <c r="R109" s="530"/>
      <c r="S109" s="530"/>
      <c r="T109" s="519" t="s">
        <v>487</v>
      </c>
      <c r="U109" s="520"/>
      <c r="V109" s="525" t="s">
        <v>428</v>
      </c>
      <c r="W109" s="526"/>
      <c r="X109" s="526"/>
      <c r="Y109" s="527"/>
      <c r="Z109" s="529" t="s">
        <v>429</v>
      </c>
      <c r="AA109" s="530"/>
      <c r="AB109" s="530"/>
      <c r="AC109" s="530"/>
      <c r="AD109" s="519" t="s">
        <v>487</v>
      </c>
      <c r="AE109" s="520"/>
      <c r="AF109" s="525" t="s">
        <v>428</v>
      </c>
      <c r="AG109" s="526"/>
      <c r="AH109" s="526"/>
      <c r="AI109" s="527"/>
      <c r="AJ109" s="531" t="s">
        <v>429</v>
      </c>
      <c r="AK109" s="532"/>
      <c r="AL109" s="532"/>
      <c r="AM109" s="532"/>
      <c r="AN109" s="519" t="s">
        <v>487</v>
      </c>
      <c r="AO109" s="520"/>
      <c r="AP109" s="525" t="s">
        <v>428</v>
      </c>
      <c r="AQ109" s="526"/>
      <c r="AR109" s="526"/>
      <c r="AS109" s="527"/>
      <c r="AT109" s="531" t="s">
        <v>429</v>
      </c>
      <c r="AU109" s="532"/>
      <c r="AV109" s="532"/>
      <c r="AW109" s="532"/>
      <c r="AX109" s="519" t="s">
        <v>487</v>
      </c>
      <c r="AY109" s="520"/>
      <c r="AZ109" s="525" t="s">
        <v>428</v>
      </c>
      <c r="BA109" s="526"/>
      <c r="BB109" s="526"/>
      <c r="BC109" s="527"/>
      <c r="BD109" s="531" t="s">
        <v>429</v>
      </c>
      <c r="BE109" s="532"/>
      <c r="BF109" s="532"/>
      <c r="BG109" s="532"/>
      <c r="BH109" s="519" t="s">
        <v>487</v>
      </c>
      <c r="BI109" s="520"/>
      <c r="BJ109" s="525" t="s">
        <v>428</v>
      </c>
      <c r="BK109" s="526"/>
      <c r="BL109" s="526"/>
      <c r="BM109" s="527"/>
      <c r="BN109" s="529" t="s">
        <v>429</v>
      </c>
      <c r="BO109" s="530"/>
      <c r="BP109" s="530"/>
      <c r="BQ109" s="613"/>
      <c r="BR109" s="519" t="s">
        <v>487</v>
      </c>
      <c r="BS109" s="520"/>
      <c r="BT109" s="525" t="s">
        <v>428</v>
      </c>
      <c r="BU109" s="526"/>
      <c r="BV109" s="526"/>
      <c r="BW109" s="527"/>
      <c r="BX109" s="529" t="s">
        <v>429</v>
      </c>
      <c r="BY109" s="530"/>
      <c r="BZ109" s="530"/>
      <c r="CA109" s="613"/>
      <c r="CB109" s="519" t="s">
        <v>487</v>
      </c>
      <c r="CC109" s="520"/>
      <c r="CD109" s="21"/>
      <c r="CE109" s="525" t="s">
        <v>428</v>
      </c>
      <c r="CF109" s="526"/>
      <c r="CG109" s="526"/>
      <c r="CH109" s="527"/>
      <c r="CI109" s="529" t="s">
        <v>429</v>
      </c>
      <c r="CJ109" s="530"/>
      <c r="CK109" s="530"/>
      <c r="CL109" s="613"/>
      <c r="CM109" s="519" t="s">
        <v>487</v>
      </c>
      <c r="CN109" s="520"/>
      <c r="CO109" s="21"/>
      <c r="CP109" s="21"/>
    </row>
    <row r="110" spans="1:94" ht="20" customHeight="1" thickBot="1" x14ac:dyDescent="0.25">
      <c r="F110" s="20"/>
      <c r="G110" s="20"/>
      <c r="H110" s="20"/>
      <c r="I110" s="20"/>
      <c r="J110" s="20"/>
      <c r="K110" s="20"/>
      <c r="L110" s="524" t="s">
        <v>443</v>
      </c>
      <c r="M110" s="522"/>
      <c r="N110" s="522"/>
      <c r="O110" s="522"/>
      <c r="P110" s="522"/>
      <c r="Q110" s="522"/>
      <c r="R110" s="522"/>
      <c r="S110" s="522"/>
      <c r="T110" s="522"/>
      <c r="U110" s="523"/>
      <c r="V110" s="521" t="s">
        <v>434</v>
      </c>
      <c r="W110" s="522"/>
      <c r="X110" s="522"/>
      <c r="Y110" s="522"/>
      <c r="Z110" s="522"/>
      <c r="AA110" s="522"/>
      <c r="AB110" s="522"/>
      <c r="AC110" s="522"/>
      <c r="AD110" s="522"/>
      <c r="AE110" s="523"/>
      <c r="AF110" s="521" t="s">
        <v>437</v>
      </c>
      <c r="AG110" s="522"/>
      <c r="AH110" s="522"/>
      <c r="AI110" s="522"/>
      <c r="AJ110" s="522"/>
      <c r="AK110" s="522"/>
      <c r="AL110" s="522"/>
      <c r="AM110" s="522"/>
      <c r="AN110" s="522"/>
      <c r="AO110" s="523"/>
      <c r="AP110" s="521" t="s">
        <v>438</v>
      </c>
      <c r="AQ110" s="522"/>
      <c r="AR110" s="522"/>
      <c r="AS110" s="522"/>
      <c r="AT110" s="522"/>
      <c r="AU110" s="522"/>
      <c r="AV110" s="522"/>
      <c r="AW110" s="522"/>
      <c r="AX110" s="522"/>
      <c r="AY110" s="523"/>
      <c r="AZ110" s="521" t="s">
        <v>440</v>
      </c>
      <c r="BA110" s="522"/>
      <c r="BB110" s="522"/>
      <c r="BC110" s="522"/>
      <c r="BD110" s="522"/>
      <c r="BE110" s="522"/>
      <c r="BF110" s="522"/>
      <c r="BG110" s="522"/>
      <c r="BH110" s="522"/>
      <c r="BI110" s="523"/>
      <c r="BJ110" s="525" t="s">
        <v>444</v>
      </c>
      <c r="BK110" s="526"/>
      <c r="BL110" s="526"/>
      <c r="BM110" s="526"/>
      <c r="BN110" s="526"/>
      <c r="BO110" s="526"/>
      <c r="BP110" s="526"/>
      <c r="BQ110" s="526"/>
      <c r="BR110" s="526"/>
      <c r="BS110" s="597"/>
      <c r="BT110" s="525" t="s">
        <v>491</v>
      </c>
      <c r="BU110" s="526"/>
      <c r="BV110" s="526"/>
      <c r="BW110" s="526"/>
      <c r="BX110" s="526"/>
      <c r="BY110" s="526"/>
      <c r="BZ110" s="526"/>
      <c r="CA110" s="526"/>
      <c r="CB110" s="526"/>
      <c r="CC110" s="597"/>
      <c r="CD110" s="21"/>
      <c r="CE110" s="525" t="s">
        <v>508</v>
      </c>
      <c r="CF110" s="526"/>
      <c r="CG110" s="526"/>
      <c r="CH110" s="526"/>
      <c r="CI110" s="526"/>
      <c r="CJ110" s="526"/>
      <c r="CK110" s="526"/>
      <c r="CL110" s="526"/>
      <c r="CM110" s="526"/>
      <c r="CN110" s="597"/>
      <c r="CO110" s="21"/>
      <c r="CP110" s="21"/>
    </row>
    <row r="111" spans="1:94" ht="20" customHeight="1" x14ac:dyDescent="0.2">
      <c r="F111" s="20"/>
      <c r="G111" s="20"/>
      <c r="H111" s="20"/>
      <c r="I111" s="20"/>
      <c r="J111" s="20"/>
      <c r="K111" s="20"/>
      <c r="L111" s="608" t="s">
        <v>425</v>
      </c>
      <c r="M111" s="595"/>
      <c r="N111" s="595"/>
      <c r="O111" s="595"/>
      <c r="P111" s="595"/>
      <c r="Q111" s="595"/>
      <c r="R111" s="595"/>
      <c r="S111" s="595"/>
      <c r="T111" s="595"/>
      <c r="U111" s="595"/>
      <c r="V111" s="595"/>
      <c r="W111" s="595"/>
      <c r="X111" s="595"/>
      <c r="Y111" s="595"/>
      <c r="Z111" s="595"/>
      <c r="AA111" s="595"/>
      <c r="AB111" s="595"/>
      <c r="AC111" s="595"/>
      <c r="AD111" s="595"/>
      <c r="AE111" s="595"/>
      <c r="AF111" s="595"/>
      <c r="AG111" s="595"/>
      <c r="AH111" s="595"/>
      <c r="AI111" s="595"/>
      <c r="AJ111" s="595"/>
      <c r="AK111" s="595"/>
      <c r="AL111" s="595"/>
      <c r="AM111" s="595"/>
      <c r="AN111" s="595"/>
      <c r="AO111" s="595"/>
      <c r="AP111" s="595"/>
      <c r="AQ111" s="595"/>
      <c r="AR111" s="595"/>
      <c r="AS111" s="595"/>
      <c r="AT111" s="595"/>
      <c r="AU111" s="595"/>
      <c r="AV111" s="595"/>
      <c r="AW111" s="595"/>
      <c r="AX111" s="595"/>
      <c r="AY111" s="595"/>
      <c r="AZ111" s="595"/>
      <c r="BA111" s="595"/>
      <c r="BB111" s="595"/>
      <c r="BC111" s="595"/>
      <c r="BD111" s="595"/>
      <c r="BE111" s="595"/>
      <c r="BF111" s="595"/>
      <c r="BG111" s="595"/>
      <c r="BH111" s="595"/>
      <c r="BI111" s="595"/>
      <c r="BJ111" s="595"/>
      <c r="BK111" s="595"/>
      <c r="BL111" s="595"/>
      <c r="BM111" s="595"/>
      <c r="BN111" s="595"/>
      <c r="BO111" s="595"/>
      <c r="BP111" s="595"/>
      <c r="BQ111" s="595"/>
      <c r="BR111" s="595"/>
      <c r="BS111" s="595"/>
      <c r="BT111" s="595"/>
      <c r="BU111" s="595"/>
      <c r="BV111" s="595"/>
      <c r="BW111" s="595"/>
      <c r="BX111" s="595"/>
      <c r="BY111" s="595"/>
      <c r="BZ111" s="595"/>
      <c r="CA111" s="595"/>
      <c r="CB111" s="595"/>
      <c r="CC111" s="596"/>
      <c r="CD111" s="21"/>
      <c r="CE111" s="594"/>
      <c r="CF111" s="595"/>
      <c r="CG111" s="595"/>
      <c r="CH111" s="595"/>
      <c r="CI111" s="595"/>
      <c r="CJ111" s="595"/>
      <c r="CK111" s="595"/>
      <c r="CL111" s="595"/>
      <c r="CM111" s="595"/>
      <c r="CN111" s="596"/>
      <c r="CO111" s="21"/>
      <c r="CP111" s="21"/>
    </row>
    <row r="112" spans="1:94" ht="20" customHeight="1" thickBot="1" x14ac:dyDescent="0.25">
      <c r="F112" s="20"/>
      <c r="G112" s="20"/>
      <c r="H112" s="20"/>
      <c r="I112" s="20"/>
      <c r="J112" s="20"/>
      <c r="K112" s="20"/>
      <c r="L112" s="619" t="s">
        <v>424</v>
      </c>
      <c r="M112" s="620"/>
      <c r="N112" s="620"/>
      <c r="O112" s="620"/>
      <c r="P112" s="620"/>
      <c r="Q112" s="620"/>
      <c r="R112" s="620"/>
      <c r="S112" s="620"/>
      <c r="T112" s="620"/>
      <c r="U112" s="620"/>
      <c r="V112" s="620"/>
      <c r="W112" s="620"/>
      <c r="X112" s="620"/>
      <c r="Y112" s="620"/>
      <c r="Z112" s="620"/>
      <c r="AA112" s="620"/>
      <c r="AB112" s="620"/>
      <c r="AC112" s="620"/>
      <c r="AD112" s="620"/>
      <c r="AE112" s="620"/>
      <c r="AF112" s="620"/>
      <c r="AG112" s="620"/>
      <c r="AH112" s="620"/>
      <c r="AI112" s="620"/>
      <c r="AJ112" s="620"/>
      <c r="AK112" s="620"/>
      <c r="AL112" s="620"/>
      <c r="AM112" s="620"/>
      <c r="AN112" s="620"/>
      <c r="AO112" s="620"/>
      <c r="AP112" s="620"/>
      <c r="AQ112" s="620"/>
      <c r="AR112" s="620"/>
      <c r="AS112" s="620"/>
      <c r="AT112" s="620"/>
      <c r="AU112" s="620"/>
      <c r="AV112" s="620"/>
      <c r="AW112" s="620"/>
      <c r="AX112" s="620"/>
      <c r="AY112" s="620"/>
      <c r="AZ112" s="620"/>
      <c r="BA112" s="620"/>
      <c r="BB112" s="620"/>
      <c r="BC112" s="620"/>
      <c r="BD112" s="620"/>
      <c r="BE112" s="620"/>
      <c r="BF112" s="620"/>
      <c r="BG112" s="620"/>
      <c r="BH112" s="620"/>
      <c r="BI112" s="620"/>
      <c r="BJ112" s="620"/>
      <c r="BK112" s="620"/>
      <c r="BL112" s="620"/>
      <c r="BM112" s="620"/>
      <c r="BN112" s="620"/>
      <c r="BO112" s="620"/>
      <c r="BP112" s="620"/>
      <c r="BQ112" s="620"/>
      <c r="BR112" s="620"/>
      <c r="BS112" s="620"/>
      <c r="BT112" s="620"/>
      <c r="BU112" s="620"/>
      <c r="BV112" s="620"/>
      <c r="BW112" s="620"/>
      <c r="BX112" s="620"/>
      <c r="BY112" s="620"/>
      <c r="BZ112" s="620"/>
      <c r="CA112" s="620"/>
      <c r="CB112" s="620"/>
      <c r="CC112" s="621"/>
      <c r="CD112" s="21"/>
      <c r="CE112" s="629"/>
      <c r="CF112" s="620"/>
      <c r="CG112" s="620"/>
      <c r="CH112" s="620"/>
      <c r="CI112" s="620"/>
      <c r="CJ112" s="620"/>
      <c r="CK112" s="620"/>
      <c r="CL112" s="620"/>
      <c r="CM112" s="620"/>
      <c r="CN112" s="621"/>
      <c r="CO112" s="21"/>
      <c r="CP112" s="21"/>
    </row>
    <row r="113" spans="1:96" x14ac:dyDescent="0.2">
      <c r="H113" s="20"/>
      <c r="I113" s="20"/>
      <c r="J113" s="20"/>
      <c r="K113" s="20"/>
      <c r="L113" s="111" t="s">
        <v>554</v>
      </c>
      <c r="CQ113" s="22"/>
      <c r="CR113" s="22"/>
    </row>
    <row r="115" spans="1:96" ht="17" customHeight="1" thickBot="1" x14ac:dyDescent="0.25">
      <c r="F115" s="22"/>
      <c r="K115" s="22"/>
      <c r="CQ115" s="22"/>
    </row>
    <row r="116" spans="1:96" ht="20" customHeight="1" x14ac:dyDescent="0.2">
      <c r="F116" s="22"/>
      <c r="L116" s="513" t="s">
        <v>424</v>
      </c>
      <c r="M116" s="514"/>
      <c r="N116" s="514"/>
      <c r="O116" s="514"/>
      <c r="P116" s="514"/>
      <c r="Q116" s="514"/>
      <c r="R116" s="514"/>
      <c r="S116" s="514"/>
      <c r="T116" s="514"/>
      <c r="U116" s="514"/>
      <c r="V116" s="514"/>
      <c r="W116" s="514"/>
      <c r="X116" s="514"/>
      <c r="Y116" s="514"/>
      <c r="Z116" s="514"/>
      <c r="AA116" s="514"/>
      <c r="AB116" s="514"/>
      <c r="AC116" s="514"/>
      <c r="AD116" s="514"/>
      <c r="AE116" s="514"/>
      <c r="AF116" s="514"/>
      <c r="AG116" s="514"/>
      <c r="AH116" s="514"/>
      <c r="AI116" s="514"/>
      <c r="AJ116" s="514"/>
      <c r="AK116" s="514"/>
      <c r="AL116" s="514"/>
      <c r="AM116" s="514"/>
      <c r="AN116" s="514"/>
      <c r="AO116" s="514"/>
      <c r="AP116" s="514"/>
      <c r="AQ116" s="514"/>
      <c r="AR116" s="514"/>
      <c r="AS116" s="514"/>
      <c r="AT116" s="514"/>
      <c r="AU116" s="514"/>
      <c r="AV116" s="514"/>
      <c r="AW116" s="514"/>
      <c r="AX116" s="514"/>
      <c r="AY116" s="515"/>
      <c r="AZ116" s="21"/>
      <c r="BA116" s="513"/>
      <c r="BB116" s="514"/>
      <c r="BC116" s="514"/>
      <c r="BD116" s="514"/>
      <c r="BE116" s="514"/>
      <c r="BF116" s="514"/>
      <c r="BG116" s="514"/>
      <c r="BH116" s="514"/>
      <c r="BI116" s="514"/>
      <c r="BJ116" s="515"/>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row>
    <row r="117" spans="1:96" ht="20" customHeight="1" thickBot="1" x14ac:dyDescent="0.25">
      <c r="E117" s="22"/>
      <c r="F117" s="22"/>
      <c r="L117" s="516" t="s">
        <v>441</v>
      </c>
      <c r="M117" s="517"/>
      <c r="N117" s="517"/>
      <c r="O117" s="517"/>
      <c r="P117" s="517"/>
      <c r="Q117" s="517"/>
      <c r="R117" s="517"/>
      <c r="S117" s="517"/>
      <c r="T117" s="517"/>
      <c r="U117" s="517"/>
      <c r="V117" s="517"/>
      <c r="W117" s="517"/>
      <c r="X117" s="517"/>
      <c r="Y117" s="517"/>
      <c r="Z117" s="517"/>
      <c r="AA117" s="517"/>
      <c r="AB117" s="517"/>
      <c r="AC117" s="517"/>
      <c r="AD117" s="517"/>
      <c r="AE117" s="517"/>
      <c r="AF117" s="517"/>
      <c r="AG117" s="517"/>
      <c r="AH117" s="517"/>
      <c r="AI117" s="517"/>
      <c r="AJ117" s="517"/>
      <c r="AK117" s="517"/>
      <c r="AL117" s="517"/>
      <c r="AM117" s="517"/>
      <c r="AN117" s="517"/>
      <c r="AO117" s="517"/>
      <c r="AP117" s="517"/>
      <c r="AQ117" s="517"/>
      <c r="AR117" s="517"/>
      <c r="AS117" s="517"/>
      <c r="AT117" s="517"/>
      <c r="AU117" s="517"/>
      <c r="AV117" s="517"/>
      <c r="AW117" s="517"/>
      <c r="AX117" s="517"/>
      <c r="AY117" s="518"/>
      <c r="AZ117" s="21"/>
      <c r="BA117" s="516"/>
      <c r="BB117" s="517"/>
      <c r="BC117" s="517"/>
      <c r="BD117" s="517"/>
      <c r="BE117" s="517"/>
      <c r="BF117" s="517"/>
      <c r="BG117" s="517"/>
      <c r="BH117" s="517"/>
      <c r="BI117" s="517"/>
      <c r="BJ117" s="518"/>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row>
    <row r="118" spans="1:96" ht="20" customHeight="1" thickBot="1" x14ac:dyDescent="0.25">
      <c r="C118" s="60"/>
      <c r="E118" s="374" t="s">
        <v>548</v>
      </c>
      <c r="F118" s="22"/>
      <c r="L118" s="511" t="s">
        <v>431</v>
      </c>
      <c r="M118" s="512"/>
      <c r="N118" s="512"/>
      <c r="O118" s="512"/>
      <c r="P118" s="512"/>
      <c r="Q118" s="512"/>
      <c r="R118" s="512"/>
      <c r="S118" s="512"/>
      <c r="T118" s="512"/>
      <c r="U118" s="512"/>
      <c r="V118" s="512" t="s">
        <v>432</v>
      </c>
      <c r="W118" s="512"/>
      <c r="X118" s="512"/>
      <c r="Y118" s="512"/>
      <c r="Z118" s="512"/>
      <c r="AA118" s="512"/>
      <c r="AB118" s="512"/>
      <c r="AC118" s="512"/>
      <c r="AD118" s="512"/>
      <c r="AE118" s="512"/>
      <c r="AF118" s="512" t="s">
        <v>480</v>
      </c>
      <c r="AG118" s="512"/>
      <c r="AH118" s="512"/>
      <c r="AI118" s="512"/>
      <c r="AJ118" s="512"/>
      <c r="AK118" s="512"/>
      <c r="AL118" s="512"/>
      <c r="AM118" s="512"/>
      <c r="AN118" s="512"/>
      <c r="AO118" s="614"/>
      <c r="AP118" s="512" t="s">
        <v>492</v>
      </c>
      <c r="AQ118" s="512"/>
      <c r="AR118" s="512"/>
      <c r="AS118" s="512"/>
      <c r="AT118" s="512"/>
      <c r="AU118" s="512"/>
      <c r="AV118" s="512"/>
      <c r="AW118" s="512"/>
      <c r="AX118" s="512"/>
      <c r="AY118" s="614"/>
      <c r="AZ118" s="21"/>
      <c r="BA118" s="511" t="s">
        <v>510</v>
      </c>
      <c r="BB118" s="512"/>
      <c r="BC118" s="512"/>
      <c r="BD118" s="512"/>
      <c r="BE118" s="512"/>
      <c r="BF118" s="512"/>
      <c r="BG118" s="512"/>
      <c r="BH118" s="512"/>
      <c r="BI118" s="512"/>
      <c r="BJ118" s="614"/>
      <c r="BK118" s="21"/>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row>
    <row r="119" spans="1:96" ht="20" customHeight="1" thickBot="1" x14ac:dyDescent="0.25">
      <c r="B119" s="87"/>
      <c r="C119" s="88"/>
      <c r="E119" s="392"/>
      <c r="F119" s="22"/>
      <c r="H119" s="48"/>
      <c r="I119" s="48"/>
      <c r="J119" s="48"/>
      <c r="K119" s="48"/>
      <c r="L119" s="545" t="s">
        <v>428</v>
      </c>
      <c r="M119" s="534"/>
      <c r="N119" s="534"/>
      <c r="O119" s="534"/>
      <c r="P119" s="535" t="s">
        <v>429</v>
      </c>
      <c r="Q119" s="535"/>
      <c r="R119" s="535"/>
      <c r="S119" s="536"/>
      <c r="T119" s="546" t="s">
        <v>487</v>
      </c>
      <c r="U119" s="547"/>
      <c r="V119" s="533" t="s">
        <v>428</v>
      </c>
      <c r="W119" s="534"/>
      <c r="X119" s="534"/>
      <c r="Y119" s="534"/>
      <c r="Z119" s="535" t="s">
        <v>429</v>
      </c>
      <c r="AA119" s="535"/>
      <c r="AB119" s="535"/>
      <c r="AC119" s="536"/>
      <c r="AD119" s="546" t="s">
        <v>487</v>
      </c>
      <c r="AE119" s="547"/>
      <c r="AF119" s="533" t="s">
        <v>428</v>
      </c>
      <c r="AG119" s="534"/>
      <c r="AH119" s="534"/>
      <c r="AI119" s="534"/>
      <c r="AJ119" s="535" t="s">
        <v>429</v>
      </c>
      <c r="AK119" s="535"/>
      <c r="AL119" s="535"/>
      <c r="AM119" s="536"/>
      <c r="AN119" s="546" t="s">
        <v>487</v>
      </c>
      <c r="AO119" s="547"/>
      <c r="AP119" s="533" t="s">
        <v>428</v>
      </c>
      <c r="AQ119" s="534"/>
      <c r="AR119" s="534"/>
      <c r="AS119" s="534"/>
      <c r="AT119" s="535" t="s">
        <v>429</v>
      </c>
      <c r="AU119" s="535"/>
      <c r="AV119" s="535"/>
      <c r="AW119" s="536"/>
      <c r="AX119" s="546" t="s">
        <v>487</v>
      </c>
      <c r="AY119" s="547"/>
      <c r="AZ119" s="21"/>
      <c r="BA119" s="545" t="s">
        <v>428</v>
      </c>
      <c r="BB119" s="534"/>
      <c r="BC119" s="534"/>
      <c r="BD119" s="534"/>
      <c r="BE119" s="535" t="s">
        <v>429</v>
      </c>
      <c r="BF119" s="535"/>
      <c r="BG119" s="535"/>
      <c r="BH119" s="536"/>
      <c r="BI119" s="546" t="s">
        <v>487</v>
      </c>
      <c r="BJ119" s="547"/>
      <c r="BK119" s="47"/>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row>
    <row r="120" spans="1:96" ht="20" customHeight="1" x14ac:dyDescent="0.2">
      <c r="A120" s="702"/>
      <c r="B120" s="89"/>
      <c r="C120" s="90"/>
      <c r="E120" s="22"/>
      <c r="F120" s="22"/>
      <c r="H120" s="370" t="s">
        <v>24</v>
      </c>
      <c r="I120" s="306" t="s">
        <v>322</v>
      </c>
      <c r="J120" s="376" t="s">
        <v>320</v>
      </c>
      <c r="K120" s="458" t="s">
        <v>321</v>
      </c>
      <c r="L120" s="548" t="s">
        <v>494</v>
      </c>
      <c r="M120" s="551" t="s">
        <v>495</v>
      </c>
      <c r="N120" s="537" t="s">
        <v>481</v>
      </c>
      <c r="O120" s="537" t="s">
        <v>482</v>
      </c>
      <c r="P120" s="539" t="s">
        <v>494</v>
      </c>
      <c r="Q120" s="539" t="s">
        <v>495</v>
      </c>
      <c r="R120" s="539" t="s">
        <v>481</v>
      </c>
      <c r="S120" s="553" t="s">
        <v>482</v>
      </c>
      <c r="T120" s="541" t="s">
        <v>484</v>
      </c>
      <c r="U120" s="543" t="s">
        <v>238</v>
      </c>
      <c r="V120" s="555" t="s">
        <v>494</v>
      </c>
      <c r="W120" s="551" t="s">
        <v>495</v>
      </c>
      <c r="X120" s="537" t="s">
        <v>481</v>
      </c>
      <c r="Y120" s="537" t="s">
        <v>482</v>
      </c>
      <c r="Z120" s="539" t="s">
        <v>494</v>
      </c>
      <c r="AA120" s="539" t="s">
        <v>495</v>
      </c>
      <c r="AB120" s="539" t="s">
        <v>481</v>
      </c>
      <c r="AC120" s="553" t="s">
        <v>482</v>
      </c>
      <c r="AD120" s="541" t="s">
        <v>484</v>
      </c>
      <c r="AE120" s="543" t="s">
        <v>238</v>
      </c>
      <c r="AF120" s="555" t="s">
        <v>439</v>
      </c>
      <c r="AG120" s="551" t="s">
        <v>426</v>
      </c>
      <c r="AH120" s="537" t="s">
        <v>427</v>
      </c>
      <c r="AI120" s="537" t="s">
        <v>482</v>
      </c>
      <c r="AJ120" s="539" t="s">
        <v>439</v>
      </c>
      <c r="AK120" s="539" t="s">
        <v>426</v>
      </c>
      <c r="AL120" s="539" t="s">
        <v>427</v>
      </c>
      <c r="AM120" s="553" t="s">
        <v>482</v>
      </c>
      <c r="AN120" s="541" t="s">
        <v>237</v>
      </c>
      <c r="AO120" s="543" t="s">
        <v>238</v>
      </c>
      <c r="AP120" s="555" t="s">
        <v>494</v>
      </c>
      <c r="AQ120" s="551" t="s">
        <v>495</v>
      </c>
      <c r="AR120" s="537" t="s">
        <v>481</v>
      </c>
      <c r="AS120" s="537" t="s">
        <v>482</v>
      </c>
      <c r="AT120" s="539" t="s">
        <v>494</v>
      </c>
      <c r="AU120" s="539" t="s">
        <v>495</v>
      </c>
      <c r="AV120" s="539" t="s">
        <v>481</v>
      </c>
      <c r="AW120" s="553" t="s">
        <v>482</v>
      </c>
      <c r="AX120" s="541" t="s">
        <v>484</v>
      </c>
      <c r="AY120" s="543" t="s">
        <v>238</v>
      </c>
      <c r="AZ120" s="21"/>
      <c r="BA120" s="637" t="s">
        <v>511</v>
      </c>
      <c r="BB120" s="551" t="s">
        <v>512</v>
      </c>
      <c r="BC120" s="537"/>
      <c r="BD120" s="537" t="s">
        <v>482</v>
      </c>
      <c r="BE120" s="539" t="s">
        <v>511</v>
      </c>
      <c r="BF120" s="539" t="s">
        <v>512</v>
      </c>
      <c r="BG120" s="539"/>
      <c r="BH120" s="553" t="s">
        <v>482</v>
      </c>
      <c r="BI120" s="541"/>
      <c r="BJ120" s="543" t="s">
        <v>238</v>
      </c>
      <c r="BK120" s="47"/>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row>
    <row r="121" spans="1:96" ht="23" customHeight="1" x14ac:dyDescent="0.2">
      <c r="A121" s="370" t="s">
        <v>597</v>
      </c>
      <c r="B121" s="370" t="s">
        <v>245</v>
      </c>
      <c r="C121" s="371" t="s">
        <v>479</v>
      </c>
      <c r="D121" s="48"/>
      <c r="E121" s="47"/>
      <c r="F121" s="47"/>
      <c r="H121" s="370"/>
      <c r="I121" s="293"/>
      <c r="J121" s="294"/>
      <c r="K121" s="459"/>
      <c r="L121" s="549"/>
      <c r="M121" s="551"/>
      <c r="N121" s="537"/>
      <c r="O121" s="537"/>
      <c r="P121" s="539"/>
      <c r="Q121" s="539"/>
      <c r="R121" s="539"/>
      <c r="S121" s="553"/>
      <c r="T121" s="541"/>
      <c r="U121" s="543"/>
      <c r="V121" s="556"/>
      <c r="W121" s="551"/>
      <c r="X121" s="537"/>
      <c r="Y121" s="537"/>
      <c r="Z121" s="539"/>
      <c r="AA121" s="539"/>
      <c r="AB121" s="539"/>
      <c r="AC121" s="553"/>
      <c r="AD121" s="541"/>
      <c r="AE121" s="543"/>
      <c r="AF121" s="556"/>
      <c r="AG121" s="551"/>
      <c r="AH121" s="537"/>
      <c r="AI121" s="537"/>
      <c r="AJ121" s="539"/>
      <c r="AK121" s="539"/>
      <c r="AL121" s="539"/>
      <c r="AM121" s="553"/>
      <c r="AN121" s="541"/>
      <c r="AO121" s="543"/>
      <c r="AP121" s="556"/>
      <c r="AQ121" s="551"/>
      <c r="AR121" s="537"/>
      <c r="AS121" s="537"/>
      <c r="AT121" s="539"/>
      <c r="AU121" s="539"/>
      <c r="AV121" s="539"/>
      <c r="AW121" s="553"/>
      <c r="AX121" s="541"/>
      <c r="AY121" s="543"/>
      <c r="AZ121" s="21"/>
      <c r="BA121" s="638"/>
      <c r="BB121" s="551"/>
      <c r="BC121" s="537"/>
      <c r="BD121" s="537"/>
      <c r="BE121" s="539"/>
      <c r="BF121" s="539"/>
      <c r="BG121" s="539"/>
      <c r="BH121" s="553"/>
      <c r="BI121" s="541"/>
      <c r="BJ121" s="543"/>
      <c r="BK121" s="47"/>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row>
    <row r="122" spans="1:96" ht="23" customHeight="1" x14ac:dyDescent="0.2">
      <c r="A122" s="370"/>
      <c r="B122" s="370"/>
      <c r="C122" s="371"/>
      <c r="D122" s="48"/>
      <c r="E122" s="47"/>
      <c r="F122" s="47"/>
      <c r="H122" s="370"/>
      <c r="I122" s="293"/>
      <c r="J122" s="294"/>
      <c r="K122" s="459"/>
      <c r="L122" s="549"/>
      <c r="M122" s="551"/>
      <c r="N122" s="537"/>
      <c r="O122" s="537"/>
      <c r="P122" s="539"/>
      <c r="Q122" s="539"/>
      <c r="R122" s="539"/>
      <c r="S122" s="553"/>
      <c r="T122" s="541"/>
      <c r="U122" s="543"/>
      <c r="V122" s="556"/>
      <c r="W122" s="551"/>
      <c r="X122" s="537"/>
      <c r="Y122" s="537"/>
      <c r="Z122" s="539"/>
      <c r="AA122" s="539"/>
      <c r="AB122" s="539"/>
      <c r="AC122" s="553"/>
      <c r="AD122" s="541"/>
      <c r="AE122" s="543"/>
      <c r="AF122" s="556"/>
      <c r="AG122" s="551"/>
      <c r="AH122" s="537"/>
      <c r="AI122" s="537"/>
      <c r="AJ122" s="539"/>
      <c r="AK122" s="539"/>
      <c r="AL122" s="539"/>
      <c r="AM122" s="553"/>
      <c r="AN122" s="541"/>
      <c r="AO122" s="543"/>
      <c r="AP122" s="556"/>
      <c r="AQ122" s="551"/>
      <c r="AR122" s="537"/>
      <c r="AS122" s="537"/>
      <c r="AT122" s="539"/>
      <c r="AU122" s="539"/>
      <c r="AV122" s="539"/>
      <c r="AW122" s="553"/>
      <c r="AX122" s="541"/>
      <c r="AY122" s="543"/>
      <c r="AZ122" s="21"/>
      <c r="BA122" s="638"/>
      <c r="BB122" s="551"/>
      <c r="BC122" s="537"/>
      <c r="BD122" s="537"/>
      <c r="BE122" s="539"/>
      <c r="BF122" s="539"/>
      <c r="BG122" s="539"/>
      <c r="BH122" s="553"/>
      <c r="BI122" s="541"/>
      <c r="BJ122" s="543"/>
      <c r="BK122" s="47"/>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row>
    <row r="123" spans="1:96" ht="23" customHeight="1" x14ac:dyDescent="0.2">
      <c r="A123" s="370"/>
      <c r="B123" s="370"/>
      <c r="C123" s="371"/>
      <c r="D123" s="48"/>
      <c r="E123" s="47"/>
      <c r="F123" s="47"/>
      <c r="G123" s="48"/>
      <c r="H123" s="370"/>
      <c r="I123" s="293"/>
      <c r="J123" s="294"/>
      <c r="K123" s="459"/>
      <c r="L123" s="549"/>
      <c r="M123" s="551"/>
      <c r="N123" s="537"/>
      <c r="O123" s="537"/>
      <c r="P123" s="539"/>
      <c r="Q123" s="539"/>
      <c r="R123" s="539"/>
      <c r="S123" s="553"/>
      <c r="T123" s="541"/>
      <c r="U123" s="543"/>
      <c r="V123" s="556"/>
      <c r="W123" s="551"/>
      <c r="X123" s="537"/>
      <c r="Y123" s="537"/>
      <c r="Z123" s="539"/>
      <c r="AA123" s="539"/>
      <c r="AB123" s="539"/>
      <c r="AC123" s="553"/>
      <c r="AD123" s="541"/>
      <c r="AE123" s="543"/>
      <c r="AF123" s="556"/>
      <c r="AG123" s="551"/>
      <c r="AH123" s="537"/>
      <c r="AI123" s="537"/>
      <c r="AJ123" s="539"/>
      <c r="AK123" s="539"/>
      <c r="AL123" s="539"/>
      <c r="AM123" s="553"/>
      <c r="AN123" s="541"/>
      <c r="AO123" s="543"/>
      <c r="AP123" s="556"/>
      <c r="AQ123" s="551"/>
      <c r="AR123" s="537"/>
      <c r="AS123" s="537"/>
      <c r="AT123" s="539"/>
      <c r="AU123" s="539"/>
      <c r="AV123" s="539"/>
      <c r="AW123" s="553"/>
      <c r="AX123" s="541"/>
      <c r="AY123" s="543"/>
      <c r="AZ123" s="21"/>
      <c r="BA123" s="638"/>
      <c r="BB123" s="551"/>
      <c r="BC123" s="537"/>
      <c r="BD123" s="537"/>
      <c r="BE123" s="539"/>
      <c r="BF123" s="539"/>
      <c r="BG123" s="539"/>
      <c r="BH123" s="553"/>
      <c r="BI123" s="541"/>
      <c r="BJ123" s="543"/>
      <c r="BK123" s="47"/>
      <c r="BL123" s="21"/>
      <c r="BM123" s="21"/>
      <c r="BN123" s="21"/>
      <c r="BO123" s="21"/>
      <c r="BP123" s="21"/>
      <c r="BQ123" s="21"/>
      <c r="BR123" s="21"/>
      <c r="BS123" s="21"/>
      <c r="BT123" s="21"/>
      <c r="BU123" s="21"/>
      <c r="BV123" s="21"/>
      <c r="BW123" s="21"/>
      <c r="BX123" s="21"/>
      <c r="BY123" s="21"/>
      <c r="BZ123" s="21"/>
      <c r="CA123" s="21"/>
      <c r="CB123" s="21"/>
      <c r="CC123" s="21"/>
      <c r="CD123" s="21"/>
      <c r="CE123" s="21"/>
      <c r="CF123" s="21"/>
      <c r="CG123" s="21"/>
      <c r="CH123" s="21"/>
      <c r="CI123" s="21"/>
      <c r="CJ123" s="21"/>
      <c r="CK123" s="21"/>
      <c r="CL123" s="21"/>
      <c r="CM123" s="21"/>
      <c r="CN123" s="21"/>
      <c r="CO123" s="21"/>
      <c r="CP123" s="21"/>
    </row>
    <row r="124" spans="1:96" ht="23" customHeight="1" thickBot="1" x14ac:dyDescent="0.25">
      <c r="A124" s="452"/>
      <c r="B124" s="452"/>
      <c r="C124" s="453"/>
      <c r="D124" s="91" t="s">
        <v>20</v>
      </c>
      <c r="E124" s="92" t="s">
        <v>21</v>
      </c>
      <c r="F124" s="92" t="s">
        <v>22</v>
      </c>
      <c r="G124" s="91" t="s">
        <v>23</v>
      </c>
      <c r="H124" s="452"/>
      <c r="I124" s="456"/>
      <c r="J124" s="457"/>
      <c r="K124" s="460"/>
      <c r="L124" s="550"/>
      <c r="M124" s="552"/>
      <c r="N124" s="538"/>
      <c r="O124" s="538"/>
      <c r="P124" s="540"/>
      <c r="Q124" s="540"/>
      <c r="R124" s="540"/>
      <c r="S124" s="554"/>
      <c r="T124" s="542"/>
      <c r="U124" s="544"/>
      <c r="V124" s="557"/>
      <c r="W124" s="552"/>
      <c r="X124" s="538"/>
      <c r="Y124" s="538"/>
      <c r="Z124" s="540"/>
      <c r="AA124" s="540"/>
      <c r="AB124" s="540"/>
      <c r="AC124" s="554"/>
      <c r="AD124" s="542"/>
      <c r="AE124" s="544"/>
      <c r="AF124" s="557"/>
      <c r="AG124" s="552"/>
      <c r="AH124" s="538"/>
      <c r="AI124" s="538"/>
      <c r="AJ124" s="540"/>
      <c r="AK124" s="540"/>
      <c r="AL124" s="540"/>
      <c r="AM124" s="554"/>
      <c r="AN124" s="542"/>
      <c r="AO124" s="544"/>
      <c r="AP124" s="557"/>
      <c r="AQ124" s="552"/>
      <c r="AR124" s="538"/>
      <c r="AS124" s="538"/>
      <c r="AT124" s="540"/>
      <c r="AU124" s="540"/>
      <c r="AV124" s="540"/>
      <c r="AW124" s="554"/>
      <c r="AX124" s="542"/>
      <c r="AY124" s="544"/>
      <c r="AZ124" s="21"/>
      <c r="BA124" s="639"/>
      <c r="BB124" s="552"/>
      <c r="BC124" s="538"/>
      <c r="BD124" s="538"/>
      <c r="BE124" s="540"/>
      <c r="BF124" s="540"/>
      <c r="BG124" s="540"/>
      <c r="BH124" s="554"/>
      <c r="BI124" s="542"/>
      <c r="BJ124" s="544"/>
      <c r="BK124" s="788" t="s">
        <v>25</v>
      </c>
      <c r="BL124" s="47"/>
      <c r="BM124" s="47"/>
      <c r="BN124" s="47"/>
      <c r="BO124" s="47"/>
      <c r="BP124" s="47"/>
      <c r="BQ124" s="47"/>
      <c r="BR124" s="47"/>
      <c r="BS124" s="47"/>
      <c r="BT124" s="47"/>
      <c r="BU124" s="47"/>
      <c r="BV124" s="47"/>
      <c r="BW124" s="47"/>
      <c r="BX124" s="47"/>
      <c r="BY124" s="47"/>
      <c r="BZ124" s="21"/>
      <c r="CA124" s="21"/>
      <c r="CB124" s="21"/>
      <c r="CC124" s="21"/>
      <c r="CD124" s="21"/>
      <c r="CE124" s="21"/>
      <c r="CF124" s="21"/>
      <c r="CG124" s="21"/>
      <c r="CH124" s="21"/>
      <c r="CI124" s="21"/>
      <c r="CJ124" s="21"/>
      <c r="CK124" s="21"/>
      <c r="CL124" s="21"/>
      <c r="CM124" s="21"/>
      <c r="CN124" s="21"/>
      <c r="CO124" s="21"/>
      <c r="CP124" s="21"/>
    </row>
    <row r="125" spans="1:96" ht="23" customHeight="1" x14ac:dyDescent="0.2">
      <c r="B125" s="45"/>
      <c r="C125" s="58"/>
      <c r="D125" s="48" t="s">
        <v>85</v>
      </c>
      <c r="E125" s="47" t="s">
        <v>488</v>
      </c>
      <c r="F125" s="47" t="s">
        <v>489</v>
      </c>
      <c r="G125" s="48">
        <v>2012</v>
      </c>
      <c r="H125" s="176"/>
      <c r="I125" s="177"/>
      <c r="J125" s="178" t="s">
        <v>181</v>
      </c>
      <c r="K125" s="179" t="s">
        <v>190</v>
      </c>
      <c r="L125" s="180">
        <v>101.98</v>
      </c>
      <c r="M125" s="181">
        <v>54.82</v>
      </c>
      <c r="N125" s="240">
        <f t="shared" ref="N125:N152" si="50">IF(AND(NOT(ISERROR(M125-L125)), L125&lt;&gt;"", M125&lt;&gt;""), M125-L125, "")</f>
        <v>-47.160000000000004</v>
      </c>
      <c r="O125" s="240">
        <f t="shared" ref="O125:O152" si="51">IF(NOT(ISERROR(100-(M125/L125)*100)), (100-(M125/L125)*100)*-1, "")</f>
        <v>-46.244361639537168</v>
      </c>
      <c r="P125" s="183">
        <v>102.09</v>
      </c>
      <c r="Q125" s="183">
        <v>92.36</v>
      </c>
      <c r="R125" s="241">
        <f t="shared" ref="R125:R152" si="52">IF(AND(NOT(ISERROR(Q125-P125)), P125&lt;&gt;"", Q125&lt;&gt;""), Q125-P125, "")</f>
        <v>-9.730000000000004</v>
      </c>
      <c r="S125" s="242">
        <f t="shared" ref="S125:S152" si="53">IF(NOT(ISERROR(100-(Q125/P125)*100)), (100-(Q125/P125)*100)*-1, "")</f>
        <v>-9.5308061514350157</v>
      </c>
      <c r="T125" s="185">
        <v>22.43</v>
      </c>
      <c r="U125" s="186"/>
      <c r="V125" s="180">
        <v>530.80999999999995</v>
      </c>
      <c r="W125" s="181">
        <v>571.26</v>
      </c>
      <c r="X125" s="240">
        <f t="shared" ref="X125:X140" si="54">IF(AND(NOT(ISERROR(W125-V125)), V125&lt;&gt;"", W125&lt;&gt;""), W125-V125, "")</f>
        <v>40.450000000000045</v>
      </c>
      <c r="Y125" s="240">
        <f t="shared" ref="Y125:Y140" si="55">IF(NOT(ISERROR(100-(W125/V125)*100)), (100-(W125/V125)*100)*-1, "")</f>
        <v>7.6204291554416983</v>
      </c>
      <c r="Z125" s="183">
        <v>545.49</v>
      </c>
      <c r="AA125" s="183">
        <v>558.03</v>
      </c>
      <c r="AB125" s="241">
        <f t="shared" ref="AB125:AB141" si="56">IF(AND(NOT(ISERROR(AA125-Z125)), Z125&lt;&gt;"", AA125&lt;&gt;""), AA125-Z125, "")</f>
        <v>12.539999999999964</v>
      </c>
      <c r="AC125" s="242">
        <f t="shared" ref="AC125:AC141" si="57">IF(NOT(ISERROR(100-(AA125/Z125)*100)), (100-(AA125/Z125)*100)*-1, "")</f>
        <v>2.2988505747126453</v>
      </c>
      <c r="AD125" s="243">
        <f t="shared" ref="AD125:AD152" si="58">IF(NOT(ISERROR(X125-AB125)), X125-AB125, "")</f>
        <v>27.910000000000082</v>
      </c>
      <c r="AE125" s="186"/>
      <c r="AF125" s="180"/>
      <c r="AG125" s="181"/>
      <c r="AH125" s="244" t="str">
        <f t="shared" ref="AH125:AH126" si="59">IF(AND(NOT(ISERROR(AG125-AF125)), AG125&lt;&gt;"", AF125&lt;&gt;""), AG125-AF125, "")</f>
        <v/>
      </c>
      <c r="AI125" s="182"/>
      <c r="AJ125" s="183"/>
      <c r="AK125" s="183"/>
      <c r="AL125" s="246" t="str">
        <f t="shared" ref="AL125:AL126" si="60">IF(AND(NOT(ISERROR(AK125-AJ125)), AK125&lt;&gt;"", AJ125&lt;&gt;""), AK125-AJ125, "")</f>
        <v/>
      </c>
      <c r="AM125" s="184"/>
      <c r="AN125" s="185"/>
      <c r="AO125" s="186"/>
      <c r="AP125" s="180"/>
      <c r="AQ125" s="181"/>
      <c r="AR125" s="244" t="str">
        <f t="shared" ref="AR125:AR152" si="61">IF(AND(NOT(ISERROR(AQ125-AP125)), AQ125&lt;&gt;"", AP125&lt;&gt;""), AQ125-AP125, "")</f>
        <v/>
      </c>
      <c r="AS125" s="182"/>
      <c r="AT125" s="183"/>
      <c r="AU125" s="183"/>
      <c r="AV125" s="246" t="str">
        <f t="shared" ref="AV125:AV152" si="62">IF(AND(NOT(ISERROR(AU125-AT125)), AU125&lt;&gt;"", AT125&lt;&gt;""), AU125-AT125, "")</f>
        <v/>
      </c>
      <c r="AW125" s="184"/>
      <c r="AX125" s="185"/>
      <c r="AY125" s="186"/>
      <c r="AZ125" s="21"/>
      <c r="BA125" s="219"/>
      <c r="BB125" s="181"/>
      <c r="BC125" s="182"/>
      <c r="BD125" s="182"/>
      <c r="BE125" s="183"/>
      <c r="BF125" s="183"/>
      <c r="BG125" s="183"/>
      <c r="BH125" s="184"/>
      <c r="BI125" s="185"/>
      <c r="BJ125" s="186"/>
      <c r="BK125" s="174"/>
      <c r="BL125" s="47"/>
      <c r="BM125" s="47"/>
      <c r="BN125" s="47"/>
      <c r="BO125" s="47"/>
      <c r="BP125" s="47"/>
      <c r="BQ125" s="47"/>
      <c r="BR125" s="47"/>
      <c r="BS125" s="47"/>
      <c r="BT125" s="47"/>
      <c r="BU125" s="47"/>
      <c r="BV125" s="47"/>
      <c r="BW125" s="47"/>
      <c r="BX125" s="47"/>
      <c r="BY125" s="47"/>
      <c r="BZ125" s="21"/>
      <c r="CA125" s="21"/>
      <c r="CB125" s="21"/>
      <c r="CC125" s="21"/>
      <c r="CD125" s="21"/>
      <c r="CE125" s="21"/>
      <c r="CF125" s="21"/>
      <c r="CG125" s="21"/>
      <c r="CH125" s="21"/>
      <c r="CI125" s="21"/>
      <c r="CJ125" s="21"/>
      <c r="CK125" s="21"/>
      <c r="CL125" s="21"/>
      <c r="CM125" s="21"/>
      <c r="CN125" s="21"/>
      <c r="CO125" s="21"/>
      <c r="CP125" s="21"/>
    </row>
    <row r="126" spans="1:96" ht="20" customHeight="1" x14ac:dyDescent="0.2">
      <c r="B126" s="45"/>
      <c r="C126" s="58"/>
      <c r="D126" s="22" t="s">
        <v>85</v>
      </c>
      <c r="E126" s="21" t="s">
        <v>250</v>
      </c>
      <c r="F126" s="21" t="s">
        <v>251</v>
      </c>
      <c r="G126" s="22">
        <v>2008</v>
      </c>
      <c r="I126" s="65">
        <v>13</v>
      </c>
      <c r="J126" s="61" t="s">
        <v>217</v>
      </c>
      <c r="K126" s="83" t="s">
        <v>330</v>
      </c>
      <c r="L126" s="162"/>
      <c r="M126" s="163"/>
      <c r="N126" s="163" t="str">
        <f t="shared" si="50"/>
        <v/>
      </c>
      <c r="O126" s="163" t="str">
        <f t="shared" si="51"/>
        <v/>
      </c>
      <c r="P126" s="164"/>
      <c r="Q126" s="164"/>
      <c r="R126" s="164" t="str">
        <f t="shared" si="52"/>
        <v/>
      </c>
      <c r="S126" s="170" t="str">
        <f t="shared" si="53"/>
        <v/>
      </c>
      <c r="T126" s="172" t="str">
        <f t="shared" ref="T126:T131" si="63">IF(NOT(ISERROR(N126-R126)), N126-R126, "")</f>
        <v/>
      </c>
      <c r="U126" s="165"/>
      <c r="V126" s="162"/>
      <c r="W126" s="163"/>
      <c r="X126" s="163" t="str">
        <f t="shared" si="54"/>
        <v/>
      </c>
      <c r="Y126" s="163" t="str">
        <f t="shared" si="55"/>
        <v/>
      </c>
      <c r="Z126" s="164"/>
      <c r="AA126" s="164"/>
      <c r="AB126" s="164" t="str">
        <f t="shared" si="56"/>
        <v/>
      </c>
      <c r="AC126" s="170" t="str">
        <f t="shared" si="57"/>
        <v/>
      </c>
      <c r="AD126" s="172" t="str">
        <f t="shared" si="58"/>
        <v/>
      </c>
      <c r="AE126" s="165"/>
      <c r="AF126" s="162"/>
      <c r="AG126" s="163"/>
      <c r="AH126" s="203" t="str">
        <f t="shared" si="59"/>
        <v/>
      </c>
      <c r="AI126" s="163"/>
      <c r="AJ126" s="164"/>
      <c r="AK126" s="164"/>
      <c r="AL126" s="204" t="str">
        <f t="shared" si="60"/>
        <v/>
      </c>
      <c r="AM126" s="170"/>
      <c r="AN126" s="172"/>
      <c r="AO126" s="165"/>
      <c r="AP126" s="162"/>
      <c r="AQ126" s="163"/>
      <c r="AR126" s="203" t="str">
        <f t="shared" si="61"/>
        <v/>
      </c>
      <c r="AS126" s="163"/>
      <c r="AT126" s="164"/>
      <c r="AU126" s="164"/>
      <c r="AV126" s="204" t="str">
        <f t="shared" si="62"/>
        <v/>
      </c>
      <c r="AW126" s="170"/>
      <c r="AX126" s="172"/>
      <c r="AY126" s="165"/>
      <c r="AZ126" s="21"/>
      <c r="BA126" s="220"/>
      <c r="BB126" s="163"/>
      <c r="BC126" s="163"/>
      <c r="BD126" s="163"/>
      <c r="BE126" s="164"/>
      <c r="BF126" s="164"/>
      <c r="BG126" s="164"/>
      <c r="BH126" s="170"/>
      <c r="BI126" s="172"/>
      <c r="BJ126" s="165"/>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row>
    <row r="127" spans="1:96" ht="20" customHeight="1" x14ac:dyDescent="0.2">
      <c r="B127" s="46"/>
      <c r="C127" s="58"/>
      <c r="D127" s="22" t="s">
        <v>85</v>
      </c>
      <c r="E127" s="21" t="s">
        <v>36</v>
      </c>
      <c r="F127" s="21" t="s">
        <v>37</v>
      </c>
      <c r="G127" s="22">
        <v>2008</v>
      </c>
      <c r="H127" s="22">
        <v>40</v>
      </c>
      <c r="I127" s="65">
        <v>29</v>
      </c>
      <c r="J127" s="61" t="s">
        <v>175</v>
      </c>
      <c r="K127" s="83" t="s">
        <v>168</v>
      </c>
      <c r="L127" s="162">
        <v>73.33</v>
      </c>
      <c r="M127" s="163">
        <v>31.25</v>
      </c>
      <c r="N127" s="163">
        <f t="shared" si="50"/>
        <v>-42.08</v>
      </c>
      <c r="O127" s="163">
        <f t="shared" si="51"/>
        <v>-57.384426564843857</v>
      </c>
      <c r="P127" s="164">
        <v>63.2</v>
      </c>
      <c r="Q127" s="164">
        <v>50.6</v>
      </c>
      <c r="R127" s="164">
        <f t="shared" si="52"/>
        <v>-12.600000000000001</v>
      </c>
      <c r="S127" s="170">
        <f t="shared" si="53"/>
        <v>-19.936708860759495</v>
      </c>
      <c r="T127" s="172">
        <f t="shared" si="63"/>
        <v>-29.479999999999997</v>
      </c>
      <c r="U127" s="165"/>
      <c r="V127" s="199">
        <v>514</v>
      </c>
      <c r="W127" s="200">
        <v>584</v>
      </c>
      <c r="X127" s="163">
        <f t="shared" si="54"/>
        <v>70</v>
      </c>
      <c r="Y127" s="163">
        <f t="shared" si="55"/>
        <v>13.618677042801551</v>
      </c>
      <c r="Z127" s="201">
        <v>549</v>
      </c>
      <c r="AA127" s="201">
        <v>571</v>
      </c>
      <c r="AB127" s="164">
        <f t="shared" si="56"/>
        <v>22</v>
      </c>
      <c r="AC127" s="170">
        <f t="shared" si="57"/>
        <v>4.0072859744990836</v>
      </c>
      <c r="AD127" s="172">
        <f t="shared" si="58"/>
        <v>48</v>
      </c>
      <c r="AE127" s="165"/>
      <c r="AF127" s="202">
        <v>1.65</v>
      </c>
      <c r="AG127" s="203">
        <v>1.29</v>
      </c>
      <c r="AH127" s="203">
        <f>IF(AND(NOT(ISERROR(AG127-AF127)), AG127&lt;&gt;"", AF127&lt;&gt;""), AG127-AF127, "")</f>
        <v>-0.35999999999999988</v>
      </c>
      <c r="AI127" s="203"/>
      <c r="AJ127" s="204">
        <v>1.43</v>
      </c>
      <c r="AK127" s="204">
        <v>1.49</v>
      </c>
      <c r="AL127" s="204">
        <f>IF(AND(NOT(ISERROR(AK127-AJ127)), AK127&lt;&gt;"", AJ127&lt;&gt;""), AK127-AJ127, "")</f>
        <v>6.0000000000000053E-2</v>
      </c>
      <c r="AM127" s="205"/>
      <c r="AN127" s="206">
        <f>AH127-AL127</f>
        <v>-0.41999999999999993</v>
      </c>
      <c r="AO127" s="207"/>
      <c r="AP127" s="202">
        <v>43.92</v>
      </c>
      <c r="AQ127" s="203">
        <v>25.17</v>
      </c>
      <c r="AR127" s="203">
        <f t="shared" si="61"/>
        <v>-18.75</v>
      </c>
      <c r="AS127" s="203"/>
      <c r="AT127" s="204">
        <v>13.52</v>
      </c>
      <c r="AU127" s="204">
        <v>12.05</v>
      </c>
      <c r="AV127" s="204">
        <f t="shared" si="62"/>
        <v>-1.4699999999999989</v>
      </c>
      <c r="AW127" s="205"/>
      <c r="AX127" s="206">
        <v>17.28</v>
      </c>
      <c r="AY127" s="207"/>
      <c r="AZ127" s="21"/>
      <c r="BA127" s="221"/>
      <c r="BB127" s="203"/>
      <c r="BC127" s="203"/>
      <c r="BD127" s="203"/>
      <c r="BE127" s="204"/>
      <c r="BF127" s="204"/>
      <c r="BG127" s="204"/>
      <c r="BH127" s="205"/>
      <c r="BI127" s="206"/>
      <c r="BJ127" s="207"/>
      <c r="BK127" s="21"/>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row>
    <row r="128" spans="1:96" ht="20" customHeight="1" x14ac:dyDescent="0.2">
      <c r="B128" s="45"/>
      <c r="C128" s="59"/>
      <c r="D128" s="22" t="s">
        <v>85</v>
      </c>
      <c r="E128" s="21" t="s">
        <v>256</v>
      </c>
      <c r="F128" s="21" t="s">
        <v>257</v>
      </c>
      <c r="G128" s="22">
        <v>2012</v>
      </c>
      <c r="I128" s="65">
        <v>80</v>
      </c>
      <c r="J128" s="61" t="s">
        <v>213</v>
      </c>
      <c r="K128" s="83" t="s">
        <v>190</v>
      </c>
      <c r="L128" s="162"/>
      <c r="M128" s="163"/>
      <c r="N128" s="163" t="str">
        <f t="shared" si="50"/>
        <v/>
      </c>
      <c r="O128" s="163" t="str">
        <f t="shared" si="51"/>
        <v/>
      </c>
      <c r="P128" s="164"/>
      <c r="Q128" s="164"/>
      <c r="R128" s="164" t="str">
        <f t="shared" si="52"/>
        <v/>
      </c>
      <c r="S128" s="170" t="str">
        <f t="shared" si="53"/>
        <v/>
      </c>
      <c r="T128" s="172" t="str">
        <f t="shared" si="63"/>
        <v/>
      </c>
      <c r="U128" s="165"/>
      <c r="V128" s="162"/>
      <c r="W128" s="163"/>
      <c r="X128" s="163" t="str">
        <f t="shared" si="54"/>
        <v/>
      </c>
      <c r="Y128" s="163" t="str">
        <f t="shared" si="55"/>
        <v/>
      </c>
      <c r="Z128" s="164"/>
      <c r="AA128" s="164"/>
      <c r="AB128" s="164" t="str">
        <f t="shared" si="56"/>
        <v/>
      </c>
      <c r="AC128" s="170" t="str">
        <f t="shared" si="57"/>
        <v/>
      </c>
      <c r="AD128" s="172" t="str">
        <f t="shared" si="58"/>
        <v/>
      </c>
      <c r="AE128" s="165"/>
      <c r="AF128" s="162"/>
      <c r="AG128" s="163"/>
      <c r="AH128" s="203" t="str">
        <f t="shared" ref="AH128:AH152" si="64">IF(AND(NOT(ISERROR(AG128-AF128)), AG128&lt;&gt;"", AF128&lt;&gt;""), AG128-AF128, "")</f>
        <v/>
      </c>
      <c r="AI128" s="163"/>
      <c r="AJ128" s="164"/>
      <c r="AK128" s="164"/>
      <c r="AL128" s="204" t="str">
        <f t="shared" ref="AL128:AL152" si="65">IF(AND(NOT(ISERROR(AK128-AJ128)), AK128&lt;&gt;"", AJ128&lt;&gt;""), AK128-AJ128, "")</f>
        <v/>
      </c>
      <c r="AM128" s="170"/>
      <c r="AN128" s="172"/>
      <c r="AO128" s="165"/>
      <c r="AP128" s="162"/>
      <c r="AQ128" s="163"/>
      <c r="AR128" s="203" t="str">
        <f t="shared" si="61"/>
        <v/>
      </c>
      <c r="AS128" s="163"/>
      <c r="AT128" s="164"/>
      <c r="AU128" s="164"/>
      <c r="AV128" s="204" t="str">
        <f t="shared" si="62"/>
        <v/>
      </c>
      <c r="AW128" s="170"/>
      <c r="AX128" s="172"/>
      <c r="AY128" s="165"/>
      <c r="AZ128" s="21"/>
      <c r="BA128" s="220"/>
      <c r="BB128" s="163"/>
      <c r="BC128" s="163"/>
      <c r="BD128" s="163"/>
      <c r="BE128" s="164"/>
      <c r="BF128" s="164"/>
      <c r="BG128" s="164"/>
      <c r="BH128" s="170"/>
      <c r="BI128" s="172"/>
      <c r="BJ128" s="165"/>
      <c r="BK128" s="21" t="s">
        <v>223</v>
      </c>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row>
    <row r="129" spans="1:94" ht="20" customHeight="1" x14ac:dyDescent="0.2">
      <c r="B129" s="45"/>
      <c r="C129" s="59"/>
      <c r="D129" s="22" t="s">
        <v>85</v>
      </c>
      <c r="E129" s="21" t="s">
        <v>52</v>
      </c>
      <c r="F129" s="21" t="s">
        <v>53</v>
      </c>
      <c r="G129" s="22">
        <v>2001</v>
      </c>
      <c r="H129" s="22">
        <v>118</v>
      </c>
      <c r="I129" s="65">
        <v>20</v>
      </c>
      <c r="J129" s="61" t="s">
        <v>175</v>
      </c>
      <c r="K129" s="83" t="s">
        <v>191</v>
      </c>
      <c r="L129" s="162">
        <v>78</v>
      </c>
      <c r="M129" s="163">
        <v>42</v>
      </c>
      <c r="N129" s="163">
        <f t="shared" si="50"/>
        <v>-36</v>
      </c>
      <c r="O129" s="163">
        <f t="shared" si="51"/>
        <v>-46.153846153846153</v>
      </c>
      <c r="P129" s="164">
        <v>72</v>
      </c>
      <c r="Q129" s="164">
        <v>72</v>
      </c>
      <c r="R129" s="164">
        <f t="shared" si="52"/>
        <v>0</v>
      </c>
      <c r="S129" s="170">
        <f t="shared" si="53"/>
        <v>0</v>
      </c>
      <c r="T129" s="172">
        <f t="shared" si="63"/>
        <v>-36</v>
      </c>
      <c r="U129" s="165"/>
      <c r="V129" s="162">
        <v>450</v>
      </c>
      <c r="W129" s="163">
        <v>486</v>
      </c>
      <c r="X129" s="163">
        <f t="shared" si="54"/>
        <v>36</v>
      </c>
      <c r="Y129" s="163">
        <f t="shared" si="55"/>
        <v>8</v>
      </c>
      <c r="Z129" s="164">
        <v>426</v>
      </c>
      <c r="AA129" s="164">
        <v>468</v>
      </c>
      <c r="AB129" s="164">
        <f t="shared" si="56"/>
        <v>42</v>
      </c>
      <c r="AC129" s="170">
        <f t="shared" si="57"/>
        <v>9.8591549295774712</v>
      </c>
      <c r="AD129" s="172">
        <f t="shared" si="58"/>
        <v>-6</v>
      </c>
      <c r="AE129" s="165"/>
      <c r="AF129" s="162">
        <v>0.7</v>
      </c>
      <c r="AG129" s="163">
        <v>0.9</v>
      </c>
      <c r="AH129" s="203">
        <f t="shared" si="64"/>
        <v>0.20000000000000007</v>
      </c>
      <c r="AI129" s="163"/>
      <c r="AJ129" s="164">
        <v>0.9</v>
      </c>
      <c r="AK129" s="164">
        <v>0.7</v>
      </c>
      <c r="AL129" s="204">
        <f t="shared" si="65"/>
        <v>-0.20000000000000007</v>
      </c>
      <c r="AM129" s="170"/>
      <c r="AN129" s="172">
        <f>AH129-AL129</f>
        <v>0.40000000000000013</v>
      </c>
      <c r="AO129" s="165"/>
      <c r="AP129" s="162"/>
      <c r="AQ129" s="163"/>
      <c r="AR129" s="203" t="str">
        <f t="shared" si="61"/>
        <v/>
      </c>
      <c r="AS129" s="163"/>
      <c r="AT129" s="164"/>
      <c r="AU129" s="164"/>
      <c r="AV129" s="204" t="str">
        <f t="shared" si="62"/>
        <v/>
      </c>
      <c r="AW129" s="170"/>
      <c r="AX129" s="172"/>
      <c r="AY129" s="165"/>
      <c r="AZ129" s="21"/>
      <c r="BA129" s="220"/>
      <c r="BB129" s="163"/>
      <c r="BC129" s="163"/>
      <c r="BD129" s="163"/>
      <c r="BE129" s="164"/>
      <c r="BF129" s="164"/>
      <c r="BG129" s="164"/>
      <c r="BH129" s="170"/>
      <c r="BI129" s="172"/>
      <c r="BJ129" s="165"/>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row>
    <row r="130" spans="1:94" ht="20" customHeight="1" x14ac:dyDescent="0.2">
      <c r="B130" s="45"/>
      <c r="C130" s="58"/>
      <c r="D130" s="22" t="s">
        <v>85</v>
      </c>
      <c r="E130" s="21" t="s">
        <v>264</v>
      </c>
      <c r="F130" s="21" t="s">
        <v>265</v>
      </c>
      <c r="G130" s="22">
        <v>1994</v>
      </c>
      <c r="I130" s="65">
        <v>20</v>
      </c>
      <c r="J130" s="61" t="s">
        <v>335</v>
      </c>
      <c r="K130" s="83"/>
      <c r="L130" s="162"/>
      <c r="M130" s="163"/>
      <c r="N130" s="163" t="str">
        <f t="shared" si="50"/>
        <v/>
      </c>
      <c r="O130" s="163" t="str">
        <f t="shared" si="51"/>
        <v/>
      </c>
      <c r="P130" s="164"/>
      <c r="Q130" s="164"/>
      <c r="R130" s="164" t="str">
        <f t="shared" si="52"/>
        <v/>
      </c>
      <c r="S130" s="170" t="str">
        <f t="shared" si="53"/>
        <v/>
      </c>
      <c r="T130" s="172" t="str">
        <f t="shared" si="63"/>
        <v/>
      </c>
      <c r="U130" s="165"/>
      <c r="V130" s="162"/>
      <c r="W130" s="163"/>
      <c r="X130" s="163" t="str">
        <f t="shared" si="54"/>
        <v/>
      </c>
      <c r="Y130" s="163" t="str">
        <f t="shared" si="55"/>
        <v/>
      </c>
      <c r="Z130" s="164"/>
      <c r="AA130" s="164"/>
      <c r="AB130" s="164" t="str">
        <f t="shared" si="56"/>
        <v/>
      </c>
      <c r="AC130" s="170" t="str">
        <f t="shared" si="57"/>
        <v/>
      </c>
      <c r="AD130" s="172" t="str">
        <f t="shared" si="58"/>
        <v/>
      </c>
      <c r="AE130" s="165"/>
      <c r="AF130" s="162"/>
      <c r="AG130" s="163"/>
      <c r="AH130" s="203" t="str">
        <f t="shared" si="64"/>
        <v/>
      </c>
      <c r="AI130" s="163"/>
      <c r="AJ130" s="164"/>
      <c r="AK130" s="164"/>
      <c r="AL130" s="204" t="str">
        <f t="shared" si="65"/>
        <v/>
      </c>
      <c r="AM130" s="170"/>
      <c r="AN130" s="172"/>
      <c r="AO130" s="165"/>
      <c r="AP130" s="162"/>
      <c r="AQ130" s="163"/>
      <c r="AR130" s="203" t="str">
        <f t="shared" si="61"/>
        <v/>
      </c>
      <c r="AS130" s="163"/>
      <c r="AT130" s="164"/>
      <c r="AU130" s="164"/>
      <c r="AV130" s="204" t="str">
        <f t="shared" si="62"/>
        <v/>
      </c>
      <c r="AW130" s="170"/>
      <c r="AX130" s="172"/>
      <c r="AY130" s="165"/>
      <c r="AZ130" s="21"/>
      <c r="BA130" s="220"/>
      <c r="BB130" s="163"/>
      <c r="BC130" s="163"/>
      <c r="BD130" s="163"/>
      <c r="BE130" s="164"/>
      <c r="BF130" s="164"/>
      <c r="BG130" s="164"/>
      <c r="BH130" s="170"/>
      <c r="BI130" s="172"/>
      <c r="BJ130" s="165"/>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row>
    <row r="131" spans="1:94" ht="20" customHeight="1" x14ac:dyDescent="0.2">
      <c r="B131" s="45"/>
      <c r="C131" s="58"/>
      <c r="D131" s="22" t="s">
        <v>85</v>
      </c>
      <c r="E131" s="21" t="s">
        <v>63</v>
      </c>
      <c r="F131" s="21" t="s">
        <v>64</v>
      </c>
      <c r="G131" s="22">
        <v>2012</v>
      </c>
      <c r="H131" s="22">
        <v>83</v>
      </c>
      <c r="I131" s="65">
        <v>70</v>
      </c>
      <c r="J131" s="61" t="s">
        <v>181</v>
      </c>
      <c r="K131" s="83" t="s">
        <v>190</v>
      </c>
      <c r="L131" s="162">
        <v>102</v>
      </c>
      <c r="M131" s="163">
        <v>54.8</v>
      </c>
      <c r="N131" s="163">
        <f t="shared" si="50"/>
        <v>-47.2</v>
      </c>
      <c r="O131" s="163">
        <f t="shared" si="51"/>
        <v>-46.274509803921568</v>
      </c>
      <c r="P131" s="164">
        <v>102.1</v>
      </c>
      <c r="Q131" s="164">
        <v>92.4</v>
      </c>
      <c r="R131" s="164">
        <f t="shared" si="52"/>
        <v>-9.6999999999999886</v>
      </c>
      <c r="S131" s="170">
        <f t="shared" si="53"/>
        <v>-9.5004897159647328</v>
      </c>
      <c r="T131" s="172">
        <f t="shared" si="63"/>
        <v>-37.500000000000014</v>
      </c>
      <c r="U131" s="165"/>
      <c r="V131" s="162">
        <v>530.79999999999995</v>
      </c>
      <c r="W131" s="163">
        <v>571.29999999999995</v>
      </c>
      <c r="X131" s="163">
        <f t="shared" si="54"/>
        <v>40.5</v>
      </c>
      <c r="Y131" s="163">
        <f t="shared" si="55"/>
        <v>7.6299924642049746</v>
      </c>
      <c r="Z131" s="164">
        <v>545.5</v>
      </c>
      <c r="AA131" s="164">
        <v>558</v>
      </c>
      <c r="AB131" s="164">
        <f t="shared" si="56"/>
        <v>12.5</v>
      </c>
      <c r="AC131" s="170">
        <f t="shared" si="57"/>
        <v>2.2914757103574601</v>
      </c>
      <c r="AD131" s="172">
        <f t="shared" si="58"/>
        <v>28</v>
      </c>
      <c r="AE131" s="165"/>
      <c r="AF131" s="162"/>
      <c r="AG131" s="163"/>
      <c r="AH131" s="203" t="str">
        <f t="shared" si="64"/>
        <v/>
      </c>
      <c r="AI131" s="163"/>
      <c r="AJ131" s="164"/>
      <c r="AK131" s="164"/>
      <c r="AL131" s="204" t="str">
        <f t="shared" si="65"/>
        <v/>
      </c>
      <c r="AM131" s="170"/>
      <c r="AN131" s="172"/>
      <c r="AO131" s="165"/>
      <c r="AP131" s="162"/>
      <c r="AQ131" s="163"/>
      <c r="AR131" s="203" t="str">
        <f t="shared" si="61"/>
        <v/>
      </c>
      <c r="AS131" s="163"/>
      <c r="AT131" s="164"/>
      <c r="AU131" s="164"/>
      <c r="AV131" s="204" t="str">
        <f t="shared" si="62"/>
        <v/>
      </c>
      <c r="AW131" s="170"/>
      <c r="AX131" s="172"/>
      <c r="AY131" s="165"/>
      <c r="AZ131" s="21"/>
      <c r="BA131" s="220"/>
      <c r="BB131" s="163"/>
      <c r="BC131" s="163"/>
      <c r="BD131" s="163"/>
      <c r="BE131" s="164"/>
      <c r="BF131" s="164"/>
      <c r="BG131" s="164"/>
      <c r="BH131" s="170"/>
      <c r="BI131" s="172"/>
      <c r="BJ131" s="165"/>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row>
    <row r="132" spans="1:94" ht="20" customHeight="1" x14ac:dyDescent="0.2">
      <c r="A132" s="702"/>
      <c r="B132" s="46"/>
      <c r="C132" s="59"/>
      <c r="D132" s="696" t="s">
        <v>85</v>
      </c>
      <c r="E132" s="697" t="s">
        <v>639</v>
      </c>
      <c r="F132" s="697" t="s">
        <v>640</v>
      </c>
      <c r="G132" s="698">
        <v>2005</v>
      </c>
      <c r="H132" s="699"/>
      <c r="I132" s="701">
        <v>8</v>
      </c>
      <c r="J132" s="232" t="s">
        <v>641</v>
      </c>
      <c r="K132" s="250"/>
      <c r="L132" s="162"/>
      <c r="M132" s="163"/>
      <c r="N132" s="163"/>
      <c r="O132" s="163"/>
      <c r="P132" s="164"/>
      <c r="Q132" s="164"/>
      <c r="R132" s="164"/>
      <c r="S132" s="170"/>
      <c r="T132" s="172"/>
      <c r="U132" s="165"/>
      <c r="V132" s="162"/>
      <c r="W132" s="163"/>
      <c r="X132" s="163"/>
      <c r="Y132" s="163"/>
      <c r="Z132" s="164"/>
      <c r="AA132" s="164"/>
      <c r="AB132" s="164"/>
      <c r="AC132" s="170"/>
      <c r="AD132" s="172"/>
      <c r="AE132" s="165"/>
      <c r="AF132" s="162"/>
      <c r="AG132" s="163"/>
      <c r="AH132" s="203"/>
      <c r="AI132" s="163"/>
      <c r="AJ132" s="164"/>
      <c r="AK132" s="164"/>
      <c r="AL132" s="204"/>
      <c r="AM132" s="170"/>
      <c r="AN132" s="172"/>
      <c r="AO132" s="165"/>
      <c r="AP132" s="162"/>
      <c r="AQ132" s="163"/>
      <c r="AR132" s="203"/>
      <c r="AS132" s="163"/>
      <c r="AT132" s="164"/>
      <c r="AU132" s="164"/>
      <c r="AV132" s="204"/>
      <c r="AW132" s="170"/>
      <c r="AX132" s="172"/>
      <c r="AY132" s="165"/>
      <c r="AZ132" s="21"/>
      <c r="BA132" s="220"/>
      <c r="BB132" s="163"/>
      <c r="BC132" s="163"/>
      <c r="BD132" s="163"/>
      <c r="BE132" s="164"/>
      <c r="BF132" s="164"/>
      <c r="BG132" s="164"/>
      <c r="BH132" s="170"/>
      <c r="BI132" s="172"/>
      <c r="BJ132" s="165"/>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row>
    <row r="133" spans="1:94" ht="20" customHeight="1" x14ac:dyDescent="0.2">
      <c r="B133" s="45"/>
      <c r="C133" s="58"/>
      <c r="D133" s="22" t="s">
        <v>85</v>
      </c>
      <c r="E133" s="21" t="s">
        <v>280</v>
      </c>
      <c r="F133" s="21" t="s">
        <v>281</v>
      </c>
      <c r="G133" s="22">
        <v>2014</v>
      </c>
      <c r="I133" s="65">
        <v>27</v>
      </c>
      <c r="J133" s="61" t="s">
        <v>184</v>
      </c>
      <c r="K133" s="83" t="s">
        <v>192</v>
      </c>
      <c r="L133" s="162"/>
      <c r="M133" s="163"/>
      <c r="N133" s="163" t="str">
        <f t="shared" si="50"/>
        <v/>
      </c>
      <c r="O133" s="163" t="str">
        <f t="shared" si="51"/>
        <v/>
      </c>
      <c r="P133" s="164"/>
      <c r="Q133" s="164"/>
      <c r="R133" s="164" t="str">
        <f t="shared" si="52"/>
        <v/>
      </c>
      <c r="S133" s="170" t="str">
        <f t="shared" si="53"/>
        <v/>
      </c>
      <c r="T133" s="206">
        <v>0.01</v>
      </c>
      <c r="U133" s="165"/>
      <c r="V133" s="162"/>
      <c r="W133" s="163"/>
      <c r="X133" s="163" t="str">
        <f t="shared" si="54"/>
        <v/>
      </c>
      <c r="Y133" s="163" t="str">
        <f t="shared" si="55"/>
        <v/>
      </c>
      <c r="Z133" s="164"/>
      <c r="AA133" s="164"/>
      <c r="AB133" s="164" t="str">
        <f t="shared" si="56"/>
        <v/>
      </c>
      <c r="AC133" s="170" t="str">
        <f t="shared" si="57"/>
        <v/>
      </c>
      <c r="AD133" s="172" t="str">
        <f t="shared" si="58"/>
        <v/>
      </c>
      <c r="AE133" s="165"/>
      <c r="AF133" s="162"/>
      <c r="AG133" s="163"/>
      <c r="AH133" s="203" t="str">
        <f t="shared" si="64"/>
        <v/>
      </c>
      <c r="AI133" s="163"/>
      <c r="AJ133" s="164"/>
      <c r="AK133" s="164"/>
      <c r="AL133" s="204" t="str">
        <f t="shared" si="65"/>
        <v/>
      </c>
      <c r="AM133" s="170"/>
      <c r="AN133" s="206">
        <v>-0.26</v>
      </c>
      <c r="AO133" s="165"/>
      <c r="AP133" s="162"/>
      <c r="AQ133" s="163"/>
      <c r="AR133" s="203" t="str">
        <f t="shared" si="61"/>
        <v/>
      </c>
      <c r="AS133" s="163"/>
      <c r="AT133" s="164"/>
      <c r="AU133" s="164"/>
      <c r="AV133" s="204" t="str">
        <f t="shared" si="62"/>
        <v/>
      </c>
      <c r="AW133" s="170"/>
      <c r="AX133" s="172"/>
      <c r="AY133" s="165"/>
      <c r="AZ133" s="21"/>
      <c r="BA133" s="220"/>
      <c r="BB133" s="163"/>
      <c r="BC133" s="163"/>
      <c r="BD133" s="163"/>
      <c r="BE133" s="164"/>
      <c r="BF133" s="164"/>
      <c r="BG133" s="164"/>
      <c r="BH133" s="170"/>
      <c r="BI133" s="172"/>
      <c r="BJ133" s="165">
        <v>0.6</v>
      </c>
      <c r="BK133" s="21"/>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row>
    <row r="134" spans="1:94" ht="20" customHeight="1" x14ac:dyDescent="0.2">
      <c r="B134" s="45"/>
      <c r="C134" s="58"/>
      <c r="D134" s="22" t="s">
        <v>85</v>
      </c>
      <c r="E134" s="21" t="s">
        <v>79</v>
      </c>
      <c r="F134" s="21" t="s">
        <v>80</v>
      </c>
      <c r="G134" s="22">
        <v>2015</v>
      </c>
      <c r="H134" s="22">
        <v>10</v>
      </c>
      <c r="I134" s="65">
        <v>11</v>
      </c>
      <c r="J134" s="61" t="s">
        <v>194</v>
      </c>
      <c r="K134" s="83" t="s">
        <v>168</v>
      </c>
      <c r="L134" s="162"/>
      <c r="M134" s="163"/>
      <c r="N134" s="163" t="str">
        <f t="shared" si="50"/>
        <v/>
      </c>
      <c r="O134" s="163" t="str">
        <f t="shared" si="51"/>
        <v/>
      </c>
      <c r="P134" s="164"/>
      <c r="Q134" s="164"/>
      <c r="R134" s="164" t="str">
        <f t="shared" si="52"/>
        <v/>
      </c>
      <c r="S134" s="170" t="str">
        <f t="shared" si="53"/>
        <v/>
      </c>
      <c r="T134" s="172" t="str">
        <f t="shared" ref="T134:T152" si="66">IF(NOT(ISERROR(N134-R134)), N134-R134, "")</f>
        <v/>
      </c>
      <c r="U134" s="165"/>
      <c r="V134" s="162">
        <v>584</v>
      </c>
      <c r="W134" s="163">
        <v>594</v>
      </c>
      <c r="X134" s="163">
        <f t="shared" si="54"/>
        <v>10</v>
      </c>
      <c r="Y134" s="163">
        <f t="shared" si="55"/>
        <v>1.7123287671232816</v>
      </c>
      <c r="Z134" s="164">
        <v>584</v>
      </c>
      <c r="AA134" s="164">
        <v>574</v>
      </c>
      <c r="AB134" s="164">
        <f t="shared" si="56"/>
        <v>-10</v>
      </c>
      <c r="AC134" s="170">
        <f t="shared" si="57"/>
        <v>-1.7123287671232816</v>
      </c>
      <c r="AD134" s="172">
        <f t="shared" si="58"/>
        <v>20</v>
      </c>
      <c r="AE134" s="165"/>
      <c r="AF134" s="162"/>
      <c r="AG134" s="163"/>
      <c r="AH134" s="203" t="str">
        <f t="shared" si="64"/>
        <v/>
      </c>
      <c r="AI134" s="163"/>
      <c r="AJ134" s="164"/>
      <c r="AK134" s="164"/>
      <c r="AL134" s="204" t="str">
        <f t="shared" si="65"/>
        <v/>
      </c>
      <c r="AM134" s="170"/>
      <c r="AN134" s="172"/>
      <c r="AO134" s="165"/>
      <c r="AP134" s="162"/>
      <c r="AQ134" s="163"/>
      <c r="AR134" s="203" t="str">
        <f t="shared" si="61"/>
        <v/>
      </c>
      <c r="AS134" s="163"/>
      <c r="AT134" s="164"/>
      <c r="AU134" s="164"/>
      <c r="AV134" s="204" t="str">
        <f t="shared" si="62"/>
        <v/>
      </c>
      <c r="AW134" s="170"/>
      <c r="AX134" s="172"/>
      <c r="AY134" s="165"/>
      <c r="AZ134" s="21"/>
      <c r="BA134" s="220"/>
      <c r="BB134" s="163"/>
      <c r="BC134" s="163"/>
      <c r="BD134" s="163"/>
      <c r="BE134" s="164"/>
      <c r="BF134" s="164"/>
      <c r="BG134" s="164"/>
      <c r="BH134" s="170"/>
      <c r="BI134" s="172"/>
      <c r="BJ134" s="165"/>
      <c r="BK134" s="21" t="s">
        <v>223</v>
      </c>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row>
    <row r="135" spans="1:94" ht="20" customHeight="1" x14ac:dyDescent="0.2">
      <c r="B135" s="45"/>
      <c r="C135" s="58"/>
      <c r="D135" s="22" t="s">
        <v>85</v>
      </c>
      <c r="E135" s="21" t="s">
        <v>526</v>
      </c>
      <c r="F135" s="21" t="s">
        <v>527</v>
      </c>
      <c r="G135" s="22">
        <v>1998</v>
      </c>
      <c r="I135" s="65">
        <v>22</v>
      </c>
      <c r="J135" s="61" t="s">
        <v>184</v>
      </c>
      <c r="K135" s="83" t="s">
        <v>346</v>
      </c>
      <c r="L135" s="162"/>
      <c r="M135" s="163">
        <v>15</v>
      </c>
      <c r="N135" s="163" t="str">
        <f t="shared" si="50"/>
        <v/>
      </c>
      <c r="O135" s="163" t="str">
        <f t="shared" si="51"/>
        <v/>
      </c>
      <c r="P135" s="164"/>
      <c r="Q135" s="164">
        <v>16</v>
      </c>
      <c r="R135" s="164" t="str">
        <f t="shared" si="52"/>
        <v/>
      </c>
      <c r="S135" s="170" t="str">
        <f t="shared" si="53"/>
        <v/>
      </c>
      <c r="T135" s="172" t="str">
        <f t="shared" si="66"/>
        <v/>
      </c>
      <c r="U135" s="165"/>
      <c r="V135" s="162"/>
      <c r="W135" s="163">
        <v>407</v>
      </c>
      <c r="X135" s="163" t="str">
        <f t="shared" si="54"/>
        <v/>
      </c>
      <c r="Y135" s="163" t="str">
        <f t="shared" si="55"/>
        <v/>
      </c>
      <c r="Z135" s="164"/>
      <c r="AA135" s="164">
        <v>416</v>
      </c>
      <c r="AB135" s="164" t="str">
        <f t="shared" si="56"/>
        <v/>
      </c>
      <c r="AC135" s="170" t="str">
        <f t="shared" si="57"/>
        <v/>
      </c>
      <c r="AD135" s="172" t="str">
        <f t="shared" si="58"/>
        <v/>
      </c>
      <c r="AE135" s="165"/>
      <c r="AF135" s="162"/>
      <c r="AG135" s="163">
        <v>1.1000000000000001</v>
      </c>
      <c r="AH135" s="203" t="str">
        <f t="shared" si="64"/>
        <v/>
      </c>
      <c r="AI135" s="163"/>
      <c r="AJ135" s="164"/>
      <c r="AK135" s="164">
        <v>1.5</v>
      </c>
      <c r="AL135" s="204" t="str">
        <f t="shared" si="65"/>
        <v/>
      </c>
      <c r="AM135" s="170"/>
      <c r="AN135" s="172"/>
      <c r="AO135" s="165"/>
      <c r="AP135" s="162"/>
      <c r="AQ135" s="163"/>
      <c r="AR135" s="203" t="str">
        <f t="shared" si="61"/>
        <v/>
      </c>
      <c r="AS135" s="163"/>
      <c r="AT135" s="164"/>
      <c r="AU135" s="164"/>
      <c r="AV135" s="204" t="str">
        <f t="shared" si="62"/>
        <v/>
      </c>
      <c r="AW135" s="170"/>
      <c r="AX135" s="172"/>
      <c r="AY135" s="165"/>
      <c r="AZ135" s="21"/>
      <c r="BA135" s="220"/>
      <c r="BB135" s="163">
        <v>94.9</v>
      </c>
      <c r="BC135" s="163"/>
      <c r="BD135" s="163"/>
      <c r="BE135" s="164"/>
      <c r="BF135" s="164">
        <v>95.2</v>
      </c>
      <c r="BG135" s="164"/>
      <c r="BH135" s="170"/>
      <c r="BI135" s="172"/>
      <c r="BJ135" s="165"/>
      <c r="BK135" s="21"/>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row>
    <row r="136" spans="1:94" ht="20" customHeight="1" x14ac:dyDescent="0.2">
      <c r="B136" s="45"/>
      <c r="C136" s="59"/>
      <c r="D136" s="22" t="s">
        <v>85</v>
      </c>
      <c r="E136" s="21" t="s">
        <v>286</v>
      </c>
      <c r="F136" s="21" t="s">
        <v>287</v>
      </c>
      <c r="G136" s="22">
        <v>2009</v>
      </c>
      <c r="I136" s="65">
        <v>20</v>
      </c>
      <c r="J136" s="61" t="s">
        <v>213</v>
      </c>
      <c r="K136" s="83" t="s">
        <v>190</v>
      </c>
      <c r="L136" s="162"/>
      <c r="M136" s="163">
        <v>15</v>
      </c>
      <c r="N136" s="163" t="str">
        <f t="shared" si="50"/>
        <v/>
      </c>
      <c r="O136" s="163" t="str">
        <f t="shared" si="51"/>
        <v/>
      </c>
      <c r="P136" s="164"/>
      <c r="Q136" s="164">
        <v>45</v>
      </c>
      <c r="R136" s="164" t="str">
        <f t="shared" si="52"/>
        <v/>
      </c>
      <c r="S136" s="170" t="str">
        <f t="shared" si="53"/>
        <v/>
      </c>
      <c r="T136" s="172" t="str">
        <f t="shared" si="66"/>
        <v/>
      </c>
      <c r="U136" s="165"/>
      <c r="V136" s="162"/>
      <c r="W136" s="163">
        <v>480</v>
      </c>
      <c r="X136" s="163" t="str">
        <f t="shared" si="54"/>
        <v/>
      </c>
      <c r="Y136" s="163" t="str">
        <f t="shared" si="55"/>
        <v/>
      </c>
      <c r="Z136" s="164"/>
      <c r="AA136" s="164">
        <v>345</v>
      </c>
      <c r="AB136" s="164" t="str">
        <f t="shared" si="56"/>
        <v/>
      </c>
      <c r="AC136" s="170" t="str">
        <f t="shared" si="57"/>
        <v/>
      </c>
      <c r="AD136" s="172" t="str">
        <f t="shared" si="58"/>
        <v/>
      </c>
      <c r="AE136" s="165"/>
      <c r="AF136" s="162"/>
      <c r="AG136" s="163"/>
      <c r="AH136" s="203" t="str">
        <f t="shared" si="64"/>
        <v/>
      </c>
      <c r="AI136" s="163"/>
      <c r="AJ136" s="164"/>
      <c r="AK136" s="164"/>
      <c r="AL136" s="204" t="str">
        <f t="shared" si="65"/>
        <v/>
      </c>
      <c r="AM136" s="170"/>
      <c r="AN136" s="172"/>
      <c r="AO136" s="165"/>
      <c r="AP136" s="162"/>
      <c r="AQ136" s="163"/>
      <c r="AR136" s="203" t="str">
        <f t="shared" si="61"/>
        <v/>
      </c>
      <c r="AS136" s="163"/>
      <c r="AT136" s="164"/>
      <c r="AU136" s="164"/>
      <c r="AV136" s="204" t="str">
        <f t="shared" si="62"/>
        <v/>
      </c>
      <c r="AW136" s="170"/>
      <c r="AX136" s="172"/>
      <c r="AY136" s="165"/>
      <c r="AZ136" s="21"/>
      <c r="BA136" s="220"/>
      <c r="BB136" s="163"/>
      <c r="BC136" s="163"/>
      <c r="BD136" s="163"/>
      <c r="BE136" s="164"/>
      <c r="BF136" s="164"/>
      <c r="BG136" s="164"/>
      <c r="BH136" s="170"/>
      <c r="BI136" s="172"/>
      <c r="BJ136" s="165"/>
      <c r="BK136" s="21" t="s">
        <v>445</v>
      </c>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row>
    <row r="137" spans="1:94" ht="20" customHeight="1" x14ac:dyDescent="0.2">
      <c r="A137" s="702"/>
      <c r="B137" s="46"/>
      <c r="C137" s="22"/>
      <c r="D137" s="696" t="s">
        <v>85</v>
      </c>
      <c r="E137" s="697" t="s">
        <v>658</v>
      </c>
      <c r="F137" s="697" t="s">
        <v>659</v>
      </c>
      <c r="G137" s="698">
        <v>2012</v>
      </c>
      <c r="H137" s="699"/>
      <c r="I137" s="701">
        <v>11</v>
      </c>
      <c r="J137" s="232"/>
      <c r="K137" s="250" t="s">
        <v>660</v>
      </c>
      <c r="L137" s="162"/>
      <c r="M137" s="163"/>
      <c r="N137" s="163"/>
      <c r="O137" s="163"/>
      <c r="P137" s="164"/>
      <c r="Q137" s="164"/>
      <c r="R137" s="164"/>
      <c r="S137" s="170"/>
      <c r="T137" s="172"/>
      <c r="U137" s="165"/>
      <c r="V137" s="162"/>
      <c r="W137" s="163"/>
      <c r="X137" s="163"/>
      <c r="Y137" s="163"/>
      <c r="Z137" s="164"/>
      <c r="AA137" s="164"/>
      <c r="AB137" s="164"/>
      <c r="AC137" s="170"/>
      <c r="AD137" s="172"/>
      <c r="AE137" s="165"/>
      <c r="AF137" s="162"/>
      <c r="AG137" s="163"/>
      <c r="AH137" s="203"/>
      <c r="AI137" s="163"/>
      <c r="AJ137" s="164"/>
      <c r="AK137" s="164"/>
      <c r="AL137" s="204"/>
      <c r="AM137" s="170"/>
      <c r="AN137" s="172"/>
      <c r="AO137" s="165"/>
      <c r="AP137" s="162"/>
      <c r="AQ137" s="163"/>
      <c r="AR137" s="203"/>
      <c r="AS137" s="163"/>
      <c r="AT137" s="164"/>
      <c r="AU137" s="164"/>
      <c r="AV137" s="204"/>
      <c r="AW137" s="170"/>
      <c r="AX137" s="172"/>
      <c r="AY137" s="165"/>
      <c r="AZ137" s="21"/>
      <c r="BA137" s="220"/>
      <c r="BB137" s="163"/>
      <c r="BC137" s="163"/>
      <c r="BD137" s="163"/>
      <c r="BE137" s="164"/>
      <c r="BF137" s="164"/>
      <c r="BG137" s="164"/>
      <c r="BH137" s="170"/>
      <c r="BI137" s="172"/>
      <c r="BJ137" s="165"/>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row>
    <row r="138" spans="1:94" ht="20" customHeight="1" x14ac:dyDescent="0.2">
      <c r="B138" s="45"/>
      <c r="C138" s="59"/>
      <c r="D138" s="22" t="s">
        <v>85</v>
      </c>
      <c r="E138" s="21" t="s">
        <v>296</v>
      </c>
      <c r="F138" s="21" t="s">
        <v>297</v>
      </c>
      <c r="G138" s="22">
        <v>2015</v>
      </c>
      <c r="I138" s="65">
        <v>41</v>
      </c>
      <c r="J138" s="61" t="s">
        <v>184</v>
      </c>
      <c r="K138" s="83"/>
      <c r="L138" s="162"/>
      <c r="M138" s="163"/>
      <c r="N138" s="163" t="str">
        <f t="shared" si="50"/>
        <v/>
      </c>
      <c r="O138" s="163" t="str">
        <f t="shared" si="51"/>
        <v/>
      </c>
      <c r="P138" s="164"/>
      <c r="Q138" s="164"/>
      <c r="R138" s="164" t="str">
        <f t="shared" si="52"/>
        <v/>
      </c>
      <c r="S138" s="170" t="str">
        <f t="shared" si="53"/>
        <v/>
      </c>
      <c r="T138" s="172" t="str">
        <f t="shared" si="66"/>
        <v/>
      </c>
      <c r="U138" s="165"/>
      <c r="V138" s="162"/>
      <c r="W138" s="163"/>
      <c r="X138" s="163" t="str">
        <f t="shared" si="54"/>
        <v/>
      </c>
      <c r="Y138" s="163" t="str">
        <f t="shared" si="55"/>
        <v/>
      </c>
      <c r="Z138" s="164"/>
      <c r="AA138" s="164"/>
      <c r="AB138" s="164" t="str">
        <f t="shared" si="56"/>
        <v/>
      </c>
      <c r="AC138" s="170" t="str">
        <f t="shared" si="57"/>
        <v/>
      </c>
      <c r="AD138" s="172" t="str">
        <f t="shared" si="58"/>
        <v/>
      </c>
      <c r="AE138" s="165"/>
      <c r="AF138" s="162"/>
      <c r="AG138" s="163"/>
      <c r="AH138" s="203" t="str">
        <f t="shared" si="64"/>
        <v/>
      </c>
      <c r="AI138" s="163"/>
      <c r="AJ138" s="164"/>
      <c r="AK138" s="164"/>
      <c r="AL138" s="204" t="str">
        <f t="shared" si="65"/>
        <v/>
      </c>
      <c r="AM138" s="170"/>
      <c r="AN138" s="172"/>
      <c r="AO138" s="165"/>
      <c r="AP138" s="162"/>
      <c r="AQ138" s="163"/>
      <c r="AR138" s="203" t="str">
        <f t="shared" si="61"/>
        <v/>
      </c>
      <c r="AS138" s="163"/>
      <c r="AT138" s="164"/>
      <c r="AU138" s="164"/>
      <c r="AV138" s="204" t="str">
        <f t="shared" si="62"/>
        <v/>
      </c>
      <c r="AW138" s="170"/>
      <c r="AX138" s="172"/>
      <c r="AY138" s="165"/>
      <c r="AZ138" s="21"/>
      <c r="BA138" s="220"/>
      <c r="BB138" s="163"/>
      <c r="BC138" s="163"/>
      <c r="BD138" s="163"/>
      <c r="BE138" s="164"/>
      <c r="BF138" s="164"/>
      <c r="BG138" s="164"/>
      <c r="BH138" s="170"/>
      <c r="BI138" s="172"/>
      <c r="BJ138" s="165"/>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row>
    <row r="139" spans="1:94" ht="20" customHeight="1" x14ac:dyDescent="0.2">
      <c r="A139" s="702"/>
      <c r="B139" s="45"/>
      <c r="C139" s="22"/>
      <c r="D139" s="696" t="s">
        <v>85</v>
      </c>
      <c r="E139" s="697" t="s">
        <v>668</v>
      </c>
      <c r="F139" s="697" t="s">
        <v>669</v>
      </c>
      <c r="G139" s="698">
        <v>1998</v>
      </c>
      <c r="H139" s="699"/>
      <c r="I139" s="701">
        <v>25</v>
      </c>
      <c r="J139" s="232" t="s">
        <v>175</v>
      </c>
      <c r="K139" s="250" t="s">
        <v>191</v>
      </c>
      <c r="L139" s="162"/>
      <c r="M139" s="163"/>
      <c r="N139" s="163"/>
      <c r="O139" s="163"/>
      <c r="P139" s="164"/>
      <c r="Q139" s="164"/>
      <c r="R139" s="164"/>
      <c r="S139" s="170"/>
      <c r="T139" s="172"/>
      <c r="U139" s="165"/>
      <c r="V139" s="162"/>
      <c r="W139" s="163"/>
      <c r="X139" s="163"/>
      <c r="Y139" s="163"/>
      <c r="Z139" s="164"/>
      <c r="AA139" s="164"/>
      <c r="AB139" s="164"/>
      <c r="AC139" s="170"/>
      <c r="AD139" s="172"/>
      <c r="AE139" s="165"/>
      <c r="AF139" s="162"/>
      <c r="AG139" s="163"/>
      <c r="AH139" s="203"/>
      <c r="AI139" s="163"/>
      <c r="AJ139" s="164"/>
      <c r="AK139" s="164"/>
      <c r="AL139" s="204"/>
      <c r="AM139" s="170"/>
      <c r="AN139" s="172"/>
      <c r="AO139" s="165"/>
      <c r="AP139" s="162"/>
      <c r="AQ139" s="163"/>
      <c r="AR139" s="203"/>
      <c r="AS139" s="163"/>
      <c r="AT139" s="164"/>
      <c r="AU139" s="164"/>
      <c r="AV139" s="204"/>
      <c r="AW139" s="170"/>
      <c r="AX139" s="172"/>
      <c r="AY139" s="165"/>
      <c r="AZ139" s="21"/>
      <c r="BA139" s="220"/>
      <c r="BB139" s="163"/>
      <c r="BC139" s="163"/>
      <c r="BD139" s="163"/>
      <c r="BE139" s="164"/>
      <c r="BF139" s="164"/>
      <c r="BG139" s="164"/>
      <c r="BH139" s="170"/>
      <c r="BI139" s="172"/>
      <c r="BJ139" s="165"/>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row>
    <row r="140" spans="1:94" ht="20" customHeight="1" x14ac:dyDescent="0.2">
      <c r="B140" s="46"/>
      <c r="C140" s="22"/>
      <c r="D140" s="22" t="s">
        <v>85</v>
      </c>
      <c r="E140" s="21" t="s">
        <v>105</v>
      </c>
      <c r="F140" s="21" t="s">
        <v>106</v>
      </c>
      <c r="G140" s="22">
        <v>1989</v>
      </c>
      <c r="H140" s="22">
        <v>27</v>
      </c>
      <c r="I140" s="65"/>
      <c r="J140" s="61" t="s">
        <v>208</v>
      </c>
      <c r="K140" s="83" t="s">
        <v>177</v>
      </c>
      <c r="L140" s="162"/>
      <c r="M140" s="163"/>
      <c r="N140" s="163" t="str">
        <f t="shared" si="50"/>
        <v/>
      </c>
      <c r="O140" s="163" t="str">
        <f t="shared" si="51"/>
        <v/>
      </c>
      <c r="P140" s="164"/>
      <c r="Q140" s="164"/>
      <c r="R140" s="164" t="str">
        <f t="shared" si="52"/>
        <v/>
      </c>
      <c r="S140" s="170" t="str">
        <f t="shared" si="53"/>
        <v/>
      </c>
      <c r="T140" s="172" t="str">
        <f t="shared" si="66"/>
        <v/>
      </c>
      <c r="U140" s="165"/>
      <c r="V140" s="162"/>
      <c r="W140" s="163"/>
      <c r="X140" s="163" t="str">
        <f t="shared" si="54"/>
        <v/>
      </c>
      <c r="Y140" s="163" t="str">
        <f t="shared" si="55"/>
        <v/>
      </c>
      <c r="Z140" s="164"/>
      <c r="AA140" s="164"/>
      <c r="AB140" s="164" t="str">
        <f t="shared" si="56"/>
        <v/>
      </c>
      <c r="AC140" s="170" t="str">
        <f t="shared" si="57"/>
        <v/>
      </c>
      <c r="AD140" s="172" t="str">
        <f t="shared" si="58"/>
        <v/>
      </c>
      <c r="AE140" s="165"/>
      <c r="AF140" s="162"/>
      <c r="AG140" s="163"/>
      <c r="AH140" s="203" t="str">
        <f t="shared" si="64"/>
        <v/>
      </c>
      <c r="AI140" s="163"/>
      <c r="AJ140" s="164"/>
      <c r="AK140" s="164"/>
      <c r="AL140" s="204" t="str">
        <f t="shared" si="65"/>
        <v/>
      </c>
      <c r="AM140" s="170"/>
      <c r="AN140" s="172"/>
      <c r="AO140" s="165"/>
      <c r="AP140" s="162"/>
      <c r="AQ140" s="163"/>
      <c r="AR140" s="203" t="str">
        <f t="shared" si="61"/>
        <v/>
      </c>
      <c r="AS140" s="163"/>
      <c r="AT140" s="164"/>
      <c r="AU140" s="164"/>
      <c r="AV140" s="204" t="str">
        <f t="shared" si="62"/>
        <v/>
      </c>
      <c r="AW140" s="170"/>
      <c r="AX140" s="172"/>
      <c r="AY140" s="165"/>
      <c r="AZ140" s="21"/>
      <c r="BA140" s="220"/>
      <c r="BB140" s="163"/>
      <c r="BC140" s="163"/>
      <c r="BD140" s="163"/>
      <c r="BE140" s="164"/>
      <c r="BF140" s="164"/>
      <c r="BG140" s="164"/>
      <c r="BH140" s="170"/>
      <c r="BI140" s="172"/>
      <c r="BJ140" s="165"/>
      <c r="BK140" s="21"/>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row>
    <row r="141" spans="1:94" ht="20" customHeight="1" x14ac:dyDescent="0.2">
      <c r="B141" s="45"/>
      <c r="C141" s="59"/>
      <c r="D141" s="22" t="s">
        <v>85</v>
      </c>
      <c r="E141" s="21" t="s">
        <v>109</v>
      </c>
      <c r="F141" s="21" t="s">
        <v>110</v>
      </c>
      <c r="G141" s="22">
        <v>1999</v>
      </c>
      <c r="H141" s="22">
        <v>76</v>
      </c>
      <c r="I141" s="65">
        <v>7</v>
      </c>
      <c r="J141" s="61" t="s">
        <v>175</v>
      </c>
      <c r="K141" s="83" t="s">
        <v>191</v>
      </c>
      <c r="L141" s="162"/>
      <c r="M141" s="163"/>
      <c r="N141" s="163" t="str">
        <f t="shared" si="50"/>
        <v/>
      </c>
      <c r="O141" s="163" t="str">
        <f t="shared" si="51"/>
        <v/>
      </c>
      <c r="P141" s="164"/>
      <c r="Q141" s="164"/>
      <c r="R141" s="164" t="str">
        <f t="shared" si="52"/>
        <v/>
      </c>
      <c r="S141" s="170" t="str">
        <f t="shared" si="53"/>
        <v/>
      </c>
      <c r="T141" s="172" t="str">
        <f t="shared" si="66"/>
        <v/>
      </c>
      <c r="U141" s="165"/>
      <c r="V141" s="162"/>
      <c r="W141" s="163"/>
      <c r="X141" s="163">
        <v>33</v>
      </c>
      <c r="Y141" s="163"/>
      <c r="Z141" s="164"/>
      <c r="AA141" s="164"/>
      <c r="AB141" s="164" t="str">
        <f t="shared" si="56"/>
        <v/>
      </c>
      <c r="AC141" s="170" t="str">
        <f t="shared" si="57"/>
        <v/>
      </c>
      <c r="AD141" s="172" t="str">
        <f t="shared" si="58"/>
        <v/>
      </c>
      <c r="AE141" s="165"/>
      <c r="AF141" s="162"/>
      <c r="AG141" s="163"/>
      <c r="AH141" s="203" t="str">
        <f t="shared" si="64"/>
        <v/>
      </c>
      <c r="AI141" s="163"/>
      <c r="AJ141" s="164"/>
      <c r="AK141" s="164"/>
      <c r="AL141" s="204" t="str">
        <f t="shared" si="65"/>
        <v/>
      </c>
      <c r="AM141" s="170"/>
      <c r="AN141" s="172"/>
      <c r="AO141" s="165"/>
      <c r="AP141" s="162"/>
      <c r="AQ141" s="163"/>
      <c r="AR141" s="203" t="str">
        <f t="shared" si="61"/>
        <v/>
      </c>
      <c r="AS141" s="163"/>
      <c r="AT141" s="164"/>
      <c r="AU141" s="164"/>
      <c r="AV141" s="204" t="str">
        <f t="shared" si="62"/>
        <v/>
      </c>
      <c r="AW141" s="170"/>
      <c r="AX141" s="172"/>
      <c r="AY141" s="165"/>
      <c r="AZ141" s="21"/>
      <c r="BA141" s="220"/>
      <c r="BB141" s="163"/>
      <c r="BC141" s="163"/>
      <c r="BD141" s="163"/>
      <c r="BE141" s="164"/>
      <c r="BF141" s="164"/>
      <c r="BG141" s="164"/>
      <c r="BH141" s="170"/>
      <c r="BI141" s="172"/>
      <c r="BJ141" s="165"/>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row>
    <row r="142" spans="1:94" ht="20" customHeight="1" x14ac:dyDescent="0.2">
      <c r="B142" s="45"/>
      <c r="C142" s="58"/>
      <c r="D142" s="22" t="s">
        <v>85</v>
      </c>
      <c r="E142" s="21" t="s">
        <v>304</v>
      </c>
      <c r="F142" s="21" t="s">
        <v>305</v>
      </c>
      <c r="G142" s="22">
        <v>2015</v>
      </c>
      <c r="I142" s="65">
        <v>5</v>
      </c>
      <c r="J142" s="61" t="s">
        <v>210</v>
      </c>
      <c r="K142" s="83" t="s">
        <v>187</v>
      </c>
      <c r="L142" s="162"/>
      <c r="M142" s="163"/>
      <c r="N142" s="163" t="str">
        <f t="shared" si="50"/>
        <v/>
      </c>
      <c r="O142" s="163" t="str">
        <f t="shared" si="51"/>
        <v/>
      </c>
      <c r="P142" s="164"/>
      <c r="Q142" s="164"/>
      <c r="R142" s="164" t="str">
        <f t="shared" si="52"/>
        <v/>
      </c>
      <c r="S142" s="170" t="str">
        <f t="shared" si="53"/>
        <v/>
      </c>
      <c r="T142" s="172" t="str">
        <f t="shared" si="66"/>
        <v/>
      </c>
      <c r="U142" s="165"/>
      <c r="V142" s="162"/>
      <c r="W142" s="163"/>
      <c r="X142" s="163"/>
      <c r="Y142" s="163">
        <v>43</v>
      </c>
      <c r="Z142" s="164"/>
      <c r="AA142" s="164"/>
      <c r="AB142" s="164"/>
      <c r="AC142" s="170">
        <v>16.2</v>
      </c>
      <c r="AD142" s="172">
        <f t="shared" si="58"/>
        <v>0</v>
      </c>
      <c r="AE142" s="165"/>
      <c r="AF142" s="162"/>
      <c r="AG142" s="163"/>
      <c r="AH142" s="203" t="str">
        <f t="shared" si="64"/>
        <v/>
      </c>
      <c r="AI142" s="163"/>
      <c r="AJ142" s="164"/>
      <c r="AK142" s="164"/>
      <c r="AL142" s="204" t="str">
        <f t="shared" si="65"/>
        <v/>
      </c>
      <c r="AM142" s="170"/>
      <c r="AN142" s="172"/>
      <c r="AO142" s="165"/>
      <c r="AP142" s="162"/>
      <c r="AQ142" s="163"/>
      <c r="AR142" s="203" t="str">
        <f t="shared" si="61"/>
        <v/>
      </c>
      <c r="AS142" s="163"/>
      <c r="AT142" s="164"/>
      <c r="AU142" s="164"/>
      <c r="AV142" s="204" t="str">
        <f t="shared" si="62"/>
        <v/>
      </c>
      <c r="AW142" s="170"/>
      <c r="AX142" s="172"/>
      <c r="AY142" s="165"/>
      <c r="AZ142" s="21"/>
      <c r="BA142" s="220"/>
      <c r="BB142" s="163"/>
      <c r="BC142" s="163"/>
      <c r="BD142" s="163"/>
      <c r="BE142" s="164"/>
      <c r="BF142" s="164"/>
      <c r="BG142" s="164"/>
      <c r="BH142" s="170"/>
      <c r="BI142" s="172"/>
      <c r="BJ142" s="165"/>
      <c r="BK142" s="21" t="s">
        <v>446</v>
      </c>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row>
    <row r="143" spans="1:94" ht="20" customHeight="1" x14ac:dyDescent="0.2">
      <c r="B143" s="45"/>
      <c r="C143" s="59"/>
      <c r="D143" s="22" t="s">
        <v>85</v>
      </c>
      <c r="E143" s="21" t="s">
        <v>306</v>
      </c>
      <c r="F143" s="21" t="s">
        <v>307</v>
      </c>
      <c r="G143" s="22">
        <v>2008</v>
      </c>
      <c r="I143" s="65">
        <v>86</v>
      </c>
      <c r="J143" s="61" t="s">
        <v>175</v>
      </c>
      <c r="K143" s="83"/>
      <c r="L143" s="162">
        <v>37.5</v>
      </c>
      <c r="M143" s="163">
        <v>21.5</v>
      </c>
      <c r="N143" s="163">
        <f t="shared" si="50"/>
        <v>-16</v>
      </c>
      <c r="O143" s="163">
        <f t="shared" si="51"/>
        <v>-42.666666666666664</v>
      </c>
      <c r="P143" s="164">
        <v>37.5</v>
      </c>
      <c r="Q143" s="164">
        <v>49.7</v>
      </c>
      <c r="R143" s="164">
        <f t="shared" si="52"/>
        <v>12.200000000000003</v>
      </c>
      <c r="S143" s="170">
        <f t="shared" si="53"/>
        <v>32.53333333333336</v>
      </c>
      <c r="T143" s="172">
        <f t="shared" si="66"/>
        <v>-28.200000000000003</v>
      </c>
      <c r="U143" s="165"/>
      <c r="V143" s="162">
        <v>450.5</v>
      </c>
      <c r="W143" s="163">
        <v>392.1</v>
      </c>
      <c r="X143" s="163">
        <f t="shared" ref="X143:X152" si="67">IF(AND(NOT(ISERROR(W143-V143)), V143&lt;&gt;"", W143&lt;&gt;""), W143-V143, "")</f>
        <v>-58.399999999999977</v>
      </c>
      <c r="Y143" s="163">
        <f t="shared" ref="Y143:Y152" si="68">IF(NOT(ISERROR(100-(W143/V143)*100)), (100-(W143/V143)*100)*-1, "")</f>
        <v>-12.963374028856819</v>
      </c>
      <c r="Z143" s="164">
        <v>450.5</v>
      </c>
      <c r="AA143" s="164">
        <v>372</v>
      </c>
      <c r="AB143" s="164">
        <f>AA143-Z143</f>
        <v>-78.5</v>
      </c>
      <c r="AC143" s="170">
        <f t="shared" ref="AC143:AC152" si="69">IF(NOT(ISERROR(100-(AA143/Z143)*100)), (100-(AA143/Z143)*100)*-1, "")</f>
        <v>-17.425083240843506</v>
      </c>
      <c r="AD143" s="172">
        <f t="shared" si="58"/>
        <v>20.100000000000023</v>
      </c>
      <c r="AE143" s="165"/>
      <c r="AF143" s="162">
        <v>5.2</v>
      </c>
      <c r="AG143" s="163">
        <v>5.0999999999999996</v>
      </c>
      <c r="AH143" s="203">
        <f t="shared" si="64"/>
        <v>-0.10000000000000053</v>
      </c>
      <c r="AI143" s="163"/>
      <c r="AJ143" s="164">
        <v>5.2</v>
      </c>
      <c r="AK143" s="164">
        <v>5.0999999999999996</v>
      </c>
      <c r="AL143" s="204">
        <f t="shared" si="65"/>
        <v>-0.10000000000000053</v>
      </c>
      <c r="AM143" s="170"/>
      <c r="AN143" s="172">
        <f>AH143-AL143</f>
        <v>0</v>
      </c>
      <c r="AO143" s="165"/>
      <c r="AP143" s="162"/>
      <c r="AQ143" s="163"/>
      <c r="AR143" s="203" t="str">
        <f t="shared" si="61"/>
        <v/>
      </c>
      <c r="AS143" s="163"/>
      <c r="AT143" s="164"/>
      <c r="AU143" s="164"/>
      <c r="AV143" s="204" t="str">
        <f t="shared" si="62"/>
        <v/>
      </c>
      <c r="AW143" s="170"/>
      <c r="AX143" s="172"/>
      <c r="AY143" s="165"/>
      <c r="AZ143" s="21"/>
      <c r="BA143" s="220"/>
      <c r="BB143" s="163"/>
      <c r="BC143" s="163"/>
      <c r="BD143" s="163"/>
      <c r="BE143" s="164"/>
      <c r="BF143" s="164"/>
      <c r="BG143" s="164"/>
      <c r="BH143" s="170"/>
      <c r="BI143" s="172"/>
      <c r="BJ143" s="165"/>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row>
    <row r="144" spans="1:94" ht="20" customHeight="1" x14ac:dyDescent="0.2">
      <c r="B144" s="46"/>
      <c r="C144" s="22"/>
      <c r="D144" s="22" t="s">
        <v>85</v>
      </c>
      <c r="E144" s="21" t="s">
        <v>127</v>
      </c>
      <c r="F144" s="21" t="s">
        <v>128</v>
      </c>
      <c r="G144" s="22">
        <v>2000</v>
      </c>
      <c r="H144" s="22">
        <v>252</v>
      </c>
      <c r="I144" s="65">
        <v>30</v>
      </c>
      <c r="J144" s="61" t="s">
        <v>217</v>
      </c>
      <c r="K144" s="83" t="s">
        <v>168</v>
      </c>
      <c r="L144" s="162"/>
      <c r="M144" s="163"/>
      <c r="N144" s="163" t="str">
        <f t="shared" si="50"/>
        <v/>
      </c>
      <c r="O144" s="163" t="str">
        <f t="shared" si="51"/>
        <v/>
      </c>
      <c r="P144" s="164"/>
      <c r="Q144" s="164"/>
      <c r="R144" s="164" t="str">
        <f t="shared" si="52"/>
        <v/>
      </c>
      <c r="S144" s="170" t="str">
        <f t="shared" si="53"/>
        <v/>
      </c>
      <c r="T144" s="172" t="str">
        <f t="shared" si="66"/>
        <v/>
      </c>
      <c r="U144" s="165"/>
      <c r="V144" s="162"/>
      <c r="W144" s="163"/>
      <c r="X144" s="163" t="str">
        <f t="shared" si="67"/>
        <v/>
      </c>
      <c r="Y144" s="163" t="str">
        <f t="shared" si="68"/>
        <v/>
      </c>
      <c r="Z144" s="164"/>
      <c r="AA144" s="164"/>
      <c r="AB144" s="164" t="str">
        <f t="shared" ref="AB144:AB152" si="70">IF(AND(NOT(ISERROR(AA144-Z144)), Z144&lt;&gt;"", AA144&lt;&gt;""), AA144-Z144, "")</f>
        <v/>
      </c>
      <c r="AC144" s="170" t="str">
        <f t="shared" si="69"/>
        <v/>
      </c>
      <c r="AD144" s="172" t="str">
        <f t="shared" si="58"/>
        <v/>
      </c>
      <c r="AE144" s="165"/>
      <c r="AF144" s="162"/>
      <c r="AG144" s="163"/>
      <c r="AH144" s="203" t="str">
        <f t="shared" si="64"/>
        <v/>
      </c>
      <c r="AI144" s="163"/>
      <c r="AJ144" s="164"/>
      <c r="AK144" s="164"/>
      <c r="AL144" s="204" t="str">
        <f t="shared" si="65"/>
        <v/>
      </c>
      <c r="AM144" s="170"/>
      <c r="AN144" s="172"/>
      <c r="AO144" s="165"/>
      <c r="AP144" s="162"/>
      <c r="AQ144" s="163"/>
      <c r="AR144" s="203" t="str">
        <f t="shared" si="61"/>
        <v/>
      </c>
      <c r="AS144" s="163"/>
      <c r="AT144" s="164"/>
      <c r="AU144" s="164"/>
      <c r="AV144" s="204" t="str">
        <f t="shared" si="62"/>
        <v/>
      </c>
      <c r="AW144" s="170"/>
      <c r="AX144" s="172"/>
      <c r="AY144" s="165"/>
      <c r="AZ144" s="21"/>
      <c r="BA144" s="220"/>
      <c r="BB144" s="163"/>
      <c r="BC144" s="163"/>
      <c r="BD144" s="163"/>
      <c r="BE144" s="164"/>
      <c r="BF144" s="164"/>
      <c r="BG144" s="164"/>
      <c r="BH144" s="170"/>
      <c r="BI144" s="172"/>
      <c r="BJ144" s="165"/>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row>
    <row r="145" spans="2:94" ht="20" customHeight="1" x14ac:dyDescent="0.2">
      <c r="B145" s="45"/>
      <c r="C145" s="230"/>
      <c r="D145" s="22" t="s">
        <v>85</v>
      </c>
      <c r="E145" s="21" t="s">
        <v>537</v>
      </c>
      <c r="F145" s="21" t="s">
        <v>538</v>
      </c>
      <c r="G145" s="22">
        <v>2010</v>
      </c>
      <c r="I145" s="231">
        <v>15</v>
      </c>
      <c r="J145" s="232" t="s">
        <v>184</v>
      </c>
      <c r="K145" s="233" t="s">
        <v>168</v>
      </c>
      <c r="L145" s="162">
        <v>69</v>
      </c>
      <c r="M145" s="163">
        <v>52.4</v>
      </c>
      <c r="N145" s="163">
        <f t="shared" si="50"/>
        <v>-16.600000000000001</v>
      </c>
      <c r="O145" s="163">
        <f t="shared" si="51"/>
        <v>-24.05797101449275</v>
      </c>
      <c r="P145" s="164">
        <v>68.5</v>
      </c>
      <c r="Q145" s="164">
        <v>43.9</v>
      </c>
      <c r="R145" s="164">
        <f t="shared" si="52"/>
        <v>-24.6</v>
      </c>
      <c r="S145" s="170">
        <f t="shared" si="53"/>
        <v>-35.912408759124091</v>
      </c>
      <c r="T145" s="172">
        <f t="shared" si="66"/>
        <v>8</v>
      </c>
      <c r="U145" s="165"/>
      <c r="V145" s="162"/>
      <c r="W145" s="163"/>
      <c r="X145" s="163" t="str">
        <f t="shared" si="67"/>
        <v/>
      </c>
      <c r="Y145" s="163" t="str">
        <f t="shared" si="68"/>
        <v/>
      </c>
      <c r="Z145" s="164"/>
      <c r="AA145" s="164"/>
      <c r="AB145" s="164" t="str">
        <f t="shared" si="70"/>
        <v/>
      </c>
      <c r="AC145" s="170" t="str">
        <f t="shared" si="69"/>
        <v/>
      </c>
      <c r="AD145" s="172" t="str">
        <f t="shared" si="58"/>
        <v/>
      </c>
      <c r="AE145" s="165"/>
      <c r="AF145" s="162">
        <v>3.1</v>
      </c>
      <c r="AG145" s="163">
        <v>2.2999999999999998</v>
      </c>
      <c r="AH145" s="203">
        <f t="shared" si="64"/>
        <v>-0.80000000000000027</v>
      </c>
      <c r="AI145" s="163"/>
      <c r="AJ145" s="164">
        <v>2.2999999999999998</v>
      </c>
      <c r="AK145" s="164">
        <v>2.1</v>
      </c>
      <c r="AL145" s="204">
        <f t="shared" si="65"/>
        <v>-0.19999999999999973</v>
      </c>
      <c r="AM145" s="170"/>
      <c r="AN145" s="206">
        <f>AH145-AL145</f>
        <v>-0.60000000000000053</v>
      </c>
      <c r="AO145" s="165"/>
      <c r="AP145" s="162"/>
      <c r="AQ145" s="163"/>
      <c r="AR145" s="203" t="str">
        <f t="shared" si="61"/>
        <v/>
      </c>
      <c r="AS145" s="163"/>
      <c r="AT145" s="164"/>
      <c r="AU145" s="164"/>
      <c r="AV145" s="204" t="str">
        <f t="shared" si="62"/>
        <v/>
      </c>
      <c r="AW145" s="170"/>
      <c r="AX145" s="172"/>
      <c r="AY145" s="165"/>
      <c r="AZ145" s="21"/>
      <c r="BA145" s="220"/>
      <c r="BB145" s="163"/>
      <c r="BC145" s="163"/>
      <c r="BD145" s="163"/>
      <c r="BE145" s="164"/>
      <c r="BF145" s="164"/>
      <c r="BG145" s="164"/>
      <c r="BH145" s="170"/>
      <c r="BI145" s="172"/>
      <c r="BJ145" s="165"/>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row>
    <row r="146" spans="2:94" ht="20" customHeight="1" x14ac:dyDescent="0.2">
      <c r="B146" s="45"/>
      <c r="C146" s="58"/>
      <c r="D146" s="22" t="s">
        <v>85</v>
      </c>
      <c r="E146" s="21" t="s">
        <v>133</v>
      </c>
      <c r="F146" s="21" t="s">
        <v>134</v>
      </c>
      <c r="G146" s="22">
        <v>2001</v>
      </c>
      <c r="H146" s="22">
        <v>192</v>
      </c>
      <c r="I146" s="65">
        <v>19</v>
      </c>
      <c r="J146" s="61" t="s">
        <v>175</v>
      </c>
      <c r="K146" s="83" t="s">
        <v>168</v>
      </c>
      <c r="L146" s="162">
        <v>62.9</v>
      </c>
      <c r="M146" s="163">
        <v>34.5</v>
      </c>
      <c r="N146" s="163">
        <f t="shared" si="50"/>
        <v>-28.4</v>
      </c>
      <c r="O146" s="163">
        <f t="shared" si="51"/>
        <v>-45.151033386327498</v>
      </c>
      <c r="P146" s="164">
        <v>61.7</v>
      </c>
      <c r="Q146" s="164">
        <v>49.6</v>
      </c>
      <c r="R146" s="164">
        <f t="shared" si="52"/>
        <v>-12.100000000000001</v>
      </c>
      <c r="S146" s="170">
        <f t="shared" si="53"/>
        <v>-19.611021069692057</v>
      </c>
      <c r="T146" s="172">
        <f t="shared" si="66"/>
        <v>-16.299999999999997</v>
      </c>
      <c r="U146" s="165"/>
      <c r="V146" s="162">
        <v>543</v>
      </c>
      <c r="W146" s="163">
        <v>583</v>
      </c>
      <c r="X146" s="163">
        <f t="shared" si="67"/>
        <v>40</v>
      </c>
      <c r="Y146" s="163">
        <f t="shared" si="68"/>
        <v>7.3664825046040505</v>
      </c>
      <c r="Z146" s="164">
        <v>550</v>
      </c>
      <c r="AA146" s="164">
        <v>554</v>
      </c>
      <c r="AB146" s="164">
        <f t="shared" si="70"/>
        <v>4</v>
      </c>
      <c r="AC146" s="170">
        <f t="shared" si="69"/>
        <v>0.72727272727273373</v>
      </c>
      <c r="AD146" s="172">
        <f t="shared" si="58"/>
        <v>36</v>
      </c>
      <c r="AE146" s="165"/>
      <c r="AF146" s="162"/>
      <c r="AG146" s="163"/>
      <c r="AH146" s="203" t="str">
        <f t="shared" si="64"/>
        <v/>
      </c>
      <c r="AI146" s="163"/>
      <c r="AJ146" s="164"/>
      <c r="AK146" s="164"/>
      <c r="AL146" s="204" t="str">
        <f t="shared" si="65"/>
        <v/>
      </c>
      <c r="AM146" s="170"/>
      <c r="AN146" s="172"/>
      <c r="AO146" s="165"/>
      <c r="AP146" s="162"/>
      <c r="AQ146" s="163"/>
      <c r="AR146" s="203" t="str">
        <f t="shared" si="61"/>
        <v/>
      </c>
      <c r="AS146" s="163"/>
      <c r="AT146" s="164"/>
      <c r="AU146" s="164"/>
      <c r="AV146" s="204" t="str">
        <f t="shared" si="62"/>
        <v/>
      </c>
      <c r="AW146" s="170"/>
      <c r="AX146" s="172"/>
      <c r="AY146" s="165"/>
      <c r="AZ146" s="21"/>
      <c r="BA146" s="220"/>
      <c r="BB146" s="163"/>
      <c r="BC146" s="163"/>
      <c r="BD146" s="163"/>
      <c r="BE146" s="164"/>
      <c r="BF146" s="164"/>
      <c r="BG146" s="164"/>
      <c r="BH146" s="170"/>
      <c r="BI146" s="172"/>
      <c r="BJ146" s="165"/>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row>
    <row r="147" spans="2:94" ht="20" customHeight="1" x14ac:dyDescent="0.2">
      <c r="B147" s="46"/>
      <c r="C147" s="58"/>
      <c r="E147" s="21" t="s">
        <v>151</v>
      </c>
      <c r="F147" s="21" t="s">
        <v>419</v>
      </c>
      <c r="G147" s="22">
        <v>1999</v>
      </c>
      <c r="I147" s="65">
        <v>30</v>
      </c>
      <c r="J147" s="61" t="s">
        <v>420</v>
      </c>
      <c r="K147" s="83" t="s">
        <v>219</v>
      </c>
      <c r="L147" s="162"/>
      <c r="M147" s="163"/>
      <c r="N147" s="163" t="str">
        <f t="shared" si="50"/>
        <v/>
      </c>
      <c r="O147" s="163" t="str">
        <f t="shared" si="51"/>
        <v/>
      </c>
      <c r="P147" s="164"/>
      <c r="Q147" s="164"/>
      <c r="R147" s="164" t="str">
        <f t="shared" si="52"/>
        <v/>
      </c>
      <c r="S147" s="170" t="str">
        <f t="shared" si="53"/>
        <v/>
      </c>
      <c r="T147" s="172" t="str">
        <f t="shared" si="66"/>
        <v/>
      </c>
      <c r="U147" s="165"/>
      <c r="V147" s="162"/>
      <c r="W147" s="163"/>
      <c r="X147" s="163" t="str">
        <f t="shared" si="67"/>
        <v/>
      </c>
      <c r="Y147" s="163" t="str">
        <f t="shared" si="68"/>
        <v/>
      </c>
      <c r="Z147" s="164"/>
      <c r="AA147" s="164"/>
      <c r="AB147" s="164" t="str">
        <f t="shared" si="70"/>
        <v/>
      </c>
      <c r="AC147" s="170" t="str">
        <f t="shared" si="69"/>
        <v/>
      </c>
      <c r="AD147" s="172" t="str">
        <f t="shared" si="58"/>
        <v/>
      </c>
      <c r="AE147" s="165"/>
      <c r="AF147" s="162"/>
      <c r="AG147" s="163"/>
      <c r="AH147" s="203" t="str">
        <f t="shared" si="64"/>
        <v/>
      </c>
      <c r="AI147" s="163"/>
      <c r="AJ147" s="164"/>
      <c r="AK147" s="164"/>
      <c r="AL147" s="204" t="str">
        <f t="shared" si="65"/>
        <v/>
      </c>
      <c r="AM147" s="170"/>
      <c r="AN147" s="172"/>
      <c r="AO147" s="165"/>
      <c r="AP147" s="162"/>
      <c r="AQ147" s="163"/>
      <c r="AR147" s="203" t="str">
        <f t="shared" si="61"/>
        <v/>
      </c>
      <c r="AS147" s="163"/>
      <c r="AT147" s="164"/>
      <c r="AU147" s="164"/>
      <c r="AV147" s="204" t="str">
        <f t="shared" si="62"/>
        <v/>
      </c>
      <c r="AW147" s="170"/>
      <c r="AX147" s="172"/>
      <c r="AY147" s="165"/>
      <c r="AZ147" s="21"/>
      <c r="BA147" s="220"/>
      <c r="BB147" s="163"/>
      <c r="BC147" s="163"/>
      <c r="BD147" s="163"/>
      <c r="BE147" s="164"/>
      <c r="BF147" s="164"/>
      <c r="BG147" s="164"/>
      <c r="BH147" s="170"/>
      <c r="BI147" s="172"/>
      <c r="BJ147" s="165"/>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row>
    <row r="148" spans="2:94" ht="20" customHeight="1" x14ac:dyDescent="0.2">
      <c r="B148" s="45"/>
      <c r="C148" s="58"/>
      <c r="D148" s="22" t="s">
        <v>85</v>
      </c>
      <c r="E148" s="21" t="s">
        <v>310</v>
      </c>
      <c r="F148" s="21" t="s">
        <v>311</v>
      </c>
      <c r="G148" s="22">
        <v>2010</v>
      </c>
      <c r="I148" s="65">
        <v>53</v>
      </c>
      <c r="J148" s="78" t="s">
        <v>366</v>
      </c>
      <c r="K148" s="83" t="s">
        <v>405</v>
      </c>
      <c r="L148" s="162"/>
      <c r="M148" s="163"/>
      <c r="N148" s="163" t="str">
        <f t="shared" si="50"/>
        <v/>
      </c>
      <c r="O148" s="163" t="str">
        <f t="shared" si="51"/>
        <v/>
      </c>
      <c r="P148" s="164"/>
      <c r="Q148" s="164"/>
      <c r="R148" s="164" t="str">
        <f t="shared" si="52"/>
        <v/>
      </c>
      <c r="S148" s="170" t="str">
        <f t="shared" si="53"/>
        <v/>
      </c>
      <c r="T148" s="172" t="str">
        <f t="shared" si="66"/>
        <v/>
      </c>
      <c r="U148" s="165"/>
      <c r="V148" s="162"/>
      <c r="W148" s="163"/>
      <c r="X148" s="163" t="str">
        <f t="shared" si="67"/>
        <v/>
      </c>
      <c r="Y148" s="163" t="str">
        <f t="shared" si="68"/>
        <v/>
      </c>
      <c r="Z148" s="164"/>
      <c r="AA148" s="164"/>
      <c r="AB148" s="164" t="str">
        <f t="shared" si="70"/>
        <v/>
      </c>
      <c r="AC148" s="170" t="str">
        <f t="shared" si="69"/>
        <v/>
      </c>
      <c r="AD148" s="172" t="str">
        <f t="shared" si="58"/>
        <v/>
      </c>
      <c r="AE148" s="165"/>
      <c r="AF148" s="162"/>
      <c r="AG148" s="163"/>
      <c r="AH148" s="203" t="str">
        <f t="shared" si="64"/>
        <v/>
      </c>
      <c r="AI148" s="163"/>
      <c r="AJ148" s="164"/>
      <c r="AK148" s="164"/>
      <c r="AL148" s="204" t="str">
        <f t="shared" si="65"/>
        <v/>
      </c>
      <c r="AM148" s="170"/>
      <c r="AN148" s="172"/>
      <c r="AO148" s="165"/>
      <c r="AP148" s="162"/>
      <c r="AQ148" s="163"/>
      <c r="AR148" s="203" t="str">
        <f t="shared" si="61"/>
        <v/>
      </c>
      <c r="AS148" s="163"/>
      <c r="AT148" s="164"/>
      <c r="AU148" s="164"/>
      <c r="AV148" s="204" t="str">
        <f t="shared" si="62"/>
        <v/>
      </c>
      <c r="AW148" s="170"/>
      <c r="AX148" s="172"/>
      <c r="AY148" s="165"/>
      <c r="AZ148" s="21"/>
      <c r="BA148" s="220"/>
      <c r="BB148" s="163"/>
      <c r="BC148" s="163"/>
      <c r="BD148" s="163"/>
      <c r="BE148" s="164"/>
      <c r="BF148" s="164"/>
      <c r="BG148" s="164"/>
      <c r="BH148" s="170"/>
      <c r="BI148" s="172"/>
      <c r="BJ148" s="165"/>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row>
    <row r="149" spans="2:94" ht="20" customHeight="1" x14ac:dyDescent="0.2">
      <c r="B149" s="45"/>
      <c r="C149" s="58"/>
      <c r="D149" s="22" t="s">
        <v>85</v>
      </c>
      <c r="E149" s="21" t="s">
        <v>314</v>
      </c>
      <c r="F149" s="21" t="s">
        <v>315</v>
      </c>
      <c r="G149" s="22">
        <v>2010</v>
      </c>
      <c r="I149" s="65">
        <v>789</v>
      </c>
      <c r="J149" s="61" t="s">
        <v>210</v>
      </c>
      <c r="K149" s="83" t="s">
        <v>370</v>
      </c>
      <c r="L149" s="162"/>
      <c r="M149" s="163"/>
      <c r="N149" s="163" t="str">
        <f t="shared" si="50"/>
        <v/>
      </c>
      <c r="O149" s="163" t="str">
        <f t="shared" si="51"/>
        <v/>
      </c>
      <c r="P149" s="164"/>
      <c r="Q149" s="164"/>
      <c r="R149" s="164" t="str">
        <f t="shared" si="52"/>
        <v/>
      </c>
      <c r="S149" s="170" t="str">
        <f t="shared" si="53"/>
        <v/>
      </c>
      <c r="T149" s="172" t="str">
        <f t="shared" si="66"/>
        <v/>
      </c>
      <c r="U149" s="165"/>
      <c r="V149" s="162"/>
      <c r="W149" s="163"/>
      <c r="X149" s="163" t="str">
        <f t="shared" si="67"/>
        <v/>
      </c>
      <c r="Y149" s="163" t="str">
        <f t="shared" si="68"/>
        <v/>
      </c>
      <c r="Z149" s="164"/>
      <c r="AA149" s="164"/>
      <c r="AB149" s="164" t="str">
        <f t="shared" si="70"/>
        <v/>
      </c>
      <c r="AC149" s="170" t="str">
        <f t="shared" si="69"/>
        <v/>
      </c>
      <c r="AD149" s="172" t="str">
        <f t="shared" si="58"/>
        <v/>
      </c>
      <c r="AE149" s="165"/>
      <c r="AF149" s="162"/>
      <c r="AG149" s="163"/>
      <c r="AH149" s="203" t="str">
        <f t="shared" si="64"/>
        <v/>
      </c>
      <c r="AI149" s="163"/>
      <c r="AJ149" s="164"/>
      <c r="AK149" s="164"/>
      <c r="AL149" s="204" t="str">
        <f t="shared" si="65"/>
        <v/>
      </c>
      <c r="AM149" s="170"/>
      <c r="AN149" s="172"/>
      <c r="AO149" s="165"/>
      <c r="AP149" s="162"/>
      <c r="AQ149" s="163"/>
      <c r="AR149" s="203" t="str">
        <f t="shared" si="61"/>
        <v/>
      </c>
      <c r="AS149" s="163"/>
      <c r="AT149" s="164"/>
      <c r="AU149" s="164"/>
      <c r="AV149" s="204" t="str">
        <f t="shared" si="62"/>
        <v/>
      </c>
      <c r="AW149" s="170"/>
      <c r="AX149" s="172"/>
      <c r="AY149" s="165"/>
      <c r="AZ149" s="21"/>
      <c r="BA149" s="220"/>
      <c r="BB149" s="163"/>
      <c r="BC149" s="163"/>
      <c r="BD149" s="163"/>
      <c r="BE149" s="164"/>
      <c r="BF149" s="164"/>
      <c r="BG149" s="164"/>
      <c r="BH149" s="170"/>
      <c r="BI149" s="172"/>
      <c r="BJ149" s="165"/>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row>
    <row r="150" spans="2:94" ht="20" customHeight="1" x14ac:dyDescent="0.2">
      <c r="B150" s="45"/>
      <c r="C150" s="59"/>
      <c r="D150" s="22" t="s">
        <v>85</v>
      </c>
      <c r="E150" s="21" t="s">
        <v>143</v>
      </c>
      <c r="F150" s="21" t="s">
        <v>144</v>
      </c>
      <c r="G150" s="22">
        <v>2008</v>
      </c>
      <c r="H150" s="22">
        <v>156</v>
      </c>
      <c r="I150" s="65">
        <v>50</v>
      </c>
      <c r="J150" s="61" t="s">
        <v>175</v>
      </c>
      <c r="K150" s="83" t="s">
        <v>587</v>
      </c>
      <c r="L150" s="162">
        <v>72.87</v>
      </c>
      <c r="M150" s="163">
        <v>32.479999999999997</v>
      </c>
      <c r="N150" s="163">
        <f t="shared" si="50"/>
        <v>-40.390000000000008</v>
      </c>
      <c r="O150" s="163">
        <f t="shared" si="51"/>
        <v>-55.427473583093182</v>
      </c>
      <c r="P150" s="164">
        <v>72.87</v>
      </c>
      <c r="Q150" s="164">
        <v>65.180000000000007</v>
      </c>
      <c r="R150" s="164">
        <f t="shared" si="52"/>
        <v>-7.6899999999999977</v>
      </c>
      <c r="S150" s="170">
        <f t="shared" si="53"/>
        <v>-10.553039659667888</v>
      </c>
      <c r="T150" s="172">
        <f t="shared" si="66"/>
        <v>-32.70000000000001</v>
      </c>
      <c r="U150" s="165"/>
      <c r="V150" s="162">
        <v>496.37</v>
      </c>
      <c r="W150" s="163">
        <v>534.79999999999995</v>
      </c>
      <c r="X150" s="163">
        <f t="shared" si="67"/>
        <v>38.42999999999995</v>
      </c>
      <c r="Y150" s="163">
        <f t="shared" si="68"/>
        <v>7.7422084332252012</v>
      </c>
      <c r="Z150" s="164">
        <v>496.37</v>
      </c>
      <c r="AA150" s="164">
        <v>503.63</v>
      </c>
      <c r="AB150" s="164">
        <f t="shared" si="70"/>
        <v>7.2599999999999909</v>
      </c>
      <c r="AC150" s="170">
        <f t="shared" si="69"/>
        <v>1.4626186111166959</v>
      </c>
      <c r="AD150" s="172">
        <f t="shared" si="58"/>
        <v>31.169999999999959</v>
      </c>
      <c r="AE150" s="165"/>
      <c r="AF150" s="162">
        <v>2.19</v>
      </c>
      <c r="AG150" s="163">
        <v>1.88</v>
      </c>
      <c r="AH150" s="203">
        <f t="shared" si="64"/>
        <v>-0.31000000000000005</v>
      </c>
      <c r="AI150" s="163"/>
      <c r="AJ150" s="164">
        <v>2.19</v>
      </c>
      <c r="AK150" s="164">
        <v>1.92</v>
      </c>
      <c r="AL150" s="204">
        <f t="shared" si="65"/>
        <v>-0.27</v>
      </c>
      <c r="AM150" s="170"/>
      <c r="AN150" s="206">
        <f>AH150-AL150</f>
        <v>-4.0000000000000036E-2</v>
      </c>
      <c r="AO150" s="165"/>
      <c r="AP150" s="162"/>
      <c r="AQ150" s="163"/>
      <c r="AR150" s="203" t="str">
        <f t="shared" si="61"/>
        <v/>
      </c>
      <c r="AS150" s="163"/>
      <c r="AT150" s="164"/>
      <c r="AU150" s="164"/>
      <c r="AV150" s="204" t="str">
        <f t="shared" si="62"/>
        <v/>
      </c>
      <c r="AW150" s="170"/>
      <c r="AX150" s="172"/>
      <c r="AY150" s="165"/>
      <c r="AZ150" s="21"/>
      <c r="BA150" s="220">
        <v>93.84</v>
      </c>
      <c r="BB150" s="163">
        <v>94.95</v>
      </c>
      <c r="BC150" s="163">
        <f>BB150-BA150</f>
        <v>1.1099999999999994</v>
      </c>
      <c r="BD150" s="163">
        <f>100-((BA150/BB150)*100)</f>
        <v>1.1690363349131161</v>
      </c>
      <c r="BE150" s="164">
        <v>93.84</v>
      </c>
      <c r="BF150" s="164">
        <v>94.72</v>
      </c>
      <c r="BG150" s="164">
        <f>BF150-BE150</f>
        <v>0.87999999999999545</v>
      </c>
      <c r="BH150" s="170">
        <f>100-((BE150/BF150)*100)</f>
        <v>0.92905405405404906</v>
      </c>
      <c r="BI150" s="172"/>
      <c r="BJ150" s="165"/>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row>
    <row r="151" spans="2:94" ht="20" customHeight="1" x14ac:dyDescent="0.2">
      <c r="B151" s="45"/>
      <c r="C151" s="59"/>
      <c r="D151" s="22" t="s">
        <v>85</v>
      </c>
      <c r="E151" s="21" t="s">
        <v>318</v>
      </c>
      <c r="F151" s="21" t="s">
        <v>319</v>
      </c>
      <c r="G151" s="22">
        <v>2009</v>
      </c>
      <c r="I151" s="65">
        <v>12</v>
      </c>
      <c r="J151" s="61" t="s">
        <v>213</v>
      </c>
      <c r="K151" s="83" t="s">
        <v>191</v>
      </c>
      <c r="L151" s="162"/>
      <c r="M151" s="163"/>
      <c r="N151" s="163" t="str">
        <f t="shared" si="50"/>
        <v/>
      </c>
      <c r="O151" s="163" t="str">
        <f t="shared" si="51"/>
        <v/>
      </c>
      <c r="P151" s="164"/>
      <c r="Q151" s="164"/>
      <c r="R151" s="164" t="str">
        <f t="shared" si="52"/>
        <v/>
      </c>
      <c r="S151" s="170" t="str">
        <f t="shared" si="53"/>
        <v/>
      </c>
      <c r="T151" s="172" t="str">
        <f t="shared" si="66"/>
        <v/>
      </c>
      <c r="U151" s="165"/>
      <c r="V151" s="162"/>
      <c r="W151" s="163"/>
      <c r="X151" s="163" t="str">
        <f t="shared" si="67"/>
        <v/>
      </c>
      <c r="Y151" s="163" t="str">
        <f t="shared" si="68"/>
        <v/>
      </c>
      <c r="Z151" s="164"/>
      <c r="AA151" s="164"/>
      <c r="AB151" s="164" t="str">
        <f t="shared" si="70"/>
        <v/>
      </c>
      <c r="AC151" s="170" t="str">
        <f t="shared" si="69"/>
        <v/>
      </c>
      <c r="AD151" s="172" t="str">
        <f t="shared" si="58"/>
        <v/>
      </c>
      <c r="AE151" s="165"/>
      <c r="AF151" s="162"/>
      <c r="AG151" s="163"/>
      <c r="AH151" s="203" t="str">
        <f t="shared" si="64"/>
        <v/>
      </c>
      <c r="AI151" s="163"/>
      <c r="AJ151" s="164"/>
      <c r="AK151" s="164"/>
      <c r="AL151" s="204" t="str">
        <f t="shared" si="65"/>
        <v/>
      </c>
      <c r="AM151" s="170"/>
      <c r="AN151" s="172"/>
      <c r="AO151" s="165"/>
      <c r="AP151" s="162"/>
      <c r="AQ151" s="163"/>
      <c r="AR151" s="203" t="str">
        <f t="shared" si="61"/>
        <v/>
      </c>
      <c r="AS151" s="163"/>
      <c r="AT151" s="164"/>
      <c r="AU151" s="164"/>
      <c r="AV151" s="204" t="str">
        <f t="shared" si="62"/>
        <v/>
      </c>
      <c r="AW151" s="170"/>
      <c r="AX151" s="172"/>
      <c r="AY151" s="165"/>
      <c r="AZ151" s="21"/>
      <c r="BA151" s="220"/>
      <c r="BB151" s="163"/>
      <c r="BC151" s="163"/>
      <c r="BD151" s="163"/>
      <c r="BE151" s="164"/>
      <c r="BF151" s="164"/>
      <c r="BG151" s="164"/>
      <c r="BH151" s="170"/>
      <c r="BI151" s="172"/>
      <c r="BJ151" s="165"/>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row>
    <row r="152" spans="2:94" ht="20" customHeight="1" thickBot="1" x14ac:dyDescent="0.25">
      <c r="B152" s="45"/>
      <c r="C152" s="59"/>
      <c r="D152" s="22" t="s">
        <v>85</v>
      </c>
      <c r="E152" s="21" t="s">
        <v>147</v>
      </c>
      <c r="F152" s="21" t="s">
        <v>148</v>
      </c>
      <c r="G152" s="22">
        <v>2011</v>
      </c>
      <c r="H152" s="22">
        <v>112</v>
      </c>
      <c r="I152" s="66">
        <v>17</v>
      </c>
      <c r="J152" s="63" t="s">
        <v>217</v>
      </c>
      <c r="K152" s="84" t="s">
        <v>192</v>
      </c>
      <c r="L152" s="166">
        <v>135</v>
      </c>
      <c r="M152" s="167">
        <v>82.84</v>
      </c>
      <c r="N152" s="167">
        <f t="shared" si="50"/>
        <v>-52.16</v>
      </c>
      <c r="O152" s="167">
        <f t="shared" si="51"/>
        <v>-38.63703703703704</v>
      </c>
      <c r="P152" s="168">
        <v>135</v>
      </c>
      <c r="Q152" s="168">
        <v>124.79</v>
      </c>
      <c r="R152" s="168">
        <f t="shared" si="52"/>
        <v>-10.209999999999994</v>
      </c>
      <c r="S152" s="171">
        <f t="shared" si="53"/>
        <v>-7.5629629629629562</v>
      </c>
      <c r="T152" s="173">
        <f t="shared" si="66"/>
        <v>-41.95</v>
      </c>
      <c r="U152" s="169"/>
      <c r="V152" s="166">
        <v>499.9</v>
      </c>
      <c r="W152" s="167">
        <v>556.11</v>
      </c>
      <c r="X152" s="167">
        <f t="shared" si="67"/>
        <v>56.210000000000036</v>
      </c>
      <c r="Y152" s="167">
        <f t="shared" si="68"/>
        <v>11.24424884976996</v>
      </c>
      <c r="Z152" s="168">
        <v>499.9</v>
      </c>
      <c r="AA152" s="168">
        <v>507.66</v>
      </c>
      <c r="AB152" s="168">
        <f t="shared" si="70"/>
        <v>7.7600000000000477</v>
      </c>
      <c r="AC152" s="171">
        <f t="shared" si="69"/>
        <v>1.5523104620924357</v>
      </c>
      <c r="AD152" s="173">
        <f t="shared" si="58"/>
        <v>48.449999999999989</v>
      </c>
      <c r="AE152" s="169"/>
      <c r="AF152" s="166">
        <v>0.5</v>
      </c>
      <c r="AG152" s="167">
        <v>0.43</v>
      </c>
      <c r="AH152" s="245">
        <f t="shared" si="64"/>
        <v>-7.0000000000000007E-2</v>
      </c>
      <c r="AI152" s="167"/>
      <c r="AJ152" s="168">
        <v>0.5</v>
      </c>
      <c r="AK152" s="168">
        <v>0.57999999999999996</v>
      </c>
      <c r="AL152" s="247">
        <f t="shared" si="65"/>
        <v>7.999999999999996E-2</v>
      </c>
      <c r="AM152" s="171"/>
      <c r="AN152" s="251">
        <f>AH152-AL152</f>
        <v>-0.14999999999999997</v>
      </c>
      <c r="AO152" s="169"/>
      <c r="AP152" s="166"/>
      <c r="AQ152" s="167"/>
      <c r="AR152" s="245" t="str">
        <f t="shared" si="61"/>
        <v/>
      </c>
      <c r="AS152" s="167"/>
      <c r="AT152" s="168"/>
      <c r="AU152" s="168"/>
      <c r="AV152" s="247" t="str">
        <f t="shared" si="62"/>
        <v/>
      </c>
      <c r="AW152" s="171"/>
      <c r="AX152" s="173"/>
      <c r="AY152" s="169"/>
      <c r="AZ152" s="21"/>
      <c r="BA152" s="222"/>
      <c r="BB152" s="167"/>
      <c r="BC152" s="167"/>
      <c r="BD152" s="167"/>
      <c r="BE152" s="168"/>
      <c r="BF152" s="168"/>
      <c r="BG152" s="168"/>
      <c r="BH152" s="171"/>
      <c r="BI152" s="173"/>
      <c r="BJ152" s="169"/>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row>
    <row r="153" spans="2:94" ht="20" customHeight="1" x14ac:dyDescent="0.2">
      <c r="F153" s="20"/>
      <c r="G153" s="20"/>
      <c r="I153" s="20"/>
      <c r="J153" s="20"/>
      <c r="K153" s="20"/>
      <c r="L153" s="590" t="s">
        <v>439</v>
      </c>
      <c r="M153" s="577" t="s">
        <v>426</v>
      </c>
      <c r="N153" s="558" t="s">
        <v>481</v>
      </c>
      <c r="O153" s="558" t="s">
        <v>482</v>
      </c>
      <c r="P153" s="560" t="s">
        <v>439</v>
      </c>
      <c r="Q153" s="560" t="s">
        <v>426</v>
      </c>
      <c r="R153" s="560" t="s">
        <v>481</v>
      </c>
      <c r="S153" s="581" t="s">
        <v>482</v>
      </c>
      <c r="T153" s="562" t="s">
        <v>484</v>
      </c>
      <c r="U153" s="564" t="s">
        <v>238</v>
      </c>
      <c r="V153" s="574" t="s">
        <v>439</v>
      </c>
      <c r="W153" s="577" t="s">
        <v>426</v>
      </c>
      <c r="X153" s="558" t="s">
        <v>481</v>
      </c>
      <c r="Y153" s="558" t="s">
        <v>482</v>
      </c>
      <c r="Z153" s="560" t="s">
        <v>439</v>
      </c>
      <c r="AA153" s="560" t="s">
        <v>426</v>
      </c>
      <c r="AB153" s="560" t="s">
        <v>481</v>
      </c>
      <c r="AC153" s="581" t="s">
        <v>482</v>
      </c>
      <c r="AD153" s="562" t="s">
        <v>484</v>
      </c>
      <c r="AE153" s="564" t="s">
        <v>238</v>
      </c>
      <c r="AF153" s="574" t="s">
        <v>439</v>
      </c>
      <c r="AG153" s="577" t="s">
        <v>426</v>
      </c>
      <c r="AH153" s="558" t="s">
        <v>481</v>
      </c>
      <c r="AI153" s="558" t="s">
        <v>482</v>
      </c>
      <c r="AJ153" s="560" t="s">
        <v>439</v>
      </c>
      <c r="AK153" s="560" t="s">
        <v>426</v>
      </c>
      <c r="AL153" s="560" t="s">
        <v>481</v>
      </c>
      <c r="AM153" s="581" t="s">
        <v>482</v>
      </c>
      <c r="AN153" s="562" t="s">
        <v>484</v>
      </c>
      <c r="AO153" s="564" t="s">
        <v>238</v>
      </c>
      <c r="AP153" s="574" t="s">
        <v>439</v>
      </c>
      <c r="AQ153" s="577" t="s">
        <v>426</v>
      </c>
      <c r="AR153" s="558" t="s">
        <v>481</v>
      </c>
      <c r="AS153" s="558" t="s">
        <v>482</v>
      </c>
      <c r="AT153" s="560" t="s">
        <v>439</v>
      </c>
      <c r="AU153" s="560" t="s">
        <v>426</v>
      </c>
      <c r="AV153" s="560" t="s">
        <v>481</v>
      </c>
      <c r="AW153" s="581" t="s">
        <v>482</v>
      </c>
      <c r="AX153" s="562" t="s">
        <v>484</v>
      </c>
      <c r="AY153" s="564" t="s">
        <v>238</v>
      </c>
      <c r="AZ153" s="21"/>
      <c r="BA153" s="590" t="s">
        <v>439</v>
      </c>
      <c r="BB153" s="577" t="s">
        <v>426</v>
      </c>
      <c r="BC153" s="558" t="s">
        <v>481</v>
      </c>
      <c r="BD153" s="558" t="s">
        <v>482</v>
      </c>
      <c r="BE153" s="560" t="s">
        <v>439</v>
      </c>
      <c r="BF153" s="560" t="s">
        <v>426</v>
      </c>
      <c r="BG153" s="560" t="s">
        <v>481</v>
      </c>
      <c r="BH153" s="581" t="s">
        <v>482</v>
      </c>
      <c r="BI153" s="562" t="s">
        <v>484</v>
      </c>
      <c r="BJ153" s="564" t="s">
        <v>238</v>
      </c>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row>
    <row r="154" spans="2:94" ht="20" customHeight="1" x14ac:dyDescent="0.2">
      <c r="F154" s="20"/>
      <c r="G154" s="20"/>
      <c r="I154" s="20"/>
      <c r="J154" s="20"/>
      <c r="K154" s="20"/>
      <c r="L154" s="591"/>
      <c r="M154" s="577"/>
      <c r="N154" s="558"/>
      <c r="O154" s="558"/>
      <c r="P154" s="560"/>
      <c r="Q154" s="560"/>
      <c r="R154" s="560"/>
      <c r="S154" s="581"/>
      <c r="T154" s="562"/>
      <c r="U154" s="564"/>
      <c r="V154" s="575"/>
      <c r="W154" s="577"/>
      <c r="X154" s="558"/>
      <c r="Y154" s="558"/>
      <c r="Z154" s="560"/>
      <c r="AA154" s="560"/>
      <c r="AB154" s="560"/>
      <c r="AC154" s="581"/>
      <c r="AD154" s="562"/>
      <c r="AE154" s="564"/>
      <c r="AF154" s="575"/>
      <c r="AG154" s="577"/>
      <c r="AH154" s="558"/>
      <c r="AI154" s="558"/>
      <c r="AJ154" s="560"/>
      <c r="AK154" s="560"/>
      <c r="AL154" s="560"/>
      <c r="AM154" s="581"/>
      <c r="AN154" s="562"/>
      <c r="AO154" s="564"/>
      <c r="AP154" s="575"/>
      <c r="AQ154" s="577"/>
      <c r="AR154" s="558"/>
      <c r="AS154" s="558"/>
      <c r="AT154" s="560"/>
      <c r="AU154" s="560"/>
      <c r="AV154" s="560"/>
      <c r="AW154" s="581"/>
      <c r="AX154" s="562"/>
      <c r="AY154" s="564"/>
      <c r="AZ154" s="21"/>
      <c r="BA154" s="591"/>
      <c r="BB154" s="577"/>
      <c r="BC154" s="558"/>
      <c r="BD154" s="558"/>
      <c r="BE154" s="560"/>
      <c r="BF154" s="560"/>
      <c r="BG154" s="560"/>
      <c r="BH154" s="581"/>
      <c r="BI154" s="562"/>
      <c r="BJ154" s="564"/>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row>
    <row r="155" spans="2:94" ht="20" customHeight="1" x14ac:dyDescent="0.2">
      <c r="F155" s="20"/>
      <c r="G155" s="20"/>
      <c r="I155" s="20"/>
      <c r="J155" s="20"/>
      <c r="K155" s="20"/>
      <c r="L155" s="591"/>
      <c r="M155" s="577"/>
      <c r="N155" s="558"/>
      <c r="O155" s="558"/>
      <c r="P155" s="560"/>
      <c r="Q155" s="560"/>
      <c r="R155" s="560"/>
      <c r="S155" s="581"/>
      <c r="T155" s="562"/>
      <c r="U155" s="564"/>
      <c r="V155" s="575"/>
      <c r="W155" s="577"/>
      <c r="X155" s="558"/>
      <c r="Y155" s="558"/>
      <c r="Z155" s="560"/>
      <c r="AA155" s="560"/>
      <c r="AB155" s="560"/>
      <c r="AC155" s="581"/>
      <c r="AD155" s="562"/>
      <c r="AE155" s="564"/>
      <c r="AF155" s="575"/>
      <c r="AG155" s="577"/>
      <c r="AH155" s="558"/>
      <c r="AI155" s="558"/>
      <c r="AJ155" s="560"/>
      <c r="AK155" s="560"/>
      <c r="AL155" s="560"/>
      <c r="AM155" s="581"/>
      <c r="AN155" s="562"/>
      <c r="AO155" s="564"/>
      <c r="AP155" s="575"/>
      <c r="AQ155" s="577"/>
      <c r="AR155" s="558"/>
      <c r="AS155" s="558"/>
      <c r="AT155" s="560"/>
      <c r="AU155" s="560"/>
      <c r="AV155" s="560"/>
      <c r="AW155" s="581"/>
      <c r="AX155" s="562"/>
      <c r="AY155" s="564"/>
      <c r="AZ155" s="21"/>
      <c r="BA155" s="591"/>
      <c r="BB155" s="577"/>
      <c r="BC155" s="558"/>
      <c r="BD155" s="558"/>
      <c r="BE155" s="560"/>
      <c r="BF155" s="560"/>
      <c r="BG155" s="560"/>
      <c r="BH155" s="581"/>
      <c r="BI155" s="562"/>
      <c r="BJ155" s="564"/>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row>
    <row r="156" spans="2:94" ht="20" customHeight="1" x14ac:dyDescent="0.2">
      <c r="F156" s="20"/>
      <c r="G156" s="20"/>
      <c r="I156" s="20"/>
      <c r="J156" s="20"/>
      <c r="K156" s="20"/>
      <c r="L156" s="591"/>
      <c r="M156" s="577"/>
      <c r="N156" s="558"/>
      <c r="O156" s="558"/>
      <c r="P156" s="560"/>
      <c r="Q156" s="560"/>
      <c r="R156" s="560"/>
      <c r="S156" s="581"/>
      <c r="T156" s="562"/>
      <c r="U156" s="564"/>
      <c r="V156" s="575"/>
      <c r="W156" s="577"/>
      <c r="X156" s="558"/>
      <c r="Y156" s="558"/>
      <c r="Z156" s="560"/>
      <c r="AA156" s="560"/>
      <c r="AB156" s="560"/>
      <c r="AC156" s="581"/>
      <c r="AD156" s="562"/>
      <c r="AE156" s="564"/>
      <c r="AF156" s="575"/>
      <c r="AG156" s="577"/>
      <c r="AH156" s="558"/>
      <c r="AI156" s="558"/>
      <c r="AJ156" s="560"/>
      <c r="AK156" s="560"/>
      <c r="AL156" s="560"/>
      <c r="AM156" s="581"/>
      <c r="AN156" s="562"/>
      <c r="AO156" s="564"/>
      <c r="AP156" s="575"/>
      <c r="AQ156" s="577"/>
      <c r="AR156" s="558"/>
      <c r="AS156" s="558"/>
      <c r="AT156" s="560"/>
      <c r="AU156" s="560"/>
      <c r="AV156" s="560"/>
      <c r="AW156" s="581"/>
      <c r="AX156" s="562"/>
      <c r="AY156" s="564"/>
      <c r="AZ156" s="21"/>
      <c r="BA156" s="591"/>
      <c r="BB156" s="577"/>
      <c r="BC156" s="558"/>
      <c r="BD156" s="558"/>
      <c r="BE156" s="560"/>
      <c r="BF156" s="560"/>
      <c r="BG156" s="560"/>
      <c r="BH156" s="581"/>
      <c r="BI156" s="562"/>
      <c r="BJ156" s="564"/>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row>
    <row r="157" spans="2:94" ht="20" customHeight="1" x14ac:dyDescent="0.2">
      <c r="F157" s="20"/>
      <c r="G157" s="20"/>
      <c r="I157" s="20"/>
      <c r="J157" s="20"/>
      <c r="K157" s="20"/>
      <c r="L157" s="592"/>
      <c r="M157" s="578"/>
      <c r="N157" s="559"/>
      <c r="O157" s="559"/>
      <c r="P157" s="561"/>
      <c r="Q157" s="561"/>
      <c r="R157" s="561"/>
      <c r="S157" s="582"/>
      <c r="T157" s="563"/>
      <c r="U157" s="565"/>
      <c r="V157" s="576"/>
      <c r="W157" s="578"/>
      <c r="X157" s="559"/>
      <c r="Y157" s="559"/>
      <c r="Z157" s="561"/>
      <c r="AA157" s="561"/>
      <c r="AB157" s="561"/>
      <c r="AC157" s="582"/>
      <c r="AD157" s="572"/>
      <c r="AE157" s="573"/>
      <c r="AF157" s="576"/>
      <c r="AG157" s="578"/>
      <c r="AH157" s="559"/>
      <c r="AI157" s="559"/>
      <c r="AJ157" s="561"/>
      <c r="AK157" s="561"/>
      <c r="AL157" s="561"/>
      <c r="AM157" s="582"/>
      <c r="AN157" s="572"/>
      <c r="AO157" s="573"/>
      <c r="AP157" s="576"/>
      <c r="AQ157" s="578"/>
      <c r="AR157" s="559"/>
      <c r="AS157" s="559"/>
      <c r="AT157" s="561"/>
      <c r="AU157" s="561"/>
      <c r="AV157" s="561"/>
      <c r="AW157" s="582"/>
      <c r="AX157" s="572"/>
      <c r="AY157" s="573"/>
      <c r="AZ157" s="21"/>
      <c r="BA157" s="592"/>
      <c r="BB157" s="578"/>
      <c r="BC157" s="559"/>
      <c r="BD157" s="559"/>
      <c r="BE157" s="561"/>
      <c r="BF157" s="561"/>
      <c r="BG157" s="561"/>
      <c r="BH157" s="582"/>
      <c r="BI157" s="572"/>
      <c r="BJ157" s="573"/>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row>
    <row r="158" spans="2:94" ht="20" customHeight="1" thickBot="1" x14ac:dyDescent="0.25">
      <c r="F158" s="20"/>
      <c r="G158" s="20"/>
      <c r="I158" s="20"/>
      <c r="J158" s="20"/>
      <c r="K158" s="20"/>
      <c r="L158" s="636" t="s">
        <v>428</v>
      </c>
      <c r="M158" s="580"/>
      <c r="N158" s="580"/>
      <c r="O158" s="580"/>
      <c r="P158" s="583" t="s">
        <v>429</v>
      </c>
      <c r="Q158" s="583"/>
      <c r="R158" s="583"/>
      <c r="S158" s="584"/>
      <c r="T158" s="635" t="s">
        <v>487</v>
      </c>
      <c r="U158" s="586"/>
      <c r="V158" s="579" t="s">
        <v>428</v>
      </c>
      <c r="W158" s="580"/>
      <c r="X158" s="580"/>
      <c r="Y158" s="580"/>
      <c r="Z158" s="583" t="s">
        <v>429</v>
      </c>
      <c r="AA158" s="583"/>
      <c r="AB158" s="583"/>
      <c r="AC158" s="584"/>
      <c r="AD158" s="585" t="s">
        <v>487</v>
      </c>
      <c r="AE158" s="586"/>
      <c r="AF158" s="579" t="s">
        <v>428</v>
      </c>
      <c r="AG158" s="580"/>
      <c r="AH158" s="580"/>
      <c r="AI158" s="580"/>
      <c r="AJ158" s="583" t="s">
        <v>429</v>
      </c>
      <c r="AK158" s="583"/>
      <c r="AL158" s="583"/>
      <c r="AM158" s="584"/>
      <c r="AN158" s="585" t="s">
        <v>487</v>
      </c>
      <c r="AO158" s="612"/>
      <c r="AP158" s="579" t="s">
        <v>428</v>
      </c>
      <c r="AQ158" s="580"/>
      <c r="AR158" s="580"/>
      <c r="AS158" s="580"/>
      <c r="AT158" s="583" t="s">
        <v>429</v>
      </c>
      <c r="AU158" s="583"/>
      <c r="AV158" s="583"/>
      <c r="AW158" s="584"/>
      <c r="AX158" s="585" t="s">
        <v>487</v>
      </c>
      <c r="AY158" s="586"/>
      <c r="AZ158" s="21"/>
      <c r="BA158" s="636" t="s">
        <v>428</v>
      </c>
      <c r="BB158" s="580"/>
      <c r="BC158" s="580"/>
      <c r="BD158" s="580"/>
      <c r="BE158" s="583" t="s">
        <v>429</v>
      </c>
      <c r="BF158" s="583"/>
      <c r="BG158" s="583"/>
      <c r="BH158" s="584"/>
      <c r="BI158" s="585" t="s">
        <v>487</v>
      </c>
      <c r="BJ158" s="586"/>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row>
    <row r="159" spans="2:94" ht="20" customHeight="1" x14ac:dyDescent="0.2">
      <c r="F159" s="20"/>
      <c r="G159" s="20"/>
      <c r="I159" s="20"/>
      <c r="J159" s="20"/>
      <c r="K159" s="20"/>
      <c r="L159" s="593" t="s">
        <v>431</v>
      </c>
      <c r="M159" s="588"/>
      <c r="N159" s="588"/>
      <c r="O159" s="588"/>
      <c r="P159" s="588"/>
      <c r="Q159" s="588"/>
      <c r="R159" s="588"/>
      <c r="S159" s="588"/>
      <c r="T159" s="588"/>
      <c r="U159" s="633"/>
      <c r="V159" s="634" t="s">
        <v>432</v>
      </c>
      <c r="W159" s="634"/>
      <c r="X159" s="634"/>
      <c r="Y159" s="634"/>
      <c r="Z159" s="634"/>
      <c r="AA159" s="634"/>
      <c r="AB159" s="634"/>
      <c r="AC159" s="634"/>
      <c r="AD159" s="634"/>
      <c r="AE159" s="634"/>
      <c r="AF159" s="587" t="s">
        <v>480</v>
      </c>
      <c r="AG159" s="588"/>
      <c r="AH159" s="588"/>
      <c r="AI159" s="588"/>
      <c r="AJ159" s="588"/>
      <c r="AK159" s="588"/>
      <c r="AL159" s="588"/>
      <c r="AM159" s="588"/>
      <c r="AN159" s="588"/>
      <c r="AO159" s="589"/>
      <c r="AP159" s="587" t="s">
        <v>492</v>
      </c>
      <c r="AQ159" s="588"/>
      <c r="AR159" s="588"/>
      <c r="AS159" s="588"/>
      <c r="AT159" s="588"/>
      <c r="AU159" s="588"/>
      <c r="AV159" s="588"/>
      <c r="AW159" s="588"/>
      <c r="AX159" s="588"/>
      <c r="AY159" s="589"/>
      <c r="AZ159" s="21"/>
      <c r="BA159" s="593" t="s">
        <v>510</v>
      </c>
      <c r="BB159" s="588"/>
      <c r="BC159" s="588"/>
      <c r="BD159" s="588"/>
      <c r="BE159" s="588"/>
      <c r="BF159" s="588"/>
      <c r="BG159" s="588"/>
      <c r="BH159" s="588"/>
      <c r="BI159" s="588"/>
      <c r="BJ159" s="589"/>
      <c r="BK159" s="21"/>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row>
    <row r="160" spans="2:94" ht="20" customHeight="1" x14ac:dyDescent="0.2">
      <c r="F160" s="20"/>
      <c r="G160" s="20"/>
      <c r="I160" s="20"/>
      <c r="J160" s="20"/>
      <c r="K160" s="20"/>
      <c r="L160" s="566" t="s">
        <v>441</v>
      </c>
      <c r="M160" s="567"/>
      <c r="N160" s="567"/>
      <c r="O160" s="567"/>
      <c r="P160" s="567"/>
      <c r="Q160" s="567"/>
      <c r="R160" s="567"/>
      <c r="S160" s="567"/>
      <c r="T160" s="567"/>
      <c r="U160" s="567"/>
      <c r="V160" s="567"/>
      <c r="W160" s="567"/>
      <c r="X160" s="567"/>
      <c r="Y160" s="567"/>
      <c r="Z160" s="567"/>
      <c r="AA160" s="567"/>
      <c r="AB160" s="567"/>
      <c r="AC160" s="567"/>
      <c r="AD160" s="567"/>
      <c r="AE160" s="567"/>
      <c r="AF160" s="567"/>
      <c r="AG160" s="567"/>
      <c r="AH160" s="567"/>
      <c r="AI160" s="567"/>
      <c r="AJ160" s="567"/>
      <c r="AK160" s="567"/>
      <c r="AL160" s="567"/>
      <c r="AM160" s="567"/>
      <c r="AN160" s="567"/>
      <c r="AO160" s="567"/>
      <c r="AP160" s="567"/>
      <c r="AQ160" s="567"/>
      <c r="AR160" s="567"/>
      <c r="AS160" s="567"/>
      <c r="AT160" s="567"/>
      <c r="AU160" s="567"/>
      <c r="AV160" s="567"/>
      <c r="AW160" s="567"/>
      <c r="AX160" s="567"/>
      <c r="AY160" s="568"/>
      <c r="AZ160" s="21"/>
      <c r="BA160" s="566"/>
      <c r="BB160" s="567"/>
      <c r="BC160" s="567"/>
      <c r="BD160" s="567"/>
      <c r="BE160" s="567"/>
      <c r="BF160" s="567"/>
      <c r="BG160" s="567"/>
      <c r="BH160" s="567"/>
      <c r="BI160" s="567"/>
      <c r="BJ160" s="568"/>
      <c r="BK160" s="21"/>
      <c r="BL160" s="21"/>
      <c r="BM160" s="21"/>
      <c r="BN160" s="21"/>
      <c r="BO160" s="21"/>
      <c r="BP160" s="21"/>
      <c r="BQ160" s="21"/>
      <c r="BR160" s="21"/>
      <c r="BS160" s="21"/>
      <c r="BT160" s="21"/>
      <c r="BU160" s="21"/>
      <c r="BV160" s="21"/>
      <c r="BW160" s="21"/>
      <c r="BX160" s="21"/>
      <c r="BY160" s="21"/>
      <c r="BZ160" s="21"/>
      <c r="CA160" s="21"/>
      <c r="CB160" s="21"/>
      <c r="CC160" s="21"/>
      <c r="CD160" s="21"/>
      <c r="CE160" s="21"/>
      <c r="CF160" s="21"/>
      <c r="CG160" s="21"/>
      <c r="CH160" s="21"/>
      <c r="CI160" s="21"/>
      <c r="CJ160" s="21"/>
      <c r="CK160" s="21"/>
      <c r="CL160" s="21"/>
      <c r="CM160" s="21"/>
      <c r="CN160" s="21"/>
      <c r="CO160" s="21"/>
      <c r="CP160" s="21"/>
    </row>
    <row r="161" spans="1:94" ht="20" customHeight="1" thickBot="1" x14ac:dyDescent="0.25">
      <c r="F161" s="20"/>
      <c r="G161" s="20"/>
      <c r="I161" s="20"/>
      <c r="J161" s="20"/>
      <c r="K161" s="20"/>
      <c r="L161" s="569" t="s">
        <v>424</v>
      </c>
      <c r="M161" s="570"/>
      <c r="N161" s="570"/>
      <c r="O161" s="570"/>
      <c r="P161" s="570"/>
      <c r="Q161" s="570"/>
      <c r="R161" s="570"/>
      <c r="S161" s="570"/>
      <c r="T161" s="570"/>
      <c r="U161" s="570"/>
      <c r="V161" s="570"/>
      <c r="W161" s="570"/>
      <c r="X161" s="570"/>
      <c r="Y161" s="570"/>
      <c r="Z161" s="570"/>
      <c r="AA161" s="570"/>
      <c r="AB161" s="570"/>
      <c r="AC161" s="570"/>
      <c r="AD161" s="570"/>
      <c r="AE161" s="570"/>
      <c r="AF161" s="570"/>
      <c r="AG161" s="570"/>
      <c r="AH161" s="570"/>
      <c r="AI161" s="570"/>
      <c r="AJ161" s="570"/>
      <c r="AK161" s="570"/>
      <c r="AL161" s="570"/>
      <c r="AM161" s="570"/>
      <c r="AN161" s="570"/>
      <c r="AO161" s="570"/>
      <c r="AP161" s="570"/>
      <c r="AQ161" s="570"/>
      <c r="AR161" s="570"/>
      <c r="AS161" s="570"/>
      <c r="AT161" s="570"/>
      <c r="AU161" s="570"/>
      <c r="AV161" s="570"/>
      <c r="AW161" s="570"/>
      <c r="AX161" s="570"/>
      <c r="AY161" s="571"/>
      <c r="AZ161" s="21"/>
      <c r="BA161" s="569"/>
      <c r="BB161" s="570"/>
      <c r="BC161" s="570"/>
      <c r="BD161" s="570"/>
      <c r="BE161" s="570"/>
      <c r="BF161" s="570"/>
      <c r="BG161" s="570"/>
      <c r="BH161" s="570"/>
      <c r="BI161" s="570"/>
      <c r="BJ161" s="571"/>
      <c r="BL161" s="21"/>
      <c r="BM161" s="21"/>
      <c r="BN161" s="21"/>
      <c r="BO161" s="21"/>
      <c r="BP161" s="21"/>
      <c r="BQ161" s="21"/>
      <c r="BR161" s="21"/>
      <c r="BS161" s="21"/>
      <c r="BT161" s="21"/>
      <c r="BU161" s="21"/>
      <c r="BV161" s="21"/>
      <c r="BW161" s="21"/>
      <c r="BX161" s="21"/>
      <c r="BY161" s="21"/>
      <c r="BZ161" s="21"/>
      <c r="CA161" s="21"/>
      <c r="CB161" s="21"/>
      <c r="CC161" s="21"/>
      <c r="CD161" s="21"/>
      <c r="CE161" s="21"/>
      <c r="CF161" s="21"/>
      <c r="CG161" s="21"/>
      <c r="CH161" s="21"/>
      <c r="CI161" s="21"/>
      <c r="CJ161" s="21"/>
      <c r="CK161" s="21"/>
      <c r="CL161" s="21"/>
      <c r="CM161" s="21"/>
      <c r="CN161" s="21"/>
      <c r="CO161" s="21"/>
      <c r="CP161" s="21"/>
    </row>
    <row r="162" spans="1:94" ht="20" customHeight="1" x14ac:dyDescent="0.2">
      <c r="I162" s="20"/>
      <c r="J162" s="20"/>
      <c r="K162" s="20"/>
      <c r="L162" s="111" t="s">
        <v>554</v>
      </c>
    </row>
    <row r="163" spans="1:94" ht="20" customHeight="1" x14ac:dyDescent="0.2"/>
    <row r="164" spans="1:94" ht="20" customHeight="1" thickBot="1" x14ac:dyDescent="0.25"/>
    <row r="165" spans="1:94" ht="20" customHeight="1" x14ac:dyDescent="0.2">
      <c r="F165" s="22"/>
      <c r="L165" s="513" t="s">
        <v>424</v>
      </c>
      <c r="M165" s="514"/>
      <c r="N165" s="514"/>
      <c r="O165" s="514"/>
      <c r="P165" s="514"/>
      <c r="Q165" s="514"/>
      <c r="R165" s="514"/>
      <c r="S165" s="514"/>
      <c r="T165" s="514"/>
      <c r="U165" s="514"/>
      <c r="V165" s="514"/>
      <c r="W165" s="514"/>
      <c r="X165" s="514"/>
      <c r="Y165" s="514"/>
      <c r="Z165" s="514"/>
      <c r="AA165" s="514"/>
      <c r="AB165" s="514"/>
      <c r="AC165" s="514"/>
      <c r="AD165" s="514"/>
      <c r="AE165" s="514"/>
      <c r="AF165" s="514"/>
      <c r="AG165" s="514"/>
      <c r="AH165" s="514"/>
      <c r="AI165" s="514"/>
      <c r="AJ165" s="514"/>
      <c r="AK165" s="514"/>
      <c r="AL165" s="514"/>
      <c r="AM165" s="514"/>
      <c r="AN165" s="514"/>
      <c r="AO165" s="514"/>
      <c r="AP165" s="514"/>
      <c r="AQ165" s="514"/>
      <c r="AR165" s="514"/>
      <c r="AS165" s="514"/>
      <c r="AT165" s="514"/>
      <c r="AU165" s="514"/>
      <c r="AV165" s="514"/>
      <c r="AW165" s="514"/>
      <c r="AX165" s="514"/>
      <c r="AY165" s="515"/>
      <c r="AZ165" s="21"/>
      <c r="CF165" s="21"/>
      <c r="CG165" s="21"/>
      <c r="CH165" s="21"/>
      <c r="CI165" s="21"/>
      <c r="CJ165" s="21"/>
      <c r="CK165" s="21"/>
      <c r="CL165" s="21"/>
      <c r="CM165" s="21"/>
      <c r="CN165" s="21"/>
      <c r="CO165" s="21"/>
      <c r="CP165" s="21"/>
    </row>
    <row r="166" spans="1:94" ht="20" customHeight="1" thickBot="1" x14ac:dyDescent="0.25">
      <c r="E166" s="22"/>
      <c r="F166" s="22"/>
      <c r="L166" s="516" t="s">
        <v>566</v>
      </c>
      <c r="M166" s="517"/>
      <c r="N166" s="517"/>
      <c r="O166" s="517"/>
      <c r="P166" s="517"/>
      <c r="Q166" s="517"/>
      <c r="R166" s="517"/>
      <c r="S166" s="517"/>
      <c r="T166" s="517"/>
      <c r="U166" s="517"/>
      <c r="V166" s="517"/>
      <c r="W166" s="517"/>
      <c r="X166" s="517"/>
      <c r="Y166" s="517"/>
      <c r="Z166" s="517"/>
      <c r="AA166" s="517"/>
      <c r="AB166" s="517"/>
      <c r="AC166" s="517"/>
      <c r="AD166" s="517"/>
      <c r="AE166" s="517"/>
      <c r="AF166" s="517"/>
      <c r="AG166" s="517"/>
      <c r="AH166" s="517"/>
      <c r="AI166" s="517"/>
      <c r="AJ166" s="517"/>
      <c r="AK166" s="517"/>
      <c r="AL166" s="517"/>
      <c r="AM166" s="517"/>
      <c r="AN166" s="517"/>
      <c r="AO166" s="517"/>
      <c r="AP166" s="517"/>
      <c r="AQ166" s="517"/>
      <c r="AR166" s="517"/>
      <c r="AS166" s="517"/>
      <c r="AT166" s="517"/>
      <c r="AU166" s="517"/>
      <c r="AV166" s="517"/>
      <c r="AW166" s="517"/>
      <c r="AX166" s="517"/>
      <c r="AY166" s="518"/>
      <c r="AZ166" s="21"/>
      <c r="CF166" s="21"/>
      <c r="CG166" s="21"/>
      <c r="CH166" s="21"/>
      <c r="CI166" s="21"/>
      <c r="CJ166" s="21"/>
      <c r="CK166" s="21"/>
      <c r="CL166" s="21"/>
      <c r="CM166" s="21"/>
      <c r="CN166" s="21"/>
      <c r="CO166" s="21"/>
      <c r="CP166" s="21"/>
    </row>
    <row r="167" spans="1:94" ht="20" customHeight="1" thickBot="1" x14ac:dyDescent="0.25">
      <c r="C167" s="60"/>
      <c r="E167" s="374" t="s">
        <v>565</v>
      </c>
      <c r="F167" s="22"/>
      <c r="L167" s="511" t="s">
        <v>431</v>
      </c>
      <c r="M167" s="512"/>
      <c r="N167" s="512"/>
      <c r="O167" s="512"/>
      <c r="P167" s="512"/>
      <c r="Q167" s="512"/>
      <c r="R167" s="512"/>
      <c r="S167" s="512"/>
      <c r="T167" s="512"/>
      <c r="U167" s="512"/>
      <c r="V167" s="512" t="s">
        <v>432</v>
      </c>
      <c r="W167" s="512"/>
      <c r="X167" s="512"/>
      <c r="Y167" s="512"/>
      <c r="Z167" s="512"/>
      <c r="AA167" s="512"/>
      <c r="AB167" s="512"/>
      <c r="AC167" s="512"/>
      <c r="AD167" s="512"/>
      <c r="AE167" s="512"/>
      <c r="AF167" s="512" t="s">
        <v>480</v>
      </c>
      <c r="AG167" s="512"/>
      <c r="AH167" s="512"/>
      <c r="AI167" s="512"/>
      <c r="AJ167" s="512"/>
      <c r="AK167" s="512"/>
      <c r="AL167" s="512"/>
      <c r="AM167" s="512"/>
      <c r="AN167" s="512"/>
      <c r="AO167" s="614"/>
      <c r="AP167" s="512" t="s">
        <v>492</v>
      </c>
      <c r="AQ167" s="512"/>
      <c r="AR167" s="512"/>
      <c r="AS167" s="512"/>
      <c r="AT167" s="512"/>
      <c r="AU167" s="512"/>
      <c r="AV167" s="512"/>
      <c r="AW167" s="512"/>
      <c r="AX167" s="512"/>
      <c r="AY167" s="614"/>
      <c r="AZ167" s="21"/>
      <c r="CF167" s="21"/>
      <c r="CG167" s="21"/>
      <c r="CH167" s="21"/>
      <c r="CI167" s="21"/>
      <c r="CJ167" s="21"/>
      <c r="CK167" s="21"/>
      <c r="CL167" s="21"/>
      <c r="CM167" s="21"/>
      <c r="CN167" s="21"/>
      <c r="CO167" s="21"/>
      <c r="CP167" s="21"/>
    </row>
    <row r="168" spans="1:94" ht="20" customHeight="1" thickBot="1" x14ac:dyDescent="0.25">
      <c r="B168" s="87"/>
      <c r="C168" s="88"/>
      <c r="E168" s="392"/>
      <c r="F168" s="22"/>
      <c r="H168" s="48"/>
      <c r="I168" s="48"/>
      <c r="J168" s="48"/>
      <c r="K168" s="48"/>
      <c r="L168" s="545" t="s">
        <v>428</v>
      </c>
      <c r="M168" s="534"/>
      <c r="N168" s="534"/>
      <c r="O168" s="534"/>
      <c r="P168" s="535" t="s">
        <v>429</v>
      </c>
      <c r="Q168" s="535"/>
      <c r="R168" s="535"/>
      <c r="S168" s="536"/>
      <c r="T168" s="546" t="s">
        <v>487</v>
      </c>
      <c r="U168" s="547"/>
      <c r="V168" s="533" t="s">
        <v>428</v>
      </c>
      <c r="W168" s="534"/>
      <c r="X168" s="534"/>
      <c r="Y168" s="534"/>
      <c r="Z168" s="535" t="s">
        <v>429</v>
      </c>
      <c r="AA168" s="535"/>
      <c r="AB168" s="535"/>
      <c r="AC168" s="536"/>
      <c r="AD168" s="546" t="s">
        <v>487</v>
      </c>
      <c r="AE168" s="547"/>
      <c r="AF168" s="533" t="s">
        <v>428</v>
      </c>
      <c r="AG168" s="534"/>
      <c r="AH168" s="534"/>
      <c r="AI168" s="534"/>
      <c r="AJ168" s="535" t="s">
        <v>429</v>
      </c>
      <c r="AK168" s="535"/>
      <c r="AL168" s="535"/>
      <c r="AM168" s="536"/>
      <c r="AN168" s="546" t="s">
        <v>487</v>
      </c>
      <c r="AO168" s="547"/>
      <c r="AP168" s="533" t="s">
        <v>428</v>
      </c>
      <c r="AQ168" s="534"/>
      <c r="AR168" s="534"/>
      <c r="AS168" s="534"/>
      <c r="AT168" s="535" t="s">
        <v>429</v>
      </c>
      <c r="AU168" s="535"/>
      <c r="AV168" s="535"/>
      <c r="AW168" s="536"/>
      <c r="AX168" s="546" t="s">
        <v>487</v>
      </c>
      <c r="AY168" s="547"/>
      <c r="AZ168" s="47"/>
      <c r="CF168" s="21"/>
      <c r="CG168" s="21"/>
      <c r="CH168" s="21"/>
      <c r="CI168" s="21"/>
      <c r="CJ168" s="21"/>
      <c r="CK168" s="21"/>
      <c r="CL168" s="21"/>
      <c r="CM168" s="21"/>
      <c r="CN168" s="21"/>
      <c r="CO168" s="21"/>
      <c r="CP168" s="21"/>
    </row>
    <row r="169" spans="1:94" ht="20" customHeight="1" x14ac:dyDescent="0.2">
      <c r="A169" s="702"/>
      <c r="B169" s="89"/>
      <c r="C169" s="90"/>
      <c r="E169" s="22"/>
      <c r="F169" s="22"/>
      <c r="H169" s="370" t="s">
        <v>24</v>
      </c>
      <c r="I169" s="306" t="s">
        <v>322</v>
      </c>
      <c r="J169" s="376" t="s">
        <v>320</v>
      </c>
      <c r="K169" s="458" t="s">
        <v>321</v>
      </c>
      <c r="L169" s="548" t="s">
        <v>494</v>
      </c>
      <c r="M169" s="551" t="s">
        <v>495</v>
      </c>
      <c r="N169" s="537" t="s">
        <v>481</v>
      </c>
      <c r="O169" s="537" t="s">
        <v>482</v>
      </c>
      <c r="P169" s="539" t="s">
        <v>494</v>
      </c>
      <c r="Q169" s="539" t="s">
        <v>495</v>
      </c>
      <c r="R169" s="539" t="s">
        <v>481</v>
      </c>
      <c r="S169" s="553" t="s">
        <v>482</v>
      </c>
      <c r="T169" s="541" t="s">
        <v>484</v>
      </c>
      <c r="U169" s="543" t="s">
        <v>238</v>
      </c>
      <c r="V169" s="555" t="s">
        <v>494</v>
      </c>
      <c r="W169" s="551" t="s">
        <v>495</v>
      </c>
      <c r="X169" s="537" t="s">
        <v>481</v>
      </c>
      <c r="Y169" s="537" t="s">
        <v>482</v>
      </c>
      <c r="Z169" s="539" t="s">
        <v>494</v>
      </c>
      <c r="AA169" s="539" t="s">
        <v>495</v>
      </c>
      <c r="AB169" s="539" t="s">
        <v>481</v>
      </c>
      <c r="AC169" s="553" t="s">
        <v>482</v>
      </c>
      <c r="AD169" s="541" t="s">
        <v>484</v>
      </c>
      <c r="AE169" s="543" t="s">
        <v>238</v>
      </c>
      <c r="AF169" s="555" t="s">
        <v>439</v>
      </c>
      <c r="AG169" s="551" t="s">
        <v>426</v>
      </c>
      <c r="AH169" s="537" t="s">
        <v>427</v>
      </c>
      <c r="AI169" s="537" t="s">
        <v>482</v>
      </c>
      <c r="AJ169" s="539" t="s">
        <v>439</v>
      </c>
      <c r="AK169" s="539" t="s">
        <v>426</v>
      </c>
      <c r="AL169" s="539" t="s">
        <v>427</v>
      </c>
      <c r="AM169" s="553" t="s">
        <v>482</v>
      </c>
      <c r="AN169" s="541" t="s">
        <v>237</v>
      </c>
      <c r="AO169" s="543" t="s">
        <v>238</v>
      </c>
      <c r="AP169" s="555" t="s">
        <v>494</v>
      </c>
      <c r="AQ169" s="551" t="s">
        <v>495</v>
      </c>
      <c r="AR169" s="537" t="s">
        <v>481</v>
      </c>
      <c r="AS169" s="537" t="s">
        <v>482</v>
      </c>
      <c r="AT169" s="539" t="s">
        <v>494</v>
      </c>
      <c r="AU169" s="539" t="s">
        <v>495</v>
      </c>
      <c r="AV169" s="539" t="s">
        <v>481</v>
      </c>
      <c r="AW169" s="553" t="s">
        <v>482</v>
      </c>
      <c r="AX169" s="541" t="s">
        <v>484</v>
      </c>
      <c r="AY169" s="543" t="s">
        <v>238</v>
      </c>
      <c r="AZ169" s="47"/>
      <c r="CF169" s="21"/>
      <c r="CG169" s="21"/>
      <c r="CH169" s="21"/>
      <c r="CI169" s="21"/>
      <c r="CJ169" s="21"/>
      <c r="CK169" s="21"/>
      <c r="CL169" s="21"/>
      <c r="CM169" s="21"/>
      <c r="CN169" s="21"/>
      <c r="CO169" s="21"/>
      <c r="CP169" s="21"/>
    </row>
    <row r="170" spans="1:94" ht="20" customHeight="1" x14ac:dyDescent="0.2">
      <c r="A170" s="370" t="s">
        <v>597</v>
      </c>
      <c r="B170" s="370" t="s">
        <v>245</v>
      </c>
      <c r="C170" s="371" t="s">
        <v>479</v>
      </c>
      <c r="D170" s="48"/>
      <c r="E170" s="47"/>
      <c r="F170" s="47"/>
      <c r="H170" s="370"/>
      <c r="I170" s="293"/>
      <c r="J170" s="294"/>
      <c r="K170" s="459"/>
      <c r="L170" s="549"/>
      <c r="M170" s="551"/>
      <c r="N170" s="537"/>
      <c r="O170" s="537"/>
      <c r="P170" s="539"/>
      <c r="Q170" s="539"/>
      <c r="R170" s="539"/>
      <c r="S170" s="553"/>
      <c r="T170" s="541"/>
      <c r="U170" s="543"/>
      <c r="V170" s="556"/>
      <c r="W170" s="551"/>
      <c r="X170" s="537"/>
      <c r="Y170" s="537"/>
      <c r="Z170" s="539"/>
      <c r="AA170" s="539"/>
      <c r="AB170" s="539"/>
      <c r="AC170" s="553"/>
      <c r="AD170" s="541"/>
      <c r="AE170" s="543"/>
      <c r="AF170" s="556"/>
      <c r="AG170" s="551"/>
      <c r="AH170" s="537"/>
      <c r="AI170" s="537"/>
      <c r="AJ170" s="539"/>
      <c r="AK170" s="539"/>
      <c r="AL170" s="539"/>
      <c r="AM170" s="553"/>
      <c r="AN170" s="541"/>
      <c r="AO170" s="543"/>
      <c r="AP170" s="556"/>
      <c r="AQ170" s="551"/>
      <c r="AR170" s="537"/>
      <c r="AS170" s="537"/>
      <c r="AT170" s="539"/>
      <c r="AU170" s="539"/>
      <c r="AV170" s="539"/>
      <c r="AW170" s="553"/>
      <c r="AX170" s="541"/>
      <c r="AY170" s="543"/>
      <c r="AZ170" s="47"/>
      <c r="CF170" s="21"/>
      <c r="CG170" s="21"/>
      <c r="CH170" s="21"/>
      <c r="CI170" s="21"/>
      <c r="CJ170" s="21"/>
      <c r="CK170" s="21"/>
      <c r="CL170" s="21"/>
      <c r="CM170" s="21"/>
      <c r="CN170" s="21"/>
      <c r="CO170" s="21"/>
      <c r="CP170" s="21"/>
    </row>
    <row r="171" spans="1:94" ht="20" customHeight="1" x14ac:dyDescent="0.2">
      <c r="A171" s="370"/>
      <c r="B171" s="370"/>
      <c r="C171" s="371"/>
      <c r="D171" s="48"/>
      <c r="E171" s="47"/>
      <c r="F171" s="47"/>
      <c r="H171" s="370"/>
      <c r="I171" s="293"/>
      <c r="J171" s="294"/>
      <c r="K171" s="459"/>
      <c r="L171" s="549"/>
      <c r="M171" s="551"/>
      <c r="N171" s="537"/>
      <c r="O171" s="537"/>
      <c r="P171" s="539"/>
      <c r="Q171" s="539"/>
      <c r="R171" s="539"/>
      <c r="S171" s="553"/>
      <c r="T171" s="541"/>
      <c r="U171" s="543"/>
      <c r="V171" s="556"/>
      <c r="W171" s="551"/>
      <c r="X171" s="537"/>
      <c r="Y171" s="537"/>
      <c r="Z171" s="539"/>
      <c r="AA171" s="539"/>
      <c r="AB171" s="539"/>
      <c r="AC171" s="553"/>
      <c r="AD171" s="541"/>
      <c r="AE171" s="543"/>
      <c r="AF171" s="556"/>
      <c r="AG171" s="551"/>
      <c r="AH171" s="537"/>
      <c r="AI171" s="537"/>
      <c r="AJ171" s="539"/>
      <c r="AK171" s="539"/>
      <c r="AL171" s="539"/>
      <c r="AM171" s="553"/>
      <c r="AN171" s="541"/>
      <c r="AO171" s="543"/>
      <c r="AP171" s="556"/>
      <c r="AQ171" s="551"/>
      <c r="AR171" s="537"/>
      <c r="AS171" s="537"/>
      <c r="AT171" s="539"/>
      <c r="AU171" s="539"/>
      <c r="AV171" s="539"/>
      <c r="AW171" s="553"/>
      <c r="AX171" s="541"/>
      <c r="AY171" s="543"/>
      <c r="AZ171" s="47"/>
      <c r="CF171" s="21"/>
      <c r="CG171" s="21"/>
      <c r="CH171" s="21"/>
      <c r="CI171" s="21"/>
      <c r="CJ171" s="21"/>
      <c r="CK171" s="21"/>
      <c r="CL171" s="21"/>
      <c r="CM171" s="21"/>
      <c r="CN171" s="21"/>
      <c r="CO171" s="21"/>
      <c r="CP171" s="21"/>
    </row>
    <row r="172" spans="1:94" ht="20" customHeight="1" x14ac:dyDescent="0.2">
      <c r="A172" s="370"/>
      <c r="B172" s="370"/>
      <c r="C172" s="371"/>
      <c r="D172" s="48"/>
      <c r="E172" s="47"/>
      <c r="F172" s="47"/>
      <c r="G172" s="48"/>
      <c r="H172" s="370"/>
      <c r="I172" s="293"/>
      <c r="J172" s="294"/>
      <c r="K172" s="459"/>
      <c r="L172" s="549"/>
      <c r="M172" s="551"/>
      <c r="N172" s="537"/>
      <c r="O172" s="537"/>
      <c r="P172" s="539"/>
      <c r="Q172" s="539"/>
      <c r="R172" s="539"/>
      <c r="S172" s="553"/>
      <c r="T172" s="541"/>
      <c r="U172" s="543"/>
      <c r="V172" s="556"/>
      <c r="W172" s="551"/>
      <c r="X172" s="537"/>
      <c r="Y172" s="537"/>
      <c r="Z172" s="539"/>
      <c r="AA172" s="539"/>
      <c r="AB172" s="539"/>
      <c r="AC172" s="553"/>
      <c r="AD172" s="541"/>
      <c r="AE172" s="543"/>
      <c r="AF172" s="556"/>
      <c r="AG172" s="551"/>
      <c r="AH172" s="537"/>
      <c r="AI172" s="537"/>
      <c r="AJ172" s="539"/>
      <c r="AK172" s="539"/>
      <c r="AL172" s="539"/>
      <c r="AM172" s="553"/>
      <c r="AN172" s="541"/>
      <c r="AO172" s="543"/>
      <c r="AP172" s="556"/>
      <c r="AQ172" s="551"/>
      <c r="AR172" s="537"/>
      <c r="AS172" s="537"/>
      <c r="AT172" s="539"/>
      <c r="AU172" s="539"/>
      <c r="AV172" s="539"/>
      <c r="AW172" s="553"/>
      <c r="AX172" s="541"/>
      <c r="AY172" s="543"/>
      <c r="AZ172" s="47"/>
      <c r="CF172" s="21"/>
      <c r="CG172" s="21"/>
      <c r="CH172" s="21"/>
      <c r="CI172" s="21"/>
      <c r="CJ172" s="21"/>
      <c r="CK172" s="21"/>
      <c r="CL172" s="21"/>
      <c r="CM172" s="21"/>
      <c r="CN172" s="21"/>
      <c r="CO172" s="21"/>
      <c r="CP172" s="21"/>
    </row>
    <row r="173" spans="1:94" ht="20" customHeight="1" thickBot="1" x14ac:dyDescent="0.25">
      <c r="A173" s="452"/>
      <c r="B173" s="452"/>
      <c r="C173" s="453"/>
      <c r="D173" s="91" t="s">
        <v>20</v>
      </c>
      <c r="E173" s="92" t="s">
        <v>21</v>
      </c>
      <c r="F173" s="92" t="s">
        <v>22</v>
      </c>
      <c r="G173" s="91" t="s">
        <v>23</v>
      </c>
      <c r="H173" s="452"/>
      <c r="I173" s="456"/>
      <c r="J173" s="457"/>
      <c r="K173" s="460"/>
      <c r="L173" s="550"/>
      <c r="M173" s="552"/>
      <c r="N173" s="538"/>
      <c r="O173" s="538"/>
      <c r="P173" s="540"/>
      <c r="Q173" s="540"/>
      <c r="R173" s="540"/>
      <c r="S173" s="554"/>
      <c r="T173" s="542"/>
      <c r="U173" s="544"/>
      <c r="V173" s="557"/>
      <c r="W173" s="552"/>
      <c r="X173" s="538"/>
      <c r="Y173" s="538"/>
      <c r="Z173" s="540"/>
      <c r="AA173" s="540"/>
      <c r="AB173" s="540"/>
      <c r="AC173" s="554"/>
      <c r="AD173" s="542"/>
      <c r="AE173" s="544"/>
      <c r="AF173" s="557"/>
      <c r="AG173" s="552"/>
      <c r="AH173" s="538"/>
      <c r="AI173" s="538"/>
      <c r="AJ173" s="540"/>
      <c r="AK173" s="540"/>
      <c r="AL173" s="540"/>
      <c r="AM173" s="554"/>
      <c r="AN173" s="542"/>
      <c r="AO173" s="544"/>
      <c r="AP173" s="557"/>
      <c r="AQ173" s="552"/>
      <c r="AR173" s="538"/>
      <c r="AS173" s="538"/>
      <c r="AT173" s="540"/>
      <c r="AU173" s="540"/>
      <c r="AV173" s="540"/>
      <c r="AW173" s="554"/>
      <c r="AX173" s="542"/>
      <c r="AY173" s="544"/>
      <c r="AZ173" s="788" t="s">
        <v>25</v>
      </c>
      <c r="CF173" s="21"/>
      <c r="CG173" s="21"/>
      <c r="CH173" s="21"/>
      <c r="CI173" s="21"/>
      <c r="CJ173" s="21"/>
      <c r="CK173" s="21"/>
      <c r="CL173" s="21"/>
      <c r="CM173" s="21"/>
      <c r="CN173" s="21"/>
      <c r="CO173" s="21"/>
      <c r="CP173" s="21"/>
    </row>
    <row r="174" spans="1:94" ht="20" customHeight="1" x14ac:dyDescent="0.2">
      <c r="B174" s="87"/>
      <c r="C174" s="175"/>
      <c r="D174" s="48" t="s">
        <v>85</v>
      </c>
      <c r="E174" s="47" t="s">
        <v>488</v>
      </c>
      <c r="F174" s="47" t="s">
        <v>489</v>
      </c>
      <c r="G174" s="48">
        <v>2012</v>
      </c>
      <c r="H174" s="176"/>
      <c r="I174" s="177"/>
      <c r="J174" s="178" t="s">
        <v>181</v>
      </c>
      <c r="K174" s="179" t="s">
        <v>190</v>
      </c>
      <c r="L174" s="180"/>
      <c r="M174" s="181"/>
      <c r="N174" s="240"/>
      <c r="O174" s="240"/>
      <c r="P174" s="183"/>
      <c r="Q174" s="183"/>
      <c r="R174" s="241"/>
      <c r="S174" s="242"/>
      <c r="T174" s="185"/>
      <c r="U174" s="186"/>
      <c r="V174" s="180"/>
      <c r="W174" s="181"/>
      <c r="X174" s="240"/>
      <c r="Y174" s="240"/>
      <c r="Z174" s="183"/>
      <c r="AA174" s="183"/>
      <c r="AB174" s="241"/>
      <c r="AC174" s="242"/>
      <c r="AD174" s="243"/>
      <c r="AE174" s="186"/>
      <c r="AF174" s="180"/>
      <c r="AG174" s="181"/>
      <c r="AH174" s="244"/>
      <c r="AI174" s="182"/>
      <c r="AJ174" s="183"/>
      <c r="AK174" s="183"/>
      <c r="AL174" s="246"/>
      <c r="AM174" s="184"/>
      <c r="AN174" s="185"/>
      <c r="AO174" s="186"/>
      <c r="AP174" s="180"/>
      <c r="AQ174" s="181"/>
      <c r="AR174" s="244"/>
      <c r="AS174" s="182"/>
      <c r="AT174" s="183"/>
      <c r="AU174" s="183"/>
      <c r="AV174" s="246"/>
      <c r="AW174" s="184"/>
      <c r="AX174" s="185"/>
      <c r="AY174" s="186"/>
      <c r="AZ174" s="174"/>
      <c r="CF174" s="21"/>
      <c r="CG174" s="21"/>
      <c r="CH174" s="21"/>
      <c r="CI174" s="21"/>
      <c r="CJ174" s="21"/>
      <c r="CK174" s="21"/>
      <c r="CL174" s="21"/>
      <c r="CM174" s="21"/>
      <c r="CN174" s="21"/>
      <c r="CO174" s="21"/>
      <c r="CP174" s="21"/>
    </row>
    <row r="175" spans="1:94" ht="20" customHeight="1" x14ac:dyDescent="0.2">
      <c r="B175" s="45"/>
      <c r="C175" s="58"/>
      <c r="D175" s="22" t="s">
        <v>85</v>
      </c>
      <c r="E175" s="21" t="s">
        <v>250</v>
      </c>
      <c r="F175" s="21" t="s">
        <v>251</v>
      </c>
      <c r="G175" s="22">
        <v>2008</v>
      </c>
      <c r="I175" s="65">
        <v>13</v>
      </c>
      <c r="J175" s="61" t="s">
        <v>217</v>
      </c>
      <c r="K175" s="83" t="s">
        <v>330</v>
      </c>
      <c r="L175" s="162"/>
      <c r="M175" s="163"/>
      <c r="N175" s="163"/>
      <c r="O175" s="163"/>
      <c r="P175" s="164"/>
      <c r="Q175" s="164"/>
      <c r="R175" s="164"/>
      <c r="S175" s="170"/>
      <c r="T175" s="172"/>
      <c r="U175" s="165"/>
      <c r="V175" s="162"/>
      <c r="W175" s="163"/>
      <c r="X175" s="163"/>
      <c r="Y175" s="163"/>
      <c r="Z175" s="164"/>
      <c r="AA175" s="164"/>
      <c r="AB175" s="164"/>
      <c r="AC175" s="170"/>
      <c r="AD175" s="172"/>
      <c r="AE175" s="165"/>
      <c r="AF175" s="162"/>
      <c r="AG175" s="163"/>
      <c r="AH175" s="203"/>
      <c r="AI175" s="163"/>
      <c r="AJ175" s="164"/>
      <c r="AK175" s="164"/>
      <c r="AL175" s="204"/>
      <c r="AM175" s="170"/>
      <c r="AN175" s="172"/>
      <c r="AO175" s="165"/>
      <c r="AP175" s="162"/>
      <c r="AQ175" s="163"/>
      <c r="AR175" s="203"/>
      <c r="AS175" s="163"/>
      <c r="AT175" s="164"/>
      <c r="AU175" s="164"/>
      <c r="AV175" s="204"/>
      <c r="AW175" s="170"/>
      <c r="AX175" s="172"/>
      <c r="AY175" s="165"/>
      <c r="AZ175" s="21"/>
      <c r="CF175" s="21"/>
      <c r="CG175" s="21"/>
      <c r="CH175" s="21"/>
      <c r="CI175" s="21"/>
      <c r="CJ175" s="21"/>
      <c r="CK175" s="21"/>
      <c r="CL175" s="21"/>
      <c r="CM175" s="21"/>
      <c r="CN175" s="21"/>
      <c r="CO175" s="21"/>
      <c r="CP175" s="21"/>
    </row>
    <row r="176" spans="1:94" ht="20" customHeight="1" x14ac:dyDescent="0.2">
      <c r="B176" s="46"/>
      <c r="C176" s="58"/>
      <c r="D176" s="22" t="s">
        <v>85</v>
      </c>
      <c r="E176" s="21" t="s">
        <v>36</v>
      </c>
      <c r="F176" s="21" t="s">
        <v>37</v>
      </c>
      <c r="G176" s="22">
        <v>2008</v>
      </c>
      <c r="H176" s="22">
        <v>40</v>
      </c>
      <c r="I176" s="65">
        <v>29</v>
      </c>
      <c r="J176" s="61" t="s">
        <v>175</v>
      </c>
      <c r="K176" s="83" t="s">
        <v>168</v>
      </c>
      <c r="L176" s="162"/>
      <c r="M176" s="163"/>
      <c r="N176" s="163"/>
      <c r="O176" s="163"/>
      <c r="P176" s="164"/>
      <c r="Q176" s="164"/>
      <c r="R176" s="164"/>
      <c r="S176" s="170"/>
      <c r="T176" s="172"/>
      <c r="U176" s="165"/>
      <c r="V176" s="199"/>
      <c r="W176" s="200"/>
      <c r="X176" s="163"/>
      <c r="Y176" s="163"/>
      <c r="Z176" s="201"/>
      <c r="AA176" s="201"/>
      <c r="AB176" s="164"/>
      <c r="AC176" s="170"/>
      <c r="AD176" s="172"/>
      <c r="AE176" s="165"/>
      <c r="AF176" s="202"/>
      <c r="AG176" s="203"/>
      <c r="AH176" s="203"/>
      <c r="AI176" s="203"/>
      <c r="AJ176" s="204"/>
      <c r="AK176" s="204"/>
      <c r="AL176" s="204"/>
      <c r="AM176" s="205"/>
      <c r="AN176" s="206"/>
      <c r="AO176" s="207"/>
      <c r="AP176" s="202"/>
      <c r="AQ176" s="203"/>
      <c r="AR176" s="203"/>
      <c r="AS176" s="203"/>
      <c r="AT176" s="204"/>
      <c r="AU176" s="204"/>
      <c r="AV176" s="204"/>
      <c r="AW176" s="205"/>
      <c r="AX176" s="206"/>
      <c r="AY176" s="207"/>
      <c r="AZ176" s="21"/>
      <c r="CF176" s="21"/>
      <c r="CG176" s="21"/>
      <c r="CH176" s="21"/>
      <c r="CI176" s="21"/>
      <c r="CJ176" s="21"/>
      <c r="CK176" s="21"/>
      <c r="CL176" s="21"/>
      <c r="CM176" s="21"/>
      <c r="CN176" s="21"/>
      <c r="CO176" s="21"/>
      <c r="CP176" s="21"/>
    </row>
    <row r="177" spans="2:94" ht="20" customHeight="1" x14ac:dyDescent="0.2">
      <c r="B177" s="45"/>
      <c r="C177" s="59"/>
      <c r="D177" s="22" t="s">
        <v>85</v>
      </c>
      <c r="E177" s="21" t="s">
        <v>256</v>
      </c>
      <c r="F177" s="21" t="s">
        <v>257</v>
      </c>
      <c r="G177" s="22">
        <v>2012</v>
      </c>
      <c r="I177" s="65">
        <v>80</v>
      </c>
      <c r="J177" s="61" t="s">
        <v>213</v>
      </c>
      <c r="K177" s="83" t="s">
        <v>190</v>
      </c>
      <c r="L177" s="162"/>
      <c r="M177" s="163"/>
      <c r="N177" s="163"/>
      <c r="O177" s="163"/>
      <c r="P177" s="164"/>
      <c r="Q177" s="164"/>
      <c r="R177" s="164"/>
      <c r="S177" s="170"/>
      <c r="T177" s="172"/>
      <c r="U177" s="165"/>
      <c r="V177" s="162"/>
      <c r="W177" s="163"/>
      <c r="X177" s="163"/>
      <c r="Y177" s="163"/>
      <c r="Z177" s="164"/>
      <c r="AA177" s="164"/>
      <c r="AB177" s="164"/>
      <c r="AC177" s="170"/>
      <c r="AD177" s="172"/>
      <c r="AE177" s="165"/>
      <c r="AF177" s="162"/>
      <c r="AG177" s="163"/>
      <c r="AH177" s="203"/>
      <c r="AI177" s="163"/>
      <c r="AJ177" s="164"/>
      <c r="AK177" s="164"/>
      <c r="AL177" s="204"/>
      <c r="AM177" s="170"/>
      <c r="AN177" s="172"/>
      <c r="AO177" s="165"/>
      <c r="AP177" s="162"/>
      <c r="AQ177" s="163"/>
      <c r="AR177" s="203"/>
      <c r="AS177" s="163"/>
      <c r="AT177" s="164"/>
      <c r="AU177" s="164"/>
      <c r="AV177" s="204"/>
      <c r="AW177" s="170"/>
      <c r="AX177" s="172"/>
      <c r="AY177" s="165"/>
      <c r="AZ177" s="21" t="s">
        <v>223</v>
      </c>
      <c r="CF177" s="21"/>
      <c r="CG177" s="21"/>
      <c r="CH177" s="21"/>
      <c r="CI177" s="21"/>
      <c r="CJ177" s="21"/>
      <c r="CK177" s="21"/>
      <c r="CL177" s="21"/>
      <c r="CM177" s="21"/>
      <c r="CN177" s="21"/>
      <c r="CO177" s="21"/>
      <c r="CP177" s="21"/>
    </row>
    <row r="178" spans="2:94" ht="20" customHeight="1" x14ac:dyDescent="0.2">
      <c r="B178" s="46"/>
      <c r="C178" s="59"/>
      <c r="D178" s="22" t="s">
        <v>85</v>
      </c>
      <c r="E178" s="21" t="s">
        <v>52</v>
      </c>
      <c r="F178" s="21" t="s">
        <v>53</v>
      </c>
      <c r="G178" s="22">
        <v>2001</v>
      </c>
      <c r="H178" s="22">
        <v>118</v>
      </c>
      <c r="I178" s="65">
        <v>20</v>
      </c>
      <c r="J178" s="61" t="s">
        <v>175</v>
      </c>
      <c r="K178" s="83" t="s">
        <v>191</v>
      </c>
      <c r="L178" s="162"/>
      <c r="M178" s="163"/>
      <c r="N178" s="163"/>
      <c r="O178" s="163"/>
      <c r="P178" s="164"/>
      <c r="Q178" s="164"/>
      <c r="R178" s="164"/>
      <c r="S178" s="170"/>
      <c r="T178" s="172"/>
      <c r="U178" s="165"/>
      <c r="V178" s="162"/>
      <c r="W178" s="163"/>
      <c r="X178" s="163"/>
      <c r="Y178" s="163"/>
      <c r="Z178" s="164"/>
      <c r="AA178" s="164"/>
      <c r="AB178" s="164"/>
      <c r="AC178" s="170"/>
      <c r="AD178" s="172"/>
      <c r="AE178" s="165"/>
      <c r="AF178" s="162"/>
      <c r="AG178" s="163"/>
      <c r="AH178" s="203"/>
      <c r="AI178" s="163"/>
      <c r="AJ178" s="164"/>
      <c r="AK178" s="164"/>
      <c r="AL178" s="204"/>
      <c r="AM178" s="170"/>
      <c r="AN178" s="172"/>
      <c r="AO178" s="165"/>
      <c r="AP178" s="162"/>
      <c r="AQ178" s="163"/>
      <c r="AR178" s="203"/>
      <c r="AS178" s="163"/>
      <c r="AT178" s="164"/>
      <c r="AU178" s="164"/>
      <c r="AV178" s="204"/>
      <c r="AW178" s="170"/>
      <c r="AX178" s="172"/>
      <c r="AY178" s="165"/>
      <c r="AZ178" s="21"/>
      <c r="CF178" s="21"/>
      <c r="CG178" s="21"/>
      <c r="CH178" s="21"/>
      <c r="CI178" s="21"/>
      <c r="CJ178" s="21"/>
      <c r="CK178" s="21"/>
      <c r="CL178" s="21"/>
      <c r="CM178" s="21"/>
      <c r="CN178" s="21"/>
      <c r="CO178" s="21"/>
      <c r="CP178" s="21"/>
    </row>
    <row r="179" spans="2:94" ht="20" customHeight="1" x14ac:dyDescent="0.2">
      <c r="B179" s="45"/>
      <c r="C179" s="58"/>
      <c r="D179" s="22" t="s">
        <v>85</v>
      </c>
      <c r="E179" s="21" t="s">
        <v>264</v>
      </c>
      <c r="F179" s="21" t="s">
        <v>265</v>
      </c>
      <c r="G179" s="22">
        <v>1994</v>
      </c>
      <c r="I179" s="65">
        <v>20</v>
      </c>
      <c r="J179" s="61" t="s">
        <v>335</v>
      </c>
      <c r="K179" s="83"/>
      <c r="L179" s="162"/>
      <c r="M179" s="163"/>
      <c r="N179" s="163"/>
      <c r="O179" s="163"/>
      <c r="P179" s="164"/>
      <c r="Q179" s="164"/>
      <c r="R179" s="164"/>
      <c r="S179" s="170"/>
      <c r="T179" s="172"/>
      <c r="U179" s="165"/>
      <c r="V179" s="162"/>
      <c r="W179" s="163"/>
      <c r="X179" s="163"/>
      <c r="Y179" s="163"/>
      <c r="Z179" s="164"/>
      <c r="AA179" s="164"/>
      <c r="AB179" s="164"/>
      <c r="AC179" s="170"/>
      <c r="AD179" s="172"/>
      <c r="AE179" s="165"/>
      <c r="AF179" s="162"/>
      <c r="AG179" s="163"/>
      <c r="AH179" s="203"/>
      <c r="AI179" s="163"/>
      <c r="AJ179" s="164"/>
      <c r="AK179" s="164"/>
      <c r="AL179" s="204"/>
      <c r="AM179" s="170"/>
      <c r="AN179" s="172"/>
      <c r="AO179" s="165"/>
      <c r="AP179" s="162"/>
      <c r="AQ179" s="163"/>
      <c r="AR179" s="203"/>
      <c r="AS179" s="163"/>
      <c r="AT179" s="164"/>
      <c r="AU179" s="164"/>
      <c r="AV179" s="204"/>
      <c r="AW179" s="170"/>
      <c r="AX179" s="172"/>
      <c r="AY179" s="165"/>
      <c r="AZ179" s="21"/>
      <c r="CF179" s="21"/>
      <c r="CG179" s="21"/>
      <c r="CH179" s="21"/>
      <c r="CI179" s="21"/>
      <c r="CJ179" s="21"/>
      <c r="CK179" s="21"/>
      <c r="CL179" s="21"/>
      <c r="CM179" s="21"/>
      <c r="CN179" s="21"/>
      <c r="CO179" s="21"/>
      <c r="CP179" s="21"/>
    </row>
    <row r="180" spans="2:94" ht="20" customHeight="1" x14ac:dyDescent="0.2">
      <c r="B180" s="45"/>
      <c r="C180" s="58"/>
      <c r="D180" s="22" t="s">
        <v>85</v>
      </c>
      <c r="E180" s="21" t="s">
        <v>63</v>
      </c>
      <c r="F180" s="21" t="s">
        <v>64</v>
      </c>
      <c r="G180" s="22">
        <v>2012</v>
      </c>
      <c r="H180" s="22">
        <v>83</v>
      </c>
      <c r="I180" s="65">
        <v>70</v>
      </c>
      <c r="J180" s="61" t="s">
        <v>181</v>
      </c>
      <c r="K180" s="83" t="s">
        <v>190</v>
      </c>
      <c r="L180" s="162"/>
      <c r="M180" s="163"/>
      <c r="N180" s="163"/>
      <c r="O180" s="163"/>
      <c r="P180" s="164"/>
      <c r="Q180" s="164"/>
      <c r="R180" s="164"/>
      <c r="S180" s="170"/>
      <c r="T180" s="172"/>
      <c r="U180" s="165"/>
      <c r="V180" s="162"/>
      <c r="W180" s="163"/>
      <c r="X180" s="163"/>
      <c r="Y180" s="163"/>
      <c r="Z180" s="164"/>
      <c r="AA180" s="164"/>
      <c r="AB180" s="164"/>
      <c r="AC180" s="170"/>
      <c r="AD180" s="172"/>
      <c r="AE180" s="165"/>
      <c r="AF180" s="162"/>
      <c r="AG180" s="163"/>
      <c r="AH180" s="203"/>
      <c r="AI180" s="163"/>
      <c r="AJ180" s="164"/>
      <c r="AK180" s="164"/>
      <c r="AL180" s="204"/>
      <c r="AM180" s="170"/>
      <c r="AN180" s="172"/>
      <c r="AO180" s="165"/>
      <c r="AP180" s="162"/>
      <c r="AQ180" s="163"/>
      <c r="AR180" s="203"/>
      <c r="AS180" s="163"/>
      <c r="AT180" s="164"/>
      <c r="AU180" s="164"/>
      <c r="AV180" s="204"/>
      <c r="AW180" s="170"/>
      <c r="AX180" s="172"/>
      <c r="AY180" s="165"/>
      <c r="AZ180" s="21"/>
      <c r="CF180" s="21"/>
      <c r="CG180" s="21"/>
      <c r="CH180" s="21"/>
      <c r="CI180" s="21"/>
      <c r="CJ180" s="21"/>
      <c r="CK180" s="21"/>
      <c r="CL180" s="21"/>
      <c r="CM180" s="21"/>
      <c r="CN180" s="21"/>
      <c r="CO180" s="21"/>
      <c r="CP180" s="21"/>
    </row>
    <row r="181" spans="2:94" ht="20" customHeight="1" x14ac:dyDescent="0.2">
      <c r="B181" s="45"/>
      <c r="C181" s="58"/>
      <c r="D181" s="22" t="s">
        <v>85</v>
      </c>
      <c r="E181" s="21" t="s">
        <v>280</v>
      </c>
      <c r="F181" s="21" t="s">
        <v>281</v>
      </c>
      <c r="G181" s="22">
        <v>2014</v>
      </c>
      <c r="I181" s="65">
        <v>27</v>
      </c>
      <c r="J181" s="61" t="s">
        <v>184</v>
      </c>
      <c r="K181" s="83" t="s">
        <v>192</v>
      </c>
      <c r="L181" s="162"/>
      <c r="M181" s="163"/>
      <c r="N181" s="163"/>
      <c r="O181" s="163"/>
      <c r="P181" s="164"/>
      <c r="Q181" s="164"/>
      <c r="R181" s="164"/>
      <c r="S181" s="170"/>
      <c r="T181" s="206"/>
      <c r="U181" s="165"/>
      <c r="V181" s="162"/>
      <c r="W181" s="163"/>
      <c r="X181" s="163"/>
      <c r="Y181" s="163"/>
      <c r="Z181" s="164"/>
      <c r="AA181" s="164"/>
      <c r="AB181" s="164"/>
      <c r="AC181" s="170"/>
      <c r="AD181" s="172"/>
      <c r="AE181" s="165"/>
      <c r="AF181" s="162"/>
      <c r="AG181" s="163"/>
      <c r="AH181" s="203"/>
      <c r="AI181" s="163"/>
      <c r="AJ181" s="164"/>
      <c r="AK181" s="164"/>
      <c r="AL181" s="204"/>
      <c r="AM181" s="170"/>
      <c r="AN181" s="206"/>
      <c r="AO181" s="165"/>
      <c r="AP181" s="162"/>
      <c r="AQ181" s="163"/>
      <c r="AR181" s="203"/>
      <c r="AS181" s="163"/>
      <c r="AT181" s="164"/>
      <c r="AU181" s="164"/>
      <c r="AV181" s="204"/>
      <c r="AW181" s="170"/>
      <c r="AX181" s="172"/>
      <c r="AY181" s="165"/>
      <c r="AZ181" s="21"/>
      <c r="CF181" s="21"/>
      <c r="CG181" s="21"/>
      <c r="CH181" s="21"/>
      <c r="CI181" s="21"/>
      <c r="CJ181" s="21"/>
      <c r="CK181" s="21"/>
      <c r="CL181" s="21"/>
      <c r="CM181" s="21"/>
      <c r="CN181" s="21"/>
      <c r="CO181" s="21"/>
      <c r="CP181" s="21"/>
    </row>
    <row r="182" spans="2:94" ht="20" customHeight="1" x14ac:dyDescent="0.2">
      <c r="B182" s="45"/>
      <c r="C182" s="58"/>
      <c r="D182" s="22" t="s">
        <v>85</v>
      </c>
      <c r="E182" s="21" t="s">
        <v>79</v>
      </c>
      <c r="F182" s="21" t="s">
        <v>80</v>
      </c>
      <c r="G182" s="22">
        <v>2015</v>
      </c>
      <c r="H182" s="22">
        <v>10</v>
      </c>
      <c r="I182" s="65">
        <v>11</v>
      </c>
      <c r="J182" s="61" t="s">
        <v>194</v>
      </c>
      <c r="K182" s="83" t="s">
        <v>168</v>
      </c>
      <c r="L182" s="162"/>
      <c r="M182" s="163"/>
      <c r="N182" s="163"/>
      <c r="O182" s="163"/>
      <c r="P182" s="164"/>
      <c r="Q182" s="164"/>
      <c r="R182" s="164"/>
      <c r="S182" s="170"/>
      <c r="T182" s="172"/>
      <c r="U182" s="165"/>
      <c r="V182" s="162"/>
      <c r="W182" s="163"/>
      <c r="X182" s="163"/>
      <c r="Y182" s="163"/>
      <c r="Z182" s="164"/>
      <c r="AA182" s="164"/>
      <c r="AB182" s="164"/>
      <c r="AC182" s="170"/>
      <c r="AD182" s="172"/>
      <c r="AE182" s="165"/>
      <c r="AF182" s="162"/>
      <c r="AG182" s="163"/>
      <c r="AH182" s="203"/>
      <c r="AI182" s="163"/>
      <c r="AJ182" s="164"/>
      <c r="AK182" s="164"/>
      <c r="AL182" s="204"/>
      <c r="AM182" s="170"/>
      <c r="AN182" s="172"/>
      <c r="AO182" s="165"/>
      <c r="AP182" s="162"/>
      <c r="AQ182" s="163"/>
      <c r="AR182" s="203"/>
      <c r="AS182" s="163"/>
      <c r="AT182" s="164"/>
      <c r="AU182" s="164"/>
      <c r="AV182" s="204"/>
      <c r="AW182" s="170"/>
      <c r="AX182" s="172"/>
      <c r="AY182" s="165"/>
      <c r="AZ182" s="21" t="s">
        <v>223</v>
      </c>
      <c r="CF182" s="21"/>
      <c r="CG182" s="21"/>
      <c r="CH182" s="21"/>
      <c r="CI182" s="21"/>
      <c r="CJ182" s="21"/>
      <c r="CK182" s="21"/>
      <c r="CL182" s="21"/>
      <c r="CM182" s="21"/>
      <c r="CN182" s="21"/>
      <c r="CO182" s="21"/>
      <c r="CP182" s="21"/>
    </row>
    <row r="183" spans="2:94" ht="20" customHeight="1" x14ac:dyDescent="0.2">
      <c r="B183" s="45"/>
      <c r="C183" s="58"/>
      <c r="D183" s="22" t="s">
        <v>85</v>
      </c>
      <c r="E183" s="21" t="s">
        <v>526</v>
      </c>
      <c r="F183" s="21" t="s">
        <v>527</v>
      </c>
      <c r="G183" s="22">
        <v>1998</v>
      </c>
      <c r="I183" s="65">
        <v>22</v>
      </c>
      <c r="J183" s="61" t="s">
        <v>184</v>
      </c>
      <c r="K183" s="83" t="s">
        <v>346</v>
      </c>
      <c r="L183" s="162"/>
      <c r="M183" s="163"/>
      <c r="N183" s="163"/>
      <c r="O183" s="163"/>
      <c r="P183" s="164"/>
      <c r="Q183" s="164"/>
      <c r="R183" s="164"/>
      <c r="S183" s="170"/>
      <c r="T183" s="172"/>
      <c r="U183" s="165"/>
      <c r="V183" s="162"/>
      <c r="W183" s="163"/>
      <c r="X183" s="163"/>
      <c r="Y183" s="163"/>
      <c r="Z183" s="164"/>
      <c r="AA183" s="164"/>
      <c r="AB183" s="164"/>
      <c r="AC183" s="170"/>
      <c r="AD183" s="172"/>
      <c r="AE183" s="165"/>
      <c r="AF183" s="162"/>
      <c r="AG183" s="163"/>
      <c r="AH183" s="203"/>
      <c r="AI183" s="163"/>
      <c r="AJ183" s="164"/>
      <c r="AK183" s="164"/>
      <c r="AL183" s="204"/>
      <c r="AM183" s="170"/>
      <c r="AN183" s="172"/>
      <c r="AO183" s="165"/>
      <c r="AP183" s="162"/>
      <c r="AQ183" s="163"/>
      <c r="AR183" s="203"/>
      <c r="AS183" s="163"/>
      <c r="AT183" s="164"/>
      <c r="AU183" s="164"/>
      <c r="AV183" s="204"/>
      <c r="AW183" s="170"/>
      <c r="AX183" s="172"/>
      <c r="AY183" s="165"/>
      <c r="AZ183" s="21"/>
      <c r="CF183" s="21"/>
      <c r="CG183" s="21"/>
      <c r="CH183" s="21"/>
      <c r="CI183" s="21"/>
      <c r="CJ183" s="21"/>
      <c r="CK183" s="21"/>
      <c r="CL183" s="21"/>
      <c r="CM183" s="21"/>
      <c r="CN183" s="21"/>
      <c r="CO183" s="21"/>
      <c r="CP183" s="21"/>
    </row>
    <row r="184" spans="2:94" ht="20" customHeight="1" x14ac:dyDescent="0.2">
      <c r="B184" s="45"/>
      <c r="C184" s="59"/>
      <c r="D184" s="22" t="s">
        <v>85</v>
      </c>
      <c r="E184" s="21" t="s">
        <v>286</v>
      </c>
      <c r="F184" s="21" t="s">
        <v>287</v>
      </c>
      <c r="G184" s="22">
        <v>2009</v>
      </c>
      <c r="I184" s="65">
        <v>20</v>
      </c>
      <c r="J184" s="61" t="s">
        <v>213</v>
      </c>
      <c r="K184" s="83" t="s">
        <v>190</v>
      </c>
      <c r="L184" s="162"/>
      <c r="M184" s="163"/>
      <c r="N184" s="163"/>
      <c r="O184" s="163"/>
      <c r="P184" s="164"/>
      <c r="Q184" s="164"/>
      <c r="R184" s="164"/>
      <c r="S184" s="170"/>
      <c r="T184" s="172"/>
      <c r="U184" s="165"/>
      <c r="V184" s="162"/>
      <c r="W184" s="163"/>
      <c r="X184" s="163"/>
      <c r="Y184" s="163"/>
      <c r="Z184" s="164"/>
      <c r="AA184" s="164"/>
      <c r="AB184" s="164"/>
      <c r="AC184" s="170"/>
      <c r="AD184" s="172"/>
      <c r="AE184" s="165"/>
      <c r="AF184" s="162"/>
      <c r="AG184" s="163"/>
      <c r="AH184" s="203"/>
      <c r="AI184" s="163"/>
      <c r="AJ184" s="164"/>
      <c r="AK184" s="164"/>
      <c r="AL184" s="204"/>
      <c r="AM184" s="170"/>
      <c r="AN184" s="172"/>
      <c r="AO184" s="165"/>
      <c r="AP184" s="162"/>
      <c r="AQ184" s="163"/>
      <c r="AR184" s="203"/>
      <c r="AS184" s="163"/>
      <c r="AT184" s="164"/>
      <c r="AU184" s="164"/>
      <c r="AV184" s="204"/>
      <c r="AW184" s="170"/>
      <c r="AX184" s="172"/>
      <c r="AY184" s="165"/>
      <c r="AZ184" s="21" t="s">
        <v>445</v>
      </c>
      <c r="CF184" s="21"/>
      <c r="CG184" s="21"/>
      <c r="CH184" s="21"/>
      <c r="CI184" s="21"/>
      <c r="CJ184" s="21"/>
      <c r="CK184" s="21"/>
      <c r="CL184" s="21"/>
      <c r="CM184" s="21"/>
      <c r="CN184" s="21"/>
      <c r="CO184" s="21"/>
      <c r="CP184" s="21"/>
    </row>
    <row r="185" spans="2:94" ht="20" customHeight="1" x14ac:dyDescent="0.2">
      <c r="B185" s="45"/>
      <c r="C185" s="59"/>
      <c r="D185" s="22" t="s">
        <v>85</v>
      </c>
      <c r="E185" s="21" t="s">
        <v>296</v>
      </c>
      <c r="F185" s="21" t="s">
        <v>297</v>
      </c>
      <c r="G185" s="22">
        <v>2015</v>
      </c>
      <c r="I185" s="65">
        <v>41</v>
      </c>
      <c r="J185" s="61" t="s">
        <v>184</v>
      </c>
      <c r="K185" s="83"/>
      <c r="L185" s="162"/>
      <c r="M185" s="163"/>
      <c r="N185" s="163"/>
      <c r="O185" s="163"/>
      <c r="P185" s="164"/>
      <c r="Q185" s="164"/>
      <c r="R185" s="164"/>
      <c r="S185" s="170"/>
      <c r="T185" s="172"/>
      <c r="U185" s="165"/>
      <c r="V185" s="162"/>
      <c r="W185" s="163"/>
      <c r="X185" s="163"/>
      <c r="Y185" s="163"/>
      <c r="Z185" s="164"/>
      <c r="AA185" s="164"/>
      <c r="AB185" s="164"/>
      <c r="AC185" s="170"/>
      <c r="AD185" s="172"/>
      <c r="AE185" s="165"/>
      <c r="AF185" s="162"/>
      <c r="AG185" s="163"/>
      <c r="AH185" s="203"/>
      <c r="AI185" s="163"/>
      <c r="AJ185" s="164"/>
      <c r="AK185" s="164"/>
      <c r="AL185" s="204"/>
      <c r="AM185" s="170"/>
      <c r="AN185" s="172"/>
      <c r="AO185" s="165"/>
      <c r="AP185" s="162"/>
      <c r="AQ185" s="163"/>
      <c r="AR185" s="203"/>
      <c r="AS185" s="163"/>
      <c r="AT185" s="164"/>
      <c r="AU185" s="164"/>
      <c r="AV185" s="204"/>
      <c r="AW185" s="170"/>
      <c r="AX185" s="172"/>
      <c r="AY185" s="165"/>
      <c r="AZ185" s="21"/>
      <c r="CF185" s="21"/>
      <c r="CG185" s="21"/>
      <c r="CH185" s="21"/>
      <c r="CI185" s="21"/>
      <c r="CJ185" s="21"/>
      <c r="CK185" s="21"/>
      <c r="CL185" s="21"/>
      <c r="CM185" s="21"/>
      <c r="CN185" s="21"/>
      <c r="CO185" s="21"/>
      <c r="CP185" s="21"/>
    </row>
    <row r="186" spans="2:94" ht="20" customHeight="1" x14ac:dyDescent="0.2">
      <c r="B186" s="46"/>
      <c r="C186" s="22"/>
      <c r="D186" s="22" t="s">
        <v>85</v>
      </c>
      <c r="E186" s="21" t="s">
        <v>105</v>
      </c>
      <c r="F186" s="21" t="s">
        <v>106</v>
      </c>
      <c r="G186" s="22">
        <v>1989</v>
      </c>
      <c r="H186" s="22">
        <v>27</v>
      </c>
      <c r="I186" s="65"/>
      <c r="J186" s="61" t="s">
        <v>208</v>
      </c>
      <c r="K186" s="83" t="s">
        <v>177</v>
      </c>
      <c r="L186" s="162"/>
      <c r="M186" s="163"/>
      <c r="N186" s="163"/>
      <c r="O186" s="163"/>
      <c r="P186" s="164"/>
      <c r="Q186" s="164"/>
      <c r="R186" s="164"/>
      <c r="S186" s="170"/>
      <c r="T186" s="172"/>
      <c r="U186" s="165"/>
      <c r="V186" s="162"/>
      <c r="W186" s="163"/>
      <c r="X186" s="163"/>
      <c r="Y186" s="163"/>
      <c r="Z186" s="164"/>
      <c r="AA186" s="164"/>
      <c r="AB186" s="164"/>
      <c r="AC186" s="170"/>
      <c r="AD186" s="172"/>
      <c r="AE186" s="165"/>
      <c r="AF186" s="162"/>
      <c r="AG186" s="163"/>
      <c r="AH186" s="203"/>
      <c r="AI186" s="163"/>
      <c r="AJ186" s="164"/>
      <c r="AK186" s="164"/>
      <c r="AL186" s="204"/>
      <c r="AM186" s="170"/>
      <c r="AN186" s="172"/>
      <c r="AO186" s="165"/>
      <c r="AP186" s="162"/>
      <c r="AQ186" s="163"/>
      <c r="AR186" s="203"/>
      <c r="AS186" s="163"/>
      <c r="AT186" s="164"/>
      <c r="AU186" s="164"/>
      <c r="AV186" s="204"/>
      <c r="AW186" s="170"/>
      <c r="AX186" s="172"/>
      <c r="AY186" s="165"/>
      <c r="AZ186" s="21"/>
      <c r="CF186" s="21"/>
      <c r="CG186" s="21"/>
      <c r="CH186" s="21"/>
      <c r="CI186" s="21"/>
      <c r="CJ186" s="21"/>
      <c r="CK186" s="21"/>
      <c r="CL186" s="21"/>
      <c r="CM186" s="21"/>
      <c r="CN186" s="21"/>
      <c r="CO186" s="21"/>
      <c r="CP186" s="21"/>
    </row>
    <row r="187" spans="2:94" ht="20" customHeight="1" x14ac:dyDescent="0.2">
      <c r="B187" s="45"/>
      <c r="C187" s="59"/>
      <c r="D187" s="22" t="s">
        <v>85</v>
      </c>
      <c r="E187" s="21" t="s">
        <v>109</v>
      </c>
      <c r="F187" s="21" t="s">
        <v>110</v>
      </c>
      <c r="G187" s="22">
        <v>1999</v>
      </c>
      <c r="H187" s="22">
        <v>76</v>
      </c>
      <c r="I187" s="65">
        <v>7</v>
      </c>
      <c r="J187" s="61" t="s">
        <v>175</v>
      </c>
      <c r="K187" s="83" t="s">
        <v>191</v>
      </c>
      <c r="L187" s="162"/>
      <c r="M187" s="163"/>
      <c r="N187" s="163"/>
      <c r="O187" s="163"/>
      <c r="P187" s="164"/>
      <c r="Q187" s="164"/>
      <c r="R187" s="164"/>
      <c r="S187" s="170"/>
      <c r="T187" s="172"/>
      <c r="U187" s="165"/>
      <c r="V187" s="162"/>
      <c r="W187" s="163"/>
      <c r="X187" s="163"/>
      <c r="Y187" s="163"/>
      <c r="Z187" s="164"/>
      <c r="AA187" s="164"/>
      <c r="AB187" s="164"/>
      <c r="AC187" s="170"/>
      <c r="AD187" s="172"/>
      <c r="AE187" s="165"/>
      <c r="AF187" s="162"/>
      <c r="AG187" s="163"/>
      <c r="AH187" s="203"/>
      <c r="AI187" s="163"/>
      <c r="AJ187" s="164"/>
      <c r="AK187" s="164"/>
      <c r="AL187" s="204"/>
      <c r="AM187" s="170"/>
      <c r="AN187" s="172"/>
      <c r="AO187" s="165"/>
      <c r="AP187" s="162"/>
      <c r="AQ187" s="163"/>
      <c r="AR187" s="203"/>
      <c r="AS187" s="163"/>
      <c r="AT187" s="164"/>
      <c r="AU187" s="164"/>
      <c r="AV187" s="204"/>
      <c r="AW187" s="170"/>
      <c r="AX187" s="172"/>
      <c r="AY187" s="165"/>
      <c r="AZ187" s="21"/>
      <c r="CF187" s="21"/>
      <c r="CG187" s="21"/>
      <c r="CH187" s="21"/>
      <c r="CI187" s="21"/>
      <c r="CJ187" s="21"/>
      <c r="CK187" s="21"/>
      <c r="CL187" s="21"/>
      <c r="CM187" s="21"/>
      <c r="CN187" s="21"/>
      <c r="CO187" s="21"/>
      <c r="CP187" s="21"/>
    </row>
    <row r="188" spans="2:94" ht="20" customHeight="1" x14ac:dyDescent="0.2">
      <c r="B188" s="45"/>
      <c r="C188" s="58"/>
      <c r="D188" s="22" t="s">
        <v>85</v>
      </c>
      <c r="E188" s="21" t="s">
        <v>304</v>
      </c>
      <c r="F188" s="21" t="s">
        <v>305</v>
      </c>
      <c r="G188" s="22">
        <v>2015</v>
      </c>
      <c r="I188" s="65">
        <v>5</v>
      </c>
      <c r="J188" s="61" t="s">
        <v>210</v>
      </c>
      <c r="K188" s="83" t="s">
        <v>187</v>
      </c>
      <c r="L188" s="162"/>
      <c r="M188" s="163"/>
      <c r="N188" s="163"/>
      <c r="O188" s="163"/>
      <c r="P188" s="164"/>
      <c r="Q188" s="164"/>
      <c r="R188" s="164"/>
      <c r="S188" s="170"/>
      <c r="T188" s="172"/>
      <c r="U188" s="165"/>
      <c r="V188" s="162"/>
      <c r="W188" s="163"/>
      <c r="X188" s="163"/>
      <c r="Y188" s="163"/>
      <c r="Z188" s="164"/>
      <c r="AA188" s="164"/>
      <c r="AB188" s="164"/>
      <c r="AC188" s="170"/>
      <c r="AD188" s="172"/>
      <c r="AE188" s="165"/>
      <c r="AF188" s="162"/>
      <c r="AG188" s="163"/>
      <c r="AH188" s="203"/>
      <c r="AI188" s="163"/>
      <c r="AJ188" s="164"/>
      <c r="AK188" s="164"/>
      <c r="AL188" s="204"/>
      <c r="AM188" s="170"/>
      <c r="AN188" s="172"/>
      <c r="AO188" s="165"/>
      <c r="AP188" s="162"/>
      <c r="AQ188" s="163"/>
      <c r="AR188" s="203"/>
      <c r="AS188" s="163"/>
      <c r="AT188" s="164"/>
      <c r="AU188" s="164"/>
      <c r="AV188" s="204"/>
      <c r="AW188" s="170"/>
      <c r="AX188" s="172"/>
      <c r="AY188" s="165"/>
      <c r="AZ188" s="21" t="s">
        <v>446</v>
      </c>
      <c r="CF188" s="21"/>
      <c r="CG188" s="21"/>
      <c r="CH188" s="21"/>
      <c r="CI188" s="21"/>
      <c r="CJ188" s="21"/>
      <c r="CK188" s="21"/>
      <c r="CL188" s="21"/>
      <c r="CM188" s="21"/>
      <c r="CN188" s="21"/>
      <c r="CO188" s="21"/>
      <c r="CP188" s="21"/>
    </row>
    <row r="189" spans="2:94" ht="20" customHeight="1" x14ac:dyDescent="0.2">
      <c r="B189" s="45"/>
      <c r="C189" s="59"/>
      <c r="D189" s="22" t="s">
        <v>85</v>
      </c>
      <c r="E189" s="21" t="s">
        <v>306</v>
      </c>
      <c r="F189" s="21" t="s">
        <v>307</v>
      </c>
      <c r="G189" s="22">
        <v>2008</v>
      </c>
      <c r="I189" s="65">
        <v>86</v>
      </c>
      <c r="J189" s="61" t="s">
        <v>175</v>
      </c>
      <c r="K189" s="83"/>
      <c r="L189" s="162"/>
      <c r="M189" s="163"/>
      <c r="N189" s="163"/>
      <c r="O189" s="163"/>
      <c r="P189" s="164"/>
      <c r="Q189" s="164"/>
      <c r="R189" s="164"/>
      <c r="S189" s="170"/>
      <c r="T189" s="172"/>
      <c r="U189" s="165"/>
      <c r="V189" s="162"/>
      <c r="W189" s="163"/>
      <c r="X189" s="163"/>
      <c r="Y189" s="163"/>
      <c r="Z189" s="164"/>
      <c r="AA189" s="164"/>
      <c r="AB189" s="164"/>
      <c r="AC189" s="170"/>
      <c r="AD189" s="172"/>
      <c r="AE189" s="165"/>
      <c r="AF189" s="162"/>
      <c r="AG189" s="163"/>
      <c r="AH189" s="203"/>
      <c r="AI189" s="163"/>
      <c r="AJ189" s="164"/>
      <c r="AK189" s="164"/>
      <c r="AL189" s="204"/>
      <c r="AM189" s="170"/>
      <c r="AN189" s="172"/>
      <c r="AO189" s="165"/>
      <c r="AP189" s="162"/>
      <c r="AQ189" s="163"/>
      <c r="AR189" s="203"/>
      <c r="AS189" s="163"/>
      <c r="AT189" s="164"/>
      <c r="AU189" s="164"/>
      <c r="AV189" s="204"/>
      <c r="AW189" s="170"/>
      <c r="AX189" s="172"/>
      <c r="AY189" s="165"/>
      <c r="AZ189" s="21"/>
      <c r="CF189" s="21"/>
      <c r="CG189" s="21"/>
      <c r="CH189" s="21"/>
      <c r="CI189" s="21"/>
      <c r="CJ189" s="21"/>
      <c r="CK189" s="21"/>
      <c r="CL189" s="21"/>
      <c r="CM189" s="21"/>
      <c r="CN189" s="21"/>
      <c r="CO189" s="21"/>
      <c r="CP189" s="21"/>
    </row>
    <row r="190" spans="2:94" ht="20" customHeight="1" x14ac:dyDescent="0.2">
      <c r="B190" s="46"/>
      <c r="C190" s="22"/>
      <c r="D190" s="22" t="s">
        <v>85</v>
      </c>
      <c r="E190" s="21" t="s">
        <v>127</v>
      </c>
      <c r="F190" s="21" t="s">
        <v>128</v>
      </c>
      <c r="G190" s="22">
        <v>2000</v>
      </c>
      <c r="H190" s="22">
        <v>252</v>
      </c>
      <c r="I190" s="65">
        <v>30</v>
      </c>
      <c r="J190" s="61" t="s">
        <v>217</v>
      </c>
      <c r="K190" s="83" t="s">
        <v>168</v>
      </c>
      <c r="L190" s="162"/>
      <c r="M190" s="163"/>
      <c r="N190" s="163"/>
      <c r="O190" s="163"/>
      <c r="P190" s="164"/>
      <c r="Q190" s="164"/>
      <c r="R190" s="164"/>
      <c r="S190" s="170"/>
      <c r="T190" s="172"/>
      <c r="U190" s="165"/>
      <c r="V190" s="162"/>
      <c r="W190" s="163"/>
      <c r="X190" s="163"/>
      <c r="Y190" s="163"/>
      <c r="Z190" s="164"/>
      <c r="AA190" s="164"/>
      <c r="AB190" s="164"/>
      <c r="AC190" s="170"/>
      <c r="AD190" s="172"/>
      <c r="AE190" s="165"/>
      <c r="AF190" s="162"/>
      <c r="AG190" s="163"/>
      <c r="AH190" s="203"/>
      <c r="AI190" s="163"/>
      <c r="AJ190" s="164"/>
      <c r="AK190" s="164"/>
      <c r="AL190" s="204"/>
      <c r="AM190" s="170"/>
      <c r="AN190" s="172"/>
      <c r="AO190" s="165"/>
      <c r="AP190" s="162"/>
      <c r="AQ190" s="163"/>
      <c r="AR190" s="203"/>
      <c r="AS190" s="163"/>
      <c r="AT190" s="164"/>
      <c r="AU190" s="164"/>
      <c r="AV190" s="204"/>
      <c r="AW190" s="170"/>
      <c r="AX190" s="172"/>
      <c r="AY190" s="165"/>
      <c r="AZ190" s="21"/>
      <c r="CF190" s="21"/>
      <c r="CG190" s="21"/>
      <c r="CH190" s="21"/>
      <c r="CI190" s="21"/>
      <c r="CJ190" s="21"/>
      <c r="CK190" s="21"/>
      <c r="CL190" s="21"/>
      <c r="CM190" s="21"/>
      <c r="CN190" s="21"/>
      <c r="CO190" s="21"/>
      <c r="CP190" s="21"/>
    </row>
    <row r="191" spans="2:94" ht="20" customHeight="1" x14ac:dyDescent="0.2">
      <c r="B191" s="229"/>
      <c r="C191" s="230"/>
      <c r="D191" s="22" t="s">
        <v>85</v>
      </c>
      <c r="E191" s="21" t="s">
        <v>537</v>
      </c>
      <c r="F191" s="21" t="s">
        <v>538</v>
      </c>
      <c r="G191" s="22">
        <v>2010</v>
      </c>
      <c r="I191" s="231"/>
      <c r="J191" s="232" t="s">
        <v>184</v>
      </c>
      <c r="K191" s="233" t="s">
        <v>168</v>
      </c>
      <c r="L191" s="162"/>
      <c r="M191" s="163"/>
      <c r="N191" s="163"/>
      <c r="O191" s="163"/>
      <c r="P191" s="164"/>
      <c r="Q191" s="164"/>
      <c r="R191" s="164"/>
      <c r="S191" s="170"/>
      <c r="T191" s="172"/>
      <c r="U191" s="165"/>
      <c r="V191" s="162"/>
      <c r="W191" s="163"/>
      <c r="X191" s="163"/>
      <c r="Y191" s="163"/>
      <c r="Z191" s="164"/>
      <c r="AA191" s="164"/>
      <c r="AB191" s="164"/>
      <c r="AC191" s="170"/>
      <c r="AD191" s="172"/>
      <c r="AE191" s="165"/>
      <c r="AF191" s="162"/>
      <c r="AG191" s="163"/>
      <c r="AH191" s="203"/>
      <c r="AI191" s="163"/>
      <c r="AJ191" s="164"/>
      <c r="AK191" s="164"/>
      <c r="AL191" s="204"/>
      <c r="AM191" s="170"/>
      <c r="AN191" s="172"/>
      <c r="AO191" s="165"/>
      <c r="AP191" s="162"/>
      <c r="AQ191" s="163"/>
      <c r="AR191" s="203"/>
      <c r="AS191" s="163"/>
      <c r="AT191" s="164"/>
      <c r="AU191" s="164"/>
      <c r="AV191" s="204"/>
      <c r="AW191" s="170"/>
      <c r="AX191" s="172"/>
      <c r="AY191" s="165"/>
      <c r="AZ191" s="21"/>
      <c r="CF191" s="21"/>
      <c r="CG191" s="21"/>
      <c r="CH191" s="21"/>
      <c r="CI191" s="21"/>
      <c r="CJ191" s="21"/>
      <c r="CK191" s="21"/>
      <c r="CL191" s="21"/>
      <c r="CM191" s="21"/>
      <c r="CN191" s="21"/>
      <c r="CO191" s="21"/>
      <c r="CP191" s="21"/>
    </row>
    <row r="192" spans="2:94" ht="20" customHeight="1" x14ac:dyDescent="0.2">
      <c r="B192" s="46"/>
      <c r="C192" s="58"/>
      <c r="D192" s="22" t="s">
        <v>85</v>
      </c>
      <c r="E192" s="21" t="s">
        <v>133</v>
      </c>
      <c r="F192" s="21" t="s">
        <v>134</v>
      </c>
      <c r="G192" s="22">
        <v>2001</v>
      </c>
      <c r="H192" s="22">
        <v>192</v>
      </c>
      <c r="I192" s="65"/>
      <c r="J192" s="61" t="s">
        <v>175</v>
      </c>
      <c r="K192" s="83" t="s">
        <v>168</v>
      </c>
      <c r="L192" s="162"/>
      <c r="M192" s="163"/>
      <c r="N192" s="163"/>
      <c r="O192" s="163"/>
      <c r="P192" s="164"/>
      <c r="Q192" s="164"/>
      <c r="R192" s="164"/>
      <c r="S192" s="170"/>
      <c r="T192" s="172"/>
      <c r="U192" s="165"/>
      <c r="V192" s="162"/>
      <c r="W192" s="163"/>
      <c r="X192" s="163"/>
      <c r="Y192" s="163"/>
      <c r="Z192" s="164"/>
      <c r="AA192" s="164"/>
      <c r="AB192" s="164"/>
      <c r="AC192" s="170"/>
      <c r="AD192" s="172"/>
      <c r="AE192" s="165"/>
      <c r="AF192" s="162"/>
      <c r="AG192" s="163"/>
      <c r="AH192" s="203"/>
      <c r="AI192" s="163"/>
      <c r="AJ192" s="164"/>
      <c r="AK192" s="164"/>
      <c r="AL192" s="204"/>
      <c r="AM192" s="170"/>
      <c r="AN192" s="172"/>
      <c r="AO192" s="165"/>
      <c r="AP192" s="162"/>
      <c r="AQ192" s="163"/>
      <c r="AR192" s="203"/>
      <c r="AS192" s="163"/>
      <c r="AT192" s="164"/>
      <c r="AU192" s="164"/>
      <c r="AV192" s="204"/>
      <c r="AW192" s="170"/>
      <c r="AX192" s="172"/>
      <c r="AY192" s="165"/>
      <c r="AZ192" s="21"/>
      <c r="CF192" s="21"/>
      <c r="CG192" s="21"/>
      <c r="CH192" s="21"/>
      <c r="CI192" s="21"/>
      <c r="CJ192" s="21"/>
      <c r="CK192" s="21"/>
      <c r="CL192" s="21"/>
      <c r="CM192" s="21"/>
      <c r="CN192" s="21"/>
      <c r="CO192" s="21"/>
      <c r="CP192" s="21"/>
    </row>
    <row r="193" spans="2:94" ht="20" customHeight="1" x14ac:dyDescent="0.2">
      <c r="B193" s="46"/>
      <c r="C193" s="58"/>
      <c r="E193" s="21" t="s">
        <v>151</v>
      </c>
      <c r="F193" s="21" t="s">
        <v>419</v>
      </c>
      <c r="G193" s="22">
        <v>1999</v>
      </c>
      <c r="I193" s="65">
        <v>30</v>
      </c>
      <c r="J193" s="61" t="s">
        <v>420</v>
      </c>
      <c r="K193" s="83" t="s">
        <v>219</v>
      </c>
      <c r="L193" s="162"/>
      <c r="M193" s="163"/>
      <c r="N193" s="163"/>
      <c r="O193" s="163"/>
      <c r="P193" s="164"/>
      <c r="Q193" s="164"/>
      <c r="R193" s="164"/>
      <c r="S193" s="170"/>
      <c r="T193" s="172"/>
      <c r="U193" s="165"/>
      <c r="V193" s="162"/>
      <c r="W193" s="163"/>
      <c r="X193" s="163"/>
      <c r="Y193" s="163"/>
      <c r="Z193" s="164"/>
      <c r="AA193" s="164"/>
      <c r="AB193" s="164"/>
      <c r="AC193" s="170"/>
      <c r="AD193" s="172"/>
      <c r="AE193" s="165"/>
      <c r="AF193" s="162"/>
      <c r="AG193" s="163"/>
      <c r="AH193" s="203"/>
      <c r="AI193" s="163"/>
      <c r="AJ193" s="164"/>
      <c r="AK193" s="164"/>
      <c r="AL193" s="204"/>
      <c r="AM193" s="170"/>
      <c r="AN193" s="172"/>
      <c r="AO193" s="165"/>
      <c r="AP193" s="162"/>
      <c r="AQ193" s="163"/>
      <c r="AR193" s="203"/>
      <c r="AS193" s="163"/>
      <c r="AT193" s="164"/>
      <c r="AU193" s="164"/>
      <c r="AV193" s="204"/>
      <c r="AW193" s="170"/>
      <c r="AX193" s="172"/>
      <c r="AY193" s="165"/>
      <c r="AZ193" s="21"/>
      <c r="CF193" s="21"/>
      <c r="CG193" s="21"/>
      <c r="CH193" s="21"/>
      <c r="CI193" s="21"/>
      <c r="CJ193" s="21"/>
      <c r="CK193" s="21"/>
      <c r="CL193" s="21"/>
      <c r="CM193" s="21"/>
      <c r="CN193" s="21"/>
      <c r="CO193" s="21"/>
      <c r="CP193" s="21"/>
    </row>
    <row r="194" spans="2:94" ht="20" customHeight="1" x14ac:dyDescent="0.2">
      <c r="B194" s="45"/>
      <c r="C194" s="58"/>
      <c r="D194" s="22" t="s">
        <v>85</v>
      </c>
      <c r="E194" s="21" t="s">
        <v>310</v>
      </c>
      <c r="F194" s="21" t="s">
        <v>311</v>
      </c>
      <c r="G194" s="22">
        <v>2010</v>
      </c>
      <c r="I194" s="65">
        <v>53</v>
      </c>
      <c r="J194" s="78" t="s">
        <v>366</v>
      </c>
      <c r="K194" s="83" t="s">
        <v>405</v>
      </c>
      <c r="L194" s="162"/>
      <c r="M194" s="163"/>
      <c r="N194" s="163"/>
      <c r="O194" s="163"/>
      <c r="P194" s="164"/>
      <c r="Q194" s="164"/>
      <c r="R194" s="164"/>
      <c r="S194" s="170"/>
      <c r="T194" s="172"/>
      <c r="U194" s="165"/>
      <c r="V194" s="162"/>
      <c r="W194" s="163"/>
      <c r="X194" s="163"/>
      <c r="Y194" s="163"/>
      <c r="Z194" s="164"/>
      <c r="AA194" s="164"/>
      <c r="AB194" s="164"/>
      <c r="AC194" s="170"/>
      <c r="AD194" s="172"/>
      <c r="AE194" s="165"/>
      <c r="AF194" s="162"/>
      <c r="AG194" s="163"/>
      <c r="AH194" s="203"/>
      <c r="AI194" s="163"/>
      <c r="AJ194" s="164"/>
      <c r="AK194" s="164"/>
      <c r="AL194" s="204"/>
      <c r="AM194" s="170"/>
      <c r="AN194" s="172"/>
      <c r="AO194" s="165"/>
      <c r="AP194" s="162"/>
      <c r="AQ194" s="163"/>
      <c r="AR194" s="203"/>
      <c r="AS194" s="163"/>
      <c r="AT194" s="164"/>
      <c r="AU194" s="164"/>
      <c r="AV194" s="204"/>
      <c r="AW194" s="170"/>
      <c r="AX194" s="172"/>
      <c r="AY194" s="165"/>
      <c r="AZ194" s="21"/>
      <c r="CF194" s="21"/>
      <c r="CG194" s="21"/>
      <c r="CH194" s="21"/>
      <c r="CI194" s="21"/>
      <c r="CJ194" s="21"/>
      <c r="CK194" s="21"/>
      <c r="CL194" s="21"/>
      <c r="CM194" s="21"/>
      <c r="CN194" s="21"/>
      <c r="CO194" s="21"/>
      <c r="CP194" s="21"/>
    </row>
    <row r="195" spans="2:94" ht="20" customHeight="1" x14ac:dyDescent="0.2">
      <c r="B195" s="45"/>
      <c r="C195" s="58"/>
      <c r="D195" s="22" t="s">
        <v>85</v>
      </c>
      <c r="E195" s="21" t="s">
        <v>314</v>
      </c>
      <c r="F195" s="21" t="s">
        <v>315</v>
      </c>
      <c r="G195" s="22">
        <v>2010</v>
      </c>
      <c r="I195" s="65">
        <v>789</v>
      </c>
      <c r="J195" s="61" t="s">
        <v>210</v>
      </c>
      <c r="K195" s="83" t="s">
        <v>370</v>
      </c>
      <c r="L195" s="162"/>
      <c r="M195" s="163"/>
      <c r="N195" s="163"/>
      <c r="O195" s="163"/>
      <c r="P195" s="164"/>
      <c r="Q195" s="164"/>
      <c r="R195" s="164"/>
      <c r="S195" s="170"/>
      <c r="T195" s="172"/>
      <c r="U195" s="165"/>
      <c r="V195" s="162"/>
      <c r="W195" s="163"/>
      <c r="X195" s="163"/>
      <c r="Y195" s="163"/>
      <c r="Z195" s="164"/>
      <c r="AA195" s="164"/>
      <c r="AB195" s="164"/>
      <c r="AC195" s="170"/>
      <c r="AD195" s="172"/>
      <c r="AE195" s="165"/>
      <c r="AF195" s="162"/>
      <c r="AG195" s="163"/>
      <c r="AH195" s="203"/>
      <c r="AI195" s="163"/>
      <c r="AJ195" s="164"/>
      <c r="AK195" s="164"/>
      <c r="AL195" s="204"/>
      <c r="AM195" s="170"/>
      <c r="AN195" s="172"/>
      <c r="AO195" s="165"/>
      <c r="AP195" s="162"/>
      <c r="AQ195" s="163"/>
      <c r="AR195" s="203"/>
      <c r="AS195" s="163"/>
      <c r="AT195" s="164"/>
      <c r="AU195" s="164"/>
      <c r="AV195" s="204"/>
      <c r="AW195" s="170"/>
      <c r="AX195" s="172"/>
      <c r="AY195" s="165"/>
      <c r="AZ195" s="21"/>
      <c r="CF195" s="21"/>
      <c r="CG195" s="21"/>
      <c r="CH195" s="21"/>
      <c r="CI195" s="21"/>
      <c r="CJ195" s="21"/>
      <c r="CK195" s="21"/>
      <c r="CL195" s="21"/>
      <c r="CM195" s="21"/>
      <c r="CN195" s="21"/>
      <c r="CO195" s="21"/>
      <c r="CP195" s="21"/>
    </row>
    <row r="196" spans="2:94" ht="20" customHeight="1" x14ac:dyDescent="0.2">
      <c r="B196" s="46"/>
      <c r="C196" s="22"/>
      <c r="D196" s="22" t="s">
        <v>85</v>
      </c>
      <c r="E196" s="21" t="s">
        <v>143</v>
      </c>
      <c r="F196" s="21" t="s">
        <v>144</v>
      </c>
      <c r="G196" s="22">
        <v>2008</v>
      </c>
      <c r="H196" s="22">
        <v>156</v>
      </c>
      <c r="I196" s="65">
        <v>50</v>
      </c>
      <c r="J196" s="61" t="s">
        <v>175</v>
      </c>
      <c r="K196" s="83"/>
      <c r="L196" s="162"/>
      <c r="M196" s="163"/>
      <c r="N196" s="163"/>
      <c r="O196" s="163"/>
      <c r="P196" s="164"/>
      <c r="Q196" s="164"/>
      <c r="R196" s="164"/>
      <c r="S196" s="170"/>
      <c r="T196" s="172"/>
      <c r="U196" s="165"/>
      <c r="V196" s="162"/>
      <c r="W196" s="163"/>
      <c r="X196" s="163"/>
      <c r="Y196" s="163"/>
      <c r="Z196" s="164"/>
      <c r="AA196" s="164"/>
      <c r="AB196" s="164"/>
      <c r="AC196" s="170"/>
      <c r="AD196" s="172"/>
      <c r="AE196" s="165"/>
      <c r="AF196" s="162"/>
      <c r="AG196" s="163"/>
      <c r="AH196" s="203"/>
      <c r="AI196" s="163"/>
      <c r="AJ196" s="164"/>
      <c r="AK196" s="164"/>
      <c r="AL196" s="204"/>
      <c r="AM196" s="170"/>
      <c r="AN196" s="172"/>
      <c r="AO196" s="165"/>
      <c r="AP196" s="162"/>
      <c r="AQ196" s="163"/>
      <c r="AR196" s="203"/>
      <c r="AS196" s="163"/>
      <c r="AT196" s="164"/>
      <c r="AU196" s="164"/>
      <c r="AV196" s="204"/>
      <c r="AW196" s="170"/>
      <c r="AX196" s="172"/>
      <c r="AY196" s="165"/>
      <c r="AZ196" s="21"/>
      <c r="CF196" s="21"/>
      <c r="CG196" s="21"/>
      <c r="CH196" s="21"/>
      <c r="CI196" s="21"/>
      <c r="CJ196" s="21"/>
      <c r="CK196" s="21"/>
      <c r="CL196" s="21"/>
      <c r="CM196" s="21"/>
      <c r="CN196" s="21"/>
      <c r="CO196" s="21"/>
      <c r="CP196" s="21"/>
    </row>
    <row r="197" spans="2:94" ht="20" customHeight="1" x14ac:dyDescent="0.2">
      <c r="B197" s="45"/>
      <c r="C197" s="59"/>
      <c r="D197" s="22" t="s">
        <v>85</v>
      </c>
      <c r="E197" s="21" t="s">
        <v>318</v>
      </c>
      <c r="F197" s="21" t="s">
        <v>319</v>
      </c>
      <c r="G197" s="22">
        <v>2009</v>
      </c>
      <c r="I197" s="65">
        <v>12</v>
      </c>
      <c r="J197" s="61" t="s">
        <v>213</v>
      </c>
      <c r="K197" s="83" t="s">
        <v>191</v>
      </c>
      <c r="L197" s="162"/>
      <c r="M197" s="163"/>
      <c r="N197" s="163"/>
      <c r="O197" s="163"/>
      <c r="P197" s="164"/>
      <c r="Q197" s="164"/>
      <c r="R197" s="164"/>
      <c r="S197" s="170"/>
      <c r="T197" s="172"/>
      <c r="U197" s="165"/>
      <c r="V197" s="162"/>
      <c r="W197" s="163"/>
      <c r="X197" s="163"/>
      <c r="Y197" s="163"/>
      <c r="Z197" s="164"/>
      <c r="AA197" s="164"/>
      <c r="AB197" s="164"/>
      <c r="AC197" s="170"/>
      <c r="AD197" s="172"/>
      <c r="AE197" s="165"/>
      <c r="AF197" s="162"/>
      <c r="AG197" s="163"/>
      <c r="AH197" s="203"/>
      <c r="AI197" s="163"/>
      <c r="AJ197" s="164"/>
      <c r="AK197" s="164"/>
      <c r="AL197" s="204"/>
      <c r="AM197" s="170"/>
      <c r="AN197" s="172"/>
      <c r="AO197" s="165"/>
      <c r="AP197" s="162"/>
      <c r="AQ197" s="163"/>
      <c r="AR197" s="203"/>
      <c r="AS197" s="163"/>
      <c r="AT197" s="164"/>
      <c r="AU197" s="164"/>
      <c r="AV197" s="204"/>
      <c r="AW197" s="170"/>
      <c r="AX197" s="172"/>
      <c r="AY197" s="165"/>
      <c r="AZ197" s="21"/>
      <c r="CF197" s="21"/>
      <c r="CG197" s="21"/>
      <c r="CH197" s="21"/>
      <c r="CI197" s="21"/>
      <c r="CJ197" s="21"/>
      <c r="CK197" s="21"/>
      <c r="CL197" s="21"/>
      <c r="CM197" s="21"/>
      <c r="CN197" s="21"/>
      <c r="CO197" s="21"/>
      <c r="CP197" s="21"/>
    </row>
    <row r="198" spans="2:94" ht="20" customHeight="1" thickBot="1" x14ac:dyDescent="0.25">
      <c r="B198" s="46"/>
      <c r="C198" s="22"/>
      <c r="D198" s="22" t="s">
        <v>85</v>
      </c>
      <c r="E198" s="21" t="s">
        <v>147</v>
      </c>
      <c r="F198" s="21" t="s">
        <v>148</v>
      </c>
      <c r="G198" s="22">
        <v>2011</v>
      </c>
      <c r="H198" s="22">
        <v>112</v>
      </c>
      <c r="I198" s="66">
        <v>22</v>
      </c>
      <c r="J198" s="63" t="s">
        <v>217</v>
      </c>
      <c r="K198" s="84" t="s">
        <v>192</v>
      </c>
      <c r="L198" s="166"/>
      <c r="M198" s="167"/>
      <c r="N198" s="167"/>
      <c r="O198" s="167"/>
      <c r="P198" s="168"/>
      <c r="Q198" s="168"/>
      <c r="R198" s="168"/>
      <c r="S198" s="171"/>
      <c r="T198" s="173"/>
      <c r="U198" s="169"/>
      <c r="V198" s="166"/>
      <c r="W198" s="167"/>
      <c r="X198" s="167"/>
      <c r="Y198" s="167"/>
      <c r="Z198" s="168"/>
      <c r="AA198" s="168"/>
      <c r="AB198" s="168"/>
      <c r="AC198" s="171"/>
      <c r="AD198" s="173"/>
      <c r="AE198" s="169"/>
      <c r="AF198" s="166"/>
      <c r="AG198" s="167"/>
      <c r="AH198" s="245"/>
      <c r="AI198" s="167"/>
      <c r="AJ198" s="168"/>
      <c r="AK198" s="168"/>
      <c r="AL198" s="247"/>
      <c r="AM198" s="171"/>
      <c r="AN198" s="173"/>
      <c r="AO198" s="169"/>
      <c r="AP198" s="166"/>
      <c r="AQ198" s="167"/>
      <c r="AR198" s="245"/>
      <c r="AS198" s="167"/>
      <c r="AT198" s="168"/>
      <c r="AU198" s="168"/>
      <c r="AV198" s="247"/>
      <c r="AW198" s="171"/>
      <c r="AX198" s="173"/>
      <c r="AY198" s="169"/>
      <c r="AZ198" s="21"/>
      <c r="CF198" s="21"/>
      <c r="CG198" s="21"/>
      <c r="CH198" s="21"/>
      <c r="CI198" s="21"/>
      <c r="CJ198" s="21"/>
      <c r="CK198" s="21"/>
      <c r="CL198" s="21"/>
      <c r="CM198" s="21"/>
      <c r="CN198" s="21"/>
      <c r="CO198" s="21"/>
      <c r="CP198" s="21"/>
    </row>
    <row r="199" spans="2:94" ht="20" customHeight="1" x14ac:dyDescent="0.2">
      <c r="F199" s="20"/>
      <c r="G199" s="20"/>
      <c r="I199" s="20"/>
      <c r="J199" s="20"/>
      <c r="K199" s="20"/>
      <c r="L199" s="590" t="s">
        <v>439</v>
      </c>
      <c r="M199" s="577" t="s">
        <v>426</v>
      </c>
      <c r="N199" s="558" t="s">
        <v>481</v>
      </c>
      <c r="O199" s="558" t="s">
        <v>482</v>
      </c>
      <c r="P199" s="560" t="s">
        <v>439</v>
      </c>
      <c r="Q199" s="560" t="s">
        <v>426</v>
      </c>
      <c r="R199" s="560" t="s">
        <v>481</v>
      </c>
      <c r="S199" s="581" t="s">
        <v>482</v>
      </c>
      <c r="T199" s="562" t="s">
        <v>484</v>
      </c>
      <c r="U199" s="564" t="s">
        <v>238</v>
      </c>
      <c r="V199" s="574" t="s">
        <v>439</v>
      </c>
      <c r="W199" s="577" t="s">
        <v>426</v>
      </c>
      <c r="X199" s="558" t="s">
        <v>481</v>
      </c>
      <c r="Y199" s="558" t="s">
        <v>482</v>
      </c>
      <c r="Z199" s="560" t="s">
        <v>439</v>
      </c>
      <c r="AA199" s="560" t="s">
        <v>426</v>
      </c>
      <c r="AB199" s="560" t="s">
        <v>481</v>
      </c>
      <c r="AC199" s="581" t="s">
        <v>482</v>
      </c>
      <c r="AD199" s="562" t="s">
        <v>484</v>
      </c>
      <c r="AE199" s="564" t="s">
        <v>238</v>
      </c>
      <c r="AF199" s="574" t="s">
        <v>439</v>
      </c>
      <c r="AG199" s="577" t="s">
        <v>426</v>
      </c>
      <c r="AH199" s="558" t="s">
        <v>481</v>
      </c>
      <c r="AI199" s="558" t="s">
        <v>482</v>
      </c>
      <c r="AJ199" s="560" t="s">
        <v>439</v>
      </c>
      <c r="AK199" s="560" t="s">
        <v>426</v>
      </c>
      <c r="AL199" s="560" t="s">
        <v>481</v>
      </c>
      <c r="AM199" s="581" t="s">
        <v>482</v>
      </c>
      <c r="AN199" s="562" t="s">
        <v>484</v>
      </c>
      <c r="AO199" s="564" t="s">
        <v>238</v>
      </c>
      <c r="AP199" s="574" t="s">
        <v>439</v>
      </c>
      <c r="AQ199" s="577" t="s">
        <v>426</v>
      </c>
      <c r="AR199" s="558" t="s">
        <v>481</v>
      </c>
      <c r="AS199" s="558" t="s">
        <v>482</v>
      </c>
      <c r="AT199" s="560" t="s">
        <v>439</v>
      </c>
      <c r="AU199" s="560" t="s">
        <v>426</v>
      </c>
      <c r="AV199" s="560" t="s">
        <v>481</v>
      </c>
      <c r="AW199" s="581" t="s">
        <v>482</v>
      </c>
      <c r="AX199" s="562" t="s">
        <v>484</v>
      </c>
      <c r="AY199" s="564" t="s">
        <v>238</v>
      </c>
      <c r="AZ199" s="21"/>
      <c r="CF199" s="21"/>
      <c r="CG199" s="21"/>
      <c r="CH199" s="21"/>
      <c r="CI199" s="21"/>
      <c r="CJ199" s="21"/>
      <c r="CK199" s="21"/>
      <c r="CL199" s="21"/>
      <c r="CM199" s="21"/>
      <c r="CN199" s="21"/>
      <c r="CO199" s="21"/>
      <c r="CP199" s="21"/>
    </row>
    <row r="200" spans="2:94" ht="20" customHeight="1" x14ac:dyDescent="0.2">
      <c r="F200" s="20"/>
      <c r="G200" s="20"/>
      <c r="I200" s="20"/>
      <c r="J200" s="20"/>
      <c r="K200" s="20"/>
      <c r="L200" s="591"/>
      <c r="M200" s="577"/>
      <c r="N200" s="558"/>
      <c r="O200" s="558"/>
      <c r="P200" s="560"/>
      <c r="Q200" s="560"/>
      <c r="R200" s="560"/>
      <c r="S200" s="581"/>
      <c r="T200" s="562"/>
      <c r="U200" s="564"/>
      <c r="V200" s="575"/>
      <c r="W200" s="577"/>
      <c r="X200" s="558"/>
      <c r="Y200" s="558"/>
      <c r="Z200" s="560"/>
      <c r="AA200" s="560"/>
      <c r="AB200" s="560"/>
      <c r="AC200" s="581"/>
      <c r="AD200" s="562"/>
      <c r="AE200" s="564"/>
      <c r="AF200" s="575"/>
      <c r="AG200" s="577"/>
      <c r="AH200" s="558"/>
      <c r="AI200" s="558"/>
      <c r="AJ200" s="560"/>
      <c r="AK200" s="560"/>
      <c r="AL200" s="560"/>
      <c r="AM200" s="581"/>
      <c r="AN200" s="562"/>
      <c r="AO200" s="564"/>
      <c r="AP200" s="575"/>
      <c r="AQ200" s="577"/>
      <c r="AR200" s="558"/>
      <c r="AS200" s="558"/>
      <c r="AT200" s="560"/>
      <c r="AU200" s="560"/>
      <c r="AV200" s="560"/>
      <c r="AW200" s="581"/>
      <c r="AX200" s="562"/>
      <c r="AY200" s="564"/>
      <c r="AZ200" s="21"/>
      <c r="CF200" s="21"/>
      <c r="CG200" s="21"/>
      <c r="CH200" s="21"/>
      <c r="CI200" s="21"/>
      <c r="CJ200" s="21"/>
      <c r="CK200" s="21"/>
      <c r="CL200" s="21"/>
      <c r="CM200" s="21"/>
      <c r="CN200" s="21"/>
      <c r="CO200" s="21"/>
      <c r="CP200" s="21"/>
    </row>
    <row r="201" spans="2:94" ht="20" customHeight="1" x14ac:dyDescent="0.2">
      <c r="F201" s="20"/>
      <c r="G201" s="20"/>
      <c r="I201" s="20"/>
      <c r="J201" s="20"/>
      <c r="K201" s="20"/>
      <c r="L201" s="591"/>
      <c r="M201" s="577"/>
      <c r="N201" s="558"/>
      <c r="O201" s="558"/>
      <c r="P201" s="560"/>
      <c r="Q201" s="560"/>
      <c r="R201" s="560"/>
      <c r="S201" s="581"/>
      <c r="T201" s="562"/>
      <c r="U201" s="564"/>
      <c r="V201" s="575"/>
      <c r="W201" s="577"/>
      <c r="X201" s="558"/>
      <c r="Y201" s="558"/>
      <c r="Z201" s="560"/>
      <c r="AA201" s="560"/>
      <c r="AB201" s="560"/>
      <c r="AC201" s="581"/>
      <c r="AD201" s="562"/>
      <c r="AE201" s="564"/>
      <c r="AF201" s="575"/>
      <c r="AG201" s="577"/>
      <c r="AH201" s="558"/>
      <c r="AI201" s="558"/>
      <c r="AJ201" s="560"/>
      <c r="AK201" s="560"/>
      <c r="AL201" s="560"/>
      <c r="AM201" s="581"/>
      <c r="AN201" s="562"/>
      <c r="AO201" s="564"/>
      <c r="AP201" s="575"/>
      <c r="AQ201" s="577"/>
      <c r="AR201" s="558"/>
      <c r="AS201" s="558"/>
      <c r="AT201" s="560"/>
      <c r="AU201" s="560"/>
      <c r="AV201" s="560"/>
      <c r="AW201" s="581"/>
      <c r="AX201" s="562"/>
      <c r="AY201" s="564"/>
      <c r="AZ201" s="21"/>
      <c r="CF201" s="21"/>
      <c r="CG201" s="21"/>
      <c r="CH201" s="21"/>
      <c r="CI201" s="21"/>
      <c r="CJ201" s="21"/>
      <c r="CK201" s="21"/>
      <c r="CL201" s="21"/>
      <c r="CM201" s="21"/>
      <c r="CN201" s="21"/>
      <c r="CO201" s="21"/>
      <c r="CP201" s="21"/>
    </row>
    <row r="202" spans="2:94" ht="20" customHeight="1" x14ac:dyDescent="0.2">
      <c r="F202" s="20"/>
      <c r="G202" s="20"/>
      <c r="I202" s="20"/>
      <c r="J202" s="20"/>
      <c r="K202" s="20"/>
      <c r="L202" s="591"/>
      <c r="M202" s="577"/>
      <c r="N202" s="558"/>
      <c r="O202" s="558"/>
      <c r="P202" s="560"/>
      <c r="Q202" s="560"/>
      <c r="R202" s="560"/>
      <c r="S202" s="581"/>
      <c r="T202" s="562"/>
      <c r="U202" s="564"/>
      <c r="V202" s="575"/>
      <c r="W202" s="577"/>
      <c r="X202" s="558"/>
      <c r="Y202" s="558"/>
      <c r="Z202" s="560"/>
      <c r="AA202" s="560"/>
      <c r="AB202" s="560"/>
      <c r="AC202" s="581"/>
      <c r="AD202" s="562"/>
      <c r="AE202" s="564"/>
      <c r="AF202" s="575"/>
      <c r="AG202" s="577"/>
      <c r="AH202" s="558"/>
      <c r="AI202" s="558"/>
      <c r="AJ202" s="560"/>
      <c r="AK202" s="560"/>
      <c r="AL202" s="560"/>
      <c r="AM202" s="581"/>
      <c r="AN202" s="562"/>
      <c r="AO202" s="564"/>
      <c r="AP202" s="575"/>
      <c r="AQ202" s="577"/>
      <c r="AR202" s="558"/>
      <c r="AS202" s="558"/>
      <c r="AT202" s="560"/>
      <c r="AU202" s="560"/>
      <c r="AV202" s="560"/>
      <c r="AW202" s="581"/>
      <c r="AX202" s="562"/>
      <c r="AY202" s="564"/>
      <c r="AZ202" s="21"/>
      <c r="CF202" s="21"/>
      <c r="CG202" s="21"/>
      <c r="CH202" s="21"/>
      <c r="CI202" s="21"/>
      <c r="CJ202" s="21"/>
      <c r="CK202" s="21"/>
      <c r="CL202" s="21"/>
      <c r="CM202" s="21"/>
      <c r="CN202" s="21"/>
      <c r="CO202" s="21"/>
      <c r="CP202" s="21"/>
    </row>
    <row r="203" spans="2:94" ht="20" customHeight="1" x14ac:dyDescent="0.2">
      <c r="F203" s="20"/>
      <c r="G203" s="20"/>
      <c r="I203" s="20"/>
      <c r="J203" s="20"/>
      <c r="K203" s="20"/>
      <c r="L203" s="592"/>
      <c r="M203" s="578"/>
      <c r="N203" s="559"/>
      <c r="O203" s="559"/>
      <c r="P203" s="561"/>
      <c r="Q203" s="561"/>
      <c r="R203" s="561"/>
      <c r="S203" s="582"/>
      <c r="T203" s="563"/>
      <c r="U203" s="565"/>
      <c r="V203" s="576"/>
      <c r="W203" s="578"/>
      <c r="X203" s="559"/>
      <c r="Y203" s="559"/>
      <c r="Z203" s="561"/>
      <c r="AA203" s="561"/>
      <c r="AB203" s="561"/>
      <c r="AC203" s="582"/>
      <c r="AD203" s="572"/>
      <c r="AE203" s="573"/>
      <c r="AF203" s="576"/>
      <c r="AG203" s="578"/>
      <c r="AH203" s="559"/>
      <c r="AI203" s="559"/>
      <c r="AJ203" s="561"/>
      <c r="AK203" s="561"/>
      <c r="AL203" s="561"/>
      <c r="AM203" s="582"/>
      <c r="AN203" s="572"/>
      <c r="AO203" s="573"/>
      <c r="AP203" s="576"/>
      <c r="AQ203" s="578"/>
      <c r="AR203" s="559"/>
      <c r="AS203" s="559"/>
      <c r="AT203" s="561"/>
      <c r="AU203" s="561"/>
      <c r="AV203" s="561"/>
      <c r="AW203" s="582"/>
      <c r="AX203" s="572"/>
      <c r="AY203" s="573"/>
      <c r="AZ203" s="21"/>
      <c r="CF203" s="21"/>
      <c r="CG203" s="21"/>
      <c r="CH203" s="21"/>
      <c r="CI203" s="21"/>
      <c r="CJ203" s="21"/>
      <c r="CK203" s="21"/>
      <c r="CL203" s="21"/>
      <c r="CM203" s="21"/>
      <c r="CN203" s="21"/>
      <c r="CO203" s="21"/>
      <c r="CP203" s="21"/>
    </row>
    <row r="204" spans="2:94" ht="20" customHeight="1" thickBot="1" x14ac:dyDescent="0.25">
      <c r="F204" s="20"/>
      <c r="G204" s="20"/>
      <c r="I204" s="20"/>
      <c r="J204" s="20"/>
      <c r="K204" s="20"/>
      <c r="L204" s="636" t="s">
        <v>428</v>
      </c>
      <c r="M204" s="580"/>
      <c r="N204" s="580"/>
      <c r="O204" s="580"/>
      <c r="P204" s="583" t="s">
        <v>429</v>
      </c>
      <c r="Q204" s="583"/>
      <c r="R204" s="583"/>
      <c r="S204" s="584"/>
      <c r="T204" s="635" t="s">
        <v>487</v>
      </c>
      <c r="U204" s="586"/>
      <c r="V204" s="579" t="s">
        <v>428</v>
      </c>
      <c r="W204" s="580"/>
      <c r="X204" s="580"/>
      <c r="Y204" s="580"/>
      <c r="Z204" s="583" t="s">
        <v>429</v>
      </c>
      <c r="AA204" s="583"/>
      <c r="AB204" s="583"/>
      <c r="AC204" s="584"/>
      <c r="AD204" s="585" t="s">
        <v>487</v>
      </c>
      <c r="AE204" s="586"/>
      <c r="AF204" s="579" t="s">
        <v>428</v>
      </c>
      <c r="AG204" s="580"/>
      <c r="AH204" s="580"/>
      <c r="AI204" s="580"/>
      <c r="AJ204" s="583" t="s">
        <v>429</v>
      </c>
      <c r="AK204" s="583"/>
      <c r="AL204" s="583"/>
      <c r="AM204" s="584"/>
      <c r="AN204" s="585" t="s">
        <v>487</v>
      </c>
      <c r="AO204" s="612"/>
      <c r="AP204" s="579" t="s">
        <v>428</v>
      </c>
      <c r="AQ204" s="580"/>
      <c r="AR204" s="580"/>
      <c r="AS204" s="580"/>
      <c r="AT204" s="583" t="s">
        <v>429</v>
      </c>
      <c r="AU204" s="583"/>
      <c r="AV204" s="583"/>
      <c r="AW204" s="584"/>
      <c r="AX204" s="585" t="s">
        <v>487</v>
      </c>
      <c r="AY204" s="586"/>
      <c r="AZ204" s="21"/>
      <c r="CF204" s="21"/>
      <c r="CG204" s="21"/>
      <c r="CH204" s="21"/>
      <c r="CI204" s="21"/>
      <c r="CJ204" s="21"/>
      <c r="CK204" s="21"/>
      <c r="CL204" s="21"/>
      <c r="CM204" s="21"/>
      <c r="CN204" s="21"/>
      <c r="CO204" s="21"/>
      <c r="CP204" s="21"/>
    </row>
    <row r="205" spans="2:94" ht="20" customHeight="1" x14ac:dyDescent="0.2">
      <c r="F205" s="20"/>
      <c r="G205" s="20"/>
      <c r="I205" s="20"/>
      <c r="J205" s="20"/>
      <c r="K205" s="20"/>
      <c r="L205" s="593" t="s">
        <v>431</v>
      </c>
      <c r="M205" s="588"/>
      <c r="N205" s="588"/>
      <c r="O205" s="588"/>
      <c r="P205" s="588"/>
      <c r="Q205" s="588"/>
      <c r="R205" s="588"/>
      <c r="S205" s="588"/>
      <c r="T205" s="588"/>
      <c r="U205" s="633"/>
      <c r="V205" s="634" t="s">
        <v>432</v>
      </c>
      <c r="W205" s="634"/>
      <c r="X205" s="634"/>
      <c r="Y205" s="634"/>
      <c r="Z205" s="634"/>
      <c r="AA205" s="634"/>
      <c r="AB205" s="634"/>
      <c r="AC205" s="634"/>
      <c r="AD205" s="634"/>
      <c r="AE205" s="634"/>
      <c r="AF205" s="587" t="s">
        <v>480</v>
      </c>
      <c r="AG205" s="588"/>
      <c r="AH205" s="588"/>
      <c r="AI205" s="588"/>
      <c r="AJ205" s="588"/>
      <c r="AK205" s="588"/>
      <c r="AL205" s="588"/>
      <c r="AM205" s="588"/>
      <c r="AN205" s="588"/>
      <c r="AO205" s="589"/>
      <c r="AP205" s="587" t="s">
        <v>492</v>
      </c>
      <c r="AQ205" s="588"/>
      <c r="AR205" s="588"/>
      <c r="AS205" s="588"/>
      <c r="AT205" s="588"/>
      <c r="AU205" s="588"/>
      <c r="AV205" s="588"/>
      <c r="AW205" s="588"/>
      <c r="AX205" s="588"/>
      <c r="AY205" s="589"/>
      <c r="AZ205" s="21"/>
      <c r="CF205" s="21"/>
      <c r="CG205" s="21"/>
      <c r="CH205" s="21"/>
      <c r="CI205" s="21"/>
      <c r="CJ205" s="21"/>
      <c r="CK205" s="21"/>
      <c r="CL205" s="21"/>
      <c r="CM205" s="21"/>
      <c r="CN205" s="21"/>
      <c r="CO205" s="21"/>
      <c r="CP205" s="21"/>
    </row>
    <row r="206" spans="2:94" ht="20" customHeight="1" x14ac:dyDescent="0.2">
      <c r="F206" s="20"/>
      <c r="G206" s="20"/>
      <c r="I206" s="20"/>
      <c r="J206" s="20"/>
      <c r="K206" s="20"/>
      <c r="L206" s="566" t="s">
        <v>441</v>
      </c>
      <c r="M206" s="567"/>
      <c r="N206" s="567"/>
      <c r="O206" s="567"/>
      <c r="P206" s="567"/>
      <c r="Q206" s="567"/>
      <c r="R206" s="567"/>
      <c r="S206" s="567"/>
      <c r="T206" s="567"/>
      <c r="U206" s="567"/>
      <c r="V206" s="567"/>
      <c r="W206" s="567"/>
      <c r="X206" s="567"/>
      <c r="Y206" s="567"/>
      <c r="Z206" s="567"/>
      <c r="AA206" s="567"/>
      <c r="AB206" s="567"/>
      <c r="AC206" s="567"/>
      <c r="AD206" s="567"/>
      <c r="AE206" s="567"/>
      <c r="AF206" s="567"/>
      <c r="AG206" s="567"/>
      <c r="AH206" s="567"/>
      <c r="AI206" s="567"/>
      <c r="AJ206" s="567"/>
      <c r="AK206" s="567"/>
      <c r="AL206" s="567"/>
      <c r="AM206" s="567"/>
      <c r="AN206" s="567"/>
      <c r="AO206" s="567"/>
      <c r="AP206" s="567"/>
      <c r="AQ206" s="567"/>
      <c r="AR206" s="567"/>
      <c r="AS206" s="567"/>
      <c r="AT206" s="567"/>
      <c r="AU206" s="567"/>
      <c r="AV206" s="567"/>
      <c r="AW206" s="567"/>
      <c r="AX206" s="567"/>
      <c r="AY206" s="568"/>
      <c r="AZ206" s="21"/>
      <c r="CF206" s="21"/>
      <c r="CG206" s="21"/>
      <c r="CH206" s="21"/>
      <c r="CI206" s="21"/>
      <c r="CJ206" s="21"/>
      <c r="CK206" s="21"/>
      <c r="CL206" s="21"/>
      <c r="CM206" s="21"/>
      <c r="CN206" s="21"/>
      <c r="CO206" s="21"/>
      <c r="CP206" s="21"/>
    </row>
    <row r="207" spans="2:94" ht="20" customHeight="1" thickBot="1" x14ac:dyDescent="0.25">
      <c r="F207" s="20"/>
      <c r="G207" s="20"/>
      <c r="I207" s="20"/>
      <c r="J207" s="20"/>
      <c r="K207" s="20"/>
      <c r="L207" s="569" t="s">
        <v>424</v>
      </c>
      <c r="M207" s="570"/>
      <c r="N207" s="570"/>
      <c r="O207" s="570"/>
      <c r="P207" s="570"/>
      <c r="Q207" s="570"/>
      <c r="R207" s="570"/>
      <c r="S207" s="570"/>
      <c r="T207" s="570"/>
      <c r="U207" s="570"/>
      <c r="V207" s="570"/>
      <c r="W207" s="570"/>
      <c r="X207" s="570"/>
      <c r="Y207" s="570"/>
      <c r="Z207" s="570"/>
      <c r="AA207" s="570"/>
      <c r="AB207" s="570"/>
      <c r="AC207" s="570"/>
      <c r="AD207" s="570"/>
      <c r="AE207" s="570"/>
      <c r="AF207" s="570"/>
      <c r="AG207" s="570"/>
      <c r="AH207" s="570"/>
      <c r="AI207" s="570"/>
      <c r="AJ207" s="570"/>
      <c r="AK207" s="570"/>
      <c r="AL207" s="570"/>
      <c r="AM207" s="570"/>
      <c r="AN207" s="570"/>
      <c r="AO207" s="570"/>
      <c r="AP207" s="570"/>
      <c r="AQ207" s="570"/>
      <c r="AR207" s="570"/>
      <c r="AS207" s="570"/>
      <c r="AT207" s="570"/>
      <c r="AU207" s="570"/>
      <c r="AV207" s="570"/>
      <c r="AW207" s="570"/>
      <c r="AX207" s="570"/>
      <c r="AY207" s="571"/>
      <c r="CF207" s="21"/>
      <c r="CG207" s="21"/>
      <c r="CH207" s="21"/>
      <c r="CI207" s="21"/>
      <c r="CJ207" s="21"/>
      <c r="CK207" s="21"/>
      <c r="CL207" s="21"/>
      <c r="CM207" s="21"/>
      <c r="CN207" s="21"/>
      <c r="CO207" s="21"/>
      <c r="CP207" s="21"/>
    </row>
    <row r="208" spans="2:94" ht="20" customHeight="1" x14ac:dyDescent="0.2">
      <c r="I208" s="20"/>
      <c r="J208" s="20"/>
      <c r="K208" s="20"/>
      <c r="L208" s="111" t="s">
        <v>554</v>
      </c>
    </row>
    <row r="209" ht="20" customHeight="1" x14ac:dyDescent="0.2"/>
    <row r="210" ht="20" customHeight="1" x14ac:dyDescent="0.2"/>
    <row r="211" ht="20" customHeight="1" x14ac:dyDescent="0.2"/>
  </sheetData>
  <mergeCells count="740">
    <mergeCell ref="A9:A12"/>
    <mergeCell ref="A69:A72"/>
    <mergeCell ref="A121:A124"/>
    <mergeCell ref="A170:A173"/>
    <mergeCell ref="E2:E3"/>
    <mergeCell ref="L205:U205"/>
    <mergeCell ref="V205:AE205"/>
    <mergeCell ref="AF205:AO205"/>
    <mergeCell ref="AP205:AY205"/>
    <mergeCell ref="L206:AY206"/>
    <mergeCell ref="L207:AY207"/>
    <mergeCell ref="L204:O204"/>
    <mergeCell ref="P204:S204"/>
    <mergeCell ref="T204:U204"/>
    <mergeCell ref="V204:Y204"/>
    <mergeCell ref="Z204:AC204"/>
    <mergeCell ref="AD204:AE204"/>
    <mergeCell ref="AF204:AI204"/>
    <mergeCell ref="AJ204:AM204"/>
    <mergeCell ref="AN204:AO204"/>
    <mergeCell ref="AP204:AS204"/>
    <mergeCell ref="AT204:AW204"/>
    <mergeCell ref="AX204:AY204"/>
    <mergeCell ref="AV199:AV203"/>
    <mergeCell ref="AW199:AW203"/>
    <mergeCell ref="AX199:AX203"/>
    <mergeCell ref="AY199:AY203"/>
    <mergeCell ref="AM199:AM203"/>
    <mergeCell ref="AS199:AS203"/>
    <mergeCell ref="AT199:AT203"/>
    <mergeCell ref="AU199:AU203"/>
    <mergeCell ref="AD199:AD203"/>
    <mergeCell ref="AE199:AE203"/>
    <mergeCell ref="AF199:AF203"/>
    <mergeCell ref="AG199:AG203"/>
    <mergeCell ref="AH199:AH203"/>
    <mergeCell ref="AI199:AI203"/>
    <mergeCell ref="AJ199:AJ203"/>
    <mergeCell ref="AK199:AK203"/>
    <mergeCell ref="AL199:AL203"/>
    <mergeCell ref="B170:B173"/>
    <mergeCell ref="C170:C173"/>
    <mergeCell ref="L199:L203"/>
    <mergeCell ref="M199:M203"/>
    <mergeCell ref="N199:N203"/>
    <mergeCell ref="O199:O203"/>
    <mergeCell ref="P199:P203"/>
    <mergeCell ref="Q199:Q203"/>
    <mergeCell ref="R199:R203"/>
    <mergeCell ref="H169:H173"/>
    <mergeCell ref="I169:I173"/>
    <mergeCell ref="J169:J173"/>
    <mergeCell ref="K169:K173"/>
    <mergeCell ref="L169:L173"/>
    <mergeCell ref="M169:M173"/>
    <mergeCell ref="N169:N173"/>
    <mergeCell ref="O169:O173"/>
    <mergeCell ref="P169:P173"/>
    <mergeCell ref="Q169:Q173"/>
    <mergeCell ref="R169:R173"/>
    <mergeCell ref="S199:S203"/>
    <mergeCell ref="T199:T203"/>
    <mergeCell ref="U199:U203"/>
    <mergeCell ref="V199:V203"/>
    <mergeCell ref="W199:W203"/>
    <mergeCell ref="X199:X203"/>
    <mergeCell ref="Y199:Y203"/>
    <mergeCell ref="Z199:Z203"/>
    <mergeCell ref="AA199:AA203"/>
    <mergeCell ref="AX169:AX173"/>
    <mergeCell ref="AY169:AY173"/>
    <mergeCell ref="AN169:AN173"/>
    <mergeCell ref="AO169:AO173"/>
    <mergeCell ref="AP169:AP173"/>
    <mergeCell ref="AQ169:AQ173"/>
    <mergeCell ref="AR169:AR173"/>
    <mergeCell ref="AS169:AS173"/>
    <mergeCell ref="AT169:AT173"/>
    <mergeCell ref="AU169:AU173"/>
    <mergeCell ref="AV169:AV173"/>
    <mergeCell ref="V169:V173"/>
    <mergeCell ref="W169:W173"/>
    <mergeCell ref="X169:X173"/>
    <mergeCell ref="Y169:Y173"/>
    <mergeCell ref="Z169:Z173"/>
    <mergeCell ref="AA169:AA173"/>
    <mergeCell ref="AB199:AB203"/>
    <mergeCell ref="AC199:AC203"/>
    <mergeCell ref="AW169:AW173"/>
    <mergeCell ref="AE169:AE173"/>
    <mergeCell ref="AF169:AF173"/>
    <mergeCell ref="AG169:AG173"/>
    <mergeCell ref="AH169:AH173"/>
    <mergeCell ref="AI169:AI173"/>
    <mergeCell ref="AJ169:AJ173"/>
    <mergeCell ref="AK169:AK173"/>
    <mergeCell ref="AL169:AL173"/>
    <mergeCell ref="AM169:AM173"/>
    <mergeCell ref="AB169:AB173"/>
    <mergeCell ref="AN199:AN203"/>
    <mergeCell ref="AO199:AO203"/>
    <mergeCell ref="AP199:AP203"/>
    <mergeCell ref="AQ199:AQ203"/>
    <mergeCell ref="AR199:AR203"/>
    <mergeCell ref="AC169:AC173"/>
    <mergeCell ref="AD169:AD173"/>
    <mergeCell ref="L165:AY165"/>
    <mergeCell ref="L166:AY166"/>
    <mergeCell ref="E167:E168"/>
    <mergeCell ref="L167:U167"/>
    <mergeCell ref="V167:AE167"/>
    <mergeCell ref="AF167:AO167"/>
    <mergeCell ref="AP167:AY167"/>
    <mergeCell ref="L168:O168"/>
    <mergeCell ref="P168:S168"/>
    <mergeCell ref="T168:U168"/>
    <mergeCell ref="V168:Y168"/>
    <mergeCell ref="Z168:AC168"/>
    <mergeCell ref="AD168:AE168"/>
    <mergeCell ref="AF168:AI168"/>
    <mergeCell ref="AJ168:AM168"/>
    <mergeCell ref="AN168:AO168"/>
    <mergeCell ref="AP168:AS168"/>
    <mergeCell ref="AT168:AW168"/>
    <mergeCell ref="AX168:AY168"/>
    <mergeCell ref="S169:S173"/>
    <mergeCell ref="T169:T173"/>
    <mergeCell ref="U169:U173"/>
    <mergeCell ref="BA158:BD158"/>
    <mergeCell ref="BE158:BH158"/>
    <mergeCell ref="BI158:BJ158"/>
    <mergeCell ref="BC153:BC157"/>
    <mergeCell ref="BD153:BD157"/>
    <mergeCell ref="BA116:BJ116"/>
    <mergeCell ref="BA117:BJ117"/>
    <mergeCell ref="BT109:BW109"/>
    <mergeCell ref="BT104:BT108"/>
    <mergeCell ref="BU104:BU108"/>
    <mergeCell ref="BV104:BV108"/>
    <mergeCell ref="BW104:BW108"/>
    <mergeCell ref="BE153:BE157"/>
    <mergeCell ref="BF153:BF157"/>
    <mergeCell ref="BG153:BG157"/>
    <mergeCell ref="BH153:BH157"/>
    <mergeCell ref="BI153:BI157"/>
    <mergeCell ref="BJ153:BJ157"/>
    <mergeCell ref="BA118:BJ118"/>
    <mergeCell ref="BA119:BD119"/>
    <mergeCell ref="BE119:BH119"/>
    <mergeCell ref="BI119:BJ119"/>
    <mergeCell ref="BA120:BA124"/>
    <mergeCell ref="BB120:BB124"/>
    <mergeCell ref="BC120:BC124"/>
    <mergeCell ref="BD120:BD124"/>
    <mergeCell ref="BE120:BE124"/>
    <mergeCell ref="BF120:BF124"/>
    <mergeCell ref="BG120:BG124"/>
    <mergeCell ref="BH120:BH124"/>
    <mergeCell ref="BI120:BI124"/>
    <mergeCell ref="BJ120:BJ124"/>
    <mergeCell ref="L160:AY160"/>
    <mergeCell ref="L159:U159"/>
    <mergeCell ref="V159:AE159"/>
    <mergeCell ref="AF159:AO159"/>
    <mergeCell ref="T158:U158"/>
    <mergeCell ref="L158:O158"/>
    <mergeCell ref="P158:S158"/>
    <mergeCell ref="V158:Y158"/>
    <mergeCell ref="Z158:AC158"/>
    <mergeCell ref="AF158:AI158"/>
    <mergeCell ref="AJ158:AM158"/>
    <mergeCell ref="Z153:Z157"/>
    <mergeCell ref="AA153:AA157"/>
    <mergeCell ref="AC153:AC157"/>
    <mergeCell ref="AF153:AF157"/>
    <mergeCell ref="AG153:AG157"/>
    <mergeCell ref="L161:AY161"/>
    <mergeCell ref="BL4:BU4"/>
    <mergeCell ref="BL5:BU5"/>
    <mergeCell ref="BL6:BU6"/>
    <mergeCell ref="BL7:BO7"/>
    <mergeCell ref="BP7:BS7"/>
    <mergeCell ref="BT7:BU7"/>
    <mergeCell ref="BO8:BO12"/>
    <mergeCell ref="BL52:BL56"/>
    <mergeCell ref="BM52:BM56"/>
    <mergeCell ref="BN52:BN56"/>
    <mergeCell ref="BO52:BO56"/>
    <mergeCell ref="BP52:BP56"/>
    <mergeCell ref="BQ52:BQ56"/>
    <mergeCell ref="BR52:BR56"/>
    <mergeCell ref="BS52:BS56"/>
    <mergeCell ref="BT52:BT56"/>
    <mergeCell ref="BU52:BU56"/>
    <mergeCell ref="BL57:BO57"/>
    <mergeCell ref="BP57:BS57"/>
    <mergeCell ref="BT57:BU57"/>
    <mergeCell ref="BL59:BU59"/>
    <mergeCell ref="BL60:BU60"/>
    <mergeCell ref="BT68:BT72"/>
    <mergeCell ref="CE110:CN110"/>
    <mergeCell ref="CE64:CN64"/>
    <mergeCell ref="CE65:CN65"/>
    <mergeCell ref="CE111:CN111"/>
    <mergeCell ref="CE112:CN112"/>
    <mergeCell ref="CG104:CG108"/>
    <mergeCell ref="CH104:CH108"/>
    <mergeCell ref="CI104:CI108"/>
    <mergeCell ref="CJ104:CJ108"/>
    <mergeCell ref="CK104:CK108"/>
    <mergeCell ref="CL104:CL108"/>
    <mergeCell ref="CM104:CM108"/>
    <mergeCell ref="CN104:CN108"/>
    <mergeCell ref="CE109:CH109"/>
    <mergeCell ref="CI109:CL109"/>
    <mergeCell ref="CM109:CN109"/>
    <mergeCell ref="CE66:CN66"/>
    <mergeCell ref="CE67:CH67"/>
    <mergeCell ref="CI67:CL67"/>
    <mergeCell ref="CM67:CN67"/>
    <mergeCell ref="CE68:CE72"/>
    <mergeCell ref="CG68:CG72"/>
    <mergeCell ref="CH68:CH72"/>
    <mergeCell ref="CI68:CI72"/>
    <mergeCell ref="CJ68:CJ72"/>
    <mergeCell ref="CK68:CK72"/>
    <mergeCell ref="CL68:CL72"/>
    <mergeCell ref="CM68:CM72"/>
    <mergeCell ref="CN68:CN72"/>
    <mergeCell ref="CE104:CE108"/>
    <mergeCell ref="CF104:CF108"/>
    <mergeCell ref="BX109:CA109"/>
    <mergeCell ref="CB109:CC109"/>
    <mergeCell ref="BT110:CC110"/>
    <mergeCell ref="L111:CC111"/>
    <mergeCell ref="L112:CC112"/>
    <mergeCell ref="L64:CC64"/>
    <mergeCell ref="L65:CC65"/>
    <mergeCell ref="BX104:BX108"/>
    <mergeCell ref="BY104:BY108"/>
    <mergeCell ref="BZ104:BZ108"/>
    <mergeCell ref="CA104:CA108"/>
    <mergeCell ref="CB104:CB108"/>
    <mergeCell ref="CC104:CC108"/>
    <mergeCell ref="BL104:BL108"/>
    <mergeCell ref="BM104:BM108"/>
    <mergeCell ref="BO68:BO72"/>
    <mergeCell ref="BQ68:BQ72"/>
    <mergeCell ref="CC68:CC72"/>
    <mergeCell ref="BU68:BU72"/>
    <mergeCell ref="BV68:BV72"/>
    <mergeCell ref="BW68:BW72"/>
    <mergeCell ref="BX68:BX72"/>
    <mergeCell ref="BY68:BY72"/>
    <mergeCell ref="BZ68:BZ72"/>
    <mergeCell ref="CA68:CA72"/>
    <mergeCell ref="CB68:CB72"/>
    <mergeCell ref="BZ52:BZ56"/>
    <mergeCell ref="CA52:CA56"/>
    <mergeCell ref="CB52:CB56"/>
    <mergeCell ref="BW58:CF58"/>
    <mergeCell ref="CA57:CD57"/>
    <mergeCell ref="CE57:CF57"/>
    <mergeCell ref="CF68:CF72"/>
    <mergeCell ref="AP66:AY66"/>
    <mergeCell ref="AX104:AX108"/>
    <mergeCell ref="AY104:AY108"/>
    <mergeCell ref="BA58:BJ58"/>
    <mergeCell ref="BJ68:BJ72"/>
    <mergeCell ref="BK68:BK72"/>
    <mergeCell ref="BG68:BG72"/>
    <mergeCell ref="BH68:BH72"/>
    <mergeCell ref="BI68:BI72"/>
    <mergeCell ref="BF68:BF72"/>
    <mergeCell ref="AR52:AR56"/>
    <mergeCell ref="BA4:BJ4"/>
    <mergeCell ref="BA5:BJ5"/>
    <mergeCell ref="BT66:CC66"/>
    <mergeCell ref="BT67:BW67"/>
    <mergeCell ref="BX67:CA67"/>
    <mergeCell ref="CB67:CC67"/>
    <mergeCell ref="BL58:BU58"/>
    <mergeCell ref="BA59:BJ59"/>
    <mergeCell ref="BA60:BJ60"/>
    <mergeCell ref="BW4:CF4"/>
    <mergeCell ref="BW5:CF5"/>
    <mergeCell ref="BW6:CF6"/>
    <mergeCell ref="BW7:BZ7"/>
    <mergeCell ref="CA7:CD7"/>
    <mergeCell ref="CE7:CF7"/>
    <mergeCell ref="BW52:BW56"/>
    <mergeCell ref="BX52:BX56"/>
    <mergeCell ref="BY52:BY56"/>
    <mergeCell ref="BA6:BJ6"/>
    <mergeCell ref="BA7:BD7"/>
    <mergeCell ref="BE7:BH7"/>
    <mergeCell ref="BI7:BJ7"/>
    <mergeCell ref="CB8:CB12"/>
    <mergeCell ref="CC8:CC12"/>
    <mergeCell ref="AN119:AO119"/>
    <mergeCell ref="AF118:AO118"/>
    <mergeCell ref="AZ109:BC109"/>
    <mergeCell ref="AP109:AS109"/>
    <mergeCell ref="AT109:AW109"/>
    <mergeCell ref="AX109:AY109"/>
    <mergeCell ref="AP110:AY110"/>
    <mergeCell ref="AP67:AS67"/>
    <mergeCell ref="AT67:AW67"/>
    <mergeCell ref="AX67:AY67"/>
    <mergeCell ref="AR68:AR72"/>
    <mergeCell ref="AV68:AV72"/>
    <mergeCell ref="AX68:AX72"/>
    <mergeCell ref="AY68:AY72"/>
    <mergeCell ref="AP118:AY118"/>
    <mergeCell ref="AD158:AE158"/>
    <mergeCell ref="AN158:AO158"/>
    <mergeCell ref="BJ109:BM109"/>
    <mergeCell ref="BN109:BQ109"/>
    <mergeCell ref="AZ110:BI110"/>
    <mergeCell ref="BJ66:BS66"/>
    <mergeCell ref="BJ110:BS110"/>
    <mergeCell ref="BP104:BP108"/>
    <mergeCell ref="BR104:BR108"/>
    <mergeCell ref="BS104:BS108"/>
    <mergeCell ref="BR109:BS109"/>
    <mergeCell ref="AZ66:BI66"/>
    <mergeCell ref="AZ67:BC67"/>
    <mergeCell ref="BD67:BG67"/>
    <mergeCell ref="BH67:BI67"/>
    <mergeCell ref="BJ67:BM67"/>
    <mergeCell ref="BN67:BQ67"/>
    <mergeCell ref="BR67:BS67"/>
    <mergeCell ref="BP68:BP72"/>
    <mergeCell ref="BR68:BR72"/>
    <mergeCell ref="BS68:BS72"/>
    <mergeCell ref="BD109:BG109"/>
    <mergeCell ref="BH109:BI109"/>
    <mergeCell ref="BK104:BK108"/>
    <mergeCell ref="T67:U67"/>
    <mergeCell ref="AD67:AE67"/>
    <mergeCell ref="AN67:AO67"/>
    <mergeCell ref="R8:R12"/>
    <mergeCell ref="AF66:AO66"/>
    <mergeCell ref="V66:AE66"/>
    <mergeCell ref="AD68:AD72"/>
    <mergeCell ref="AE68:AE72"/>
    <mergeCell ref="AN68:AN72"/>
    <mergeCell ref="AO68:AO72"/>
    <mergeCell ref="AH68:AH72"/>
    <mergeCell ref="AL68:AL72"/>
    <mergeCell ref="V58:AE58"/>
    <mergeCell ref="L58:U58"/>
    <mergeCell ref="V67:Y67"/>
    <mergeCell ref="Z67:AC67"/>
    <mergeCell ref="AF67:AI67"/>
    <mergeCell ref="AJ67:AM67"/>
    <mergeCell ref="L68:L72"/>
    <mergeCell ref="M68:M72"/>
    <mergeCell ref="O68:O72"/>
    <mergeCell ref="P68:P72"/>
    <mergeCell ref="L66:S66"/>
    <mergeCell ref="L67:O67"/>
    <mergeCell ref="AJ153:AJ157"/>
    <mergeCell ref="AK153:AK157"/>
    <mergeCell ref="AM153:AM157"/>
    <mergeCell ref="L153:L157"/>
    <mergeCell ref="M153:M157"/>
    <mergeCell ref="O153:O157"/>
    <mergeCell ref="P153:P157"/>
    <mergeCell ref="Q153:Q157"/>
    <mergeCell ref="S153:S157"/>
    <mergeCell ref="V153:V157"/>
    <mergeCell ref="W153:W157"/>
    <mergeCell ref="Y153:Y157"/>
    <mergeCell ref="AD153:AD157"/>
    <mergeCell ref="AE153:AE157"/>
    <mergeCell ref="AH153:AH157"/>
    <mergeCell ref="AL153:AL157"/>
    <mergeCell ref="AD120:AD124"/>
    <mergeCell ref="AE120:AE124"/>
    <mergeCell ref="BA160:BJ160"/>
    <mergeCell ref="BA161:BJ161"/>
    <mergeCell ref="AN153:AN157"/>
    <mergeCell ref="AO153:AO157"/>
    <mergeCell ref="AP153:AP157"/>
    <mergeCell ref="AQ153:AQ157"/>
    <mergeCell ref="AR153:AR157"/>
    <mergeCell ref="AS153:AS157"/>
    <mergeCell ref="AT153:AT157"/>
    <mergeCell ref="AU153:AU157"/>
    <mergeCell ref="AP158:AS158"/>
    <mergeCell ref="AV153:AV157"/>
    <mergeCell ref="AW153:AW157"/>
    <mergeCell ref="AX153:AX157"/>
    <mergeCell ref="AY153:AY157"/>
    <mergeCell ref="AT158:AW158"/>
    <mergeCell ref="AX158:AY158"/>
    <mergeCell ref="AP159:AY159"/>
    <mergeCell ref="BA153:BA157"/>
    <mergeCell ref="BB153:BB157"/>
    <mergeCell ref="BA159:BJ159"/>
    <mergeCell ref="AI153:AI157"/>
    <mergeCell ref="AL120:AL124"/>
    <mergeCell ref="AN120:AN124"/>
    <mergeCell ref="AO120:AO124"/>
    <mergeCell ref="AB120:AB124"/>
    <mergeCell ref="AK120:AK124"/>
    <mergeCell ref="AM120:AM124"/>
    <mergeCell ref="B121:B124"/>
    <mergeCell ref="C121:C124"/>
    <mergeCell ref="N153:N157"/>
    <mergeCell ref="R153:R157"/>
    <mergeCell ref="T153:T157"/>
    <mergeCell ref="U153:U157"/>
    <mergeCell ref="X153:X157"/>
    <mergeCell ref="AB153:AB157"/>
    <mergeCell ref="W120:W124"/>
    <mergeCell ref="Y120:Y124"/>
    <mergeCell ref="Z120:Z124"/>
    <mergeCell ref="AA120:AA124"/>
    <mergeCell ref="AC120:AC124"/>
    <mergeCell ref="AF120:AF124"/>
    <mergeCell ref="AG120:AG124"/>
    <mergeCell ref="AI120:AI124"/>
    <mergeCell ref="AJ120:AJ124"/>
    <mergeCell ref="AH120:AH124"/>
    <mergeCell ref="AR120:AR124"/>
    <mergeCell ref="AS120:AS124"/>
    <mergeCell ref="AT120:AT124"/>
    <mergeCell ref="AU120:AU124"/>
    <mergeCell ref="AV120:AV124"/>
    <mergeCell ref="AW120:AW124"/>
    <mergeCell ref="AX120:AX124"/>
    <mergeCell ref="AY120:AY124"/>
    <mergeCell ref="AP119:AS119"/>
    <mergeCell ref="AT119:AW119"/>
    <mergeCell ref="AX119:AY119"/>
    <mergeCell ref="AP120:AP124"/>
    <mergeCell ref="AQ120:AQ124"/>
    <mergeCell ref="V119:Y119"/>
    <mergeCell ref="Z119:AC119"/>
    <mergeCell ref="AF119:AI119"/>
    <mergeCell ref="AJ119:AM119"/>
    <mergeCell ref="H120:H124"/>
    <mergeCell ref="I120:I124"/>
    <mergeCell ref="J120:J124"/>
    <mergeCell ref="K120:K124"/>
    <mergeCell ref="N120:N124"/>
    <mergeCell ref="R120:R124"/>
    <mergeCell ref="T120:T124"/>
    <mergeCell ref="U120:U124"/>
    <mergeCell ref="X120:X124"/>
    <mergeCell ref="L119:O119"/>
    <mergeCell ref="P119:S119"/>
    <mergeCell ref="T119:U119"/>
    <mergeCell ref="AD119:AE119"/>
    <mergeCell ref="L120:L124"/>
    <mergeCell ref="M120:M124"/>
    <mergeCell ref="O120:O124"/>
    <mergeCell ref="P120:P124"/>
    <mergeCell ref="Q120:Q124"/>
    <mergeCell ref="S120:S124"/>
    <mergeCell ref="V120:V124"/>
    <mergeCell ref="T109:U109"/>
    <mergeCell ref="AD109:AE109"/>
    <mergeCell ref="AN109:AO109"/>
    <mergeCell ref="AF110:AO110"/>
    <mergeCell ref="V110:AE110"/>
    <mergeCell ref="L110:U110"/>
    <mergeCell ref="AF109:AI109"/>
    <mergeCell ref="L109:O109"/>
    <mergeCell ref="P109:S109"/>
    <mergeCell ref="V109:Y109"/>
    <mergeCell ref="Z109:AC109"/>
    <mergeCell ref="AJ109:AM109"/>
    <mergeCell ref="L118:U118"/>
    <mergeCell ref="V118:AE118"/>
    <mergeCell ref="L116:AY116"/>
    <mergeCell ref="L117:AY117"/>
    <mergeCell ref="BO104:BO108"/>
    <mergeCell ref="BQ104:BQ108"/>
    <mergeCell ref="AZ104:AZ108"/>
    <mergeCell ref="BA104:BA108"/>
    <mergeCell ref="AJ104:AJ108"/>
    <mergeCell ref="AK104:AK108"/>
    <mergeCell ref="AM104:AM108"/>
    <mergeCell ref="AP104:AP108"/>
    <mergeCell ref="AQ104:AQ108"/>
    <mergeCell ref="AS104:AS108"/>
    <mergeCell ref="AT104:AT108"/>
    <mergeCell ref="AU104:AU108"/>
    <mergeCell ref="AW104:AW108"/>
    <mergeCell ref="AL104:AL108"/>
    <mergeCell ref="AN104:AN108"/>
    <mergeCell ref="AO104:AO108"/>
    <mergeCell ref="AR104:AR108"/>
    <mergeCell ref="AV104:AV108"/>
    <mergeCell ref="BB104:BB108"/>
    <mergeCell ref="BC104:BC108"/>
    <mergeCell ref="AC104:AC108"/>
    <mergeCell ref="AF104:AF108"/>
    <mergeCell ref="AG104:AG108"/>
    <mergeCell ref="AI104:AI108"/>
    <mergeCell ref="AD104:AD108"/>
    <mergeCell ref="AE104:AE108"/>
    <mergeCell ref="AH104:AH108"/>
    <mergeCell ref="AB104:AB108"/>
    <mergeCell ref="BN104:BN108"/>
    <mergeCell ref="BH104:BH108"/>
    <mergeCell ref="BI104:BI108"/>
    <mergeCell ref="BJ104:BJ108"/>
    <mergeCell ref="BD104:BD108"/>
    <mergeCell ref="BE104:BE108"/>
    <mergeCell ref="BF104:BF108"/>
    <mergeCell ref="BG104:BG108"/>
    <mergeCell ref="Y68:Y72"/>
    <mergeCell ref="Z68:Z72"/>
    <mergeCell ref="AA68:AA72"/>
    <mergeCell ref="AC68:AC72"/>
    <mergeCell ref="AF68:AF72"/>
    <mergeCell ref="AB68:AB72"/>
    <mergeCell ref="BN68:BN72"/>
    <mergeCell ref="AU68:AU72"/>
    <mergeCell ref="AW68:AW72"/>
    <mergeCell ref="AG68:AG72"/>
    <mergeCell ref="AI68:AI72"/>
    <mergeCell ref="AJ68:AJ72"/>
    <mergeCell ref="AK68:AK72"/>
    <mergeCell ref="AM68:AM72"/>
    <mergeCell ref="AP68:AP72"/>
    <mergeCell ref="AQ68:AQ72"/>
    <mergeCell ref="AS68:AS72"/>
    <mergeCell ref="AT68:AT72"/>
    <mergeCell ref="BL68:BL72"/>
    <mergeCell ref="BM68:BM72"/>
    <mergeCell ref="BB68:BB72"/>
    <mergeCell ref="BC68:BC72"/>
    <mergeCell ref="BD68:BD72"/>
    <mergeCell ref="BE68:BE72"/>
    <mergeCell ref="B69:B72"/>
    <mergeCell ref="C69:C72"/>
    <mergeCell ref="N104:N108"/>
    <mergeCell ref="R104:R108"/>
    <mergeCell ref="T104:T108"/>
    <mergeCell ref="U104:U108"/>
    <mergeCell ref="X104:X108"/>
    <mergeCell ref="AZ68:AZ72"/>
    <mergeCell ref="BA68:BA72"/>
    <mergeCell ref="Q68:Q72"/>
    <mergeCell ref="S68:S72"/>
    <mergeCell ref="V68:V72"/>
    <mergeCell ref="W68:W72"/>
    <mergeCell ref="L104:L108"/>
    <mergeCell ref="M104:M108"/>
    <mergeCell ref="O104:O108"/>
    <mergeCell ref="P104:P108"/>
    <mergeCell ref="Q104:Q108"/>
    <mergeCell ref="S104:S108"/>
    <mergeCell ref="V104:V108"/>
    <mergeCell ref="W104:W108"/>
    <mergeCell ref="Y104:Y108"/>
    <mergeCell ref="Z104:Z108"/>
    <mergeCell ref="AA104:AA108"/>
    <mergeCell ref="H68:H72"/>
    <mergeCell ref="I68:I72"/>
    <mergeCell ref="J68:J72"/>
    <mergeCell ref="K68:K72"/>
    <mergeCell ref="N68:N72"/>
    <mergeCell ref="R68:R72"/>
    <mergeCell ref="T68:T72"/>
    <mergeCell ref="U68:U72"/>
    <mergeCell ref="X68:X72"/>
    <mergeCell ref="P67:S67"/>
    <mergeCell ref="BL8:BL12"/>
    <mergeCell ref="BM8:BM12"/>
    <mergeCell ref="BN8:BN12"/>
    <mergeCell ref="AF6:AO6"/>
    <mergeCell ref="AN7:AO7"/>
    <mergeCell ref="AN8:AN12"/>
    <mergeCell ref="AO8:AO12"/>
    <mergeCell ref="N52:N56"/>
    <mergeCell ref="R52:R56"/>
    <mergeCell ref="X52:X56"/>
    <mergeCell ref="AB52:AB56"/>
    <mergeCell ref="AH52:AH56"/>
    <mergeCell ref="AD52:AD56"/>
    <mergeCell ref="AE52:AE56"/>
    <mergeCell ref="T52:T56"/>
    <mergeCell ref="U52:U56"/>
    <mergeCell ref="AF58:AO58"/>
    <mergeCell ref="P52:P56"/>
    <mergeCell ref="Q52:Q56"/>
    <mergeCell ref="L6:U6"/>
    <mergeCell ref="T8:T12"/>
    <mergeCell ref="AF57:AI57"/>
    <mergeCell ref="AJ57:AM57"/>
    <mergeCell ref="L7:O7"/>
    <mergeCell ref="V7:Y7"/>
    <mergeCell ref="P7:S7"/>
    <mergeCell ref="Q8:Q12"/>
    <mergeCell ref="P8:P12"/>
    <mergeCell ref="V8:V12"/>
    <mergeCell ref="W8:W12"/>
    <mergeCell ref="Y8:Y12"/>
    <mergeCell ref="S8:S12"/>
    <mergeCell ref="U8:U12"/>
    <mergeCell ref="T7:U7"/>
    <mergeCell ref="X8:X12"/>
    <mergeCell ref="Z8:Z12"/>
    <mergeCell ref="AA8:AA12"/>
    <mergeCell ref="AM8:AM12"/>
    <mergeCell ref="BI52:BI56"/>
    <mergeCell ref="L57:O57"/>
    <mergeCell ref="M8:M12"/>
    <mergeCell ref="O8:O12"/>
    <mergeCell ref="M52:M56"/>
    <mergeCell ref="O52:O56"/>
    <mergeCell ref="N8:N12"/>
    <mergeCell ref="P57:S57"/>
    <mergeCell ref="BD8:BD12"/>
    <mergeCell ref="BE8:BE12"/>
    <mergeCell ref="BG8:BG12"/>
    <mergeCell ref="BA8:BA12"/>
    <mergeCell ref="BB8:BB12"/>
    <mergeCell ref="AB8:AB12"/>
    <mergeCell ref="AL8:AL12"/>
    <mergeCell ref="V6:AE6"/>
    <mergeCell ref="T57:U57"/>
    <mergeCell ref="AD57:AE57"/>
    <mergeCell ref="V57:Y57"/>
    <mergeCell ref="Z57:AC57"/>
    <mergeCell ref="Z7:AC7"/>
    <mergeCell ref="BH8:BH12"/>
    <mergeCell ref="BI8:BI12"/>
    <mergeCell ref="BA57:BD57"/>
    <mergeCell ref="BE57:BH57"/>
    <mergeCell ref="BI57:BJ57"/>
    <mergeCell ref="AN57:AO57"/>
    <mergeCell ref="AM52:AM56"/>
    <mergeCell ref="BA52:BA56"/>
    <mergeCell ref="BB52:BB56"/>
    <mergeCell ref="BC52:BC56"/>
    <mergeCell ref="BD52:BD56"/>
    <mergeCell ref="BE52:BE56"/>
    <mergeCell ref="BF52:BF56"/>
    <mergeCell ref="BG52:BG56"/>
    <mergeCell ref="AI52:AI56"/>
    <mergeCell ref="AJ52:AJ56"/>
    <mergeCell ref="AK52:AK56"/>
    <mergeCell ref="AJ7:AM7"/>
    <mergeCell ref="AD7:AE7"/>
    <mergeCell ref="AE8:AE12"/>
    <mergeCell ref="AJ8:AJ12"/>
    <mergeCell ref="AF7:AI7"/>
    <mergeCell ref="AA52:AA56"/>
    <mergeCell ref="AC52:AC56"/>
    <mergeCell ref="AF52:AF56"/>
    <mergeCell ref="AG52:AG56"/>
    <mergeCell ref="AK8:AK12"/>
    <mergeCell ref="B9:B12"/>
    <mergeCell ref="C9:C12"/>
    <mergeCell ref="L52:L56"/>
    <mergeCell ref="H8:H12"/>
    <mergeCell ref="I8:I12"/>
    <mergeCell ref="J8:J12"/>
    <mergeCell ref="K8:K12"/>
    <mergeCell ref="L8:L12"/>
    <mergeCell ref="AQ52:AQ56"/>
    <mergeCell ref="S52:S56"/>
    <mergeCell ref="V52:V56"/>
    <mergeCell ref="W52:W56"/>
    <mergeCell ref="Y52:Y56"/>
    <mergeCell ref="Z52:Z56"/>
    <mergeCell ref="AL52:AL56"/>
    <mergeCell ref="AN52:AN56"/>
    <mergeCell ref="AO52:AO56"/>
    <mergeCell ref="AP52:AP56"/>
    <mergeCell ref="AI8:AI12"/>
    <mergeCell ref="AD8:AD12"/>
    <mergeCell ref="AH8:AH12"/>
    <mergeCell ref="AC8:AC12"/>
    <mergeCell ref="AF8:AF12"/>
    <mergeCell ref="AG8:AG12"/>
    <mergeCell ref="CD8:CD12"/>
    <mergeCell ref="CE8:CE12"/>
    <mergeCell ref="CF8:CF12"/>
    <mergeCell ref="BP8:BP12"/>
    <mergeCell ref="BQ8:BQ12"/>
    <mergeCell ref="BR8:BR12"/>
    <mergeCell ref="BS8:BS12"/>
    <mergeCell ref="BT8:BT12"/>
    <mergeCell ref="BU8:BU12"/>
    <mergeCell ref="BW8:BW12"/>
    <mergeCell ref="BX8:BX12"/>
    <mergeCell ref="BY8:BY12"/>
    <mergeCell ref="BZ8:BZ12"/>
    <mergeCell ref="CA8:CA12"/>
    <mergeCell ref="BJ8:BJ12"/>
    <mergeCell ref="BF8:BF12"/>
    <mergeCell ref="BJ52:BJ56"/>
    <mergeCell ref="BH52:BH56"/>
    <mergeCell ref="AP6:AY6"/>
    <mergeCell ref="AP7:AS7"/>
    <mergeCell ref="AT7:AW7"/>
    <mergeCell ref="AX7:AY7"/>
    <mergeCell ref="AP8:AP12"/>
    <mergeCell ref="AQ8:AQ12"/>
    <mergeCell ref="AR8:AR12"/>
    <mergeCell ref="AS8:AS12"/>
    <mergeCell ref="AT8:AT12"/>
    <mergeCell ref="AU8:AU12"/>
    <mergeCell ref="AV8:AV12"/>
    <mergeCell ref="AW8:AW12"/>
    <mergeCell ref="AX8:AX12"/>
    <mergeCell ref="AY8:AY12"/>
    <mergeCell ref="BC8:BC12"/>
    <mergeCell ref="E118:E119"/>
    <mergeCell ref="AP58:AY58"/>
    <mergeCell ref="BW59:CF59"/>
    <mergeCell ref="BW60:CF60"/>
    <mergeCell ref="L60:AY60"/>
    <mergeCell ref="L59:AY59"/>
    <mergeCell ref="L4:AY4"/>
    <mergeCell ref="L5:AY5"/>
    <mergeCell ref="E66:E67"/>
    <mergeCell ref="AS52:AS56"/>
    <mergeCell ref="AT52:AT56"/>
    <mergeCell ref="AU52:AU56"/>
    <mergeCell ref="AV52:AV56"/>
    <mergeCell ref="AW52:AW56"/>
    <mergeCell ref="AX52:AX56"/>
    <mergeCell ref="AY52:AY56"/>
    <mergeCell ref="AP57:AS57"/>
    <mergeCell ref="AT57:AW57"/>
    <mergeCell ref="AX57:AY57"/>
    <mergeCell ref="CC52:CC56"/>
    <mergeCell ref="CD52:CD56"/>
    <mergeCell ref="CE52:CE56"/>
    <mergeCell ref="CF52:CF56"/>
    <mergeCell ref="BW57:BZ57"/>
  </mergeCells>
  <pageMargins left="0.7" right="0.7" top="0.75" bottom="0.75" header="0.3" footer="0.3"/>
  <ignoredErrors>
    <ignoredError sqref="K25 J99:J101 J42:J45 J97 J95 J91:J92 J39 J138 J133:J136 J36 J82:J87 J18:J34 J126:J131 J13:J16 J103 J140:J152 J74:J80 J47:J51 J1:J12 J52:J73 J81 J153:J198 J104:J125 J17 J132 J35 J88:J90 J37:J38 J137 J139 J40:J41 J93:J94 J96 J98 J46 J102"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110"/>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69" width="6.83203125" style="22" customWidth="1"/>
    <col min="70" max="70" width="6.5" style="22" customWidth="1"/>
    <col min="71" max="95" width="6.83203125" style="22" customWidth="1"/>
    <col min="96" max="96" width="113.83203125" style="21" customWidth="1"/>
    <col min="97" max="16384" width="10.83203125" style="21"/>
  </cols>
  <sheetData>
    <row r="1" spans="1:96" ht="17" thickBot="1" x14ac:dyDescent="0.25"/>
    <row r="2" spans="1:96" ht="20" thickBot="1" x14ac:dyDescent="0.3">
      <c r="L2" s="314" t="s">
        <v>162</v>
      </c>
      <c r="M2" s="315"/>
      <c r="N2" s="315"/>
      <c r="O2" s="315"/>
      <c r="P2" s="315"/>
      <c r="Q2" s="315"/>
      <c r="R2" s="315"/>
      <c r="S2" s="315"/>
      <c r="T2" s="315"/>
      <c r="U2" s="315"/>
      <c r="V2" s="315"/>
      <c r="W2" s="315"/>
      <c r="X2" s="315"/>
      <c r="Y2" s="315"/>
      <c r="Z2" s="315"/>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5"/>
      <c r="BB2" s="315"/>
      <c r="BC2" s="315"/>
      <c r="BD2" s="315"/>
      <c r="BE2" s="315"/>
      <c r="BF2" s="315"/>
      <c r="BG2" s="315"/>
      <c r="BH2" s="315"/>
      <c r="BI2" s="315"/>
      <c r="BJ2" s="315"/>
      <c r="BK2" s="315"/>
      <c r="BL2" s="315"/>
      <c r="BM2" s="315"/>
      <c r="BN2" s="315"/>
      <c r="BO2" s="315"/>
      <c r="BP2" s="315"/>
      <c r="BQ2" s="315"/>
      <c r="BR2" s="315"/>
      <c r="BS2" s="315"/>
      <c r="BT2" s="315"/>
      <c r="BU2" s="315"/>
      <c r="BV2" s="315"/>
      <c r="BW2" s="315"/>
      <c r="BX2" s="315"/>
      <c r="BY2" s="315"/>
      <c r="BZ2" s="315"/>
      <c r="CA2" s="315"/>
      <c r="CB2" s="315"/>
      <c r="CC2" s="315"/>
      <c r="CD2" s="315"/>
      <c r="CE2" s="315"/>
      <c r="CF2" s="315"/>
      <c r="CG2" s="315"/>
      <c r="CH2" s="315"/>
      <c r="CI2" s="315"/>
      <c r="CJ2" s="315"/>
      <c r="CK2" s="315"/>
      <c r="CL2" s="315"/>
      <c r="CM2" s="315"/>
      <c r="CN2" s="315"/>
      <c r="CO2" s="315"/>
      <c r="CP2" s="315"/>
      <c r="CQ2" s="316"/>
    </row>
    <row r="3" spans="1:96" ht="16" customHeight="1" x14ac:dyDescent="0.2">
      <c r="E3" s="374" t="s">
        <v>229</v>
      </c>
      <c r="L3" s="320" t="s">
        <v>236</v>
      </c>
      <c r="M3" s="378"/>
      <c r="N3" s="378"/>
      <c r="O3" s="321"/>
      <c r="P3" s="320" t="s">
        <v>234</v>
      </c>
      <c r="Q3" s="378"/>
      <c r="R3" s="378"/>
      <c r="S3" s="321"/>
      <c r="T3" s="338" t="s">
        <v>207</v>
      </c>
      <c r="U3" s="343"/>
      <c r="V3" s="343"/>
      <c r="W3" s="339"/>
      <c r="X3" s="338" t="s">
        <v>171</v>
      </c>
      <c r="Y3" s="343"/>
      <c r="Z3" s="343"/>
      <c r="AA3" s="339"/>
      <c r="AB3" s="338" t="s">
        <v>164</v>
      </c>
      <c r="AC3" s="343"/>
      <c r="AD3" s="343"/>
      <c r="AE3" s="339"/>
      <c r="AF3" s="338" t="s">
        <v>172</v>
      </c>
      <c r="AG3" s="343"/>
      <c r="AH3" s="343"/>
      <c r="AI3" s="339"/>
      <c r="AJ3" s="338" t="s">
        <v>170</v>
      </c>
      <c r="AK3" s="343"/>
      <c r="AL3" s="343"/>
      <c r="AM3" s="339"/>
      <c r="AN3" s="338" t="s">
        <v>173</v>
      </c>
      <c r="AO3" s="343"/>
      <c r="AP3" s="343"/>
      <c r="AQ3" s="339"/>
      <c r="AR3" s="338" t="s">
        <v>157</v>
      </c>
      <c r="AS3" s="343"/>
      <c r="AT3" s="343"/>
      <c r="AU3" s="339"/>
      <c r="AV3" s="338" t="s">
        <v>158</v>
      </c>
      <c r="AW3" s="343"/>
      <c r="AX3" s="343"/>
      <c r="AY3" s="339"/>
      <c r="AZ3" s="320" t="s">
        <v>371</v>
      </c>
      <c r="BA3" s="378"/>
      <c r="BB3" s="378"/>
      <c r="BC3" s="321"/>
      <c r="BD3" s="320" t="s">
        <v>233</v>
      </c>
      <c r="BE3" s="378"/>
      <c r="BF3" s="378"/>
      <c r="BG3" s="321"/>
      <c r="BH3" s="338" t="s">
        <v>163</v>
      </c>
      <c r="BI3" s="343"/>
      <c r="BJ3" s="343"/>
      <c r="BK3" s="339"/>
      <c r="BL3" s="338" t="s">
        <v>159</v>
      </c>
      <c r="BM3" s="343"/>
      <c r="BN3" s="343"/>
      <c r="BO3" s="339"/>
      <c r="BP3" s="320" t="s">
        <v>235</v>
      </c>
      <c r="BQ3" s="378"/>
      <c r="BR3" s="378"/>
      <c r="BS3" s="321"/>
      <c r="BT3" s="338" t="s">
        <v>160</v>
      </c>
      <c r="BU3" s="343"/>
      <c r="BV3" s="343"/>
      <c r="BW3" s="339"/>
      <c r="BX3" s="338" t="s">
        <v>205</v>
      </c>
      <c r="BY3" s="343"/>
      <c r="BZ3" s="343"/>
      <c r="CA3" s="339"/>
      <c r="CB3" s="338" t="s">
        <v>204</v>
      </c>
      <c r="CC3" s="343"/>
      <c r="CD3" s="343"/>
      <c r="CE3" s="339"/>
      <c r="CF3" s="338" t="s">
        <v>206</v>
      </c>
      <c r="CG3" s="343"/>
      <c r="CH3" s="343"/>
      <c r="CI3" s="339"/>
      <c r="CJ3" s="338" t="s">
        <v>201</v>
      </c>
      <c r="CK3" s="343"/>
      <c r="CL3" s="343"/>
      <c r="CM3" s="339"/>
      <c r="CN3" s="338" t="s">
        <v>161</v>
      </c>
      <c r="CO3" s="343"/>
      <c r="CP3" s="343"/>
      <c r="CQ3" s="339"/>
    </row>
    <row r="4" spans="1:96" ht="20" customHeight="1" x14ac:dyDescent="0.2">
      <c r="C4" s="60"/>
      <c r="E4" s="375"/>
      <c r="L4" s="322"/>
      <c r="M4" s="379"/>
      <c r="N4" s="379"/>
      <c r="O4" s="323"/>
      <c r="P4" s="322"/>
      <c r="Q4" s="379"/>
      <c r="R4" s="379"/>
      <c r="S4" s="323"/>
      <c r="T4" s="340"/>
      <c r="U4" s="334"/>
      <c r="V4" s="334"/>
      <c r="W4" s="335"/>
      <c r="X4" s="340"/>
      <c r="Y4" s="334"/>
      <c r="Z4" s="334"/>
      <c r="AA4" s="335"/>
      <c r="AB4" s="340"/>
      <c r="AC4" s="334"/>
      <c r="AD4" s="334"/>
      <c r="AE4" s="335"/>
      <c r="AF4" s="340"/>
      <c r="AG4" s="334"/>
      <c r="AH4" s="334"/>
      <c r="AI4" s="335"/>
      <c r="AJ4" s="340"/>
      <c r="AK4" s="334"/>
      <c r="AL4" s="334"/>
      <c r="AM4" s="335"/>
      <c r="AN4" s="340"/>
      <c r="AO4" s="334"/>
      <c r="AP4" s="334"/>
      <c r="AQ4" s="335"/>
      <c r="AR4" s="340"/>
      <c r="AS4" s="334"/>
      <c r="AT4" s="334"/>
      <c r="AU4" s="335"/>
      <c r="AV4" s="340"/>
      <c r="AW4" s="334"/>
      <c r="AX4" s="334"/>
      <c r="AY4" s="335"/>
      <c r="AZ4" s="322"/>
      <c r="BA4" s="379"/>
      <c r="BB4" s="379"/>
      <c r="BC4" s="323"/>
      <c r="BD4" s="322"/>
      <c r="BE4" s="379"/>
      <c r="BF4" s="379"/>
      <c r="BG4" s="323"/>
      <c r="BH4" s="340"/>
      <c r="BI4" s="334"/>
      <c r="BJ4" s="334"/>
      <c r="BK4" s="335"/>
      <c r="BL4" s="340"/>
      <c r="BM4" s="334"/>
      <c r="BN4" s="334"/>
      <c r="BO4" s="335"/>
      <c r="BP4" s="322"/>
      <c r="BQ4" s="379"/>
      <c r="BR4" s="379"/>
      <c r="BS4" s="323"/>
      <c r="BT4" s="340"/>
      <c r="BU4" s="334"/>
      <c r="BV4" s="334"/>
      <c r="BW4" s="335"/>
      <c r="BX4" s="340"/>
      <c r="BY4" s="334"/>
      <c r="BZ4" s="334"/>
      <c r="CA4" s="335"/>
      <c r="CB4" s="340"/>
      <c r="CC4" s="334"/>
      <c r="CD4" s="334"/>
      <c r="CE4" s="335"/>
      <c r="CF4" s="340"/>
      <c r="CG4" s="334"/>
      <c r="CH4" s="334"/>
      <c r="CI4" s="335"/>
      <c r="CJ4" s="340"/>
      <c r="CK4" s="334"/>
      <c r="CL4" s="334"/>
      <c r="CM4" s="335"/>
      <c r="CN4" s="340"/>
      <c r="CO4" s="334"/>
      <c r="CP4" s="334"/>
      <c r="CQ4" s="335"/>
    </row>
    <row r="5" spans="1:96" ht="20" customHeight="1" thickBot="1" x14ac:dyDescent="0.25">
      <c r="B5" s="46"/>
      <c r="C5" s="59"/>
      <c r="E5" s="372" t="s">
        <v>242</v>
      </c>
      <c r="J5" s="22"/>
      <c r="K5" s="22"/>
      <c r="L5" s="324"/>
      <c r="M5" s="380"/>
      <c r="N5" s="380"/>
      <c r="O5" s="325"/>
      <c r="P5" s="324"/>
      <c r="Q5" s="380"/>
      <c r="R5" s="380"/>
      <c r="S5" s="325"/>
      <c r="T5" s="341"/>
      <c r="U5" s="344"/>
      <c r="V5" s="344"/>
      <c r="W5" s="342"/>
      <c r="X5" s="341"/>
      <c r="Y5" s="344"/>
      <c r="Z5" s="344"/>
      <c r="AA5" s="342"/>
      <c r="AB5" s="341"/>
      <c r="AC5" s="344"/>
      <c r="AD5" s="344"/>
      <c r="AE5" s="342"/>
      <c r="AF5" s="341"/>
      <c r="AG5" s="344"/>
      <c r="AH5" s="344"/>
      <c r="AI5" s="342"/>
      <c r="AJ5" s="341"/>
      <c r="AK5" s="344"/>
      <c r="AL5" s="344"/>
      <c r="AM5" s="342"/>
      <c r="AN5" s="341"/>
      <c r="AO5" s="344"/>
      <c r="AP5" s="344"/>
      <c r="AQ5" s="342"/>
      <c r="AR5" s="341"/>
      <c r="AS5" s="344"/>
      <c r="AT5" s="344"/>
      <c r="AU5" s="342"/>
      <c r="AV5" s="341"/>
      <c r="AW5" s="344"/>
      <c r="AX5" s="344"/>
      <c r="AY5" s="342"/>
      <c r="AZ5" s="324"/>
      <c r="BA5" s="380"/>
      <c r="BB5" s="380"/>
      <c r="BC5" s="325"/>
      <c r="BD5" s="324"/>
      <c r="BE5" s="380"/>
      <c r="BF5" s="380"/>
      <c r="BG5" s="325"/>
      <c r="BH5" s="341"/>
      <c r="BI5" s="344"/>
      <c r="BJ5" s="344"/>
      <c r="BK5" s="342"/>
      <c r="BL5" s="341"/>
      <c r="BM5" s="344"/>
      <c r="BN5" s="344"/>
      <c r="BO5" s="342"/>
      <c r="BP5" s="324"/>
      <c r="BQ5" s="380"/>
      <c r="BR5" s="380"/>
      <c r="BS5" s="325"/>
      <c r="BT5" s="341"/>
      <c r="BU5" s="344"/>
      <c r="BV5" s="344"/>
      <c r="BW5" s="342"/>
      <c r="BX5" s="341"/>
      <c r="BY5" s="344"/>
      <c r="BZ5" s="344"/>
      <c r="CA5" s="342"/>
      <c r="CB5" s="341"/>
      <c r="CC5" s="344"/>
      <c r="CD5" s="344"/>
      <c r="CE5" s="342"/>
      <c r="CF5" s="341"/>
      <c r="CG5" s="344"/>
      <c r="CH5" s="344"/>
      <c r="CI5" s="342"/>
      <c r="CJ5" s="341"/>
      <c r="CK5" s="344"/>
      <c r="CL5" s="344"/>
      <c r="CM5" s="342"/>
      <c r="CN5" s="341"/>
      <c r="CO5" s="344"/>
      <c r="CP5" s="344"/>
      <c r="CQ5" s="342"/>
    </row>
    <row r="6" spans="1:96" ht="20" customHeight="1" x14ac:dyDescent="0.2">
      <c r="A6" s="702"/>
      <c r="B6" s="45"/>
      <c r="C6" s="58"/>
      <c r="E6" s="372"/>
      <c r="H6" s="370" t="s">
        <v>24</v>
      </c>
      <c r="I6" s="306" t="s">
        <v>322</v>
      </c>
      <c r="J6" s="376" t="s">
        <v>320</v>
      </c>
      <c r="K6" s="377" t="s">
        <v>321</v>
      </c>
      <c r="L6" s="365" t="s">
        <v>237</v>
      </c>
      <c r="M6" s="327" t="s">
        <v>238</v>
      </c>
      <c r="N6" s="642" t="s">
        <v>394</v>
      </c>
      <c r="O6" s="644" t="s">
        <v>449</v>
      </c>
      <c r="P6" s="366" t="s">
        <v>237</v>
      </c>
      <c r="Q6" s="327" t="s">
        <v>238</v>
      </c>
      <c r="R6" s="642" t="s">
        <v>394</v>
      </c>
      <c r="S6" s="644" t="s">
        <v>449</v>
      </c>
      <c r="T6" s="326" t="s">
        <v>237</v>
      </c>
      <c r="U6" s="327" t="s">
        <v>238</v>
      </c>
      <c r="V6" s="642" t="s">
        <v>394</v>
      </c>
      <c r="W6" s="644" t="s">
        <v>449</v>
      </c>
      <c r="X6" s="365" t="s">
        <v>237</v>
      </c>
      <c r="Y6" s="327" t="s">
        <v>238</v>
      </c>
      <c r="Z6" s="642" t="s">
        <v>394</v>
      </c>
      <c r="AA6" s="644" t="s">
        <v>449</v>
      </c>
      <c r="AB6" s="365" t="s">
        <v>237</v>
      </c>
      <c r="AC6" s="327" t="s">
        <v>238</v>
      </c>
      <c r="AD6" s="642" t="s">
        <v>394</v>
      </c>
      <c r="AE6" s="644" t="s">
        <v>449</v>
      </c>
      <c r="AF6" s="367" t="s">
        <v>237</v>
      </c>
      <c r="AG6" s="327" t="s">
        <v>238</v>
      </c>
      <c r="AH6" s="642" t="s">
        <v>394</v>
      </c>
      <c r="AI6" s="644" t="s">
        <v>449</v>
      </c>
      <c r="AJ6" s="365" t="s">
        <v>237</v>
      </c>
      <c r="AK6" s="327" t="s">
        <v>238</v>
      </c>
      <c r="AL6" s="642" t="s">
        <v>394</v>
      </c>
      <c r="AM6" s="644" t="s">
        <v>449</v>
      </c>
      <c r="AN6" s="365" t="s">
        <v>237</v>
      </c>
      <c r="AO6" s="327" t="s">
        <v>238</v>
      </c>
      <c r="AP6" s="642" t="s">
        <v>394</v>
      </c>
      <c r="AQ6" s="644" t="s">
        <v>449</v>
      </c>
      <c r="AR6" s="363" t="s">
        <v>237</v>
      </c>
      <c r="AS6" s="345" t="s">
        <v>238</v>
      </c>
      <c r="AT6" s="642" t="s">
        <v>394</v>
      </c>
      <c r="AU6" s="644" t="s">
        <v>449</v>
      </c>
      <c r="AV6" s="365" t="s">
        <v>237</v>
      </c>
      <c r="AW6" s="327" t="s">
        <v>238</v>
      </c>
      <c r="AX6" s="642" t="s">
        <v>394</v>
      </c>
      <c r="AY6" s="644" t="s">
        <v>449</v>
      </c>
      <c r="AZ6" s="326" t="s">
        <v>237</v>
      </c>
      <c r="BA6" s="327" t="s">
        <v>238</v>
      </c>
      <c r="BB6" s="642" t="s">
        <v>394</v>
      </c>
      <c r="BC6" s="644" t="s">
        <v>449</v>
      </c>
      <c r="BD6" s="366" t="s">
        <v>237</v>
      </c>
      <c r="BE6" s="327" t="s">
        <v>238</v>
      </c>
      <c r="BF6" s="642" t="s">
        <v>394</v>
      </c>
      <c r="BG6" s="644" t="s">
        <v>449</v>
      </c>
      <c r="BH6" s="365" t="s">
        <v>237</v>
      </c>
      <c r="BI6" s="327" t="s">
        <v>238</v>
      </c>
      <c r="BJ6" s="642" t="s">
        <v>394</v>
      </c>
      <c r="BK6" s="644" t="s">
        <v>449</v>
      </c>
      <c r="BL6" s="365" t="s">
        <v>237</v>
      </c>
      <c r="BM6" s="327" t="s">
        <v>238</v>
      </c>
      <c r="BN6" s="642" t="s">
        <v>394</v>
      </c>
      <c r="BO6" s="644" t="s">
        <v>449</v>
      </c>
      <c r="BP6" s="366" t="s">
        <v>237</v>
      </c>
      <c r="BQ6" s="327" t="s">
        <v>238</v>
      </c>
      <c r="BR6" s="642" t="s">
        <v>394</v>
      </c>
      <c r="BS6" s="644" t="s">
        <v>449</v>
      </c>
      <c r="BT6" s="365" t="s">
        <v>237</v>
      </c>
      <c r="BU6" s="327" t="s">
        <v>238</v>
      </c>
      <c r="BV6" s="642" t="s">
        <v>394</v>
      </c>
      <c r="BW6" s="644" t="s">
        <v>449</v>
      </c>
      <c r="BX6" s="365" t="s">
        <v>237</v>
      </c>
      <c r="BY6" s="327" t="s">
        <v>238</v>
      </c>
      <c r="BZ6" s="642" t="s">
        <v>394</v>
      </c>
      <c r="CA6" s="644" t="s">
        <v>449</v>
      </c>
      <c r="CB6" s="365" t="s">
        <v>237</v>
      </c>
      <c r="CC6" s="327" t="s">
        <v>238</v>
      </c>
      <c r="CD6" s="642" t="s">
        <v>394</v>
      </c>
      <c r="CE6" s="644" t="s">
        <v>449</v>
      </c>
      <c r="CF6" s="365" t="s">
        <v>237</v>
      </c>
      <c r="CG6" s="327" t="s">
        <v>238</v>
      </c>
      <c r="CH6" s="642" t="s">
        <v>394</v>
      </c>
      <c r="CI6" s="644" t="s">
        <v>449</v>
      </c>
      <c r="CJ6" s="365" t="s">
        <v>237</v>
      </c>
      <c r="CK6" s="327" t="s">
        <v>238</v>
      </c>
      <c r="CL6" s="642" t="s">
        <v>394</v>
      </c>
      <c r="CM6" s="644" t="s">
        <v>449</v>
      </c>
      <c r="CN6" s="363" t="s">
        <v>237</v>
      </c>
      <c r="CO6" s="327" t="s">
        <v>238</v>
      </c>
      <c r="CP6" s="642" t="s">
        <v>394</v>
      </c>
      <c r="CQ6" s="644" t="s">
        <v>449</v>
      </c>
    </row>
    <row r="7" spans="1:96" ht="23" customHeight="1" thickBot="1" x14ac:dyDescent="0.25">
      <c r="A7" s="370" t="s">
        <v>597</v>
      </c>
      <c r="B7" s="370" t="s">
        <v>245</v>
      </c>
      <c r="C7" s="371" t="s">
        <v>479</v>
      </c>
      <c r="E7" s="373"/>
      <c r="H7" s="370"/>
      <c r="I7" s="293"/>
      <c r="J7" s="294"/>
      <c r="K7" s="295"/>
      <c r="L7" s="365"/>
      <c r="M7" s="327"/>
      <c r="N7" s="643"/>
      <c r="O7" s="645"/>
      <c r="P7" s="366"/>
      <c r="Q7" s="327"/>
      <c r="R7" s="643"/>
      <c r="S7" s="645"/>
      <c r="T7" s="326"/>
      <c r="U7" s="327"/>
      <c r="V7" s="643"/>
      <c r="W7" s="645"/>
      <c r="X7" s="365"/>
      <c r="Y7" s="327"/>
      <c r="Z7" s="643"/>
      <c r="AA7" s="645"/>
      <c r="AB7" s="365"/>
      <c r="AC7" s="327"/>
      <c r="AD7" s="643"/>
      <c r="AE7" s="645"/>
      <c r="AF7" s="368"/>
      <c r="AG7" s="327"/>
      <c r="AH7" s="643"/>
      <c r="AI7" s="645"/>
      <c r="AJ7" s="365"/>
      <c r="AK7" s="327"/>
      <c r="AL7" s="643"/>
      <c r="AM7" s="645"/>
      <c r="AN7" s="365"/>
      <c r="AO7" s="327"/>
      <c r="AP7" s="643"/>
      <c r="AQ7" s="645"/>
      <c r="AR7" s="364"/>
      <c r="AS7" s="346"/>
      <c r="AT7" s="643"/>
      <c r="AU7" s="645"/>
      <c r="AV7" s="365"/>
      <c r="AW7" s="327"/>
      <c r="AX7" s="643"/>
      <c r="AY7" s="645"/>
      <c r="AZ7" s="326"/>
      <c r="BA7" s="327"/>
      <c r="BB7" s="643"/>
      <c r="BC7" s="645"/>
      <c r="BD7" s="365"/>
      <c r="BE7" s="327"/>
      <c r="BF7" s="643"/>
      <c r="BG7" s="645"/>
      <c r="BH7" s="365"/>
      <c r="BI7" s="327"/>
      <c r="BJ7" s="643"/>
      <c r="BK7" s="645"/>
      <c r="BL7" s="365"/>
      <c r="BM7" s="327"/>
      <c r="BN7" s="643"/>
      <c r="BO7" s="645"/>
      <c r="BP7" s="366"/>
      <c r="BQ7" s="327"/>
      <c r="BR7" s="643"/>
      <c r="BS7" s="645"/>
      <c r="BT7" s="365"/>
      <c r="BU7" s="327"/>
      <c r="BV7" s="643"/>
      <c r="BW7" s="645"/>
      <c r="BX7" s="365"/>
      <c r="BY7" s="327"/>
      <c r="BZ7" s="643"/>
      <c r="CA7" s="645"/>
      <c r="CB7" s="365"/>
      <c r="CC7" s="327"/>
      <c r="CD7" s="643"/>
      <c r="CE7" s="645"/>
      <c r="CF7" s="365"/>
      <c r="CG7" s="327"/>
      <c r="CH7" s="643"/>
      <c r="CI7" s="645"/>
      <c r="CJ7" s="365"/>
      <c r="CK7" s="327"/>
      <c r="CL7" s="643"/>
      <c r="CM7" s="645"/>
      <c r="CN7" s="364"/>
      <c r="CO7" s="327"/>
      <c r="CP7" s="643"/>
      <c r="CQ7" s="645"/>
    </row>
    <row r="8" spans="1:96" ht="23" customHeight="1" x14ac:dyDescent="0.2">
      <c r="A8" s="370"/>
      <c r="B8" s="370"/>
      <c r="C8" s="371"/>
      <c r="H8" s="370"/>
      <c r="I8" s="293"/>
      <c r="J8" s="294"/>
      <c r="K8" s="295"/>
      <c r="L8" s="365"/>
      <c r="M8" s="327"/>
      <c r="N8" s="643"/>
      <c r="O8" s="645"/>
      <c r="P8" s="366"/>
      <c r="Q8" s="327"/>
      <c r="R8" s="643"/>
      <c r="S8" s="645"/>
      <c r="T8" s="326"/>
      <c r="U8" s="327"/>
      <c r="V8" s="643"/>
      <c r="W8" s="645"/>
      <c r="X8" s="365"/>
      <c r="Y8" s="327"/>
      <c r="Z8" s="643"/>
      <c r="AA8" s="645"/>
      <c r="AB8" s="365"/>
      <c r="AC8" s="327"/>
      <c r="AD8" s="643"/>
      <c r="AE8" s="645"/>
      <c r="AF8" s="368"/>
      <c r="AG8" s="327"/>
      <c r="AH8" s="643"/>
      <c r="AI8" s="645"/>
      <c r="AJ8" s="365"/>
      <c r="AK8" s="327"/>
      <c r="AL8" s="643"/>
      <c r="AM8" s="645"/>
      <c r="AN8" s="365"/>
      <c r="AO8" s="327"/>
      <c r="AP8" s="643"/>
      <c r="AQ8" s="645"/>
      <c r="AR8" s="364"/>
      <c r="AS8" s="346"/>
      <c r="AT8" s="643"/>
      <c r="AU8" s="645"/>
      <c r="AV8" s="365"/>
      <c r="AW8" s="327"/>
      <c r="AX8" s="643"/>
      <c r="AY8" s="645"/>
      <c r="AZ8" s="326"/>
      <c r="BA8" s="327"/>
      <c r="BB8" s="643"/>
      <c r="BC8" s="645"/>
      <c r="BD8" s="365"/>
      <c r="BE8" s="327"/>
      <c r="BF8" s="643"/>
      <c r="BG8" s="645"/>
      <c r="BH8" s="365"/>
      <c r="BI8" s="327"/>
      <c r="BJ8" s="643"/>
      <c r="BK8" s="645"/>
      <c r="BL8" s="365"/>
      <c r="BM8" s="327"/>
      <c r="BN8" s="643"/>
      <c r="BO8" s="645"/>
      <c r="BP8" s="366"/>
      <c r="BQ8" s="327"/>
      <c r="BR8" s="643"/>
      <c r="BS8" s="645"/>
      <c r="BT8" s="365"/>
      <c r="BU8" s="327"/>
      <c r="BV8" s="643"/>
      <c r="BW8" s="645"/>
      <c r="BX8" s="365"/>
      <c r="BY8" s="327"/>
      <c r="BZ8" s="643"/>
      <c r="CA8" s="645"/>
      <c r="CB8" s="365"/>
      <c r="CC8" s="327"/>
      <c r="CD8" s="643"/>
      <c r="CE8" s="645"/>
      <c r="CF8" s="365"/>
      <c r="CG8" s="327"/>
      <c r="CH8" s="643"/>
      <c r="CI8" s="645"/>
      <c r="CJ8" s="365"/>
      <c r="CK8" s="327"/>
      <c r="CL8" s="643"/>
      <c r="CM8" s="645"/>
      <c r="CN8" s="364"/>
      <c r="CO8" s="327"/>
      <c r="CP8" s="643"/>
      <c r="CQ8" s="645"/>
    </row>
    <row r="9" spans="1:96" ht="23" customHeight="1" x14ac:dyDescent="0.2">
      <c r="A9" s="370"/>
      <c r="B9" s="370"/>
      <c r="C9" s="371"/>
      <c r="H9" s="370"/>
      <c r="I9" s="293"/>
      <c r="J9" s="294"/>
      <c r="K9" s="295"/>
      <c r="L9" s="365"/>
      <c r="M9" s="327"/>
      <c r="N9" s="643"/>
      <c r="O9" s="645"/>
      <c r="P9" s="366"/>
      <c r="Q9" s="327"/>
      <c r="R9" s="643"/>
      <c r="S9" s="645"/>
      <c r="T9" s="326"/>
      <c r="U9" s="327"/>
      <c r="V9" s="643"/>
      <c r="W9" s="645"/>
      <c r="X9" s="365"/>
      <c r="Y9" s="327"/>
      <c r="Z9" s="643"/>
      <c r="AA9" s="645"/>
      <c r="AB9" s="365"/>
      <c r="AC9" s="327"/>
      <c r="AD9" s="643"/>
      <c r="AE9" s="645"/>
      <c r="AF9" s="368"/>
      <c r="AG9" s="327"/>
      <c r="AH9" s="643"/>
      <c r="AI9" s="645"/>
      <c r="AJ9" s="365"/>
      <c r="AK9" s="327"/>
      <c r="AL9" s="643"/>
      <c r="AM9" s="645"/>
      <c r="AN9" s="365"/>
      <c r="AO9" s="327"/>
      <c r="AP9" s="643"/>
      <c r="AQ9" s="645"/>
      <c r="AR9" s="364"/>
      <c r="AS9" s="346"/>
      <c r="AT9" s="643"/>
      <c r="AU9" s="645"/>
      <c r="AV9" s="365"/>
      <c r="AW9" s="327"/>
      <c r="AX9" s="643"/>
      <c r="AY9" s="645"/>
      <c r="AZ9" s="326"/>
      <c r="BA9" s="327"/>
      <c r="BB9" s="643"/>
      <c r="BC9" s="645"/>
      <c r="BD9" s="365"/>
      <c r="BE9" s="327"/>
      <c r="BF9" s="643"/>
      <c r="BG9" s="645"/>
      <c r="BH9" s="365"/>
      <c r="BI9" s="327"/>
      <c r="BJ9" s="643"/>
      <c r="BK9" s="645"/>
      <c r="BL9" s="365"/>
      <c r="BM9" s="327"/>
      <c r="BN9" s="643"/>
      <c r="BO9" s="645"/>
      <c r="BP9" s="366"/>
      <c r="BQ9" s="327"/>
      <c r="BR9" s="643"/>
      <c r="BS9" s="645"/>
      <c r="BT9" s="365"/>
      <c r="BU9" s="327"/>
      <c r="BV9" s="643"/>
      <c r="BW9" s="645"/>
      <c r="BX9" s="365"/>
      <c r="BY9" s="327"/>
      <c r="BZ9" s="643"/>
      <c r="CA9" s="645"/>
      <c r="CB9" s="365"/>
      <c r="CC9" s="327"/>
      <c r="CD9" s="643"/>
      <c r="CE9" s="645"/>
      <c r="CF9" s="365"/>
      <c r="CG9" s="327"/>
      <c r="CH9" s="643"/>
      <c r="CI9" s="645"/>
      <c r="CJ9" s="365"/>
      <c r="CK9" s="327"/>
      <c r="CL9" s="643"/>
      <c r="CM9" s="645"/>
      <c r="CN9" s="364"/>
      <c r="CO9" s="327"/>
      <c r="CP9" s="643"/>
      <c r="CQ9" s="645"/>
    </row>
    <row r="10" spans="1:96" s="20" customFormat="1" ht="23" customHeight="1" thickBot="1" x14ac:dyDescent="0.25">
      <c r="A10" s="370"/>
      <c r="B10" s="370"/>
      <c r="C10" s="371"/>
      <c r="D10" s="706" t="s">
        <v>20</v>
      </c>
      <c r="E10" s="174" t="s">
        <v>21</v>
      </c>
      <c r="F10" s="174" t="s">
        <v>22</v>
      </c>
      <c r="G10" s="706" t="s">
        <v>23</v>
      </c>
      <c r="H10" s="370"/>
      <c r="I10" s="293"/>
      <c r="J10" s="294"/>
      <c r="K10" s="295"/>
      <c r="L10" s="363"/>
      <c r="M10" s="345"/>
      <c r="N10" s="643"/>
      <c r="O10" s="645"/>
      <c r="P10" s="367"/>
      <c r="Q10" s="345"/>
      <c r="R10" s="643"/>
      <c r="S10" s="645"/>
      <c r="T10" s="707"/>
      <c r="U10" s="345"/>
      <c r="V10" s="643"/>
      <c r="W10" s="645"/>
      <c r="X10" s="363"/>
      <c r="Y10" s="345"/>
      <c r="Z10" s="643"/>
      <c r="AA10" s="645"/>
      <c r="AB10" s="363"/>
      <c r="AC10" s="345"/>
      <c r="AD10" s="643"/>
      <c r="AE10" s="645"/>
      <c r="AF10" s="368"/>
      <c r="AG10" s="345"/>
      <c r="AH10" s="643"/>
      <c r="AI10" s="645"/>
      <c r="AJ10" s="363"/>
      <c r="AK10" s="345"/>
      <c r="AL10" s="643"/>
      <c r="AM10" s="645"/>
      <c r="AN10" s="363"/>
      <c r="AO10" s="345"/>
      <c r="AP10" s="643"/>
      <c r="AQ10" s="645"/>
      <c r="AR10" s="364"/>
      <c r="AS10" s="346"/>
      <c r="AT10" s="643"/>
      <c r="AU10" s="645"/>
      <c r="AV10" s="363"/>
      <c r="AW10" s="345"/>
      <c r="AX10" s="643"/>
      <c r="AY10" s="645"/>
      <c r="AZ10" s="707"/>
      <c r="BA10" s="345"/>
      <c r="BB10" s="643"/>
      <c r="BC10" s="645"/>
      <c r="BD10" s="363"/>
      <c r="BE10" s="345"/>
      <c r="BF10" s="643"/>
      <c r="BG10" s="645"/>
      <c r="BH10" s="363"/>
      <c r="BI10" s="345"/>
      <c r="BJ10" s="643"/>
      <c r="BK10" s="645"/>
      <c r="BL10" s="363"/>
      <c r="BM10" s="345"/>
      <c r="BN10" s="643"/>
      <c r="BO10" s="645"/>
      <c r="BP10" s="367"/>
      <c r="BQ10" s="345"/>
      <c r="BR10" s="643"/>
      <c r="BS10" s="645"/>
      <c r="BT10" s="363"/>
      <c r="BU10" s="345"/>
      <c r="BV10" s="643"/>
      <c r="BW10" s="645"/>
      <c r="BX10" s="363"/>
      <c r="BY10" s="345"/>
      <c r="BZ10" s="643"/>
      <c r="CA10" s="645"/>
      <c r="CB10" s="363"/>
      <c r="CC10" s="345"/>
      <c r="CD10" s="643"/>
      <c r="CE10" s="645"/>
      <c r="CF10" s="363"/>
      <c r="CG10" s="345"/>
      <c r="CH10" s="643"/>
      <c r="CI10" s="645"/>
      <c r="CJ10" s="363"/>
      <c r="CK10" s="345"/>
      <c r="CL10" s="643"/>
      <c r="CM10" s="645"/>
      <c r="CN10" s="364"/>
      <c r="CO10" s="345"/>
      <c r="CP10" s="643"/>
      <c r="CQ10" s="645"/>
      <c r="CR10" s="708" t="s">
        <v>25</v>
      </c>
    </row>
    <row r="11" spans="1:96" s="20" customFormat="1" ht="20" customHeight="1" x14ac:dyDescent="0.2">
      <c r="A11" s="717"/>
      <c r="B11" s="718"/>
      <c r="C11" s="262"/>
      <c r="D11" s="719" t="s">
        <v>85</v>
      </c>
      <c r="E11" s="720" t="s">
        <v>246</v>
      </c>
      <c r="F11" s="720" t="s">
        <v>247</v>
      </c>
      <c r="G11" s="719">
        <v>2015</v>
      </c>
      <c r="H11" s="286"/>
      <c r="I11" s="709">
        <v>40</v>
      </c>
      <c r="J11" s="710" t="s">
        <v>323</v>
      </c>
      <c r="K11" s="711" t="s">
        <v>324</v>
      </c>
      <c r="L11" s="714"/>
      <c r="M11" s="713" t="str">
        <f t="shared" ref="M11:M96" si="0">IF((ISERROR((L11/$I11)*100)), "", IF(AND(NOT(ISERROR((L11/$I11)*100)),((L11/$I11)*100) &lt;&gt; 0), (L11/$I11)*100, ""))</f>
        <v/>
      </c>
      <c r="N11" s="796"/>
      <c r="O11" s="797" t="str">
        <f t="shared" ref="O11:O96" si="1">IF(AND(NOT(ISERROR(L11-N11)), AND(N11&lt;&gt;"", L11&lt;&gt;"")), L11-N11, "")</f>
        <v/>
      </c>
      <c r="P11" s="712"/>
      <c r="Q11" s="713" t="str">
        <f t="shared" ref="Q11:Q85" si="2">IF((ISERROR((P11/$I11)*100)), "", IF(AND(NOT(ISERROR((P11/$I11)*100)),((P11/$I11)*100) &lt;&gt; 0), (P11/$I11)*100, ""))</f>
        <v/>
      </c>
      <c r="R11" s="796"/>
      <c r="S11" s="798" t="str">
        <f t="shared" ref="S11:S96" si="3">IF(AND(NOT(ISERROR(P11-R11)), AND(R11&lt;&gt;"", P11&lt;&gt;"")), P11-R11, "")</f>
        <v/>
      </c>
      <c r="T11" s="715"/>
      <c r="U11" s="716" t="str">
        <f t="shared" ref="U11:U64" si="4">IF((ISERROR((T11/$I11)*100)), "", IF(AND(NOT(ISERROR((T11/$I11)*100)),((T11/$I11)*100) &lt;&gt; 0), (T11/$I11)*100, ""))</f>
        <v/>
      </c>
      <c r="V11" s="796"/>
      <c r="W11" s="798" t="str">
        <f t="shared" ref="W11:W96" si="5">IF(AND(NOT(ISERROR(T11-V11)), AND(V11&lt;&gt;"", T11&lt;&gt;"")), T11-V11, "")</f>
        <v/>
      </c>
      <c r="X11" s="714"/>
      <c r="Y11" s="713" t="str">
        <f t="shared" ref="Y11:Y85" si="6">IF((ISERROR((X11/$I11)*100)), "", IF(AND(NOT(ISERROR((X11/$I11)*100)),((X11/$I11)*100) &lt;&gt; 0), (X11/$I11)*100, ""))</f>
        <v/>
      </c>
      <c r="Z11" s="796"/>
      <c r="AA11" s="798" t="str">
        <f t="shared" ref="AA11:AA96" si="7">IF(AND(NOT(ISERROR(X11-Z11)), AND(Z11&lt;&gt;"", X11&lt;&gt;"")), X11-Z11, "")</f>
        <v/>
      </c>
      <c r="AB11" s="714"/>
      <c r="AC11" s="713" t="str">
        <f t="shared" ref="AC11:AC85" si="8">IF((ISERROR((AB11/$I11)*100)), "", IF(AND(NOT(ISERROR((AB11/$I11)*100)),((AB11/$I11)*100) &lt;&gt; 0), (AB11/$I11)*100, ""))</f>
        <v/>
      </c>
      <c r="AD11" s="796"/>
      <c r="AE11" s="798" t="str">
        <f t="shared" ref="AE11:AE96" si="9">IF(AND(NOT(ISERROR(AB11-AD11)), AND(AD11&lt;&gt;"", AB11&lt;&gt;"")), AB11-AD11, "")</f>
        <v/>
      </c>
      <c r="AF11" s="712"/>
      <c r="AG11" s="713" t="str">
        <f t="shared" ref="AG11:AG90" si="10">IF((ISERROR((AF11/$I11)*100)), "", IF(AND(NOT(ISERROR((AF11/$I11)*100)),((AF11/$I11)*100) &lt;&gt; 0), (AF11/$I11)*100, ""))</f>
        <v/>
      </c>
      <c r="AH11" s="796"/>
      <c r="AI11" s="798" t="str">
        <f t="shared" ref="AI11:AI96" si="11">IF(AND(NOT(ISERROR(AF11-AH11)), AND(AH11&lt;&gt;"", AF11&lt;&gt;"")), AF11-AH11, "")</f>
        <v/>
      </c>
      <c r="AJ11" s="714"/>
      <c r="AK11" s="713" t="str">
        <f t="shared" ref="AK11:AK85" si="12">IF((ISERROR((AJ11/$I11)*100)), "", IF(AND(NOT(ISERROR((AJ11/$I11)*100)),((AJ11/$I11)*100) &lt;&gt; 0), (AJ11/$I11)*100, ""))</f>
        <v/>
      </c>
      <c r="AL11" s="796"/>
      <c r="AM11" s="798" t="str">
        <f t="shared" ref="AM11:AM96" si="13">IF(AND(NOT(ISERROR(AJ11-AL11)), AND(AL11&lt;&gt;"", AJ11&lt;&gt;"")), AJ11-AL11, "")</f>
        <v/>
      </c>
      <c r="AN11" s="714"/>
      <c r="AO11" s="713" t="str">
        <f t="shared" ref="AO11:AO85" si="14">IF((ISERROR((AN11/$I11)*100)), "", IF(AND(NOT(ISERROR((AN11/$I11)*100)),((AN11/$I11)*100) &lt;&gt; 0), (AN11/$I11)*100, ""))</f>
        <v/>
      </c>
      <c r="AP11" s="796"/>
      <c r="AQ11" s="798" t="str">
        <f t="shared" ref="AQ11:AQ96" si="15">IF(AND(NOT(ISERROR(AN11-AP11)), AND(AP11&lt;&gt;"", AN11&lt;&gt;"")), AN11-AP11, "")</f>
        <v/>
      </c>
      <c r="AR11" s="714"/>
      <c r="AS11" s="713" t="str">
        <f t="shared" ref="AS11:AS85" si="16">IF((ISERROR((AR11/$I11)*100)), "", IF(AND(NOT(ISERROR((AR11/$I11)*100)),((AR11/$I11)*100) &lt;&gt; 0), (AR11/$I11)*100, ""))</f>
        <v/>
      </c>
      <c r="AT11" s="796"/>
      <c r="AU11" s="798" t="str">
        <f t="shared" ref="AU11:AU13" si="17">IF(AND(NOT(ISERROR(AR11-AT11)), AND(AT11&lt;&gt;"", AR11&lt;&gt;"")), AR11-AT11, "")</f>
        <v/>
      </c>
      <c r="AV11" s="714"/>
      <c r="AW11" s="713" t="str">
        <f t="shared" ref="AW11:AW96" si="18">IF((ISERROR((AV11/$I11)*100)), "", IF(AND(NOT(ISERROR((AV11/$I11)*100)),((AV11/$I11)*100) &lt;&gt; 0), (AV11/$I11)*100, ""))</f>
        <v/>
      </c>
      <c r="AX11" s="796"/>
      <c r="AY11" s="798" t="str">
        <f t="shared" ref="AY11:AY96" si="19">IF(AND(NOT(ISERROR(AV11-AX11)), AND(AX11&lt;&gt;"", AV11&lt;&gt;"")), AV11-AX11, "")</f>
        <v/>
      </c>
      <c r="AZ11" s="715"/>
      <c r="BA11" s="716" t="str">
        <f t="shared" ref="BA11:BA85" si="20">IF((ISERROR((AZ11/$I11)*100)), "", IF(AND(NOT(ISERROR((AZ11/$I11)*100)),((AZ11/$I11)*100) &lt;&gt; 0), (AZ11/$I11)*100, ""))</f>
        <v/>
      </c>
      <c r="BB11" s="796"/>
      <c r="BC11" s="798" t="str">
        <f t="shared" ref="BC11:BC96" si="21">IF(AND(NOT(ISERROR(AZ11-BB11)), AND(BB11&lt;&gt;"", AZ11&lt;&gt;"")), AZ11-BB11, "")</f>
        <v/>
      </c>
      <c r="BD11" s="714"/>
      <c r="BE11" s="713" t="str">
        <f t="shared" ref="BE11:BE85" si="22">IF((ISERROR((BD11/$I11)*100)), "", IF(AND(NOT(ISERROR((BD11/$I11)*100)),((BD11/$I11)*100) &lt;&gt; 0), (BD11/$I11)*100, ""))</f>
        <v/>
      </c>
      <c r="BF11" s="796"/>
      <c r="BG11" s="798" t="str">
        <f t="shared" ref="BG11:BG96" si="23">IF(AND(NOT(ISERROR(BD11-BF11)), AND(BF11&lt;&gt;"", BD11&lt;&gt;"")), BD11-BF11, "")</f>
        <v/>
      </c>
      <c r="BH11" s="714"/>
      <c r="BI11" s="713" t="str">
        <f t="shared" ref="BI11:BI85" si="24">IF((ISERROR((BH11/$I11)*100)), "", IF(AND(NOT(ISERROR((BH11/$I11)*100)),((BH11/$I11)*100) &lt;&gt; 0), (BH11/$I11)*100, ""))</f>
        <v/>
      </c>
      <c r="BJ11" s="796"/>
      <c r="BK11" s="798" t="str">
        <f t="shared" ref="BK11:BK96" si="25">IF(AND(NOT(ISERROR(BH11-BJ11)), AND(BJ11&lt;&gt;"", BH11&lt;&gt;"")), BH11-BJ11, "")</f>
        <v/>
      </c>
      <c r="BL11" s="714"/>
      <c r="BM11" s="713" t="str">
        <f t="shared" ref="BM11:BM85" si="26">IF((ISERROR((BL11/$I11)*100)), "", IF(AND(NOT(ISERROR((BL11/$I11)*100)),((BL11/$I11)*100) &lt;&gt; 0), (BL11/$I11)*100, ""))</f>
        <v/>
      </c>
      <c r="BN11" s="796"/>
      <c r="BO11" s="798" t="str">
        <f t="shared" ref="BO11:BO96" si="27">IF(AND(NOT(ISERROR(BL11-BN11)), AND(BN11&lt;&gt;"", BL11&lt;&gt;"")), BL11-BN11, "")</f>
        <v/>
      </c>
      <c r="BP11" s="712"/>
      <c r="BQ11" s="713" t="str">
        <f t="shared" ref="BQ11:BQ96" si="28">IF((ISERROR((BP11/$I11)*100)), "", IF(AND(NOT(ISERROR((BP11/$I11)*100)),((BP11/$I11)*100) &lt;&gt; 0), (BP11/$I11)*100, ""))</f>
        <v/>
      </c>
      <c r="BR11" s="796"/>
      <c r="BS11" s="798" t="str">
        <f t="shared" ref="BS11:BS96" si="29">IF(AND(NOT(ISERROR(BP11-BR11)), AND(BR11&lt;&gt;"", BP11&lt;&gt;"")), BP11-BR11, "")</f>
        <v/>
      </c>
      <c r="BT11" s="714"/>
      <c r="BU11" s="713" t="str">
        <f t="shared" ref="BU11:BU96" si="30">IF((ISERROR((BT11/$I11)*100)), "", IF(AND(NOT(ISERROR((BT11/$I11)*100)),((BT11/$I11)*100) &lt;&gt; 0), (BT11/$I11)*100, ""))</f>
        <v/>
      </c>
      <c r="BV11" s="796"/>
      <c r="BW11" s="798" t="str">
        <f t="shared" ref="BW11:BW96" si="31">IF(AND(NOT(ISERROR(BT11-BV11)), AND(BV11&lt;&gt;"", BT11&lt;&gt;"")), BT11-BV11, "")</f>
        <v/>
      </c>
      <c r="BX11" s="714"/>
      <c r="BY11" s="713" t="str">
        <f t="shared" ref="BY11:BY96" si="32">IF((ISERROR((BX11/$I11)*100)), "", IF(AND(NOT(ISERROR((BX11/$I11)*100)),((BX11/$I11)*100) &lt;&gt; 0), (BX11/$I11)*100, ""))</f>
        <v/>
      </c>
      <c r="BZ11" s="796"/>
      <c r="CA11" s="798" t="str">
        <f t="shared" ref="CA11:CA96" si="33">IF(AND(NOT(ISERROR(BX11-BZ11)), AND(BZ11&lt;&gt;"", BX11&lt;&gt;"")), BX11-BZ11, "")</f>
        <v/>
      </c>
      <c r="CB11" s="714"/>
      <c r="CC11" s="713" t="str">
        <f t="shared" ref="CC11:CC96" si="34">IF((ISERROR((CB11/$I11)*100)), "", IF(AND(NOT(ISERROR((CB11/$I11)*100)),((CB11/$I11)*100) &lt;&gt; 0), (CB11/$I11)*100, ""))</f>
        <v/>
      </c>
      <c r="CD11" s="796"/>
      <c r="CE11" s="798" t="str">
        <f t="shared" ref="CE11:CE96" si="35">IF(AND(NOT(ISERROR(CB11-CD11)), AND(CD11&lt;&gt;"", CB11&lt;&gt;"")), CB11-CD11, "")</f>
        <v/>
      </c>
      <c r="CF11" s="714"/>
      <c r="CG11" s="713" t="str">
        <f t="shared" ref="CG11:CG96" si="36">IF((ISERROR((CF11/$I11)*100)), "", IF(AND(NOT(ISERROR((CF11/$I11)*100)),((CF11/$I11)*100) &lt;&gt; 0), (CF11/$I11)*100, ""))</f>
        <v/>
      </c>
      <c r="CH11" s="796"/>
      <c r="CI11" s="798" t="str">
        <f t="shared" ref="CI11:CI96" si="37">IF(AND(NOT(ISERROR(CF11-CH11)), AND(CH11&lt;&gt;"", CF11&lt;&gt;"")), CF11-CH11, "")</f>
        <v/>
      </c>
      <c r="CJ11" s="714"/>
      <c r="CK11" s="713" t="str">
        <f t="shared" ref="CK11:CK96" si="38">IF((ISERROR((CJ11/$I11)*100)), "", IF(AND(NOT(ISERROR((CJ11/$I11)*100)),((CJ11/$I11)*100) &lt;&gt; 0), (CJ11/$I11)*100, ""))</f>
        <v/>
      </c>
      <c r="CL11" s="796"/>
      <c r="CM11" s="798" t="str">
        <f t="shared" ref="CM11:CM96" si="39">IF(AND(NOT(ISERROR(CJ11-CL11)), AND(CL11&lt;&gt;"", CJ11&lt;&gt;"")), CJ11-CL11, "")</f>
        <v/>
      </c>
      <c r="CN11" s="714"/>
      <c r="CO11" s="713" t="str">
        <f t="shared" ref="CO11:CO96" si="40">IF((ISERROR((CN11/$I11)*100)), "", IF(AND(NOT(ISERROR((CN11/$I11)*100)),((CN11/$I11)*100) &lt;&gt; 0), (CN11/$I11)*100, ""))</f>
        <v/>
      </c>
      <c r="CP11" s="796"/>
      <c r="CQ11" s="798" t="str">
        <f t="shared" ref="CQ11:CQ96" si="41">IF(AND(NOT(ISERROR(CN11-CP11)), AND(CP11&lt;&gt;"", CN11&lt;&gt;"")), CN11-CP11, "")</f>
        <v/>
      </c>
      <c r="CR11" s="47" t="s">
        <v>325</v>
      </c>
    </row>
    <row r="12" spans="1:96" customFormat="1" ht="20" customHeight="1" x14ac:dyDescent="0.2">
      <c r="A12" s="679"/>
      <c r="B12" s="721"/>
      <c r="C12" s="253"/>
      <c r="D12" s="722" t="s">
        <v>85</v>
      </c>
      <c r="E12" s="723" t="s">
        <v>248</v>
      </c>
      <c r="F12" s="723" t="s">
        <v>249</v>
      </c>
      <c r="G12" s="722">
        <v>2016</v>
      </c>
      <c r="H12" s="724"/>
      <c r="I12" s="65">
        <v>12</v>
      </c>
      <c r="J12" s="61" t="s">
        <v>327</v>
      </c>
      <c r="K12" s="62"/>
      <c r="L12" s="31"/>
      <c r="M12" s="34" t="str">
        <f t="shared" si="0"/>
        <v/>
      </c>
      <c r="N12" s="67"/>
      <c r="O12" s="67" t="str">
        <f t="shared" si="1"/>
        <v/>
      </c>
      <c r="P12" s="31"/>
      <c r="Q12" s="34" t="str">
        <f t="shared" si="2"/>
        <v/>
      </c>
      <c r="R12" s="67"/>
      <c r="S12" s="69" t="str">
        <f t="shared" si="3"/>
        <v/>
      </c>
      <c r="T12" s="56"/>
      <c r="U12" s="34" t="str">
        <f t="shared" si="4"/>
        <v/>
      </c>
      <c r="V12" s="67"/>
      <c r="W12" s="69" t="str">
        <f t="shared" si="5"/>
        <v/>
      </c>
      <c r="X12" s="31"/>
      <c r="Y12" s="34" t="str">
        <f t="shared" si="6"/>
        <v/>
      </c>
      <c r="Z12" s="67"/>
      <c r="AA12" s="69" t="str">
        <f t="shared" si="7"/>
        <v/>
      </c>
      <c r="AB12" s="31"/>
      <c r="AC12" s="34" t="str">
        <f t="shared" si="8"/>
        <v/>
      </c>
      <c r="AD12" s="67"/>
      <c r="AE12" s="69" t="str">
        <f t="shared" si="9"/>
        <v/>
      </c>
      <c r="AF12" s="31"/>
      <c r="AG12" s="34" t="str">
        <f t="shared" si="10"/>
        <v/>
      </c>
      <c r="AH12" s="67"/>
      <c r="AI12" s="69" t="str">
        <f t="shared" si="11"/>
        <v/>
      </c>
      <c r="AJ12" s="31"/>
      <c r="AK12" s="34" t="str">
        <f t="shared" si="12"/>
        <v/>
      </c>
      <c r="AL12" s="67"/>
      <c r="AM12" s="69" t="str">
        <f t="shared" si="13"/>
        <v/>
      </c>
      <c r="AN12" s="31"/>
      <c r="AO12" s="34" t="str">
        <f t="shared" si="14"/>
        <v/>
      </c>
      <c r="AP12" s="67"/>
      <c r="AQ12" s="69" t="str">
        <f t="shared" si="15"/>
        <v/>
      </c>
      <c r="AR12" s="31"/>
      <c r="AS12" s="34" t="str">
        <f t="shared" si="16"/>
        <v/>
      </c>
      <c r="AT12" s="67"/>
      <c r="AU12" s="69" t="str">
        <f t="shared" si="17"/>
        <v/>
      </c>
      <c r="AV12" s="31"/>
      <c r="AW12" s="34" t="str">
        <f t="shared" si="18"/>
        <v/>
      </c>
      <c r="AX12" s="67"/>
      <c r="AY12" s="69" t="str">
        <f t="shared" si="19"/>
        <v/>
      </c>
      <c r="AZ12" s="56"/>
      <c r="BA12" s="34" t="str">
        <f t="shared" si="20"/>
        <v/>
      </c>
      <c r="BB12" s="67"/>
      <c r="BC12" s="69" t="str">
        <f t="shared" si="21"/>
        <v/>
      </c>
      <c r="BD12" s="31"/>
      <c r="BE12" s="34" t="str">
        <f t="shared" si="22"/>
        <v/>
      </c>
      <c r="BF12" s="67"/>
      <c r="BG12" s="69" t="str">
        <f t="shared" si="23"/>
        <v/>
      </c>
      <c r="BH12" s="31"/>
      <c r="BI12" s="34" t="str">
        <f t="shared" si="24"/>
        <v/>
      </c>
      <c r="BJ12" s="67"/>
      <c r="BK12" s="69" t="str">
        <f t="shared" si="25"/>
        <v/>
      </c>
      <c r="BL12" s="31"/>
      <c r="BM12" s="34" t="str">
        <f t="shared" si="26"/>
        <v/>
      </c>
      <c r="BN12" s="67"/>
      <c r="BO12" s="69" t="str">
        <f t="shared" si="27"/>
        <v/>
      </c>
      <c r="BP12" s="31"/>
      <c r="BQ12" s="34" t="str">
        <f t="shared" si="28"/>
        <v/>
      </c>
      <c r="BR12" s="67"/>
      <c r="BS12" s="69" t="str">
        <f t="shared" si="29"/>
        <v/>
      </c>
      <c r="BT12" s="31"/>
      <c r="BU12" s="34" t="str">
        <f t="shared" si="30"/>
        <v/>
      </c>
      <c r="BV12" s="67"/>
      <c r="BW12" s="69" t="str">
        <f t="shared" si="31"/>
        <v/>
      </c>
      <c r="BX12" s="31"/>
      <c r="BY12" s="34" t="str">
        <f t="shared" si="32"/>
        <v/>
      </c>
      <c r="BZ12" s="67"/>
      <c r="CA12" s="69" t="str">
        <f t="shared" si="33"/>
        <v/>
      </c>
      <c r="CB12" s="31"/>
      <c r="CC12" s="34" t="str">
        <f t="shared" si="34"/>
        <v/>
      </c>
      <c r="CD12" s="67"/>
      <c r="CE12" s="69" t="str">
        <f t="shared" si="35"/>
        <v/>
      </c>
      <c r="CF12" s="31"/>
      <c r="CG12" s="34" t="str">
        <f t="shared" si="36"/>
        <v/>
      </c>
      <c r="CH12" s="67"/>
      <c r="CI12" s="69" t="str">
        <f t="shared" si="37"/>
        <v/>
      </c>
      <c r="CJ12" s="31"/>
      <c r="CK12" s="34" t="str">
        <f t="shared" si="38"/>
        <v/>
      </c>
      <c r="CL12" s="67"/>
      <c r="CM12" s="69" t="str">
        <f t="shared" si="39"/>
        <v/>
      </c>
      <c r="CN12" s="31"/>
      <c r="CO12" s="34" t="str">
        <f t="shared" si="40"/>
        <v/>
      </c>
      <c r="CP12" s="67"/>
      <c r="CQ12" s="69" t="str">
        <f t="shared" si="41"/>
        <v/>
      </c>
      <c r="CR12" s="21" t="s">
        <v>328</v>
      </c>
    </row>
    <row r="13" spans="1:96" customFormat="1" ht="20" customHeight="1" x14ac:dyDescent="0.2">
      <c r="A13" s="679"/>
      <c r="B13" s="725"/>
      <c r="C13" s="255"/>
      <c r="D13" s="722" t="s">
        <v>85</v>
      </c>
      <c r="E13" s="723" t="s">
        <v>556</v>
      </c>
      <c r="F13" s="723" t="s">
        <v>557</v>
      </c>
      <c r="G13" s="722">
        <v>2012</v>
      </c>
      <c r="H13" s="724"/>
      <c r="I13" s="65">
        <v>70</v>
      </c>
      <c r="J13" s="61" t="s">
        <v>181</v>
      </c>
      <c r="K13" s="62" t="s">
        <v>190</v>
      </c>
      <c r="L13" s="31"/>
      <c r="M13" s="34"/>
      <c r="N13" s="67"/>
      <c r="O13" s="67"/>
      <c r="P13" s="31"/>
      <c r="Q13" s="34"/>
      <c r="R13" s="67"/>
      <c r="S13" s="69"/>
      <c r="T13" s="56">
        <v>101</v>
      </c>
      <c r="U13" s="34">
        <f t="shared" si="4"/>
        <v>144.28571428571428</v>
      </c>
      <c r="V13" s="67">
        <v>144</v>
      </c>
      <c r="W13" s="69">
        <f t="shared" si="5"/>
        <v>-43</v>
      </c>
      <c r="X13" s="31"/>
      <c r="Y13" s="34"/>
      <c r="Z13" s="67"/>
      <c r="AA13" s="69"/>
      <c r="AB13" s="31">
        <v>9</v>
      </c>
      <c r="AC13" s="34">
        <f t="shared" si="8"/>
        <v>12.857142857142856</v>
      </c>
      <c r="AD13" s="67">
        <v>10</v>
      </c>
      <c r="AE13" s="69">
        <f t="shared" si="9"/>
        <v>-1</v>
      </c>
      <c r="AF13" s="31">
        <v>8</v>
      </c>
      <c r="AG13" s="34">
        <f t="shared" si="10"/>
        <v>11.428571428571429</v>
      </c>
      <c r="AH13" s="67">
        <v>8</v>
      </c>
      <c r="AI13" s="69">
        <f t="shared" si="11"/>
        <v>0</v>
      </c>
      <c r="AJ13" s="31"/>
      <c r="AK13" s="34"/>
      <c r="AL13" s="67"/>
      <c r="AM13" s="69"/>
      <c r="AN13" s="31"/>
      <c r="AO13" s="34"/>
      <c r="AP13" s="67"/>
      <c r="AQ13" s="69"/>
      <c r="AR13" s="31">
        <v>10</v>
      </c>
      <c r="AS13" s="34">
        <f t="shared" si="16"/>
        <v>14.285714285714285</v>
      </c>
      <c r="AT13" s="67">
        <v>7</v>
      </c>
      <c r="AU13" s="69">
        <f t="shared" si="17"/>
        <v>3</v>
      </c>
      <c r="AV13" s="31">
        <v>1</v>
      </c>
      <c r="AW13" s="34">
        <f t="shared" ref="AW13" si="42">IF((ISERROR((AV13/$I13)*100)), "", IF(AND(NOT(ISERROR((AV13/$I13)*100)),((AV13/$I13)*100) &lt;&gt; 0), (AV13/$I13)*100, ""))</f>
        <v>1.4285714285714286</v>
      </c>
      <c r="AX13" s="67">
        <v>5</v>
      </c>
      <c r="AY13" s="69">
        <f t="shared" ref="AY13" si="43">IF(AND(NOT(ISERROR(AV13-AX13)), AND(AX13&lt;&gt;"", AV13&lt;&gt;"")), AV13-AX13, "")</f>
        <v>-4</v>
      </c>
      <c r="AZ13" s="56">
        <v>31</v>
      </c>
      <c r="BA13" s="34">
        <f t="shared" si="20"/>
        <v>44.285714285714285</v>
      </c>
      <c r="BB13" s="67">
        <v>40</v>
      </c>
      <c r="BC13" s="69">
        <f t="shared" si="21"/>
        <v>-9</v>
      </c>
      <c r="BD13" s="31"/>
      <c r="BE13" s="34"/>
      <c r="BF13" s="67"/>
      <c r="BG13" s="69"/>
      <c r="BH13" s="31"/>
      <c r="BI13" s="34"/>
      <c r="BJ13" s="67"/>
      <c r="BK13" s="69"/>
      <c r="BL13" s="31">
        <v>3</v>
      </c>
      <c r="BM13" s="34">
        <f t="shared" si="26"/>
        <v>4.2857142857142856</v>
      </c>
      <c r="BN13" s="67">
        <v>11</v>
      </c>
      <c r="BO13" s="69">
        <f t="shared" si="27"/>
        <v>-8</v>
      </c>
      <c r="BP13" s="31"/>
      <c r="BQ13" s="34"/>
      <c r="BR13" s="67"/>
      <c r="BS13" s="69"/>
      <c r="BT13" s="31"/>
      <c r="BU13" s="34"/>
      <c r="BV13" s="67"/>
      <c r="BW13" s="69"/>
      <c r="BX13" s="31"/>
      <c r="BY13" s="34"/>
      <c r="BZ13" s="67"/>
      <c r="CA13" s="69"/>
      <c r="CB13" s="31"/>
      <c r="CC13" s="34"/>
      <c r="CD13" s="67"/>
      <c r="CE13" s="69"/>
      <c r="CF13" s="31"/>
      <c r="CG13" s="34"/>
      <c r="CH13" s="67"/>
      <c r="CI13" s="69"/>
      <c r="CJ13" s="31"/>
      <c r="CK13" s="34"/>
      <c r="CL13" s="67"/>
      <c r="CM13" s="69"/>
      <c r="CN13" s="31"/>
      <c r="CO13" s="34"/>
      <c r="CP13" s="67"/>
      <c r="CQ13" s="69"/>
      <c r="CR13" s="21" t="s">
        <v>558</v>
      </c>
    </row>
    <row r="14" spans="1:96" customFormat="1" ht="20" customHeight="1" x14ac:dyDescent="0.2">
      <c r="A14" s="726"/>
      <c r="B14" s="721"/>
      <c r="C14" s="722"/>
      <c r="D14" s="722" t="s">
        <v>85</v>
      </c>
      <c r="E14" s="723" t="s">
        <v>595</v>
      </c>
      <c r="F14" s="723" t="s">
        <v>596</v>
      </c>
      <c r="G14" s="722">
        <v>1984</v>
      </c>
      <c r="H14" s="287"/>
      <c r="I14" s="701"/>
      <c r="J14" s="232" t="s">
        <v>210</v>
      </c>
      <c r="K14" s="250" t="s">
        <v>168</v>
      </c>
      <c r="L14" s="31"/>
      <c r="M14" s="34"/>
      <c r="N14" s="67"/>
      <c r="O14" s="67"/>
      <c r="P14" s="31"/>
      <c r="Q14" s="34"/>
      <c r="R14" s="67"/>
      <c r="S14" s="69"/>
      <c r="T14" s="56"/>
      <c r="U14" s="34"/>
      <c r="V14" s="67"/>
      <c r="W14" s="69"/>
      <c r="X14" s="31"/>
      <c r="Y14" s="34"/>
      <c r="Z14" s="67"/>
      <c r="AA14" s="69"/>
      <c r="AB14" s="31"/>
      <c r="AC14" s="34"/>
      <c r="AD14" s="67"/>
      <c r="AE14" s="69"/>
      <c r="AF14" s="31"/>
      <c r="AG14" s="34"/>
      <c r="AH14" s="67"/>
      <c r="AI14" s="69"/>
      <c r="AJ14" s="31"/>
      <c r="AK14" s="34"/>
      <c r="AL14" s="67"/>
      <c r="AM14" s="69"/>
      <c r="AN14" s="31"/>
      <c r="AO14" s="34"/>
      <c r="AP14" s="67"/>
      <c r="AQ14" s="69"/>
      <c r="AR14" s="31"/>
      <c r="AS14" s="34"/>
      <c r="AT14" s="67"/>
      <c r="AU14" s="69"/>
      <c r="AV14" s="31"/>
      <c r="AW14" s="34"/>
      <c r="AX14" s="67"/>
      <c r="AY14" s="69"/>
      <c r="AZ14" s="56"/>
      <c r="BA14" s="34"/>
      <c r="BB14" s="67"/>
      <c r="BC14" s="69"/>
      <c r="BD14" s="31"/>
      <c r="BE14" s="34"/>
      <c r="BF14" s="67"/>
      <c r="BG14" s="69"/>
      <c r="BH14" s="31"/>
      <c r="BI14" s="34"/>
      <c r="BJ14" s="67"/>
      <c r="BK14" s="69"/>
      <c r="BL14" s="31"/>
      <c r="BM14" s="34"/>
      <c r="BN14" s="67"/>
      <c r="BO14" s="69"/>
      <c r="BP14" s="31"/>
      <c r="BQ14" s="34"/>
      <c r="BR14" s="67"/>
      <c r="BS14" s="69"/>
      <c r="BT14" s="31"/>
      <c r="BU14" s="34"/>
      <c r="BV14" s="67"/>
      <c r="BW14" s="69"/>
      <c r="BX14" s="31"/>
      <c r="BY14" s="34"/>
      <c r="BZ14" s="67"/>
      <c r="CA14" s="69"/>
      <c r="CB14" s="31"/>
      <c r="CC14" s="34"/>
      <c r="CD14" s="67"/>
      <c r="CE14" s="69"/>
      <c r="CF14" s="31"/>
      <c r="CG14" s="34"/>
      <c r="CH14" s="67"/>
      <c r="CI14" s="69"/>
      <c r="CJ14" s="31"/>
      <c r="CK14" s="34"/>
      <c r="CL14" s="67"/>
      <c r="CM14" s="69"/>
      <c r="CN14" s="31"/>
      <c r="CO14" s="34"/>
      <c r="CP14" s="67"/>
      <c r="CQ14" s="69"/>
      <c r="CR14" s="21"/>
    </row>
    <row r="15" spans="1:96" customFormat="1" ht="20" customHeight="1" x14ac:dyDescent="0.2">
      <c r="A15" s="726"/>
      <c r="B15" s="721"/>
      <c r="C15" s="722"/>
      <c r="D15" s="722" t="s">
        <v>85</v>
      </c>
      <c r="E15" s="723" t="s">
        <v>602</v>
      </c>
      <c r="F15" s="723" t="s">
        <v>603</v>
      </c>
      <c r="G15" s="722">
        <v>2016</v>
      </c>
      <c r="H15" s="287"/>
      <c r="I15" s="701"/>
      <c r="J15" s="232" t="s">
        <v>184</v>
      </c>
      <c r="K15" s="250"/>
      <c r="L15" s="31"/>
      <c r="M15" s="34"/>
      <c r="N15" s="67"/>
      <c r="O15" s="67"/>
      <c r="P15" s="31"/>
      <c r="Q15" s="34"/>
      <c r="R15" s="67"/>
      <c r="S15" s="69"/>
      <c r="T15" s="56"/>
      <c r="U15" s="34"/>
      <c r="V15" s="67"/>
      <c r="W15" s="69"/>
      <c r="X15" s="31"/>
      <c r="Y15" s="34"/>
      <c r="Z15" s="67"/>
      <c r="AA15" s="69"/>
      <c r="AB15" s="31"/>
      <c r="AC15" s="34"/>
      <c r="AD15" s="67"/>
      <c r="AE15" s="69"/>
      <c r="AF15" s="31"/>
      <c r="AG15" s="34"/>
      <c r="AH15" s="67"/>
      <c r="AI15" s="69"/>
      <c r="AJ15" s="31"/>
      <c r="AK15" s="34"/>
      <c r="AL15" s="67"/>
      <c r="AM15" s="69"/>
      <c r="AN15" s="31"/>
      <c r="AO15" s="34"/>
      <c r="AP15" s="67"/>
      <c r="AQ15" s="69"/>
      <c r="AR15" s="31"/>
      <c r="AS15" s="34"/>
      <c r="AT15" s="67"/>
      <c r="AU15" s="69"/>
      <c r="AV15" s="31"/>
      <c r="AW15" s="34"/>
      <c r="AX15" s="67"/>
      <c r="AY15" s="69"/>
      <c r="AZ15" s="56"/>
      <c r="BA15" s="34"/>
      <c r="BB15" s="67"/>
      <c r="BC15" s="69"/>
      <c r="BD15" s="31"/>
      <c r="BE15" s="34"/>
      <c r="BF15" s="67"/>
      <c r="BG15" s="69"/>
      <c r="BH15" s="31"/>
      <c r="BI15" s="34"/>
      <c r="BJ15" s="67"/>
      <c r="BK15" s="69"/>
      <c r="BL15" s="31"/>
      <c r="BM15" s="34"/>
      <c r="BN15" s="67"/>
      <c r="BO15" s="69"/>
      <c r="BP15" s="31"/>
      <c r="BQ15" s="34"/>
      <c r="BR15" s="67"/>
      <c r="BS15" s="69"/>
      <c r="BT15" s="31"/>
      <c r="BU15" s="34"/>
      <c r="BV15" s="67"/>
      <c r="BW15" s="69"/>
      <c r="BX15" s="31"/>
      <c r="BY15" s="34"/>
      <c r="BZ15" s="67"/>
      <c r="CA15" s="69"/>
      <c r="CB15" s="31"/>
      <c r="CC15" s="34"/>
      <c r="CD15" s="67"/>
      <c r="CE15" s="69"/>
      <c r="CF15" s="31"/>
      <c r="CG15" s="34"/>
      <c r="CH15" s="67"/>
      <c r="CI15" s="69"/>
      <c r="CJ15" s="31"/>
      <c r="CK15" s="34"/>
      <c r="CL15" s="67"/>
      <c r="CM15" s="69"/>
      <c r="CN15" s="31"/>
      <c r="CO15" s="34"/>
      <c r="CP15" s="67"/>
      <c r="CQ15" s="69"/>
      <c r="CR15" s="21"/>
    </row>
    <row r="16" spans="1:96" customFormat="1" ht="20" customHeight="1" x14ac:dyDescent="0.2">
      <c r="A16" s="726"/>
      <c r="B16" s="721"/>
      <c r="C16" s="722"/>
      <c r="D16" s="722" t="s">
        <v>85</v>
      </c>
      <c r="E16" s="723" t="s">
        <v>604</v>
      </c>
      <c r="F16" s="723" t="s">
        <v>605</v>
      </c>
      <c r="G16" s="722">
        <v>2001</v>
      </c>
      <c r="H16" s="287"/>
      <c r="I16" s="703"/>
      <c r="J16" s="704" t="s">
        <v>213</v>
      </c>
      <c r="K16" s="705" t="s">
        <v>189</v>
      </c>
      <c r="L16" s="31"/>
      <c r="M16" s="34"/>
      <c r="N16" s="67"/>
      <c r="O16" s="67"/>
      <c r="P16" s="31"/>
      <c r="Q16" s="34"/>
      <c r="R16" s="67"/>
      <c r="S16" s="69"/>
      <c r="T16" s="56"/>
      <c r="U16" s="34"/>
      <c r="V16" s="67"/>
      <c r="W16" s="69"/>
      <c r="X16" s="31"/>
      <c r="Y16" s="34"/>
      <c r="Z16" s="67"/>
      <c r="AA16" s="69"/>
      <c r="AB16" s="31"/>
      <c r="AC16" s="34"/>
      <c r="AD16" s="67"/>
      <c r="AE16" s="69"/>
      <c r="AF16" s="31"/>
      <c r="AG16" s="34"/>
      <c r="AH16" s="67"/>
      <c r="AI16" s="69"/>
      <c r="AJ16" s="31"/>
      <c r="AK16" s="34"/>
      <c r="AL16" s="67"/>
      <c r="AM16" s="69"/>
      <c r="AN16" s="31"/>
      <c r="AO16" s="34"/>
      <c r="AP16" s="67"/>
      <c r="AQ16" s="69"/>
      <c r="AR16" s="31"/>
      <c r="AS16" s="34"/>
      <c r="AT16" s="67"/>
      <c r="AU16" s="69"/>
      <c r="AV16" s="31"/>
      <c r="AW16" s="34"/>
      <c r="AX16" s="67"/>
      <c r="AY16" s="69"/>
      <c r="AZ16" s="56"/>
      <c r="BA16" s="34"/>
      <c r="BB16" s="67"/>
      <c r="BC16" s="69"/>
      <c r="BD16" s="31"/>
      <c r="BE16" s="34"/>
      <c r="BF16" s="67"/>
      <c r="BG16" s="69"/>
      <c r="BH16" s="31"/>
      <c r="BI16" s="34"/>
      <c r="BJ16" s="67"/>
      <c r="BK16" s="69"/>
      <c r="BL16" s="31"/>
      <c r="BM16" s="34"/>
      <c r="BN16" s="67"/>
      <c r="BO16" s="69"/>
      <c r="BP16" s="31"/>
      <c r="BQ16" s="34"/>
      <c r="BR16" s="67"/>
      <c r="BS16" s="69"/>
      <c r="BT16" s="31"/>
      <c r="BU16" s="34"/>
      <c r="BV16" s="67"/>
      <c r="BW16" s="69"/>
      <c r="BX16" s="31"/>
      <c r="BY16" s="34"/>
      <c r="BZ16" s="67"/>
      <c r="CA16" s="69"/>
      <c r="CB16" s="31"/>
      <c r="CC16" s="34"/>
      <c r="CD16" s="67"/>
      <c r="CE16" s="69"/>
      <c r="CF16" s="31"/>
      <c r="CG16" s="34"/>
      <c r="CH16" s="67"/>
      <c r="CI16" s="69"/>
      <c r="CJ16" s="31"/>
      <c r="CK16" s="34"/>
      <c r="CL16" s="67"/>
      <c r="CM16" s="69"/>
      <c r="CN16" s="31"/>
      <c r="CO16" s="34"/>
      <c r="CP16" s="67"/>
      <c r="CQ16" s="69"/>
      <c r="CR16" s="21"/>
    </row>
    <row r="17" spans="1:96" ht="20" customHeight="1" x14ac:dyDescent="0.2">
      <c r="A17" s="678"/>
      <c r="B17" s="725"/>
      <c r="C17" s="255"/>
      <c r="D17" s="722" t="s">
        <v>85</v>
      </c>
      <c r="E17" s="723" t="s">
        <v>250</v>
      </c>
      <c r="F17" s="723" t="s">
        <v>251</v>
      </c>
      <c r="G17" s="722">
        <v>2008</v>
      </c>
      <c r="H17" s="287"/>
      <c r="I17" s="65">
        <v>13</v>
      </c>
      <c r="J17" s="61" t="s">
        <v>217</v>
      </c>
      <c r="K17" s="62" t="s">
        <v>330</v>
      </c>
      <c r="L17" s="31"/>
      <c r="M17" s="34" t="str">
        <f t="shared" si="0"/>
        <v/>
      </c>
      <c r="N17" s="67"/>
      <c r="O17" s="67" t="str">
        <f t="shared" si="1"/>
        <v/>
      </c>
      <c r="P17" s="31"/>
      <c r="Q17" s="34" t="str">
        <f t="shared" si="2"/>
        <v/>
      </c>
      <c r="R17" s="67"/>
      <c r="S17" s="69" t="str">
        <f t="shared" si="3"/>
        <v/>
      </c>
      <c r="T17" s="56"/>
      <c r="U17" s="34" t="str">
        <f t="shared" si="4"/>
        <v/>
      </c>
      <c r="V17" s="67"/>
      <c r="W17" s="69" t="str">
        <f t="shared" si="5"/>
        <v/>
      </c>
      <c r="X17" s="31"/>
      <c r="Y17" s="34" t="str">
        <f t="shared" si="6"/>
        <v/>
      </c>
      <c r="Z17" s="67"/>
      <c r="AA17" s="69" t="str">
        <f t="shared" si="7"/>
        <v/>
      </c>
      <c r="AB17" s="31"/>
      <c r="AC17" s="34" t="str">
        <f t="shared" si="8"/>
        <v/>
      </c>
      <c r="AD17" s="67"/>
      <c r="AE17" s="69" t="str">
        <f t="shared" si="9"/>
        <v/>
      </c>
      <c r="AF17" s="31"/>
      <c r="AG17" s="34" t="str">
        <f t="shared" si="10"/>
        <v/>
      </c>
      <c r="AH17" s="67"/>
      <c r="AI17" s="69" t="str">
        <f t="shared" si="11"/>
        <v/>
      </c>
      <c r="AJ17" s="31"/>
      <c r="AK17" s="34" t="str">
        <f t="shared" si="12"/>
        <v/>
      </c>
      <c r="AL17" s="67"/>
      <c r="AM17" s="69" t="str">
        <f t="shared" si="13"/>
        <v/>
      </c>
      <c r="AN17" s="31"/>
      <c r="AO17" s="34" t="str">
        <f t="shared" si="14"/>
        <v/>
      </c>
      <c r="AP17" s="67"/>
      <c r="AQ17" s="69" t="str">
        <f t="shared" si="15"/>
        <v/>
      </c>
      <c r="AR17" s="31">
        <v>1</v>
      </c>
      <c r="AS17" s="34">
        <f t="shared" si="16"/>
        <v>7.6923076923076925</v>
      </c>
      <c r="AT17" s="67">
        <v>0</v>
      </c>
      <c r="AU17" s="69">
        <f>IF(AND(NOT(ISERROR(AR17-AT17)), AND(AT17&lt;&gt;"", AR17&lt;&gt;"")), AR17-AT17, "")</f>
        <v>1</v>
      </c>
      <c r="AV17" s="31"/>
      <c r="AW17" s="34" t="str">
        <f t="shared" si="18"/>
        <v/>
      </c>
      <c r="AX17" s="67"/>
      <c r="AY17" s="69" t="str">
        <f t="shared" si="19"/>
        <v/>
      </c>
      <c r="AZ17" s="56"/>
      <c r="BA17" s="34" t="str">
        <f t="shared" si="20"/>
        <v/>
      </c>
      <c r="BB17" s="67"/>
      <c r="BC17" s="69" t="str">
        <f t="shared" si="21"/>
        <v/>
      </c>
      <c r="BD17" s="31"/>
      <c r="BE17" s="34" t="str">
        <f t="shared" si="22"/>
        <v/>
      </c>
      <c r="BF17" s="67"/>
      <c r="BG17" s="69" t="str">
        <f t="shared" si="23"/>
        <v/>
      </c>
      <c r="BH17" s="31"/>
      <c r="BI17" s="34" t="str">
        <f t="shared" si="24"/>
        <v/>
      </c>
      <c r="BJ17" s="67"/>
      <c r="BK17" s="69" t="str">
        <f t="shared" si="25"/>
        <v/>
      </c>
      <c r="BL17" s="31"/>
      <c r="BM17" s="34" t="str">
        <f t="shared" si="26"/>
        <v/>
      </c>
      <c r="BN17" s="67"/>
      <c r="BO17" s="69" t="str">
        <f t="shared" si="27"/>
        <v/>
      </c>
      <c r="BP17" s="31"/>
      <c r="BQ17" s="34" t="str">
        <f t="shared" si="28"/>
        <v/>
      </c>
      <c r="BR17" s="67"/>
      <c r="BS17" s="69" t="str">
        <f t="shared" si="29"/>
        <v/>
      </c>
      <c r="BT17" s="31"/>
      <c r="BU17" s="34" t="str">
        <f t="shared" si="30"/>
        <v/>
      </c>
      <c r="BV17" s="67"/>
      <c r="BW17" s="69" t="str">
        <f t="shared" si="31"/>
        <v/>
      </c>
      <c r="BX17" s="31"/>
      <c r="BY17" s="34" t="str">
        <f t="shared" si="32"/>
        <v/>
      </c>
      <c r="BZ17" s="67"/>
      <c r="CA17" s="69" t="str">
        <f t="shared" si="33"/>
        <v/>
      </c>
      <c r="CB17" s="31"/>
      <c r="CC17" s="34" t="str">
        <f t="shared" si="34"/>
        <v/>
      </c>
      <c r="CD17" s="67"/>
      <c r="CE17" s="69" t="str">
        <f t="shared" si="35"/>
        <v/>
      </c>
      <c r="CF17" s="31"/>
      <c r="CG17" s="34" t="str">
        <f t="shared" si="36"/>
        <v/>
      </c>
      <c r="CH17" s="67"/>
      <c r="CI17" s="69" t="str">
        <f t="shared" si="37"/>
        <v/>
      </c>
      <c r="CJ17" s="31"/>
      <c r="CK17" s="34" t="str">
        <f t="shared" si="38"/>
        <v/>
      </c>
      <c r="CL17" s="67"/>
      <c r="CM17" s="69" t="str">
        <f t="shared" si="39"/>
        <v/>
      </c>
      <c r="CN17" s="31"/>
      <c r="CO17" s="34" t="str">
        <f t="shared" si="40"/>
        <v/>
      </c>
      <c r="CP17" s="67"/>
      <c r="CQ17" s="69" t="str">
        <f t="shared" si="41"/>
        <v/>
      </c>
    </row>
    <row r="18" spans="1:96" ht="20" customHeight="1" x14ac:dyDescent="0.2">
      <c r="A18" s="678"/>
      <c r="B18" s="721"/>
      <c r="C18" s="255"/>
      <c r="D18" s="722" t="s">
        <v>85</v>
      </c>
      <c r="E18" s="723" t="s">
        <v>36</v>
      </c>
      <c r="F18" s="723" t="s">
        <v>37</v>
      </c>
      <c r="G18" s="722">
        <v>2008</v>
      </c>
      <c r="H18" s="287">
        <v>40</v>
      </c>
      <c r="I18" s="65">
        <v>29</v>
      </c>
      <c r="J18" s="61" t="s">
        <v>175</v>
      </c>
      <c r="K18" s="62" t="s">
        <v>168</v>
      </c>
      <c r="L18" s="31"/>
      <c r="M18" s="34" t="str">
        <f t="shared" si="0"/>
        <v/>
      </c>
      <c r="N18" s="67"/>
      <c r="O18" s="67" t="str">
        <f t="shared" si="1"/>
        <v/>
      </c>
      <c r="P18" s="31"/>
      <c r="Q18" s="34" t="str">
        <f t="shared" si="2"/>
        <v/>
      </c>
      <c r="R18" s="67"/>
      <c r="S18" s="69" t="str">
        <f t="shared" si="3"/>
        <v/>
      </c>
      <c r="T18" s="56">
        <v>5</v>
      </c>
      <c r="U18" s="34">
        <f t="shared" si="4"/>
        <v>17.241379310344829</v>
      </c>
      <c r="V18" s="67"/>
      <c r="W18" s="69" t="str">
        <f t="shared" si="5"/>
        <v/>
      </c>
      <c r="X18" s="31"/>
      <c r="Y18" s="34" t="str">
        <f t="shared" si="6"/>
        <v/>
      </c>
      <c r="Z18" s="67"/>
      <c r="AA18" s="69" t="str">
        <f t="shared" si="7"/>
        <v/>
      </c>
      <c r="AB18" s="31"/>
      <c r="AC18" s="34" t="str">
        <f t="shared" si="8"/>
        <v/>
      </c>
      <c r="AD18" s="67"/>
      <c r="AE18" s="69" t="str">
        <f t="shared" si="9"/>
        <v/>
      </c>
      <c r="AF18" s="31"/>
      <c r="AG18" s="34" t="str">
        <f t="shared" si="10"/>
        <v/>
      </c>
      <c r="AH18" s="67"/>
      <c r="AI18" s="69" t="str">
        <f t="shared" si="11"/>
        <v/>
      </c>
      <c r="AJ18" s="31"/>
      <c r="AK18" s="34" t="str">
        <f t="shared" si="12"/>
        <v/>
      </c>
      <c r="AL18" s="67"/>
      <c r="AM18" s="69" t="str">
        <f t="shared" si="13"/>
        <v/>
      </c>
      <c r="AN18" s="31">
        <v>5</v>
      </c>
      <c r="AO18" s="34">
        <f t="shared" si="14"/>
        <v>17.241379310344829</v>
      </c>
      <c r="AP18" s="67"/>
      <c r="AQ18" s="69" t="str">
        <f t="shared" si="15"/>
        <v/>
      </c>
      <c r="AR18" s="31"/>
      <c r="AS18" s="34" t="str">
        <f t="shared" si="16"/>
        <v/>
      </c>
      <c r="AT18" s="67"/>
      <c r="AU18" s="69" t="str">
        <f t="shared" ref="AU18:AU96" si="44">IF(AND(NOT(ISERROR(AR18-AT18)), AND(AT18&lt;&gt;"", AR18&lt;&gt;"")), AR18-AT18, "")</f>
        <v/>
      </c>
      <c r="AV18" s="31"/>
      <c r="AW18" s="34" t="str">
        <f t="shared" si="18"/>
        <v/>
      </c>
      <c r="AX18" s="67"/>
      <c r="AY18" s="69" t="str">
        <f t="shared" si="19"/>
        <v/>
      </c>
      <c r="AZ18" s="56"/>
      <c r="BA18" s="34" t="str">
        <f t="shared" si="20"/>
        <v/>
      </c>
      <c r="BB18" s="67"/>
      <c r="BC18" s="69" t="str">
        <f t="shared" si="21"/>
        <v/>
      </c>
      <c r="BD18" s="31"/>
      <c r="BE18" s="34" t="str">
        <f t="shared" si="22"/>
        <v/>
      </c>
      <c r="BF18" s="67"/>
      <c r="BG18" s="69" t="str">
        <f t="shared" si="23"/>
        <v/>
      </c>
      <c r="BH18" s="31"/>
      <c r="BI18" s="34" t="str">
        <f t="shared" si="24"/>
        <v/>
      </c>
      <c r="BJ18" s="67"/>
      <c r="BK18" s="69" t="str">
        <f t="shared" si="25"/>
        <v/>
      </c>
      <c r="BL18" s="31"/>
      <c r="BM18" s="34" t="str">
        <f t="shared" si="26"/>
        <v/>
      </c>
      <c r="BN18" s="67"/>
      <c r="BO18" s="69" t="str">
        <f t="shared" si="27"/>
        <v/>
      </c>
      <c r="BP18" s="31"/>
      <c r="BQ18" s="34" t="str">
        <f t="shared" si="28"/>
        <v/>
      </c>
      <c r="BR18" s="67"/>
      <c r="BS18" s="69" t="str">
        <f t="shared" si="29"/>
        <v/>
      </c>
      <c r="BT18" s="31"/>
      <c r="BU18" s="34" t="str">
        <f t="shared" si="30"/>
        <v/>
      </c>
      <c r="BV18" s="67"/>
      <c r="BW18" s="69" t="str">
        <f t="shared" si="31"/>
        <v/>
      </c>
      <c r="BX18" s="31"/>
      <c r="BY18" s="34" t="str">
        <f t="shared" si="32"/>
        <v/>
      </c>
      <c r="BZ18" s="67"/>
      <c r="CA18" s="69" t="str">
        <f t="shared" si="33"/>
        <v/>
      </c>
      <c r="CB18" s="31"/>
      <c r="CC18" s="34" t="str">
        <f t="shared" si="34"/>
        <v/>
      </c>
      <c r="CD18" s="67"/>
      <c r="CE18" s="69" t="str">
        <f t="shared" si="35"/>
        <v/>
      </c>
      <c r="CF18" s="31"/>
      <c r="CG18" s="34" t="str">
        <f t="shared" si="36"/>
        <v/>
      </c>
      <c r="CH18" s="67"/>
      <c r="CI18" s="69" t="str">
        <f t="shared" si="37"/>
        <v/>
      </c>
      <c r="CJ18" s="31"/>
      <c r="CK18" s="34" t="str">
        <f t="shared" si="38"/>
        <v/>
      </c>
      <c r="CL18" s="67"/>
      <c r="CM18" s="69" t="str">
        <f t="shared" si="39"/>
        <v/>
      </c>
      <c r="CN18" s="31"/>
      <c r="CO18" s="34" t="str">
        <f t="shared" si="40"/>
        <v/>
      </c>
      <c r="CP18" s="67"/>
      <c r="CQ18" s="69" t="str">
        <f t="shared" si="41"/>
        <v/>
      </c>
      <c r="CR18" s="21" t="s">
        <v>472</v>
      </c>
    </row>
    <row r="19" spans="1:96" ht="20" customHeight="1" x14ac:dyDescent="0.2">
      <c r="A19" s="678"/>
      <c r="B19" s="725"/>
      <c r="C19" s="255"/>
      <c r="D19" s="722" t="s">
        <v>85</v>
      </c>
      <c r="E19" s="723" t="s">
        <v>41</v>
      </c>
      <c r="F19" s="723" t="s">
        <v>42</v>
      </c>
      <c r="G19" s="722">
        <v>2004</v>
      </c>
      <c r="H19" s="287">
        <v>79</v>
      </c>
      <c r="I19" s="65">
        <v>12</v>
      </c>
      <c r="J19" s="61" t="s">
        <v>167</v>
      </c>
      <c r="K19" s="62" t="s">
        <v>168</v>
      </c>
      <c r="L19" s="31"/>
      <c r="M19" s="34" t="str">
        <f t="shared" si="0"/>
        <v/>
      </c>
      <c r="N19" s="67"/>
      <c r="O19" s="67" t="str">
        <f t="shared" si="1"/>
        <v/>
      </c>
      <c r="P19" s="31"/>
      <c r="Q19" s="34" t="str">
        <f t="shared" si="2"/>
        <v/>
      </c>
      <c r="R19" s="67"/>
      <c r="S19" s="69" t="str">
        <f t="shared" si="3"/>
        <v/>
      </c>
      <c r="T19" s="56"/>
      <c r="U19" s="34" t="str">
        <f t="shared" si="4"/>
        <v/>
      </c>
      <c r="V19" s="67"/>
      <c r="W19" s="69" t="str">
        <f t="shared" si="5"/>
        <v/>
      </c>
      <c r="X19" s="31"/>
      <c r="Y19" s="34" t="str">
        <f t="shared" si="6"/>
        <v/>
      </c>
      <c r="Z19" s="67"/>
      <c r="AA19" s="69" t="str">
        <f t="shared" si="7"/>
        <v/>
      </c>
      <c r="AB19" s="31"/>
      <c r="AC19" s="34" t="str">
        <f t="shared" si="8"/>
        <v/>
      </c>
      <c r="AD19" s="67"/>
      <c r="AE19" s="69" t="str">
        <f t="shared" si="9"/>
        <v/>
      </c>
      <c r="AF19" s="31"/>
      <c r="AG19" s="34" t="str">
        <f t="shared" si="10"/>
        <v/>
      </c>
      <c r="AH19" s="67"/>
      <c r="AI19" s="69" t="str">
        <f t="shared" si="11"/>
        <v/>
      </c>
      <c r="AJ19" s="31"/>
      <c r="AK19" s="34" t="str">
        <f t="shared" si="12"/>
        <v/>
      </c>
      <c r="AL19" s="67"/>
      <c r="AM19" s="69" t="str">
        <f t="shared" si="13"/>
        <v/>
      </c>
      <c r="AN19" s="31"/>
      <c r="AO19" s="34" t="str">
        <f t="shared" si="14"/>
        <v/>
      </c>
      <c r="AP19" s="67"/>
      <c r="AQ19" s="69" t="str">
        <f t="shared" si="15"/>
        <v/>
      </c>
      <c r="AR19" s="31">
        <v>5</v>
      </c>
      <c r="AS19" s="34">
        <f t="shared" si="16"/>
        <v>41.666666666666671</v>
      </c>
      <c r="AT19" s="67">
        <v>3</v>
      </c>
      <c r="AU19" s="69">
        <f t="shared" si="44"/>
        <v>2</v>
      </c>
      <c r="AV19" s="31"/>
      <c r="AW19" s="34" t="str">
        <f t="shared" si="18"/>
        <v/>
      </c>
      <c r="AX19" s="67"/>
      <c r="AY19" s="69" t="str">
        <f t="shared" si="19"/>
        <v/>
      </c>
      <c r="AZ19" s="56"/>
      <c r="BA19" s="34" t="str">
        <f t="shared" si="20"/>
        <v/>
      </c>
      <c r="BB19" s="67"/>
      <c r="BC19" s="69" t="str">
        <f t="shared" si="21"/>
        <v/>
      </c>
      <c r="BD19" s="31"/>
      <c r="BE19" s="34" t="str">
        <f t="shared" si="22"/>
        <v/>
      </c>
      <c r="BF19" s="67"/>
      <c r="BG19" s="69" t="str">
        <f t="shared" si="23"/>
        <v/>
      </c>
      <c r="BH19" s="31"/>
      <c r="BI19" s="34" t="str">
        <f t="shared" si="24"/>
        <v/>
      </c>
      <c r="BJ19" s="67"/>
      <c r="BK19" s="69" t="str">
        <f t="shared" si="25"/>
        <v/>
      </c>
      <c r="BL19" s="31">
        <v>0</v>
      </c>
      <c r="BM19" s="34" t="str">
        <f t="shared" si="26"/>
        <v/>
      </c>
      <c r="BN19" s="67">
        <v>1</v>
      </c>
      <c r="BO19" s="71">
        <f t="shared" si="27"/>
        <v>-1</v>
      </c>
      <c r="BP19" s="31"/>
      <c r="BQ19" s="34" t="str">
        <f t="shared" si="28"/>
        <v/>
      </c>
      <c r="BR19" s="67"/>
      <c r="BS19" s="69" t="str">
        <f t="shared" si="29"/>
        <v/>
      </c>
      <c r="BT19" s="31"/>
      <c r="BU19" s="34" t="str">
        <f t="shared" si="30"/>
        <v/>
      </c>
      <c r="BV19" s="67"/>
      <c r="BW19" s="69" t="str">
        <f t="shared" si="31"/>
        <v/>
      </c>
      <c r="BX19" s="31"/>
      <c r="BY19" s="34" t="str">
        <f t="shared" si="32"/>
        <v/>
      </c>
      <c r="BZ19" s="67"/>
      <c r="CA19" s="69" t="str">
        <f t="shared" si="33"/>
        <v/>
      </c>
      <c r="CB19" s="31"/>
      <c r="CC19" s="34" t="str">
        <f t="shared" si="34"/>
        <v/>
      </c>
      <c r="CD19" s="67"/>
      <c r="CE19" s="69" t="str">
        <f t="shared" si="35"/>
        <v/>
      </c>
      <c r="CF19" s="31"/>
      <c r="CG19" s="34" t="str">
        <f t="shared" si="36"/>
        <v/>
      </c>
      <c r="CH19" s="67"/>
      <c r="CI19" s="69" t="str">
        <f t="shared" si="37"/>
        <v/>
      </c>
      <c r="CJ19" s="31"/>
      <c r="CK19" s="34" t="str">
        <f t="shared" si="38"/>
        <v/>
      </c>
      <c r="CL19" s="67"/>
      <c r="CM19" s="69" t="str">
        <f t="shared" si="39"/>
        <v/>
      </c>
      <c r="CN19" s="31"/>
      <c r="CO19" s="34" t="str">
        <f t="shared" si="40"/>
        <v/>
      </c>
      <c r="CP19" s="67"/>
      <c r="CQ19" s="69" t="str">
        <f t="shared" si="41"/>
        <v/>
      </c>
      <c r="CR19" s="21" t="s">
        <v>169</v>
      </c>
    </row>
    <row r="20" spans="1:96" ht="20" customHeight="1" x14ac:dyDescent="0.2">
      <c r="A20" s="678"/>
      <c r="B20" s="725"/>
      <c r="C20" s="255"/>
      <c r="D20" s="722" t="s">
        <v>85</v>
      </c>
      <c r="E20" s="723" t="s">
        <v>43</v>
      </c>
      <c r="F20" s="723" t="s">
        <v>44</v>
      </c>
      <c r="G20" s="722">
        <v>1976</v>
      </c>
      <c r="H20" s="287">
        <v>179</v>
      </c>
      <c r="I20" s="65">
        <v>8</v>
      </c>
      <c r="J20" s="78" t="s">
        <v>331</v>
      </c>
      <c r="K20" s="62"/>
      <c r="L20" s="36">
        <v>5</v>
      </c>
      <c r="M20" s="37">
        <f t="shared" si="0"/>
        <v>62.5</v>
      </c>
      <c r="N20" s="85">
        <v>0</v>
      </c>
      <c r="O20" s="85">
        <f t="shared" si="1"/>
        <v>5</v>
      </c>
      <c r="P20" s="36">
        <v>2</v>
      </c>
      <c r="Q20" s="37">
        <f t="shared" si="2"/>
        <v>25</v>
      </c>
      <c r="R20" s="85">
        <v>0</v>
      </c>
      <c r="S20" s="86">
        <f t="shared" si="3"/>
        <v>2</v>
      </c>
      <c r="T20" s="56">
        <v>1</v>
      </c>
      <c r="U20" s="34">
        <f t="shared" si="4"/>
        <v>12.5</v>
      </c>
      <c r="V20" s="85">
        <v>0</v>
      </c>
      <c r="W20" s="86">
        <f t="shared" si="5"/>
        <v>1</v>
      </c>
      <c r="X20" s="36">
        <v>2</v>
      </c>
      <c r="Y20" s="37">
        <f t="shared" si="6"/>
        <v>25</v>
      </c>
      <c r="Z20" s="85">
        <v>0</v>
      </c>
      <c r="AA20" s="86">
        <f t="shared" si="7"/>
        <v>2</v>
      </c>
      <c r="AB20" s="36">
        <v>1</v>
      </c>
      <c r="AC20" s="37">
        <f t="shared" si="8"/>
        <v>12.5</v>
      </c>
      <c r="AD20" s="85">
        <v>0</v>
      </c>
      <c r="AE20" s="86">
        <f t="shared" si="9"/>
        <v>1</v>
      </c>
      <c r="AF20" s="36">
        <v>1</v>
      </c>
      <c r="AG20" s="37">
        <f t="shared" si="10"/>
        <v>12.5</v>
      </c>
      <c r="AH20" s="85">
        <v>0</v>
      </c>
      <c r="AI20" s="86">
        <f t="shared" si="11"/>
        <v>1</v>
      </c>
      <c r="AJ20" s="36">
        <v>1</v>
      </c>
      <c r="AK20" s="37">
        <f t="shared" si="12"/>
        <v>12.5</v>
      </c>
      <c r="AL20" s="85">
        <v>0</v>
      </c>
      <c r="AM20" s="86">
        <f t="shared" si="13"/>
        <v>1</v>
      </c>
      <c r="AN20" s="36">
        <v>1</v>
      </c>
      <c r="AO20" s="37">
        <f t="shared" si="14"/>
        <v>12.5</v>
      </c>
      <c r="AP20" s="85">
        <v>0</v>
      </c>
      <c r="AQ20" s="86">
        <f t="shared" si="15"/>
        <v>1</v>
      </c>
      <c r="AR20" s="31"/>
      <c r="AS20" s="34" t="str">
        <f t="shared" si="16"/>
        <v/>
      </c>
      <c r="AT20" s="67"/>
      <c r="AU20" s="69" t="str">
        <f t="shared" si="44"/>
        <v/>
      </c>
      <c r="AV20" s="31"/>
      <c r="AW20" s="34" t="str">
        <f t="shared" si="18"/>
        <v/>
      </c>
      <c r="AX20" s="67"/>
      <c r="AY20" s="69" t="str">
        <f t="shared" si="19"/>
        <v/>
      </c>
      <c r="AZ20" s="56"/>
      <c r="BA20" s="34" t="str">
        <f t="shared" si="20"/>
        <v/>
      </c>
      <c r="BB20" s="67"/>
      <c r="BC20" s="69" t="str">
        <f t="shared" si="21"/>
        <v/>
      </c>
      <c r="BD20" s="31"/>
      <c r="BE20" s="34" t="str">
        <f t="shared" si="22"/>
        <v/>
      </c>
      <c r="BF20" s="67"/>
      <c r="BG20" s="69" t="str">
        <f t="shared" si="23"/>
        <v/>
      </c>
      <c r="BH20" s="36">
        <v>1</v>
      </c>
      <c r="BI20" s="37">
        <f t="shared" si="24"/>
        <v>12.5</v>
      </c>
      <c r="BJ20" s="85">
        <v>0</v>
      </c>
      <c r="BK20" s="86">
        <f t="shared" si="25"/>
        <v>1</v>
      </c>
      <c r="BL20" s="31"/>
      <c r="BM20" s="34" t="str">
        <f t="shared" si="26"/>
        <v/>
      </c>
      <c r="BN20" s="67"/>
      <c r="BO20" s="69" t="str">
        <f t="shared" si="27"/>
        <v/>
      </c>
      <c r="BP20" s="36">
        <v>1</v>
      </c>
      <c r="BQ20" s="37">
        <f t="shared" si="28"/>
        <v>12.5</v>
      </c>
      <c r="BR20" s="85">
        <v>0</v>
      </c>
      <c r="BS20" s="86">
        <f t="shared" si="29"/>
        <v>1</v>
      </c>
      <c r="BT20" s="31"/>
      <c r="BU20" s="34" t="str">
        <f t="shared" si="30"/>
        <v/>
      </c>
      <c r="BV20" s="67"/>
      <c r="BW20" s="69" t="str">
        <f t="shared" si="31"/>
        <v/>
      </c>
      <c r="BX20" s="36"/>
      <c r="BY20" s="37" t="str">
        <f t="shared" si="32"/>
        <v/>
      </c>
      <c r="BZ20" s="85"/>
      <c r="CA20" s="86" t="str">
        <f t="shared" si="33"/>
        <v/>
      </c>
      <c r="CB20" s="36"/>
      <c r="CC20" s="37" t="str">
        <f t="shared" si="34"/>
        <v/>
      </c>
      <c r="CD20" s="85"/>
      <c r="CE20" s="86" t="str">
        <f t="shared" si="35"/>
        <v/>
      </c>
      <c r="CF20" s="31"/>
      <c r="CG20" s="34" t="str">
        <f t="shared" si="36"/>
        <v/>
      </c>
      <c r="CH20" s="67"/>
      <c r="CI20" s="69" t="str">
        <f t="shared" si="37"/>
        <v/>
      </c>
      <c r="CJ20" s="31"/>
      <c r="CK20" s="34" t="str">
        <f t="shared" si="38"/>
        <v/>
      </c>
      <c r="CL20" s="67"/>
      <c r="CM20" s="69" t="str">
        <f t="shared" si="39"/>
        <v/>
      </c>
      <c r="CN20" s="31"/>
      <c r="CO20" s="34" t="str">
        <f t="shared" si="40"/>
        <v/>
      </c>
      <c r="CP20" s="67"/>
      <c r="CQ20" s="69" t="str">
        <f t="shared" si="41"/>
        <v/>
      </c>
      <c r="CR20" s="21" t="s">
        <v>182</v>
      </c>
    </row>
    <row r="21" spans="1:96" ht="20" customHeight="1" x14ac:dyDescent="0.2">
      <c r="A21" s="678"/>
      <c r="B21" s="725"/>
      <c r="C21" s="253"/>
      <c r="D21" s="722" t="s">
        <v>85</v>
      </c>
      <c r="E21" s="723" t="s">
        <v>252</v>
      </c>
      <c r="F21" s="723" t="s">
        <v>253</v>
      </c>
      <c r="G21" s="722">
        <v>2014</v>
      </c>
      <c r="H21" s="287"/>
      <c r="I21" s="65">
        <v>48</v>
      </c>
      <c r="J21" s="61" t="s">
        <v>213</v>
      </c>
      <c r="K21" s="62" t="s">
        <v>332</v>
      </c>
      <c r="L21" s="31"/>
      <c r="M21" s="34" t="str">
        <f t="shared" si="0"/>
        <v/>
      </c>
      <c r="N21" s="67"/>
      <c r="O21" s="67" t="str">
        <f t="shared" si="1"/>
        <v/>
      </c>
      <c r="P21" s="36"/>
      <c r="Q21" s="36" t="str">
        <f t="shared" si="2"/>
        <v/>
      </c>
      <c r="R21" s="85"/>
      <c r="S21" s="86" t="str">
        <f t="shared" si="3"/>
        <v/>
      </c>
      <c r="T21" s="56"/>
      <c r="U21" s="34" t="str">
        <f t="shared" si="4"/>
        <v/>
      </c>
      <c r="V21" s="67"/>
      <c r="W21" s="69" t="str">
        <f t="shared" si="5"/>
        <v/>
      </c>
      <c r="X21" s="31"/>
      <c r="Y21" s="34" t="str">
        <f t="shared" si="6"/>
        <v/>
      </c>
      <c r="Z21" s="67"/>
      <c r="AA21" s="69" t="str">
        <f t="shared" si="7"/>
        <v/>
      </c>
      <c r="AB21" s="31"/>
      <c r="AC21" s="34" t="str">
        <f t="shared" si="8"/>
        <v/>
      </c>
      <c r="AD21" s="67"/>
      <c r="AE21" s="69" t="str">
        <f t="shared" si="9"/>
        <v/>
      </c>
      <c r="AF21" s="31"/>
      <c r="AG21" s="34" t="str">
        <f t="shared" si="10"/>
        <v/>
      </c>
      <c r="AH21" s="67"/>
      <c r="AI21" s="69" t="str">
        <f t="shared" si="11"/>
        <v/>
      </c>
      <c r="AJ21" s="31"/>
      <c r="AK21" s="34" t="str">
        <f t="shared" si="12"/>
        <v/>
      </c>
      <c r="AL21" s="67"/>
      <c r="AM21" s="69" t="str">
        <f t="shared" si="13"/>
        <v/>
      </c>
      <c r="AN21" s="31"/>
      <c r="AO21" s="34" t="str">
        <f t="shared" si="14"/>
        <v/>
      </c>
      <c r="AP21" s="67"/>
      <c r="AQ21" s="69" t="str">
        <f t="shared" si="15"/>
        <v/>
      </c>
      <c r="AR21" s="36"/>
      <c r="AS21" s="36" t="str">
        <f t="shared" si="16"/>
        <v/>
      </c>
      <c r="AT21" s="85"/>
      <c r="AU21" s="86" t="str">
        <f t="shared" si="44"/>
        <v/>
      </c>
      <c r="AV21" s="31"/>
      <c r="AW21" s="34" t="str">
        <f t="shared" si="18"/>
        <v/>
      </c>
      <c r="AX21" s="67"/>
      <c r="AY21" s="69" t="str">
        <f t="shared" si="19"/>
        <v/>
      </c>
      <c r="AZ21" s="56"/>
      <c r="BA21" s="34" t="str">
        <f t="shared" si="20"/>
        <v/>
      </c>
      <c r="BB21" s="67"/>
      <c r="BC21" s="69" t="str">
        <f t="shared" si="21"/>
        <v/>
      </c>
      <c r="BD21" s="31"/>
      <c r="BE21" s="34" t="str">
        <f t="shared" si="22"/>
        <v/>
      </c>
      <c r="BF21" s="67"/>
      <c r="BG21" s="69" t="str">
        <f t="shared" si="23"/>
        <v/>
      </c>
      <c r="BH21" s="31"/>
      <c r="BI21" s="34" t="str">
        <f t="shared" si="24"/>
        <v/>
      </c>
      <c r="BJ21" s="67"/>
      <c r="BK21" s="69" t="str">
        <f t="shared" si="25"/>
        <v/>
      </c>
      <c r="BL21" s="31"/>
      <c r="BM21" s="34" t="str">
        <f t="shared" si="26"/>
        <v/>
      </c>
      <c r="BN21" s="67"/>
      <c r="BO21" s="69" t="str">
        <f t="shared" si="27"/>
        <v/>
      </c>
      <c r="BP21" s="31"/>
      <c r="BQ21" s="34" t="str">
        <f t="shared" si="28"/>
        <v/>
      </c>
      <c r="BR21" s="67"/>
      <c r="BS21" s="69" t="str">
        <f t="shared" si="29"/>
        <v/>
      </c>
      <c r="BT21" s="31"/>
      <c r="BU21" s="34" t="str">
        <f t="shared" si="30"/>
        <v/>
      </c>
      <c r="BV21" s="67"/>
      <c r="BW21" s="69" t="str">
        <f t="shared" si="31"/>
        <v/>
      </c>
      <c r="BX21" s="31"/>
      <c r="BY21" s="34" t="str">
        <f t="shared" si="32"/>
        <v/>
      </c>
      <c r="BZ21" s="67"/>
      <c r="CA21" s="69" t="str">
        <f t="shared" si="33"/>
        <v/>
      </c>
      <c r="CB21" s="31"/>
      <c r="CC21" s="34" t="str">
        <f t="shared" si="34"/>
        <v/>
      </c>
      <c r="CD21" s="67"/>
      <c r="CE21" s="69" t="str">
        <f t="shared" si="35"/>
        <v/>
      </c>
      <c r="CF21" s="31"/>
      <c r="CG21" s="34" t="str">
        <f t="shared" si="36"/>
        <v/>
      </c>
      <c r="CH21" s="67"/>
      <c r="CI21" s="69" t="str">
        <f t="shared" si="37"/>
        <v/>
      </c>
      <c r="CJ21" s="31"/>
      <c r="CK21" s="34" t="str">
        <f t="shared" si="38"/>
        <v/>
      </c>
      <c r="CL21" s="67"/>
      <c r="CM21" s="69" t="str">
        <f t="shared" si="39"/>
        <v/>
      </c>
      <c r="CN21" s="31"/>
      <c r="CO21" s="34" t="str">
        <f t="shared" si="40"/>
        <v/>
      </c>
      <c r="CP21" s="67"/>
      <c r="CQ21" s="69" t="str">
        <f t="shared" si="41"/>
        <v/>
      </c>
      <c r="CR21" s="21" t="s">
        <v>395</v>
      </c>
    </row>
    <row r="22" spans="1:96" ht="20" customHeight="1" x14ac:dyDescent="0.2">
      <c r="A22" s="726"/>
      <c r="B22" s="721"/>
      <c r="C22" s="253"/>
      <c r="D22" s="722" t="s">
        <v>85</v>
      </c>
      <c r="E22" s="723" t="s">
        <v>612</v>
      </c>
      <c r="F22" s="723" t="s">
        <v>613</v>
      </c>
      <c r="G22" s="722">
        <v>2004</v>
      </c>
      <c r="H22" s="287"/>
      <c r="I22" s="701"/>
      <c r="J22" s="232" t="s">
        <v>614</v>
      </c>
      <c r="K22" s="250"/>
      <c r="L22" s="31"/>
      <c r="M22" s="34"/>
      <c r="N22" s="67"/>
      <c r="O22" s="67"/>
      <c r="P22" s="31"/>
      <c r="Q22" s="34"/>
      <c r="R22" s="67"/>
      <c r="S22" s="69"/>
      <c r="T22" s="56"/>
      <c r="U22" s="34"/>
      <c r="V22" s="67"/>
      <c r="W22" s="69"/>
      <c r="X22" s="31"/>
      <c r="Y22" s="34"/>
      <c r="Z22" s="67"/>
      <c r="AA22" s="69"/>
      <c r="AB22" s="31"/>
      <c r="AC22" s="34"/>
      <c r="AD22" s="67"/>
      <c r="AE22" s="69"/>
      <c r="AF22" s="31"/>
      <c r="AG22" s="34"/>
      <c r="AH22" s="67"/>
      <c r="AI22" s="69"/>
      <c r="AJ22" s="31"/>
      <c r="AK22" s="34"/>
      <c r="AL22" s="67"/>
      <c r="AM22" s="69"/>
      <c r="AN22" s="31"/>
      <c r="AO22" s="34"/>
      <c r="AP22" s="67"/>
      <c r="AQ22" s="69"/>
      <c r="AR22" s="31"/>
      <c r="AS22" s="34"/>
      <c r="AT22" s="67"/>
      <c r="AU22" s="69"/>
      <c r="AV22" s="31"/>
      <c r="AW22" s="34"/>
      <c r="AX22" s="67"/>
      <c r="AY22" s="69"/>
      <c r="AZ22" s="56"/>
      <c r="BA22" s="34"/>
      <c r="BB22" s="67"/>
      <c r="BC22" s="69"/>
      <c r="BD22" s="31"/>
      <c r="BE22" s="34"/>
      <c r="BF22" s="67"/>
      <c r="BG22" s="69"/>
      <c r="BH22" s="31"/>
      <c r="BI22" s="34"/>
      <c r="BJ22" s="67"/>
      <c r="BK22" s="69"/>
      <c r="BL22" s="31"/>
      <c r="BM22" s="34"/>
      <c r="BN22" s="67"/>
      <c r="BO22" s="69"/>
      <c r="BP22" s="31"/>
      <c r="BQ22" s="34"/>
      <c r="BR22" s="67"/>
      <c r="BS22" s="69"/>
      <c r="BT22" s="31"/>
      <c r="BU22" s="34"/>
      <c r="BV22" s="67"/>
      <c r="BW22" s="69"/>
      <c r="BX22" s="31"/>
      <c r="BY22" s="34"/>
      <c r="BZ22" s="67"/>
      <c r="CA22" s="69"/>
      <c r="CB22" s="31"/>
      <c r="CC22" s="34"/>
      <c r="CD22" s="67"/>
      <c r="CE22" s="69"/>
      <c r="CF22" s="31"/>
      <c r="CG22" s="34"/>
      <c r="CH22" s="67"/>
      <c r="CI22" s="69"/>
      <c r="CJ22" s="31"/>
      <c r="CK22" s="34"/>
      <c r="CL22" s="67"/>
      <c r="CM22" s="69"/>
      <c r="CN22" s="31"/>
      <c r="CO22" s="34"/>
      <c r="CP22" s="67"/>
      <c r="CQ22" s="69"/>
    </row>
    <row r="23" spans="1:96" ht="20" customHeight="1" x14ac:dyDescent="0.2">
      <c r="A23" s="678"/>
      <c r="B23" s="725"/>
      <c r="C23" s="253"/>
      <c r="D23" s="722" t="s">
        <v>85</v>
      </c>
      <c r="E23" s="723" t="s">
        <v>256</v>
      </c>
      <c r="F23" s="723" t="s">
        <v>257</v>
      </c>
      <c r="G23" s="722">
        <v>2012</v>
      </c>
      <c r="H23" s="287"/>
      <c r="I23" s="65">
        <v>80</v>
      </c>
      <c r="J23" s="61" t="s">
        <v>213</v>
      </c>
      <c r="K23" s="62" t="s">
        <v>190</v>
      </c>
      <c r="L23" s="31"/>
      <c r="M23" s="34" t="str">
        <f t="shared" si="0"/>
        <v/>
      </c>
      <c r="N23" s="67"/>
      <c r="O23" s="67" t="str">
        <f t="shared" si="1"/>
        <v/>
      </c>
      <c r="P23" s="31"/>
      <c r="Q23" s="34" t="str">
        <f t="shared" si="2"/>
        <v/>
      </c>
      <c r="R23" s="67"/>
      <c r="S23" s="69" t="str">
        <f t="shared" si="3"/>
        <v/>
      </c>
      <c r="T23" s="56"/>
      <c r="U23" s="34" t="str">
        <f t="shared" si="4"/>
        <v/>
      </c>
      <c r="V23" s="67"/>
      <c r="W23" s="69" t="str">
        <f t="shared" si="5"/>
        <v/>
      </c>
      <c r="X23" s="31"/>
      <c r="Y23" s="34" t="str">
        <f t="shared" si="6"/>
        <v/>
      </c>
      <c r="Z23" s="67"/>
      <c r="AA23" s="69" t="str">
        <f t="shared" si="7"/>
        <v/>
      </c>
      <c r="AB23" s="31"/>
      <c r="AC23" s="34" t="str">
        <f t="shared" si="8"/>
        <v/>
      </c>
      <c r="AD23" s="67"/>
      <c r="AE23" s="69" t="str">
        <f t="shared" si="9"/>
        <v/>
      </c>
      <c r="AF23" s="31"/>
      <c r="AG23" s="34" t="str">
        <f t="shared" si="10"/>
        <v/>
      </c>
      <c r="AH23" s="67"/>
      <c r="AI23" s="69" t="str">
        <f t="shared" si="11"/>
        <v/>
      </c>
      <c r="AJ23" s="31"/>
      <c r="AK23" s="34" t="str">
        <f t="shared" si="12"/>
        <v/>
      </c>
      <c r="AL23" s="67"/>
      <c r="AM23" s="69" t="str">
        <f t="shared" si="13"/>
        <v/>
      </c>
      <c r="AN23" s="31"/>
      <c r="AO23" s="34" t="str">
        <f t="shared" si="14"/>
        <v/>
      </c>
      <c r="AP23" s="67"/>
      <c r="AQ23" s="69" t="str">
        <f t="shared" si="15"/>
        <v/>
      </c>
      <c r="AR23" s="31"/>
      <c r="AS23" s="34" t="str">
        <f t="shared" si="16"/>
        <v/>
      </c>
      <c r="AT23" s="67"/>
      <c r="AU23" s="69" t="str">
        <f t="shared" si="44"/>
        <v/>
      </c>
      <c r="AV23" s="31"/>
      <c r="AW23" s="34" t="str">
        <f t="shared" si="18"/>
        <v/>
      </c>
      <c r="AX23" s="67"/>
      <c r="AY23" s="69" t="str">
        <f t="shared" si="19"/>
        <v/>
      </c>
      <c r="AZ23" s="56"/>
      <c r="BA23" s="34" t="str">
        <f t="shared" si="20"/>
        <v/>
      </c>
      <c r="BB23" s="67"/>
      <c r="BC23" s="69" t="str">
        <f t="shared" si="21"/>
        <v/>
      </c>
      <c r="BD23" s="31"/>
      <c r="BE23" s="34" t="str">
        <f t="shared" si="22"/>
        <v/>
      </c>
      <c r="BF23" s="67"/>
      <c r="BG23" s="69" t="str">
        <f t="shared" si="23"/>
        <v/>
      </c>
      <c r="BH23" s="31"/>
      <c r="BI23" s="34" t="str">
        <f t="shared" si="24"/>
        <v/>
      </c>
      <c r="BJ23" s="67"/>
      <c r="BK23" s="69" t="str">
        <f t="shared" si="25"/>
        <v/>
      </c>
      <c r="BL23" s="31"/>
      <c r="BM23" s="34" t="str">
        <f t="shared" si="26"/>
        <v/>
      </c>
      <c r="BN23" s="67"/>
      <c r="BO23" s="69" t="str">
        <f t="shared" si="27"/>
        <v/>
      </c>
      <c r="BP23" s="31"/>
      <c r="BQ23" s="34" t="str">
        <f t="shared" si="28"/>
        <v/>
      </c>
      <c r="BR23" s="67"/>
      <c r="BS23" s="69" t="str">
        <f t="shared" si="29"/>
        <v/>
      </c>
      <c r="BT23" s="31"/>
      <c r="BU23" s="34" t="str">
        <f t="shared" si="30"/>
        <v/>
      </c>
      <c r="BV23" s="67"/>
      <c r="BW23" s="69" t="str">
        <f t="shared" si="31"/>
        <v/>
      </c>
      <c r="BX23" s="31"/>
      <c r="BY23" s="34" t="str">
        <f t="shared" si="32"/>
        <v/>
      </c>
      <c r="BZ23" s="67"/>
      <c r="CA23" s="69" t="str">
        <f t="shared" si="33"/>
        <v/>
      </c>
      <c r="CB23" s="31"/>
      <c r="CC23" s="34" t="str">
        <f t="shared" si="34"/>
        <v/>
      </c>
      <c r="CD23" s="67"/>
      <c r="CE23" s="69" t="str">
        <f t="shared" si="35"/>
        <v/>
      </c>
      <c r="CF23" s="31"/>
      <c r="CG23" s="34" t="str">
        <f t="shared" si="36"/>
        <v/>
      </c>
      <c r="CH23" s="67"/>
      <c r="CI23" s="69" t="str">
        <f t="shared" si="37"/>
        <v/>
      </c>
      <c r="CJ23" s="31"/>
      <c r="CK23" s="34" t="str">
        <f t="shared" si="38"/>
        <v/>
      </c>
      <c r="CL23" s="67"/>
      <c r="CM23" s="69" t="str">
        <f t="shared" si="39"/>
        <v/>
      </c>
      <c r="CN23" s="31"/>
      <c r="CO23" s="34" t="str">
        <f t="shared" si="40"/>
        <v/>
      </c>
      <c r="CP23" s="67"/>
      <c r="CQ23" s="69" t="str">
        <f t="shared" si="41"/>
        <v/>
      </c>
    </row>
    <row r="24" spans="1:96" ht="20" customHeight="1" x14ac:dyDescent="0.2">
      <c r="A24" s="678"/>
      <c r="B24" s="725"/>
      <c r="C24" s="255"/>
      <c r="D24" s="722" t="s">
        <v>85</v>
      </c>
      <c r="E24" s="723" t="s">
        <v>258</v>
      </c>
      <c r="F24" s="723" t="s">
        <v>259</v>
      </c>
      <c r="G24" s="722">
        <v>2013</v>
      </c>
      <c r="H24" s="287"/>
      <c r="I24" s="65">
        <v>12</v>
      </c>
      <c r="J24" s="61" t="s">
        <v>213</v>
      </c>
      <c r="K24" s="62" t="s">
        <v>333</v>
      </c>
      <c r="L24" s="31"/>
      <c r="M24" s="34" t="str">
        <f t="shared" si="0"/>
        <v/>
      </c>
      <c r="N24" s="67"/>
      <c r="O24" s="67" t="str">
        <f t="shared" si="1"/>
        <v/>
      </c>
      <c r="P24" s="31"/>
      <c r="Q24" s="34" t="str">
        <f t="shared" si="2"/>
        <v/>
      </c>
      <c r="R24" s="67"/>
      <c r="S24" s="69" t="str">
        <f t="shared" si="3"/>
        <v/>
      </c>
      <c r="T24" s="38"/>
      <c r="U24" s="37" t="str">
        <f t="shared" si="4"/>
        <v/>
      </c>
      <c r="V24" s="85"/>
      <c r="W24" s="86" t="str">
        <f t="shared" si="5"/>
        <v/>
      </c>
      <c r="X24" s="31"/>
      <c r="Y24" s="34" t="str">
        <f t="shared" si="6"/>
        <v/>
      </c>
      <c r="Z24" s="67"/>
      <c r="AA24" s="69" t="str">
        <f t="shared" si="7"/>
        <v/>
      </c>
      <c r="AB24" s="36"/>
      <c r="AC24" s="37" t="str">
        <f t="shared" si="8"/>
        <v/>
      </c>
      <c r="AD24" s="85"/>
      <c r="AE24" s="86" t="str">
        <f t="shared" si="9"/>
        <v/>
      </c>
      <c r="AF24" s="31"/>
      <c r="AG24" s="34" t="str">
        <f t="shared" si="10"/>
        <v/>
      </c>
      <c r="AH24" s="67"/>
      <c r="AI24" s="69" t="str">
        <f t="shared" si="11"/>
        <v/>
      </c>
      <c r="AJ24" s="31"/>
      <c r="AK24" s="34" t="str">
        <f t="shared" si="12"/>
        <v/>
      </c>
      <c r="AL24" s="67"/>
      <c r="AM24" s="69" t="str">
        <f t="shared" si="13"/>
        <v/>
      </c>
      <c r="AN24" s="31"/>
      <c r="AO24" s="34" t="str">
        <f t="shared" si="14"/>
        <v/>
      </c>
      <c r="AP24" s="67"/>
      <c r="AQ24" s="69" t="str">
        <f t="shared" si="15"/>
        <v/>
      </c>
      <c r="AR24" s="31"/>
      <c r="AS24" s="34" t="str">
        <f t="shared" si="16"/>
        <v/>
      </c>
      <c r="AT24" s="67"/>
      <c r="AU24" s="69" t="str">
        <f t="shared" si="44"/>
        <v/>
      </c>
      <c r="AV24" s="31"/>
      <c r="AW24" s="34" t="str">
        <f t="shared" si="18"/>
        <v/>
      </c>
      <c r="AX24" s="67"/>
      <c r="AY24" s="69" t="str">
        <f t="shared" si="19"/>
        <v/>
      </c>
      <c r="AZ24" s="56"/>
      <c r="BA24" s="34" t="str">
        <f t="shared" si="20"/>
        <v/>
      </c>
      <c r="BB24" s="67"/>
      <c r="BC24" s="69" t="str">
        <f t="shared" si="21"/>
        <v/>
      </c>
      <c r="BD24" s="31"/>
      <c r="BE24" s="34" t="str">
        <f t="shared" si="22"/>
        <v/>
      </c>
      <c r="BF24" s="67"/>
      <c r="BG24" s="69" t="str">
        <f t="shared" si="23"/>
        <v/>
      </c>
      <c r="BH24" s="31"/>
      <c r="BI24" s="34" t="str">
        <f t="shared" si="24"/>
        <v/>
      </c>
      <c r="BJ24" s="67"/>
      <c r="BK24" s="69" t="str">
        <f t="shared" si="25"/>
        <v/>
      </c>
      <c r="BL24" s="31"/>
      <c r="BM24" s="34" t="str">
        <f t="shared" si="26"/>
        <v/>
      </c>
      <c r="BN24" s="67"/>
      <c r="BO24" s="69" t="str">
        <f t="shared" si="27"/>
        <v/>
      </c>
      <c r="BP24" s="31"/>
      <c r="BQ24" s="34" t="str">
        <f t="shared" si="28"/>
        <v/>
      </c>
      <c r="BR24" s="67"/>
      <c r="BS24" s="69" t="str">
        <f t="shared" si="29"/>
        <v/>
      </c>
      <c r="BT24" s="31"/>
      <c r="BU24" s="34" t="str">
        <f t="shared" si="30"/>
        <v/>
      </c>
      <c r="BV24" s="67"/>
      <c r="BW24" s="69" t="str">
        <f t="shared" si="31"/>
        <v/>
      </c>
      <c r="BX24" s="31"/>
      <c r="BY24" s="34" t="str">
        <f t="shared" si="32"/>
        <v/>
      </c>
      <c r="BZ24" s="67"/>
      <c r="CA24" s="69" t="str">
        <f t="shared" si="33"/>
        <v/>
      </c>
      <c r="CB24" s="31"/>
      <c r="CC24" s="34" t="str">
        <f t="shared" si="34"/>
        <v/>
      </c>
      <c r="CD24" s="67"/>
      <c r="CE24" s="69" t="str">
        <f t="shared" si="35"/>
        <v/>
      </c>
      <c r="CF24" s="31"/>
      <c r="CG24" s="34" t="str">
        <f t="shared" si="36"/>
        <v/>
      </c>
      <c r="CH24" s="67"/>
      <c r="CI24" s="69" t="str">
        <f t="shared" si="37"/>
        <v/>
      </c>
      <c r="CJ24" s="31"/>
      <c r="CK24" s="34" t="str">
        <f t="shared" si="38"/>
        <v/>
      </c>
      <c r="CL24" s="67"/>
      <c r="CM24" s="69" t="str">
        <f t="shared" si="39"/>
        <v/>
      </c>
      <c r="CN24" s="31"/>
      <c r="CO24" s="34" t="str">
        <f t="shared" si="40"/>
        <v/>
      </c>
      <c r="CP24" s="67"/>
      <c r="CQ24" s="69" t="str">
        <f t="shared" si="41"/>
        <v/>
      </c>
      <c r="CR24" s="21" t="s">
        <v>396</v>
      </c>
    </row>
    <row r="25" spans="1:96" ht="20" customHeight="1" x14ac:dyDescent="0.2">
      <c r="A25" s="726"/>
      <c r="B25" s="721"/>
      <c r="C25" s="722"/>
      <c r="D25" s="722" t="s">
        <v>85</v>
      </c>
      <c r="E25" s="723" t="s">
        <v>622</v>
      </c>
      <c r="F25" s="723" t="s">
        <v>705</v>
      </c>
      <c r="G25" s="722">
        <v>2012</v>
      </c>
      <c r="H25" s="287"/>
      <c r="I25" s="701"/>
      <c r="J25" s="232" t="s">
        <v>213</v>
      </c>
      <c r="K25" s="250" t="s">
        <v>192</v>
      </c>
      <c r="L25" s="31"/>
      <c r="M25" s="34"/>
      <c r="N25" s="67"/>
      <c r="O25" s="67"/>
      <c r="P25" s="31"/>
      <c r="Q25" s="34"/>
      <c r="R25" s="67"/>
      <c r="S25" s="69"/>
      <c r="T25" s="31"/>
      <c r="U25" s="34"/>
      <c r="V25" s="67"/>
      <c r="W25" s="69"/>
      <c r="X25" s="31"/>
      <c r="Y25" s="34"/>
      <c r="Z25" s="67"/>
      <c r="AA25" s="69"/>
      <c r="AB25" s="31"/>
      <c r="AC25" s="34"/>
      <c r="AD25" s="67"/>
      <c r="AE25" s="69"/>
      <c r="AF25" s="31"/>
      <c r="AG25" s="34"/>
      <c r="AH25" s="67"/>
      <c r="AI25" s="69"/>
      <c r="AJ25" s="31"/>
      <c r="AK25" s="34"/>
      <c r="AL25" s="67"/>
      <c r="AM25" s="69"/>
      <c r="AN25" s="31"/>
      <c r="AO25" s="34"/>
      <c r="AP25" s="67"/>
      <c r="AQ25" s="69"/>
      <c r="AR25" s="31"/>
      <c r="AS25" s="34"/>
      <c r="AT25" s="67"/>
      <c r="AU25" s="69"/>
      <c r="AV25" s="31"/>
      <c r="AW25" s="34"/>
      <c r="AX25" s="67"/>
      <c r="AY25" s="69"/>
      <c r="AZ25" s="56"/>
      <c r="BA25" s="34"/>
      <c r="BB25" s="67"/>
      <c r="BC25" s="69"/>
      <c r="BD25" s="31"/>
      <c r="BE25" s="34"/>
      <c r="BF25" s="67"/>
      <c r="BG25" s="69"/>
      <c r="BH25" s="31"/>
      <c r="BI25" s="34"/>
      <c r="BJ25" s="67"/>
      <c r="BK25" s="69"/>
      <c r="BL25" s="31"/>
      <c r="BM25" s="34"/>
      <c r="BN25" s="67"/>
      <c r="BO25" s="69"/>
      <c r="BP25" s="31"/>
      <c r="BQ25" s="34"/>
      <c r="BR25" s="67"/>
      <c r="BS25" s="69"/>
      <c r="BT25" s="31"/>
      <c r="BU25" s="34"/>
      <c r="BV25" s="67"/>
      <c r="BW25" s="69"/>
      <c r="BX25" s="31"/>
      <c r="BY25" s="34"/>
      <c r="BZ25" s="67"/>
      <c r="CA25" s="69"/>
      <c r="CB25" s="31"/>
      <c r="CC25" s="34"/>
      <c r="CD25" s="67"/>
      <c r="CE25" s="69"/>
      <c r="CF25" s="31"/>
      <c r="CG25" s="34"/>
      <c r="CH25" s="67"/>
      <c r="CI25" s="69"/>
      <c r="CJ25" s="31"/>
      <c r="CK25" s="34"/>
      <c r="CL25" s="67"/>
      <c r="CM25" s="69"/>
      <c r="CN25" s="31"/>
      <c r="CO25" s="34"/>
      <c r="CP25" s="67"/>
      <c r="CQ25" s="69"/>
    </row>
    <row r="26" spans="1:96" ht="20" customHeight="1" x14ac:dyDescent="0.2">
      <c r="A26" s="678"/>
      <c r="B26" s="725"/>
      <c r="C26" s="255"/>
      <c r="D26" s="722" t="s">
        <v>85</v>
      </c>
      <c r="E26" s="723" t="s">
        <v>397</v>
      </c>
      <c r="F26" s="723" t="s">
        <v>398</v>
      </c>
      <c r="G26" s="722">
        <v>2013</v>
      </c>
      <c r="H26" s="287"/>
      <c r="I26" s="65">
        <v>38</v>
      </c>
      <c r="J26" s="61" t="s">
        <v>399</v>
      </c>
      <c r="K26" s="62" t="s">
        <v>168</v>
      </c>
      <c r="L26" s="31"/>
      <c r="M26" s="34" t="str">
        <f t="shared" si="0"/>
        <v/>
      </c>
      <c r="N26" s="67"/>
      <c r="O26" s="67"/>
      <c r="P26" s="31"/>
      <c r="Q26" s="34" t="str">
        <f t="shared" si="2"/>
        <v/>
      </c>
      <c r="R26" s="67"/>
      <c r="S26" s="69"/>
      <c r="T26" s="31"/>
      <c r="U26" s="34" t="str">
        <f t="shared" si="4"/>
        <v/>
      </c>
      <c r="V26" s="67"/>
      <c r="W26" s="69"/>
      <c r="X26" s="31"/>
      <c r="Y26" s="34" t="str">
        <f t="shared" si="6"/>
        <v/>
      </c>
      <c r="Z26" s="67"/>
      <c r="AA26" s="69"/>
      <c r="AB26" s="31"/>
      <c r="AC26" s="34" t="str">
        <f t="shared" si="8"/>
        <v/>
      </c>
      <c r="AD26" s="67"/>
      <c r="AE26" s="69"/>
      <c r="AF26" s="31"/>
      <c r="AG26" s="34" t="str">
        <f t="shared" si="10"/>
        <v/>
      </c>
      <c r="AH26" s="67"/>
      <c r="AI26" s="69"/>
      <c r="AJ26" s="31"/>
      <c r="AK26" s="34" t="str">
        <f t="shared" si="12"/>
        <v/>
      </c>
      <c r="AL26" s="67"/>
      <c r="AM26" s="69"/>
      <c r="AN26" s="31"/>
      <c r="AO26" s="34" t="str">
        <f t="shared" si="14"/>
        <v/>
      </c>
      <c r="AP26" s="67"/>
      <c r="AQ26" s="69"/>
      <c r="AR26" s="31"/>
      <c r="AS26" s="34" t="str">
        <f t="shared" si="16"/>
        <v/>
      </c>
      <c r="AT26" s="67"/>
      <c r="AU26" s="69"/>
      <c r="AV26" s="31"/>
      <c r="AW26" s="34" t="str">
        <f t="shared" si="18"/>
        <v/>
      </c>
      <c r="AX26" s="67"/>
      <c r="AY26" s="69"/>
      <c r="AZ26" s="56">
        <v>37</v>
      </c>
      <c r="BA26" s="34">
        <f t="shared" si="20"/>
        <v>97.368421052631575</v>
      </c>
      <c r="BB26" s="67">
        <v>34</v>
      </c>
      <c r="BC26" s="69">
        <f t="shared" si="21"/>
        <v>3</v>
      </c>
      <c r="BD26" s="31"/>
      <c r="BE26" s="34" t="str">
        <f t="shared" si="22"/>
        <v/>
      </c>
      <c r="BF26" s="67"/>
      <c r="BG26" s="69"/>
      <c r="BH26" s="31"/>
      <c r="BI26" s="34" t="str">
        <f t="shared" si="24"/>
        <v/>
      </c>
      <c r="BJ26" s="67"/>
      <c r="BK26" s="69"/>
      <c r="BL26" s="31"/>
      <c r="BM26" s="34" t="str">
        <f t="shared" si="26"/>
        <v/>
      </c>
      <c r="BN26" s="67"/>
      <c r="BO26" s="69"/>
      <c r="BP26" s="31"/>
      <c r="BQ26" s="34" t="str">
        <f t="shared" si="28"/>
        <v/>
      </c>
      <c r="BR26" s="67"/>
      <c r="BS26" s="69"/>
      <c r="BT26" s="31"/>
      <c r="BU26" s="34" t="str">
        <f t="shared" si="30"/>
        <v/>
      </c>
      <c r="BV26" s="67"/>
      <c r="BW26" s="69"/>
      <c r="BX26" s="31"/>
      <c r="BY26" s="34" t="str">
        <f t="shared" si="32"/>
        <v/>
      </c>
      <c r="BZ26" s="67"/>
      <c r="CA26" s="69"/>
      <c r="CB26" s="31"/>
      <c r="CC26" s="34" t="str">
        <f t="shared" si="34"/>
        <v/>
      </c>
      <c r="CD26" s="67"/>
      <c r="CE26" s="69"/>
      <c r="CF26" s="31"/>
      <c r="CG26" s="34" t="str">
        <f t="shared" si="36"/>
        <v/>
      </c>
      <c r="CH26" s="67"/>
      <c r="CI26" s="69"/>
      <c r="CJ26" s="31"/>
      <c r="CK26" s="34" t="str">
        <f t="shared" si="38"/>
        <v/>
      </c>
      <c r="CL26" s="67"/>
      <c r="CM26" s="69"/>
      <c r="CN26" s="31"/>
      <c r="CO26" s="34" t="str">
        <f t="shared" si="40"/>
        <v/>
      </c>
      <c r="CP26" s="67"/>
      <c r="CQ26" s="69"/>
      <c r="CR26" s="21" t="s">
        <v>407</v>
      </c>
    </row>
    <row r="27" spans="1:96" ht="20" customHeight="1" x14ac:dyDescent="0.2">
      <c r="A27" s="726"/>
      <c r="B27" s="721"/>
      <c r="C27" s="722"/>
      <c r="D27" s="722" t="s">
        <v>85</v>
      </c>
      <c r="E27" s="723" t="s">
        <v>623</v>
      </c>
      <c r="F27" s="723" t="s">
        <v>624</v>
      </c>
      <c r="G27" s="722">
        <v>2000</v>
      </c>
      <c r="H27" s="287"/>
      <c r="I27" s="65">
        <v>12</v>
      </c>
      <c r="J27" s="61" t="s">
        <v>625</v>
      </c>
      <c r="K27" s="62"/>
      <c r="L27" s="31"/>
      <c r="M27" s="34"/>
      <c r="N27" s="67"/>
      <c r="O27" s="67"/>
      <c r="P27" s="31"/>
      <c r="Q27" s="34"/>
      <c r="R27" s="67"/>
      <c r="S27" s="69"/>
      <c r="T27" s="56"/>
      <c r="U27" s="34"/>
      <c r="V27" s="67"/>
      <c r="W27" s="69"/>
      <c r="X27" s="31"/>
      <c r="Y27" s="34"/>
      <c r="Z27" s="67"/>
      <c r="AA27" s="69"/>
      <c r="AB27" s="31"/>
      <c r="AC27" s="34"/>
      <c r="AD27" s="67"/>
      <c r="AE27" s="69"/>
      <c r="AF27" s="31"/>
      <c r="AG27" s="34"/>
      <c r="AH27" s="67"/>
      <c r="AI27" s="69"/>
      <c r="AJ27" s="31"/>
      <c r="AK27" s="34"/>
      <c r="AL27" s="67"/>
      <c r="AM27" s="69"/>
      <c r="AN27" s="31"/>
      <c r="AO27" s="34"/>
      <c r="AP27" s="67"/>
      <c r="AQ27" s="69"/>
      <c r="AR27" s="31"/>
      <c r="AS27" s="34"/>
      <c r="AT27" s="67"/>
      <c r="AU27" s="69"/>
      <c r="AV27" s="31"/>
      <c r="AW27" s="34"/>
      <c r="AX27" s="67"/>
      <c r="AY27" s="69"/>
      <c r="AZ27" s="56"/>
      <c r="BA27" s="34"/>
      <c r="BB27" s="67"/>
      <c r="BC27" s="69"/>
      <c r="BD27" s="31"/>
      <c r="BE27" s="34"/>
      <c r="BF27" s="67"/>
      <c r="BG27" s="69"/>
      <c r="BH27" s="31"/>
      <c r="BI27" s="34"/>
      <c r="BJ27" s="67"/>
      <c r="BK27" s="69"/>
      <c r="BL27" s="31"/>
      <c r="BM27" s="34"/>
      <c r="BN27" s="67"/>
      <c r="BO27" s="69"/>
      <c r="BP27" s="31"/>
      <c r="BQ27" s="34"/>
      <c r="BR27" s="67"/>
      <c r="BS27" s="69"/>
      <c r="BT27" s="31"/>
      <c r="BU27" s="34"/>
      <c r="BV27" s="67"/>
      <c r="BW27" s="69"/>
      <c r="BX27" s="31"/>
      <c r="BY27" s="34"/>
      <c r="BZ27" s="67"/>
      <c r="CA27" s="69"/>
      <c r="CB27" s="31"/>
      <c r="CC27" s="34"/>
      <c r="CD27" s="67"/>
      <c r="CE27" s="69"/>
      <c r="CF27" s="31"/>
      <c r="CG27" s="34"/>
      <c r="CH27" s="67"/>
      <c r="CI27" s="69"/>
      <c r="CJ27" s="31"/>
      <c r="CK27" s="34"/>
      <c r="CL27" s="67"/>
      <c r="CM27" s="69"/>
      <c r="CN27" s="31"/>
      <c r="CO27" s="34"/>
      <c r="CP27" s="67"/>
      <c r="CQ27" s="69"/>
    </row>
    <row r="28" spans="1:96" ht="20" customHeight="1" x14ac:dyDescent="0.2">
      <c r="A28" s="678"/>
      <c r="B28" s="725"/>
      <c r="C28" s="253"/>
      <c r="D28" s="722" t="s">
        <v>85</v>
      </c>
      <c r="E28" s="723" t="s">
        <v>52</v>
      </c>
      <c r="F28" s="723" t="s">
        <v>53</v>
      </c>
      <c r="G28" s="722">
        <v>2001</v>
      </c>
      <c r="H28" s="287">
        <v>118</v>
      </c>
      <c r="I28" s="65">
        <v>20</v>
      </c>
      <c r="J28" s="61" t="s">
        <v>175</v>
      </c>
      <c r="K28" s="62" t="s">
        <v>191</v>
      </c>
      <c r="L28" s="31"/>
      <c r="M28" s="34" t="str">
        <f t="shared" si="0"/>
        <v/>
      </c>
      <c r="N28" s="67"/>
      <c r="O28" s="67" t="str">
        <f t="shared" si="1"/>
        <v/>
      </c>
      <c r="P28" s="31"/>
      <c r="Q28" s="34" t="str">
        <f t="shared" si="2"/>
        <v/>
      </c>
      <c r="R28" s="67"/>
      <c r="S28" s="69" t="str">
        <f t="shared" si="3"/>
        <v/>
      </c>
      <c r="T28" s="56"/>
      <c r="U28" s="34" t="str">
        <f t="shared" si="4"/>
        <v/>
      </c>
      <c r="V28" s="67"/>
      <c r="W28" s="69" t="str">
        <f t="shared" si="5"/>
        <v/>
      </c>
      <c r="X28" s="31"/>
      <c r="Y28" s="34" t="str">
        <f t="shared" si="6"/>
        <v/>
      </c>
      <c r="Z28" s="67"/>
      <c r="AA28" s="69" t="str">
        <f t="shared" si="7"/>
        <v/>
      </c>
      <c r="AB28" s="31"/>
      <c r="AC28" s="34" t="str">
        <f t="shared" si="8"/>
        <v/>
      </c>
      <c r="AD28" s="67"/>
      <c r="AE28" s="69" t="str">
        <f t="shared" si="9"/>
        <v/>
      </c>
      <c r="AF28" s="31"/>
      <c r="AG28" s="34" t="str">
        <f t="shared" si="10"/>
        <v/>
      </c>
      <c r="AH28" s="67"/>
      <c r="AI28" s="69" t="str">
        <f t="shared" si="11"/>
        <v/>
      </c>
      <c r="AJ28" s="31"/>
      <c r="AK28" s="34" t="str">
        <f t="shared" si="12"/>
        <v/>
      </c>
      <c r="AL28" s="67"/>
      <c r="AM28" s="69" t="str">
        <f t="shared" si="13"/>
        <v/>
      </c>
      <c r="AN28" s="31"/>
      <c r="AO28" s="34" t="str">
        <f t="shared" si="14"/>
        <v/>
      </c>
      <c r="AP28" s="67"/>
      <c r="AQ28" s="69" t="str">
        <f t="shared" si="15"/>
        <v/>
      </c>
      <c r="AR28" s="31"/>
      <c r="AS28" s="34" t="str">
        <f t="shared" si="16"/>
        <v/>
      </c>
      <c r="AT28" s="67"/>
      <c r="AU28" s="69" t="str">
        <f t="shared" si="44"/>
        <v/>
      </c>
      <c r="AV28" s="31"/>
      <c r="AW28" s="34" t="str">
        <f t="shared" si="18"/>
        <v/>
      </c>
      <c r="AX28" s="67"/>
      <c r="AY28" s="69" t="str">
        <f t="shared" si="19"/>
        <v/>
      </c>
      <c r="AZ28" s="56"/>
      <c r="BA28" s="34" t="str">
        <f t="shared" si="20"/>
        <v/>
      </c>
      <c r="BB28" s="67"/>
      <c r="BC28" s="69" t="str">
        <f t="shared" si="21"/>
        <v/>
      </c>
      <c r="BD28" s="31"/>
      <c r="BE28" s="34" t="str">
        <f t="shared" si="22"/>
        <v/>
      </c>
      <c r="BF28" s="67"/>
      <c r="BG28" s="69" t="str">
        <f t="shared" si="23"/>
        <v/>
      </c>
      <c r="BH28" s="31"/>
      <c r="BI28" s="34" t="str">
        <f t="shared" si="24"/>
        <v/>
      </c>
      <c r="BJ28" s="67"/>
      <c r="BK28" s="69" t="str">
        <f t="shared" si="25"/>
        <v/>
      </c>
      <c r="BL28" s="31"/>
      <c r="BM28" s="34" t="str">
        <f t="shared" si="26"/>
        <v/>
      </c>
      <c r="BN28" s="67"/>
      <c r="BO28" s="69" t="str">
        <f t="shared" si="27"/>
        <v/>
      </c>
      <c r="BP28" s="31"/>
      <c r="BQ28" s="34" t="str">
        <f t="shared" si="28"/>
        <v/>
      </c>
      <c r="BR28" s="67"/>
      <c r="BS28" s="69" t="str">
        <f t="shared" si="29"/>
        <v/>
      </c>
      <c r="BT28" s="31"/>
      <c r="BU28" s="34" t="str">
        <f t="shared" si="30"/>
        <v/>
      </c>
      <c r="BV28" s="67"/>
      <c r="BW28" s="69" t="str">
        <f t="shared" si="31"/>
        <v/>
      </c>
      <c r="BX28" s="31"/>
      <c r="BY28" s="34" t="str">
        <f t="shared" si="32"/>
        <v/>
      </c>
      <c r="BZ28" s="67"/>
      <c r="CA28" s="69" t="str">
        <f t="shared" si="33"/>
        <v/>
      </c>
      <c r="CB28" s="31"/>
      <c r="CC28" s="34" t="str">
        <f t="shared" si="34"/>
        <v/>
      </c>
      <c r="CD28" s="67"/>
      <c r="CE28" s="69" t="str">
        <f t="shared" si="35"/>
        <v/>
      </c>
      <c r="CF28" s="31"/>
      <c r="CG28" s="34" t="str">
        <f t="shared" si="36"/>
        <v/>
      </c>
      <c r="CH28" s="67"/>
      <c r="CI28" s="69" t="str">
        <f t="shared" si="37"/>
        <v/>
      </c>
      <c r="CJ28" s="31"/>
      <c r="CK28" s="34" t="str">
        <f t="shared" si="38"/>
        <v/>
      </c>
      <c r="CL28" s="67"/>
      <c r="CM28" s="69" t="str">
        <f t="shared" si="39"/>
        <v/>
      </c>
      <c r="CN28" s="31"/>
      <c r="CO28" s="34" t="str">
        <f t="shared" si="40"/>
        <v/>
      </c>
      <c r="CP28" s="67"/>
      <c r="CQ28" s="69" t="str">
        <f t="shared" si="41"/>
        <v/>
      </c>
      <c r="CR28" s="21" t="s">
        <v>179</v>
      </c>
    </row>
    <row r="29" spans="1:96" ht="20" customHeight="1" x14ac:dyDescent="0.2">
      <c r="A29" s="726"/>
      <c r="B29" s="721"/>
      <c r="C29" s="255"/>
      <c r="D29" s="722" t="s">
        <v>85</v>
      </c>
      <c r="E29" s="723" t="s">
        <v>628</v>
      </c>
      <c r="F29" s="723" t="s">
        <v>629</v>
      </c>
      <c r="G29" s="722">
        <v>1993</v>
      </c>
      <c r="H29" s="287"/>
      <c r="I29" s="701"/>
      <c r="J29" s="232" t="s">
        <v>627</v>
      </c>
      <c r="K29" s="250" t="s">
        <v>626</v>
      </c>
      <c r="L29" s="31"/>
      <c r="M29" s="34"/>
      <c r="N29" s="67"/>
      <c r="O29" s="67"/>
      <c r="P29" s="31"/>
      <c r="Q29" s="34"/>
      <c r="R29" s="67"/>
      <c r="S29" s="69"/>
      <c r="T29" s="56"/>
      <c r="U29" s="34"/>
      <c r="V29" s="67"/>
      <c r="W29" s="69"/>
      <c r="X29" s="31"/>
      <c r="Y29" s="34"/>
      <c r="Z29" s="67"/>
      <c r="AA29" s="69"/>
      <c r="AB29" s="31"/>
      <c r="AC29" s="34"/>
      <c r="AD29" s="67"/>
      <c r="AE29" s="69"/>
      <c r="AF29" s="31"/>
      <c r="AG29" s="34"/>
      <c r="AH29" s="67"/>
      <c r="AI29" s="69"/>
      <c r="AJ29" s="31"/>
      <c r="AK29" s="34"/>
      <c r="AL29" s="67"/>
      <c r="AM29" s="69"/>
      <c r="AN29" s="31"/>
      <c r="AO29" s="34"/>
      <c r="AP29" s="67"/>
      <c r="AQ29" s="69"/>
      <c r="AR29" s="31"/>
      <c r="AS29" s="34"/>
      <c r="AT29" s="67"/>
      <c r="AU29" s="69"/>
      <c r="AV29" s="31"/>
      <c r="AW29" s="34"/>
      <c r="AX29" s="67"/>
      <c r="AY29" s="69"/>
      <c r="AZ29" s="56"/>
      <c r="BA29" s="34"/>
      <c r="BB29" s="67"/>
      <c r="BC29" s="69"/>
      <c r="BD29" s="31"/>
      <c r="BE29" s="34"/>
      <c r="BF29" s="67"/>
      <c r="BG29" s="69"/>
      <c r="BH29" s="31"/>
      <c r="BI29" s="34"/>
      <c r="BJ29" s="67"/>
      <c r="BK29" s="69"/>
      <c r="BL29" s="31"/>
      <c r="BM29" s="34"/>
      <c r="BN29" s="67"/>
      <c r="BO29" s="69"/>
      <c r="BP29" s="31"/>
      <c r="BQ29" s="34"/>
      <c r="BR29" s="67"/>
      <c r="BS29" s="69"/>
      <c r="BT29" s="31"/>
      <c r="BU29" s="34"/>
      <c r="BV29" s="67"/>
      <c r="BW29" s="69"/>
      <c r="BX29" s="31"/>
      <c r="BY29" s="34"/>
      <c r="BZ29" s="67"/>
      <c r="CA29" s="69"/>
      <c r="CB29" s="31"/>
      <c r="CC29" s="34"/>
      <c r="CD29" s="67"/>
      <c r="CE29" s="69"/>
      <c r="CF29" s="31"/>
      <c r="CG29" s="34"/>
      <c r="CH29" s="67"/>
      <c r="CI29" s="69"/>
      <c r="CJ29" s="31"/>
      <c r="CK29" s="34"/>
      <c r="CL29" s="67"/>
      <c r="CM29" s="69"/>
      <c r="CN29" s="31"/>
      <c r="CO29" s="34"/>
      <c r="CP29" s="67"/>
      <c r="CQ29" s="69"/>
    </row>
    <row r="30" spans="1:96" ht="20" customHeight="1" x14ac:dyDescent="0.2">
      <c r="A30" s="678"/>
      <c r="B30" s="725"/>
      <c r="C30" s="255"/>
      <c r="D30" s="722" t="s">
        <v>85</v>
      </c>
      <c r="E30" s="723" t="s">
        <v>264</v>
      </c>
      <c r="F30" s="723" t="s">
        <v>265</v>
      </c>
      <c r="G30" s="722">
        <v>1994</v>
      </c>
      <c r="H30" s="287"/>
      <c r="I30" s="65">
        <v>20</v>
      </c>
      <c r="J30" s="61" t="s">
        <v>335</v>
      </c>
      <c r="K30" s="62"/>
      <c r="L30" s="31"/>
      <c r="M30" s="34" t="str">
        <f t="shared" si="0"/>
        <v/>
      </c>
      <c r="N30" s="67"/>
      <c r="O30" s="67" t="str">
        <f t="shared" si="1"/>
        <v/>
      </c>
      <c r="P30" s="31"/>
      <c r="Q30" s="34" t="str">
        <f t="shared" si="2"/>
        <v/>
      </c>
      <c r="R30" s="67"/>
      <c r="S30" s="69" t="str">
        <f t="shared" si="3"/>
        <v/>
      </c>
      <c r="T30" s="38"/>
      <c r="U30" s="37" t="str">
        <f t="shared" si="4"/>
        <v/>
      </c>
      <c r="V30" s="85"/>
      <c r="W30" s="86" t="str">
        <f t="shared" si="5"/>
        <v/>
      </c>
      <c r="X30" s="31"/>
      <c r="Y30" s="34" t="str">
        <f t="shared" si="6"/>
        <v/>
      </c>
      <c r="Z30" s="67"/>
      <c r="AA30" s="69" t="str">
        <f t="shared" si="7"/>
        <v/>
      </c>
      <c r="AB30" s="36"/>
      <c r="AC30" s="37" t="str">
        <f t="shared" si="8"/>
        <v/>
      </c>
      <c r="AD30" s="85"/>
      <c r="AE30" s="86" t="str">
        <f t="shared" si="9"/>
        <v/>
      </c>
      <c r="AF30" s="36"/>
      <c r="AG30" s="37" t="str">
        <f t="shared" si="10"/>
        <v/>
      </c>
      <c r="AH30" s="85"/>
      <c r="AI30" s="86" t="str">
        <f t="shared" si="11"/>
        <v/>
      </c>
      <c r="AJ30" s="31"/>
      <c r="AK30" s="34" t="str">
        <f t="shared" si="12"/>
        <v/>
      </c>
      <c r="AL30" s="67"/>
      <c r="AM30" s="69" t="str">
        <f t="shared" si="13"/>
        <v/>
      </c>
      <c r="AN30" s="31"/>
      <c r="AO30" s="34" t="str">
        <f t="shared" si="14"/>
        <v/>
      </c>
      <c r="AP30" s="67"/>
      <c r="AQ30" s="69" t="str">
        <f t="shared" si="15"/>
        <v/>
      </c>
      <c r="AR30" s="31"/>
      <c r="AS30" s="34" t="str">
        <f t="shared" si="16"/>
        <v/>
      </c>
      <c r="AT30" s="67"/>
      <c r="AU30" s="69" t="str">
        <f t="shared" si="44"/>
        <v/>
      </c>
      <c r="AV30" s="31"/>
      <c r="AW30" s="34" t="str">
        <f t="shared" si="18"/>
        <v/>
      </c>
      <c r="AX30" s="67"/>
      <c r="AY30" s="69" t="str">
        <f t="shared" si="19"/>
        <v/>
      </c>
      <c r="AZ30" s="56"/>
      <c r="BA30" s="34" t="str">
        <f t="shared" si="20"/>
        <v/>
      </c>
      <c r="BB30" s="67"/>
      <c r="BC30" s="69" t="str">
        <f t="shared" si="21"/>
        <v/>
      </c>
      <c r="BD30" s="31"/>
      <c r="BE30" s="34" t="str">
        <f t="shared" si="22"/>
        <v/>
      </c>
      <c r="BF30" s="67"/>
      <c r="BG30" s="69" t="str">
        <f t="shared" si="23"/>
        <v/>
      </c>
      <c r="BH30" s="31"/>
      <c r="BI30" s="34" t="str">
        <f t="shared" si="24"/>
        <v/>
      </c>
      <c r="BJ30" s="67"/>
      <c r="BK30" s="69" t="str">
        <f t="shared" si="25"/>
        <v/>
      </c>
      <c r="BL30" s="31"/>
      <c r="BM30" s="34" t="str">
        <f t="shared" si="26"/>
        <v/>
      </c>
      <c r="BN30" s="67"/>
      <c r="BO30" s="69" t="str">
        <f t="shared" si="27"/>
        <v/>
      </c>
      <c r="BP30" s="31"/>
      <c r="BQ30" s="34" t="str">
        <f t="shared" si="28"/>
        <v/>
      </c>
      <c r="BR30" s="67"/>
      <c r="BS30" s="69" t="str">
        <f t="shared" si="29"/>
        <v/>
      </c>
      <c r="BT30" s="31"/>
      <c r="BU30" s="34" t="str">
        <f t="shared" si="30"/>
        <v/>
      </c>
      <c r="BV30" s="67"/>
      <c r="BW30" s="69" t="str">
        <f t="shared" si="31"/>
        <v/>
      </c>
      <c r="BX30" s="31"/>
      <c r="BY30" s="34" t="str">
        <f t="shared" si="32"/>
        <v/>
      </c>
      <c r="BZ30" s="67"/>
      <c r="CA30" s="69" t="str">
        <f t="shared" si="33"/>
        <v/>
      </c>
      <c r="CB30" s="31"/>
      <c r="CC30" s="34" t="str">
        <f t="shared" si="34"/>
        <v/>
      </c>
      <c r="CD30" s="67"/>
      <c r="CE30" s="69" t="str">
        <f t="shared" si="35"/>
        <v/>
      </c>
      <c r="CF30" s="31"/>
      <c r="CG30" s="34" t="str">
        <f t="shared" si="36"/>
        <v/>
      </c>
      <c r="CH30" s="67"/>
      <c r="CI30" s="69" t="str">
        <f t="shared" si="37"/>
        <v/>
      </c>
      <c r="CJ30" s="31"/>
      <c r="CK30" s="34" t="str">
        <f t="shared" si="38"/>
        <v/>
      </c>
      <c r="CL30" s="67"/>
      <c r="CM30" s="69" t="str">
        <f t="shared" si="39"/>
        <v/>
      </c>
      <c r="CN30" s="31"/>
      <c r="CO30" s="34" t="str">
        <f t="shared" si="40"/>
        <v/>
      </c>
      <c r="CP30" s="67"/>
      <c r="CQ30" s="69" t="str">
        <f t="shared" si="41"/>
        <v/>
      </c>
      <c r="CR30" s="21" t="s">
        <v>400</v>
      </c>
    </row>
    <row r="31" spans="1:96" ht="20" customHeight="1" x14ac:dyDescent="0.2">
      <c r="A31" s="678"/>
      <c r="B31" s="725"/>
      <c r="C31" s="253"/>
      <c r="D31" s="722" t="s">
        <v>85</v>
      </c>
      <c r="E31" s="723" t="s">
        <v>336</v>
      </c>
      <c r="F31" s="723" t="s">
        <v>337</v>
      </c>
      <c r="G31" s="722">
        <v>2008</v>
      </c>
      <c r="H31" s="287"/>
      <c r="I31" s="65">
        <v>16</v>
      </c>
      <c r="J31" s="61" t="s">
        <v>175</v>
      </c>
      <c r="K31" s="62" t="s">
        <v>338</v>
      </c>
      <c r="L31" s="31"/>
      <c r="M31" s="34" t="str">
        <f t="shared" si="0"/>
        <v/>
      </c>
      <c r="N31" s="67"/>
      <c r="O31" s="67" t="str">
        <f t="shared" si="1"/>
        <v/>
      </c>
      <c r="P31" s="31"/>
      <c r="Q31" s="34" t="str">
        <f t="shared" si="2"/>
        <v/>
      </c>
      <c r="R31" s="67"/>
      <c r="S31" s="69" t="str">
        <f t="shared" si="3"/>
        <v/>
      </c>
      <c r="T31" s="56"/>
      <c r="U31" s="34" t="str">
        <f t="shared" si="4"/>
        <v/>
      </c>
      <c r="V31" s="67"/>
      <c r="W31" s="69" t="str">
        <f t="shared" si="5"/>
        <v/>
      </c>
      <c r="X31" s="31"/>
      <c r="Y31" s="34" t="str">
        <f t="shared" si="6"/>
        <v/>
      </c>
      <c r="Z31" s="67"/>
      <c r="AA31" s="69" t="str">
        <f t="shared" si="7"/>
        <v/>
      </c>
      <c r="AB31" s="31"/>
      <c r="AC31" s="34" t="str">
        <f t="shared" si="8"/>
        <v/>
      </c>
      <c r="AD31" s="67"/>
      <c r="AE31" s="69" t="str">
        <f t="shared" si="9"/>
        <v/>
      </c>
      <c r="AF31" s="31"/>
      <c r="AG31" s="34" t="str">
        <f t="shared" si="10"/>
        <v/>
      </c>
      <c r="AH31" s="67"/>
      <c r="AI31" s="69" t="str">
        <f t="shared" si="11"/>
        <v/>
      </c>
      <c r="AJ31" s="31"/>
      <c r="AK31" s="34" t="str">
        <f t="shared" si="12"/>
        <v/>
      </c>
      <c r="AL31" s="67"/>
      <c r="AM31" s="69" t="str">
        <f t="shared" si="13"/>
        <v/>
      </c>
      <c r="AN31" s="31"/>
      <c r="AO31" s="34" t="str">
        <f t="shared" si="14"/>
        <v/>
      </c>
      <c r="AP31" s="67"/>
      <c r="AQ31" s="69" t="str">
        <f t="shared" si="15"/>
        <v/>
      </c>
      <c r="AR31" s="31"/>
      <c r="AS31" s="34" t="str">
        <f t="shared" si="16"/>
        <v/>
      </c>
      <c r="AT31" s="67"/>
      <c r="AU31" s="69" t="str">
        <f t="shared" si="44"/>
        <v/>
      </c>
      <c r="AV31" s="31"/>
      <c r="AW31" s="34" t="str">
        <f t="shared" si="18"/>
        <v/>
      </c>
      <c r="AX31" s="67"/>
      <c r="AY31" s="69" t="str">
        <f t="shared" si="19"/>
        <v/>
      </c>
      <c r="AZ31" s="56"/>
      <c r="BA31" s="34" t="str">
        <f t="shared" si="20"/>
        <v/>
      </c>
      <c r="BB31" s="67"/>
      <c r="BC31" s="69" t="str">
        <f t="shared" si="21"/>
        <v/>
      </c>
      <c r="BD31" s="31"/>
      <c r="BE31" s="34" t="str">
        <f t="shared" si="22"/>
        <v/>
      </c>
      <c r="BF31" s="67"/>
      <c r="BG31" s="69" t="str">
        <f t="shared" si="23"/>
        <v/>
      </c>
      <c r="BH31" s="31"/>
      <c r="BI31" s="34" t="str">
        <f t="shared" si="24"/>
        <v/>
      </c>
      <c r="BJ31" s="67"/>
      <c r="BK31" s="69" t="str">
        <f t="shared" si="25"/>
        <v/>
      </c>
      <c r="BL31" s="31"/>
      <c r="BM31" s="34" t="str">
        <f t="shared" si="26"/>
        <v/>
      </c>
      <c r="BN31" s="67"/>
      <c r="BO31" s="69" t="str">
        <f t="shared" si="27"/>
        <v/>
      </c>
      <c r="BP31" s="31"/>
      <c r="BQ31" s="34" t="str">
        <f t="shared" si="28"/>
        <v/>
      </c>
      <c r="BR31" s="67"/>
      <c r="BS31" s="69" t="str">
        <f t="shared" si="29"/>
        <v/>
      </c>
      <c r="BT31" s="31"/>
      <c r="BU31" s="34" t="str">
        <f t="shared" si="30"/>
        <v/>
      </c>
      <c r="BV31" s="67"/>
      <c r="BW31" s="69" t="str">
        <f t="shared" si="31"/>
        <v/>
      </c>
      <c r="BX31" s="31"/>
      <c r="BY31" s="34" t="str">
        <f t="shared" si="32"/>
        <v/>
      </c>
      <c r="BZ31" s="67"/>
      <c r="CA31" s="69" t="str">
        <f t="shared" si="33"/>
        <v/>
      </c>
      <c r="CB31" s="31"/>
      <c r="CC31" s="34" t="str">
        <f t="shared" si="34"/>
        <v/>
      </c>
      <c r="CD31" s="67"/>
      <c r="CE31" s="69" t="str">
        <f t="shared" si="35"/>
        <v/>
      </c>
      <c r="CF31" s="31"/>
      <c r="CG31" s="34" t="str">
        <f t="shared" si="36"/>
        <v/>
      </c>
      <c r="CH31" s="67"/>
      <c r="CI31" s="69" t="str">
        <f t="shared" si="37"/>
        <v/>
      </c>
      <c r="CJ31" s="31"/>
      <c r="CK31" s="34" t="str">
        <f t="shared" si="38"/>
        <v/>
      </c>
      <c r="CL31" s="67"/>
      <c r="CM31" s="69" t="str">
        <f t="shared" si="39"/>
        <v/>
      </c>
      <c r="CN31" s="31"/>
      <c r="CO31" s="34" t="str">
        <f t="shared" si="40"/>
        <v/>
      </c>
      <c r="CP31" s="67"/>
      <c r="CQ31" s="69" t="str">
        <f t="shared" si="41"/>
        <v/>
      </c>
      <c r="CR31" s="21" t="s">
        <v>408</v>
      </c>
    </row>
    <row r="32" spans="1:96" ht="20" customHeight="1" x14ac:dyDescent="0.2">
      <c r="A32" s="678"/>
      <c r="B32" s="725"/>
      <c r="C32" s="255"/>
      <c r="D32" s="722" t="s">
        <v>85</v>
      </c>
      <c r="E32" s="723" t="s">
        <v>54</v>
      </c>
      <c r="F32" s="723" t="s">
        <v>55</v>
      </c>
      <c r="G32" s="722">
        <v>1996</v>
      </c>
      <c r="H32" s="287">
        <v>82</v>
      </c>
      <c r="I32" s="65">
        <v>15</v>
      </c>
      <c r="J32" s="61" t="s">
        <v>175</v>
      </c>
      <c r="K32" s="62" t="s">
        <v>177</v>
      </c>
      <c r="L32" s="31"/>
      <c r="M32" s="34" t="str">
        <f t="shared" si="0"/>
        <v/>
      </c>
      <c r="N32" s="67"/>
      <c r="O32" s="67" t="str">
        <f t="shared" si="1"/>
        <v/>
      </c>
      <c r="P32" s="31">
        <v>1</v>
      </c>
      <c r="Q32" s="34">
        <f t="shared" si="2"/>
        <v>6.666666666666667</v>
      </c>
      <c r="R32" s="85">
        <v>0</v>
      </c>
      <c r="S32" s="86">
        <f t="shared" si="3"/>
        <v>1</v>
      </c>
      <c r="T32" s="56">
        <v>1</v>
      </c>
      <c r="U32" s="34">
        <f t="shared" si="4"/>
        <v>6.666666666666667</v>
      </c>
      <c r="V32" s="85">
        <v>0</v>
      </c>
      <c r="W32" s="86">
        <f t="shared" si="5"/>
        <v>1</v>
      </c>
      <c r="X32" s="31"/>
      <c r="Y32" s="34" t="str">
        <f t="shared" si="6"/>
        <v/>
      </c>
      <c r="Z32" s="67"/>
      <c r="AA32" s="69" t="str">
        <f t="shared" si="7"/>
        <v/>
      </c>
      <c r="AB32" s="31"/>
      <c r="AC32" s="34" t="str">
        <f t="shared" si="8"/>
        <v/>
      </c>
      <c r="AD32" s="67"/>
      <c r="AE32" s="69" t="str">
        <f t="shared" si="9"/>
        <v/>
      </c>
      <c r="AF32" s="31"/>
      <c r="AG32" s="34" t="str">
        <f t="shared" si="10"/>
        <v/>
      </c>
      <c r="AH32" s="67"/>
      <c r="AI32" s="69" t="str">
        <f t="shared" si="11"/>
        <v/>
      </c>
      <c r="AJ32" s="31"/>
      <c r="AK32" s="34" t="str">
        <f t="shared" si="12"/>
        <v/>
      </c>
      <c r="AL32" s="67"/>
      <c r="AM32" s="69" t="str">
        <f t="shared" si="13"/>
        <v/>
      </c>
      <c r="AN32" s="31"/>
      <c r="AO32" s="34" t="str">
        <f t="shared" si="14"/>
        <v/>
      </c>
      <c r="AP32" s="67"/>
      <c r="AQ32" s="69" t="str">
        <f t="shared" si="15"/>
        <v/>
      </c>
      <c r="AR32" s="31">
        <v>3</v>
      </c>
      <c r="AS32" s="34">
        <f t="shared" si="16"/>
        <v>20</v>
      </c>
      <c r="AT32" s="67">
        <v>0</v>
      </c>
      <c r="AU32" s="69">
        <f t="shared" si="44"/>
        <v>3</v>
      </c>
      <c r="AV32" s="31"/>
      <c r="AW32" s="34" t="str">
        <f t="shared" si="18"/>
        <v/>
      </c>
      <c r="AX32" s="67"/>
      <c r="AY32" s="69" t="str">
        <f t="shared" si="19"/>
        <v/>
      </c>
      <c r="AZ32" s="56"/>
      <c r="BA32" s="34" t="str">
        <f t="shared" si="20"/>
        <v/>
      </c>
      <c r="BB32" s="67"/>
      <c r="BC32" s="69" t="str">
        <f t="shared" si="21"/>
        <v/>
      </c>
      <c r="BD32" s="31">
        <v>1</v>
      </c>
      <c r="BE32" s="34">
        <f t="shared" si="22"/>
        <v>6.666666666666667</v>
      </c>
      <c r="BF32" s="67">
        <v>0</v>
      </c>
      <c r="BG32" s="69">
        <f t="shared" si="23"/>
        <v>1</v>
      </c>
      <c r="BH32" s="31"/>
      <c r="BI32" s="34" t="str">
        <f t="shared" si="24"/>
        <v/>
      </c>
      <c r="BJ32" s="67"/>
      <c r="BK32" s="69" t="str">
        <f t="shared" si="25"/>
        <v/>
      </c>
      <c r="BL32" s="31"/>
      <c r="BM32" s="34" t="str">
        <f t="shared" si="26"/>
        <v/>
      </c>
      <c r="BN32" s="67"/>
      <c r="BO32" s="69" t="str">
        <f t="shared" si="27"/>
        <v/>
      </c>
      <c r="BP32" s="31"/>
      <c r="BQ32" s="34" t="str">
        <f t="shared" si="28"/>
        <v/>
      </c>
      <c r="BR32" s="67"/>
      <c r="BS32" s="69" t="str">
        <f t="shared" si="29"/>
        <v/>
      </c>
      <c r="BT32" s="31"/>
      <c r="BU32" s="34" t="str">
        <f t="shared" si="30"/>
        <v/>
      </c>
      <c r="BV32" s="67"/>
      <c r="BW32" s="69" t="str">
        <f t="shared" si="31"/>
        <v/>
      </c>
      <c r="BX32" s="31"/>
      <c r="BY32" s="34" t="str">
        <f t="shared" si="32"/>
        <v/>
      </c>
      <c r="BZ32" s="67"/>
      <c r="CA32" s="69" t="str">
        <f t="shared" si="33"/>
        <v/>
      </c>
      <c r="CB32" s="31"/>
      <c r="CC32" s="34" t="str">
        <f t="shared" si="34"/>
        <v/>
      </c>
      <c r="CD32" s="67"/>
      <c r="CE32" s="69" t="str">
        <f t="shared" si="35"/>
        <v/>
      </c>
      <c r="CF32" s="31"/>
      <c r="CG32" s="34" t="str">
        <f t="shared" si="36"/>
        <v/>
      </c>
      <c r="CH32" s="67"/>
      <c r="CI32" s="69" t="str">
        <f t="shared" si="37"/>
        <v/>
      </c>
      <c r="CJ32" s="31"/>
      <c r="CK32" s="34" t="str">
        <f t="shared" si="38"/>
        <v/>
      </c>
      <c r="CL32" s="67"/>
      <c r="CM32" s="69" t="str">
        <f t="shared" si="39"/>
        <v/>
      </c>
      <c r="CN32" s="31"/>
      <c r="CO32" s="34" t="str">
        <f t="shared" si="40"/>
        <v/>
      </c>
      <c r="CP32" s="67"/>
      <c r="CQ32" s="69" t="str">
        <f t="shared" si="41"/>
        <v/>
      </c>
      <c r="CR32" s="21" t="s">
        <v>339</v>
      </c>
    </row>
    <row r="33" spans="1:96" ht="20" customHeight="1" x14ac:dyDescent="0.2">
      <c r="A33" s="726"/>
      <c r="B33" s="721"/>
      <c r="C33" s="255"/>
      <c r="D33" s="722" t="s">
        <v>85</v>
      </c>
      <c r="E33" s="723" t="s">
        <v>633</v>
      </c>
      <c r="F33" s="723" t="s">
        <v>514</v>
      </c>
      <c r="G33" s="722">
        <v>1995</v>
      </c>
      <c r="H33" s="287"/>
      <c r="I33" s="701">
        <v>12</v>
      </c>
      <c r="J33" s="232" t="s">
        <v>210</v>
      </c>
      <c r="K33" s="250" t="s">
        <v>209</v>
      </c>
      <c r="L33" s="31"/>
      <c r="M33" s="34"/>
      <c r="N33" s="67"/>
      <c r="O33" s="67"/>
      <c r="P33" s="31"/>
      <c r="Q33" s="34"/>
      <c r="R33" s="67"/>
      <c r="S33" s="69"/>
      <c r="T33" s="56"/>
      <c r="U33" s="34"/>
      <c r="V33" s="67"/>
      <c r="W33" s="69"/>
      <c r="X33" s="31"/>
      <c r="Y33" s="34"/>
      <c r="Z33" s="67"/>
      <c r="AA33" s="69"/>
      <c r="AB33" s="31"/>
      <c r="AC33" s="34"/>
      <c r="AD33" s="67"/>
      <c r="AE33" s="69"/>
      <c r="AF33" s="31"/>
      <c r="AG33" s="34"/>
      <c r="AH33" s="67"/>
      <c r="AI33" s="69"/>
      <c r="AJ33" s="31"/>
      <c r="AK33" s="34"/>
      <c r="AL33" s="67"/>
      <c r="AM33" s="69"/>
      <c r="AN33" s="31"/>
      <c r="AO33" s="34"/>
      <c r="AP33" s="67"/>
      <c r="AQ33" s="69"/>
      <c r="AR33" s="31"/>
      <c r="AS33" s="34"/>
      <c r="AT33" s="67"/>
      <c r="AU33" s="69"/>
      <c r="AV33" s="31"/>
      <c r="AW33" s="34"/>
      <c r="AX33" s="67"/>
      <c r="AY33" s="69"/>
      <c r="AZ33" s="56"/>
      <c r="BA33" s="34"/>
      <c r="BB33" s="67"/>
      <c r="BC33" s="69"/>
      <c r="BD33" s="31"/>
      <c r="BE33" s="34"/>
      <c r="BF33" s="67"/>
      <c r="BG33" s="69"/>
      <c r="BH33" s="31"/>
      <c r="BI33" s="34"/>
      <c r="BJ33" s="67"/>
      <c r="BK33" s="69"/>
      <c r="BL33" s="31"/>
      <c r="BM33" s="34"/>
      <c r="BN33" s="67"/>
      <c r="BO33" s="69"/>
      <c r="BP33" s="31"/>
      <c r="BQ33" s="34"/>
      <c r="BR33" s="67"/>
      <c r="BS33" s="69"/>
      <c r="BT33" s="31"/>
      <c r="BU33" s="34"/>
      <c r="BV33" s="67"/>
      <c r="BW33" s="69"/>
      <c r="BX33" s="31"/>
      <c r="BY33" s="34"/>
      <c r="BZ33" s="67"/>
      <c r="CA33" s="69"/>
      <c r="CB33" s="31"/>
      <c r="CC33" s="34"/>
      <c r="CD33" s="67"/>
      <c r="CE33" s="69"/>
      <c r="CF33" s="31"/>
      <c r="CG33" s="34"/>
      <c r="CH33" s="67"/>
      <c r="CI33" s="69"/>
      <c r="CJ33" s="31"/>
      <c r="CK33" s="34"/>
      <c r="CL33" s="67"/>
      <c r="CM33" s="69"/>
      <c r="CN33" s="31"/>
      <c r="CO33" s="34"/>
      <c r="CP33" s="67"/>
      <c r="CQ33" s="69"/>
    </row>
    <row r="34" spans="1:96" ht="20" customHeight="1" x14ac:dyDescent="0.2">
      <c r="A34" s="726"/>
      <c r="B34" s="725"/>
      <c r="C34" s="255"/>
      <c r="D34" s="722" t="s">
        <v>85</v>
      </c>
      <c r="E34" s="723" t="s">
        <v>634</v>
      </c>
      <c r="F34" s="723" t="s">
        <v>514</v>
      </c>
      <c r="G34" s="722">
        <v>1999</v>
      </c>
      <c r="H34" s="287"/>
      <c r="I34" s="703">
        <v>34</v>
      </c>
      <c r="J34" s="704" t="s">
        <v>210</v>
      </c>
      <c r="K34" s="705" t="s">
        <v>636</v>
      </c>
      <c r="L34" s="31"/>
      <c r="M34" s="34"/>
      <c r="N34" s="67"/>
      <c r="O34" s="67"/>
      <c r="P34" s="31"/>
      <c r="Q34" s="34"/>
      <c r="R34" s="67"/>
      <c r="S34" s="69"/>
      <c r="T34" s="56"/>
      <c r="U34" s="34"/>
      <c r="V34" s="67"/>
      <c r="W34" s="69"/>
      <c r="X34" s="31"/>
      <c r="Y34" s="34"/>
      <c r="Z34" s="67"/>
      <c r="AA34" s="69"/>
      <c r="AB34" s="31"/>
      <c r="AC34" s="34"/>
      <c r="AD34" s="67"/>
      <c r="AE34" s="69"/>
      <c r="AF34" s="31"/>
      <c r="AG34" s="34"/>
      <c r="AH34" s="67"/>
      <c r="AI34" s="69"/>
      <c r="AJ34" s="31"/>
      <c r="AK34" s="34"/>
      <c r="AL34" s="67"/>
      <c r="AM34" s="69"/>
      <c r="AN34" s="31"/>
      <c r="AO34" s="34"/>
      <c r="AP34" s="67"/>
      <c r="AQ34" s="69"/>
      <c r="AR34" s="31"/>
      <c r="AS34" s="34"/>
      <c r="AT34" s="67"/>
      <c r="AU34" s="69"/>
      <c r="AV34" s="31"/>
      <c r="AW34" s="34"/>
      <c r="AX34" s="67"/>
      <c r="AY34" s="69"/>
      <c r="AZ34" s="56"/>
      <c r="BA34" s="34"/>
      <c r="BB34" s="67"/>
      <c r="BC34" s="69"/>
      <c r="BD34" s="31"/>
      <c r="BE34" s="34"/>
      <c r="BF34" s="67"/>
      <c r="BG34" s="69"/>
      <c r="BH34" s="31"/>
      <c r="BI34" s="34"/>
      <c r="BJ34" s="67"/>
      <c r="BK34" s="69"/>
      <c r="BL34" s="31"/>
      <c r="BM34" s="34"/>
      <c r="BN34" s="67"/>
      <c r="BO34" s="69"/>
      <c r="BP34" s="31"/>
      <c r="BQ34" s="34"/>
      <c r="BR34" s="67"/>
      <c r="BS34" s="69"/>
      <c r="BT34" s="31"/>
      <c r="BU34" s="34"/>
      <c r="BV34" s="67"/>
      <c r="BW34" s="69"/>
      <c r="BX34" s="31"/>
      <c r="BY34" s="34"/>
      <c r="BZ34" s="67"/>
      <c r="CA34" s="69"/>
      <c r="CB34" s="31"/>
      <c r="CC34" s="34"/>
      <c r="CD34" s="67"/>
      <c r="CE34" s="69"/>
      <c r="CF34" s="31"/>
      <c r="CG34" s="34"/>
      <c r="CH34" s="67"/>
      <c r="CI34" s="69"/>
      <c r="CJ34" s="31"/>
      <c r="CK34" s="34"/>
      <c r="CL34" s="67"/>
      <c r="CM34" s="69"/>
      <c r="CN34" s="31"/>
      <c r="CO34" s="34"/>
      <c r="CP34" s="67"/>
      <c r="CQ34" s="69"/>
    </row>
    <row r="35" spans="1:96" ht="20" customHeight="1" x14ac:dyDescent="0.2">
      <c r="A35" s="726"/>
      <c r="B35" s="725"/>
      <c r="C35" s="255"/>
      <c r="D35" s="722" t="s">
        <v>85</v>
      </c>
      <c r="E35" s="723" t="s">
        <v>635</v>
      </c>
      <c r="F35" s="723" t="s">
        <v>514</v>
      </c>
      <c r="G35" s="722">
        <v>2011</v>
      </c>
      <c r="H35" s="287"/>
      <c r="I35" s="703">
        <v>36</v>
      </c>
      <c r="J35" s="704" t="s">
        <v>210</v>
      </c>
      <c r="K35" s="705" t="s">
        <v>637</v>
      </c>
      <c r="L35" s="31"/>
      <c r="M35" s="34"/>
      <c r="N35" s="67"/>
      <c r="O35" s="67"/>
      <c r="P35" s="31"/>
      <c r="Q35" s="34"/>
      <c r="R35" s="67"/>
      <c r="S35" s="69"/>
      <c r="T35" s="56"/>
      <c r="U35" s="34"/>
      <c r="V35" s="67"/>
      <c r="W35" s="69"/>
      <c r="X35" s="31"/>
      <c r="Y35" s="34"/>
      <c r="Z35" s="67"/>
      <c r="AA35" s="69"/>
      <c r="AB35" s="31"/>
      <c r="AC35" s="34"/>
      <c r="AD35" s="67"/>
      <c r="AE35" s="69"/>
      <c r="AF35" s="31"/>
      <c r="AG35" s="34"/>
      <c r="AH35" s="67"/>
      <c r="AI35" s="69"/>
      <c r="AJ35" s="31"/>
      <c r="AK35" s="34"/>
      <c r="AL35" s="67"/>
      <c r="AM35" s="69"/>
      <c r="AN35" s="31"/>
      <c r="AO35" s="34"/>
      <c r="AP35" s="67"/>
      <c r="AQ35" s="69"/>
      <c r="AR35" s="31"/>
      <c r="AS35" s="34"/>
      <c r="AT35" s="67"/>
      <c r="AU35" s="69"/>
      <c r="AV35" s="31"/>
      <c r="AW35" s="34"/>
      <c r="AX35" s="67"/>
      <c r="AY35" s="69"/>
      <c r="AZ35" s="56"/>
      <c r="BA35" s="34"/>
      <c r="BB35" s="67"/>
      <c r="BC35" s="69"/>
      <c r="BD35" s="31"/>
      <c r="BE35" s="34"/>
      <c r="BF35" s="67"/>
      <c r="BG35" s="69"/>
      <c r="BH35" s="31"/>
      <c r="BI35" s="34"/>
      <c r="BJ35" s="67"/>
      <c r="BK35" s="69"/>
      <c r="BL35" s="31"/>
      <c r="BM35" s="34"/>
      <c r="BN35" s="67"/>
      <c r="BO35" s="69"/>
      <c r="BP35" s="31"/>
      <c r="BQ35" s="34"/>
      <c r="BR35" s="67"/>
      <c r="BS35" s="69"/>
      <c r="BT35" s="31"/>
      <c r="BU35" s="34"/>
      <c r="BV35" s="67"/>
      <c r="BW35" s="69"/>
      <c r="BX35" s="31"/>
      <c r="BY35" s="34"/>
      <c r="BZ35" s="67"/>
      <c r="CA35" s="69"/>
      <c r="CB35" s="31"/>
      <c r="CC35" s="34"/>
      <c r="CD35" s="67"/>
      <c r="CE35" s="69"/>
      <c r="CF35" s="31"/>
      <c r="CG35" s="34"/>
      <c r="CH35" s="67"/>
      <c r="CI35" s="69"/>
      <c r="CJ35" s="31"/>
      <c r="CK35" s="34"/>
      <c r="CL35" s="67"/>
      <c r="CM35" s="69"/>
      <c r="CN35" s="31"/>
      <c r="CO35" s="34"/>
      <c r="CP35" s="67"/>
      <c r="CQ35" s="69"/>
    </row>
    <row r="36" spans="1:96" ht="20" customHeight="1" x14ac:dyDescent="0.2">
      <c r="A36" s="678"/>
      <c r="B36" s="721"/>
      <c r="C36" s="258"/>
      <c r="D36" s="722" t="s">
        <v>85</v>
      </c>
      <c r="E36" s="723" t="s">
        <v>57</v>
      </c>
      <c r="F36" s="723" t="s">
        <v>58</v>
      </c>
      <c r="G36" s="722">
        <v>2006</v>
      </c>
      <c r="H36" s="287">
        <v>132</v>
      </c>
      <c r="I36" s="65">
        <v>7</v>
      </c>
      <c r="J36" s="61" t="s">
        <v>175</v>
      </c>
      <c r="K36" s="62" t="s">
        <v>168</v>
      </c>
      <c r="L36" s="31"/>
      <c r="M36" s="34" t="str">
        <f t="shared" si="0"/>
        <v/>
      </c>
      <c r="N36" s="67"/>
      <c r="O36" s="67" t="str">
        <f t="shared" si="1"/>
        <v/>
      </c>
      <c r="P36" s="31"/>
      <c r="Q36" s="34" t="str">
        <f t="shared" si="2"/>
        <v/>
      </c>
      <c r="R36" s="67"/>
      <c r="S36" s="69" t="str">
        <f t="shared" si="3"/>
        <v/>
      </c>
      <c r="T36" s="56"/>
      <c r="U36" s="34" t="str">
        <f t="shared" si="4"/>
        <v/>
      </c>
      <c r="V36" s="67"/>
      <c r="W36" s="69" t="str">
        <f t="shared" si="5"/>
        <v/>
      </c>
      <c r="X36" s="31"/>
      <c r="Y36" s="34" t="str">
        <f t="shared" si="6"/>
        <v/>
      </c>
      <c r="Z36" s="67"/>
      <c r="AA36" s="69" t="str">
        <f t="shared" si="7"/>
        <v/>
      </c>
      <c r="AB36" s="31"/>
      <c r="AC36" s="34" t="str">
        <f t="shared" si="8"/>
        <v/>
      </c>
      <c r="AD36" s="67"/>
      <c r="AE36" s="69" t="str">
        <f t="shared" si="9"/>
        <v/>
      </c>
      <c r="AF36" s="31"/>
      <c r="AG36" s="34" t="str">
        <f t="shared" si="10"/>
        <v/>
      </c>
      <c r="AH36" s="67"/>
      <c r="AI36" s="69" t="str">
        <f t="shared" si="11"/>
        <v/>
      </c>
      <c r="AJ36" s="31"/>
      <c r="AK36" s="34" t="str">
        <f t="shared" si="12"/>
        <v/>
      </c>
      <c r="AL36" s="67"/>
      <c r="AM36" s="69" t="str">
        <f t="shared" si="13"/>
        <v/>
      </c>
      <c r="AN36" s="31"/>
      <c r="AO36" s="34" t="str">
        <f t="shared" si="14"/>
        <v/>
      </c>
      <c r="AP36" s="67"/>
      <c r="AQ36" s="69" t="str">
        <f t="shared" si="15"/>
        <v/>
      </c>
      <c r="AR36" s="31"/>
      <c r="AS36" s="34" t="str">
        <f t="shared" si="16"/>
        <v/>
      </c>
      <c r="AT36" s="67"/>
      <c r="AU36" s="69" t="str">
        <f t="shared" si="44"/>
        <v/>
      </c>
      <c r="AV36" s="31"/>
      <c r="AW36" s="34" t="str">
        <f t="shared" si="18"/>
        <v/>
      </c>
      <c r="AX36" s="67"/>
      <c r="AY36" s="69" t="str">
        <f t="shared" si="19"/>
        <v/>
      </c>
      <c r="AZ36" s="56"/>
      <c r="BA36" s="34" t="str">
        <f t="shared" si="20"/>
        <v/>
      </c>
      <c r="BB36" s="67"/>
      <c r="BC36" s="69" t="str">
        <f t="shared" si="21"/>
        <v/>
      </c>
      <c r="BD36" s="31"/>
      <c r="BE36" s="34" t="str">
        <f t="shared" si="22"/>
        <v/>
      </c>
      <c r="BF36" s="67"/>
      <c r="BG36" s="69" t="str">
        <f t="shared" si="23"/>
        <v/>
      </c>
      <c r="BH36" s="31"/>
      <c r="BI36" s="34" t="str">
        <f t="shared" si="24"/>
        <v/>
      </c>
      <c r="BJ36" s="67"/>
      <c r="BK36" s="69" t="str">
        <f t="shared" si="25"/>
        <v/>
      </c>
      <c r="BL36" s="31"/>
      <c r="BM36" s="34" t="str">
        <f t="shared" si="26"/>
        <v/>
      </c>
      <c r="BN36" s="67"/>
      <c r="BO36" s="69" t="str">
        <f t="shared" si="27"/>
        <v/>
      </c>
      <c r="BP36" s="31"/>
      <c r="BQ36" s="34" t="str">
        <f t="shared" si="28"/>
        <v/>
      </c>
      <c r="BR36" s="67"/>
      <c r="BS36" s="69" t="str">
        <f t="shared" si="29"/>
        <v/>
      </c>
      <c r="BT36" s="31"/>
      <c r="BU36" s="34" t="str">
        <f t="shared" si="30"/>
        <v/>
      </c>
      <c r="BV36" s="67"/>
      <c r="BW36" s="69" t="str">
        <f t="shared" si="31"/>
        <v/>
      </c>
      <c r="BX36" s="31"/>
      <c r="BY36" s="34" t="str">
        <f t="shared" si="32"/>
        <v/>
      </c>
      <c r="BZ36" s="67"/>
      <c r="CA36" s="69" t="str">
        <f t="shared" si="33"/>
        <v/>
      </c>
      <c r="CB36" s="31"/>
      <c r="CC36" s="34" t="str">
        <f t="shared" si="34"/>
        <v/>
      </c>
      <c r="CD36" s="67"/>
      <c r="CE36" s="69" t="str">
        <f t="shared" si="35"/>
        <v/>
      </c>
      <c r="CF36" s="31"/>
      <c r="CG36" s="34" t="str">
        <f t="shared" si="36"/>
        <v/>
      </c>
      <c r="CH36" s="67"/>
      <c r="CI36" s="69" t="str">
        <f t="shared" si="37"/>
        <v/>
      </c>
      <c r="CJ36" s="31"/>
      <c r="CK36" s="34" t="str">
        <f t="shared" si="38"/>
        <v/>
      </c>
      <c r="CL36" s="67"/>
      <c r="CM36" s="69" t="str">
        <f t="shared" si="39"/>
        <v/>
      </c>
      <c r="CN36" s="31"/>
      <c r="CO36" s="34" t="str">
        <f t="shared" si="40"/>
        <v/>
      </c>
      <c r="CP36" s="67"/>
      <c r="CQ36" s="69" t="str">
        <f t="shared" si="41"/>
        <v/>
      </c>
      <c r="CR36" s="21" t="s">
        <v>473</v>
      </c>
    </row>
    <row r="37" spans="1:96" ht="20" customHeight="1" x14ac:dyDescent="0.2">
      <c r="A37" s="678"/>
      <c r="B37" s="725"/>
      <c r="C37" s="253"/>
      <c r="D37" s="722" t="s">
        <v>85</v>
      </c>
      <c r="E37" s="723" t="s">
        <v>59</v>
      </c>
      <c r="F37" s="723" t="s">
        <v>60</v>
      </c>
      <c r="G37" s="722">
        <v>2009</v>
      </c>
      <c r="H37" s="287">
        <v>49</v>
      </c>
      <c r="I37" s="65">
        <v>22</v>
      </c>
      <c r="J37" s="61" t="s">
        <v>175</v>
      </c>
      <c r="K37" s="62" t="s">
        <v>188</v>
      </c>
      <c r="L37" s="31"/>
      <c r="M37" s="34" t="str">
        <f t="shared" si="0"/>
        <v/>
      </c>
      <c r="N37" s="67"/>
      <c r="O37" s="67" t="str">
        <f t="shared" si="1"/>
        <v/>
      </c>
      <c r="P37" s="31"/>
      <c r="Q37" s="34" t="str">
        <f t="shared" si="2"/>
        <v/>
      </c>
      <c r="R37" s="67"/>
      <c r="S37" s="69" t="str">
        <f t="shared" si="3"/>
        <v/>
      </c>
      <c r="T37" s="56"/>
      <c r="U37" s="34" t="str">
        <f t="shared" si="4"/>
        <v/>
      </c>
      <c r="V37" s="67"/>
      <c r="W37" s="69" t="str">
        <f t="shared" si="5"/>
        <v/>
      </c>
      <c r="X37" s="31"/>
      <c r="Y37" s="34" t="str">
        <f t="shared" si="6"/>
        <v/>
      </c>
      <c r="Z37" s="67"/>
      <c r="AA37" s="69" t="str">
        <f t="shared" si="7"/>
        <v/>
      </c>
      <c r="AB37" s="31"/>
      <c r="AC37" s="34" t="str">
        <f t="shared" si="8"/>
        <v/>
      </c>
      <c r="AD37" s="67"/>
      <c r="AE37" s="69" t="str">
        <f t="shared" si="9"/>
        <v/>
      </c>
      <c r="AF37" s="31"/>
      <c r="AG37" s="34" t="str">
        <f t="shared" si="10"/>
        <v/>
      </c>
      <c r="AH37" s="67"/>
      <c r="AI37" s="69" t="str">
        <f t="shared" si="11"/>
        <v/>
      </c>
      <c r="AJ37" s="31"/>
      <c r="AK37" s="34" t="str">
        <f t="shared" si="12"/>
        <v/>
      </c>
      <c r="AL37" s="67"/>
      <c r="AM37" s="69" t="str">
        <f t="shared" si="13"/>
        <v/>
      </c>
      <c r="AN37" s="31"/>
      <c r="AO37" s="34" t="str">
        <f t="shared" si="14"/>
        <v/>
      </c>
      <c r="AP37" s="67"/>
      <c r="AQ37" s="69" t="str">
        <f t="shared" si="15"/>
        <v/>
      </c>
      <c r="AR37" s="31"/>
      <c r="AS37" s="34" t="str">
        <f t="shared" si="16"/>
        <v/>
      </c>
      <c r="AT37" s="67"/>
      <c r="AU37" s="69" t="str">
        <f t="shared" si="44"/>
        <v/>
      </c>
      <c r="AV37" s="31"/>
      <c r="AW37" s="34" t="str">
        <f t="shared" si="18"/>
        <v/>
      </c>
      <c r="AX37" s="67"/>
      <c r="AY37" s="69" t="str">
        <f t="shared" si="19"/>
        <v/>
      </c>
      <c r="AZ37" s="56"/>
      <c r="BA37" s="34" t="str">
        <f t="shared" si="20"/>
        <v/>
      </c>
      <c r="BB37" s="67"/>
      <c r="BC37" s="69" t="str">
        <f t="shared" si="21"/>
        <v/>
      </c>
      <c r="BD37" s="31"/>
      <c r="BE37" s="34" t="str">
        <f t="shared" si="22"/>
        <v/>
      </c>
      <c r="BF37" s="67"/>
      <c r="BG37" s="69" t="str">
        <f t="shared" si="23"/>
        <v/>
      </c>
      <c r="BH37" s="31"/>
      <c r="BI37" s="34" t="str">
        <f t="shared" si="24"/>
        <v/>
      </c>
      <c r="BJ37" s="67"/>
      <c r="BK37" s="69" t="str">
        <f t="shared" si="25"/>
        <v/>
      </c>
      <c r="BL37" s="31"/>
      <c r="BM37" s="34" t="str">
        <f t="shared" si="26"/>
        <v/>
      </c>
      <c r="BN37" s="67"/>
      <c r="BO37" s="69" t="str">
        <f t="shared" si="27"/>
        <v/>
      </c>
      <c r="BP37" s="31"/>
      <c r="BQ37" s="34" t="str">
        <f t="shared" si="28"/>
        <v/>
      </c>
      <c r="BR37" s="67"/>
      <c r="BS37" s="69" t="str">
        <f t="shared" si="29"/>
        <v/>
      </c>
      <c r="BT37" s="31"/>
      <c r="BU37" s="34" t="str">
        <f t="shared" si="30"/>
        <v/>
      </c>
      <c r="BV37" s="67"/>
      <c r="BW37" s="69" t="str">
        <f t="shared" si="31"/>
        <v/>
      </c>
      <c r="BX37" s="31"/>
      <c r="BY37" s="34" t="str">
        <f t="shared" si="32"/>
        <v/>
      </c>
      <c r="BZ37" s="67"/>
      <c r="CA37" s="69" t="str">
        <f t="shared" si="33"/>
        <v/>
      </c>
      <c r="CB37" s="31"/>
      <c r="CC37" s="34" t="str">
        <f t="shared" si="34"/>
        <v/>
      </c>
      <c r="CD37" s="67"/>
      <c r="CE37" s="69" t="str">
        <f t="shared" si="35"/>
        <v/>
      </c>
      <c r="CF37" s="31"/>
      <c r="CG37" s="34" t="str">
        <f t="shared" si="36"/>
        <v/>
      </c>
      <c r="CH37" s="67"/>
      <c r="CI37" s="69" t="str">
        <f t="shared" si="37"/>
        <v/>
      </c>
      <c r="CJ37" s="31"/>
      <c r="CK37" s="34" t="str">
        <f t="shared" si="38"/>
        <v/>
      </c>
      <c r="CL37" s="67"/>
      <c r="CM37" s="69" t="str">
        <f t="shared" si="39"/>
        <v/>
      </c>
      <c r="CN37" s="31"/>
      <c r="CO37" s="34" t="str">
        <f t="shared" si="40"/>
        <v/>
      </c>
      <c r="CP37" s="67"/>
      <c r="CQ37" s="69" t="str">
        <f t="shared" si="41"/>
        <v/>
      </c>
      <c r="CR37" s="21" t="s">
        <v>401</v>
      </c>
    </row>
    <row r="38" spans="1:96" ht="20" customHeight="1" x14ac:dyDescent="0.2">
      <c r="A38" s="726"/>
      <c r="B38" s="725"/>
      <c r="C38" s="253"/>
      <c r="D38" s="722" t="s">
        <v>85</v>
      </c>
      <c r="E38" s="723" t="s">
        <v>517</v>
      </c>
      <c r="F38" s="723" t="s">
        <v>638</v>
      </c>
      <c r="G38" s="722">
        <v>2012</v>
      </c>
      <c r="H38" s="287"/>
      <c r="I38" s="701">
        <v>18</v>
      </c>
      <c r="J38" s="232" t="s">
        <v>519</v>
      </c>
      <c r="K38" s="250"/>
      <c r="L38" s="31"/>
      <c r="M38" s="34"/>
      <c r="N38" s="67"/>
      <c r="O38" s="67"/>
      <c r="P38" s="31"/>
      <c r="Q38" s="34"/>
      <c r="R38" s="67"/>
      <c r="S38" s="69"/>
      <c r="T38" s="56"/>
      <c r="U38" s="34"/>
      <c r="V38" s="67"/>
      <c r="W38" s="69"/>
      <c r="X38" s="31"/>
      <c r="Y38" s="34"/>
      <c r="Z38" s="67"/>
      <c r="AA38" s="69"/>
      <c r="AB38" s="31"/>
      <c r="AC38" s="34"/>
      <c r="AD38" s="67"/>
      <c r="AE38" s="69"/>
      <c r="AF38" s="31"/>
      <c r="AG38" s="34"/>
      <c r="AH38" s="67"/>
      <c r="AI38" s="69"/>
      <c r="AJ38" s="31"/>
      <c r="AK38" s="34"/>
      <c r="AL38" s="67"/>
      <c r="AM38" s="69"/>
      <c r="AN38" s="31"/>
      <c r="AO38" s="34"/>
      <c r="AP38" s="67"/>
      <c r="AQ38" s="69"/>
      <c r="AR38" s="31"/>
      <c r="AS38" s="34"/>
      <c r="AT38" s="67"/>
      <c r="AU38" s="69"/>
      <c r="AV38" s="31"/>
      <c r="AW38" s="34"/>
      <c r="AX38" s="67"/>
      <c r="AY38" s="69"/>
      <c r="AZ38" s="56"/>
      <c r="BA38" s="34"/>
      <c r="BB38" s="67"/>
      <c r="BC38" s="69"/>
      <c r="BD38" s="31"/>
      <c r="BE38" s="34"/>
      <c r="BF38" s="67"/>
      <c r="BG38" s="69"/>
      <c r="BH38" s="31"/>
      <c r="BI38" s="34"/>
      <c r="BJ38" s="67"/>
      <c r="BK38" s="69"/>
      <c r="BL38" s="31"/>
      <c r="BM38" s="34"/>
      <c r="BN38" s="67"/>
      <c r="BO38" s="69"/>
      <c r="BP38" s="31"/>
      <c r="BQ38" s="34"/>
      <c r="BR38" s="67"/>
      <c r="BS38" s="69"/>
      <c r="BT38" s="31"/>
      <c r="BU38" s="34"/>
      <c r="BV38" s="67"/>
      <c r="BW38" s="69"/>
      <c r="BX38" s="31"/>
      <c r="BY38" s="34"/>
      <c r="BZ38" s="67"/>
      <c r="CA38" s="69"/>
      <c r="CB38" s="31"/>
      <c r="CC38" s="34"/>
      <c r="CD38" s="67"/>
      <c r="CE38" s="69"/>
      <c r="CF38" s="31"/>
      <c r="CG38" s="34"/>
      <c r="CH38" s="67"/>
      <c r="CI38" s="69"/>
      <c r="CJ38" s="31"/>
      <c r="CK38" s="34"/>
      <c r="CL38" s="67"/>
      <c r="CM38" s="69"/>
      <c r="CN38" s="31"/>
      <c r="CO38" s="34"/>
      <c r="CP38" s="67"/>
      <c r="CQ38" s="69"/>
    </row>
    <row r="39" spans="1:96" ht="20" customHeight="1" x14ac:dyDescent="0.2">
      <c r="A39" s="678"/>
      <c r="B39" s="725"/>
      <c r="C39" s="255"/>
      <c r="D39" s="722" t="s">
        <v>85</v>
      </c>
      <c r="E39" s="723" t="s">
        <v>270</v>
      </c>
      <c r="F39" s="723" t="s">
        <v>271</v>
      </c>
      <c r="G39" s="722">
        <v>2014</v>
      </c>
      <c r="H39" s="287"/>
      <c r="I39" s="65">
        <v>39</v>
      </c>
      <c r="J39" s="61" t="s">
        <v>402</v>
      </c>
      <c r="K39" s="62" t="s">
        <v>338</v>
      </c>
      <c r="L39" s="31"/>
      <c r="M39" s="34" t="str">
        <f t="shared" si="0"/>
        <v/>
      </c>
      <c r="N39" s="67"/>
      <c r="O39" s="67" t="str">
        <f t="shared" si="1"/>
        <v/>
      </c>
      <c r="P39" s="31">
        <v>22</v>
      </c>
      <c r="Q39" s="34">
        <f t="shared" si="2"/>
        <v>56.410256410256409</v>
      </c>
      <c r="R39" s="67">
        <v>23</v>
      </c>
      <c r="S39" s="69">
        <f t="shared" si="3"/>
        <v>-1</v>
      </c>
      <c r="T39" s="56"/>
      <c r="U39" s="34" t="str">
        <f t="shared" si="4"/>
        <v/>
      </c>
      <c r="V39" s="67"/>
      <c r="W39" s="69" t="str">
        <f t="shared" si="5"/>
        <v/>
      </c>
      <c r="X39" s="31"/>
      <c r="Y39" s="34" t="str">
        <f t="shared" si="6"/>
        <v/>
      </c>
      <c r="Z39" s="67"/>
      <c r="AA39" s="69" t="str">
        <f t="shared" si="7"/>
        <v/>
      </c>
      <c r="AB39" s="31">
        <v>22</v>
      </c>
      <c r="AC39" s="34">
        <f t="shared" si="8"/>
        <v>56.410256410256409</v>
      </c>
      <c r="AD39" s="67">
        <v>17</v>
      </c>
      <c r="AE39" s="69">
        <f t="shared" si="9"/>
        <v>5</v>
      </c>
      <c r="AF39" s="31">
        <v>23</v>
      </c>
      <c r="AG39" s="34">
        <f t="shared" si="10"/>
        <v>58.974358974358978</v>
      </c>
      <c r="AH39" s="67">
        <v>19</v>
      </c>
      <c r="AI39" s="69">
        <f t="shared" si="11"/>
        <v>4</v>
      </c>
      <c r="AJ39" s="31"/>
      <c r="AK39" s="34" t="str">
        <f t="shared" si="12"/>
        <v/>
      </c>
      <c r="AL39" s="67"/>
      <c r="AM39" s="69" t="str">
        <f t="shared" si="13"/>
        <v/>
      </c>
      <c r="AN39" s="31"/>
      <c r="AO39" s="34" t="str">
        <f t="shared" si="14"/>
        <v/>
      </c>
      <c r="AP39" s="67"/>
      <c r="AQ39" s="69" t="str">
        <f t="shared" si="15"/>
        <v/>
      </c>
      <c r="AR39" s="31"/>
      <c r="AS39" s="34" t="str">
        <f t="shared" si="16"/>
        <v/>
      </c>
      <c r="AT39" s="67"/>
      <c r="AU39" s="69" t="str">
        <f t="shared" si="44"/>
        <v/>
      </c>
      <c r="AV39" s="31">
        <v>8</v>
      </c>
      <c r="AW39" s="34">
        <f t="shared" si="18"/>
        <v>20.512820512820511</v>
      </c>
      <c r="AX39" s="67">
        <v>10</v>
      </c>
      <c r="AY39" s="69">
        <f t="shared" si="19"/>
        <v>-2</v>
      </c>
      <c r="AZ39" s="56"/>
      <c r="BA39" s="34" t="str">
        <f t="shared" si="20"/>
        <v/>
      </c>
      <c r="BB39" s="67"/>
      <c r="BC39" s="69" t="str">
        <f t="shared" si="21"/>
        <v/>
      </c>
      <c r="BD39" s="31"/>
      <c r="BE39" s="34" t="str">
        <f t="shared" si="22"/>
        <v/>
      </c>
      <c r="BF39" s="67"/>
      <c r="BG39" s="69" t="str">
        <f t="shared" si="23"/>
        <v/>
      </c>
      <c r="BH39" s="31"/>
      <c r="BI39" s="34" t="str">
        <f t="shared" si="24"/>
        <v/>
      </c>
      <c r="BJ39" s="67"/>
      <c r="BK39" s="69" t="str">
        <f t="shared" si="25"/>
        <v/>
      </c>
      <c r="BL39" s="31">
        <v>3</v>
      </c>
      <c r="BM39" s="34">
        <f t="shared" si="26"/>
        <v>7.6923076923076925</v>
      </c>
      <c r="BN39" s="67">
        <v>4</v>
      </c>
      <c r="BO39" s="69">
        <f t="shared" si="27"/>
        <v>-1</v>
      </c>
      <c r="BP39" s="31"/>
      <c r="BQ39" s="34" t="str">
        <f t="shared" si="28"/>
        <v/>
      </c>
      <c r="BR39" s="67"/>
      <c r="BS39" s="69" t="str">
        <f t="shared" si="29"/>
        <v/>
      </c>
      <c r="BT39" s="31"/>
      <c r="BU39" s="34" t="str">
        <f t="shared" si="30"/>
        <v/>
      </c>
      <c r="BV39" s="67"/>
      <c r="BW39" s="69" t="str">
        <f t="shared" si="31"/>
        <v/>
      </c>
      <c r="BX39" s="31"/>
      <c r="BY39" s="34" t="str">
        <f t="shared" si="32"/>
        <v/>
      </c>
      <c r="BZ39" s="67"/>
      <c r="CA39" s="69" t="str">
        <f t="shared" si="33"/>
        <v/>
      </c>
      <c r="CB39" s="31"/>
      <c r="CC39" s="34" t="str">
        <f t="shared" si="34"/>
        <v/>
      </c>
      <c r="CD39" s="67"/>
      <c r="CE39" s="69" t="str">
        <f t="shared" si="35"/>
        <v/>
      </c>
      <c r="CF39" s="31"/>
      <c r="CG39" s="34" t="str">
        <f t="shared" si="36"/>
        <v/>
      </c>
      <c r="CH39" s="67"/>
      <c r="CI39" s="69" t="str">
        <f t="shared" si="37"/>
        <v/>
      </c>
      <c r="CJ39" s="31"/>
      <c r="CK39" s="34" t="str">
        <f t="shared" si="38"/>
        <v/>
      </c>
      <c r="CL39" s="67"/>
      <c r="CM39" s="69" t="str">
        <f t="shared" si="39"/>
        <v/>
      </c>
      <c r="CN39" s="31"/>
      <c r="CO39" s="34" t="str">
        <f t="shared" si="40"/>
        <v/>
      </c>
      <c r="CP39" s="67"/>
      <c r="CQ39" s="69" t="str">
        <f t="shared" si="41"/>
        <v/>
      </c>
      <c r="CR39" s="21" t="s">
        <v>344</v>
      </c>
    </row>
    <row r="40" spans="1:96" ht="20" customHeight="1" x14ac:dyDescent="0.2">
      <c r="A40" s="678"/>
      <c r="B40" s="725"/>
      <c r="C40" s="722"/>
      <c r="D40" s="722" t="s">
        <v>85</v>
      </c>
      <c r="E40" s="723" t="s">
        <v>272</v>
      </c>
      <c r="F40" s="723" t="s">
        <v>273</v>
      </c>
      <c r="G40" s="722">
        <v>2015</v>
      </c>
      <c r="H40" s="287"/>
      <c r="I40" s="65">
        <v>8</v>
      </c>
      <c r="J40" s="61" t="s">
        <v>213</v>
      </c>
      <c r="K40" s="62" t="s">
        <v>345</v>
      </c>
      <c r="L40" s="31"/>
      <c r="M40" s="34" t="str">
        <f t="shared" si="0"/>
        <v/>
      </c>
      <c r="N40" s="67"/>
      <c r="O40" s="67" t="str">
        <f t="shared" si="1"/>
        <v/>
      </c>
      <c r="P40" s="31"/>
      <c r="Q40" s="34" t="str">
        <f t="shared" si="2"/>
        <v/>
      </c>
      <c r="R40" s="67"/>
      <c r="S40" s="69" t="str">
        <f t="shared" si="3"/>
        <v/>
      </c>
      <c r="T40" s="56"/>
      <c r="U40" s="34" t="str">
        <f t="shared" si="4"/>
        <v/>
      </c>
      <c r="V40" s="67"/>
      <c r="W40" s="69" t="str">
        <f t="shared" si="5"/>
        <v/>
      </c>
      <c r="X40" s="31"/>
      <c r="Y40" s="34" t="str">
        <f t="shared" si="6"/>
        <v/>
      </c>
      <c r="Z40" s="67"/>
      <c r="AA40" s="69" t="str">
        <f t="shared" si="7"/>
        <v/>
      </c>
      <c r="AB40" s="31">
        <v>2</v>
      </c>
      <c r="AC40" s="34">
        <f t="shared" si="8"/>
        <v>25</v>
      </c>
      <c r="AD40" s="85">
        <v>0</v>
      </c>
      <c r="AE40" s="86">
        <f t="shared" si="9"/>
        <v>2</v>
      </c>
      <c r="AF40" s="31"/>
      <c r="AG40" s="34" t="str">
        <f t="shared" si="10"/>
        <v/>
      </c>
      <c r="AH40" s="67"/>
      <c r="AI40" s="69" t="str">
        <f t="shared" si="11"/>
        <v/>
      </c>
      <c r="AJ40" s="31"/>
      <c r="AK40" s="34" t="str">
        <f t="shared" si="12"/>
        <v/>
      </c>
      <c r="AL40" s="67"/>
      <c r="AM40" s="69" t="str">
        <f t="shared" si="13"/>
        <v/>
      </c>
      <c r="AN40" s="31"/>
      <c r="AO40" s="34" t="str">
        <f t="shared" si="14"/>
        <v/>
      </c>
      <c r="AP40" s="67"/>
      <c r="AQ40" s="69" t="str">
        <f t="shared" si="15"/>
        <v/>
      </c>
      <c r="AR40" s="31"/>
      <c r="AS40" s="34" t="str">
        <f t="shared" si="16"/>
        <v/>
      </c>
      <c r="AT40" s="67"/>
      <c r="AU40" s="69" t="str">
        <f t="shared" si="44"/>
        <v/>
      </c>
      <c r="AV40" s="31"/>
      <c r="AW40" s="34" t="str">
        <f t="shared" si="18"/>
        <v/>
      </c>
      <c r="AX40" s="67"/>
      <c r="AY40" s="69" t="str">
        <f t="shared" si="19"/>
        <v/>
      </c>
      <c r="AZ40" s="56"/>
      <c r="BA40" s="34" t="str">
        <f t="shared" si="20"/>
        <v/>
      </c>
      <c r="BB40" s="67"/>
      <c r="BC40" s="69" t="str">
        <f t="shared" si="21"/>
        <v/>
      </c>
      <c r="BD40" s="31"/>
      <c r="BE40" s="34" t="str">
        <f t="shared" si="22"/>
        <v/>
      </c>
      <c r="BF40" s="67"/>
      <c r="BG40" s="69" t="str">
        <f t="shared" si="23"/>
        <v/>
      </c>
      <c r="BH40" s="31"/>
      <c r="BI40" s="34" t="str">
        <f t="shared" si="24"/>
        <v/>
      </c>
      <c r="BJ40" s="67"/>
      <c r="BK40" s="69" t="str">
        <f t="shared" si="25"/>
        <v/>
      </c>
      <c r="BL40" s="31"/>
      <c r="BM40" s="34" t="str">
        <f t="shared" si="26"/>
        <v/>
      </c>
      <c r="BN40" s="67"/>
      <c r="BO40" s="69" t="str">
        <f t="shared" si="27"/>
        <v/>
      </c>
      <c r="BP40" s="31"/>
      <c r="BQ40" s="34" t="str">
        <f t="shared" si="28"/>
        <v/>
      </c>
      <c r="BR40" s="67"/>
      <c r="BS40" s="69" t="str">
        <f t="shared" si="29"/>
        <v/>
      </c>
      <c r="BT40" s="31"/>
      <c r="BU40" s="34" t="str">
        <f t="shared" si="30"/>
        <v/>
      </c>
      <c r="BV40" s="67"/>
      <c r="BW40" s="69" t="str">
        <f t="shared" si="31"/>
        <v/>
      </c>
      <c r="BX40" s="31"/>
      <c r="BY40" s="34" t="str">
        <f t="shared" si="32"/>
        <v/>
      </c>
      <c r="BZ40" s="67"/>
      <c r="CA40" s="69" t="str">
        <f t="shared" si="33"/>
        <v/>
      </c>
      <c r="CB40" s="31"/>
      <c r="CC40" s="34" t="str">
        <f t="shared" si="34"/>
        <v/>
      </c>
      <c r="CD40" s="67"/>
      <c r="CE40" s="69" t="str">
        <f t="shared" si="35"/>
        <v/>
      </c>
      <c r="CF40" s="31"/>
      <c r="CG40" s="34" t="str">
        <f t="shared" si="36"/>
        <v/>
      </c>
      <c r="CH40" s="67"/>
      <c r="CI40" s="69" t="str">
        <f t="shared" si="37"/>
        <v/>
      </c>
      <c r="CJ40" s="31"/>
      <c r="CK40" s="34" t="str">
        <f t="shared" si="38"/>
        <v/>
      </c>
      <c r="CL40" s="67"/>
      <c r="CM40" s="69" t="str">
        <f t="shared" si="39"/>
        <v/>
      </c>
      <c r="CN40" s="31"/>
      <c r="CO40" s="34" t="str">
        <f t="shared" si="40"/>
        <v/>
      </c>
      <c r="CP40" s="67"/>
      <c r="CQ40" s="69" t="str">
        <f t="shared" si="41"/>
        <v/>
      </c>
      <c r="CR40" s="21" t="s">
        <v>403</v>
      </c>
    </row>
    <row r="41" spans="1:96" ht="20" customHeight="1" x14ac:dyDescent="0.2">
      <c r="A41" s="678"/>
      <c r="B41" s="721"/>
      <c r="C41" s="255"/>
      <c r="D41" s="722" t="s">
        <v>85</v>
      </c>
      <c r="E41" s="723" t="s">
        <v>274</v>
      </c>
      <c r="F41" s="723" t="s">
        <v>275</v>
      </c>
      <c r="G41" s="722">
        <v>2001</v>
      </c>
      <c r="H41" s="287"/>
      <c r="I41" s="65">
        <v>9</v>
      </c>
      <c r="J41" s="61"/>
      <c r="K41" s="62" t="s">
        <v>346</v>
      </c>
      <c r="L41" s="31"/>
      <c r="M41" s="34" t="str">
        <f t="shared" si="0"/>
        <v/>
      </c>
      <c r="N41" s="67"/>
      <c r="O41" s="67" t="str">
        <f t="shared" si="1"/>
        <v/>
      </c>
      <c r="P41" s="31"/>
      <c r="Q41" s="34" t="str">
        <f t="shared" si="2"/>
        <v/>
      </c>
      <c r="R41" s="67"/>
      <c r="S41" s="69" t="str">
        <f t="shared" si="3"/>
        <v/>
      </c>
      <c r="T41" s="38"/>
      <c r="U41" s="37" t="str">
        <f t="shared" si="4"/>
        <v/>
      </c>
      <c r="V41" s="85"/>
      <c r="W41" s="86" t="str">
        <f t="shared" si="5"/>
        <v/>
      </c>
      <c r="X41" s="31"/>
      <c r="Y41" s="34" t="str">
        <f t="shared" si="6"/>
        <v/>
      </c>
      <c r="Z41" s="67"/>
      <c r="AA41" s="69" t="str">
        <f t="shared" si="7"/>
        <v/>
      </c>
      <c r="AB41" s="31"/>
      <c r="AC41" s="34" t="str">
        <f t="shared" si="8"/>
        <v/>
      </c>
      <c r="AD41" s="67"/>
      <c r="AE41" s="69" t="str">
        <f t="shared" si="9"/>
        <v/>
      </c>
      <c r="AF41" s="31"/>
      <c r="AG41" s="34" t="str">
        <f t="shared" si="10"/>
        <v/>
      </c>
      <c r="AH41" s="67"/>
      <c r="AI41" s="69" t="str">
        <f t="shared" si="11"/>
        <v/>
      </c>
      <c r="AJ41" s="31"/>
      <c r="AK41" s="34" t="str">
        <f t="shared" si="12"/>
        <v/>
      </c>
      <c r="AL41" s="67"/>
      <c r="AM41" s="69" t="str">
        <f t="shared" si="13"/>
        <v/>
      </c>
      <c r="AN41" s="31"/>
      <c r="AO41" s="34" t="str">
        <f t="shared" si="14"/>
        <v/>
      </c>
      <c r="AP41" s="67"/>
      <c r="AQ41" s="69" t="str">
        <f t="shared" si="15"/>
        <v/>
      </c>
      <c r="AR41" s="31"/>
      <c r="AS41" s="34" t="str">
        <f t="shared" si="16"/>
        <v/>
      </c>
      <c r="AT41" s="67"/>
      <c r="AU41" s="69" t="str">
        <f t="shared" si="44"/>
        <v/>
      </c>
      <c r="AV41" s="31"/>
      <c r="AW41" s="34" t="str">
        <f t="shared" si="18"/>
        <v/>
      </c>
      <c r="AX41" s="67"/>
      <c r="AY41" s="69" t="str">
        <f t="shared" si="19"/>
        <v/>
      </c>
      <c r="AZ41" s="56"/>
      <c r="BA41" s="34" t="str">
        <f t="shared" si="20"/>
        <v/>
      </c>
      <c r="BB41" s="67"/>
      <c r="BC41" s="69" t="str">
        <f t="shared" si="21"/>
        <v/>
      </c>
      <c r="BD41" s="31"/>
      <c r="BE41" s="34" t="str">
        <f t="shared" si="22"/>
        <v/>
      </c>
      <c r="BF41" s="67"/>
      <c r="BG41" s="69" t="str">
        <f t="shared" si="23"/>
        <v/>
      </c>
      <c r="BH41" s="31"/>
      <c r="BI41" s="34" t="str">
        <f t="shared" si="24"/>
        <v/>
      </c>
      <c r="BJ41" s="67"/>
      <c r="BK41" s="69" t="str">
        <f t="shared" si="25"/>
        <v/>
      </c>
      <c r="BL41" s="31"/>
      <c r="BM41" s="34" t="str">
        <f t="shared" si="26"/>
        <v/>
      </c>
      <c r="BN41" s="67"/>
      <c r="BO41" s="69" t="str">
        <f t="shared" si="27"/>
        <v/>
      </c>
      <c r="BP41" s="31"/>
      <c r="BQ41" s="34" t="str">
        <f t="shared" si="28"/>
        <v/>
      </c>
      <c r="BR41" s="67"/>
      <c r="BS41" s="69" t="str">
        <f t="shared" si="29"/>
        <v/>
      </c>
      <c r="BT41" s="31"/>
      <c r="BU41" s="34" t="str">
        <f t="shared" si="30"/>
        <v/>
      </c>
      <c r="BV41" s="67"/>
      <c r="BW41" s="69" t="str">
        <f t="shared" si="31"/>
        <v/>
      </c>
      <c r="BX41" s="31"/>
      <c r="BY41" s="34" t="str">
        <f t="shared" si="32"/>
        <v/>
      </c>
      <c r="BZ41" s="67"/>
      <c r="CA41" s="69" t="str">
        <f t="shared" si="33"/>
        <v/>
      </c>
      <c r="CB41" s="31"/>
      <c r="CC41" s="34" t="str">
        <f t="shared" si="34"/>
        <v/>
      </c>
      <c r="CD41" s="67"/>
      <c r="CE41" s="69" t="str">
        <f t="shared" si="35"/>
        <v/>
      </c>
      <c r="CF41" s="31"/>
      <c r="CG41" s="34" t="str">
        <f t="shared" si="36"/>
        <v/>
      </c>
      <c r="CH41" s="67"/>
      <c r="CI41" s="69" t="str">
        <f t="shared" si="37"/>
        <v/>
      </c>
      <c r="CJ41" s="31"/>
      <c r="CK41" s="34" t="str">
        <f t="shared" si="38"/>
        <v/>
      </c>
      <c r="CL41" s="67"/>
      <c r="CM41" s="69" t="str">
        <f t="shared" si="39"/>
        <v/>
      </c>
      <c r="CN41" s="31"/>
      <c r="CO41" s="34" t="str">
        <f t="shared" si="40"/>
        <v/>
      </c>
      <c r="CP41" s="67"/>
      <c r="CQ41" s="69" t="str">
        <f t="shared" si="41"/>
        <v/>
      </c>
      <c r="CR41" s="21" t="s">
        <v>347</v>
      </c>
    </row>
    <row r="42" spans="1:96" ht="20" customHeight="1" x14ac:dyDescent="0.2">
      <c r="A42" s="678"/>
      <c r="B42" s="725"/>
      <c r="C42" s="255"/>
      <c r="D42" s="722" t="s">
        <v>85</v>
      </c>
      <c r="E42" s="723" t="s">
        <v>63</v>
      </c>
      <c r="F42" s="723" t="s">
        <v>64</v>
      </c>
      <c r="G42" s="722">
        <v>2012</v>
      </c>
      <c r="H42" s="287">
        <v>83</v>
      </c>
      <c r="I42" s="65">
        <v>70</v>
      </c>
      <c r="J42" s="61" t="s">
        <v>181</v>
      </c>
      <c r="K42" s="62" t="s">
        <v>190</v>
      </c>
      <c r="L42" s="31"/>
      <c r="M42" s="34" t="str">
        <f t="shared" si="0"/>
        <v/>
      </c>
      <c r="N42" s="67"/>
      <c r="O42" s="67" t="str">
        <f t="shared" si="1"/>
        <v/>
      </c>
      <c r="P42" s="31"/>
      <c r="Q42" s="34" t="str">
        <f t="shared" si="2"/>
        <v/>
      </c>
      <c r="R42" s="67"/>
      <c r="S42" s="69" t="str">
        <f t="shared" si="3"/>
        <v/>
      </c>
      <c r="T42" s="56">
        <v>31</v>
      </c>
      <c r="U42" s="34">
        <f t="shared" si="4"/>
        <v>44.285714285714285</v>
      </c>
      <c r="V42" s="67">
        <v>40</v>
      </c>
      <c r="W42" s="69">
        <f t="shared" si="5"/>
        <v>-9</v>
      </c>
      <c r="X42" s="31"/>
      <c r="Y42" s="34" t="str">
        <f t="shared" si="6"/>
        <v/>
      </c>
      <c r="Z42" s="67"/>
      <c r="AA42" s="69" t="str">
        <f t="shared" si="7"/>
        <v/>
      </c>
      <c r="AB42" s="31">
        <v>9</v>
      </c>
      <c r="AC42" s="34">
        <f t="shared" si="8"/>
        <v>12.857142857142856</v>
      </c>
      <c r="AD42" s="67">
        <v>10</v>
      </c>
      <c r="AE42" s="69">
        <f t="shared" si="9"/>
        <v>-1</v>
      </c>
      <c r="AF42" s="31">
        <v>8</v>
      </c>
      <c r="AG42" s="34">
        <f t="shared" si="10"/>
        <v>11.428571428571429</v>
      </c>
      <c r="AH42" s="67">
        <v>8</v>
      </c>
      <c r="AI42" s="69">
        <f t="shared" si="11"/>
        <v>0</v>
      </c>
      <c r="AJ42" s="31"/>
      <c r="AK42" s="34" t="str">
        <f t="shared" si="12"/>
        <v/>
      </c>
      <c r="AL42" s="67"/>
      <c r="AM42" s="69" t="str">
        <f t="shared" si="13"/>
        <v/>
      </c>
      <c r="AN42" s="31"/>
      <c r="AO42" s="34" t="str">
        <f t="shared" si="14"/>
        <v/>
      </c>
      <c r="AP42" s="67"/>
      <c r="AQ42" s="69" t="str">
        <f t="shared" si="15"/>
        <v/>
      </c>
      <c r="AR42" s="31">
        <v>10</v>
      </c>
      <c r="AS42" s="34">
        <f t="shared" si="16"/>
        <v>14.285714285714285</v>
      </c>
      <c r="AT42" s="67">
        <v>7</v>
      </c>
      <c r="AU42" s="69">
        <f t="shared" si="44"/>
        <v>3</v>
      </c>
      <c r="AV42" s="31">
        <v>1</v>
      </c>
      <c r="AW42" s="34">
        <f t="shared" si="18"/>
        <v>1.4285714285714286</v>
      </c>
      <c r="AX42" s="67">
        <v>5</v>
      </c>
      <c r="AY42" s="69">
        <f t="shared" si="19"/>
        <v>-4</v>
      </c>
      <c r="AZ42" s="56">
        <v>1</v>
      </c>
      <c r="BA42" s="34">
        <f t="shared" si="20"/>
        <v>1.4285714285714286</v>
      </c>
      <c r="BB42" s="67">
        <v>1</v>
      </c>
      <c r="BC42" s="69">
        <f t="shared" si="21"/>
        <v>0</v>
      </c>
      <c r="BD42" s="31"/>
      <c r="BE42" s="34" t="str">
        <f t="shared" si="22"/>
        <v/>
      </c>
      <c r="BF42" s="67"/>
      <c r="BG42" s="69" t="str">
        <f t="shared" si="23"/>
        <v/>
      </c>
      <c r="BH42" s="31"/>
      <c r="BI42" s="34" t="str">
        <f t="shared" si="24"/>
        <v/>
      </c>
      <c r="BJ42" s="67"/>
      <c r="BK42" s="69" t="str">
        <f t="shared" si="25"/>
        <v/>
      </c>
      <c r="BL42" s="31">
        <v>3</v>
      </c>
      <c r="BM42" s="34">
        <f t="shared" si="26"/>
        <v>4.2857142857142856</v>
      </c>
      <c r="BN42" s="67">
        <v>11</v>
      </c>
      <c r="BO42" s="69">
        <f t="shared" si="27"/>
        <v>-8</v>
      </c>
      <c r="BP42" s="31"/>
      <c r="BQ42" s="34" t="str">
        <f t="shared" si="28"/>
        <v/>
      </c>
      <c r="BR42" s="67"/>
      <c r="BS42" s="69" t="str">
        <f t="shared" si="29"/>
        <v/>
      </c>
      <c r="BT42" s="31">
        <v>0</v>
      </c>
      <c r="BU42" s="34" t="str">
        <f t="shared" si="30"/>
        <v/>
      </c>
      <c r="BV42" s="67">
        <v>1</v>
      </c>
      <c r="BW42" s="69">
        <f t="shared" si="31"/>
        <v>-1</v>
      </c>
      <c r="BX42" s="31"/>
      <c r="BY42" s="34" t="str">
        <f t="shared" si="32"/>
        <v/>
      </c>
      <c r="BZ42" s="67"/>
      <c r="CA42" s="69" t="str">
        <f t="shared" si="33"/>
        <v/>
      </c>
      <c r="CB42" s="31"/>
      <c r="CC42" s="34" t="str">
        <f t="shared" si="34"/>
        <v/>
      </c>
      <c r="CD42" s="67"/>
      <c r="CE42" s="69" t="str">
        <f t="shared" si="35"/>
        <v/>
      </c>
      <c r="CF42" s="31"/>
      <c r="CG42" s="34" t="str">
        <f t="shared" si="36"/>
        <v/>
      </c>
      <c r="CH42" s="67"/>
      <c r="CI42" s="69" t="str">
        <f t="shared" si="37"/>
        <v/>
      </c>
      <c r="CJ42" s="31"/>
      <c r="CK42" s="34" t="str">
        <f t="shared" si="38"/>
        <v/>
      </c>
      <c r="CL42" s="67"/>
      <c r="CM42" s="69" t="str">
        <f t="shared" si="39"/>
        <v/>
      </c>
      <c r="CN42" s="31"/>
      <c r="CO42" s="34" t="str">
        <f t="shared" si="40"/>
        <v/>
      </c>
      <c r="CP42" s="67"/>
      <c r="CQ42" s="69" t="str">
        <f t="shared" si="41"/>
        <v/>
      </c>
      <c r="CR42" s="21" t="s">
        <v>409</v>
      </c>
    </row>
    <row r="43" spans="1:96" ht="20" customHeight="1" x14ac:dyDescent="0.2">
      <c r="A43" s="678"/>
      <c r="B43" s="725"/>
      <c r="C43" s="258"/>
      <c r="D43" s="722" t="s">
        <v>85</v>
      </c>
      <c r="E43" s="723" t="s">
        <v>69</v>
      </c>
      <c r="F43" s="723" t="s">
        <v>70</v>
      </c>
      <c r="G43" s="722">
        <v>2004</v>
      </c>
      <c r="H43" s="287">
        <v>61</v>
      </c>
      <c r="I43" s="65">
        <v>15</v>
      </c>
      <c r="J43" s="61" t="s">
        <v>183</v>
      </c>
      <c r="K43" s="62" t="s">
        <v>191</v>
      </c>
      <c r="L43" s="31"/>
      <c r="M43" s="34" t="str">
        <f t="shared" si="0"/>
        <v/>
      </c>
      <c r="N43" s="67"/>
      <c r="O43" s="67" t="str">
        <f t="shared" si="1"/>
        <v/>
      </c>
      <c r="P43" s="31"/>
      <c r="Q43" s="34" t="str">
        <f t="shared" si="2"/>
        <v/>
      </c>
      <c r="R43" s="67"/>
      <c r="S43" s="69" t="str">
        <f t="shared" si="3"/>
        <v/>
      </c>
      <c r="T43" s="56">
        <v>13</v>
      </c>
      <c r="U43" s="34">
        <f t="shared" si="4"/>
        <v>86.666666666666671</v>
      </c>
      <c r="V43" s="67">
        <v>4</v>
      </c>
      <c r="W43" s="69">
        <f t="shared" si="5"/>
        <v>9</v>
      </c>
      <c r="X43" s="31"/>
      <c r="Y43" s="34" t="str">
        <f t="shared" si="6"/>
        <v/>
      </c>
      <c r="Z43" s="67"/>
      <c r="AA43" s="69" t="str">
        <f t="shared" si="7"/>
        <v/>
      </c>
      <c r="AB43" s="31"/>
      <c r="AC43" s="34" t="str">
        <f t="shared" si="8"/>
        <v/>
      </c>
      <c r="AD43" s="67"/>
      <c r="AE43" s="69" t="str">
        <f t="shared" si="9"/>
        <v/>
      </c>
      <c r="AF43" s="31"/>
      <c r="AG43" s="34" t="str">
        <f t="shared" si="10"/>
        <v/>
      </c>
      <c r="AH43" s="67"/>
      <c r="AI43" s="69" t="str">
        <f t="shared" si="11"/>
        <v/>
      </c>
      <c r="AJ43" s="31"/>
      <c r="AK43" s="34" t="str">
        <f t="shared" si="12"/>
        <v/>
      </c>
      <c r="AL43" s="67"/>
      <c r="AM43" s="69" t="str">
        <f t="shared" si="13"/>
        <v/>
      </c>
      <c r="AN43" s="31"/>
      <c r="AO43" s="34" t="str">
        <f t="shared" si="14"/>
        <v/>
      </c>
      <c r="AP43" s="67"/>
      <c r="AQ43" s="69" t="str">
        <f t="shared" si="15"/>
        <v/>
      </c>
      <c r="AR43" s="31"/>
      <c r="AS43" s="34" t="str">
        <f t="shared" si="16"/>
        <v/>
      </c>
      <c r="AT43" s="67"/>
      <c r="AU43" s="69" t="str">
        <f t="shared" si="44"/>
        <v/>
      </c>
      <c r="AV43" s="31"/>
      <c r="AW43" s="34" t="str">
        <f t="shared" si="18"/>
        <v/>
      </c>
      <c r="AX43" s="67"/>
      <c r="AY43" s="69" t="str">
        <f t="shared" si="19"/>
        <v/>
      </c>
      <c r="AZ43" s="56"/>
      <c r="BA43" s="34" t="str">
        <f t="shared" si="20"/>
        <v/>
      </c>
      <c r="BB43" s="67"/>
      <c r="BC43" s="69" t="str">
        <f t="shared" si="21"/>
        <v/>
      </c>
      <c r="BD43" s="31"/>
      <c r="BE43" s="34" t="str">
        <f t="shared" si="22"/>
        <v/>
      </c>
      <c r="BF43" s="67"/>
      <c r="BG43" s="69" t="str">
        <f t="shared" si="23"/>
        <v/>
      </c>
      <c r="BH43" s="31"/>
      <c r="BI43" s="34" t="str">
        <f t="shared" si="24"/>
        <v/>
      </c>
      <c r="BJ43" s="67"/>
      <c r="BK43" s="69" t="str">
        <f t="shared" si="25"/>
        <v/>
      </c>
      <c r="BL43" s="31"/>
      <c r="BM43" s="34" t="str">
        <f t="shared" si="26"/>
        <v/>
      </c>
      <c r="BN43" s="67"/>
      <c r="BO43" s="69" t="str">
        <f t="shared" si="27"/>
        <v/>
      </c>
      <c r="BP43" s="31"/>
      <c r="BQ43" s="34" t="str">
        <f t="shared" si="28"/>
        <v/>
      </c>
      <c r="BR43" s="67"/>
      <c r="BS43" s="69" t="str">
        <f t="shared" si="29"/>
        <v/>
      </c>
      <c r="BT43" s="31"/>
      <c r="BU43" s="34" t="str">
        <f t="shared" si="30"/>
        <v/>
      </c>
      <c r="BV43" s="67"/>
      <c r="BW43" s="69" t="str">
        <f t="shared" si="31"/>
        <v/>
      </c>
      <c r="BX43" s="31"/>
      <c r="BY43" s="34" t="str">
        <f t="shared" si="32"/>
        <v/>
      </c>
      <c r="BZ43" s="67"/>
      <c r="CA43" s="69" t="str">
        <f t="shared" si="33"/>
        <v/>
      </c>
      <c r="CB43" s="31"/>
      <c r="CC43" s="34" t="str">
        <f t="shared" si="34"/>
        <v/>
      </c>
      <c r="CD43" s="67"/>
      <c r="CE43" s="69" t="str">
        <f t="shared" si="35"/>
        <v/>
      </c>
      <c r="CF43" s="31"/>
      <c r="CG43" s="34" t="str">
        <f t="shared" si="36"/>
        <v/>
      </c>
      <c r="CH43" s="67"/>
      <c r="CI43" s="69" t="str">
        <f t="shared" si="37"/>
        <v/>
      </c>
      <c r="CJ43" s="31"/>
      <c r="CK43" s="34" t="str">
        <f t="shared" si="38"/>
        <v/>
      </c>
      <c r="CL43" s="67"/>
      <c r="CM43" s="69" t="str">
        <f t="shared" si="39"/>
        <v/>
      </c>
      <c r="CN43" s="31"/>
      <c r="CO43" s="34" t="str">
        <f t="shared" si="40"/>
        <v/>
      </c>
      <c r="CP43" s="67"/>
      <c r="CQ43" s="69" t="str">
        <f t="shared" si="41"/>
        <v/>
      </c>
      <c r="CR43" s="21" t="s">
        <v>410</v>
      </c>
    </row>
    <row r="44" spans="1:96" ht="20" customHeight="1" x14ac:dyDescent="0.2">
      <c r="A44" s="678"/>
      <c r="B44" s="725"/>
      <c r="C44" s="253"/>
      <c r="D44" s="727" t="s">
        <v>85</v>
      </c>
      <c r="E44" s="728" t="s">
        <v>71</v>
      </c>
      <c r="F44" s="728" t="s">
        <v>70</v>
      </c>
      <c r="G44" s="727">
        <v>2004</v>
      </c>
      <c r="H44" s="729">
        <v>45</v>
      </c>
      <c r="I44" s="65">
        <v>15</v>
      </c>
      <c r="J44" s="61" t="s">
        <v>183</v>
      </c>
      <c r="K44" s="62" t="s">
        <v>191</v>
      </c>
      <c r="L44" s="31"/>
      <c r="M44" s="34" t="str">
        <f t="shared" si="0"/>
        <v/>
      </c>
      <c r="N44" s="67"/>
      <c r="O44" s="67" t="str">
        <f t="shared" si="1"/>
        <v/>
      </c>
      <c r="P44" s="31"/>
      <c r="Q44" s="34" t="str">
        <f t="shared" si="2"/>
        <v/>
      </c>
      <c r="R44" s="67"/>
      <c r="S44" s="69" t="str">
        <f t="shared" si="3"/>
        <v/>
      </c>
      <c r="T44" s="56"/>
      <c r="U44" s="34" t="str">
        <f t="shared" si="4"/>
        <v/>
      </c>
      <c r="V44" s="67"/>
      <c r="W44" s="69" t="str">
        <f t="shared" si="5"/>
        <v/>
      </c>
      <c r="X44" s="31"/>
      <c r="Y44" s="34" t="str">
        <f t="shared" si="6"/>
        <v/>
      </c>
      <c r="Z44" s="67"/>
      <c r="AA44" s="69" t="str">
        <f t="shared" si="7"/>
        <v/>
      </c>
      <c r="AB44" s="31"/>
      <c r="AC44" s="34" t="str">
        <f t="shared" si="8"/>
        <v/>
      </c>
      <c r="AD44" s="67"/>
      <c r="AE44" s="69" t="str">
        <f t="shared" si="9"/>
        <v/>
      </c>
      <c r="AF44" s="31"/>
      <c r="AG44" s="34" t="str">
        <f t="shared" si="10"/>
        <v/>
      </c>
      <c r="AH44" s="67"/>
      <c r="AI44" s="69" t="str">
        <f t="shared" si="11"/>
        <v/>
      </c>
      <c r="AJ44" s="31"/>
      <c r="AK44" s="34" t="str">
        <f t="shared" si="12"/>
        <v/>
      </c>
      <c r="AL44" s="67"/>
      <c r="AM44" s="69" t="str">
        <f t="shared" si="13"/>
        <v/>
      </c>
      <c r="AN44" s="31"/>
      <c r="AO44" s="34" t="str">
        <f t="shared" si="14"/>
        <v/>
      </c>
      <c r="AP44" s="67"/>
      <c r="AQ44" s="69" t="str">
        <f t="shared" si="15"/>
        <v/>
      </c>
      <c r="AR44" s="31"/>
      <c r="AS44" s="34" t="str">
        <f t="shared" si="16"/>
        <v/>
      </c>
      <c r="AT44" s="67"/>
      <c r="AU44" s="69" t="str">
        <f t="shared" si="44"/>
        <v/>
      </c>
      <c r="AV44" s="31"/>
      <c r="AW44" s="34" t="str">
        <f t="shared" si="18"/>
        <v/>
      </c>
      <c r="AX44" s="67"/>
      <c r="AY44" s="69" t="str">
        <f t="shared" si="19"/>
        <v/>
      </c>
      <c r="AZ44" s="56"/>
      <c r="BA44" s="34" t="str">
        <f t="shared" si="20"/>
        <v/>
      </c>
      <c r="BB44" s="67"/>
      <c r="BC44" s="69" t="str">
        <f t="shared" si="21"/>
        <v/>
      </c>
      <c r="BD44" s="31"/>
      <c r="BE44" s="34" t="str">
        <f t="shared" si="22"/>
        <v/>
      </c>
      <c r="BF44" s="67"/>
      <c r="BG44" s="69" t="str">
        <f t="shared" si="23"/>
        <v/>
      </c>
      <c r="BH44" s="31"/>
      <c r="BI44" s="34" t="str">
        <f t="shared" si="24"/>
        <v/>
      </c>
      <c r="BJ44" s="67"/>
      <c r="BK44" s="69" t="str">
        <f t="shared" si="25"/>
        <v/>
      </c>
      <c r="BL44" s="31"/>
      <c r="BM44" s="34" t="str">
        <f t="shared" si="26"/>
        <v/>
      </c>
      <c r="BN44" s="67"/>
      <c r="BO44" s="69" t="str">
        <f t="shared" si="27"/>
        <v/>
      </c>
      <c r="BP44" s="31"/>
      <c r="BQ44" s="34" t="str">
        <f t="shared" si="28"/>
        <v/>
      </c>
      <c r="BR44" s="67"/>
      <c r="BS44" s="69" t="str">
        <f t="shared" si="29"/>
        <v/>
      </c>
      <c r="BT44" s="31"/>
      <c r="BU44" s="34" t="str">
        <f t="shared" si="30"/>
        <v/>
      </c>
      <c r="BV44" s="67"/>
      <c r="BW44" s="69" t="str">
        <f t="shared" si="31"/>
        <v/>
      </c>
      <c r="BX44" s="31"/>
      <c r="BY44" s="34" t="str">
        <f t="shared" si="32"/>
        <v/>
      </c>
      <c r="BZ44" s="67"/>
      <c r="CA44" s="69" t="str">
        <f t="shared" si="33"/>
        <v/>
      </c>
      <c r="CB44" s="31"/>
      <c r="CC44" s="34" t="str">
        <f t="shared" si="34"/>
        <v/>
      </c>
      <c r="CD44" s="67"/>
      <c r="CE44" s="69" t="str">
        <f t="shared" si="35"/>
        <v/>
      </c>
      <c r="CF44" s="31"/>
      <c r="CG44" s="34" t="str">
        <f t="shared" si="36"/>
        <v/>
      </c>
      <c r="CH44" s="67"/>
      <c r="CI44" s="69" t="str">
        <f t="shared" si="37"/>
        <v/>
      </c>
      <c r="CJ44" s="31"/>
      <c r="CK44" s="34" t="str">
        <f t="shared" si="38"/>
        <v/>
      </c>
      <c r="CL44" s="67"/>
      <c r="CM44" s="69" t="str">
        <f t="shared" si="39"/>
        <v/>
      </c>
      <c r="CN44" s="31"/>
      <c r="CO44" s="34" t="str">
        <f t="shared" si="40"/>
        <v/>
      </c>
      <c r="CP44" s="67"/>
      <c r="CQ44" s="69" t="str">
        <f t="shared" si="41"/>
        <v/>
      </c>
      <c r="CR44" s="21" t="s">
        <v>411</v>
      </c>
    </row>
    <row r="45" spans="1:96" ht="20" customHeight="1" x14ac:dyDescent="0.2">
      <c r="A45" s="678"/>
      <c r="B45" s="725"/>
      <c r="C45" s="253"/>
      <c r="D45" s="722" t="s">
        <v>85</v>
      </c>
      <c r="E45" s="723" t="s">
        <v>277</v>
      </c>
      <c r="F45" s="723" t="s">
        <v>278</v>
      </c>
      <c r="G45" s="722">
        <v>2013</v>
      </c>
      <c r="H45" s="287"/>
      <c r="I45" s="65">
        <v>23</v>
      </c>
      <c r="J45" s="61"/>
      <c r="K45" s="62"/>
      <c r="L45" s="31"/>
      <c r="M45" s="34" t="str">
        <f t="shared" si="0"/>
        <v/>
      </c>
      <c r="N45" s="67"/>
      <c r="O45" s="67" t="str">
        <f t="shared" si="1"/>
        <v/>
      </c>
      <c r="P45" s="31"/>
      <c r="Q45" s="34" t="str">
        <f t="shared" si="2"/>
        <v/>
      </c>
      <c r="R45" s="67"/>
      <c r="S45" s="69" t="str">
        <f t="shared" si="3"/>
        <v/>
      </c>
      <c r="T45" s="56"/>
      <c r="U45" s="34" t="str">
        <f t="shared" si="4"/>
        <v/>
      </c>
      <c r="V45" s="67"/>
      <c r="W45" s="69" t="str">
        <f t="shared" si="5"/>
        <v/>
      </c>
      <c r="X45" s="31"/>
      <c r="Y45" s="34" t="str">
        <f t="shared" si="6"/>
        <v/>
      </c>
      <c r="Z45" s="67"/>
      <c r="AA45" s="69" t="str">
        <f t="shared" si="7"/>
        <v/>
      </c>
      <c r="AB45" s="31"/>
      <c r="AC45" s="34" t="str">
        <f t="shared" si="8"/>
        <v/>
      </c>
      <c r="AD45" s="67"/>
      <c r="AE45" s="69" t="str">
        <f t="shared" si="9"/>
        <v/>
      </c>
      <c r="AF45" s="31"/>
      <c r="AG45" s="34" t="str">
        <f t="shared" si="10"/>
        <v/>
      </c>
      <c r="AH45" s="67"/>
      <c r="AI45" s="69" t="str">
        <f t="shared" si="11"/>
        <v/>
      </c>
      <c r="AJ45" s="31"/>
      <c r="AK45" s="34" t="str">
        <f t="shared" si="12"/>
        <v/>
      </c>
      <c r="AL45" s="67"/>
      <c r="AM45" s="69" t="str">
        <f t="shared" si="13"/>
        <v/>
      </c>
      <c r="AN45" s="31"/>
      <c r="AO45" s="34" t="str">
        <f t="shared" si="14"/>
        <v/>
      </c>
      <c r="AP45" s="67"/>
      <c r="AQ45" s="69" t="str">
        <f t="shared" si="15"/>
        <v/>
      </c>
      <c r="AR45" s="31"/>
      <c r="AS45" s="34" t="str">
        <f t="shared" si="16"/>
        <v/>
      </c>
      <c r="AT45" s="67"/>
      <c r="AU45" s="69" t="str">
        <f t="shared" si="44"/>
        <v/>
      </c>
      <c r="AV45" s="31"/>
      <c r="AW45" s="34" t="str">
        <f t="shared" si="18"/>
        <v/>
      </c>
      <c r="AX45" s="67"/>
      <c r="AY45" s="69" t="str">
        <f t="shared" si="19"/>
        <v/>
      </c>
      <c r="AZ45" s="56"/>
      <c r="BA45" s="34" t="str">
        <f t="shared" si="20"/>
        <v/>
      </c>
      <c r="BB45" s="67"/>
      <c r="BC45" s="69" t="str">
        <f t="shared" si="21"/>
        <v/>
      </c>
      <c r="BD45" s="31"/>
      <c r="BE45" s="34" t="str">
        <f t="shared" si="22"/>
        <v/>
      </c>
      <c r="BF45" s="67"/>
      <c r="BG45" s="69" t="str">
        <f t="shared" si="23"/>
        <v/>
      </c>
      <c r="BH45" s="31"/>
      <c r="BI45" s="34" t="str">
        <f t="shared" si="24"/>
        <v/>
      </c>
      <c r="BJ45" s="67"/>
      <c r="BK45" s="69" t="str">
        <f t="shared" si="25"/>
        <v/>
      </c>
      <c r="BL45" s="31"/>
      <c r="BM45" s="34" t="str">
        <f t="shared" si="26"/>
        <v/>
      </c>
      <c r="BN45" s="67"/>
      <c r="BO45" s="69" t="str">
        <f t="shared" si="27"/>
        <v/>
      </c>
      <c r="BP45" s="31"/>
      <c r="BQ45" s="34" t="str">
        <f t="shared" si="28"/>
        <v/>
      </c>
      <c r="BR45" s="67"/>
      <c r="BS45" s="69" t="str">
        <f t="shared" si="29"/>
        <v/>
      </c>
      <c r="BT45" s="31"/>
      <c r="BU45" s="34" t="str">
        <f t="shared" si="30"/>
        <v/>
      </c>
      <c r="BV45" s="67"/>
      <c r="BW45" s="69" t="str">
        <f t="shared" si="31"/>
        <v/>
      </c>
      <c r="BX45" s="31"/>
      <c r="BY45" s="34" t="str">
        <f t="shared" si="32"/>
        <v/>
      </c>
      <c r="BZ45" s="67"/>
      <c r="CA45" s="69" t="str">
        <f t="shared" si="33"/>
        <v/>
      </c>
      <c r="CB45" s="31"/>
      <c r="CC45" s="34" t="str">
        <f t="shared" si="34"/>
        <v/>
      </c>
      <c r="CD45" s="67"/>
      <c r="CE45" s="69" t="str">
        <f t="shared" si="35"/>
        <v/>
      </c>
      <c r="CF45" s="31"/>
      <c r="CG45" s="34" t="str">
        <f t="shared" si="36"/>
        <v/>
      </c>
      <c r="CH45" s="67"/>
      <c r="CI45" s="69" t="str">
        <f t="shared" si="37"/>
        <v/>
      </c>
      <c r="CJ45" s="31"/>
      <c r="CK45" s="34" t="str">
        <f t="shared" si="38"/>
        <v/>
      </c>
      <c r="CL45" s="67"/>
      <c r="CM45" s="69" t="str">
        <f t="shared" si="39"/>
        <v/>
      </c>
      <c r="CN45" s="31"/>
      <c r="CO45" s="34" t="str">
        <f t="shared" si="40"/>
        <v/>
      </c>
      <c r="CP45" s="67"/>
      <c r="CQ45" s="69" t="str">
        <f t="shared" si="41"/>
        <v/>
      </c>
      <c r="CR45" s="21" t="s">
        <v>412</v>
      </c>
    </row>
    <row r="46" spans="1:96" ht="20" customHeight="1" x14ac:dyDescent="0.2">
      <c r="A46" s="726"/>
      <c r="B46" s="721"/>
      <c r="C46" s="253"/>
      <c r="D46" s="722" t="s">
        <v>85</v>
      </c>
      <c r="E46" s="723" t="s">
        <v>639</v>
      </c>
      <c r="F46" s="723" t="s">
        <v>640</v>
      </c>
      <c r="G46" s="722">
        <v>2005</v>
      </c>
      <c r="H46" s="287"/>
      <c r="I46" s="701">
        <v>8</v>
      </c>
      <c r="J46" s="232" t="s">
        <v>641</v>
      </c>
      <c r="K46" s="250"/>
      <c r="L46" s="31"/>
      <c r="M46" s="34"/>
      <c r="N46" s="67"/>
      <c r="O46" s="67"/>
      <c r="P46" s="31"/>
      <c r="Q46" s="34"/>
      <c r="R46" s="67"/>
      <c r="S46" s="69"/>
      <c r="T46" s="56"/>
      <c r="U46" s="34"/>
      <c r="V46" s="67"/>
      <c r="W46" s="69"/>
      <c r="X46" s="31"/>
      <c r="Y46" s="34"/>
      <c r="Z46" s="67"/>
      <c r="AA46" s="69"/>
      <c r="AB46" s="31"/>
      <c r="AC46" s="34"/>
      <c r="AD46" s="67"/>
      <c r="AE46" s="69"/>
      <c r="AF46" s="31"/>
      <c r="AG46" s="34"/>
      <c r="AH46" s="67"/>
      <c r="AI46" s="69"/>
      <c r="AJ46" s="31"/>
      <c r="AK46" s="34"/>
      <c r="AL46" s="67"/>
      <c r="AM46" s="69"/>
      <c r="AN46" s="31"/>
      <c r="AO46" s="34"/>
      <c r="AP46" s="67"/>
      <c r="AQ46" s="69"/>
      <c r="AR46" s="31"/>
      <c r="AS46" s="34"/>
      <c r="AT46" s="67"/>
      <c r="AU46" s="69"/>
      <c r="AV46" s="31"/>
      <c r="AW46" s="34"/>
      <c r="AX46" s="67"/>
      <c r="AY46" s="69"/>
      <c r="AZ46" s="56"/>
      <c r="BA46" s="34"/>
      <c r="BB46" s="67"/>
      <c r="BC46" s="69"/>
      <c r="BD46" s="31"/>
      <c r="BE46" s="34"/>
      <c r="BF46" s="67"/>
      <c r="BG46" s="69"/>
      <c r="BH46" s="31"/>
      <c r="BI46" s="34"/>
      <c r="BJ46" s="67"/>
      <c r="BK46" s="69"/>
      <c r="BL46" s="31"/>
      <c r="BM46" s="34"/>
      <c r="BN46" s="67"/>
      <c r="BO46" s="69"/>
      <c r="BP46" s="31"/>
      <c r="BQ46" s="34"/>
      <c r="BR46" s="67"/>
      <c r="BS46" s="69"/>
      <c r="BT46" s="31"/>
      <c r="BU46" s="34"/>
      <c r="BV46" s="67"/>
      <c r="BW46" s="69"/>
      <c r="BX46" s="31"/>
      <c r="BY46" s="34"/>
      <c r="BZ46" s="67"/>
      <c r="CA46" s="69"/>
      <c r="CB46" s="31"/>
      <c r="CC46" s="34"/>
      <c r="CD46" s="67"/>
      <c r="CE46" s="69"/>
      <c r="CF46" s="31"/>
      <c r="CG46" s="34"/>
      <c r="CH46" s="67"/>
      <c r="CI46" s="69"/>
      <c r="CJ46" s="31"/>
      <c r="CK46" s="34"/>
      <c r="CL46" s="67"/>
      <c r="CM46" s="69"/>
      <c r="CN46" s="31"/>
      <c r="CO46" s="34"/>
      <c r="CP46" s="67"/>
      <c r="CQ46" s="69"/>
    </row>
    <row r="47" spans="1:96" ht="20" customHeight="1" x14ac:dyDescent="0.2">
      <c r="A47" s="678"/>
      <c r="B47" s="721"/>
      <c r="C47" s="722"/>
      <c r="D47" s="727" t="s">
        <v>85</v>
      </c>
      <c r="E47" s="728" t="s">
        <v>349</v>
      </c>
      <c r="F47" s="728" t="s">
        <v>72</v>
      </c>
      <c r="G47" s="727">
        <v>2014</v>
      </c>
      <c r="H47" s="729">
        <v>23</v>
      </c>
      <c r="I47" s="65">
        <v>28</v>
      </c>
      <c r="J47" s="61" t="s">
        <v>184</v>
      </c>
      <c r="K47" s="62" t="s">
        <v>192</v>
      </c>
      <c r="L47" s="31"/>
      <c r="M47" s="34" t="str">
        <f t="shared" si="0"/>
        <v/>
      </c>
      <c r="N47" s="67"/>
      <c r="O47" s="67" t="str">
        <f t="shared" si="1"/>
        <v/>
      </c>
      <c r="P47" s="31"/>
      <c r="Q47" s="34" t="str">
        <f t="shared" si="2"/>
        <v/>
      </c>
      <c r="R47" s="67"/>
      <c r="S47" s="69" t="str">
        <f t="shared" si="3"/>
        <v/>
      </c>
      <c r="T47" s="56"/>
      <c r="U47" s="34" t="str">
        <f t="shared" si="4"/>
        <v/>
      </c>
      <c r="V47" s="67"/>
      <c r="W47" s="69" t="str">
        <f t="shared" si="5"/>
        <v/>
      </c>
      <c r="X47" s="31"/>
      <c r="Y47" s="34" t="str">
        <f t="shared" si="6"/>
        <v/>
      </c>
      <c r="Z47" s="67"/>
      <c r="AA47" s="69" t="str">
        <f t="shared" si="7"/>
        <v/>
      </c>
      <c r="AB47" s="31"/>
      <c r="AC47" s="34" t="str">
        <f t="shared" si="8"/>
        <v/>
      </c>
      <c r="AD47" s="67"/>
      <c r="AE47" s="69" t="str">
        <f t="shared" si="9"/>
        <v/>
      </c>
      <c r="AF47" s="31"/>
      <c r="AG47" s="34" t="str">
        <f t="shared" si="10"/>
        <v/>
      </c>
      <c r="AH47" s="67"/>
      <c r="AI47" s="69" t="str">
        <f t="shared" si="11"/>
        <v/>
      </c>
      <c r="AJ47" s="31"/>
      <c r="AK47" s="34" t="str">
        <f t="shared" si="12"/>
        <v/>
      </c>
      <c r="AL47" s="67"/>
      <c r="AM47" s="69" t="str">
        <f t="shared" si="13"/>
        <v/>
      </c>
      <c r="AN47" s="31"/>
      <c r="AO47" s="34" t="str">
        <f t="shared" si="14"/>
        <v/>
      </c>
      <c r="AP47" s="67"/>
      <c r="AQ47" s="69" t="str">
        <f t="shared" si="15"/>
        <v/>
      </c>
      <c r="AR47" s="31"/>
      <c r="AS47" s="34" t="str">
        <f t="shared" si="16"/>
        <v/>
      </c>
      <c r="AT47" s="67"/>
      <c r="AU47" s="69" t="str">
        <f t="shared" si="44"/>
        <v/>
      </c>
      <c r="AV47" s="31"/>
      <c r="AW47" s="34" t="str">
        <f t="shared" si="18"/>
        <v/>
      </c>
      <c r="AX47" s="67"/>
      <c r="AY47" s="69" t="str">
        <f t="shared" si="19"/>
        <v/>
      </c>
      <c r="AZ47" s="56"/>
      <c r="BA47" s="34" t="str">
        <f t="shared" si="20"/>
        <v/>
      </c>
      <c r="BB47" s="67"/>
      <c r="BC47" s="69" t="str">
        <f t="shared" si="21"/>
        <v/>
      </c>
      <c r="BD47" s="31"/>
      <c r="BE47" s="34" t="str">
        <f t="shared" si="22"/>
        <v/>
      </c>
      <c r="BF47" s="67"/>
      <c r="BG47" s="69" t="str">
        <f t="shared" si="23"/>
        <v/>
      </c>
      <c r="BH47" s="31"/>
      <c r="BI47" s="34" t="str">
        <f t="shared" si="24"/>
        <v/>
      </c>
      <c r="BJ47" s="67"/>
      <c r="BK47" s="69" t="str">
        <f t="shared" si="25"/>
        <v/>
      </c>
      <c r="BL47" s="31"/>
      <c r="BM47" s="34" t="str">
        <f t="shared" si="26"/>
        <v/>
      </c>
      <c r="BN47" s="67"/>
      <c r="BO47" s="69" t="str">
        <f t="shared" si="27"/>
        <v/>
      </c>
      <c r="BP47" s="31"/>
      <c r="BQ47" s="34" t="str">
        <f t="shared" si="28"/>
        <v/>
      </c>
      <c r="BR47" s="67"/>
      <c r="BS47" s="69" t="str">
        <f t="shared" si="29"/>
        <v/>
      </c>
      <c r="BT47" s="31"/>
      <c r="BU47" s="34" t="str">
        <f t="shared" si="30"/>
        <v/>
      </c>
      <c r="BV47" s="67"/>
      <c r="BW47" s="69" t="str">
        <f t="shared" si="31"/>
        <v/>
      </c>
      <c r="BX47" s="31"/>
      <c r="BY47" s="34" t="str">
        <f t="shared" si="32"/>
        <v/>
      </c>
      <c r="BZ47" s="67"/>
      <c r="CA47" s="69" t="str">
        <f t="shared" si="33"/>
        <v/>
      </c>
      <c r="CB47" s="31"/>
      <c r="CC47" s="34" t="str">
        <f t="shared" si="34"/>
        <v/>
      </c>
      <c r="CD47" s="67"/>
      <c r="CE47" s="69" t="str">
        <f t="shared" si="35"/>
        <v/>
      </c>
      <c r="CF47" s="31"/>
      <c r="CG47" s="34" t="str">
        <f t="shared" si="36"/>
        <v/>
      </c>
      <c r="CH47" s="67"/>
      <c r="CI47" s="69" t="str">
        <f t="shared" si="37"/>
        <v/>
      </c>
      <c r="CJ47" s="31"/>
      <c r="CK47" s="34" t="str">
        <f t="shared" si="38"/>
        <v/>
      </c>
      <c r="CL47" s="67"/>
      <c r="CM47" s="69" t="str">
        <f t="shared" si="39"/>
        <v/>
      </c>
      <c r="CN47" s="31"/>
      <c r="CO47" s="34" t="str">
        <f t="shared" si="40"/>
        <v/>
      </c>
      <c r="CP47" s="67"/>
      <c r="CQ47" s="69" t="str">
        <f t="shared" si="41"/>
        <v/>
      </c>
      <c r="CR47" s="21" t="s">
        <v>413</v>
      </c>
    </row>
    <row r="48" spans="1:96" ht="20" customHeight="1" x14ac:dyDescent="0.2">
      <c r="A48" s="678"/>
      <c r="B48" s="725"/>
      <c r="C48" s="255"/>
      <c r="D48" s="722" t="s">
        <v>85</v>
      </c>
      <c r="E48" s="723" t="s">
        <v>280</v>
      </c>
      <c r="F48" s="723" t="s">
        <v>281</v>
      </c>
      <c r="G48" s="722">
        <v>2014</v>
      </c>
      <c r="H48" s="287"/>
      <c r="I48" s="65">
        <v>28</v>
      </c>
      <c r="J48" s="61" t="s">
        <v>184</v>
      </c>
      <c r="K48" s="62" t="s">
        <v>192</v>
      </c>
      <c r="L48" s="31"/>
      <c r="M48" s="34" t="str">
        <f t="shared" si="0"/>
        <v/>
      </c>
      <c r="N48" s="67"/>
      <c r="O48" s="67" t="str">
        <f t="shared" si="1"/>
        <v/>
      </c>
      <c r="P48" s="31"/>
      <c r="Q48" s="34" t="str">
        <f t="shared" si="2"/>
        <v/>
      </c>
      <c r="R48" s="67"/>
      <c r="S48" s="69" t="str">
        <f t="shared" si="3"/>
        <v/>
      </c>
      <c r="T48" s="56">
        <v>3</v>
      </c>
      <c r="U48" s="34">
        <f t="shared" si="4"/>
        <v>10.714285714285714</v>
      </c>
      <c r="V48" s="67">
        <v>3</v>
      </c>
      <c r="W48" s="69">
        <f t="shared" si="5"/>
        <v>0</v>
      </c>
      <c r="X48" s="31"/>
      <c r="Y48" s="34" t="str">
        <f t="shared" si="6"/>
        <v/>
      </c>
      <c r="Z48" s="67"/>
      <c r="AA48" s="69" t="str">
        <f t="shared" si="7"/>
        <v/>
      </c>
      <c r="AB48" s="31"/>
      <c r="AC48" s="34" t="str">
        <f t="shared" si="8"/>
        <v/>
      </c>
      <c r="AD48" s="67"/>
      <c r="AE48" s="69" t="str">
        <f t="shared" si="9"/>
        <v/>
      </c>
      <c r="AF48" s="31"/>
      <c r="AG48" s="34" t="str">
        <f t="shared" si="10"/>
        <v/>
      </c>
      <c r="AH48" s="67"/>
      <c r="AI48" s="69" t="str">
        <f t="shared" si="11"/>
        <v/>
      </c>
      <c r="AJ48" s="31"/>
      <c r="AK48" s="34" t="str">
        <f t="shared" si="12"/>
        <v/>
      </c>
      <c r="AL48" s="67"/>
      <c r="AM48" s="69" t="str">
        <f t="shared" si="13"/>
        <v/>
      </c>
      <c r="AN48" s="31"/>
      <c r="AO48" s="34" t="str">
        <f t="shared" si="14"/>
        <v/>
      </c>
      <c r="AP48" s="67"/>
      <c r="AQ48" s="69" t="str">
        <f t="shared" si="15"/>
        <v/>
      </c>
      <c r="AR48" s="31">
        <v>3</v>
      </c>
      <c r="AS48" s="34">
        <f t="shared" si="16"/>
        <v>10.714285714285714</v>
      </c>
      <c r="AT48" s="67">
        <v>7</v>
      </c>
      <c r="AU48" s="69">
        <f t="shared" si="44"/>
        <v>-4</v>
      </c>
      <c r="AV48" s="31">
        <v>4</v>
      </c>
      <c r="AW48" s="34">
        <f t="shared" si="18"/>
        <v>14.285714285714285</v>
      </c>
      <c r="AX48" s="67"/>
      <c r="AY48" s="69" t="str">
        <f t="shared" si="19"/>
        <v/>
      </c>
      <c r="AZ48" s="56">
        <v>5</v>
      </c>
      <c r="BA48" s="34">
        <f t="shared" si="20"/>
        <v>17.857142857142858</v>
      </c>
      <c r="BB48" s="67"/>
      <c r="BC48" s="69" t="str">
        <f t="shared" si="21"/>
        <v/>
      </c>
      <c r="BD48" s="31"/>
      <c r="BE48" s="34" t="str">
        <f t="shared" si="22"/>
        <v/>
      </c>
      <c r="BF48" s="67"/>
      <c r="BG48" s="69" t="str">
        <f t="shared" si="23"/>
        <v/>
      </c>
      <c r="BH48" s="31"/>
      <c r="BI48" s="34" t="str">
        <f t="shared" si="24"/>
        <v/>
      </c>
      <c r="BJ48" s="67"/>
      <c r="BK48" s="69" t="str">
        <f t="shared" si="25"/>
        <v/>
      </c>
      <c r="BL48" s="31">
        <v>0</v>
      </c>
      <c r="BM48" s="34" t="str">
        <f t="shared" si="26"/>
        <v/>
      </c>
      <c r="BN48" s="67">
        <v>3</v>
      </c>
      <c r="BO48" s="69">
        <f t="shared" si="27"/>
        <v>-3</v>
      </c>
      <c r="BP48" s="31"/>
      <c r="BQ48" s="34" t="str">
        <f t="shared" si="28"/>
        <v/>
      </c>
      <c r="BR48" s="67"/>
      <c r="BS48" s="69" t="str">
        <f t="shared" si="29"/>
        <v/>
      </c>
      <c r="BT48" s="31"/>
      <c r="BU48" s="34" t="str">
        <f t="shared" si="30"/>
        <v/>
      </c>
      <c r="BV48" s="67"/>
      <c r="BW48" s="69" t="str">
        <f t="shared" si="31"/>
        <v/>
      </c>
      <c r="BX48" s="31"/>
      <c r="BY48" s="34" t="str">
        <f t="shared" si="32"/>
        <v/>
      </c>
      <c r="BZ48" s="67"/>
      <c r="CA48" s="69" t="str">
        <f t="shared" si="33"/>
        <v/>
      </c>
      <c r="CB48" s="31"/>
      <c r="CC48" s="34" t="str">
        <f t="shared" si="34"/>
        <v/>
      </c>
      <c r="CD48" s="67"/>
      <c r="CE48" s="69" t="str">
        <f t="shared" si="35"/>
        <v/>
      </c>
      <c r="CF48" s="31"/>
      <c r="CG48" s="34" t="str">
        <f t="shared" si="36"/>
        <v/>
      </c>
      <c r="CH48" s="67"/>
      <c r="CI48" s="69" t="str">
        <f t="shared" si="37"/>
        <v/>
      </c>
      <c r="CJ48" s="31"/>
      <c r="CK48" s="34" t="str">
        <f t="shared" si="38"/>
        <v/>
      </c>
      <c r="CL48" s="67"/>
      <c r="CM48" s="69" t="str">
        <f t="shared" si="39"/>
        <v/>
      </c>
      <c r="CN48" s="31"/>
      <c r="CO48" s="34" t="str">
        <f t="shared" si="40"/>
        <v/>
      </c>
      <c r="CP48" s="67"/>
      <c r="CQ48" s="69" t="str">
        <f t="shared" si="41"/>
        <v/>
      </c>
      <c r="CR48" s="21" t="s">
        <v>350</v>
      </c>
    </row>
    <row r="49" spans="1:96" ht="20" customHeight="1" x14ac:dyDescent="0.2">
      <c r="A49" s="678"/>
      <c r="B49" s="725"/>
      <c r="C49" s="253"/>
      <c r="D49" s="722" t="s">
        <v>85</v>
      </c>
      <c r="E49" s="723" t="s">
        <v>282</v>
      </c>
      <c r="F49" s="723" t="s">
        <v>283</v>
      </c>
      <c r="G49" s="722">
        <v>2015</v>
      </c>
      <c r="H49" s="287"/>
      <c r="I49" s="65">
        <v>10</v>
      </c>
      <c r="J49" s="61" t="s">
        <v>340</v>
      </c>
      <c r="K49" s="62" t="s">
        <v>351</v>
      </c>
      <c r="L49" s="31"/>
      <c r="M49" s="34" t="str">
        <f t="shared" si="0"/>
        <v/>
      </c>
      <c r="N49" s="67"/>
      <c r="O49" s="67" t="str">
        <f t="shared" si="1"/>
        <v/>
      </c>
      <c r="P49" s="31"/>
      <c r="Q49" s="34" t="str">
        <f t="shared" si="2"/>
        <v/>
      </c>
      <c r="R49" s="67"/>
      <c r="S49" s="69" t="str">
        <f t="shared" si="3"/>
        <v/>
      </c>
      <c r="T49" s="56"/>
      <c r="U49" s="34" t="str">
        <f t="shared" si="4"/>
        <v/>
      </c>
      <c r="V49" s="67"/>
      <c r="W49" s="69" t="str">
        <f t="shared" si="5"/>
        <v/>
      </c>
      <c r="X49" s="31"/>
      <c r="Y49" s="34" t="str">
        <f t="shared" si="6"/>
        <v/>
      </c>
      <c r="Z49" s="67"/>
      <c r="AA49" s="69" t="str">
        <f t="shared" si="7"/>
        <v/>
      </c>
      <c r="AB49" s="31"/>
      <c r="AC49" s="34" t="str">
        <f t="shared" si="8"/>
        <v/>
      </c>
      <c r="AD49" s="67"/>
      <c r="AE49" s="69" t="str">
        <f t="shared" si="9"/>
        <v/>
      </c>
      <c r="AF49" s="31"/>
      <c r="AG49" s="34" t="str">
        <f t="shared" si="10"/>
        <v/>
      </c>
      <c r="AH49" s="67"/>
      <c r="AI49" s="69" t="str">
        <f t="shared" si="11"/>
        <v/>
      </c>
      <c r="AJ49" s="31"/>
      <c r="AK49" s="34" t="str">
        <f t="shared" si="12"/>
        <v/>
      </c>
      <c r="AL49" s="67"/>
      <c r="AM49" s="69" t="str">
        <f t="shared" si="13"/>
        <v/>
      </c>
      <c r="AN49" s="31"/>
      <c r="AO49" s="34" t="str">
        <f t="shared" si="14"/>
        <v/>
      </c>
      <c r="AP49" s="67"/>
      <c r="AQ49" s="69" t="str">
        <f t="shared" si="15"/>
        <v/>
      </c>
      <c r="AR49" s="31"/>
      <c r="AS49" s="34" t="str">
        <f t="shared" si="16"/>
        <v/>
      </c>
      <c r="AT49" s="67"/>
      <c r="AU49" s="69" t="str">
        <f t="shared" si="44"/>
        <v/>
      </c>
      <c r="AV49" s="31"/>
      <c r="AW49" s="34" t="str">
        <f t="shared" si="18"/>
        <v/>
      </c>
      <c r="AX49" s="67"/>
      <c r="AY49" s="69" t="str">
        <f t="shared" si="19"/>
        <v/>
      </c>
      <c r="AZ49" s="56"/>
      <c r="BA49" s="34" t="str">
        <f t="shared" si="20"/>
        <v/>
      </c>
      <c r="BB49" s="67"/>
      <c r="BC49" s="69" t="str">
        <f t="shared" si="21"/>
        <v/>
      </c>
      <c r="BD49" s="31"/>
      <c r="BE49" s="34" t="str">
        <f t="shared" si="22"/>
        <v/>
      </c>
      <c r="BF49" s="67"/>
      <c r="BG49" s="69" t="str">
        <f t="shared" si="23"/>
        <v/>
      </c>
      <c r="BH49" s="31"/>
      <c r="BI49" s="34" t="str">
        <f t="shared" si="24"/>
        <v/>
      </c>
      <c r="BJ49" s="67"/>
      <c r="BK49" s="69" t="str">
        <f t="shared" si="25"/>
        <v/>
      </c>
      <c r="BL49" s="31"/>
      <c r="BM49" s="34" t="str">
        <f t="shared" si="26"/>
        <v/>
      </c>
      <c r="BN49" s="67"/>
      <c r="BO49" s="69" t="str">
        <f t="shared" si="27"/>
        <v/>
      </c>
      <c r="BP49" s="31"/>
      <c r="BQ49" s="34" t="str">
        <f t="shared" si="28"/>
        <v/>
      </c>
      <c r="BR49" s="67"/>
      <c r="BS49" s="69" t="str">
        <f t="shared" si="29"/>
        <v/>
      </c>
      <c r="BT49" s="31"/>
      <c r="BU49" s="34" t="str">
        <f t="shared" si="30"/>
        <v/>
      </c>
      <c r="BV49" s="67"/>
      <c r="BW49" s="69" t="str">
        <f t="shared" si="31"/>
        <v/>
      </c>
      <c r="BX49" s="31"/>
      <c r="BY49" s="34" t="str">
        <f t="shared" si="32"/>
        <v/>
      </c>
      <c r="BZ49" s="67"/>
      <c r="CA49" s="69" t="str">
        <f t="shared" si="33"/>
        <v/>
      </c>
      <c r="CB49" s="31"/>
      <c r="CC49" s="34" t="str">
        <f t="shared" si="34"/>
        <v/>
      </c>
      <c r="CD49" s="67"/>
      <c r="CE49" s="69" t="str">
        <f t="shared" si="35"/>
        <v/>
      </c>
      <c r="CF49" s="31"/>
      <c r="CG49" s="34" t="str">
        <f t="shared" si="36"/>
        <v/>
      </c>
      <c r="CH49" s="67"/>
      <c r="CI49" s="69" t="str">
        <f t="shared" si="37"/>
        <v/>
      </c>
      <c r="CJ49" s="31"/>
      <c r="CK49" s="34" t="str">
        <f t="shared" si="38"/>
        <v/>
      </c>
      <c r="CL49" s="67"/>
      <c r="CM49" s="69" t="str">
        <f t="shared" si="39"/>
        <v/>
      </c>
      <c r="CN49" s="31"/>
      <c r="CO49" s="34" t="str">
        <f t="shared" si="40"/>
        <v/>
      </c>
      <c r="CP49" s="67"/>
      <c r="CQ49" s="69" t="str">
        <f t="shared" si="41"/>
        <v/>
      </c>
    </row>
    <row r="50" spans="1:96" ht="20" customHeight="1" x14ac:dyDescent="0.2">
      <c r="A50" s="678"/>
      <c r="B50" s="725"/>
      <c r="C50" s="255"/>
      <c r="D50" s="722" t="s">
        <v>85</v>
      </c>
      <c r="E50" s="723" t="s">
        <v>79</v>
      </c>
      <c r="F50" s="723" t="s">
        <v>80</v>
      </c>
      <c r="G50" s="722">
        <v>2015</v>
      </c>
      <c r="H50" s="287">
        <v>10</v>
      </c>
      <c r="I50" s="65">
        <v>11</v>
      </c>
      <c r="J50" s="61" t="s">
        <v>194</v>
      </c>
      <c r="K50" s="62" t="s">
        <v>168</v>
      </c>
      <c r="L50" s="31"/>
      <c r="M50" s="34" t="str">
        <f t="shared" si="0"/>
        <v/>
      </c>
      <c r="N50" s="67"/>
      <c r="O50" s="67" t="str">
        <f t="shared" si="1"/>
        <v/>
      </c>
      <c r="P50" s="31"/>
      <c r="Q50" s="34" t="str">
        <f t="shared" si="2"/>
        <v/>
      </c>
      <c r="R50" s="67"/>
      <c r="S50" s="69" t="str">
        <f t="shared" si="3"/>
        <v/>
      </c>
      <c r="T50" s="56"/>
      <c r="U50" s="34" t="str">
        <f t="shared" si="4"/>
        <v/>
      </c>
      <c r="V50" s="67"/>
      <c r="W50" s="69" t="str">
        <f t="shared" si="5"/>
        <v/>
      </c>
      <c r="X50" s="31"/>
      <c r="Y50" s="34" t="str">
        <f t="shared" si="6"/>
        <v/>
      </c>
      <c r="Z50" s="67"/>
      <c r="AA50" s="69" t="str">
        <f t="shared" si="7"/>
        <v/>
      </c>
      <c r="AB50" s="31"/>
      <c r="AC50" s="34" t="str">
        <f t="shared" si="8"/>
        <v/>
      </c>
      <c r="AD50" s="67"/>
      <c r="AE50" s="69" t="str">
        <f t="shared" si="9"/>
        <v/>
      </c>
      <c r="AF50" s="31"/>
      <c r="AG50" s="34" t="str">
        <f t="shared" si="10"/>
        <v/>
      </c>
      <c r="AH50" s="67"/>
      <c r="AI50" s="69" t="str">
        <f t="shared" si="11"/>
        <v/>
      </c>
      <c r="AJ50" s="31"/>
      <c r="AK50" s="34" t="str">
        <f t="shared" si="12"/>
        <v/>
      </c>
      <c r="AL50" s="67"/>
      <c r="AM50" s="69" t="str">
        <f t="shared" si="13"/>
        <v/>
      </c>
      <c r="AN50" s="31"/>
      <c r="AO50" s="34" t="str">
        <f t="shared" si="14"/>
        <v/>
      </c>
      <c r="AP50" s="67"/>
      <c r="AQ50" s="69" t="str">
        <f t="shared" si="15"/>
        <v/>
      </c>
      <c r="AR50" s="36">
        <v>1</v>
      </c>
      <c r="AS50" s="37">
        <f t="shared" si="16"/>
        <v>9.0909090909090917</v>
      </c>
      <c r="AT50" s="85">
        <v>0</v>
      </c>
      <c r="AU50" s="86">
        <f t="shared" si="44"/>
        <v>1</v>
      </c>
      <c r="AV50" s="31"/>
      <c r="AW50" s="34" t="str">
        <f t="shared" si="18"/>
        <v/>
      </c>
      <c r="AX50" s="67"/>
      <c r="AY50" s="69" t="str">
        <f t="shared" si="19"/>
        <v/>
      </c>
      <c r="AZ50" s="56">
        <v>3</v>
      </c>
      <c r="BA50" s="34">
        <f t="shared" si="20"/>
        <v>27.27272727272727</v>
      </c>
      <c r="BB50" s="67">
        <v>2</v>
      </c>
      <c r="BC50" s="69">
        <f t="shared" si="21"/>
        <v>1</v>
      </c>
      <c r="BD50" s="31"/>
      <c r="BE50" s="34" t="str">
        <f t="shared" si="22"/>
        <v/>
      </c>
      <c r="BF50" s="67"/>
      <c r="BG50" s="69" t="str">
        <f t="shared" si="23"/>
        <v/>
      </c>
      <c r="BH50" s="31"/>
      <c r="BI50" s="34" t="str">
        <f t="shared" si="24"/>
        <v/>
      </c>
      <c r="BJ50" s="67"/>
      <c r="BK50" s="69" t="str">
        <f t="shared" si="25"/>
        <v/>
      </c>
      <c r="BL50" s="31"/>
      <c r="BM50" s="34" t="str">
        <f t="shared" si="26"/>
        <v/>
      </c>
      <c r="BN50" s="67"/>
      <c r="BO50" s="69" t="str">
        <f t="shared" si="27"/>
        <v/>
      </c>
      <c r="BP50" s="31"/>
      <c r="BQ50" s="34" t="str">
        <f t="shared" si="28"/>
        <v/>
      </c>
      <c r="BR50" s="67"/>
      <c r="BS50" s="69" t="str">
        <f t="shared" si="29"/>
        <v/>
      </c>
      <c r="BT50" s="31"/>
      <c r="BU50" s="34" t="str">
        <f t="shared" si="30"/>
        <v/>
      </c>
      <c r="BV50" s="67"/>
      <c r="BW50" s="69" t="str">
        <f t="shared" si="31"/>
        <v/>
      </c>
      <c r="BX50" s="31"/>
      <c r="BY50" s="34" t="str">
        <f t="shared" si="32"/>
        <v/>
      </c>
      <c r="BZ50" s="67"/>
      <c r="CA50" s="69" t="str">
        <f t="shared" si="33"/>
        <v/>
      </c>
      <c r="CB50" s="31"/>
      <c r="CC50" s="34" t="str">
        <f t="shared" si="34"/>
        <v/>
      </c>
      <c r="CD50" s="67"/>
      <c r="CE50" s="69" t="str">
        <f t="shared" si="35"/>
        <v/>
      </c>
      <c r="CF50" s="31"/>
      <c r="CG50" s="34" t="str">
        <f t="shared" si="36"/>
        <v/>
      </c>
      <c r="CH50" s="67"/>
      <c r="CI50" s="69" t="str">
        <f t="shared" si="37"/>
        <v/>
      </c>
      <c r="CJ50" s="31"/>
      <c r="CK50" s="34" t="str">
        <f t="shared" si="38"/>
        <v/>
      </c>
      <c r="CL50" s="67"/>
      <c r="CM50" s="69" t="str">
        <f t="shared" si="39"/>
        <v/>
      </c>
      <c r="CN50" s="31"/>
      <c r="CO50" s="34" t="str">
        <f t="shared" si="40"/>
        <v/>
      </c>
      <c r="CP50" s="67"/>
      <c r="CQ50" s="69" t="str">
        <f t="shared" si="41"/>
        <v/>
      </c>
      <c r="CR50" s="21" t="s">
        <v>193</v>
      </c>
    </row>
    <row r="51" spans="1:96" ht="20" customHeight="1" x14ac:dyDescent="0.2">
      <c r="A51" s="678"/>
      <c r="B51" s="725"/>
      <c r="C51" s="723"/>
      <c r="D51" s="722" t="s">
        <v>85</v>
      </c>
      <c r="E51" s="723" t="s">
        <v>526</v>
      </c>
      <c r="F51" s="723" t="s">
        <v>564</v>
      </c>
      <c r="G51" s="722">
        <v>1998</v>
      </c>
      <c r="H51" s="287"/>
      <c r="I51" s="65">
        <v>22</v>
      </c>
      <c r="J51" s="61" t="s">
        <v>184</v>
      </c>
      <c r="K51" s="62" t="s">
        <v>346</v>
      </c>
      <c r="L51" s="31"/>
      <c r="M51" s="34"/>
      <c r="N51" s="67"/>
      <c r="O51" s="67"/>
      <c r="P51" s="31"/>
      <c r="Q51" s="34"/>
      <c r="R51" s="67"/>
      <c r="S51" s="69"/>
      <c r="T51" s="56"/>
      <c r="U51" s="34"/>
      <c r="V51" s="67"/>
      <c r="W51" s="69"/>
      <c r="X51" s="31"/>
      <c r="Y51" s="34"/>
      <c r="Z51" s="67"/>
      <c r="AA51" s="69"/>
      <c r="AB51" s="31">
        <v>1</v>
      </c>
      <c r="AC51" s="34">
        <f t="shared" si="8"/>
        <v>4.5454545454545459</v>
      </c>
      <c r="AD51" s="67">
        <v>0</v>
      </c>
      <c r="AE51" s="69">
        <f t="shared" si="9"/>
        <v>1</v>
      </c>
      <c r="AF51" s="31"/>
      <c r="AG51" s="34"/>
      <c r="AH51" s="67"/>
      <c r="AI51" s="69"/>
      <c r="AJ51" s="31"/>
      <c r="AK51" s="34"/>
      <c r="AL51" s="67"/>
      <c r="AM51" s="69"/>
      <c r="AN51" s="31"/>
      <c r="AO51" s="34"/>
      <c r="AP51" s="67"/>
      <c r="AQ51" s="69"/>
      <c r="AR51" s="31"/>
      <c r="AS51" s="34"/>
      <c r="AT51" s="67"/>
      <c r="AU51" s="69"/>
      <c r="AV51" s="31"/>
      <c r="AW51" s="34"/>
      <c r="AX51" s="67"/>
      <c r="AY51" s="69"/>
      <c r="AZ51" s="56"/>
      <c r="BA51" s="34"/>
      <c r="BB51" s="67"/>
      <c r="BC51" s="69"/>
      <c r="BD51" s="31"/>
      <c r="BE51" s="34"/>
      <c r="BF51" s="67"/>
      <c r="BG51" s="69"/>
      <c r="BH51" s="31"/>
      <c r="BI51" s="34"/>
      <c r="BJ51" s="67"/>
      <c r="BK51" s="69"/>
      <c r="BL51" s="31"/>
      <c r="BM51" s="34"/>
      <c r="BN51" s="67"/>
      <c r="BO51" s="69"/>
      <c r="BP51" s="31"/>
      <c r="BQ51" s="34"/>
      <c r="BR51" s="67"/>
      <c r="BS51" s="69"/>
      <c r="BT51" s="31"/>
      <c r="BU51" s="34"/>
      <c r="BV51" s="67"/>
      <c r="BW51" s="69"/>
      <c r="BX51" s="31"/>
      <c r="BY51" s="34"/>
      <c r="BZ51" s="67"/>
      <c r="CA51" s="69"/>
      <c r="CB51" s="31"/>
      <c r="CC51" s="34"/>
      <c r="CD51" s="67"/>
      <c r="CE51" s="69"/>
      <c r="CF51" s="31"/>
      <c r="CG51" s="34"/>
      <c r="CH51" s="67"/>
      <c r="CI51" s="69"/>
      <c r="CJ51" s="31"/>
      <c r="CK51" s="34"/>
      <c r="CL51" s="67"/>
      <c r="CM51" s="69"/>
      <c r="CN51" s="31"/>
      <c r="CO51" s="34"/>
      <c r="CP51" s="67"/>
      <c r="CQ51" s="69"/>
    </row>
    <row r="52" spans="1:96" ht="20" customHeight="1" x14ac:dyDescent="0.2">
      <c r="A52" s="726"/>
      <c r="B52" s="721"/>
      <c r="C52" s="723"/>
      <c r="D52" s="722" t="s">
        <v>85</v>
      </c>
      <c r="E52" s="723" t="s">
        <v>646</v>
      </c>
      <c r="F52" s="723" t="s">
        <v>647</v>
      </c>
      <c r="G52" s="722">
        <v>1998</v>
      </c>
      <c r="H52" s="287"/>
      <c r="I52" s="701">
        <v>18</v>
      </c>
      <c r="J52" s="232" t="s">
        <v>217</v>
      </c>
      <c r="K52" s="250"/>
      <c r="L52" s="31"/>
      <c r="M52" s="34"/>
      <c r="N52" s="67"/>
      <c r="O52" s="67"/>
      <c r="P52" s="31"/>
      <c r="Q52" s="34"/>
      <c r="R52" s="67"/>
      <c r="S52" s="69"/>
      <c r="T52" s="56"/>
      <c r="U52" s="34"/>
      <c r="V52" s="67"/>
      <c r="W52" s="69"/>
      <c r="X52" s="31"/>
      <c r="Y52" s="34"/>
      <c r="Z52" s="67"/>
      <c r="AA52" s="69"/>
      <c r="AB52" s="31"/>
      <c r="AC52" s="34"/>
      <c r="AD52" s="67"/>
      <c r="AE52" s="69"/>
      <c r="AF52" s="31"/>
      <c r="AG52" s="34"/>
      <c r="AH52" s="67"/>
      <c r="AI52" s="69"/>
      <c r="AJ52" s="31"/>
      <c r="AK52" s="34"/>
      <c r="AL52" s="67"/>
      <c r="AM52" s="69"/>
      <c r="AN52" s="31"/>
      <c r="AO52" s="34"/>
      <c r="AP52" s="67"/>
      <c r="AQ52" s="69"/>
      <c r="AR52" s="31"/>
      <c r="AS52" s="34"/>
      <c r="AT52" s="67"/>
      <c r="AU52" s="69"/>
      <c r="AV52" s="31"/>
      <c r="AW52" s="34"/>
      <c r="AX52" s="67"/>
      <c r="AY52" s="69"/>
      <c r="AZ52" s="56"/>
      <c r="BA52" s="34"/>
      <c r="BB52" s="67"/>
      <c r="BC52" s="69"/>
      <c r="BD52" s="31"/>
      <c r="BE52" s="34"/>
      <c r="BF52" s="67"/>
      <c r="BG52" s="69"/>
      <c r="BH52" s="31"/>
      <c r="BI52" s="34"/>
      <c r="BJ52" s="67"/>
      <c r="BK52" s="69"/>
      <c r="BL52" s="31"/>
      <c r="BM52" s="34"/>
      <c r="BN52" s="67"/>
      <c r="BO52" s="69"/>
      <c r="BP52" s="31"/>
      <c r="BQ52" s="34"/>
      <c r="BR52" s="67"/>
      <c r="BS52" s="69"/>
      <c r="BT52" s="31"/>
      <c r="BU52" s="34"/>
      <c r="BV52" s="67"/>
      <c r="BW52" s="69"/>
      <c r="BX52" s="31"/>
      <c r="BY52" s="34"/>
      <c r="BZ52" s="67"/>
      <c r="CA52" s="69"/>
      <c r="CB52" s="31"/>
      <c r="CC52" s="34"/>
      <c r="CD52" s="67"/>
      <c r="CE52" s="69"/>
      <c r="CF52" s="31"/>
      <c r="CG52" s="34"/>
      <c r="CH52" s="67"/>
      <c r="CI52" s="69"/>
      <c r="CJ52" s="31"/>
      <c r="CK52" s="34"/>
      <c r="CL52" s="67"/>
      <c r="CM52" s="69"/>
      <c r="CN52" s="31"/>
      <c r="CO52" s="34"/>
      <c r="CP52" s="67"/>
      <c r="CQ52" s="69"/>
    </row>
    <row r="53" spans="1:96" ht="20" customHeight="1" x14ac:dyDescent="0.2">
      <c r="A53" s="678"/>
      <c r="B53" s="725"/>
      <c r="C53" s="253"/>
      <c r="D53" s="722" t="s">
        <v>85</v>
      </c>
      <c r="E53" s="723" t="s">
        <v>91</v>
      </c>
      <c r="F53" s="723" t="s">
        <v>92</v>
      </c>
      <c r="G53" s="722">
        <v>2001</v>
      </c>
      <c r="H53" s="287">
        <v>170</v>
      </c>
      <c r="I53" s="65">
        <v>20</v>
      </c>
      <c r="J53" s="61" t="s">
        <v>175</v>
      </c>
      <c r="K53" s="62" t="s">
        <v>168</v>
      </c>
      <c r="L53" s="31"/>
      <c r="M53" s="34" t="str">
        <f t="shared" si="0"/>
        <v/>
      </c>
      <c r="N53" s="67"/>
      <c r="O53" s="67" t="str">
        <f t="shared" si="1"/>
        <v/>
      </c>
      <c r="P53" s="31"/>
      <c r="Q53" s="34" t="str">
        <f t="shared" si="2"/>
        <v/>
      </c>
      <c r="R53" s="67"/>
      <c r="S53" s="69" t="str">
        <f t="shared" si="3"/>
        <v/>
      </c>
      <c r="T53" s="56"/>
      <c r="U53" s="34" t="str">
        <f t="shared" si="4"/>
        <v/>
      </c>
      <c r="V53" s="67"/>
      <c r="W53" s="69" t="str">
        <f t="shared" si="5"/>
        <v/>
      </c>
      <c r="X53" s="31"/>
      <c r="Y53" s="34" t="str">
        <f t="shared" si="6"/>
        <v/>
      </c>
      <c r="Z53" s="67"/>
      <c r="AA53" s="69" t="str">
        <f t="shared" si="7"/>
        <v/>
      </c>
      <c r="AB53" s="31"/>
      <c r="AC53" s="34" t="str">
        <f t="shared" si="8"/>
        <v/>
      </c>
      <c r="AD53" s="67"/>
      <c r="AE53" s="69" t="str">
        <f t="shared" si="9"/>
        <v/>
      </c>
      <c r="AF53" s="31"/>
      <c r="AG53" s="34" t="str">
        <f t="shared" si="10"/>
        <v/>
      </c>
      <c r="AH53" s="67"/>
      <c r="AI53" s="69" t="str">
        <f t="shared" si="11"/>
        <v/>
      </c>
      <c r="AJ53" s="31"/>
      <c r="AK53" s="34" t="str">
        <f t="shared" si="12"/>
        <v/>
      </c>
      <c r="AL53" s="67"/>
      <c r="AM53" s="69" t="str">
        <f t="shared" si="13"/>
        <v/>
      </c>
      <c r="AN53" s="31"/>
      <c r="AO53" s="34" t="str">
        <f t="shared" si="14"/>
        <v/>
      </c>
      <c r="AP53" s="67"/>
      <c r="AQ53" s="69" t="str">
        <f t="shared" si="15"/>
        <v/>
      </c>
      <c r="AR53" s="31"/>
      <c r="AS53" s="34" t="str">
        <f t="shared" si="16"/>
        <v/>
      </c>
      <c r="AT53" s="67"/>
      <c r="AU53" s="69" t="str">
        <f t="shared" si="44"/>
        <v/>
      </c>
      <c r="AV53" s="31"/>
      <c r="AW53" s="34" t="str">
        <f t="shared" si="18"/>
        <v/>
      </c>
      <c r="AX53" s="67"/>
      <c r="AY53" s="69" t="str">
        <f t="shared" si="19"/>
        <v/>
      </c>
      <c r="AZ53" s="56"/>
      <c r="BA53" s="34" t="str">
        <f t="shared" si="20"/>
        <v/>
      </c>
      <c r="BB53" s="67"/>
      <c r="BC53" s="69" t="str">
        <f t="shared" si="21"/>
        <v/>
      </c>
      <c r="BD53" s="31"/>
      <c r="BE53" s="34" t="str">
        <f t="shared" si="22"/>
        <v/>
      </c>
      <c r="BF53" s="67"/>
      <c r="BG53" s="69" t="str">
        <f t="shared" si="23"/>
        <v/>
      </c>
      <c r="BH53" s="31"/>
      <c r="BI53" s="34" t="str">
        <f t="shared" si="24"/>
        <v/>
      </c>
      <c r="BJ53" s="67"/>
      <c r="BK53" s="69" t="str">
        <f t="shared" si="25"/>
        <v/>
      </c>
      <c r="BL53" s="31"/>
      <c r="BM53" s="34" t="str">
        <f t="shared" si="26"/>
        <v/>
      </c>
      <c r="BN53" s="67"/>
      <c r="BO53" s="69" t="str">
        <f t="shared" si="27"/>
        <v/>
      </c>
      <c r="BP53" s="31"/>
      <c r="BQ53" s="34" t="str">
        <f t="shared" si="28"/>
        <v/>
      </c>
      <c r="BR53" s="67"/>
      <c r="BS53" s="69" t="str">
        <f t="shared" si="29"/>
        <v/>
      </c>
      <c r="BT53" s="31"/>
      <c r="BU53" s="34" t="str">
        <f t="shared" si="30"/>
        <v/>
      </c>
      <c r="BV53" s="67"/>
      <c r="BW53" s="69" t="str">
        <f t="shared" si="31"/>
        <v/>
      </c>
      <c r="BX53" s="31"/>
      <c r="BY53" s="34" t="str">
        <f t="shared" si="32"/>
        <v/>
      </c>
      <c r="BZ53" s="67"/>
      <c r="CA53" s="69" t="str">
        <f t="shared" si="33"/>
        <v/>
      </c>
      <c r="CB53" s="31"/>
      <c r="CC53" s="34" t="str">
        <f t="shared" si="34"/>
        <v/>
      </c>
      <c r="CD53" s="67"/>
      <c r="CE53" s="69" t="str">
        <f t="shared" si="35"/>
        <v/>
      </c>
      <c r="CF53" s="31"/>
      <c r="CG53" s="34" t="str">
        <f t="shared" si="36"/>
        <v/>
      </c>
      <c r="CH53" s="67"/>
      <c r="CI53" s="69" t="str">
        <f t="shared" si="37"/>
        <v/>
      </c>
      <c r="CJ53" s="31"/>
      <c r="CK53" s="34" t="str">
        <f t="shared" si="38"/>
        <v/>
      </c>
      <c r="CL53" s="67"/>
      <c r="CM53" s="69" t="str">
        <f t="shared" si="39"/>
        <v/>
      </c>
      <c r="CN53" s="31"/>
      <c r="CO53" s="34" t="str">
        <f t="shared" si="40"/>
        <v/>
      </c>
      <c r="CP53" s="67"/>
      <c r="CQ53" s="69" t="str">
        <f t="shared" si="41"/>
        <v/>
      </c>
      <c r="CR53" s="21" t="s">
        <v>180</v>
      </c>
    </row>
    <row r="54" spans="1:96" ht="20" customHeight="1" x14ac:dyDescent="0.2">
      <c r="A54" s="678"/>
      <c r="B54" s="725"/>
      <c r="C54" s="253"/>
      <c r="D54" s="722" t="s">
        <v>85</v>
      </c>
      <c r="E54" s="723" t="s">
        <v>286</v>
      </c>
      <c r="F54" s="723" t="s">
        <v>287</v>
      </c>
      <c r="G54" s="722">
        <v>2009</v>
      </c>
      <c r="H54" s="287"/>
      <c r="I54" s="65">
        <v>20</v>
      </c>
      <c r="J54" s="61" t="s">
        <v>213</v>
      </c>
      <c r="K54" s="62" t="s">
        <v>190</v>
      </c>
      <c r="L54" s="31"/>
      <c r="M54" s="34" t="str">
        <f t="shared" si="0"/>
        <v/>
      </c>
      <c r="N54" s="67"/>
      <c r="O54" s="67" t="str">
        <f t="shared" si="1"/>
        <v/>
      </c>
      <c r="P54" s="31"/>
      <c r="Q54" s="34" t="str">
        <f t="shared" si="2"/>
        <v/>
      </c>
      <c r="R54" s="67"/>
      <c r="S54" s="69" t="str">
        <f t="shared" si="3"/>
        <v/>
      </c>
      <c r="T54" s="56"/>
      <c r="U54" s="34" t="str">
        <f t="shared" si="4"/>
        <v/>
      </c>
      <c r="V54" s="67"/>
      <c r="W54" s="69" t="str">
        <f t="shared" si="5"/>
        <v/>
      </c>
      <c r="X54" s="31"/>
      <c r="Y54" s="34" t="str">
        <f t="shared" si="6"/>
        <v/>
      </c>
      <c r="Z54" s="67"/>
      <c r="AA54" s="69" t="str">
        <f t="shared" si="7"/>
        <v/>
      </c>
      <c r="AB54" s="31"/>
      <c r="AC54" s="34" t="str">
        <f t="shared" si="8"/>
        <v/>
      </c>
      <c r="AD54" s="67"/>
      <c r="AE54" s="69" t="str">
        <f t="shared" si="9"/>
        <v/>
      </c>
      <c r="AF54" s="31"/>
      <c r="AG54" s="34" t="str">
        <f t="shared" si="10"/>
        <v/>
      </c>
      <c r="AH54" s="67"/>
      <c r="AI54" s="69" t="str">
        <f t="shared" si="11"/>
        <v/>
      </c>
      <c r="AJ54" s="31"/>
      <c r="AK54" s="34" t="str">
        <f t="shared" si="12"/>
        <v/>
      </c>
      <c r="AL54" s="67"/>
      <c r="AM54" s="69" t="str">
        <f t="shared" si="13"/>
        <v/>
      </c>
      <c r="AN54" s="31"/>
      <c r="AO54" s="34" t="str">
        <f t="shared" si="14"/>
        <v/>
      </c>
      <c r="AP54" s="67"/>
      <c r="AQ54" s="69" t="str">
        <f t="shared" si="15"/>
        <v/>
      </c>
      <c r="AR54" s="31"/>
      <c r="AS54" s="34" t="str">
        <f t="shared" si="16"/>
        <v/>
      </c>
      <c r="AT54" s="67"/>
      <c r="AU54" s="69" t="str">
        <f t="shared" si="44"/>
        <v/>
      </c>
      <c r="AV54" s="31"/>
      <c r="AW54" s="34" t="str">
        <f t="shared" si="18"/>
        <v/>
      </c>
      <c r="AX54" s="67"/>
      <c r="AY54" s="69" t="str">
        <f t="shared" si="19"/>
        <v/>
      </c>
      <c r="AZ54" s="56"/>
      <c r="BA54" s="34" t="str">
        <f t="shared" si="20"/>
        <v/>
      </c>
      <c r="BB54" s="67"/>
      <c r="BC54" s="69" t="str">
        <f t="shared" si="21"/>
        <v/>
      </c>
      <c r="BD54" s="31"/>
      <c r="BE54" s="34" t="str">
        <f t="shared" si="22"/>
        <v/>
      </c>
      <c r="BF54" s="67"/>
      <c r="BG54" s="69" t="str">
        <f t="shared" si="23"/>
        <v/>
      </c>
      <c r="BH54" s="31"/>
      <c r="BI54" s="34" t="str">
        <f t="shared" si="24"/>
        <v/>
      </c>
      <c r="BJ54" s="67"/>
      <c r="BK54" s="69" t="str">
        <f t="shared" si="25"/>
        <v/>
      </c>
      <c r="BL54" s="31"/>
      <c r="BM54" s="34" t="str">
        <f t="shared" si="26"/>
        <v/>
      </c>
      <c r="BN54" s="67"/>
      <c r="BO54" s="69" t="str">
        <f t="shared" si="27"/>
        <v/>
      </c>
      <c r="BP54" s="31"/>
      <c r="BQ54" s="34" t="str">
        <f t="shared" si="28"/>
        <v/>
      </c>
      <c r="BR54" s="67"/>
      <c r="BS54" s="69" t="str">
        <f t="shared" si="29"/>
        <v/>
      </c>
      <c r="BT54" s="31"/>
      <c r="BU54" s="34" t="str">
        <f t="shared" si="30"/>
        <v/>
      </c>
      <c r="BV54" s="67"/>
      <c r="BW54" s="69" t="str">
        <f t="shared" si="31"/>
        <v/>
      </c>
      <c r="BX54" s="31"/>
      <c r="BY54" s="34" t="str">
        <f t="shared" si="32"/>
        <v/>
      </c>
      <c r="BZ54" s="67"/>
      <c r="CA54" s="69" t="str">
        <f t="shared" si="33"/>
        <v/>
      </c>
      <c r="CB54" s="31"/>
      <c r="CC54" s="34" t="str">
        <f t="shared" si="34"/>
        <v/>
      </c>
      <c r="CD54" s="67"/>
      <c r="CE54" s="69" t="str">
        <f t="shared" si="35"/>
        <v/>
      </c>
      <c r="CF54" s="31"/>
      <c r="CG54" s="34" t="str">
        <f t="shared" si="36"/>
        <v/>
      </c>
      <c r="CH54" s="67"/>
      <c r="CI54" s="69" t="str">
        <f t="shared" si="37"/>
        <v/>
      </c>
      <c r="CJ54" s="31"/>
      <c r="CK54" s="34" t="str">
        <f t="shared" si="38"/>
        <v/>
      </c>
      <c r="CL54" s="67"/>
      <c r="CM54" s="69" t="str">
        <f t="shared" si="39"/>
        <v/>
      </c>
      <c r="CN54" s="31"/>
      <c r="CO54" s="34" t="str">
        <f t="shared" si="40"/>
        <v/>
      </c>
      <c r="CP54" s="67"/>
      <c r="CQ54" s="69" t="str">
        <f t="shared" si="41"/>
        <v/>
      </c>
      <c r="CR54" s="21" t="s">
        <v>355</v>
      </c>
    </row>
    <row r="55" spans="1:96" ht="20" customHeight="1" x14ac:dyDescent="0.2">
      <c r="A55" s="678"/>
      <c r="B55" s="725"/>
      <c r="C55" s="722"/>
      <c r="D55" s="722" t="s">
        <v>85</v>
      </c>
      <c r="E55" s="723" t="s">
        <v>288</v>
      </c>
      <c r="F55" s="723" t="s">
        <v>289</v>
      </c>
      <c r="G55" s="722">
        <v>2006</v>
      </c>
      <c r="H55" s="287"/>
      <c r="I55" s="65">
        <v>10</v>
      </c>
      <c r="J55" s="61" t="s">
        <v>356</v>
      </c>
      <c r="K55" s="62" t="s">
        <v>168</v>
      </c>
      <c r="L55" s="31"/>
      <c r="M55" s="34" t="str">
        <f t="shared" si="0"/>
        <v/>
      </c>
      <c r="N55" s="67"/>
      <c r="O55" s="67" t="str">
        <f t="shared" si="1"/>
        <v/>
      </c>
      <c r="P55" s="31"/>
      <c r="Q55" s="34" t="str">
        <f t="shared" si="2"/>
        <v/>
      </c>
      <c r="R55" s="67"/>
      <c r="S55" s="69" t="str">
        <f t="shared" si="3"/>
        <v/>
      </c>
      <c r="T55" s="56"/>
      <c r="U55" s="34" t="str">
        <f t="shared" si="4"/>
        <v/>
      </c>
      <c r="V55" s="67"/>
      <c r="W55" s="69" t="str">
        <f t="shared" si="5"/>
        <v/>
      </c>
      <c r="X55" s="31"/>
      <c r="Y55" s="34" t="str">
        <f t="shared" si="6"/>
        <v/>
      </c>
      <c r="Z55" s="67"/>
      <c r="AA55" s="69" t="str">
        <f t="shared" si="7"/>
        <v/>
      </c>
      <c r="AB55" s="36"/>
      <c r="AC55" s="37" t="str">
        <f t="shared" si="8"/>
        <v/>
      </c>
      <c r="AD55" s="85"/>
      <c r="AE55" s="86" t="str">
        <f t="shared" si="9"/>
        <v/>
      </c>
      <c r="AF55" s="31"/>
      <c r="AG55" s="34" t="str">
        <f t="shared" si="10"/>
        <v/>
      </c>
      <c r="AH55" s="67"/>
      <c r="AI55" s="69" t="str">
        <f t="shared" si="11"/>
        <v/>
      </c>
      <c r="AJ55" s="31"/>
      <c r="AK55" s="34" t="str">
        <f t="shared" si="12"/>
        <v/>
      </c>
      <c r="AL55" s="67"/>
      <c r="AM55" s="69" t="str">
        <f t="shared" si="13"/>
        <v/>
      </c>
      <c r="AN55" s="31"/>
      <c r="AO55" s="34" t="str">
        <f t="shared" si="14"/>
        <v/>
      </c>
      <c r="AP55" s="67"/>
      <c r="AQ55" s="69" t="str">
        <f t="shared" si="15"/>
        <v/>
      </c>
      <c r="AR55" s="31"/>
      <c r="AS55" s="34" t="str">
        <f t="shared" si="16"/>
        <v/>
      </c>
      <c r="AT55" s="67"/>
      <c r="AU55" s="69" t="str">
        <f t="shared" si="44"/>
        <v/>
      </c>
      <c r="AV55" s="31"/>
      <c r="AW55" s="34" t="str">
        <f t="shared" si="18"/>
        <v/>
      </c>
      <c r="AX55" s="67"/>
      <c r="AY55" s="69" t="str">
        <f t="shared" si="19"/>
        <v/>
      </c>
      <c r="AZ55" s="56"/>
      <c r="BA55" s="34" t="str">
        <f t="shared" si="20"/>
        <v/>
      </c>
      <c r="BB55" s="67"/>
      <c r="BC55" s="69" t="str">
        <f t="shared" si="21"/>
        <v/>
      </c>
      <c r="BD55" s="31"/>
      <c r="BE55" s="34" t="str">
        <f t="shared" si="22"/>
        <v/>
      </c>
      <c r="BF55" s="67"/>
      <c r="BG55" s="69" t="str">
        <f t="shared" si="23"/>
        <v/>
      </c>
      <c r="BH55" s="31"/>
      <c r="BI55" s="34" t="str">
        <f t="shared" si="24"/>
        <v/>
      </c>
      <c r="BJ55" s="67"/>
      <c r="BK55" s="69" t="str">
        <f t="shared" si="25"/>
        <v/>
      </c>
      <c r="BL55" s="31"/>
      <c r="BM55" s="34" t="str">
        <f t="shared" si="26"/>
        <v/>
      </c>
      <c r="BN55" s="67"/>
      <c r="BO55" s="69" t="str">
        <f t="shared" si="27"/>
        <v/>
      </c>
      <c r="BP55" s="31"/>
      <c r="BQ55" s="34" t="str">
        <f t="shared" si="28"/>
        <v/>
      </c>
      <c r="BR55" s="67"/>
      <c r="BS55" s="69" t="str">
        <f t="shared" si="29"/>
        <v/>
      </c>
      <c r="BT55" s="31"/>
      <c r="BU55" s="34" t="str">
        <f t="shared" si="30"/>
        <v/>
      </c>
      <c r="BV55" s="67"/>
      <c r="BW55" s="69" t="str">
        <f t="shared" si="31"/>
        <v/>
      </c>
      <c r="BX55" s="31"/>
      <c r="BY55" s="34" t="str">
        <f t="shared" si="32"/>
        <v/>
      </c>
      <c r="BZ55" s="67"/>
      <c r="CA55" s="69" t="str">
        <f t="shared" si="33"/>
        <v/>
      </c>
      <c r="CB55" s="31"/>
      <c r="CC55" s="34" t="str">
        <f t="shared" si="34"/>
        <v/>
      </c>
      <c r="CD55" s="67"/>
      <c r="CE55" s="69" t="str">
        <f t="shared" si="35"/>
        <v/>
      </c>
      <c r="CF55" s="31"/>
      <c r="CG55" s="34" t="str">
        <f t="shared" si="36"/>
        <v/>
      </c>
      <c r="CH55" s="67"/>
      <c r="CI55" s="69" t="str">
        <f t="shared" si="37"/>
        <v/>
      </c>
      <c r="CJ55" s="31"/>
      <c r="CK55" s="34" t="str">
        <f t="shared" si="38"/>
        <v/>
      </c>
      <c r="CL55" s="67"/>
      <c r="CM55" s="69" t="str">
        <f t="shared" si="39"/>
        <v/>
      </c>
      <c r="CN55" s="31"/>
      <c r="CO55" s="34" t="str">
        <f t="shared" si="40"/>
        <v/>
      </c>
      <c r="CP55" s="67"/>
      <c r="CQ55" s="69" t="str">
        <f t="shared" si="41"/>
        <v/>
      </c>
      <c r="CR55" s="21" t="s">
        <v>357</v>
      </c>
    </row>
    <row r="56" spans="1:96" ht="20" customHeight="1" x14ac:dyDescent="0.2">
      <c r="A56" s="726"/>
      <c r="B56" s="725"/>
      <c r="C56" s="253"/>
      <c r="D56" s="722" t="s">
        <v>85</v>
      </c>
      <c r="E56" s="723" t="s">
        <v>531</v>
      </c>
      <c r="F56" s="723" t="s">
        <v>532</v>
      </c>
      <c r="G56" s="722">
        <v>2010</v>
      </c>
      <c r="H56" s="287"/>
      <c r="I56" s="701">
        <v>8</v>
      </c>
      <c r="J56" s="232" t="s">
        <v>213</v>
      </c>
      <c r="K56" s="250" t="s">
        <v>168</v>
      </c>
      <c r="L56" s="31"/>
      <c r="M56" s="34"/>
      <c r="N56" s="67"/>
      <c r="O56" s="67"/>
      <c r="P56" s="31"/>
      <c r="Q56" s="34"/>
      <c r="R56" s="67"/>
      <c r="S56" s="69"/>
      <c r="T56" s="56"/>
      <c r="U56" s="34"/>
      <c r="V56" s="67"/>
      <c r="W56" s="69"/>
      <c r="X56" s="31"/>
      <c r="Y56" s="34"/>
      <c r="Z56" s="67"/>
      <c r="AA56" s="69"/>
      <c r="AB56" s="31"/>
      <c r="AC56" s="34"/>
      <c r="AD56" s="67"/>
      <c r="AE56" s="69"/>
      <c r="AF56" s="31"/>
      <c r="AG56" s="34"/>
      <c r="AH56" s="67"/>
      <c r="AI56" s="69"/>
      <c r="AJ56" s="31"/>
      <c r="AK56" s="34"/>
      <c r="AL56" s="67"/>
      <c r="AM56" s="69"/>
      <c r="AN56" s="31"/>
      <c r="AO56" s="34"/>
      <c r="AP56" s="67"/>
      <c r="AQ56" s="69"/>
      <c r="AR56" s="31"/>
      <c r="AS56" s="34"/>
      <c r="AT56" s="67"/>
      <c r="AU56" s="69"/>
      <c r="AV56" s="31"/>
      <c r="AW56" s="34"/>
      <c r="AX56" s="67"/>
      <c r="AY56" s="69"/>
      <c r="AZ56" s="56"/>
      <c r="BA56" s="34"/>
      <c r="BB56" s="67"/>
      <c r="BC56" s="69"/>
      <c r="BD56" s="31"/>
      <c r="BE56" s="34"/>
      <c r="BF56" s="67"/>
      <c r="BG56" s="69"/>
      <c r="BH56" s="31"/>
      <c r="BI56" s="34"/>
      <c r="BJ56" s="67"/>
      <c r="BK56" s="69"/>
      <c r="BL56" s="31"/>
      <c r="BM56" s="34"/>
      <c r="BN56" s="67"/>
      <c r="BO56" s="69"/>
      <c r="BP56" s="31"/>
      <c r="BQ56" s="34"/>
      <c r="BR56" s="67"/>
      <c r="BS56" s="69"/>
      <c r="BT56" s="31"/>
      <c r="BU56" s="34"/>
      <c r="BV56" s="67"/>
      <c r="BW56" s="69"/>
      <c r="BX56" s="31"/>
      <c r="BY56" s="34"/>
      <c r="BZ56" s="67"/>
      <c r="CA56" s="69"/>
      <c r="CB56" s="31"/>
      <c r="CC56" s="34"/>
      <c r="CD56" s="67"/>
      <c r="CE56" s="69"/>
      <c r="CF56" s="31"/>
      <c r="CG56" s="34"/>
      <c r="CH56" s="67"/>
      <c r="CI56" s="69"/>
      <c r="CJ56" s="31"/>
      <c r="CK56" s="34"/>
      <c r="CL56" s="67"/>
      <c r="CM56" s="69"/>
      <c r="CN56" s="31"/>
      <c r="CO56" s="34"/>
      <c r="CP56" s="67"/>
      <c r="CQ56" s="69"/>
    </row>
    <row r="57" spans="1:96" ht="20" customHeight="1" x14ac:dyDescent="0.2">
      <c r="A57" s="678"/>
      <c r="B57" s="721"/>
      <c r="C57" s="722"/>
      <c r="D57" s="722" t="s">
        <v>85</v>
      </c>
      <c r="E57" s="723" t="s">
        <v>292</v>
      </c>
      <c r="F57" s="723" t="s">
        <v>293</v>
      </c>
      <c r="G57" s="722">
        <v>2016</v>
      </c>
      <c r="H57" s="287"/>
      <c r="I57" s="65">
        <v>25</v>
      </c>
      <c r="J57" s="61" t="s">
        <v>213</v>
      </c>
      <c r="K57" s="62" t="s">
        <v>191</v>
      </c>
      <c r="L57" s="31"/>
      <c r="M57" s="34" t="str">
        <f t="shared" si="0"/>
        <v/>
      </c>
      <c r="N57" s="67"/>
      <c r="O57" s="67" t="str">
        <f t="shared" si="1"/>
        <v/>
      </c>
      <c r="P57" s="31"/>
      <c r="Q57" s="34" t="str">
        <f t="shared" si="2"/>
        <v/>
      </c>
      <c r="R57" s="67"/>
      <c r="S57" s="69" t="str">
        <f t="shared" si="3"/>
        <v/>
      </c>
      <c r="T57" s="56"/>
      <c r="U57" s="34" t="str">
        <f t="shared" si="4"/>
        <v/>
      </c>
      <c r="V57" s="67"/>
      <c r="W57" s="69" t="str">
        <f t="shared" si="5"/>
        <v/>
      </c>
      <c r="X57" s="31"/>
      <c r="Y57" s="34" t="str">
        <f t="shared" si="6"/>
        <v/>
      </c>
      <c r="Z57" s="67"/>
      <c r="AA57" s="69" t="str">
        <f t="shared" si="7"/>
        <v/>
      </c>
      <c r="AB57" s="31"/>
      <c r="AC57" s="34" t="str">
        <f t="shared" si="8"/>
        <v/>
      </c>
      <c r="AD57" s="67"/>
      <c r="AE57" s="69" t="str">
        <f t="shared" si="9"/>
        <v/>
      </c>
      <c r="AF57" s="31"/>
      <c r="AG57" s="34" t="str">
        <f t="shared" si="10"/>
        <v/>
      </c>
      <c r="AH57" s="67"/>
      <c r="AI57" s="69" t="str">
        <f t="shared" si="11"/>
        <v/>
      </c>
      <c r="AJ57" s="31"/>
      <c r="AK57" s="34" t="str">
        <f t="shared" si="12"/>
        <v/>
      </c>
      <c r="AL57" s="67"/>
      <c r="AM57" s="69" t="str">
        <f t="shared" si="13"/>
        <v/>
      </c>
      <c r="AN57" s="31"/>
      <c r="AO57" s="34" t="str">
        <f t="shared" si="14"/>
        <v/>
      </c>
      <c r="AP57" s="67"/>
      <c r="AQ57" s="69" t="str">
        <f t="shared" si="15"/>
        <v/>
      </c>
      <c r="AR57" s="31"/>
      <c r="AS57" s="34" t="str">
        <f t="shared" si="16"/>
        <v/>
      </c>
      <c r="AT57" s="67"/>
      <c r="AU57" s="69" t="str">
        <f t="shared" si="44"/>
        <v/>
      </c>
      <c r="AV57" s="31"/>
      <c r="AW57" s="34" t="str">
        <f t="shared" si="18"/>
        <v/>
      </c>
      <c r="AX57" s="67"/>
      <c r="AY57" s="69" t="str">
        <f t="shared" si="19"/>
        <v/>
      </c>
      <c r="AZ57" s="56"/>
      <c r="BA57" s="34" t="str">
        <f t="shared" si="20"/>
        <v/>
      </c>
      <c r="BB57" s="67"/>
      <c r="BC57" s="69" t="str">
        <f t="shared" si="21"/>
        <v/>
      </c>
      <c r="BD57" s="31"/>
      <c r="BE57" s="34" t="str">
        <f t="shared" si="22"/>
        <v/>
      </c>
      <c r="BF57" s="67"/>
      <c r="BG57" s="69" t="str">
        <f t="shared" si="23"/>
        <v/>
      </c>
      <c r="BH57" s="31"/>
      <c r="BI57" s="34" t="str">
        <f t="shared" si="24"/>
        <v/>
      </c>
      <c r="BJ57" s="67"/>
      <c r="BK57" s="69" t="str">
        <f t="shared" si="25"/>
        <v/>
      </c>
      <c r="BL57" s="31"/>
      <c r="BM57" s="34" t="str">
        <f t="shared" si="26"/>
        <v/>
      </c>
      <c r="BN57" s="67"/>
      <c r="BO57" s="69" t="str">
        <f t="shared" si="27"/>
        <v/>
      </c>
      <c r="BP57" s="31"/>
      <c r="BQ57" s="34" t="str">
        <f t="shared" si="28"/>
        <v/>
      </c>
      <c r="BR57" s="67"/>
      <c r="BS57" s="69" t="str">
        <f t="shared" si="29"/>
        <v/>
      </c>
      <c r="BT57" s="31"/>
      <c r="BU57" s="34" t="str">
        <f t="shared" si="30"/>
        <v/>
      </c>
      <c r="BV57" s="67"/>
      <c r="BW57" s="69" t="str">
        <f t="shared" si="31"/>
        <v/>
      </c>
      <c r="BX57" s="31"/>
      <c r="BY57" s="34" t="str">
        <f t="shared" si="32"/>
        <v/>
      </c>
      <c r="BZ57" s="67"/>
      <c r="CA57" s="69" t="str">
        <f t="shared" si="33"/>
        <v/>
      </c>
      <c r="CB57" s="31"/>
      <c r="CC57" s="34" t="str">
        <f t="shared" si="34"/>
        <v/>
      </c>
      <c r="CD57" s="67"/>
      <c r="CE57" s="69" t="str">
        <f t="shared" si="35"/>
        <v/>
      </c>
      <c r="CF57" s="31"/>
      <c r="CG57" s="34" t="str">
        <f t="shared" si="36"/>
        <v/>
      </c>
      <c r="CH57" s="67"/>
      <c r="CI57" s="69" t="str">
        <f t="shared" si="37"/>
        <v/>
      </c>
      <c r="CJ57" s="31"/>
      <c r="CK57" s="34" t="str">
        <f t="shared" si="38"/>
        <v/>
      </c>
      <c r="CL57" s="67"/>
      <c r="CM57" s="69" t="str">
        <f t="shared" si="39"/>
        <v/>
      </c>
      <c r="CN57" s="31"/>
      <c r="CO57" s="34" t="str">
        <f t="shared" si="40"/>
        <v/>
      </c>
      <c r="CP57" s="67"/>
      <c r="CQ57" s="69" t="str">
        <f t="shared" si="41"/>
        <v/>
      </c>
    </row>
    <row r="58" spans="1:96" ht="20" customHeight="1" x14ac:dyDescent="0.2">
      <c r="A58" s="726"/>
      <c r="B58" s="721"/>
      <c r="C58" s="723"/>
      <c r="D58" s="722" t="s">
        <v>85</v>
      </c>
      <c r="E58" s="723" t="s">
        <v>650</v>
      </c>
      <c r="F58" s="723" t="s">
        <v>651</v>
      </c>
      <c r="G58" s="722">
        <v>2003</v>
      </c>
      <c r="H58" s="287"/>
      <c r="I58" s="701"/>
      <c r="J58" s="232" t="s">
        <v>210</v>
      </c>
      <c r="K58" s="250" t="s">
        <v>209</v>
      </c>
      <c r="L58" s="31"/>
      <c r="M58" s="34"/>
      <c r="N58" s="67"/>
      <c r="O58" s="67"/>
      <c r="P58" s="31"/>
      <c r="Q58" s="34"/>
      <c r="R58" s="67"/>
      <c r="S58" s="69"/>
      <c r="T58" s="56"/>
      <c r="U58" s="34"/>
      <c r="V58" s="67"/>
      <c r="W58" s="69"/>
      <c r="X58" s="31"/>
      <c r="Y58" s="34"/>
      <c r="Z58" s="67"/>
      <c r="AA58" s="69"/>
      <c r="AB58" s="31"/>
      <c r="AC58" s="34"/>
      <c r="AD58" s="67"/>
      <c r="AE58" s="69"/>
      <c r="AF58" s="31"/>
      <c r="AG58" s="34"/>
      <c r="AH58" s="67"/>
      <c r="AI58" s="69"/>
      <c r="AJ58" s="31"/>
      <c r="AK58" s="34"/>
      <c r="AL58" s="67"/>
      <c r="AM58" s="69"/>
      <c r="AN58" s="31"/>
      <c r="AO58" s="34"/>
      <c r="AP58" s="67"/>
      <c r="AQ58" s="69"/>
      <c r="AR58" s="31"/>
      <c r="AS58" s="34"/>
      <c r="AT58" s="67"/>
      <c r="AU58" s="69"/>
      <c r="AV58" s="31"/>
      <c r="AW58" s="34"/>
      <c r="AX58" s="67"/>
      <c r="AY58" s="69"/>
      <c r="AZ58" s="56"/>
      <c r="BA58" s="34"/>
      <c r="BB58" s="67"/>
      <c r="BC58" s="69"/>
      <c r="BD58" s="31"/>
      <c r="BE58" s="34"/>
      <c r="BF58" s="67"/>
      <c r="BG58" s="69"/>
      <c r="BH58" s="31"/>
      <c r="BI58" s="34"/>
      <c r="BJ58" s="67"/>
      <c r="BK58" s="69"/>
      <c r="BL58" s="31"/>
      <c r="BM58" s="34"/>
      <c r="BN58" s="67"/>
      <c r="BO58" s="69"/>
      <c r="BP58" s="31"/>
      <c r="BQ58" s="34"/>
      <c r="BR58" s="67"/>
      <c r="BS58" s="69"/>
      <c r="BT58" s="31"/>
      <c r="BU58" s="34"/>
      <c r="BV58" s="67"/>
      <c r="BW58" s="69"/>
      <c r="BX58" s="31"/>
      <c r="BY58" s="34"/>
      <c r="BZ58" s="67"/>
      <c r="CA58" s="69"/>
      <c r="CB58" s="31"/>
      <c r="CC58" s="34"/>
      <c r="CD58" s="67"/>
      <c r="CE58" s="69"/>
      <c r="CF58" s="31"/>
      <c r="CG58" s="34"/>
      <c r="CH58" s="67"/>
      <c r="CI58" s="69"/>
      <c r="CJ58" s="31"/>
      <c r="CK58" s="34"/>
      <c r="CL58" s="67"/>
      <c r="CM58" s="69"/>
      <c r="CN58" s="31"/>
      <c r="CO58" s="34"/>
      <c r="CP58" s="67"/>
      <c r="CQ58" s="69"/>
    </row>
    <row r="59" spans="1:96" ht="20" customHeight="1" x14ac:dyDescent="0.2">
      <c r="A59" s="678"/>
      <c r="B59" s="725"/>
      <c r="C59" s="255"/>
      <c r="D59" s="722" t="s">
        <v>85</v>
      </c>
      <c r="E59" s="723" t="s">
        <v>99</v>
      </c>
      <c r="F59" s="723" t="s">
        <v>100</v>
      </c>
      <c r="G59" s="722">
        <v>2002</v>
      </c>
      <c r="H59" s="287">
        <v>103</v>
      </c>
      <c r="I59" s="65">
        <v>8</v>
      </c>
      <c r="J59" s="61"/>
      <c r="K59" s="62"/>
      <c r="L59" s="31"/>
      <c r="M59" s="34" t="str">
        <f t="shared" si="0"/>
        <v/>
      </c>
      <c r="N59" s="67"/>
      <c r="O59" s="67" t="str">
        <f t="shared" si="1"/>
        <v/>
      </c>
      <c r="P59" s="31"/>
      <c r="Q59" s="34" t="str">
        <f t="shared" si="2"/>
        <v/>
      </c>
      <c r="R59" s="67"/>
      <c r="S59" s="69" t="str">
        <f t="shared" si="3"/>
        <v/>
      </c>
      <c r="T59" s="56">
        <v>2</v>
      </c>
      <c r="U59" s="34">
        <f t="shared" si="4"/>
        <v>25</v>
      </c>
      <c r="V59" s="67"/>
      <c r="W59" s="69" t="str">
        <f t="shared" si="5"/>
        <v/>
      </c>
      <c r="X59" s="31"/>
      <c r="Y59" s="34" t="str">
        <f t="shared" si="6"/>
        <v/>
      </c>
      <c r="Z59" s="67"/>
      <c r="AA59" s="69" t="str">
        <f t="shared" si="7"/>
        <v/>
      </c>
      <c r="AB59" s="31"/>
      <c r="AC59" s="34" t="str">
        <f t="shared" si="8"/>
        <v/>
      </c>
      <c r="AD59" s="67"/>
      <c r="AE59" s="69" t="str">
        <f t="shared" si="9"/>
        <v/>
      </c>
      <c r="AF59" s="31"/>
      <c r="AG59" s="34" t="str">
        <f t="shared" si="10"/>
        <v/>
      </c>
      <c r="AH59" s="67"/>
      <c r="AI59" s="69" t="str">
        <f t="shared" si="11"/>
        <v/>
      </c>
      <c r="AJ59" s="31"/>
      <c r="AK59" s="34" t="str">
        <f t="shared" si="12"/>
        <v/>
      </c>
      <c r="AL59" s="67"/>
      <c r="AM59" s="69" t="str">
        <f t="shared" si="13"/>
        <v/>
      </c>
      <c r="AN59" s="31"/>
      <c r="AO59" s="34" t="str">
        <f t="shared" si="14"/>
        <v/>
      </c>
      <c r="AP59" s="67"/>
      <c r="AQ59" s="69" t="str">
        <f t="shared" si="15"/>
        <v/>
      </c>
      <c r="AR59" s="31"/>
      <c r="AS59" s="34" t="str">
        <f t="shared" si="16"/>
        <v/>
      </c>
      <c r="AT59" s="67"/>
      <c r="AU59" s="69" t="str">
        <f t="shared" si="44"/>
        <v/>
      </c>
      <c r="AV59" s="31"/>
      <c r="AW59" s="34" t="str">
        <f t="shared" si="18"/>
        <v/>
      </c>
      <c r="AX59" s="67"/>
      <c r="AY59" s="69" t="str">
        <f t="shared" si="19"/>
        <v/>
      </c>
      <c r="AZ59" s="56"/>
      <c r="BA59" s="34" t="str">
        <f t="shared" si="20"/>
        <v/>
      </c>
      <c r="BB59" s="67"/>
      <c r="BC59" s="69" t="str">
        <f t="shared" si="21"/>
        <v/>
      </c>
      <c r="BD59" s="31"/>
      <c r="BE59" s="34" t="str">
        <f t="shared" si="22"/>
        <v/>
      </c>
      <c r="BF59" s="67"/>
      <c r="BG59" s="69" t="str">
        <f t="shared" si="23"/>
        <v/>
      </c>
      <c r="BH59" s="31"/>
      <c r="BI59" s="34" t="str">
        <f t="shared" si="24"/>
        <v/>
      </c>
      <c r="BJ59" s="67"/>
      <c r="BK59" s="69" t="str">
        <f t="shared" si="25"/>
        <v/>
      </c>
      <c r="BL59" s="31"/>
      <c r="BM59" s="34" t="str">
        <f t="shared" si="26"/>
        <v/>
      </c>
      <c r="BN59" s="67"/>
      <c r="BO59" s="69" t="str">
        <f t="shared" si="27"/>
        <v/>
      </c>
      <c r="BP59" s="31"/>
      <c r="BQ59" s="34" t="str">
        <f t="shared" si="28"/>
        <v/>
      </c>
      <c r="BR59" s="67"/>
      <c r="BS59" s="69" t="str">
        <f t="shared" si="29"/>
        <v/>
      </c>
      <c r="BT59" s="31"/>
      <c r="BU59" s="34" t="str">
        <f t="shared" si="30"/>
        <v/>
      </c>
      <c r="BV59" s="67"/>
      <c r="BW59" s="69" t="str">
        <f t="shared" si="31"/>
        <v/>
      </c>
      <c r="BX59" s="31"/>
      <c r="BY59" s="34" t="str">
        <f t="shared" si="32"/>
        <v/>
      </c>
      <c r="BZ59" s="67"/>
      <c r="CA59" s="69" t="str">
        <f t="shared" si="33"/>
        <v/>
      </c>
      <c r="CB59" s="31"/>
      <c r="CC59" s="34" t="str">
        <f t="shared" si="34"/>
        <v/>
      </c>
      <c r="CD59" s="67"/>
      <c r="CE59" s="69" t="str">
        <f t="shared" si="35"/>
        <v/>
      </c>
      <c r="CF59" s="31"/>
      <c r="CG59" s="34" t="str">
        <f t="shared" si="36"/>
        <v/>
      </c>
      <c r="CH59" s="67"/>
      <c r="CI59" s="69" t="str">
        <f t="shared" si="37"/>
        <v/>
      </c>
      <c r="CJ59" s="31"/>
      <c r="CK59" s="34" t="str">
        <f t="shared" si="38"/>
        <v/>
      </c>
      <c r="CL59" s="67"/>
      <c r="CM59" s="69" t="str">
        <f t="shared" si="39"/>
        <v/>
      </c>
      <c r="CN59" s="31"/>
      <c r="CO59" s="34" t="str">
        <f t="shared" si="40"/>
        <v/>
      </c>
      <c r="CP59" s="67"/>
      <c r="CQ59" s="69" t="str">
        <f t="shared" si="41"/>
        <v/>
      </c>
      <c r="CR59" s="21" t="s">
        <v>200</v>
      </c>
    </row>
    <row r="60" spans="1:96" ht="20" customHeight="1" x14ac:dyDescent="0.2">
      <c r="A60" s="680"/>
      <c r="B60" s="721"/>
      <c r="C60" s="722"/>
      <c r="D60" s="722" t="s">
        <v>85</v>
      </c>
      <c r="E60" s="723" t="s">
        <v>652</v>
      </c>
      <c r="F60" s="723" t="s">
        <v>653</v>
      </c>
      <c r="G60" s="722">
        <v>1991</v>
      </c>
      <c r="H60" s="287"/>
      <c r="I60" s="65">
        <v>13</v>
      </c>
      <c r="J60" s="61" t="s">
        <v>655</v>
      </c>
      <c r="K60" s="62" t="s">
        <v>191</v>
      </c>
      <c r="L60" s="31"/>
      <c r="M60" s="34"/>
      <c r="N60" s="67"/>
      <c r="O60" s="67"/>
      <c r="P60" s="31"/>
      <c r="Q60" s="34"/>
      <c r="R60" s="67"/>
      <c r="S60" s="69"/>
      <c r="T60" s="56"/>
      <c r="U60" s="34"/>
      <c r="V60" s="67"/>
      <c r="W60" s="69"/>
      <c r="X60" s="31"/>
      <c r="Y60" s="34"/>
      <c r="Z60" s="67"/>
      <c r="AA60" s="69"/>
      <c r="AB60" s="31"/>
      <c r="AC60" s="34"/>
      <c r="AD60" s="67"/>
      <c r="AE60" s="69"/>
      <c r="AF60" s="31"/>
      <c r="AG60" s="34"/>
      <c r="AH60" s="67"/>
      <c r="AI60" s="69"/>
      <c r="AJ60" s="31"/>
      <c r="AK60" s="34"/>
      <c r="AL60" s="67"/>
      <c r="AM60" s="69"/>
      <c r="AN60" s="31"/>
      <c r="AO60" s="34"/>
      <c r="AP60" s="67"/>
      <c r="AQ60" s="69"/>
      <c r="AR60" s="31"/>
      <c r="AS60" s="34"/>
      <c r="AT60" s="67"/>
      <c r="AU60" s="69"/>
      <c r="AV60" s="31"/>
      <c r="AW60" s="34"/>
      <c r="AX60" s="67"/>
      <c r="AY60" s="69"/>
      <c r="AZ60" s="56"/>
      <c r="BA60" s="34"/>
      <c r="BB60" s="67"/>
      <c r="BC60" s="69"/>
      <c r="BD60" s="31"/>
      <c r="BE60" s="34"/>
      <c r="BF60" s="67"/>
      <c r="BG60" s="69"/>
      <c r="BH60" s="31"/>
      <c r="BI60" s="34"/>
      <c r="BJ60" s="67"/>
      <c r="BK60" s="69"/>
      <c r="BL60" s="31"/>
      <c r="BM60" s="34"/>
      <c r="BN60" s="67"/>
      <c r="BO60" s="69"/>
      <c r="BP60" s="31"/>
      <c r="BQ60" s="34"/>
      <c r="BR60" s="67"/>
      <c r="BS60" s="69"/>
      <c r="BT60" s="31"/>
      <c r="BU60" s="34"/>
      <c r="BV60" s="67"/>
      <c r="BW60" s="69"/>
      <c r="BX60" s="31"/>
      <c r="BY60" s="34"/>
      <c r="BZ60" s="67"/>
      <c r="CA60" s="69"/>
      <c r="CB60" s="31"/>
      <c r="CC60" s="34"/>
      <c r="CD60" s="67"/>
      <c r="CE60" s="69"/>
      <c r="CF60" s="31"/>
      <c r="CG60" s="34"/>
      <c r="CH60" s="67"/>
      <c r="CI60" s="69"/>
      <c r="CJ60" s="31"/>
      <c r="CK60" s="34"/>
      <c r="CL60" s="67"/>
      <c r="CM60" s="69"/>
      <c r="CN60" s="31"/>
      <c r="CO60" s="34"/>
      <c r="CP60" s="67"/>
      <c r="CQ60" s="69"/>
    </row>
    <row r="61" spans="1:96" ht="20" customHeight="1" x14ac:dyDescent="0.2">
      <c r="A61" s="680"/>
      <c r="B61" s="725"/>
      <c r="C61" s="253"/>
      <c r="D61" s="722" t="s">
        <v>85</v>
      </c>
      <c r="E61" s="723" t="s">
        <v>533</v>
      </c>
      <c r="F61" s="723" t="s">
        <v>654</v>
      </c>
      <c r="G61" s="722">
        <v>1998</v>
      </c>
      <c r="H61" s="287"/>
      <c r="I61" s="65">
        <v>9</v>
      </c>
      <c r="J61" s="61" t="s">
        <v>535</v>
      </c>
      <c r="K61" s="62" t="s">
        <v>168</v>
      </c>
      <c r="L61" s="31"/>
      <c r="M61" s="34"/>
      <c r="N61" s="67"/>
      <c r="O61" s="67"/>
      <c r="P61" s="31"/>
      <c r="Q61" s="34"/>
      <c r="R61" s="67"/>
      <c r="S61" s="69"/>
      <c r="T61" s="56"/>
      <c r="U61" s="34"/>
      <c r="V61" s="67"/>
      <c r="W61" s="69"/>
      <c r="X61" s="31"/>
      <c r="Y61" s="34"/>
      <c r="Z61" s="67"/>
      <c r="AA61" s="69"/>
      <c r="AB61" s="31"/>
      <c r="AC61" s="34"/>
      <c r="AD61" s="67"/>
      <c r="AE61" s="69"/>
      <c r="AF61" s="31"/>
      <c r="AG61" s="34"/>
      <c r="AH61" s="67"/>
      <c r="AI61" s="69"/>
      <c r="AJ61" s="31"/>
      <c r="AK61" s="34"/>
      <c r="AL61" s="67"/>
      <c r="AM61" s="69"/>
      <c r="AN61" s="31"/>
      <c r="AO61" s="34"/>
      <c r="AP61" s="67"/>
      <c r="AQ61" s="69"/>
      <c r="AR61" s="31"/>
      <c r="AS61" s="34"/>
      <c r="AT61" s="67"/>
      <c r="AU61" s="69"/>
      <c r="AV61" s="31"/>
      <c r="AW61" s="34"/>
      <c r="AX61" s="67"/>
      <c r="AY61" s="69"/>
      <c r="AZ61" s="56"/>
      <c r="BA61" s="34"/>
      <c r="BB61" s="67"/>
      <c r="BC61" s="69"/>
      <c r="BD61" s="31"/>
      <c r="BE61" s="34"/>
      <c r="BF61" s="67"/>
      <c r="BG61" s="69"/>
      <c r="BH61" s="31"/>
      <c r="BI61" s="34"/>
      <c r="BJ61" s="67"/>
      <c r="BK61" s="69"/>
      <c r="BL61" s="31"/>
      <c r="BM61" s="34"/>
      <c r="BN61" s="67"/>
      <c r="BO61" s="69"/>
      <c r="BP61" s="31"/>
      <c r="BQ61" s="34"/>
      <c r="BR61" s="67"/>
      <c r="BS61" s="69"/>
      <c r="BT61" s="31"/>
      <c r="BU61" s="34"/>
      <c r="BV61" s="67"/>
      <c r="BW61" s="69"/>
      <c r="BX61" s="31"/>
      <c r="BY61" s="34"/>
      <c r="BZ61" s="67"/>
      <c r="CA61" s="69"/>
      <c r="CB61" s="31"/>
      <c r="CC61" s="34"/>
      <c r="CD61" s="67"/>
      <c r="CE61" s="69"/>
      <c r="CF61" s="31"/>
      <c r="CG61" s="34"/>
      <c r="CH61" s="67"/>
      <c r="CI61" s="69"/>
      <c r="CJ61" s="31"/>
      <c r="CK61" s="34"/>
      <c r="CL61" s="67"/>
      <c r="CM61" s="69"/>
      <c r="CN61" s="31"/>
      <c r="CO61" s="34"/>
      <c r="CP61" s="67"/>
      <c r="CQ61" s="69"/>
    </row>
    <row r="62" spans="1:96" ht="20" customHeight="1" x14ac:dyDescent="0.2">
      <c r="A62" s="726"/>
      <c r="B62" s="721"/>
      <c r="C62" s="723"/>
      <c r="D62" s="722" t="s">
        <v>85</v>
      </c>
      <c r="E62" s="723" t="s">
        <v>656</v>
      </c>
      <c r="F62" s="723" t="s">
        <v>657</v>
      </c>
      <c r="G62" s="722">
        <v>2007</v>
      </c>
      <c r="H62" s="757"/>
      <c r="I62" s="701"/>
      <c r="J62" s="232" t="s">
        <v>213</v>
      </c>
      <c r="K62" s="250" t="s">
        <v>168</v>
      </c>
      <c r="L62" s="31"/>
      <c r="M62" s="34"/>
      <c r="N62" s="67"/>
      <c r="O62" s="67"/>
      <c r="P62" s="31"/>
      <c r="Q62" s="34"/>
      <c r="R62" s="67"/>
      <c r="S62" s="69"/>
      <c r="T62" s="56"/>
      <c r="U62" s="34"/>
      <c r="V62" s="67"/>
      <c r="W62" s="69"/>
      <c r="X62" s="31"/>
      <c r="Y62" s="34"/>
      <c r="Z62" s="67"/>
      <c r="AA62" s="69"/>
      <c r="AB62" s="31"/>
      <c r="AC62" s="34"/>
      <c r="AD62" s="67"/>
      <c r="AE62" s="69"/>
      <c r="AF62" s="31"/>
      <c r="AG62" s="34"/>
      <c r="AH62" s="67"/>
      <c r="AI62" s="69"/>
      <c r="AJ62" s="31"/>
      <c r="AK62" s="34"/>
      <c r="AL62" s="67"/>
      <c r="AM62" s="69"/>
      <c r="AN62" s="31"/>
      <c r="AO62" s="34"/>
      <c r="AP62" s="67"/>
      <c r="AQ62" s="69"/>
      <c r="AR62" s="31"/>
      <c r="AS62" s="34"/>
      <c r="AT62" s="67"/>
      <c r="AU62" s="69"/>
      <c r="AV62" s="31"/>
      <c r="AW62" s="34"/>
      <c r="AX62" s="67"/>
      <c r="AY62" s="69"/>
      <c r="AZ62" s="56"/>
      <c r="BA62" s="34"/>
      <c r="BB62" s="67"/>
      <c r="BC62" s="69"/>
      <c r="BD62" s="31"/>
      <c r="BE62" s="34"/>
      <c r="BF62" s="67"/>
      <c r="BG62" s="69"/>
      <c r="BH62" s="31"/>
      <c r="BI62" s="34"/>
      <c r="BJ62" s="67"/>
      <c r="BK62" s="69"/>
      <c r="BL62" s="31"/>
      <c r="BM62" s="34"/>
      <c r="BN62" s="67"/>
      <c r="BO62" s="69"/>
      <c r="BP62" s="31"/>
      <c r="BQ62" s="34"/>
      <c r="BR62" s="67"/>
      <c r="BS62" s="69"/>
      <c r="BT62" s="31"/>
      <c r="BU62" s="34"/>
      <c r="BV62" s="67"/>
      <c r="BW62" s="69"/>
      <c r="BX62" s="31"/>
      <c r="BY62" s="34"/>
      <c r="BZ62" s="67"/>
      <c r="CA62" s="69"/>
      <c r="CB62" s="31"/>
      <c r="CC62" s="34"/>
      <c r="CD62" s="67"/>
      <c r="CE62" s="69"/>
      <c r="CF62" s="31"/>
      <c r="CG62" s="34"/>
      <c r="CH62" s="67"/>
      <c r="CI62" s="69"/>
      <c r="CJ62" s="31"/>
      <c r="CK62" s="34"/>
      <c r="CL62" s="67"/>
      <c r="CM62" s="69"/>
      <c r="CN62" s="31"/>
      <c r="CO62" s="34"/>
      <c r="CP62" s="67"/>
      <c r="CQ62" s="69"/>
    </row>
    <row r="63" spans="1:96" ht="20" customHeight="1" x14ac:dyDescent="0.2">
      <c r="A63" s="726"/>
      <c r="B63" s="721"/>
      <c r="C63" s="723"/>
      <c r="D63" s="722" t="s">
        <v>85</v>
      </c>
      <c r="E63" s="723" t="s">
        <v>658</v>
      </c>
      <c r="F63" s="723" t="s">
        <v>659</v>
      </c>
      <c r="G63" s="722">
        <v>2012</v>
      </c>
      <c r="H63" s="287"/>
      <c r="I63" s="701">
        <v>11</v>
      </c>
      <c r="J63" s="232"/>
      <c r="K63" s="250" t="s">
        <v>660</v>
      </c>
      <c r="L63" s="31"/>
      <c r="M63" s="34"/>
      <c r="N63" s="67"/>
      <c r="O63" s="67"/>
      <c r="P63" s="31"/>
      <c r="Q63" s="34"/>
      <c r="R63" s="67"/>
      <c r="S63" s="69"/>
      <c r="T63" s="56"/>
      <c r="U63" s="34"/>
      <c r="V63" s="67"/>
      <c r="W63" s="69"/>
      <c r="X63" s="31"/>
      <c r="Y63" s="34"/>
      <c r="Z63" s="67"/>
      <c r="AA63" s="69"/>
      <c r="AB63" s="31"/>
      <c r="AC63" s="34"/>
      <c r="AD63" s="67"/>
      <c r="AE63" s="69"/>
      <c r="AF63" s="31"/>
      <c r="AG63" s="34"/>
      <c r="AH63" s="67"/>
      <c r="AI63" s="69"/>
      <c r="AJ63" s="31"/>
      <c r="AK63" s="34"/>
      <c r="AL63" s="67"/>
      <c r="AM63" s="69"/>
      <c r="AN63" s="31"/>
      <c r="AO63" s="34"/>
      <c r="AP63" s="67"/>
      <c r="AQ63" s="69"/>
      <c r="AR63" s="31"/>
      <c r="AS63" s="34"/>
      <c r="AT63" s="67"/>
      <c r="AU63" s="69"/>
      <c r="AV63" s="31"/>
      <c r="AW63" s="34"/>
      <c r="AX63" s="67"/>
      <c r="AY63" s="69"/>
      <c r="AZ63" s="56"/>
      <c r="BA63" s="34"/>
      <c r="BB63" s="67"/>
      <c r="BC63" s="69"/>
      <c r="BD63" s="31"/>
      <c r="BE63" s="34"/>
      <c r="BF63" s="67"/>
      <c r="BG63" s="69"/>
      <c r="BH63" s="31"/>
      <c r="BI63" s="34"/>
      <c r="BJ63" s="67"/>
      <c r="BK63" s="69"/>
      <c r="BL63" s="31"/>
      <c r="BM63" s="34"/>
      <c r="BN63" s="67"/>
      <c r="BO63" s="69"/>
      <c r="BP63" s="31"/>
      <c r="BQ63" s="34"/>
      <c r="BR63" s="67"/>
      <c r="BS63" s="69"/>
      <c r="BT63" s="31"/>
      <c r="BU63" s="34"/>
      <c r="BV63" s="67"/>
      <c r="BW63" s="69"/>
      <c r="BX63" s="31"/>
      <c r="BY63" s="34"/>
      <c r="BZ63" s="67"/>
      <c r="CA63" s="69"/>
      <c r="CB63" s="31"/>
      <c r="CC63" s="34"/>
      <c r="CD63" s="67"/>
      <c r="CE63" s="69"/>
      <c r="CF63" s="31"/>
      <c r="CG63" s="34"/>
      <c r="CH63" s="67"/>
      <c r="CI63" s="69"/>
      <c r="CJ63" s="31"/>
      <c r="CK63" s="34"/>
      <c r="CL63" s="67"/>
      <c r="CM63" s="69"/>
      <c r="CN63" s="31"/>
      <c r="CO63" s="34"/>
      <c r="CP63" s="67"/>
      <c r="CQ63" s="69"/>
    </row>
    <row r="64" spans="1:96" ht="20" customHeight="1" x14ac:dyDescent="0.2">
      <c r="A64" s="678"/>
      <c r="B64" s="725"/>
      <c r="C64" s="253"/>
      <c r="D64" s="722" t="s">
        <v>85</v>
      </c>
      <c r="E64" s="723" t="s">
        <v>296</v>
      </c>
      <c r="F64" s="723" t="s">
        <v>297</v>
      </c>
      <c r="G64" s="722">
        <v>2015</v>
      </c>
      <c r="H64" s="287"/>
      <c r="I64" s="65">
        <v>41</v>
      </c>
      <c r="J64" s="61" t="s">
        <v>184</v>
      </c>
      <c r="K64" s="62"/>
      <c r="L64" s="31"/>
      <c r="M64" s="34" t="str">
        <f t="shared" si="0"/>
        <v/>
      </c>
      <c r="N64" s="67"/>
      <c r="O64" s="67" t="str">
        <f t="shared" si="1"/>
        <v/>
      </c>
      <c r="P64" s="31"/>
      <c r="Q64" s="34" t="str">
        <f t="shared" si="2"/>
        <v/>
      </c>
      <c r="R64" s="67"/>
      <c r="S64" s="69" t="str">
        <f t="shared" si="3"/>
        <v/>
      </c>
      <c r="T64" s="56"/>
      <c r="U64" s="34" t="str">
        <f t="shared" si="4"/>
        <v/>
      </c>
      <c r="V64" s="67"/>
      <c r="W64" s="69" t="str">
        <f t="shared" si="5"/>
        <v/>
      </c>
      <c r="X64" s="31"/>
      <c r="Y64" s="34" t="str">
        <f t="shared" si="6"/>
        <v/>
      </c>
      <c r="Z64" s="67"/>
      <c r="AA64" s="69" t="str">
        <f t="shared" si="7"/>
        <v/>
      </c>
      <c r="AB64" s="31"/>
      <c r="AC64" s="34" t="str">
        <f t="shared" si="8"/>
        <v/>
      </c>
      <c r="AD64" s="67"/>
      <c r="AE64" s="69" t="str">
        <f t="shared" si="9"/>
        <v/>
      </c>
      <c r="AF64" s="31"/>
      <c r="AG64" s="34" t="str">
        <f t="shared" si="10"/>
        <v/>
      </c>
      <c r="AH64" s="67"/>
      <c r="AI64" s="69" t="str">
        <f t="shared" si="11"/>
        <v/>
      </c>
      <c r="AJ64" s="31"/>
      <c r="AK64" s="34" t="str">
        <f t="shared" si="12"/>
        <v/>
      </c>
      <c r="AL64" s="67"/>
      <c r="AM64" s="69" t="str">
        <f t="shared" si="13"/>
        <v/>
      </c>
      <c r="AN64" s="31"/>
      <c r="AO64" s="34" t="str">
        <f t="shared" si="14"/>
        <v/>
      </c>
      <c r="AP64" s="67"/>
      <c r="AQ64" s="69" t="str">
        <f t="shared" si="15"/>
        <v/>
      </c>
      <c r="AR64" s="31"/>
      <c r="AS64" s="34" t="str">
        <f t="shared" si="16"/>
        <v/>
      </c>
      <c r="AT64" s="67"/>
      <c r="AU64" s="69" t="str">
        <f t="shared" si="44"/>
        <v/>
      </c>
      <c r="AV64" s="31"/>
      <c r="AW64" s="34" t="str">
        <f t="shared" si="18"/>
        <v/>
      </c>
      <c r="AX64" s="67"/>
      <c r="AY64" s="69" t="str">
        <f t="shared" si="19"/>
        <v/>
      </c>
      <c r="AZ64" s="56"/>
      <c r="BA64" s="34" t="str">
        <f t="shared" si="20"/>
        <v/>
      </c>
      <c r="BB64" s="67"/>
      <c r="BC64" s="69" t="str">
        <f t="shared" si="21"/>
        <v/>
      </c>
      <c r="BD64" s="31"/>
      <c r="BE64" s="34" t="str">
        <f t="shared" si="22"/>
        <v/>
      </c>
      <c r="BF64" s="67"/>
      <c r="BG64" s="69" t="str">
        <f t="shared" si="23"/>
        <v/>
      </c>
      <c r="BH64" s="31"/>
      <c r="BI64" s="34" t="str">
        <f t="shared" si="24"/>
        <v/>
      </c>
      <c r="BJ64" s="67"/>
      <c r="BK64" s="69" t="str">
        <f t="shared" si="25"/>
        <v/>
      </c>
      <c r="BL64" s="31"/>
      <c r="BM64" s="34" t="str">
        <f t="shared" si="26"/>
        <v/>
      </c>
      <c r="BN64" s="67"/>
      <c r="BO64" s="69" t="str">
        <f t="shared" si="27"/>
        <v/>
      </c>
      <c r="BP64" s="31"/>
      <c r="BQ64" s="34" t="str">
        <f t="shared" si="28"/>
        <v/>
      </c>
      <c r="BR64" s="67"/>
      <c r="BS64" s="69" t="str">
        <f t="shared" si="29"/>
        <v/>
      </c>
      <c r="BT64" s="31"/>
      <c r="BU64" s="34" t="str">
        <f t="shared" si="30"/>
        <v/>
      </c>
      <c r="BV64" s="67"/>
      <c r="BW64" s="69" t="str">
        <f t="shared" si="31"/>
        <v/>
      </c>
      <c r="BX64" s="31"/>
      <c r="BY64" s="34" t="str">
        <f t="shared" si="32"/>
        <v/>
      </c>
      <c r="BZ64" s="67"/>
      <c r="CA64" s="69" t="str">
        <f t="shared" si="33"/>
        <v/>
      </c>
      <c r="CB64" s="31"/>
      <c r="CC64" s="34" t="str">
        <f t="shared" si="34"/>
        <v/>
      </c>
      <c r="CD64" s="67"/>
      <c r="CE64" s="69" t="str">
        <f t="shared" si="35"/>
        <v/>
      </c>
      <c r="CF64" s="31"/>
      <c r="CG64" s="34" t="str">
        <f t="shared" si="36"/>
        <v/>
      </c>
      <c r="CH64" s="67"/>
      <c r="CI64" s="69" t="str">
        <f t="shared" si="37"/>
        <v/>
      </c>
      <c r="CJ64" s="31"/>
      <c r="CK64" s="34" t="str">
        <f t="shared" si="38"/>
        <v/>
      </c>
      <c r="CL64" s="67"/>
      <c r="CM64" s="69" t="str">
        <f t="shared" si="39"/>
        <v/>
      </c>
      <c r="CN64" s="31"/>
      <c r="CO64" s="34" t="str">
        <f t="shared" si="40"/>
        <v/>
      </c>
      <c r="CP64" s="67"/>
      <c r="CQ64" s="69" t="str">
        <f t="shared" si="41"/>
        <v/>
      </c>
      <c r="CR64" s="21" t="s">
        <v>359</v>
      </c>
    </row>
    <row r="65" spans="1:96" ht="20" customHeight="1" x14ac:dyDescent="0.2">
      <c r="A65" s="680"/>
      <c r="B65" s="721"/>
      <c r="C65" s="722"/>
      <c r="D65" s="722"/>
      <c r="E65" s="723" t="s">
        <v>661</v>
      </c>
      <c r="F65" s="723" t="s">
        <v>662</v>
      </c>
      <c r="G65" s="722">
        <v>1999</v>
      </c>
      <c r="H65" s="287"/>
      <c r="I65" s="65">
        <v>2</v>
      </c>
      <c r="J65" s="61" t="s">
        <v>664</v>
      </c>
      <c r="K65" s="62" t="s">
        <v>663</v>
      </c>
      <c r="L65" s="31"/>
      <c r="M65" s="34"/>
      <c r="N65" s="67"/>
      <c r="O65" s="67"/>
      <c r="P65" s="31"/>
      <c r="Q65" s="34"/>
      <c r="R65" s="67"/>
      <c r="S65" s="69"/>
      <c r="T65" s="56"/>
      <c r="U65" s="34"/>
      <c r="V65" s="67"/>
      <c r="W65" s="69"/>
      <c r="X65" s="31"/>
      <c r="Y65" s="34"/>
      <c r="Z65" s="67"/>
      <c r="AA65" s="69"/>
      <c r="AB65" s="31"/>
      <c r="AC65" s="34"/>
      <c r="AD65" s="67"/>
      <c r="AE65" s="69"/>
      <c r="AF65" s="31"/>
      <c r="AG65" s="34"/>
      <c r="AH65" s="67"/>
      <c r="AI65" s="69"/>
      <c r="AJ65" s="31"/>
      <c r="AK65" s="34"/>
      <c r="AL65" s="67"/>
      <c r="AM65" s="69"/>
      <c r="AN65" s="31"/>
      <c r="AO65" s="34"/>
      <c r="AP65" s="67"/>
      <c r="AQ65" s="69"/>
      <c r="AR65" s="31"/>
      <c r="AS65" s="34"/>
      <c r="AT65" s="67"/>
      <c r="AU65" s="69"/>
      <c r="AV65" s="31"/>
      <c r="AW65" s="34"/>
      <c r="AX65" s="67"/>
      <c r="AY65" s="69"/>
      <c r="AZ65" s="56"/>
      <c r="BA65" s="34"/>
      <c r="BB65" s="67"/>
      <c r="BC65" s="69"/>
      <c r="BD65" s="31"/>
      <c r="BE65" s="34"/>
      <c r="BF65" s="67"/>
      <c r="BG65" s="69"/>
      <c r="BH65" s="31"/>
      <c r="BI65" s="34"/>
      <c r="BJ65" s="67"/>
      <c r="BK65" s="69"/>
      <c r="BL65" s="31"/>
      <c r="BM65" s="34"/>
      <c r="BN65" s="67"/>
      <c r="BO65" s="69"/>
      <c r="BP65" s="31"/>
      <c r="BQ65" s="34"/>
      <c r="BR65" s="67"/>
      <c r="BS65" s="69"/>
      <c r="BT65" s="31"/>
      <c r="BU65" s="34"/>
      <c r="BV65" s="67"/>
      <c r="BW65" s="69"/>
      <c r="BX65" s="31"/>
      <c r="BY65" s="34"/>
      <c r="BZ65" s="67"/>
      <c r="CA65" s="69"/>
      <c r="CB65" s="31"/>
      <c r="CC65" s="34"/>
      <c r="CD65" s="67"/>
      <c r="CE65" s="69"/>
      <c r="CF65" s="31"/>
      <c r="CG65" s="34"/>
      <c r="CH65" s="67"/>
      <c r="CI65" s="69"/>
      <c r="CJ65" s="31"/>
      <c r="CK65" s="34"/>
      <c r="CL65" s="67"/>
      <c r="CM65" s="69"/>
      <c r="CN65" s="31"/>
      <c r="CO65" s="34"/>
      <c r="CP65" s="67"/>
      <c r="CQ65" s="69"/>
    </row>
    <row r="66" spans="1:96" ht="20" customHeight="1" x14ac:dyDescent="0.2">
      <c r="A66" s="680"/>
      <c r="B66" s="725"/>
      <c r="C66" s="255"/>
      <c r="D66" s="722" t="s">
        <v>85</v>
      </c>
      <c r="E66" s="723" t="s">
        <v>665</v>
      </c>
      <c r="F66" s="723" t="s">
        <v>666</v>
      </c>
      <c r="G66" s="722">
        <v>2012</v>
      </c>
      <c r="H66" s="287"/>
      <c r="I66" s="65">
        <v>26</v>
      </c>
      <c r="J66" s="61" t="s">
        <v>220</v>
      </c>
      <c r="K66" s="62" t="s">
        <v>667</v>
      </c>
      <c r="L66" s="31"/>
      <c r="M66" s="34"/>
      <c r="N66" s="67"/>
      <c r="O66" s="67"/>
      <c r="P66" s="31"/>
      <c r="Q66" s="34"/>
      <c r="R66" s="67"/>
      <c r="S66" s="69"/>
      <c r="T66" s="56"/>
      <c r="U66" s="34"/>
      <c r="V66" s="67"/>
      <c r="W66" s="69"/>
      <c r="X66" s="31"/>
      <c r="Y66" s="34"/>
      <c r="Z66" s="67"/>
      <c r="AA66" s="69"/>
      <c r="AB66" s="31"/>
      <c r="AC66" s="34"/>
      <c r="AD66" s="67"/>
      <c r="AE66" s="69"/>
      <c r="AF66" s="31"/>
      <c r="AG66" s="34"/>
      <c r="AH66" s="67"/>
      <c r="AI66" s="69"/>
      <c r="AJ66" s="31"/>
      <c r="AK66" s="34"/>
      <c r="AL66" s="67"/>
      <c r="AM66" s="69"/>
      <c r="AN66" s="31"/>
      <c r="AO66" s="34"/>
      <c r="AP66" s="67"/>
      <c r="AQ66" s="69"/>
      <c r="AR66" s="31"/>
      <c r="AS66" s="34"/>
      <c r="AT66" s="67"/>
      <c r="AU66" s="69"/>
      <c r="AV66" s="31"/>
      <c r="AW66" s="34"/>
      <c r="AX66" s="67"/>
      <c r="AY66" s="69"/>
      <c r="AZ66" s="56"/>
      <c r="BA66" s="34"/>
      <c r="BB66" s="67"/>
      <c r="BC66" s="69"/>
      <c r="BD66" s="31"/>
      <c r="BE66" s="34"/>
      <c r="BF66" s="67"/>
      <c r="BG66" s="69"/>
      <c r="BH66" s="31"/>
      <c r="BI66" s="34"/>
      <c r="BJ66" s="67"/>
      <c r="BK66" s="69"/>
      <c r="BL66" s="31"/>
      <c r="BM66" s="34"/>
      <c r="BN66" s="67"/>
      <c r="BO66" s="69"/>
      <c r="BP66" s="31"/>
      <c r="BQ66" s="34"/>
      <c r="BR66" s="67"/>
      <c r="BS66" s="69"/>
      <c r="BT66" s="31"/>
      <c r="BU66" s="34"/>
      <c r="BV66" s="67"/>
      <c r="BW66" s="69"/>
      <c r="BX66" s="31"/>
      <c r="BY66" s="34"/>
      <c r="BZ66" s="67"/>
      <c r="CA66" s="69"/>
      <c r="CB66" s="31"/>
      <c r="CC66" s="34"/>
      <c r="CD66" s="67"/>
      <c r="CE66" s="69"/>
      <c r="CF66" s="31"/>
      <c r="CG66" s="34"/>
      <c r="CH66" s="67"/>
      <c r="CI66" s="69"/>
      <c r="CJ66" s="31"/>
      <c r="CK66" s="34"/>
      <c r="CL66" s="67"/>
      <c r="CM66" s="69"/>
      <c r="CN66" s="31"/>
      <c r="CO66" s="34"/>
      <c r="CP66" s="67"/>
      <c r="CQ66" s="69"/>
    </row>
    <row r="67" spans="1:96" ht="20" customHeight="1" x14ac:dyDescent="0.2">
      <c r="A67" s="680"/>
      <c r="B67" s="725"/>
      <c r="C67" s="722"/>
      <c r="D67" s="722" t="s">
        <v>85</v>
      </c>
      <c r="E67" s="723" t="s">
        <v>668</v>
      </c>
      <c r="F67" s="723" t="s">
        <v>669</v>
      </c>
      <c r="G67" s="722">
        <v>1998</v>
      </c>
      <c r="H67" s="287"/>
      <c r="I67" s="701">
        <v>25</v>
      </c>
      <c r="J67" s="232" t="s">
        <v>175</v>
      </c>
      <c r="K67" s="250" t="s">
        <v>191</v>
      </c>
      <c r="L67" s="31"/>
      <c r="M67" s="34"/>
      <c r="N67" s="67"/>
      <c r="O67" s="67"/>
      <c r="P67" s="31"/>
      <c r="Q67" s="34"/>
      <c r="R67" s="67"/>
      <c r="S67" s="69"/>
      <c r="T67" s="56"/>
      <c r="U67" s="34"/>
      <c r="V67" s="67"/>
      <c r="W67" s="69"/>
      <c r="X67" s="31"/>
      <c r="Y67" s="34"/>
      <c r="Z67" s="67"/>
      <c r="AA67" s="69"/>
      <c r="AB67" s="31"/>
      <c r="AC67" s="34"/>
      <c r="AD67" s="67"/>
      <c r="AE67" s="69"/>
      <c r="AF67" s="31"/>
      <c r="AG67" s="34"/>
      <c r="AH67" s="67"/>
      <c r="AI67" s="69"/>
      <c r="AJ67" s="31"/>
      <c r="AK67" s="34"/>
      <c r="AL67" s="67"/>
      <c r="AM67" s="69"/>
      <c r="AN67" s="31"/>
      <c r="AO67" s="34"/>
      <c r="AP67" s="67"/>
      <c r="AQ67" s="69"/>
      <c r="AR67" s="31"/>
      <c r="AS67" s="34"/>
      <c r="AT67" s="67"/>
      <c r="AU67" s="69"/>
      <c r="AV67" s="31"/>
      <c r="AW67" s="34"/>
      <c r="AX67" s="67"/>
      <c r="AY67" s="69"/>
      <c r="AZ67" s="56"/>
      <c r="BA67" s="34"/>
      <c r="BB67" s="67"/>
      <c r="BC67" s="69"/>
      <c r="BD67" s="31"/>
      <c r="BE67" s="34"/>
      <c r="BF67" s="67"/>
      <c r="BG67" s="69"/>
      <c r="BH67" s="31"/>
      <c r="BI67" s="34"/>
      <c r="BJ67" s="67"/>
      <c r="BK67" s="69"/>
      <c r="BL67" s="31"/>
      <c r="BM67" s="34"/>
      <c r="BN67" s="67"/>
      <c r="BO67" s="69"/>
      <c r="BP67" s="31"/>
      <c r="BQ67" s="34"/>
      <c r="BR67" s="67"/>
      <c r="BS67" s="69"/>
      <c r="BT67" s="31"/>
      <c r="BU67" s="34"/>
      <c r="BV67" s="67"/>
      <c r="BW67" s="69"/>
      <c r="BX67" s="31"/>
      <c r="BY67" s="34"/>
      <c r="BZ67" s="67"/>
      <c r="CA67" s="69"/>
      <c r="CB67" s="31"/>
      <c r="CC67" s="34"/>
      <c r="CD67" s="67"/>
      <c r="CE67" s="69"/>
      <c r="CF67" s="31"/>
      <c r="CG67" s="34"/>
      <c r="CH67" s="67"/>
      <c r="CI67" s="69"/>
      <c r="CJ67" s="31"/>
      <c r="CK67" s="34"/>
      <c r="CL67" s="67"/>
      <c r="CM67" s="69"/>
      <c r="CN67" s="31"/>
      <c r="CO67" s="34"/>
      <c r="CP67" s="67"/>
      <c r="CQ67" s="69"/>
    </row>
    <row r="68" spans="1:96" ht="20" customHeight="1" x14ac:dyDescent="0.2">
      <c r="A68" s="678"/>
      <c r="B68" s="725"/>
      <c r="C68" s="253"/>
      <c r="D68" s="722" t="s">
        <v>85</v>
      </c>
      <c r="E68" s="723" t="s">
        <v>298</v>
      </c>
      <c r="F68" s="723" t="s">
        <v>299</v>
      </c>
      <c r="G68" s="722">
        <v>2009</v>
      </c>
      <c r="H68" s="287"/>
      <c r="I68" s="65">
        <v>68</v>
      </c>
      <c r="J68" s="61" t="s">
        <v>213</v>
      </c>
      <c r="K68" s="62" t="s">
        <v>360</v>
      </c>
      <c r="L68" s="31"/>
      <c r="M68" s="34" t="str">
        <f t="shared" si="0"/>
        <v/>
      </c>
      <c r="N68" s="67"/>
      <c r="O68" s="67" t="str">
        <f t="shared" si="1"/>
        <v/>
      </c>
      <c r="P68" s="31"/>
      <c r="Q68" s="34" t="str">
        <f t="shared" si="2"/>
        <v/>
      </c>
      <c r="R68" s="67"/>
      <c r="S68" s="69" t="str">
        <f t="shared" si="3"/>
        <v/>
      </c>
      <c r="T68" s="56"/>
      <c r="U68" s="34"/>
      <c r="V68" s="67"/>
      <c r="W68" s="69"/>
      <c r="X68" s="31"/>
      <c r="Y68" s="34" t="str">
        <f t="shared" si="6"/>
        <v/>
      </c>
      <c r="Z68" s="67"/>
      <c r="AA68" s="69" t="str">
        <f t="shared" si="7"/>
        <v/>
      </c>
      <c r="AB68" s="31"/>
      <c r="AC68" s="34" t="str">
        <f t="shared" si="8"/>
        <v/>
      </c>
      <c r="AD68" s="67"/>
      <c r="AE68" s="69" t="str">
        <f t="shared" si="9"/>
        <v/>
      </c>
      <c r="AF68" s="31"/>
      <c r="AG68" s="34" t="str">
        <f t="shared" si="10"/>
        <v/>
      </c>
      <c r="AH68" s="67"/>
      <c r="AI68" s="69" t="str">
        <f t="shared" si="11"/>
        <v/>
      </c>
      <c r="AJ68" s="31"/>
      <c r="AK68" s="34" t="str">
        <f t="shared" si="12"/>
        <v/>
      </c>
      <c r="AL68" s="67"/>
      <c r="AM68" s="69" t="str">
        <f t="shared" si="13"/>
        <v/>
      </c>
      <c r="AN68" s="31"/>
      <c r="AO68" s="34" t="str">
        <f t="shared" si="14"/>
        <v/>
      </c>
      <c r="AP68" s="67"/>
      <c r="AQ68" s="69" t="str">
        <f t="shared" si="15"/>
        <v/>
      </c>
      <c r="AR68" s="31"/>
      <c r="AS68" s="34" t="str">
        <f t="shared" si="16"/>
        <v/>
      </c>
      <c r="AT68" s="67"/>
      <c r="AU68" s="69" t="str">
        <f t="shared" si="44"/>
        <v/>
      </c>
      <c r="AV68" s="31"/>
      <c r="AW68" s="34" t="str">
        <f t="shared" si="18"/>
        <v/>
      </c>
      <c r="AX68" s="67"/>
      <c r="AY68" s="69" t="str">
        <f t="shared" si="19"/>
        <v/>
      </c>
      <c r="AZ68" s="56"/>
      <c r="BA68" s="34" t="str">
        <f t="shared" si="20"/>
        <v/>
      </c>
      <c r="BB68" s="67"/>
      <c r="BC68" s="69" t="str">
        <f t="shared" si="21"/>
        <v/>
      </c>
      <c r="BD68" s="31"/>
      <c r="BE68" s="34" t="str">
        <f t="shared" si="22"/>
        <v/>
      </c>
      <c r="BF68" s="67"/>
      <c r="BG68" s="69" t="str">
        <f t="shared" si="23"/>
        <v/>
      </c>
      <c r="BH68" s="31"/>
      <c r="BI68" s="34" t="str">
        <f t="shared" si="24"/>
        <v/>
      </c>
      <c r="BJ68" s="67"/>
      <c r="BK68" s="69" t="str">
        <f t="shared" si="25"/>
        <v/>
      </c>
      <c r="BL68" s="31"/>
      <c r="BM68" s="34" t="str">
        <f t="shared" si="26"/>
        <v/>
      </c>
      <c r="BN68" s="67"/>
      <c r="BO68" s="69" t="str">
        <f t="shared" si="27"/>
        <v/>
      </c>
      <c r="BP68" s="31"/>
      <c r="BQ68" s="34" t="str">
        <f t="shared" si="28"/>
        <v/>
      </c>
      <c r="BR68" s="67"/>
      <c r="BS68" s="69" t="str">
        <f t="shared" si="29"/>
        <v/>
      </c>
      <c r="BT68" s="31"/>
      <c r="BU68" s="34" t="str">
        <f t="shared" si="30"/>
        <v/>
      </c>
      <c r="BV68" s="67"/>
      <c r="BW68" s="69" t="str">
        <f t="shared" si="31"/>
        <v/>
      </c>
      <c r="BX68" s="31"/>
      <c r="BY68" s="34" t="str">
        <f t="shared" si="32"/>
        <v/>
      </c>
      <c r="BZ68" s="67"/>
      <c r="CA68" s="69" t="str">
        <f t="shared" si="33"/>
        <v/>
      </c>
      <c r="CB68" s="31"/>
      <c r="CC68" s="34" t="str">
        <f t="shared" si="34"/>
        <v/>
      </c>
      <c r="CD68" s="67"/>
      <c r="CE68" s="69" t="str">
        <f t="shared" si="35"/>
        <v/>
      </c>
      <c r="CF68" s="31"/>
      <c r="CG68" s="34" t="str">
        <f t="shared" si="36"/>
        <v/>
      </c>
      <c r="CH68" s="67"/>
      <c r="CI68" s="69" t="str">
        <f t="shared" si="37"/>
        <v/>
      </c>
      <c r="CJ68" s="31"/>
      <c r="CK68" s="34" t="str">
        <f t="shared" si="38"/>
        <v/>
      </c>
      <c r="CL68" s="67"/>
      <c r="CM68" s="69" t="str">
        <f t="shared" si="39"/>
        <v/>
      </c>
      <c r="CN68" s="31"/>
      <c r="CO68" s="34" t="str">
        <f t="shared" si="40"/>
        <v/>
      </c>
      <c r="CP68" s="67"/>
      <c r="CQ68" s="69" t="str">
        <f t="shared" si="41"/>
        <v/>
      </c>
      <c r="CR68" s="21" t="s">
        <v>414</v>
      </c>
    </row>
    <row r="69" spans="1:96" ht="20" customHeight="1" x14ac:dyDescent="0.2">
      <c r="A69" s="678"/>
      <c r="B69" s="721"/>
      <c r="C69" s="722"/>
      <c r="D69" s="722" t="s">
        <v>85</v>
      </c>
      <c r="E69" s="723" t="s">
        <v>105</v>
      </c>
      <c r="F69" s="723" t="s">
        <v>106</v>
      </c>
      <c r="G69" s="722">
        <v>1989</v>
      </c>
      <c r="H69" s="287">
        <v>27</v>
      </c>
      <c r="I69" s="65"/>
      <c r="J69" s="61" t="s">
        <v>208</v>
      </c>
      <c r="K69" s="62" t="s">
        <v>177</v>
      </c>
      <c r="L69" s="31"/>
      <c r="M69" s="34" t="str">
        <f t="shared" si="0"/>
        <v/>
      </c>
      <c r="N69" s="67"/>
      <c r="O69" s="67" t="str">
        <f t="shared" si="1"/>
        <v/>
      </c>
      <c r="P69" s="31"/>
      <c r="Q69" s="34" t="str">
        <f t="shared" si="2"/>
        <v/>
      </c>
      <c r="R69" s="67"/>
      <c r="S69" s="69" t="str">
        <f t="shared" si="3"/>
        <v/>
      </c>
      <c r="T69" s="56"/>
      <c r="U69" s="34" t="str">
        <f t="shared" ref="U69:U85" si="45">IF((ISERROR((T69/$I69)*100)), "", IF(AND(NOT(ISERROR((T69/$I69)*100)),((T69/$I69)*100) &lt;&gt; 0), (T69/$I69)*100, ""))</f>
        <v/>
      </c>
      <c r="V69" s="67"/>
      <c r="W69" s="69" t="str">
        <f t="shared" si="5"/>
        <v/>
      </c>
      <c r="X69" s="31"/>
      <c r="Y69" s="34" t="str">
        <f t="shared" si="6"/>
        <v/>
      </c>
      <c r="Z69" s="67"/>
      <c r="AA69" s="69" t="str">
        <f t="shared" si="7"/>
        <v/>
      </c>
      <c r="AB69" s="31"/>
      <c r="AC69" s="34" t="str">
        <f t="shared" si="8"/>
        <v/>
      </c>
      <c r="AD69" s="67"/>
      <c r="AE69" s="69" t="str">
        <f t="shared" si="9"/>
        <v/>
      </c>
      <c r="AF69" s="36"/>
      <c r="AG69" s="37" t="str">
        <f t="shared" si="10"/>
        <v/>
      </c>
      <c r="AH69" s="85"/>
      <c r="AI69" s="86" t="str">
        <f t="shared" si="11"/>
        <v/>
      </c>
      <c r="AJ69" s="31"/>
      <c r="AK69" s="34" t="str">
        <f t="shared" si="12"/>
        <v/>
      </c>
      <c r="AL69" s="67"/>
      <c r="AM69" s="69" t="str">
        <f t="shared" si="13"/>
        <v/>
      </c>
      <c r="AN69" s="31"/>
      <c r="AO69" s="34" t="str">
        <f t="shared" si="14"/>
        <v/>
      </c>
      <c r="AP69" s="67"/>
      <c r="AQ69" s="69" t="str">
        <f t="shared" si="15"/>
        <v/>
      </c>
      <c r="AR69" s="31"/>
      <c r="AS69" s="34" t="str">
        <f t="shared" si="16"/>
        <v/>
      </c>
      <c r="AT69" s="67"/>
      <c r="AU69" s="69" t="str">
        <f t="shared" si="44"/>
        <v/>
      </c>
      <c r="AV69" s="31"/>
      <c r="AW69" s="34" t="str">
        <f t="shared" si="18"/>
        <v/>
      </c>
      <c r="AX69" s="67"/>
      <c r="AY69" s="69" t="str">
        <f t="shared" si="19"/>
        <v/>
      </c>
      <c r="AZ69" s="56"/>
      <c r="BA69" s="34" t="str">
        <f t="shared" si="20"/>
        <v/>
      </c>
      <c r="BB69" s="67"/>
      <c r="BC69" s="69" t="str">
        <f t="shared" si="21"/>
        <v/>
      </c>
      <c r="BD69" s="31"/>
      <c r="BE69" s="34" t="str">
        <f t="shared" si="22"/>
        <v/>
      </c>
      <c r="BF69" s="67"/>
      <c r="BG69" s="69" t="str">
        <f t="shared" si="23"/>
        <v/>
      </c>
      <c r="BH69" s="31"/>
      <c r="BI69" s="34" t="str">
        <f t="shared" si="24"/>
        <v/>
      </c>
      <c r="BJ69" s="67"/>
      <c r="BK69" s="69" t="str">
        <f t="shared" si="25"/>
        <v/>
      </c>
      <c r="BL69" s="31"/>
      <c r="BM69" s="34" t="str">
        <f t="shared" si="26"/>
        <v/>
      </c>
      <c r="BN69" s="67"/>
      <c r="BO69" s="69" t="str">
        <f t="shared" si="27"/>
        <v/>
      </c>
      <c r="BP69" s="31"/>
      <c r="BQ69" s="34" t="str">
        <f t="shared" si="28"/>
        <v/>
      </c>
      <c r="BR69" s="67"/>
      <c r="BS69" s="69" t="str">
        <f t="shared" si="29"/>
        <v/>
      </c>
      <c r="BT69" s="31"/>
      <c r="BU69" s="34" t="str">
        <f t="shared" si="30"/>
        <v/>
      </c>
      <c r="BV69" s="67"/>
      <c r="BW69" s="69" t="str">
        <f t="shared" si="31"/>
        <v/>
      </c>
      <c r="BX69" s="31"/>
      <c r="BY69" s="34" t="str">
        <f t="shared" si="32"/>
        <v/>
      </c>
      <c r="BZ69" s="67"/>
      <c r="CA69" s="69" t="str">
        <f t="shared" si="33"/>
        <v/>
      </c>
      <c r="CB69" s="31"/>
      <c r="CC69" s="34" t="str">
        <f t="shared" si="34"/>
        <v/>
      </c>
      <c r="CD69" s="67"/>
      <c r="CE69" s="69" t="str">
        <f t="shared" si="35"/>
        <v/>
      </c>
      <c r="CF69" s="31"/>
      <c r="CG69" s="34" t="str">
        <f t="shared" si="36"/>
        <v/>
      </c>
      <c r="CH69" s="67"/>
      <c r="CI69" s="69" t="str">
        <f t="shared" si="37"/>
        <v/>
      </c>
      <c r="CJ69" s="31"/>
      <c r="CK69" s="34" t="str">
        <f t="shared" si="38"/>
        <v/>
      </c>
      <c r="CL69" s="67"/>
      <c r="CM69" s="69" t="str">
        <f t="shared" si="39"/>
        <v/>
      </c>
      <c r="CN69" s="31"/>
      <c r="CO69" s="34" t="str">
        <f t="shared" si="40"/>
        <v/>
      </c>
      <c r="CP69" s="67"/>
      <c r="CQ69" s="69" t="str">
        <f t="shared" si="41"/>
        <v/>
      </c>
    </row>
    <row r="70" spans="1:96" ht="20" customHeight="1" x14ac:dyDescent="0.2">
      <c r="A70" s="678"/>
      <c r="B70" s="721"/>
      <c r="C70" s="253"/>
      <c r="D70" s="722" t="s">
        <v>85</v>
      </c>
      <c r="E70" s="723" t="s">
        <v>300</v>
      </c>
      <c r="F70" s="723" t="s">
        <v>301</v>
      </c>
      <c r="G70" s="722">
        <v>2011</v>
      </c>
      <c r="H70" s="287"/>
      <c r="I70" s="65"/>
      <c r="J70" s="61"/>
      <c r="K70" s="62"/>
      <c r="L70" s="31"/>
      <c r="M70" s="34" t="str">
        <f t="shared" si="0"/>
        <v/>
      </c>
      <c r="N70" s="67"/>
      <c r="O70" s="67" t="str">
        <f t="shared" si="1"/>
        <v/>
      </c>
      <c r="P70" s="31"/>
      <c r="Q70" s="34" t="str">
        <f t="shared" si="2"/>
        <v/>
      </c>
      <c r="R70" s="67"/>
      <c r="S70" s="69" t="str">
        <f t="shared" si="3"/>
        <v/>
      </c>
      <c r="T70" s="56"/>
      <c r="U70" s="34" t="str">
        <f t="shared" si="45"/>
        <v/>
      </c>
      <c r="V70" s="67"/>
      <c r="W70" s="69" t="str">
        <f t="shared" si="5"/>
        <v/>
      </c>
      <c r="X70" s="31"/>
      <c r="Y70" s="34" t="str">
        <f t="shared" si="6"/>
        <v/>
      </c>
      <c r="Z70" s="67"/>
      <c r="AA70" s="69" t="str">
        <f t="shared" si="7"/>
        <v/>
      </c>
      <c r="AB70" s="31"/>
      <c r="AC70" s="34" t="str">
        <f t="shared" si="8"/>
        <v/>
      </c>
      <c r="AD70" s="67"/>
      <c r="AE70" s="69" t="str">
        <f t="shared" si="9"/>
        <v/>
      </c>
      <c r="AF70" s="31"/>
      <c r="AG70" s="34" t="str">
        <f t="shared" si="10"/>
        <v/>
      </c>
      <c r="AH70" s="67"/>
      <c r="AI70" s="69" t="str">
        <f t="shared" si="11"/>
        <v/>
      </c>
      <c r="AJ70" s="31"/>
      <c r="AK70" s="34" t="str">
        <f t="shared" si="12"/>
        <v/>
      </c>
      <c r="AL70" s="67"/>
      <c r="AM70" s="69" t="str">
        <f t="shared" si="13"/>
        <v/>
      </c>
      <c r="AN70" s="31"/>
      <c r="AO70" s="34" t="str">
        <f t="shared" si="14"/>
        <v/>
      </c>
      <c r="AP70" s="67"/>
      <c r="AQ70" s="69" t="str">
        <f t="shared" si="15"/>
        <v/>
      </c>
      <c r="AR70" s="31"/>
      <c r="AS70" s="34" t="str">
        <f t="shared" si="16"/>
        <v/>
      </c>
      <c r="AT70" s="67"/>
      <c r="AU70" s="69" t="str">
        <f t="shared" si="44"/>
        <v/>
      </c>
      <c r="AV70" s="31"/>
      <c r="AW70" s="34" t="str">
        <f t="shared" si="18"/>
        <v/>
      </c>
      <c r="AX70" s="67"/>
      <c r="AY70" s="69" t="str">
        <f t="shared" si="19"/>
        <v/>
      </c>
      <c r="AZ70" s="56"/>
      <c r="BA70" s="34" t="str">
        <f t="shared" si="20"/>
        <v/>
      </c>
      <c r="BB70" s="67"/>
      <c r="BC70" s="69" t="str">
        <f t="shared" si="21"/>
        <v/>
      </c>
      <c r="BD70" s="31"/>
      <c r="BE70" s="34" t="str">
        <f t="shared" si="22"/>
        <v/>
      </c>
      <c r="BF70" s="67"/>
      <c r="BG70" s="69" t="str">
        <f t="shared" si="23"/>
        <v/>
      </c>
      <c r="BH70" s="31"/>
      <c r="BI70" s="34" t="str">
        <f t="shared" si="24"/>
        <v/>
      </c>
      <c r="BJ70" s="67"/>
      <c r="BK70" s="69" t="str">
        <f t="shared" si="25"/>
        <v/>
      </c>
      <c r="BL70" s="31"/>
      <c r="BM70" s="34" t="str">
        <f t="shared" si="26"/>
        <v/>
      </c>
      <c r="BN70" s="67"/>
      <c r="BO70" s="69" t="str">
        <f t="shared" si="27"/>
        <v/>
      </c>
      <c r="BP70" s="31"/>
      <c r="BQ70" s="34" t="str">
        <f t="shared" si="28"/>
        <v/>
      </c>
      <c r="BR70" s="67"/>
      <c r="BS70" s="69" t="str">
        <f t="shared" si="29"/>
        <v/>
      </c>
      <c r="BT70" s="31"/>
      <c r="BU70" s="34" t="str">
        <f t="shared" si="30"/>
        <v/>
      </c>
      <c r="BV70" s="67"/>
      <c r="BW70" s="69" t="str">
        <f t="shared" si="31"/>
        <v/>
      </c>
      <c r="BX70" s="31"/>
      <c r="BY70" s="34" t="str">
        <f t="shared" si="32"/>
        <v/>
      </c>
      <c r="BZ70" s="67"/>
      <c r="CA70" s="69" t="str">
        <f t="shared" si="33"/>
        <v/>
      </c>
      <c r="CB70" s="31"/>
      <c r="CC70" s="34" t="str">
        <f t="shared" si="34"/>
        <v/>
      </c>
      <c r="CD70" s="67"/>
      <c r="CE70" s="69" t="str">
        <f t="shared" si="35"/>
        <v/>
      </c>
      <c r="CF70" s="31"/>
      <c r="CG70" s="34" t="str">
        <f t="shared" si="36"/>
        <v/>
      </c>
      <c r="CH70" s="67"/>
      <c r="CI70" s="69" t="str">
        <f t="shared" si="37"/>
        <v/>
      </c>
      <c r="CJ70" s="31"/>
      <c r="CK70" s="34" t="str">
        <f t="shared" si="38"/>
        <v/>
      </c>
      <c r="CL70" s="67"/>
      <c r="CM70" s="69" t="str">
        <f t="shared" si="39"/>
        <v/>
      </c>
      <c r="CN70" s="31"/>
      <c r="CO70" s="34" t="str">
        <f t="shared" si="40"/>
        <v/>
      </c>
      <c r="CP70" s="67"/>
      <c r="CQ70" s="69" t="str">
        <f t="shared" si="41"/>
        <v/>
      </c>
      <c r="CR70" s="21" t="s">
        <v>361</v>
      </c>
    </row>
    <row r="71" spans="1:96" ht="20" customHeight="1" x14ac:dyDescent="0.2">
      <c r="A71" s="680"/>
      <c r="B71" s="721"/>
      <c r="C71" s="722"/>
      <c r="D71" s="722" t="s">
        <v>85</v>
      </c>
      <c r="E71" s="723" t="s">
        <v>670</v>
      </c>
      <c r="F71" s="723" t="s">
        <v>671</v>
      </c>
      <c r="G71" s="722">
        <v>2003</v>
      </c>
      <c r="H71" s="287"/>
      <c r="I71" s="65"/>
      <c r="J71" s="61" t="s">
        <v>672</v>
      </c>
      <c r="K71" s="62" t="s">
        <v>177</v>
      </c>
      <c r="L71" s="31"/>
      <c r="M71" s="34"/>
      <c r="N71" s="67"/>
      <c r="O71" s="67"/>
      <c r="P71" s="31"/>
      <c r="Q71" s="34"/>
      <c r="R71" s="67"/>
      <c r="S71" s="69"/>
      <c r="T71" s="56"/>
      <c r="U71" s="34"/>
      <c r="V71" s="67"/>
      <c r="W71" s="69"/>
      <c r="X71" s="31"/>
      <c r="Y71" s="34"/>
      <c r="Z71" s="67"/>
      <c r="AA71" s="69"/>
      <c r="AB71" s="31"/>
      <c r="AC71" s="34"/>
      <c r="AD71" s="67"/>
      <c r="AE71" s="69"/>
      <c r="AF71" s="31"/>
      <c r="AG71" s="34"/>
      <c r="AH71" s="67"/>
      <c r="AI71" s="69"/>
      <c r="AJ71" s="31"/>
      <c r="AK71" s="34"/>
      <c r="AL71" s="67"/>
      <c r="AM71" s="69"/>
      <c r="AN71" s="31"/>
      <c r="AO71" s="34"/>
      <c r="AP71" s="67"/>
      <c r="AQ71" s="69"/>
      <c r="AR71" s="31"/>
      <c r="AS71" s="34"/>
      <c r="AT71" s="67"/>
      <c r="AU71" s="69"/>
      <c r="AV71" s="31"/>
      <c r="AW71" s="34"/>
      <c r="AX71" s="67"/>
      <c r="AY71" s="69"/>
      <c r="AZ71" s="56"/>
      <c r="BA71" s="34"/>
      <c r="BB71" s="67"/>
      <c r="BC71" s="69"/>
      <c r="BD71" s="31"/>
      <c r="BE71" s="34"/>
      <c r="BF71" s="67"/>
      <c r="BG71" s="69"/>
      <c r="BH71" s="31"/>
      <c r="BI71" s="34"/>
      <c r="BJ71" s="67"/>
      <c r="BK71" s="69"/>
      <c r="BL71" s="31"/>
      <c r="BM71" s="34"/>
      <c r="BN71" s="67"/>
      <c r="BO71" s="69"/>
      <c r="BP71" s="31"/>
      <c r="BQ71" s="34"/>
      <c r="BR71" s="67"/>
      <c r="BS71" s="69"/>
      <c r="BT71" s="31"/>
      <c r="BU71" s="34"/>
      <c r="BV71" s="67"/>
      <c r="BW71" s="69"/>
      <c r="BX71" s="31"/>
      <c r="BY71" s="34"/>
      <c r="BZ71" s="67"/>
      <c r="CA71" s="69"/>
      <c r="CB71" s="31"/>
      <c r="CC71" s="34"/>
      <c r="CD71" s="67"/>
      <c r="CE71" s="69"/>
      <c r="CF71" s="31"/>
      <c r="CG71" s="34"/>
      <c r="CH71" s="67"/>
      <c r="CI71" s="69"/>
      <c r="CJ71" s="31"/>
      <c r="CK71" s="34"/>
      <c r="CL71" s="67"/>
      <c r="CM71" s="69"/>
      <c r="CN71" s="31"/>
      <c r="CO71" s="34"/>
      <c r="CP71" s="67"/>
      <c r="CQ71" s="69"/>
    </row>
    <row r="72" spans="1:96" ht="20" customHeight="1" x14ac:dyDescent="0.2">
      <c r="A72" s="678"/>
      <c r="B72" s="725"/>
      <c r="C72" s="255"/>
      <c r="D72" s="722" t="s">
        <v>85</v>
      </c>
      <c r="E72" s="723" t="s">
        <v>107</v>
      </c>
      <c r="F72" s="723" t="s">
        <v>108</v>
      </c>
      <c r="G72" s="722">
        <v>2008</v>
      </c>
      <c r="H72" s="287">
        <v>54</v>
      </c>
      <c r="I72" s="65">
        <v>12</v>
      </c>
      <c r="J72" s="61" t="s">
        <v>167</v>
      </c>
      <c r="K72" s="62" t="s">
        <v>209</v>
      </c>
      <c r="L72" s="31"/>
      <c r="M72" s="34" t="str">
        <f t="shared" si="0"/>
        <v/>
      </c>
      <c r="N72" s="67"/>
      <c r="O72" s="67" t="str">
        <f t="shared" si="1"/>
        <v/>
      </c>
      <c r="P72" s="31"/>
      <c r="Q72" s="34" t="str">
        <f t="shared" si="2"/>
        <v/>
      </c>
      <c r="R72" s="67"/>
      <c r="S72" s="69" t="str">
        <f t="shared" si="3"/>
        <v/>
      </c>
      <c r="T72" s="56">
        <v>0</v>
      </c>
      <c r="U72" s="34" t="str">
        <f t="shared" si="45"/>
        <v/>
      </c>
      <c r="V72" s="67">
        <v>1</v>
      </c>
      <c r="W72" s="69">
        <f t="shared" si="5"/>
        <v>-1</v>
      </c>
      <c r="X72" s="31"/>
      <c r="Y72" s="34" t="str">
        <f t="shared" si="6"/>
        <v/>
      </c>
      <c r="Z72" s="67"/>
      <c r="AA72" s="69" t="str">
        <f t="shared" si="7"/>
        <v/>
      </c>
      <c r="AB72" s="31"/>
      <c r="AC72" s="34" t="str">
        <f t="shared" si="8"/>
        <v/>
      </c>
      <c r="AD72" s="67"/>
      <c r="AE72" s="69" t="str">
        <f t="shared" si="9"/>
        <v/>
      </c>
      <c r="AF72" s="31"/>
      <c r="AG72" s="34" t="str">
        <f t="shared" si="10"/>
        <v/>
      </c>
      <c r="AH72" s="67"/>
      <c r="AI72" s="69" t="str">
        <f t="shared" si="11"/>
        <v/>
      </c>
      <c r="AJ72" s="31"/>
      <c r="AK72" s="34" t="str">
        <f t="shared" si="12"/>
        <v/>
      </c>
      <c r="AL72" s="67"/>
      <c r="AM72" s="69" t="str">
        <f t="shared" si="13"/>
        <v/>
      </c>
      <c r="AN72" s="31">
        <v>0</v>
      </c>
      <c r="AO72" s="34" t="str">
        <f t="shared" si="14"/>
        <v/>
      </c>
      <c r="AP72" s="67">
        <v>1</v>
      </c>
      <c r="AQ72" s="69">
        <f t="shared" si="15"/>
        <v>-1</v>
      </c>
      <c r="AR72" s="31">
        <v>1</v>
      </c>
      <c r="AS72" s="34">
        <f t="shared" si="16"/>
        <v>8.3333333333333321</v>
      </c>
      <c r="AT72" s="67"/>
      <c r="AU72" s="69" t="str">
        <f t="shared" si="44"/>
        <v/>
      </c>
      <c r="AV72" s="31"/>
      <c r="AW72" s="34" t="str">
        <f t="shared" si="18"/>
        <v/>
      </c>
      <c r="AX72" s="67"/>
      <c r="AY72" s="69" t="str">
        <f t="shared" si="19"/>
        <v/>
      </c>
      <c r="AZ72" s="56"/>
      <c r="BA72" s="34" t="str">
        <f t="shared" si="20"/>
        <v/>
      </c>
      <c r="BB72" s="67"/>
      <c r="BC72" s="69" t="str">
        <f t="shared" si="21"/>
        <v/>
      </c>
      <c r="BD72" s="31">
        <v>1</v>
      </c>
      <c r="BE72" s="34">
        <f t="shared" si="22"/>
        <v>8.3333333333333321</v>
      </c>
      <c r="BF72" s="67">
        <v>1</v>
      </c>
      <c r="BG72" s="69">
        <f t="shared" si="23"/>
        <v>0</v>
      </c>
      <c r="BH72" s="31"/>
      <c r="BI72" s="34" t="str">
        <f t="shared" si="24"/>
        <v/>
      </c>
      <c r="BJ72" s="67"/>
      <c r="BK72" s="69" t="str">
        <f t="shared" si="25"/>
        <v/>
      </c>
      <c r="BL72" s="31"/>
      <c r="BM72" s="34" t="str">
        <f t="shared" si="26"/>
        <v/>
      </c>
      <c r="BN72" s="67"/>
      <c r="BO72" s="69" t="str">
        <f t="shared" si="27"/>
        <v/>
      </c>
      <c r="BP72" s="31"/>
      <c r="BQ72" s="34" t="str">
        <f t="shared" si="28"/>
        <v/>
      </c>
      <c r="BR72" s="67"/>
      <c r="BS72" s="69" t="str">
        <f t="shared" si="29"/>
        <v/>
      </c>
      <c r="BT72" s="31"/>
      <c r="BU72" s="34" t="str">
        <f t="shared" si="30"/>
        <v/>
      </c>
      <c r="BV72" s="67"/>
      <c r="BW72" s="69" t="str">
        <f t="shared" si="31"/>
        <v/>
      </c>
      <c r="BX72" s="31"/>
      <c r="BY72" s="34" t="str">
        <f t="shared" si="32"/>
        <v/>
      </c>
      <c r="BZ72" s="67"/>
      <c r="CA72" s="69" t="str">
        <f t="shared" si="33"/>
        <v/>
      </c>
      <c r="CB72" s="31"/>
      <c r="CC72" s="34" t="str">
        <f t="shared" si="34"/>
        <v/>
      </c>
      <c r="CD72" s="67"/>
      <c r="CE72" s="69" t="str">
        <f t="shared" si="35"/>
        <v/>
      </c>
      <c r="CF72" s="31"/>
      <c r="CG72" s="34" t="str">
        <f t="shared" si="36"/>
        <v/>
      </c>
      <c r="CH72" s="67"/>
      <c r="CI72" s="69" t="str">
        <f t="shared" si="37"/>
        <v/>
      </c>
      <c r="CJ72" s="31"/>
      <c r="CK72" s="34" t="str">
        <f t="shared" si="38"/>
        <v/>
      </c>
      <c r="CL72" s="67"/>
      <c r="CM72" s="69" t="str">
        <f t="shared" si="39"/>
        <v/>
      </c>
      <c r="CN72" s="31"/>
      <c r="CO72" s="34" t="str">
        <f t="shared" si="40"/>
        <v/>
      </c>
      <c r="CP72" s="67"/>
      <c r="CQ72" s="69" t="str">
        <f t="shared" si="41"/>
        <v/>
      </c>
      <c r="CR72" s="21" t="s">
        <v>415</v>
      </c>
    </row>
    <row r="73" spans="1:96" ht="20" customHeight="1" x14ac:dyDescent="0.2">
      <c r="A73" s="680"/>
      <c r="B73" s="721"/>
      <c r="C73" s="722"/>
      <c r="D73" s="722" t="s">
        <v>85</v>
      </c>
      <c r="E73" s="723" t="s">
        <v>677</v>
      </c>
      <c r="F73" s="723" t="s">
        <v>678</v>
      </c>
      <c r="G73" s="722"/>
      <c r="H73" s="287"/>
      <c r="I73" s="65"/>
      <c r="J73" s="61" t="s">
        <v>340</v>
      </c>
      <c r="K73" s="62" t="s">
        <v>168</v>
      </c>
      <c r="L73" s="31"/>
      <c r="M73" s="34"/>
      <c r="N73" s="67"/>
      <c r="O73" s="67"/>
      <c r="P73" s="31"/>
      <c r="Q73" s="34"/>
      <c r="R73" s="67"/>
      <c r="S73" s="69"/>
      <c r="T73" s="56"/>
      <c r="U73" s="34"/>
      <c r="V73" s="67"/>
      <c r="W73" s="69"/>
      <c r="X73" s="31"/>
      <c r="Y73" s="34"/>
      <c r="Z73" s="67"/>
      <c r="AA73" s="69"/>
      <c r="AB73" s="31"/>
      <c r="AC73" s="34"/>
      <c r="AD73" s="67"/>
      <c r="AE73" s="69"/>
      <c r="AF73" s="31"/>
      <c r="AG73" s="34"/>
      <c r="AH73" s="67"/>
      <c r="AI73" s="69"/>
      <c r="AJ73" s="31"/>
      <c r="AK73" s="34"/>
      <c r="AL73" s="67"/>
      <c r="AM73" s="69"/>
      <c r="AN73" s="31"/>
      <c r="AO73" s="34"/>
      <c r="AP73" s="67"/>
      <c r="AQ73" s="69"/>
      <c r="AR73" s="31"/>
      <c r="AS73" s="34"/>
      <c r="AT73" s="67"/>
      <c r="AU73" s="69"/>
      <c r="AV73" s="31"/>
      <c r="AW73" s="34"/>
      <c r="AX73" s="67"/>
      <c r="AY73" s="69"/>
      <c r="AZ73" s="56"/>
      <c r="BA73" s="34"/>
      <c r="BB73" s="67"/>
      <c r="BC73" s="69"/>
      <c r="BD73" s="31"/>
      <c r="BE73" s="34"/>
      <c r="BF73" s="67"/>
      <c r="BG73" s="69"/>
      <c r="BH73" s="31"/>
      <c r="BI73" s="34"/>
      <c r="BJ73" s="67"/>
      <c r="BK73" s="69"/>
      <c r="BL73" s="31"/>
      <c r="BM73" s="34"/>
      <c r="BN73" s="67"/>
      <c r="BO73" s="69"/>
      <c r="BP73" s="31"/>
      <c r="BQ73" s="34"/>
      <c r="BR73" s="67"/>
      <c r="BS73" s="69"/>
      <c r="BT73" s="31"/>
      <c r="BU73" s="34"/>
      <c r="BV73" s="67"/>
      <c r="BW73" s="69"/>
      <c r="BX73" s="31"/>
      <c r="BY73" s="34"/>
      <c r="BZ73" s="67"/>
      <c r="CA73" s="69"/>
      <c r="CB73" s="31"/>
      <c r="CC73" s="34"/>
      <c r="CD73" s="67"/>
      <c r="CE73" s="69"/>
      <c r="CF73" s="31"/>
      <c r="CG73" s="34"/>
      <c r="CH73" s="67"/>
      <c r="CI73" s="69"/>
      <c r="CJ73" s="31"/>
      <c r="CK73" s="34"/>
      <c r="CL73" s="67"/>
      <c r="CM73" s="69"/>
      <c r="CN73" s="31"/>
      <c r="CO73" s="34"/>
      <c r="CP73" s="67"/>
      <c r="CQ73" s="69"/>
    </row>
    <row r="74" spans="1:96" ht="20" customHeight="1" x14ac:dyDescent="0.2">
      <c r="A74" s="678"/>
      <c r="B74" s="725"/>
      <c r="C74" s="253"/>
      <c r="D74" s="722" t="s">
        <v>85</v>
      </c>
      <c r="E74" s="723" t="s">
        <v>109</v>
      </c>
      <c r="F74" s="723" t="s">
        <v>110</v>
      </c>
      <c r="G74" s="722">
        <v>1999</v>
      </c>
      <c r="H74" s="287">
        <v>76</v>
      </c>
      <c r="I74" s="65">
        <v>7</v>
      </c>
      <c r="J74" s="61" t="s">
        <v>175</v>
      </c>
      <c r="K74" s="62" t="s">
        <v>191</v>
      </c>
      <c r="L74" s="31"/>
      <c r="M74" s="34" t="str">
        <f t="shared" si="0"/>
        <v/>
      </c>
      <c r="N74" s="67"/>
      <c r="O74" s="67" t="str">
        <f t="shared" si="1"/>
        <v/>
      </c>
      <c r="P74" s="31"/>
      <c r="Q74" s="34" t="str">
        <f t="shared" si="2"/>
        <v/>
      </c>
      <c r="R74" s="67"/>
      <c r="S74" s="69" t="str">
        <f t="shared" si="3"/>
        <v/>
      </c>
      <c r="T74" s="56"/>
      <c r="U74" s="34" t="str">
        <f t="shared" si="45"/>
        <v/>
      </c>
      <c r="V74" s="67"/>
      <c r="W74" s="69" t="str">
        <f t="shared" si="5"/>
        <v/>
      </c>
      <c r="X74" s="31"/>
      <c r="Y74" s="34" t="str">
        <f t="shared" si="6"/>
        <v/>
      </c>
      <c r="Z74" s="67"/>
      <c r="AA74" s="69" t="str">
        <f t="shared" si="7"/>
        <v/>
      </c>
      <c r="AB74" s="31"/>
      <c r="AC74" s="34" t="str">
        <f t="shared" si="8"/>
        <v/>
      </c>
      <c r="AD74" s="67"/>
      <c r="AE74" s="69" t="str">
        <f t="shared" si="9"/>
        <v/>
      </c>
      <c r="AF74" s="31"/>
      <c r="AG74" s="34" t="str">
        <f t="shared" si="10"/>
        <v/>
      </c>
      <c r="AH74" s="67"/>
      <c r="AI74" s="69" t="str">
        <f t="shared" si="11"/>
        <v/>
      </c>
      <c r="AJ74" s="31"/>
      <c r="AK74" s="34" t="str">
        <f t="shared" si="12"/>
        <v/>
      </c>
      <c r="AL74" s="67"/>
      <c r="AM74" s="69" t="str">
        <f t="shared" si="13"/>
        <v/>
      </c>
      <c r="AN74" s="31"/>
      <c r="AO74" s="34" t="str">
        <f t="shared" si="14"/>
        <v/>
      </c>
      <c r="AP74" s="67"/>
      <c r="AQ74" s="69" t="str">
        <f t="shared" si="15"/>
        <v/>
      </c>
      <c r="AR74" s="31"/>
      <c r="AS74" s="34" t="str">
        <f t="shared" si="16"/>
        <v/>
      </c>
      <c r="AT74" s="67"/>
      <c r="AU74" s="69" t="str">
        <f t="shared" si="44"/>
        <v/>
      </c>
      <c r="AV74" s="31"/>
      <c r="AW74" s="34" t="str">
        <f t="shared" si="18"/>
        <v/>
      </c>
      <c r="AX74" s="67"/>
      <c r="AY74" s="69" t="str">
        <f t="shared" si="19"/>
        <v/>
      </c>
      <c r="AZ74" s="56"/>
      <c r="BA74" s="34" t="str">
        <f t="shared" si="20"/>
        <v/>
      </c>
      <c r="BB74" s="67"/>
      <c r="BC74" s="69" t="str">
        <f t="shared" si="21"/>
        <v/>
      </c>
      <c r="BD74" s="31"/>
      <c r="BE74" s="34" t="str">
        <f t="shared" si="22"/>
        <v/>
      </c>
      <c r="BF74" s="67"/>
      <c r="BG74" s="69" t="str">
        <f t="shared" si="23"/>
        <v/>
      </c>
      <c r="BH74" s="31"/>
      <c r="BI74" s="34" t="str">
        <f t="shared" si="24"/>
        <v/>
      </c>
      <c r="BJ74" s="67"/>
      <c r="BK74" s="69" t="str">
        <f t="shared" si="25"/>
        <v/>
      </c>
      <c r="BL74" s="31"/>
      <c r="BM74" s="34" t="str">
        <f t="shared" si="26"/>
        <v/>
      </c>
      <c r="BN74" s="67"/>
      <c r="BO74" s="69" t="str">
        <f t="shared" si="27"/>
        <v/>
      </c>
      <c r="BP74" s="31"/>
      <c r="BQ74" s="34" t="str">
        <f t="shared" si="28"/>
        <v/>
      </c>
      <c r="BR74" s="67"/>
      <c r="BS74" s="69" t="str">
        <f t="shared" si="29"/>
        <v/>
      </c>
      <c r="BT74" s="31"/>
      <c r="BU74" s="34" t="str">
        <f t="shared" si="30"/>
        <v/>
      </c>
      <c r="BV74" s="67"/>
      <c r="BW74" s="69" t="str">
        <f t="shared" si="31"/>
        <v/>
      </c>
      <c r="BX74" s="31"/>
      <c r="BY74" s="34" t="str">
        <f t="shared" si="32"/>
        <v/>
      </c>
      <c r="BZ74" s="67"/>
      <c r="CA74" s="69" t="str">
        <f t="shared" si="33"/>
        <v/>
      </c>
      <c r="CB74" s="31"/>
      <c r="CC74" s="34" t="str">
        <f t="shared" si="34"/>
        <v/>
      </c>
      <c r="CD74" s="67"/>
      <c r="CE74" s="69" t="str">
        <f t="shared" si="35"/>
        <v/>
      </c>
      <c r="CF74" s="31"/>
      <c r="CG74" s="34" t="str">
        <f t="shared" si="36"/>
        <v/>
      </c>
      <c r="CH74" s="67"/>
      <c r="CI74" s="69" t="str">
        <f t="shared" si="37"/>
        <v/>
      </c>
      <c r="CJ74" s="31"/>
      <c r="CK74" s="34" t="str">
        <f t="shared" si="38"/>
        <v/>
      </c>
      <c r="CL74" s="67"/>
      <c r="CM74" s="69" t="str">
        <f t="shared" si="39"/>
        <v/>
      </c>
      <c r="CN74" s="31"/>
      <c r="CO74" s="34" t="str">
        <f t="shared" si="40"/>
        <v/>
      </c>
      <c r="CP74" s="67"/>
      <c r="CQ74" s="69" t="str">
        <f t="shared" si="41"/>
        <v/>
      </c>
      <c r="CR74" s="21" t="s">
        <v>180</v>
      </c>
    </row>
    <row r="75" spans="1:96" ht="20" customHeight="1" x14ac:dyDescent="0.2">
      <c r="A75" s="678"/>
      <c r="B75" s="721"/>
      <c r="C75" s="253"/>
      <c r="D75" s="722" t="s">
        <v>85</v>
      </c>
      <c r="E75" s="723" t="s">
        <v>111</v>
      </c>
      <c r="F75" s="723" t="s">
        <v>112</v>
      </c>
      <c r="G75" s="722">
        <v>2008</v>
      </c>
      <c r="H75" s="287">
        <v>101</v>
      </c>
      <c r="I75" s="65">
        <v>16</v>
      </c>
      <c r="J75" s="61" t="s">
        <v>210</v>
      </c>
      <c r="K75" s="62"/>
      <c r="L75" s="31"/>
      <c r="M75" s="34" t="str">
        <f t="shared" si="0"/>
        <v/>
      </c>
      <c r="N75" s="67"/>
      <c r="O75" s="67" t="str">
        <f t="shared" si="1"/>
        <v/>
      </c>
      <c r="P75" s="31"/>
      <c r="Q75" s="34" t="str">
        <f t="shared" si="2"/>
        <v/>
      </c>
      <c r="R75" s="67"/>
      <c r="S75" s="69" t="str">
        <f t="shared" si="3"/>
        <v/>
      </c>
      <c r="T75" s="56"/>
      <c r="U75" s="34" t="str">
        <f t="shared" si="45"/>
        <v/>
      </c>
      <c r="V75" s="67"/>
      <c r="W75" s="69" t="str">
        <f t="shared" si="5"/>
        <v/>
      </c>
      <c r="X75" s="31"/>
      <c r="Y75" s="34" t="str">
        <f t="shared" si="6"/>
        <v/>
      </c>
      <c r="Z75" s="67"/>
      <c r="AA75" s="69" t="str">
        <f t="shared" si="7"/>
        <v/>
      </c>
      <c r="AB75" s="31"/>
      <c r="AC75" s="34" t="str">
        <f t="shared" si="8"/>
        <v/>
      </c>
      <c r="AD75" s="67"/>
      <c r="AE75" s="69" t="str">
        <f t="shared" si="9"/>
        <v/>
      </c>
      <c r="AF75" s="31"/>
      <c r="AG75" s="34" t="str">
        <f t="shared" si="10"/>
        <v/>
      </c>
      <c r="AH75" s="67"/>
      <c r="AI75" s="69" t="str">
        <f t="shared" si="11"/>
        <v/>
      </c>
      <c r="AJ75" s="31"/>
      <c r="AK75" s="34" t="str">
        <f t="shared" si="12"/>
        <v/>
      </c>
      <c r="AL75" s="67"/>
      <c r="AM75" s="69" t="str">
        <f t="shared" si="13"/>
        <v/>
      </c>
      <c r="AN75" s="31"/>
      <c r="AO75" s="34" t="str">
        <f t="shared" si="14"/>
        <v/>
      </c>
      <c r="AP75" s="67"/>
      <c r="AQ75" s="69" t="str">
        <f t="shared" si="15"/>
        <v/>
      </c>
      <c r="AR75" s="31"/>
      <c r="AS75" s="34" t="str">
        <f t="shared" si="16"/>
        <v/>
      </c>
      <c r="AT75" s="67"/>
      <c r="AU75" s="69" t="str">
        <f t="shared" si="44"/>
        <v/>
      </c>
      <c r="AV75" s="31"/>
      <c r="AW75" s="34" t="str">
        <f t="shared" si="18"/>
        <v/>
      </c>
      <c r="AX75" s="67"/>
      <c r="AY75" s="69" t="str">
        <f t="shared" si="19"/>
        <v/>
      </c>
      <c r="AZ75" s="56"/>
      <c r="BA75" s="34" t="str">
        <f t="shared" si="20"/>
        <v/>
      </c>
      <c r="BB75" s="67"/>
      <c r="BC75" s="69" t="str">
        <f t="shared" si="21"/>
        <v/>
      </c>
      <c r="BD75" s="31"/>
      <c r="BE75" s="34" t="str">
        <f t="shared" si="22"/>
        <v/>
      </c>
      <c r="BF75" s="67"/>
      <c r="BG75" s="69" t="str">
        <f t="shared" si="23"/>
        <v/>
      </c>
      <c r="BH75" s="31"/>
      <c r="BI75" s="34" t="str">
        <f t="shared" si="24"/>
        <v/>
      </c>
      <c r="BJ75" s="67"/>
      <c r="BK75" s="69" t="str">
        <f t="shared" si="25"/>
        <v/>
      </c>
      <c r="BL75" s="31"/>
      <c r="BM75" s="34" t="str">
        <f t="shared" si="26"/>
        <v/>
      </c>
      <c r="BN75" s="67"/>
      <c r="BO75" s="69" t="str">
        <f t="shared" si="27"/>
        <v/>
      </c>
      <c r="BP75" s="31"/>
      <c r="BQ75" s="34" t="str">
        <f t="shared" si="28"/>
        <v/>
      </c>
      <c r="BR75" s="67"/>
      <c r="BS75" s="69" t="str">
        <f t="shared" si="29"/>
        <v/>
      </c>
      <c r="BT75" s="31"/>
      <c r="BU75" s="34" t="str">
        <f t="shared" si="30"/>
        <v/>
      </c>
      <c r="BV75" s="67"/>
      <c r="BW75" s="69" t="str">
        <f t="shared" si="31"/>
        <v/>
      </c>
      <c r="BX75" s="31"/>
      <c r="BY75" s="34" t="str">
        <f t="shared" si="32"/>
        <v/>
      </c>
      <c r="BZ75" s="67"/>
      <c r="CA75" s="69" t="str">
        <f t="shared" si="33"/>
        <v/>
      </c>
      <c r="CB75" s="31"/>
      <c r="CC75" s="34" t="str">
        <f t="shared" si="34"/>
        <v/>
      </c>
      <c r="CD75" s="67"/>
      <c r="CE75" s="69" t="str">
        <f t="shared" si="35"/>
        <v/>
      </c>
      <c r="CF75" s="31"/>
      <c r="CG75" s="34" t="str">
        <f t="shared" si="36"/>
        <v/>
      </c>
      <c r="CH75" s="67"/>
      <c r="CI75" s="69" t="str">
        <f t="shared" si="37"/>
        <v/>
      </c>
      <c r="CJ75" s="31"/>
      <c r="CK75" s="34" t="str">
        <f t="shared" si="38"/>
        <v/>
      </c>
      <c r="CL75" s="67"/>
      <c r="CM75" s="69" t="str">
        <f t="shared" si="39"/>
        <v/>
      </c>
      <c r="CN75" s="31"/>
      <c r="CO75" s="34" t="str">
        <f t="shared" si="40"/>
        <v/>
      </c>
      <c r="CP75" s="67"/>
      <c r="CQ75" s="69" t="str">
        <f t="shared" si="41"/>
        <v/>
      </c>
      <c r="CR75" s="21" t="s">
        <v>383</v>
      </c>
    </row>
    <row r="76" spans="1:96" ht="20" customHeight="1" x14ac:dyDescent="0.2">
      <c r="A76" s="678"/>
      <c r="B76" s="725"/>
      <c r="C76" s="255"/>
      <c r="D76" s="722" t="s">
        <v>85</v>
      </c>
      <c r="E76" s="723" t="s">
        <v>119</v>
      </c>
      <c r="F76" s="723" t="s">
        <v>120</v>
      </c>
      <c r="G76" s="722">
        <v>2003</v>
      </c>
      <c r="H76" s="287">
        <v>45</v>
      </c>
      <c r="I76" s="65">
        <v>16</v>
      </c>
      <c r="J76" s="61" t="s">
        <v>175</v>
      </c>
      <c r="K76" s="62" t="s">
        <v>416</v>
      </c>
      <c r="L76" s="31"/>
      <c r="M76" s="34" t="str">
        <f t="shared" si="0"/>
        <v/>
      </c>
      <c r="N76" s="67"/>
      <c r="O76" s="67" t="str">
        <f t="shared" si="1"/>
        <v/>
      </c>
      <c r="P76" s="31"/>
      <c r="Q76" s="34" t="str">
        <f t="shared" si="2"/>
        <v/>
      </c>
      <c r="R76" s="67"/>
      <c r="S76" s="69" t="str">
        <f t="shared" si="3"/>
        <v/>
      </c>
      <c r="T76" s="36"/>
      <c r="U76" s="37" t="str">
        <f t="shared" si="45"/>
        <v/>
      </c>
      <c r="V76" s="85"/>
      <c r="W76" s="86" t="str">
        <f t="shared" si="5"/>
        <v/>
      </c>
      <c r="X76" s="31"/>
      <c r="Y76" s="34" t="str">
        <f t="shared" si="6"/>
        <v/>
      </c>
      <c r="Z76" s="67"/>
      <c r="AA76" s="69" t="str">
        <f t="shared" si="7"/>
        <v/>
      </c>
      <c r="AB76" s="36"/>
      <c r="AC76" s="37" t="str">
        <f t="shared" si="8"/>
        <v/>
      </c>
      <c r="AD76" s="85"/>
      <c r="AE76" s="86" t="str">
        <f t="shared" si="9"/>
        <v/>
      </c>
      <c r="AF76" s="31"/>
      <c r="AG76" s="34" t="str">
        <f t="shared" si="10"/>
        <v/>
      </c>
      <c r="AH76" s="67"/>
      <c r="AI76" s="69" t="str">
        <f t="shared" si="11"/>
        <v/>
      </c>
      <c r="AJ76" s="31"/>
      <c r="AK76" s="34" t="str">
        <f t="shared" si="12"/>
        <v/>
      </c>
      <c r="AL76" s="67"/>
      <c r="AM76" s="69" t="str">
        <f t="shared" si="13"/>
        <v/>
      </c>
      <c r="AN76" s="31"/>
      <c r="AO76" s="34" t="str">
        <f t="shared" si="14"/>
        <v/>
      </c>
      <c r="AP76" s="67"/>
      <c r="AQ76" s="69" t="str">
        <f t="shared" si="15"/>
        <v/>
      </c>
      <c r="AR76" s="31"/>
      <c r="AS76" s="34" t="str">
        <f t="shared" si="16"/>
        <v/>
      </c>
      <c r="AT76" s="67"/>
      <c r="AU76" s="69" t="str">
        <f t="shared" si="44"/>
        <v/>
      </c>
      <c r="AV76" s="31"/>
      <c r="AW76" s="34" t="str">
        <f t="shared" si="18"/>
        <v/>
      </c>
      <c r="AX76" s="67"/>
      <c r="AY76" s="69" t="str">
        <f t="shared" si="19"/>
        <v/>
      </c>
      <c r="AZ76" s="56"/>
      <c r="BA76" s="34" t="str">
        <f t="shared" si="20"/>
        <v/>
      </c>
      <c r="BB76" s="67"/>
      <c r="BC76" s="69" t="str">
        <f t="shared" si="21"/>
        <v/>
      </c>
      <c r="BD76" s="31"/>
      <c r="BE76" s="34" t="str">
        <f t="shared" si="22"/>
        <v/>
      </c>
      <c r="BF76" s="67"/>
      <c r="BG76" s="69" t="str">
        <f t="shared" si="23"/>
        <v/>
      </c>
      <c r="BH76" s="31"/>
      <c r="BI76" s="34" t="str">
        <f t="shared" si="24"/>
        <v/>
      </c>
      <c r="BJ76" s="67"/>
      <c r="BK76" s="69" t="str">
        <f t="shared" si="25"/>
        <v/>
      </c>
      <c r="BL76" s="31"/>
      <c r="BM76" s="34" t="str">
        <f t="shared" si="26"/>
        <v/>
      </c>
      <c r="BN76" s="67"/>
      <c r="BO76" s="69" t="str">
        <f t="shared" si="27"/>
        <v/>
      </c>
      <c r="BP76" s="31"/>
      <c r="BQ76" s="34" t="str">
        <f t="shared" si="28"/>
        <v/>
      </c>
      <c r="BR76" s="67"/>
      <c r="BS76" s="69" t="str">
        <f t="shared" si="29"/>
        <v/>
      </c>
      <c r="BT76" s="31"/>
      <c r="BU76" s="34" t="str">
        <f t="shared" si="30"/>
        <v/>
      </c>
      <c r="BV76" s="67"/>
      <c r="BW76" s="69" t="str">
        <f t="shared" si="31"/>
        <v/>
      </c>
      <c r="BX76" s="31"/>
      <c r="BY76" s="34" t="str">
        <f t="shared" si="32"/>
        <v/>
      </c>
      <c r="BZ76" s="67"/>
      <c r="CA76" s="69" t="str">
        <f t="shared" si="33"/>
        <v/>
      </c>
      <c r="CB76" s="31"/>
      <c r="CC76" s="34" t="str">
        <f t="shared" si="34"/>
        <v/>
      </c>
      <c r="CD76" s="67"/>
      <c r="CE76" s="69" t="str">
        <f t="shared" si="35"/>
        <v/>
      </c>
      <c r="CF76" s="31"/>
      <c r="CG76" s="34" t="str">
        <f t="shared" si="36"/>
        <v/>
      </c>
      <c r="CH76" s="67"/>
      <c r="CI76" s="69" t="str">
        <f t="shared" si="37"/>
        <v/>
      </c>
      <c r="CJ76" s="31"/>
      <c r="CK76" s="34" t="str">
        <f t="shared" si="38"/>
        <v/>
      </c>
      <c r="CL76" s="67"/>
      <c r="CM76" s="69" t="str">
        <f t="shared" si="39"/>
        <v/>
      </c>
      <c r="CN76" s="31"/>
      <c r="CO76" s="34" t="str">
        <f t="shared" si="40"/>
        <v/>
      </c>
      <c r="CP76" s="67"/>
      <c r="CQ76" s="69" t="str">
        <f t="shared" si="41"/>
        <v/>
      </c>
      <c r="CR76" s="21" t="s">
        <v>404</v>
      </c>
    </row>
    <row r="77" spans="1:96" ht="20" customHeight="1" x14ac:dyDescent="0.2">
      <c r="A77" s="678"/>
      <c r="B77" s="725"/>
      <c r="C77" s="255"/>
      <c r="D77" s="722" t="s">
        <v>85</v>
      </c>
      <c r="E77" s="723" t="s">
        <v>304</v>
      </c>
      <c r="F77" s="723" t="s">
        <v>305</v>
      </c>
      <c r="G77" s="722">
        <v>2015</v>
      </c>
      <c r="H77" s="287"/>
      <c r="I77" s="65">
        <v>5</v>
      </c>
      <c r="J77" s="61" t="s">
        <v>210</v>
      </c>
      <c r="K77" s="62" t="s">
        <v>187</v>
      </c>
      <c r="L77" s="31"/>
      <c r="M77" s="34" t="str">
        <f t="shared" si="0"/>
        <v/>
      </c>
      <c r="N77" s="67"/>
      <c r="O77" s="67" t="str">
        <f t="shared" si="1"/>
        <v/>
      </c>
      <c r="P77" s="31"/>
      <c r="Q77" s="34" t="str">
        <f t="shared" si="2"/>
        <v/>
      </c>
      <c r="R77" s="67"/>
      <c r="S77" s="69" t="str">
        <f t="shared" si="3"/>
        <v/>
      </c>
      <c r="T77" s="56"/>
      <c r="U77" s="34" t="str">
        <f t="shared" si="45"/>
        <v/>
      </c>
      <c r="V77" s="67"/>
      <c r="W77" s="69" t="str">
        <f t="shared" si="5"/>
        <v/>
      </c>
      <c r="X77" s="31"/>
      <c r="Y77" s="34" t="str">
        <f t="shared" si="6"/>
        <v/>
      </c>
      <c r="Z77" s="67"/>
      <c r="AA77" s="69" t="str">
        <f t="shared" si="7"/>
        <v/>
      </c>
      <c r="AB77" s="31"/>
      <c r="AC77" s="34" t="str">
        <f t="shared" si="8"/>
        <v/>
      </c>
      <c r="AD77" s="67"/>
      <c r="AE77" s="69" t="str">
        <f t="shared" si="9"/>
        <v/>
      </c>
      <c r="AF77" s="31"/>
      <c r="AG77" s="34" t="str">
        <f t="shared" si="10"/>
        <v/>
      </c>
      <c r="AH77" s="67"/>
      <c r="AI77" s="69" t="str">
        <f t="shared" si="11"/>
        <v/>
      </c>
      <c r="AJ77" s="31"/>
      <c r="AK77" s="34" t="str">
        <f t="shared" si="12"/>
        <v/>
      </c>
      <c r="AL77" s="67"/>
      <c r="AM77" s="69" t="str">
        <f t="shared" si="13"/>
        <v/>
      </c>
      <c r="AN77" s="31"/>
      <c r="AO77" s="34" t="str">
        <f t="shared" si="14"/>
        <v/>
      </c>
      <c r="AP77" s="67"/>
      <c r="AQ77" s="69" t="str">
        <f t="shared" si="15"/>
        <v/>
      </c>
      <c r="AR77" s="31"/>
      <c r="AS77" s="34" t="str">
        <f t="shared" si="16"/>
        <v/>
      </c>
      <c r="AT77" s="67"/>
      <c r="AU77" s="69" t="str">
        <f t="shared" si="44"/>
        <v/>
      </c>
      <c r="AV77" s="31"/>
      <c r="AW77" s="34" t="str">
        <f t="shared" si="18"/>
        <v/>
      </c>
      <c r="AX77" s="67"/>
      <c r="AY77" s="69" t="str">
        <f t="shared" si="19"/>
        <v/>
      </c>
      <c r="AZ77" s="56">
        <v>1</v>
      </c>
      <c r="BA77" s="34">
        <f t="shared" si="20"/>
        <v>20</v>
      </c>
      <c r="BB77" s="67">
        <v>2</v>
      </c>
      <c r="BC77" s="69">
        <f t="shared" si="21"/>
        <v>-1</v>
      </c>
      <c r="BD77" s="31"/>
      <c r="BE77" s="34" t="str">
        <f t="shared" si="22"/>
        <v/>
      </c>
      <c r="BF77" s="67"/>
      <c r="BG77" s="69" t="str">
        <f t="shared" si="23"/>
        <v/>
      </c>
      <c r="BH77" s="31"/>
      <c r="BI77" s="34" t="str">
        <f t="shared" si="24"/>
        <v/>
      </c>
      <c r="BJ77" s="67"/>
      <c r="BK77" s="69" t="str">
        <f t="shared" si="25"/>
        <v/>
      </c>
      <c r="BL77" s="31"/>
      <c r="BM77" s="34" t="str">
        <f t="shared" si="26"/>
        <v/>
      </c>
      <c r="BN77" s="67"/>
      <c r="BO77" s="69" t="str">
        <f t="shared" si="27"/>
        <v/>
      </c>
      <c r="BP77" s="31"/>
      <c r="BQ77" s="34" t="str">
        <f t="shared" si="28"/>
        <v/>
      </c>
      <c r="BR77" s="67"/>
      <c r="BS77" s="69" t="str">
        <f t="shared" si="29"/>
        <v/>
      </c>
      <c r="BT77" s="31"/>
      <c r="BU77" s="34" t="str">
        <f t="shared" si="30"/>
        <v/>
      </c>
      <c r="BV77" s="67"/>
      <c r="BW77" s="69" t="str">
        <f t="shared" si="31"/>
        <v/>
      </c>
      <c r="BX77" s="31"/>
      <c r="BY77" s="34" t="str">
        <f t="shared" si="32"/>
        <v/>
      </c>
      <c r="BZ77" s="67"/>
      <c r="CA77" s="69" t="str">
        <f t="shared" si="33"/>
        <v/>
      </c>
      <c r="CB77" s="31"/>
      <c r="CC77" s="34" t="str">
        <f t="shared" si="34"/>
        <v/>
      </c>
      <c r="CD77" s="67"/>
      <c r="CE77" s="69" t="str">
        <f t="shared" si="35"/>
        <v/>
      </c>
      <c r="CF77" s="31"/>
      <c r="CG77" s="34" t="str">
        <f t="shared" si="36"/>
        <v/>
      </c>
      <c r="CH77" s="67"/>
      <c r="CI77" s="69" t="str">
        <f t="shared" si="37"/>
        <v/>
      </c>
      <c r="CJ77" s="31"/>
      <c r="CK77" s="34" t="str">
        <f t="shared" si="38"/>
        <v/>
      </c>
      <c r="CL77" s="67"/>
      <c r="CM77" s="69" t="str">
        <f t="shared" si="39"/>
        <v/>
      </c>
      <c r="CN77" s="31"/>
      <c r="CO77" s="34" t="str">
        <f t="shared" si="40"/>
        <v/>
      </c>
      <c r="CP77" s="67"/>
      <c r="CQ77" s="69" t="str">
        <f t="shared" si="41"/>
        <v/>
      </c>
      <c r="CR77" s="21" t="s">
        <v>417</v>
      </c>
    </row>
    <row r="78" spans="1:96" ht="20" customHeight="1" x14ac:dyDescent="0.2">
      <c r="A78" s="680"/>
      <c r="B78" s="721"/>
      <c r="C78" s="722"/>
      <c r="D78" s="722" t="s">
        <v>85</v>
      </c>
      <c r="E78" s="723" t="s">
        <v>679</v>
      </c>
      <c r="F78" s="723" t="s">
        <v>680</v>
      </c>
      <c r="G78" s="722">
        <v>1991</v>
      </c>
      <c r="H78" s="287"/>
      <c r="I78" s="65"/>
      <c r="J78" s="61" t="s">
        <v>175</v>
      </c>
      <c r="K78" s="62" t="s">
        <v>209</v>
      </c>
      <c r="L78" s="31"/>
      <c r="M78" s="34"/>
      <c r="N78" s="67"/>
      <c r="O78" s="67"/>
      <c r="P78" s="31"/>
      <c r="Q78" s="34"/>
      <c r="R78" s="67"/>
      <c r="S78" s="69"/>
      <c r="T78" s="56"/>
      <c r="U78" s="34"/>
      <c r="V78" s="67"/>
      <c r="W78" s="69"/>
      <c r="X78" s="31"/>
      <c r="Y78" s="34"/>
      <c r="Z78" s="67"/>
      <c r="AA78" s="69"/>
      <c r="AB78" s="31"/>
      <c r="AC78" s="34"/>
      <c r="AD78" s="67"/>
      <c r="AE78" s="69"/>
      <c r="AF78" s="31"/>
      <c r="AG78" s="34"/>
      <c r="AH78" s="67"/>
      <c r="AI78" s="69"/>
      <c r="AJ78" s="31"/>
      <c r="AK78" s="34"/>
      <c r="AL78" s="67"/>
      <c r="AM78" s="69"/>
      <c r="AN78" s="31"/>
      <c r="AO78" s="34"/>
      <c r="AP78" s="67"/>
      <c r="AQ78" s="69"/>
      <c r="AR78" s="31"/>
      <c r="AS78" s="34"/>
      <c r="AT78" s="67"/>
      <c r="AU78" s="69"/>
      <c r="AV78" s="31"/>
      <c r="AW78" s="34"/>
      <c r="AX78" s="67"/>
      <c r="AY78" s="69"/>
      <c r="AZ78" s="56"/>
      <c r="BA78" s="34"/>
      <c r="BB78" s="67"/>
      <c r="BC78" s="69"/>
      <c r="BD78" s="31"/>
      <c r="BE78" s="34"/>
      <c r="BF78" s="67"/>
      <c r="BG78" s="69"/>
      <c r="BH78" s="31"/>
      <c r="BI78" s="34"/>
      <c r="BJ78" s="67"/>
      <c r="BK78" s="69"/>
      <c r="BL78" s="31"/>
      <c r="BM78" s="34"/>
      <c r="BN78" s="67"/>
      <c r="BO78" s="69"/>
      <c r="BP78" s="31"/>
      <c r="BQ78" s="34"/>
      <c r="BR78" s="67"/>
      <c r="BS78" s="69"/>
      <c r="BT78" s="31"/>
      <c r="BU78" s="34"/>
      <c r="BV78" s="67"/>
      <c r="BW78" s="69"/>
      <c r="BX78" s="31"/>
      <c r="BY78" s="34"/>
      <c r="BZ78" s="67"/>
      <c r="CA78" s="69"/>
      <c r="CB78" s="31"/>
      <c r="CC78" s="34"/>
      <c r="CD78" s="67"/>
      <c r="CE78" s="69"/>
      <c r="CF78" s="31"/>
      <c r="CG78" s="34"/>
      <c r="CH78" s="67"/>
      <c r="CI78" s="69"/>
      <c r="CJ78" s="31"/>
      <c r="CK78" s="34"/>
      <c r="CL78" s="67"/>
      <c r="CM78" s="69"/>
      <c r="CN78" s="31"/>
      <c r="CO78" s="34"/>
      <c r="CP78" s="67"/>
      <c r="CQ78" s="69"/>
    </row>
    <row r="79" spans="1:96" ht="20" customHeight="1" x14ac:dyDescent="0.2">
      <c r="A79" s="678"/>
      <c r="B79" s="725"/>
      <c r="C79" s="253"/>
      <c r="D79" s="722" t="s">
        <v>85</v>
      </c>
      <c r="E79" s="723" t="s">
        <v>306</v>
      </c>
      <c r="F79" s="723" t="s">
        <v>307</v>
      </c>
      <c r="G79" s="722">
        <v>2008</v>
      </c>
      <c r="H79" s="287"/>
      <c r="I79" s="65">
        <v>86</v>
      </c>
      <c r="J79" s="61" t="s">
        <v>175</v>
      </c>
      <c r="K79" s="62"/>
      <c r="L79" s="31"/>
      <c r="M79" s="34" t="str">
        <f t="shared" si="0"/>
        <v/>
      </c>
      <c r="N79" s="67"/>
      <c r="O79" s="67" t="str">
        <f t="shared" si="1"/>
        <v/>
      </c>
      <c r="P79" s="31"/>
      <c r="Q79" s="34" t="str">
        <f t="shared" si="2"/>
        <v/>
      </c>
      <c r="R79" s="67"/>
      <c r="S79" s="69" t="str">
        <f t="shared" si="3"/>
        <v/>
      </c>
      <c r="T79" s="56"/>
      <c r="U79" s="34" t="str">
        <f t="shared" si="45"/>
        <v/>
      </c>
      <c r="V79" s="67"/>
      <c r="W79" s="69" t="str">
        <f t="shared" si="5"/>
        <v/>
      </c>
      <c r="X79" s="31"/>
      <c r="Y79" s="34" t="str">
        <f t="shared" si="6"/>
        <v/>
      </c>
      <c r="Z79" s="67"/>
      <c r="AA79" s="69" t="str">
        <f t="shared" si="7"/>
        <v/>
      </c>
      <c r="AB79" s="31"/>
      <c r="AC79" s="34" t="str">
        <f t="shared" si="8"/>
        <v/>
      </c>
      <c r="AD79" s="67"/>
      <c r="AE79" s="69" t="str">
        <f t="shared" si="9"/>
        <v/>
      </c>
      <c r="AF79" s="31"/>
      <c r="AG79" s="34" t="str">
        <f t="shared" si="10"/>
        <v/>
      </c>
      <c r="AH79" s="67"/>
      <c r="AI79" s="69" t="str">
        <f t="shared" si="11"/>
        <v/>
      </c>
      <c r="AJ79" s="31"/>
      <c r="AK79" s="34" t="str">
        <f t="shared" si="12"/>
        <v/>
      </c>
      <c r="AL79" s="67"/>
      <c r="AM79" s="69" t="str">
        <f t="shared" si="13"/>
        <v/>
      </c>
      <c r="AN79" s="31"/>
      <c r="AO79" s="34" t="str">
        <f t="shared" si="14"/>
        <v/>
      </c>
      <c r="AP79" s="67"/>
      <c r="AQ79" s="69" t="str">
        <f t="shared" si="15"/>
        <v/>
      </c>
      <c r="AR79" s="31"/>
      <c r="AS79" s="34" t="str">
        <f t="shared" si="16"/>
        <v/>
      </c>
      <c r="AT79" s="67"/>
      <c r="AU79" s="69" t="str">
        <f t="shared" si="44"/>
        <v/>
      </c>
      <c r="AV79" s="31"/>
      <c r="AW79" s="34" t="str">
        <f t="shared" si="18"/>
        <v/>
      </c>
      <c r="AX79" s="67"/>
      <c r="AY79" s="69" t="str">
        <f t="shared" si="19"/>
        <v/>
      </c>
      <c r="AZ79" s="56"/>
      <c r="BA79" s="34" t="str">
        <f t="shared" si="20"/>
        <v/>
      </c>
      <c r="BB79" s="67"/>
      <c r="BC79" s="69" t="str">
        <f t="shared" si="21"/>
        <v/>
      </c>
      <c r="BD79" s="31"/>
      <c r="BE79" s="34" t="str">
        <f t="shared" si="22"/>
        <v/>
      </c>
      <c r="BF79" s="67"/>
      <c r="BG79" s="69" t="str">
        <f t="shared" si="23"/>
        <v/>
      </c>
      <c r="BH79" s="31"/>
      <c r="BI79" s="34" t="str">
        <f t="shared" si="24"/>
        <v/>
      </c>
      <c r="BJ79" s="67"/>
      <c r="BK79" s="69" t="str">
        <f t="shared" si="25"/>
        <v/>
      </c>
      <c r="BL79" s="31"/>
      <c r="BM79" s="34" t="str">
        <f t="shared" si="26"/>
        <v/>
      </c>
      <c r="BN79" s="67"/>
      <c r="BO79" s="69" t="str">
        <f t="shared" si="27"/>
        <v/>
      </c>
      <c r="BP79" s="31"/>
      <c r="BQ79" s="34" t="str">
        <f t="shared" si="28"/>
        <v/>
      </c>
      <c r="BR79" s="67"/>
      <c r="BS79" s="69" t="str">
        <f t="shared" si="29"/>
        <v/>
      </c>
      <c r="BT79" s="31"/>
      <c r="BU79" s="34" t="str">
        <f t="shared" si="30"/>
        <v/>
      </c>
      <c r="BV79" s="67"/>
      <c r="BW79" s="69" t="str">
        <f t="shared" si="31"/>
        <v/>
      </c>
      <c r="BX79" s="31"/>
      <c r="BY79" s="34" t="str">
        <f t="shared" si="32"/>
        <v/>
      </c>
      <c r="BZ79" s="67"/>
      <c r="CA79" s="69" t="str">
        <f t="shared" si="33"/>
        <v/>
      </c>
      <c r="CB79" s="31"/>
      <c r="CC79" s="34" t="str">
        <f t="shared" si="34"/>
        <v/>
      </c>
      <c r="CD79" s="67"/>
      <c r="CE79" s="69" t="str">
        <f t="shared" si="35"/>
        <v/>
      </c>
      <c r="CF79" s="31"/>
      <c r="CG79" s="34" t="str">
        <f t="shared" si="36"/>
        <v/>
      </c>
      <c r="CH79" s="67"/>
      <c r="CI79" s="69" t="str">
        <f t="shared" si="37"/>
        <v/>
      </c>
      <c r="CJ79" s="31"/>
      <c r="CK79" s="34" t="str">
        <f t="shared" si="38"/>
        <v/>
      </c>
      <c r="CL79" s="67"/>
      <c r="CM79" s="69" t="str">
        <f t="shared" si="39"/>
        <v/>
      </c>
      <c r="CN79" s="31"/>
      <c r="CO79" s="34" t="str">
        <f t="shared" si="40"/>
        <v/>
      </c>
      <c r="CP79" s="67"/>
      <c r="CQ79" s="69" t="str">
        <f t="shared" si="41"/>
        <v/>
      </c>
      <c r="CR79" s="21" t="s">
        <v>364</v>
      </c>
    </row>
    <row r="80" spans="1:96" ht="20" customHeight="1" x14ac:dyDescent="0.2">
      <c r="A80" s="678"/>
      <c r="B80" s="725"/>
      <c r="C80" s="253"/>
      <c r="D80" s="722" t="s">
        <v>85</v>
      </c>
      <c r="E80" s="723" t="s">
        <v>308</v>
      </c>
      <c r="F80" s="723" t="s">
        <v>309</v>
      </c>
      <c r="G80" s="722">
        <v>2012</v>
      </c>
      <c r="H80" s="287"/>
      <c r="I80" s="65"/>
      <c r="J80" s="61" t="s">
        <v>365</v>
      </c>
      <c r="K80" s="62" t="s">
        <v>209</v>
      </c>
      <c r="L80" s="31"/>
      <c r="M80" s="34" t="str">
        <f t="shared" si="0"/>
        <v/>
      </c>
      <c r="N80" s="67"/>
      <c r="O80" s="67" t="str">
        <f t="shared" si="1"/>
        <v/>
      </c>
      <c r="P80" s="31"/>
      <c r="Q80" s="34" t="str">
        <f t="shared" si="2"/>
        <v/>
      </c>
      <c r="R80" s="67"/>
      <c r="S80" s="69" t="str">
        <f t="shared" si="3"/>
        <v/>
      </c>
      <c r="T80" s="56"/>
      <c r="U80" s="34" t="str">
        <f t="shared" si="45"/>
        <v/>
      </c>
      <c r="V80" s="67"/>
      <c r="W80" s="69" t="str">
        <f t="shared" si="5"/>
        <v/>
      </c>
      <c r="X80" s="31"/>
      <c r="Y80" s="34" t="str">
        <f t="shared" si="6"/>
        <v/>
      </c>
      <c r="Z80" s="67"/>
      <c r="AA80" s="69" t="str">
        <f t="shared" si="7"/>
        <v/>
      </c>
      <c r="AB80" s="31"/>
      <c r="AC80" s="34" t="str">
        <f t="shared" si="8"/>
        <v/>
      </c>
      <c r="AD80" s="67"/>
      <c r="AE80" s="69" t="str">
        <f t="shared" si="9"/>
        <v/>
      </c>
      <c r="AF80" s="31"/>
      <c r="AG80" s="34" t="str">
        <f t="shared" si="10"/>
        <v/>
      </c>
      <c r="AH80" s="67"/>
      <c r="AI80" s="69" t="str">
        <f t="shared" si="11"/>
        <v/>
      </c>
      <c r="AJ80" s="31"/>
      <c r="AK80" s="34" t="str">
        <f t="shared" si="12"/>
        <v/>
      </c>
      <c r="AL80" s="67"/>
      <c r="AM80" s="69" t="str">
        <f t="shared" si="13"/>
        <v/>
      </c>
      <c r="AN80" s="31"/>
      <c r="AO80" s="34" t="str">
        <f t="shared" si="14"/>
        <v/>
      </c>
      <c r="AP80" s="67"/>
      <c r="AQ80" s="69" t="str">
        <f t="shared" si="15"/>
        <v/>
      </c>
      <c r="AR80" s="31"/>
      <c r="AS80" s="34" t="str">
        <f t="shared" si="16"/>
        <v/>
      </c>
      <c r="AT80" s="67"/>
      <c r="AU80" s="69" t="str">
        <f t="shared" si="44"/>
        <v/>
      </c>
      <c r="AV80" s="31"/>
      <c r="AW80" s="34" t="str">
        <f t="shared" si="18"/>
        <v/>
      </c>
      <c r="AX80" s="67"/>
      <c r="AY80" s="69" t="str">
        <f t="shared" si="19"/>
        <v/>
      </c>
      <c r="AZ80" s="56"/>
      <c r="BA80" s="34" t="str">
        <f t="shared" si="20"/>
        <v/>
      </c>
      <c r="BB80" s="67"/>
      <c r="BC80" s="69" t="str">
        <f t="shared" si="21"/>
        <v/>
      </c>
      <c r="BD80" s="31"/>
      <c r="BE80" s="34" t="str">
        <f t="shared" si="22"/>
        <v/>
      </c>
      <c r="BF80" s="67"/>
      <c r="BG80" s="69" t="str">
        <f t="shared" si="23"/>
        <v/>
      </c>
      <c r="BH80" s="31"/>
      <c r="BI80" s="34" t="str">
        <f t="shared" si="24"/>
        <v/>
      </c>
      <c r="BJ80" s="67"/>
      <c r="BK80" s="69" t="str">
        <f t="shared" si="25"/>
        <v/>
      </c>
      <c r="BL80" s="31"/>
      <c r="BM80" s="34" t="str">
        <f t="shared" si="26"/>
        <v/>
      </c>
      <c r="BN80" s="67"/>
      <c r="BO80" s="69" t="str">
        <f t="shared" si="27"/>
        <v/>
      </c>
      <c r="BP80" s="31"/>
      <c r="BQ80" s="34" t="str">
        <f t="shared" si="28"/>
        <v/>
      </c>
      <c r="BR80" s="67"/>
      <c r="BS80" s="69" t="str">
        <f t="shared" si="29"/>
        <v/>
      </c>
      <c r="BT80" s="31"/>
      <c r="BU80" s="34" t="str">
        <f t="shared" si="30"/>
        <v/>
      </c>
      <c r="BV80" s="67"/>
      <c r="BW80" s="69" t="str">
        <f t="shared" si="31"/>
        <v/>
      </c>
      <c r="BX80" s="31"/>
      <c r="BY80" s="34" t="str">
        <f t="shared" si="32"/>
        <v/>
      </c>
      <c r="BZ80" s="67"/>
      <c r="CA80" s="69" t="str">
        <f t="shared" si="33"/>
        <v/>
      </c>
      <c r="CB80" s="31"/>
      <c r="CC80" s="34" t="str">
        <f t="shared" si="34"/>
        <v/>
      </c>
      <c r="CD80" s="67"/>
      <c r="CE80" s="69" t="str">
        <f t="shared" si="35"/>
        <v/>
      </c>
      <c r="CF80" s="31"/>
      <c r="CG80" s="34" t="str">
        <f t="shared" si="36"/>
        <v/>
      </c>
      <c r="CH80" s="67"/>
      <c r="CI80" s="69" t="str">
        <f t="shared" si="37"/>
        <v/>
      </c>
      <c r="CJ80" s="31"/>
      <c r="CK80" s="34" t="str">
        <f t="shared" si="38"/>
        <v/>
      </c>
      <c r="CL80" s="67"/>
      <c r="CM80" s="69" t="str">
        <f t="shared" si="39"/>
        <v/>
      </c>
      <c r="CN80" s="31"/>
      <c r="CO80" s="34" t="str">
        <f t="shared" si="40"/>
        <v/>
      </c>
      <c r="CP80" s="67"/>
      <c r="CQ80" s="69" t="str">
        <f t="shared" si="41"/>
        <v/>
      </c>
    </row>
    <row r="81" spans="1:96" ht="20" customHeight="1" x14ac:dyDescent="0.2">
      <c r="A81" s="680"/>
      <c r="B81" s="721"/>
      <c r="C81" s="722"/>
      <c r="D81" s="722" t="s">
        <v>85</v>
      </c>
      <c r="E81" s="723" t="s">
        <v>681</v>
      </c>
      <c r="F81" s="723" t="s">
        <v>682</v>
      </c>
      <c r="G81" s="722">
        <v>2012</v>
      </c>
      <c r="H81" s="287"/>
      <c r="I81" s="65"/>
      <c r="J81" s="61" t="s">
        <v>213</v>
      </c>
      <c r="K81" s="62" t="s">
        <v>332</v>
      </c>
      <c r="L81" s="31"/>
      <c r="M81" s="34"/>
      <c r="N81" s="67"/>
      <c r="O81" s="67"/>
      <c r="P81" s="31"/>
      <c r="Q81" s="34"/>
      <c r="R81" s="67"/>
      <c r="S81" s="69"/>
      <c r="T81" s="56"/>
      <c r="U81" s="34"/>
      <c r="V81" s="67"/>
      <c r="W81" s="69"/>
      <c r="X81" s="31"/>
      <c r="Y81" s="34"/>
      <c r="Z81" s="67"/>
      <c r="AA81" s="69"/>
      <c r="AB81" s="31"/>
      <c r="AC81" s="34"/>
      <c r="AD81" s="67"/>
      <c r="AE81" s="69"/>
      <c r="AF81" s="31"/>
      <c r="AG81" s="34"/>
      <c r="AH81" s="67"/>
      <c r="AI81" s="69"/>
      <c r="AJ81" s="31"/>
      <c r="AK81" s="34"/>
      <c r="AL81" s="67"/>
      <c r="AM81" s="69"/>
      <c r="AN81" s="31"/>
      <c r="AO81" s="34"/>
      <c r="AP81" s="67"/>
      <c r="AQ81" s="69"/>
      <c r="AR81" s="31"/>
      <c r="AS81" s="34"/>
      <c r="AT81" s="67"/>
      <c r="AU81" s="69"/>
      <c r="AV81" s="31"/>
      <c r="AW81" s="34"/>
      <c r="AX81" s="67"/>
      <c r="AY81" s="69"/>
      <c r="AZ81" s="56"/>
      <c r="BA81" s="34"/>
      <c r="BB81" s="67"/>
      <c r="BC81" s="69"/>
      <c r="BD81" s="31"/>
      <c r="BE81" s="34"/>
      <c r="BF81" s="67"/>
      <c r="BG81" s="69"/>
      <c r="BH81" s="31"/>
      <c r="BI81" s="34"/>
      <c r="BJ81" s="67"/>
      <c r="BK81" s="69"/>
      <c r="BL81" s="31"/>
      <c r="BM81" s="34"/>
      <c r="BN81" s="67"/>
      <c r="BO81" s="69"/>
      <c r="BP81" s="31"/>
      <c r="BQ81" s="34"/>
      <c r="BR81" s="67"/>
      <c r="BS81" s="69"/>
      <c r="BT81" s="31"/>
      <c r="BU81" s="34"/>
      <c r="BV81" s="67"/>
      <c r="BW81" s="69"/>
      <c r="BX81" s="31"/>
      <c r="BY81" s="34"/>
      <c r="BZ81" s="67"/>
      <c r="CA81" s="69"/>
      <c r="CB81" s="31"/>
      <c r="CC81" s="34"/>
      <c r="CD81" s="67"/>
      <c r="CE81" s="69"/>
      <c r="CF81" s="31"/>
      <c r="CG81" s="34"/>
      <c r="CH81" s="67"/>
      <c r="CI81" s="69"/>
      <c r="CJ81" s="31"/>
      <c r="CK81" s="34"/>
      <c r="CL81" s="67"/>
      <c r="CM81" s="69"/>
      <c r="CN81" s="31"/>
      <c r="CO81" s="34"/>
      <c r="CP81" s="67"/>
      <c r="CQ81" s="69"/>
    </row>
    <row r="82" spans="1:96" ht="20" customHeight="1" x14ac:dyDescent="0.2">
      <c r="A82" s="678"/>
      <c r="B82" s="721"/>
      <c r="C82" s="722"/>
      <c r="D82" s="722" t="s">
        <v>85</v>
      </c>
      <c r="E82" s="723" t="s">
        <v>127</v>
      </c>
      <c r="F82" s="723" t="s">
        <v>128</v>
      </c>
      <c r="G82" s="722">
        <v>2000</v>
      </c>
      <c r="H82" s="287">
        <v>252</v>
      </c>
      <c r="I82" s="65">
        <v>30</v>
      </c>
      <c r="J82" s="61" t="s">
        <v>217</v>
      </c>
      <c r="K82" s="62" t="s">
        <v>168</v>
      </c>
      <c r="L82" s="31"/>
      <c r="M82" s="34" t="str">
        <f t="shared" si="0"/>
        <v/>
      </c>
      <c r="N82" s="67"/>
      <c r="O82" s="67" t="str">
        <f t="shared" si="1"/>
        <v/>
      </c>
      <c r="P82" s="31"/>
      <c r="Q82" s="34" t="str">
        <f t="shared" si="2"/>
        <v/>
      </c>
      <c r="R82" s="67"/>
      <c r="S82" s="69" t="str">
        <f t="shared" si="3"/>
        <v/>
      </c>
      <c r="T82" s="56"/>
      <c r="U82" s="34" t="str">
        <f t="shared" si="45"/>
        <v/>
      </c>
      <c r="V82" s="67"/>
      <c r="W82" s="69" t="str">
        <f t="shared" si="5"/>
        <v/>
      </c>
      <c r="X82" s="31"/>
      <c r="Y82" s="34" t="str">
        <f t="shared" si="6"/>
        <v/>
      </c>
      <c r="Z82" s="67"/>
      <c r="AA82" s="69" t="str">
        <f t="shared" si="7"/>
        <v/>
      </c>
      <c r="AB82" s="31"/>
      <c r="AC82" s="34" t="str">
        <f t="shared" si="8"/>
        <v/>
      </c>
      <c r="AD82" s="67"/>
      <c r="AE82" s="69" t="str">
        <f t="shared" si="9"/>
        <v/>
      </c>
      <c r="AF82" s="31"/>
      <c r="AG82" s="34" t="str">
        <f t="shared" si="10"/>
        <v/>
      </c>
      <c r="AH82" s="67"/>
      <c r="AI82" s="69" t="str">
        <f t="shared" si="11"/>
        <v/>
      </c>
      <c r="AJ82" s="31"/>
      <c r="AK82" s="34" t="str">
        <f t="shared" si="12"/>
        <v/>
      </c>
      <c r="AL82" s="67"/>
      <c r="AM82" s="69" t="str">
        <f t="shared" si="13"/>
        <v/>
      </c>
      <c r="AN82" s="31"/>
      <c r="AO82" s="34" t="str">
        <f t="shared" si="14"/>
        <v/>
      </c>
      <c r="AP82" s="67"/>
      <c r="AQ82" s="69" t="str">
        <f t="shared" si="15"/>
        <v/>
      </c>
      <c r="AR82" s="31"/>
      <c r="AS82" s="34" t="str">
        <f t="shared" si="16"/>
        <v/>
      </c>
      <c r="AT82" s="67"/>
      <c r="AU82" s="69" t="str">
        <f t="shared" si="44"/>
        <v/>
      </c>
      <c r="AV82" s="31"/>
      <c r="AW82" s="34" t="str">
        <f t="shared" si="18"/>
        <v/>
      </c>
      <c r="AX82" s="67"/>
      <c r="AY82" s="69" t="str">
        <f t="shared" si="19"/>
        <v/>
      </c>
      <c r="AZ82" s="56"/>
      <c r="BA82" s="34" t="str">
        <f t="shared" si="20"/>
        <v/>
      </c>
      <c r="BB82" s="67"/>
      <c r="BC82" s="69" t="str">
        <f t="shared" si="21"/>
        <v/>
      </c>
      <c r="BD82" s="31"/>
      <c r="BE82" s="34" t="str">
        <f t="shared" si="22"/>
        <v/>
      </c>
      <c r="BF82" s="67"/>
      <c r="BG82" s="69" t="str">
        <f t="shared" si="23"/>
        <v/>
      </c>
      <c r="BH82" s="31"/>
      <c r="BI82" s="34" t="str">
        <f t="shared" si="24"/>
        <v/>
      </c>
      <c r="BJ82" s="67"/>
      <c r="BK82" s="69" t="str">
        <f t="shared" si="25"/>
        <v/>
      </c>
      <c r="BL82" s="31"/>
      <c r="BM82" s="34" t="str">
        <f t="shared" si="26"/>
        <v/>
      </c>
      <c r="BN82" s="67"/>
      <c r="BO82" s="69" t="str">
        <f t="shared" si="27"/>
        <v/>
      </c>
      <c r="BP82" s="31"/>
      <c r="BQ82" s="34" t="str">
        <f t="shared" si="28"/>
        <v/>
      </c>
      <c r="BR82" s="67"/>
      <c r="BS82" s="69" t="str">
        <f t="shared" si="29"/>
        <v/>
      </c>
      <c r="BT82" s="31"/>
      <c r="BU82" s="34" t="str">
        <f t="shared" si="30"/>
        <v/>
      </c>
      <c r="BV82" s="67"/>
      <c r="BW82" s="69" t="str">
        <f t="shared" si="31"/>
        <v/>
      </c>
      <c r="BX82" s="31"/>
      <c r="BY82" s="34" t="str">
        <f t="shared" si="32"/>
        <v/>
      </c>
      <c r="BZ82" s="67"/>
      <c r="CA82" s="69" t="str">
        <f t="shared" si="33"/>
        <v/>
      </c>
      <c r="CB82" s="31"/>
      <c r="CC82" s="34" t="str">
        <f t="shared" si="34"/>
        <v/>
      </c>
      <c r="CD82" s="67"/>
      <c r="CE82" s="69" t="str">
        <f t="shared" si="35"/>
        <v/>
      </c>
      <c r="CF82" s="31"/>
      <c r="CG82" s="34" t="str">
        <f t="shared" si="36"/>
        <v/>
      </c>
      <c r="CH82" s="67"/>
      <c r="CI82" s="69" t="str">
        <f t="shared" si="37"/>
        <v/>
      </c>
      <c r="CJ82" s="31"/>
      <c r="CK82" s="34" t="str">
        <f t="shared" si="38"/>
        <v/>
      </c>
      <c r="CL82" s="67"/>
      <c r="CM82" s="69" t="str">
        <f t="shared" si="39"/>
        <v/>
      </c>
      <c r="CN82" s="31"/>
      <c r="CO82" s="34" t="str">
        <f t="shared" si="40"/>
        <v/>
      </c>
      <c r="CP82" s="67"/>
      <c r="CQ82" s="69" t="str">
        <f t="shared" si="41"/>
        <v/>
      </c>
      <c r="CR82" s="21" t="s">
        <v>418</v>
      </c>
    </row>
    <row r="83" spans="1:96" ht="20" customHeight="1" x14ac:dyDescent="0.2">
      <c r="A83" s="680"/>
      <c r="B83" s="721"/>
      <c r="C83" s="722"/>
      <c r="D83" s="722" t="s">
        <v>85</v>
      </c>
      <c r="E83" s="723" t="s">
        <v>683</v>
      </c>
      <c r="F83" s="723" t="s">
        <v>684</v>
      </c>
      <c r="G83" s="722">
        <v>2004</v>
      </c>
      <c r="H83" s="287"/>
      <c r="I83" s="65"/>
      <c r="J83" s="61" t="s">
        <v>213</v>
      </c>
      <c r="K83" s="62" t="s">
        <v>192</v>
      </c>
      <c r="L83" s="31"/>
      <c r="M83" s="34"/>
      <c r="N83" s="67"/>
      <c r="O83" s="67"/>
      <c r="P83" s="31"/>
      <c r="Q83" s="34"/>
      <c r="R83" s="67"/>
      <c r="S83" s="69"/>
      <c r="T83" s="56"/>
      <c r="U83" s="34"/>
      <c r="V83" s="67"/>
      <c r="W83" s="69"/>
      <c r="X83" s="31"/>
      <c r="Y83" s="34"/>
      <c r="Z83" s="67"/>
      <c r="AA83" s="69"/>
      <c r="AB83" s="31"/>
      <c r="AC83" s="34"/>
      <c r="AD83" s="67"/>
      <c r="AE83" s="69"/>
      <c r="AF83" s="31"/>
      <c r="AG83" s="34"/>
      <c r="AH83" s="67"/>
      <c r="AI83" s="69"/>
      <c r="AJ83" s="31"/>
      <c r="AK83" s="34"/>
      <c r="AL83" s="67"/>
      <c r="AM83" s="69"/>
      <c r="AN83" s="31"/>
      <c r="AO83" s="34"/>
      <c r="AP83" s="67"/>
      <c r="AQ83" s="69"/>
      <c r="AR83" s="31"/>
      <c r="AS83" s="34"/>
      <c r="AT83" s="67"/>
      <c r="AU83" s="69"/>
      <c r="AV83" s="31"/>
      <c r="AW83" s="34"/>
      <c r="AX83" s="67"/>
      <c r="AY83" s="69"/>
      <c r="AZ83" s="56"/>
      <c r="BA83" s="34"/>
      <c r="BB83" s="67"/>
      <c r="BC83" s="69"/>
      <c r="BD83" s="31"/>
      <c r="BE83" s="34"/>
      <c r="BF83" s="67"/>
      <c r="BG83" s="69"/>
      <c r="BH83" s="31"/>
      <c r="BI83" s="34"/>
      <c r="BJ83" s="67"/>
      <c r="BK83" s="69"/>
      <c r="BL83" s="31"/>
      <c r="BM83" s="34"/>
      <c r="BN83" s="67"/>
      <c r="BO83" s="69"/>
      <c r="BP83" s="31"/>
      <c r="BQ83" s="34"/>
      <c r="BR83" s="67"/>
      <c r="BS83" s="69"/>
      <c r="BT83" s="31"/>
      <c r="BU83" s="34"/>
      <c r="BV83" s="67"/>
      <c r="BW83" s="69"/>
      <c r="BX83" s="31"/>
      <c r="BY83" s="34"/>
      <c r="BZ83" s="67"/>
      <c r="CA83" s="69"/>
      <c r="CB83" s="31"/>
      <c r="CC83" s="34"/>
      <c r="CD83" s="67"/>
      <c r="CE83" s="69"/>
      <c r="CF83" s="31"/>
      <c r="CG83" s="34"/>
      <c r="CH83" s="67"/>
      <c r="CI83" s="69"/>
      <c r="CJ83" s="31"/>
      <c r="CK83" s="34"/>
      <c r="CL83" s="67"/>
      <c r="CM83" s="69"/>
      <c r="CN83" s="31"/>
      <c r="CO83" s="34"/>
      <c r="CP83" s="67"/>
      <c r="CQ83" s="69"/>
    </row>
    <row r="84" spans="1:96" ht="20" customHeight="1" x14ac:dyDescent="0.2">
      <c r="A84" s="678"/>
      <c r="B84" s="725"/>
      <c r="C84" s="253"/>
      <c r="D84" s="722" t="s">
        <v>85</v>
      </c>
      <c r="E84" s="723" t="s">
        <v>568</v>
      </c>
      <c r="F84" s="723" t="s">
        <v>569</v>
      </c>
      <c r="G84" s="722">
        <v>2010</v>
      </c>
      <c r="H84" s="287"/>
      <c r="I84" s="65">
        <v>15</v>
      </c>
      <c r="J84" s="61" t="s">
        <v>184</v>
      </c>
      <c r="K84" s="62" t="s">
        <v>168</v>
      </c>
      <c r="L84" s="31"/>
      <c r="M84" s="34"/>
      <c r="N84" s="67"/>
      <c r="O84" s="67"/>
      <c r="P84" s="31">
        <v>2</v>
      </c>
      <c r="Q84" s="34">
        <f t="shared" si="2"/>
        <v>13.333333333333334</v>
      </c>
      <c r="R84" s="67">
        <v>2</v>
      </c>
      <c r="S84" s="69">
        <f t="shared" si="3"/>
        <v>0</v>
      </c>
      <c r="T84" s="56">
        <v>2</v>
      </c>
      <c r="U84" s="34">
        <f t="shared" si="45"/>
        <v>13.333333333333334</v>
      </c>
      <c r="V84" s="67">
        <v>1</v>
      </c>
      <c r="W84" s="69">
        <f t="shared" si="5"/>
        <v>1</v>
      </c>
      <c r="X84" s="31"/>
      <c r="Y84" s="34"/>
      <c r="Z84" s="67"/>
      <c r="AA84" s="69"/>
      <c r="AB84" s="31">
        <v>1</v>
      </c>
      <c r="AC84" s="34">
        <f t="shared" si="8"/>
        <v>6.666666666666667</v>
      </c>
      <c r="AD84" s="67">
        <v>1</v>
      </c>
      <c r="AE84" s="69">
        <f t="shared" si="9"/>
        <v>0</v>
      </c>
      <c r="AF84" s="31"/>
      <c r="AG84" s="34"/>
      <c r="AH84" s="67"/>
      <c r="AI84" s="69"/>
      <c r="AJ84" s="31"/>
      <c r="AK84" s="34"/>
      <c r="AL84" s="67"/>
      <c r="AM84" s="69"/>
      <c r="AN84" s="31"/>
      <c r="AO84" s="34"/>
      <c r="AP84" s="67"/>
      <c r="AQ84" s="69"/>
      <c r="AR84" s="31"/>
      <c r="AS84" s="34"/>
      <c r="AT84" s="67"/>
      <c r="AU84" s="69"/>
      <c r="AV84" s="31"/>
      <c r="AW84" s="34"/>
      <c r="AX84" s="67"/>
      <c r="AY84" s="69"/>
      <c r="AZ84" s="56"/>
      <c r="BA84" s="34"/>
      <c r="BB84" s="67"/>
      <c r="BC84" s="69"/>
      <c r="BD84" s="31"/>
      <c r="BE84" s="34"/>
      <c r="BF84" s="67"/>
      <c r="BG84" s="69"/>
      <c r="BH84" s="31"/>
      <c r="BI84" s="34"/>
      <c r="BJ84" s="67"/>
      <c r="BK84" s="69"/>
      <c r="BL84" s="31"/>
      <c r="BM84" s="34"/>
      <c r="BN84" s="67"/>
      <c r="BO84" s="69"/>
      <c r="BP84" s="31"/>
      <c r="BQ84" s="34"/>
      <c r="BR84" s="67"/>
      <c r="BS84" s="69"/>
      <c r="BT84" s="31"/>
      <c r="BU84" s="34"/>
      <c r="BV84" s="67"/>
      <c r="BW84" s="69"/>
      <c r="BX84" s="31"/>
      <c r="BY84" s="34"/>
      <c r="BZ84" s="67"/>
      <c r="CA84" s="69"/>
      <c r="CB84" s="31"/>
      <c r="CC84" s="34"/>
      <c r="CD84" s="67"/>
      <c r="CE84" s="69"/>
      <c r="CF84" s="31"/>
      <c r="CG84" s="34"/>
      <c r="CH84" s="67"/>
      <c r="CI84" s="69"/>
      <c r="CJ84" s="31"/>
      <c r="CK84" s="34"/>
      <c r="CL84" s="67"/>
      <c r="CM84" s="69"/>
      <c r="CN84" s="31"/>
      <c r="CO84" s="34"/>
      <c r="CP84" s="67"/>
      <c r="CQ84" s="69"/>
      <c r="CR84" s="21" t="s">
        <v>571</v>
      </c>
    </row>
    <row r="85" spans="1:96" ht="20" customHeight="1" x14ac:dyDescent="0.2">
      <c r="A85" s="678"/>
      <c r="B85" s="725"/>
      <c r="C85" s="255"/>
      <c r="D85" s="722" t="s">
        <v>85</v>
      </c>
      <c r="E85" s="723" t="s">
        <v>133</v>
      </c>
      <c r="F85" s="723" t="s">
        <v>134</v>
      </c>
      <c r="G85" s="722">
        <v>2001</v>
      </c>
      <c r="H85" s="287">
        <v>192</v>
      </c>
      <c r="I85" s="65">
        <v>19</v>
      </c>
      <c r="J85" s="61" t="s">
        <v>175</v>
      </c>
      <c r="K85" s="62" t="s">
        <v>168</v>
      </c>
      <c r="L85" s="31"/>
      <c r="M85" s="34" t="str">
        <f t="shared" si="0"/>
        <v/>
      </c>
      <c r="N85" s="67"/>
      <c r="O85" s="67" t="str">
        <f t="shared" si="1"/>
        <v/>
      </c>
      <c r="P85" s="31"/>
      <c r="Q85" s="34" t="str">
        <f t="shared" si="2"/>
        <v/>
      </c>
      <c r="R85" s="67"/>
      <c r="S85" s="69" t="str">
        <f t="shared" si="3"/>
        <v/>
      </c>
      <c r="T85" s="56"/>
      <c r="U85" s="34" t="str">
        <f t="shared" si="45"/>
        <v/>
      </c>
      <c r="V85" s="67"/>
      <c r="W85" s="69" t="str">
        <f t="shared" si="5"/>
        <v/>
      </c>
      <c r="X85" s="31"/>
      <c r="Y85" s="34" t="str">
        <f t="shared" si="6"/>
        <v/>
      </c>
      <c r="Z85" s="67"/>
      <c r="AA85" s="69" t="str">
        <f t="shared" si="7"/>
        <v/>
      </c>
      <c r="AB85" s="31"/>
      <c r="AC85" s="34" t="str">
        <f t="shared" si="8"/>
        <v/>
      </c>
      <c r="AD85" s="67"/>
      <c r="AE85" s="69" t="str">
        <f t="shared" si="9"/>
        <v/>
      </c>
      <c r="AF85" s="31"/>
      <c r="AG85" s="34" t="str">
        <f t="shared" si="10"/>
        <v/>
      </c>
      <c r="AH85" s="67"/>
      <c r="AI85" s="69" t="str">
        <f t="shared" si="11"/>
        <v/>
      </c>
      <c r="AJ85" s="31"/>
      <c r="AK85" s="34" t="str">
        <f t="shared" si="12"/>
        <v/>
      </c>
      <c r="AL85" s="67"/>
      <c r="AM85" s="69" t="str">
        <f t="shared" si="13"/>
        <v/>
      </c>
      <c r="AN85" s="31"/>
      <c r="AO85" s="34" t="str">
        <f t="shared" si="14"/>
        <v/>
      </c>
      <c r="AP85" s="67"/>
      <c r="AQ85" s="69" t="str">
        <f t="shared" si="15"/>
        <v/>
      </c>
      <c r="AR85" s="31">
        <v>2</v>
      </c>
      <c r="AS85" s="34">
        <f t="shared" si="16"/>
        <v>10.526315789473683</v>
      </c>
      <c r="AT85" s="67"/>
      <c r="AU85" s="69" t="str">
        <f t="shared" si="44"/>
        <v/>
      </c>
      <c r="AV85" s="31"/>
      <c r="AW85" s="34" t="str">
        <f t="shared" si="18"/>
        <v/>
      </c>
      <c r="AX85" s="67"/>
      <c r="AY85" s="69" t="str">
        <f t="shared" si="19"/>
        <v/>
      </c>
      <c r="AZ85" s="56"/>
      <c r="BA85" s="34" t="str">
        <f t="shared" si="20"/>
        <v/>
      </c>
      <c r="BB85" s="67"/>
      <c r="BC85" s="69" t="str">
        <f t="shared" si="21"/>
        <v/>
      </c>
      <c r="BD85" s="31"/>
      <c r="BE85" s="34" t="str">
        <f t="shared" si="22"/>
        <v/>
      </c>
      <c r="BF85" s="67"/>
      <c r="BG85" s="69" t="str">
        <f t="shared" si="23"/>
        <v/>
      </c>
      <c r="BH85" s="31"/>
      <c r="BI85" s="34" t="str">
        <f t="shared" si="24"/>
        <v/>
      </c>
      <c r="BJ85" s="67"/>
      <c r="BK85" s="69" t="str">
        <f t="shared" si="25"/>
        <v/>
      </c>
      <c r="BL85" s="31"/>
      <c r="BM85" s="34" t="str">
        <f t="shared" si="26"/>
        <v/>
      </c>
      <c r="BN85" s="67"/>
      <c r="BO85" s="69" t="str">
        <f t="shared" si="27"/>
        <v/>
      </c>
      <c r="BP85" s="31"/>
      <c r="BQ85" s="34" t="str">
        <f t="shared" si="28"/>
        <v/>
      </c>
      <c r="BR85" s="67"/>
      <c r="BS85" s="69" t="str">
        <f t="shared" si="29"/>
        <v/>
      </c>
      <c r="BT85" s="36">
        <v>1</v>
      </c>
      <c r="BU85" s="37">
        <f t="shared" si="30"/>
        <v>5.2631578947368416</v>
      </c>
      <c r="BV85" s="85">
        <v>0</v>
      </c>
      <c r="BW85" s="86">
        <f t="shared" si="31"/>
        <v>1</v>
      </c>
      <c r="BX85" s="31"/>
      <c r="BY85" s="34" t="str">
        <f t="shared" si="32"/>
        <v/>
      </c>
      <c r="BZ85" s="67"/>
      <c r="CA85" s="69" t="str">
        <f t="shared" si="33"/>
        <v/>
      </c>
      <c r="CB85" s="31"/>
      <c r="CC85" s="34" t="str">
        <f t="shared" si="34"/>
        <v/>
      </c>
      <c r="CD85" s="67"/>
      <c r="CE85" s="69" t="str">
        <f t="shared" si="35"/>
        <v/>
      </c>
      <c r="CF85" s="31"/>
      <c r="CG85" s="34" t="str">
        <f t="shared" si="36"/>
        <v/>
      </c>
      <c r="CH85" s="67"/>
      <c r="CI85" s="69" t="str">
        <f t="shared" si="37"/>
        <v/>
      </c>
      <c r="CJ85" s="31"/>
      <c r="CK85" s="34" t="str">
        <f t="shared" si="38"/>
        <v/>
      </c>
      <c r="CL85" s="67"/>
      <c r="CM85" s="69" t="str">
        <f t="shared" si="39"/>
        <v/>
      </c>
      <c r="CN85" s="31"/>
      <c r="CO85" s="34" t="str">
        <f t="shared" si="40"/>
        <v/>
      </c>
      <c r="CP85" s="67"/>
      <c r="CQ85" s="69" t="str">
        <f t="shared" si="41"/>
        <v/>
      </c>
      <c r="CR85" s="21" t="s">
        <v>387</v>
      </c>
    </row>
    <row r="86" spans="1:96" ht="20" customHeight="1" x14ac:dyDescent="0.2">
      <c r="A86" s="794"/>
      <c r="B86" s="795"/>
      <c r="C86" s="722"/>
      <c r="D86" s="722" t="s">
        <v>85</v>
      </c>
      <c r="E86" s="723" t="s">
        <v>685</v>
      </c>
      <c r="F86" s="723" t="s">
        <v>686</v>
      </c>
      <c r="G86" s="722">
        <v>2003</v>
      </c>
      <c r="H86" s="287"/>
      <c r="I86" s="701"/>
      <c r="J86" s="232" t="s">
        <v>175</v>
      </c>
      <c r="K86" s="250" t="s">
        <v>168</v>
      </c>
      <c r="L86" s="31"/>
      <c r="M86" s="34"/>
      <c r="N86" s="67"/>
      <c r="O86" s="67"/>
      <c r="P86" s="31"/>
      <c r="Q86" s="34"/>
      <c r="R86" s="67"/>
      <c r="S86" s="69"/>
      <c r="T86" s="56"/>
      <c r="U86" s="34"/>
      <c r="V86" s="67"/>
      <c r="W86" s="69"/>
      <c r="X86" s="31"/>
      <c r="Y86" s="34"/>
      <c r="Z86" s="67"/>
      <c r="AA86" s="69"/>
      <c r="AB86" s="31"/>
      <c r="AC86" s="34"/>
      <c r="AD86" s="67"/>
      <c r="AE86" s="69"/>
      <c r="AF86" s="31"/>
      <c r="AG86" s="34"/>
      <c r="AH86" s="67"/>
      <c r="AI86" s="69"/>
      <c r="AJ86" s="31"/>
      <c r="AK86" s="34"/>
      <c r="AL86" s="67"/>
      <c r="AM86" s="69"/>
      <c r="AN86" s="31"/>
      <c r="AO86" s="34"/>
      <c r="AP86" s="67"/>
      <c r="AQ86" s="69"/>
      <c r="AR86" s="31"/>
      <c r="AS86" s="34"/>
      <c r="AT86" s="67"/>
      <c r="AU86" s="69"/>
      <c r="AV86" s="31"/>
      <c r="AW86" s="34"/>
      <c r="AX86" s="67"/>
      <c r="AY86" s="69"/>
      <c r="AZ86" s="56"/>
      <c r="BA86" s="34"/>
      <c r="BB86" s="67"/>
      <c r="BC86" s="69"/>
      <c r="BD86" s="31"/>
      <c r="BE86" s="34"/>
      <c r="BF86" s="67"/>
      <c r="BG86" s="69"/>
      <c r="BH86" s="31"/>
      <c r="BI86" s="34"/>
      <c r="BJ86" s="67"/>
      <c r="BK86" s="69"/>
      <c r="BL86" s="31"/>
      <c r="BM86" s="34"/>
      <c r="BN86" s="67"/>
      <c r="BO86" s="69"/>
      <c r="BP86" s="31"/>
      <c r="BQ86" s="34"/>
      <c r="BR86" s="67"/>
      <c r="BS86" s="69"/>
      <c r="BT86" s="31"/>
      <c r="BU86" s="34"/>
      <c r="BV86" s="67"/>
      <c r="BW86" s="69"/>
      <c r="BX86" s="31"/>
      <c r="BY86" s="34"/>
      <c r="BZ86" s="67"/>
      <c r="CA86" s="69"/>
      <c r="CB86" s="31"/>
      <c r="CC86" s="34"/>
      <c r="CD86" s="67"/>
      <c r="CE86" s="69"/>
      <c r="CF86" s="31"/>
      <c r="CG86" s="34"/>
      <c r="CH86" s="67"/>
      <c r="CI86" s="69"/>
      <c r="CJ86" s="31"/>
      <c r="CK86" s="34"/>
      <c r="CL86" s="67"/>
      <c r="CM86" s="69"/>
      <c r="CN86" s="31"/>
      <c r="CO86" s="34"/>
      <c r="CP86" s="67"/>
      <c r="CQ86" s="69"/>
    </row>
    <row r="87" spans="1:96" ht="20" customHeight="1" x14ac:dyDescent="0.2">
      <c r="A87" s="678"/>
      <c r="B87" s="721"/>
      <c r="C87" s="255"/>
      <c r="D87" s="722"/>
      <c r="E87" s="723" t="s">
        <v>151</v>
      </c>
      <c r="F87" s="723" t="s">
        <v>419</v>
      </c>
      <c r="G87" s="722">
        <v>1999</v>
      </c>
      <c r="H87" s="287"/>
      <c r="I87" s="65">
        <v>30</v>
      </c>
      <c r="J87" s="61" t="s">
        <v>420</v>
      </c>
      <c r="K87" s="62" t="s">
        <v>219</v>
      </c>
      <c r="L87" s="31"/>
      <c r="M87" s="34"/>
      <c r="N87" s="67"/>
      <c r="O87" s="67"/>
      <c r="P87" s="31"/>
      <c r="Q87" s="34"/>
      <c r="R87" s="67"/>
      <c r="S87" s="69"/>
      <c r="T87" s="56"/>
      <c r="U87" s="34"/>
      <c r="V87" s="67"/>
      <c r="W87" s="69"/>
      <c r="X87" s="31"/>
      <c r="Y87" s="34"/>
      <c r="Z87" s="67"/>
      <c r="AA87" s="69"/>
      <c r="AB87" s="31"/>
      <c r="AC87" s="34"/>
      <c r="AD87" s="67"/>
      <c r="AE87" s="69"/>
      <c r="AF87" s="31"/>
      <c r="AG87" s="34"/>
      <c r="AH87" s="67"/>
      <c r="AI87" s="69"/>
      <c r="AJ87" s="31"/>
      <c r="AK87" s="34"/>
      <c r="AL87" s="67"/>
      <c r="AM87" s="69"/>
      <c r="AN87" s="31"/>
      <c r="AO87" s="34"/>
      <c r="AP87" s="67"/>
      <c r="AQ87" s="69"/>
      <c r="AR87" s="31"/>
      <c r="AS87" s="34"/>
      <c r="AT87" s="67"/>
      <c r="AU87" s="69"/>
      <c r="AV87" s="31"/>
      <c r="AW87" s="34"/>
      <c r="AX87" s="67"/>
      <c r="AY87" s="69"/>
      <c r="AZ87" s="56"/>
      <c r="BA87" s="34"/>
      <c r="BB87" s="67"/>
      <c r="BC87" s="69"/>
      <c r="BD87" s="31"/>
      <c r="BE87" s="34"/>
      <c r="BF87" s="67"/>
      <c r="BG87" s="69"/>
      <c r="BH87" s="31"/>
      <c r="BI87" s="34"/>
      <c r="BJ87" s="67"/>
      <c r="BK87" s="69"/>
      <c r="BL87" s="31"/>
      <c r="BM87" s="34"/>
      <c r="BN87" s="67"/>
      <c r="BO87" s="69"/>
      <c r="BP87" s="31"/>
      <c r="BQ87" s="34"/>
      <c r="BR87" s="67"/>
      <c r="BS87" s="69"/>
      <c r="BT87" s="31"/>
      <c r="BU87" s="34"/>
      <c r="BV87" s="67"/>
      <c r="BW87" s="69"/>
      <c r="BX87" s="31"/>
      <c r="BY87" s="34"/>
      <c r="BZ87" s="67"/>
      <c r="CA87" s="69"/>
      <c r="CB87" s="31"/>
      <c r="CC87" s="34"/>
      <c r="CD87" s="67"/>
      <c r="CE87" s="69"/>
      <c r="CF87" s="31"/>
      <c r="CG87" s="34"/>
      <c r="CH87" s="67"/>
      <c r="CI87" s="69"/>
      <c r="CJ87" s="31"/>
      <c r="CK87" s="34"/>
      <c r="CL87" s="67"/>
      <c r="CM87" s="69"/>
      <c r="CN87" s="31"/>
      <c r="CO87" s="34"/>
      <c r="CP87" s="67"/>
      <c r="CQ87" s="69"/>
      <c r="CR87" s="21" t="s">
        <v>388</v>
      </c>
    </row>
    <row r="88" spans="1:96" ht="20" customHeight="1" x14ac:dyDescent="0.2">
      <c r="A88" s="678"/>
      <c r="B88" s="725"/>
      <c r="C88" s="255"/>
      <c r="D88" s="722" t="s">
        <v>85</v>
      </c>
      <c r="E88" s="723" t="s">
        <v>135</v>
      </c>
      <c r="F88" s="723" t="s">
        <v>136</v>
      </c>
      <c r="G88" s="722">
        <v>2007</v>
      </c>
      <c r="H88" s="287">
        <v>240</v>
      </c>
      <c r="I88" s="65">
        <v>53</v>
      </c>
      <c r="J88" s="61" t="s">
        <v>220</v>
      </c>
      <c r="K88" s="62" t="s">
        <v>168</v>
      </c>
      <c r="L88" s="31"/>
      <c r="M88" s="34" t="str">
        <f t="shared" si="0"/>
        <v/>
      </c>
      <c r="N88" s="67"/>
      <c r="O88" s="67" t="str">
        <f t="shared" si="1"/>
        <v/>
      </c>
      <c r="P88" s="31">
        <v>1</v>
      </c>
      <c r="Q88" s="34">
        <f t="shared" ref="Q88:Q96" si="46">IF((ISERROR((P88/$I88)*100)), "", IF(AND(NOT(ISERROR((P88/$I88)*100)),((P88/$I88)*100) &lt;&gt; 0), (P88/$I88)*100, ""))</f>
        <v>1.8867924528301887</v>
      </c>
      <c r="R88" s="67">
        <v>0</v>
      </c>
      <c r="S88" s="69">
        <f t="shared" si="3"/>
        <v>1</v>
      </c>
      <c r="T88" s="56">
        <v>7</v>
      </c>
      <c r="U88" s="34">
        <f t="shared" ref="U88:U96" si="47">IF((ISERROR((T88/$I88)*100)), "", IF(AND(NOT(ISERROR((T88/$I88)*100)),((T88/$I88)*100) &lt;&gt; 0), (T88/$I88)*100, ""))</f>
        <v>13.20754716981132</v>
      </c>
      <c r="V88" s="67">
        <v>0</v>
      </c>
      <c r="W88" s="69">
        <f t="shared" si="5"/>
        <v>7</v>
      </c>
      <c r="X88" s="31"/>
      <c r="Y88" s="34" t="str">
        <f t="shared" ref="Y88:Y96" si="48">IF((ISERROR((X88/$I88)*100)), "", IF(AND(NOT(ISERROR((X88/$I88)*100)),((X88/$I88)*100) &lt;&gt; 0), (X88/$I88)*100, ""))</f>
        <v/>
      </c>
      <c r="Z88" s="67"/>
      <c r="AA88" s="69" t="str">
        <f t="shared" si="7"/>
        <v/>
      </c>
      <c r="AB88" s="31"/>
      <c r="AC88" s="34" t="str">
        <f t="shared" ref="AC88:AC96" si="49">IF((ISERROR((AB88/$I88)*100)), "", IF(AND(NOT(ISERROR((AB88/$I88)*100)),((AB88/$I88)*100) &lt;&gt; 0), (AB88/$I88)*100, ""))</f>
        <v/>
      </c>
      <c r="AD88" s="67"/>
      <c r="AE88" s="69" t="str">
        <f t="shared" si="9"/>
        <v/>
      </c>
      <c r="AF88" s="31"/>
      <c r="AG88" s="34" t="str">
        <f t="shared" si="10"/>
        <v/>
      </c>
      <c r="AH88" s="67"/>
      <c r="AI88" s="69" t="str">
        <f t="shared" si="11"/>
        <v/>
      </c>
      <c r="AJ88" s="31"/>
      <c r="AK88" s="34" t="str">
        <f t="shared" ref="AK88:AK96" si="50">IF((ISERROR((AJ88/$I88)*100)), "", IF(AND(NOT(ISERROR((AJ88/$I88)*100)),((AJ88/$I88)*100) &lt;&gt; 0), (AJ88/$I88)*100, ""))</f>
        <v/>
      </c>
      <c r="AL88" s="67"/>
      <c r="AM88" s="69" t="str">
        <f t="shared" si="13"/>
        <v/>
      </c>
      <c r="AN88" s="31"/>
      <c r="AO88" s="34" t="str">
        <f>IF((ISERROR((AN88/$I88)*100)), "", IF(AND(NOT(ISERROR((AN88/$I88)*100)),((AN88/$I88)*100) &lt;&gt; 0), (AN88/$I88)*100, ""))</f>
        <v/>
      </c>
      <c r="AP88" s="67"/>
      <c r="AQ88" s="69" t="str">
        <f t="shared" si="15"/>
        <v/>
      </c>
      <c r="AR88" s="31">
        <v>3</v>
      </c>
      <c r="AS88" s="34">
        <f t="shared" ref="AS88:AS96" si="51">IF((ISERROR((AR88/$I88)*100)), "", IF(AND(NOT(ISERROR((AR88/$I88)*100)),((AR88/$I88)*100) &lt;&gt; 0), (AR88/$I88)*100, ""))</f>
        <v>5.6603773584905666</v>
      </c>
      <c r="AT88" s="67">
        <v>0</v>
      </c>
      <c r="AU88" s="69">
        <f t="shared" si="44"/>
        <v>3</v>
      </c>
      <c r="AV88" s="31">
        <v>2</v>
      </c>
      <c r="AW88" s="34">
        <f t="shared" si="18"/>
        <v>3.7735849056603774</v>
      </c>
      <c r="AX88" s="67">
        <v>0</v>
      </c>
      <c r="AY88" s="69">
        <f t="shared" si="19"/>
        <v>2</v>
      </c>
      <c r="AZ88" s="56"/>
      <c r="BA88" s="34" t="str">
        <f t="shared" ref="BA88:BA96" si="52">IF((ISERROR((AZ88/$I88)*100)), "", IF(AND(NOT(ISERROR((AZ88/$I88)*100)),((AZ88/$I88)*100) &lt;&gt; 0), (AZ88/$I88)*100, ""))</f>
        <v/>
      </c>
      <c r="BB88" s="67"/>
      <c r="BC88" s="69" t="str">
        <f t="shared" si="21"/>
        <v/>
      </c>
      <c r="BD88" s="31"/>
      <c r="BE88" s="34" t="str">
        <f t="shared" ref="BE88:BE96" si="53">IF((ISERROR((BD88/$I88)*100)), "", IF(AND(NOT(ISERROR((BD88/$I88)*100)),((BD88/$I88)*100) &lt;&gt; 0), (BD88/$I88)*100, ""))</f>
        <v/>
      </c>
      <c r="BF88" s="67"/>
      <c r="BG88" s="69" t="str">
        <f t="shared" si="23"/>
        <v/>
      </c>
      <c r="BH88" s="31"/>
      <c r="BI88" s="34" t="str">
        <f t="shared" ref="BI88:BI96" si="54">IF((ISERROR((BH88/$I88)*100)), "", IF(AND(NOT(ISERROR((BH88/$I88)*100)),((BH88/$I88)*100) &lt;&gt; 0), (BH88/$I88)*100, ""))</f>
        <v/>
      </c>
      <c r="BJ88" s="67"/>
      <c r="BK88" s="69" t="str">
        <f t="shared" si="25"/>
        <v/>
      </c>
      <c r="BL88" s="31"/>
      <c r="BM88" s="34" t="str">
        <f t="shared" ref="BM88:BM96" si="55">IF((ISERROR((BL88/$I88)*100)), "", IF(AND(NOT(ISERROR((BL88/$I88)*100)),((BL88/$I88)*100) &lt;&gt; 0), (BL88/$I88)*100, ""))</f>
        <v/>
      </c>
      <c r="BN88" s="67"/>
      <c r="BO88" s="69" t="str">
        <f t="shared" si="27"/>
        <v/>
      </c>
      <c r="BP88" s="31"/>
      <c r="BQ88" s="34" t="str">
        <f t="shared" si="28"/>
        <v/>
      </c>
      <c r="BR88" s="67"/>
      <c r="BS88" s="69" t="str">
        <f t="shared" si="29"/>
        <v/>
      </c>
      <c r="BT88" s="31"/>
      <c r="BU88" s="34" t="str">
        <f t="shared" si="30"/>
        <v/>
      </c>
      <c r="BV88" s="67"/>
      <c r="BW88" s="69" t="str">
        <f t="shared" si="31"/>
        <v/>
      </c>
      <c r="BX88" s="31"/>
      <c r="BY88" s="34" t="str">
        <f t="shared" si="32"/>
        <v/>
      </c>
      <c r="BZ88" s="67"/>
      <c r="CA88" s="69" t="str">
        <f t="shared" si="33"/>
        <v/>
      </c>
      <c r="CB88" s="31">
        <v>3</v>
      </c>
      <c r="CC88" s="34">
        <f t="shared" si="34"/>
        <v>5.6603773584905666</v>
      </c>
      <c r="CD88" s="67">
        <v>0</v>
      </c>
      <c r="CE88" s="69">
        <f t="shared" si="35"/>
        <v>3</v>
      </c>
      <c r="CF88" s="31"/>
      <c r="CG88" s="34" t="str">
        <f t="shared" si="36"/>
        <v/>
      </c>
      <c r="CH88" s="67"/>
      <c r="CI88" s="69" t="str">
        <f t="shared" si="37"/>
        <v/>
      </c>
      <c r="CJ88" s="31"/>
      <c r="CK88" s="34" t="str">
        <f t="shared" si="38"/>
        <v/>
      </c>
      <c r="CL88" s="67"/>
      <c r="CM88" s="69" t="str">
        <f t="shared" si="39"/>
        <v/>
      </c>
      <c r="CN88" s="31"/>
      <c r="CO88" s="34" t="str">
        <f t="shared" si="40"/>
        <v/>
      </c>
      <c r="CP88" s="67"/>
      <c r="CQ88" s="69" t="str">
        <f t="shared" si="41"/>
        <v/>
      </c>
      <c r="CR88" s="21" t="s">
        <v>586</v>
      </c>
    </row>
    <row r="89" spans="1:96" ht="20" customHeight="1" x14ac:dyDescent="0.2">
      <c r="A89" s="678"/>
      <c r="B89" s="725"/>
      <c r="C89" s="255"/>
      <c r="D89" s="722" t="s">
        <v>85</v>
      </c>
      <c r="E89" s="723" t="s">
        <v>310</v>
      </c>
      <c r="F89" s="723" t="s">
        <v>311</v>
      </c>
      <c r="G89" s="722">
        <v>2010</v>
      </c>
      <c r="H89" s="287"/>
      <c r="I89" s="65">
        <v>53</v>
      </c>
      <c r="J89" s="78" t="s">
        <v>366</v>
      </c>
      <c r="K89" s="62" t="s">
        <v>405</v>
      </c>
      <c r="L89" s="31"/>
      <c r="M89" s="34" t="str">
        <f t="shared" si="0"/>
        <v/>
      </c>
      <c r="N89" s="67"/>
      <c r="O89" s="67" t="str">
        <f t="shared" si="1"/>
        <v/>
      </c>
      <c r="P89" s="31"/>
      <c r="Q89" s="34" t="str">
        <f t="shared" si="46"/>
        <v/>
      </c>
      <c r="R89" s="67"/>
      <c r="S89" s="69" t="str">
        <f t="shared" si="3"/>
        <v/>
      </c>
      <c r="T89" s="56">
        <v>15</v>
      </c>
      <c r="U89" s="34">
        <f t="shared" si="47"/>
        <v>28.30188679245283</v>
      </c>
      <c r="V89" s="67">
        <v>1</v>
      </c>
      <c r="W89" s="69">
        <f t="shared" si="5"/>
        <v>14</v>
      </c>
      <c r="X89" s="31"/>
      <c r="Y89" s="34" t="str">
        <f t="shared" si="48"/>
        <v/>
      </c>
      <c r="Z89" s="67"/>
      <c r="AA89" s="69" t="str">
        <f t="shared" si="7"/>
        <v/>
      </c>
      <c r="AB89" s="31">
        <v>15</v>
      </c>
      <c r="AC89" s="34">
        <f t="shared" si="49"/>
        <v>28.30188679245283</v>
      </c>
      <c r="AD89" s="67"/>
      <c r="AE89" s="69" t="str">
        <f t="shared" si="9"/>
        <v/>
      </c>
      <c r="AF89" s="31"/>
      <c r="AG89" s="34" t="str">
        <f t="shared" si="10"/>
        <v/>
      </c>
      <c r="AH89" s="67"/>
      <c r="AI89" s="69" t="str">
        <f t="shared" si="11"/>
        <v/>
      </c>
      <c r="AJ89" s="31"/>
      <c r="AK89" s="34" t="str">
        <f t="shared" si="50"/>
        <v/>
      </c>
      <c r="AL89" s="67"/>
      <c r="AM89" s="69" t="str">
        <f t="shared" si="13"/>
        <v/>
      </c>
      <c r="AN89" s="31"/>
      <c r="AO89" s="34" t="str">
        <f>IF((ISERROR((AN89/$I89)*100)), "", IF(AND(NOT(ISERROR((AN89/$I89)*100)),((AN89/$I89)*100) &lt;&gt; 0), (AN89/$I89)*100, ""))</f>
        <v/>
      </c>
      <c r="AP89" s="67"/>
      <c r="AQ89" s="69" t="str">
        <f t="shared" si="15"/>
        <v/>
      </c>
      <c r="AR89" s="31">
        <v>2</v>
      </c>
      <c r="AS89" s="34">
        <f t="shared" si="51"/>
        <v>3.7735849056603774</v>
      </c>
      <c r="AT89" s="67">
        <v>1</v>
      </c>
      <c r="AU89" s="69">
        <f t="shared" si="44"/>
        <v>1</v>
      </c>
      <c r="AV89" s="31">
        <v>9</v>
      </c>
      <c r="AW89" s="34">
        <f t="shared" si="18"/>
        <v>16.981132075471699</v>
      </c>
      <c r="AX89" s="67">
        <v>0</v>
      </c>
      <c r="AY89" s="69">
        <f t="shared" si="19"/>
        <v>9</v>
      </c>
      <c r="AZ89" s="56"/>
      <c r="BA89" s="34" t="str">
        <f t="shared" si="52"/>
        <v/>
      </c>
      <c r="BB89" s="67"/>
      <c r="BC89" s="69" t="str">
        <f t="shared" si="21"/>
        <v/>
      </c>
      <c r="BD89" s="31"/>
      <c r="BE89" s="34" t="str">
        <f t="shared" si="53"/>
        <v/>
      </c>
      <c r="BF89" s="67"/>
      <c r="BG89" s="69" t="str">
        <f t="shared" si="23"/>
        <v/>
      </c>
      <c r="BH89" s="31">
        <v>3</v>
      </c>
      <c r="BI89" s="34">
        <f t="shared" si="54"/>
        <v>5.6603773584905666</v>
      </c>
      <c r="BJ89" s="85">
        <v>0</v>
      </c>
      <c r="BK89" s="86">
        <f t="shared" si="25"/>
        <v>3</v>
      </c>
      <c r="BL89" s="31">
        <v>2</v>
      </c>
      <c r="BM89" s="34">
        <f t="shared" si="55"/>
        <v>3.7735849056603774</v>
      </c>
      <c r="BN89" s="85">
        <v>0</v>
      </c>
      <c r="BO89" s="86">
        <f t="shared" si="27"/>
        <v>2</v>
      </c>
      <c r="BP89" s="31"/>
      <c r="BQ89" s="34" t="str">
        <f t="shared" si="28"/>
        <v/>
      </c>
      <c r="BR89" s="67"/>
      <c r="BS89" s="69" t="str">
        <f t="shared" si="29"/>
        <v/>
      </c>
      <c r="BT89" s="31"/>
      <c r="BU89" s="34" t="str">
        <f t="shared" si="30"/>
        <v/>
      </c>
      <c r="BV89" s="67"/>
      <c r="BW89" s="69" t="str">
        <f t="shared" si="31"/>
        <v/>
      </c>
      <c r="BX89" s="31"/>
      <c r="BY89" s="34" t="str">
        <f t="shared" si="32"/>
        <v/>
      </c>
      <c r="BZ89" s="67"/>
      <c r="CA89" s="69" t="str">
        <f t="shared" si="33"/>
        <v/>
      </c>
      <c r="CB89" s="31"/>
      <c r="CC89" s="34" t="str">
        <f t="shared" si="34"/>
        <v/>
      </c>
      <c r="CD89" s="67"/>
      <c r="CE89" s="69" t="str">
        <f t="shared" si="35"/>
        <v/>
      </c>
      <c r="CF89" s="31"/>
      <c r="CG89" s="34" t="str">
        <f t="shared" si="36"/>
        <v/>
      </c>
      <c r="CH89" s="67"/>
      <c r="CI89" s="69" t="str">
        <f t="shared" si="37"/>
        <v/>
      </c>
      <c r="CJ89" s="31"/>
      <c r="CK89" s="34" t="str">
        <f t="shared" si="38"/>
        <v/>
      </c>
      <c r="CL89" s="67"/>
      <c r="CM89" s="69" t="str">
        <f t="shared" si="39"/>
        <v/>
      </c>
      <c r="CN89" s="31"/>
      <c r="CO89" s="34" t="str">
        <f t="shared" si="40"/>
        <v/>
      </c>
      <c r="CP89" s="67"/>
      <c r="CQ89" s="69" t="str">
        <f t="shared" si="41"/>
        <v/>
      </c>
      <c r="CR89" s="21" t="s">
        <v>367</v>
      </c>
    </row>
    <row r="90" spans="1:96" ht="20" customHeight="1" x14ac:dyDescent="0.2">
      <c r="A90" s="678"/>
      <c r="B90" s="725"/>
      <c r="C90" s="255"/>
      <c r="D90" s="722" t="s">
        <v>85</v>
      </c>
      <c r="E90" s="723" t="s">
        <v>312</v>
      </c>
      <c r="F90" s="723" t="s">
        <v>313</v>
      </c>
      <c r="G90" s="722">
        <v>2014</v>
      </c>
      <c r="H90" s="287"/>
      <c r="I90" s="65">
        <v>39</v>
      </c>
      <c r="J90" s="61" t="s">
        <v>210</v>
      </c>
      <c r="K90" s="62" t="s">
        <v>368</v>
      </c>
      <c r="L90" s="31"/>
      <c r="M90" s="34" t="str">
        <f t="shared" si="0"/>
        <v/>
      </c>
      <c r="N90" s="67"/>
      <c r="O90" s="67" t="str">
        <f t="shared" si="1"/>
        <v/>
      </c>
      <c r="P90" s="31"/>
      <c r="Q90" s="34" t="str">
        <f t="shared" si="46"/>
        <v/>
      </c>
      <c r="R90" s="67"/>
      <c r="S90" s="69" t="str">
        <f t="shared" si="3"/>
        <v/>
      </c>
      <c r="T90" s="56">
        <v>6</v>
      </c>
      <c r="U90" s="34">
        <f t="shared" si="47"/>
        <v>15.384615384615385</v>
      </c>
      <c r="V90" s="67">
        <v>0</v>
      </c>
      <c r="W90" s="69">
        <f t="shared" si="5"/>
        <v>6</v>
      </c>
      <c r="X90" s="31"/>
      <c r="Y90" s="34" t="str">
        <f t="shared" si="48"/>
        <v/>
      </c>
      <c r="Z90" s="67"/>
      <c r="AA90" s="69" t="str">
        <f t="shared" si="7"/>
        <v/>
      </c>
      <c r="AB90" s="31">
        <v>1</v>
      </c>
      <c r="AC90" s="34">
        <f t="shared" si="49"/>
        <v>2.5641025641025639</v>
      </c>
      <c r="AD90" s="67"/>
      <c r="AE90" s="69" t="str">
        <f t="shared" si="9"/>
        <v/>
      </c>
      <c r="AF90" s="31">
        <v>2</v>
      </c>
      <c r="AG90" s="34">
        <f t="shared" si="10"/>
        <v>5.1282051282051277</v>
      </c>
      <c r="AH90" s="67">
        <v>1</v>
      </c>
      <c r="AI90" s="69">
        <f t="shared" si="11"/>
        <v>1</v>
      </c>
      <c r="AJ90" s="31"/>
      <c r="AK90" s="34" t="str">
        <f t="shared" si="50"/>
        <v/>
      </c>
      <c r="AL90" s="67"/>
      <c r="AM90" s="69" t="str">
        <f t="shared" si="13"/>
        <v/>
      </c>
      <c r="AN90" s="31"/>
      <c r="AO90" s="34"/>
      <c r="AP90" s="67"/>
      <c r="AQ90" s="69" t="str">
        <f t="shared" si="15"/>
        <v/>
      </c>
      <c r="AR90" s="31">
        <v>0</v>
      </c>
      <c r="AS90" s="34" t="str">
        <f t="shared" si="51"/>
        <v/>
      </c>
      <c r="AT90" s="67">
        <v>1</v>
      </c>
      <c r="AU90" s="69">
        <f t="shared" si="44"/>
        <v>-1</v>
      </c>
      <c r="AV90" s="31"/>
      <c r="AW90" s="34" t="str">
        <f t="shared" si="18"/>
        <v/>
      </c>
      <c r="AX90" s="67"/>
      <c r="AY90" s="69" t="str">
        <f t="shared" si="19"/>
        <v/>
      </c>
      <c r="AZ90" s="56"/>
      <c r="BA90" s="34" t="str">
        <f t="shared" si="52"/>
        <v/>
      </c>
      <c r="BB90" s="67"/>
      <c r="BC90" s="69" t="str">
        <f t="shared" si="21"/>
        <v/>
      </c>
      <c r="BD90" s="31"/>
      <c r="BE90" s="34" t="str">
        <f t="shared" si="53"/>
        <v/>
      </c>
      <c r="BF90" s="67"/>
      <c r="BG90" s="69" t="str">
        <f t="shared" si="23"/>
        <v/>
      </c>
      <c r="BH90" s="31"/>
      <c r="BI90" s="34" t="str">
        <f t="shared" si="54"/>
        <v/>
      </c>
      <c r="BJ90" s="67"/>
      <c r="BK90" s="69" t="str">
        <f t="shared" si="25"/>
        <v/>
      </c>
      <c r="BL90" s="31"/>
      <c r="BM90" s="34" t="str">
        <f t="shared" si="55"/>
        <v/>
      </c>
      <c r="BN90" s="67"/>
      <c r="BO90" s="69" t="str">
        <f t="shared" si="27"/>
        <v/>
      </c>
      <c r="BP90" s="31">
        <v>1</v>
      </c>
      <c r="BQ90" s="34">
        <f t="shared" si="28"/>
        <v>2.5641025641025639</v>
      </c>
      <c r="BR90" s="67">
        <v>0</v>
      </c>
      <c r="BS90" s="69">
        <f t="shared" si="29"/>
        <v>1</v>
      </c>
      <c r="BT90" s="31"/>
      <c r="BU90" s="34" t="str">
        <f t="shared" si="30"/>
        <v/>
      </c>
      <c r="BV90" s="67"/>
      <c r="BW90" s="69" t="str">
        <f t="shared" si="31"/>
        <v/>
      </c>
      <c r="BX90" s="31"/>
      <c r="BY90" s="34" t="str">
        <f t="shared" si="32"/>
        <v/>
      </c>
      <c r="BZ90" s="67"/>
      <c r="CA90" s="69" t="str">
        <f t="shared" si="33"/>
        <v/>
      </c>
      <c r="CB90" s="31"/>
      <c r="CC90" s="34" t="str">
        <f t="shared" si="34"/>
        <v/>
      </c>
      <c r="CD90" s="67"/>
      <c r="CE90" s="69" t="str">
        <f t="shared" si="35"/>
        <v/>
      </c>
      <c r="CF90" s="31"/>
      <c r="CG90" s="34" t="str">
        <f t="shared" si="36"/>
        <v/>
      </c>
      <c r="CH90" s="67"/>
      <c r="CI90" s="69" t="str">
        <f t="shared" si="37"/>
        <v/>
      </c>
      <c r="CJ90" s="31"/>
      <c r="CK90" s="34" t="str">
        <f t="shared" si="38"/>
        <v/>
      </c>
      <c r="CL90" s="67"/>
      <c r="CM90" s="69" t="str">
        <f t="shared" si="39"/>
        <v/>
      </c>
      <c r="CN90" s="31"/>
      <c r="CO90" s="34" t="str">
        <f t="shared" si="40"/>
        <v/>
      </c>
      <c r="CP90" s="67"/>
      <c r="CQ90" s="69" t="str">
        <f t="shared" si="41"/>
        <v/>
      </c>
      <c r="CR90" s="21" t="s">
        <v>406</v>
      </c>
    </row>
    <row r="91" spans="1:96" ht="20" customHeight="1" x14ac:dyDescent="0.2">
      <c r="A91" s="678"/>
      <c r="B91" s="725"/>
      <c r="C91" s="255"/>
      <c r="D91" s="722" t="s">
        <v>85</v>
      </c>
      <c r="E91" s="723" t="s">
        <v>314</v>
      </c>
      <c r="F91" s="723" t="s">
        <v>315</v>
      </c>
      <c r="G91" s="722">
        <v>2010</v>
      </c>
      <c r="H91" s="287"/>
      <c r="I91" s="65">
        <v>789</v>
      </c>
      <c r="J91" s="61" t="s">
        <v>210</v>
      </c>
      <c r="K91" s="62" t="s">
        <v>370</v>
      </c>
      <c r="L91" s="31"/>
      <c r="M91" s="34" t="str">
        <f t="shared" si="0"/>
        <v/>
      </c>
      <c r="N91" s="67"/>
      <c r="O91" s="67" t="str">
        <f t="shared" si="1"/>
        <v/>
      </c>
      <c r="P91" s="31"/>
      <c r="Q91" s="34" t="str">
        <f t="shared" si="46"/>
        <v/>
      </c>
      <c r="R91" s="67"/>
      <c r="S91" s="69" t="str">
        <f t="shared" si="3"/>
        <v/>
      </c>
      <c r="T91" s="56"/>
      <c r="U91" s="34" t="str">
        <f t="shared" si="47"/>
        <v/>
      </c>
      <c r="V91" s="67"/>
      <c r="W91" s="69" t="str">
        <f t="shared" si="5"/>
        <v/>
      </c>
      <c r="X91" s="31"/>
      <c r="Y91" s="34" t="str">
        <f t="shared" si="48"/>
        <v/>
      </c>
      <c r="Z91" s="67"/>
      <c r="AA91" s="69" t="str">
        <f t="shared" si="7"/>
        <v/>
      </c>
      <c r="AB91" s="31"/>
      <c r="AC91" s="34" t="str">
        <f t="shared" si="49"/>
        <v/>
      </c>
      <c r="AD91" s="67"/>
      <c r="AE91" s="69" t="str">
        <f t="shared" si="9"/>
        <v/>
      </c>
      <c r="AF91" s="31"/>
      <c r="AG91" s="34" t="str">
        <f>IF((ISERROR((AF91/$I91)*100)), "", IF(AND(NOT(ISERROR((AF91/$I91)*100)),((AF91/$I91)*100) &lt;&gt; 0), (AF91/$I91)*100, ""))</f>
        <v/>
      </c>
      <c r="AH91" s="67"/>
      <c r="AI91" s="69" t="str">
        <f t="shared" si="11"/>
        <v/>
      </c>
      <c r="AJ91" s="31"/>
      <c r="AK91" s="34" t="str">
        <f t="shared" si="50"/>
        <v/>
      </c>
      <c r="AL91" s="67"/>
      <c r="AM91" s="69" t="str">
        <f t="shared" si="13"/>
        <v/>
      </c>
      <c r="AN91" s="31"/>
      <c r="AO91" s="34" t="str">
        <f>IF((ISERROR((AN91/$I91)*100)), "", IF(AND(NOT(ISERROR((AN91/$I91)*100)),((AN91/$I91)*100) &lt;&gt; 0), (AN91/$I91)*100, ""))</f>
        <v/>
      </c>
      <c r="AP91" s="67"/>
      <c r="AQ91" s="69" t="str">
        <f t="shared" si="15"/>
        <v/>
      </c>
      <c r="AR91" s="31"/>
      <c r="AS91" s="34" t="str">
        <f t="shared" si="51"/>
        <v/>
      </c>
      <c r="AT91" s="67"/>
      <c r="AU91" s="69" t="str">
        <f t="shared" si="44"/>
        <v/>
      </c>
      <c r="AV91" s="31"/>
      <c r="AW91" s="34" t="str">
        <f t="shared" si="18"/>
        <v/>
      </c>
      <c r="AX91" s="67"/>
      <c r="AY91" s="69" t="str">
        <f t="shared" si="19"/>
        <v/>
      </c>
      <c r="AZ91" s="56">
        <v>43</v>
      </c>
      <c r="BA91" s="34">
        <f t="shared" si="52"/>
        <v>5.4499366286438535</v>
      </c>
      <c r="BB91" s="67">
        <v>74</v>
      </c>
      <c r="BC91" s="69">
        <f t="shared" si="21"/>
        <v>-31</v>
      </c>
      <c r="BD91" s="31"/>
      <c r="BE91" s="34" t="str">
        <f t="shared" si="53"/>
        <v/>
      </c>
      <c r="BF91" s="67"/>
      <c r="BG91" s="69" t="str">
        <f t="shared" si="23"/>
        <v/>
      </c>
      <c r="BH91" s="31"/>
      <c r="BI91" s="34" t="str">
        <f t="shared" si="54"/>
        <v/>
      </c>
      <c r="BJ91" s="67"/>
      <c r="BK91" s="69" t="str">
        <f t="shared" si="25"/>
        <v/>
      </c>
      <c r="BL91" s="31"/>
      <c r="BM91" s="34" t="str">
        <f t="shared" si="55"/>
        <v/>
      </c>
      <c r="BN91" s="67"/>
      <c r="BO91" s="69" t="str">
        <f t="shared" si="27"/>
        <v/>
      </c>
      <c r="BP91" s="31"/>
      <c r="BQ91" s="34" t="str">
        <f t="shared" si="28"/>
        <v/>
      </c>
      <c r="BR91" s="67"/>
      <c r="BS91" s="69" t="str">
        <f t="shared" si="29"/>
        <v/>
      </c>
      <c r="BT91" s="31"/>
      <c r="BU91" s="34" t="str">
        <f t="shared" si="30"/>
        <v/>
      </c>
      <c r="BV91" s="67"/>
      <c r="BW91" s="69" t="str">
        <f t="shared" si="31"/>
        <v/>
      </c>
      <c r="BX91" s="31"/>
      <c r="BY91" s="34" t="str">
        <f t="shared" si="32"/>
        <v/>
      </c>
      <c r="BZ91" s="67"/>
      <c r="CA91" s="69" t="str">
        <f t="shared" si="33"/>
        <v/>
      </c>
      <c r="CB91" s="31"/>
      <c r="CC91" s="34" t="str">
        <f t="shared" si="34"/>
        <v/>
      </c>
      <c r="CD91" s="67"/>
      <c r="CE91" s="69" t="str">
        <f t="shared" si="35"/>
        <v/>
      </c>
      <c r="CF91" s="31"/>
      <c r="CG91" s="34" t="str">
        <f t="shared" si="36"/>
        <v/>
      </c>
      <c r="CH91" s="67"/>
      <c r="CI91" s="69" t="str">
        <f t="shared" si="37"/>
        <v/>
      </c>
      <c r="CJ91" s="31"/>
      <c r="CK91" s="34" t="str">
        <f t="shared" si="38"/>
        <v/>
      </c>
      <c r="CL91" s="67"/>
      <c r="CM91" s="69" t="str">
        <f t="shared" si="39"/>
        <v/>
      </c>
      <c r="CN91" s="31"/>
      <c r="CO91" s="34" t="str">
        <f t="shared" si="40"/>
        <v/>
      </c>
      <c r="CP91" s="67"/>
      <c r="CQ91" s="69" t="str">
        <f t="shared" si="41"/>
        <v/>
      </c>
      <c r="CR91" s="21" t="s">
        <v>369</v>
      </c>
    </row>
    <row r="92" spans="1:96" ht="20" customHeight="1" x14ac:dyDescent="0.2">
      <c r="A92" s="680"/>
      <c r="B92" s="721"/>
      <c r="C92" s="722"/>
      <c r="D92" s="722" t="s">
        <v>85</v>
      </c>
      <c r="E92" s="723" t="s">
        <v>694</v>
      </c>
      <c r="F92" s="723" t="s">
        <v>695</v>
      </c>
      <c r="G92" s="722">
        <v>2007</v>
      </c>
      <c r="H92" s="287"/>
      <c r="I92" s="65">
        <v>171</v>
      </c>
      <c r="J92" s="61"/>
      <c r="K92" s="62" t="s">
        <v>209</v>
      </c>
      <c r="L92" s="31"/>
      <c r="M92" s="34"/>
      <c r="N92" s="67"/>
      <c r="O92" s="67"/>
      <c r="P92" s="31"/>
      <c r="Q92" s="34"/>
      <c r="R92" s="67"/>
      <c r="S92" s="69"/>
      <c r="T92" s="56"/>
      <c r="U92" s="34"/>
      <c r="V92" s="67"/>
      <c r="W92" s="69"/>
      <c r="X92" s="31"/>
      <c r="Y92" s="34"/>
      <c r="Z92" s="67"/>
      <c r="AA92" s="69"/>
      <c r="AB92" s="31"/>
      <c r="AC92" s="34"/>
      <c r="AD92" s="67"/>
      <c r="AE92" s="69"/>
      <c r="AF92" s="31"/>
      <c r="AG92" s="34"/>
      <c r="AH92" s="67"/>
      <c r="AI92" s="69"/>
      <c r="AJ92" s="31"/>
      <c r="AK92" s="34"/>
      <c r="AL92" s="67"/>
      <c r="AM92" s="69"/>
      <c r="AN92" s="31"/>
      <c r="AO92" s="34"/>
      <c r="AP92" s="67"/>
      <c r="AQ92" s="69"/>
      <c r="AR92" s="31"/>
      <c r="AS92" s="34"/>
      <c r="AT92" s="67"/>
      <c r="AU92" s="69"/>
      <c r="AV92" s="31"/>
      <c r="AW92" s="34"/>
      <c r="AX92" s="67"/>
      <c r="AY92" s="69"/>
      <c r="AZ92" s="56"/>
      <c r="BA92" s="34"/>
      <c r="BB92" s="67"/>
      <c r="BC92" s="69"/>
      <c r="BD92" s="31"/>
      <c r="BE92" s="34"/>
      <c r="BF92" s="67"/>
      <c r="BG92" s="69"/>
      <c r="BH92" s="31"/>
      <c r="BI92" s="34"/>
      <c r="BJ92" s="67"/>
      <c r="BK92" s="69"/>
      <c r="BL92" s="31"/>
      <c r="BM92" s="34"/>
      <c r="BN92" s="67"/>
      <c r="BO92" s="69"/>
      <c r="BP92" s="31"/>
      <c r="BQ92" s="34"/>
      <c r="BR92" s="67"/>
      <c r="BS92" s="69"/>
      <c r="BT92" s="31"/>
      <c r="BU92" s="34"/>
      <c r="BV92" s="67"/>
      <c r="BW92" s="69"/>
      <c r="BX92" s="31"/>
      <c r="BY92" s="34"/>
      <c r="BZ92" s="67"/>
      <c r="CA92" s="69"/>
      <c r="CB92" s="31"/>
      <c r="CC92" s="34"/>
      <c r="CD92" s="67"/>
      <c r="CE92" s="69"/>
      <c r="CF92" s="31"/>
      <c r="CG92" s="34"/>
      <c r="CH92" s="67"/>
      <c r="CI92" s="69"/>
      <c r="CJ92" s="31"/>
      <c r="CK92" s="34"/>
      <c r="CL92" s="67"/>
      <c r="CM92" s="69"/>
      <c r="CN92" s="31"/>
      <c r="CO92" s="34"/>
      <c r="CP92" s="67"/>
      <c r="CQ92" s="69"/>
    </row>
    <row r="93" spans="1:96" ht="20" customHeight="1" x14ac:dyDescent="0.2">
      <c r="A93" s="678"/>
      <c r="B93" s="725"/>
      <c r="C93" s="253"/>
      <c r="D93" s="722" t="s">
        <v>85</v>
      </c>
      <c r="E93" s="723" t="s">
        <v>143</v>
      </c>
      <c r="F93" s="723" t="s">
        <v>144</v>
      </c>
      <c r="G93" s="722">
        <v>2008</v>
      </c>
      <c r="H93" s="287">
        <v>156</v>
      </c>
      <c r="I93" s="65">
        <v>50</v>
      </c>
      <c r="J93" s="61" t="s">
        <v>175</v>
      </c>
      <c r="K93" s="62"/>
      <c r="L93" s="31"/>
      <c r="M93" s="34" t="str">
        <f t="shared" si="0"/>
        <v/>
      </c>
      <c r="N93" s="67"/>
      <c r="O93" s="67" t="str">
        <f t="shared" si="1"/>
        <v/>
      </c>
      <c r="P93" s="31"/>
      <c r="Q93" s="34" t="str">
        <f t="shared" si="46"/>
        <v/>
      </c>
      <c r="R93" s="67"/>
      <c r="S93" s="69" t="str">
        <f t="shared" si="3"/>
        <v/>
      </c>
      <c r="T93" s="56"/>
      <c r="U93" s="34" t="str">
        <f t="shared" si="47"/>
        <v/>
      </c>
      <c r="V93" s="67"/>
      <c r="W93" s="69" t="str">
        <f t="shared" si="5"/>
        <v/>
      </c>
      <c r="X93" s="31"/>
      <c r="Y93" s="34" t="str">
        <f t="shared" si="48"/>
        <v/>
      </c>
      <c r="Z93" s="67"/>
      <c r="AA93" s="69" t="str">
        <f t="shared" si="7"/>
        <v/>
      </c>
      <c r="AB93" s="31"/>
      <c r="AC93" s="34" t="str">
        <f t="shared" si="49"/>
        <v/>
      </c>
      <c r="AD93" s="67"/>
      <c r="AE93" s="69" t="str">
        <f t="shared" si="9"/>
        <v/>
      </c>
      <c r="AF93" s="31"/>
      <c r="AG93" s="34" t="str">
        <f>IF((ISERROR((AF93/$I93)*100)), "", IF(AND(NOT(ISERROR((AF93/$I93)*100)),((AF93/$I93)*100) &lt;&gt; 0), (AF93/$I93)*100, ""))</f>
        <v/>
      </c>
      <c r="AH93" s="67"/>
      <c r="AI93" s="69" t="str">
        <f t="shared" si="11"/>
        <v/>
      </c>
      <c r="AJ93" s="31"/>
      <c r="AK93" s="34" t="str">
        <f t="shared" si="50"/>
        <v/>
      </c>
      <c r="AL93" s="67"/>
      <c r="AM93" s="69" t="str">
        <f t="shared" si="13"/>
        <v/>
      </c>
      <c r="AN93" s="31"/>
      <c r="AO93" s="34" t="str">
        <f>IF((ISERROR((AN93/$I93)*100)), "", IF(AND(NOT(ISERROR((AN93/$I93)*100)),((AN93/$I93)*100) &lt;&gt; 0), (AN93/$I93)*100, ""))</f>
        <v/>
      </c>
      <c r="AP93" s="67"/>
      <c r="AQ93" s="69" t="str">
        <f t="shared" si="15"/>
        <v/>
      </c>
      <c r="AR93" s="31"/>
      <c r="AS93" s="34" t="str">
        <f t="shared" si="51"/>
        <v/>
      </c>
      <c r="AT93" s="67"/>
      <c r="AU93" s="69" t="str">
        <f t="shared" si="44"/>
        <v/>
      </c>
      <c r="AV93" s="31"/>
      <c r="AW93" s="34" t="str">
        <f t="shared" si="18"/>
        <v/>
      </c>
      <c r="AX93" s="67"/>
      <c r="AY93" s="69" t="str">
        <f t="shared" si="19"/>
        <v/>
      </c>
      <c r="AZ93" s="56"/>
      <c r="BA93" s="34" t="str">
        <f t="shared" si="52"/>
        <v/>
      </c>
      <c r="BB93" s="67"/>
      <c r="BC93" s="69" t="str">
        <f t="shared" si="21"/>
        <v/>
      </c>
      <c r="BD93" s="31"/>
      <c r="BE93" s="34" t="str">
        <f t="shared" si="53"/>
        <v/>
      </c>
      <c r="BF93" s="67"/>
      <c r="BG93" s="69" t="str">
        <f t="shared" si="23"/>
        <v/>
      </c>
      <c r="BH93" s="31"/>
      <c r="BI93" s="34" t="str">
        <f t="shared" si="54"/>
        <v/>
      </c>
      <c r="BJ93" s="67"/>
      <c r="BK93" s="69" t="str">
        <f t="shared" si="25"/>
        <v/>
      </c>
      <c r="BL93" s="31"/>
      <c r="BM93" s="34" t="str">
        <f t="shared" si="55"/>
        <v/>
      </c>
      <c r="BN93" s="67"/>
      <c r="BO93" s="69" t="str">
        <f t="shared" si="27"/>
        <v/>
      </c>
      <c r="BP93" s="31"/>
      <c r="BQ93" s="34" t="str">
        <f t="shared" si="28"/>
        <v/>
      </c>
      <c r="BR93" s="67"/>
      <c r="BS93" s="69" t="str">
        <f t="shared" si="29"/>
        <v/>
      </c>
      <c r="BT93" s="31"/>
      <c r="BU93" s="34" t="str">
        <f t="shared" si="30"/>
        <v/>
      </c>
      <c r="BV93" s="67"/>
      <c r="BW93" s="69" t="str">
        <f t="shared" si="31"/>
        <v/>
      </c>
      <c r="BX93" s="31"/>
      <c r="BY93" s="34" t="str">
        <f t="shared" si="32"/>
        <v/>
      </c>
      <c r="BZ93" s="67"/>
      <c r="CA93" s="69" t="str">
        <f t="shared" si="33"/>
        <v/>
      </c>
      <c r="CB93" s="31"/>
      <c r="CC93" s="34" t="str">
        <f t="shared" si="34"/>
        <v/>
      </c>
      <c r="CD93" s="67"/>
      <c r="CE93" s="69" t="str">
        <f t="shared" si="35"/>
        <v/>
      </c>
      <c r="CF93" s="31"/>
      <c r="CG93" s="34" t="str">
        <f t="shared" si="36"/>
        <v/>
      </c>
      <c r="CH93" s="67"/>
      <c r="CI93" s="69" t="str">
        <f t="shared" si="37"/>
        <v/>
      </c>
      <c r="CJ93" s="31"/>
      <c r="CK93" s="34" t="str">
        <f t="shared" si="38"/>
        <v/>
      </c>
      <c r="CL93" s="67"/>
      <c r="CM93" s="69" t="str">
        <f t="shared" si="39"/>
        <v/>
      </c>
      <c r="CN93" s="31"/>
      <c r="CO93" s="34" t="str">
        <f t="shared" si="40"/>
        <v/>
      </c>
      <c r="CP93" s="67"/>
      <c r="CQ93" s="69" t="str">
        <f t="shared" si="41"/>
        <v/>
      </c>
      <c r="CR93" s="21" t="s">
        <v>588</v>
      </c>
    </row>
    <row r="94" spans="1:96" ht="20" customHeight="1" x14ac:dyDescent="0.2">
      <c r="A94" s="680"/>
      <c r="B94" s="721"/>
      <c r="C94" s="722"/>
      <c r="D94" s="722" t="s">
        <v>85</v>
      </c>
      <c r="E94" s="723" t="s">
        <v>696</v>
      </c>
      <c r="F94" s="723" t="s">
        <v>697</v>
      </c>
      <c r="G94" s="722">
        <v>2006</v>
      </c>
      <c r="H94" s="287"/>
      <c r="I94" s="65">
        <v>27</v>
      </c>
      <c r="J94" s="61" t="s">
        <v>175</v>
      </c>
      <c r="K94" s="62" t="s">
        <v>702</v>
      </c>
      <c r="L94" s="53"/>
      <c r="M94" s="54"/>
      <c r="N94" s="68"/>
      <c r="O94" s="67"/>
      <c r="P94" s="53"/>
      <c r="Q94" s="54"/>
      <c r="R94" s="68"/>
      <c r="S94" s="70"/>
      <c r="T94" s="55"/>
      <c r="U94" s="54"/>
      <c r="V94" s="68"/>
      <c r="W94" s="70"/>
      <c r="X94" s="53"/>
      <c r="Y94" s="54"/>
      <c r="Z94" s="68"/>
      <c r="AA94" s="70"/>
      <c r="AB94" s="53"/>
      <c r="AC94" s="54"/>
      <c r="AD94" s="68"/>
      <c r="AE94" s="70"/>
      <c r="AF94" s="53"/>
      <c r="AG94" s="54"/>
      <c r="AH94" s="68"/>
      <c r="AI94" s="70"/>
      <c r="AJ94" s="53"/>
      <c r="AK94" s="54"/>
      <c r="AL94" s="68"/>
      <c r="AM94" s="70"/>
      <c r="AN94" s="53"/>
      <c r="AO94" s="54"/>
      <c r="AP94" s="68"/>
      <c r="AQ94" s="70"/>
      <c r="AR94" s="53"/>
      <c r="AS94" s="54"/>
      <c r="AT94" s="68"/>
      <c r="AU94" s="70"/>
      <c r="AV94" s="53"/>
      <c r="AW94" s="54"/>
      <c r="AX94" s="68"/>
      <c r="AY94" s="70"/>
      <c r="AZ94" s="55"/>
      <c r="BA94" s="54"/>
      <c r="BB94" s="68"/>
      <c r="BC94" s="70"/>
      <c r="BD94" s="53"/>
      <c r="BE94" s="54"/>
      <c r="BF94" s="68"/>
      <c r="BG94" s="70"/>
      <c r="BH94" s="53"/>
      <c r="BI94" s="54"/>
      <c r="BJ94" s="68"/>
      <c r="BK94" s="70"/>
      <c r="BL94" s="53"/>
      <c r="BM94" s="54"/>
      <c r="BN94" s="68"/>
      <c r="BO94" s="70"/>
      <c r="BP94" s="53"/>
      <c r="BQ94" s="54"/>
      <c r="BR94" s="68"/>
      <c r="BS94" s="70"/>
      <c r="BT94" s="53"/>
      <c r="BU94" s="54"/>
      <c r="BV94" s="68"/>
      <c r="BW94" s="70"/>
      <c r="BX94" s="53"/>
      <c r="BY94" s="54"/>
      <c r="BZ94" s="68"/>
      <c r="CA94" s="70"/>
      <c r="CB94" s="53"/>
      <c r="CC94" s="54"/>
      <c r="CD94" s="68"/>
      <c r="CE94" s="70"/>
      <c r="CF94" s="53"/>
      <c r="CG94" s="54"/>
      <c r="CH94" s="68"/>
      <c r="CI94" s="70"/>
      <c r="CJ94" s="53"/>
      <c r="CK94" s="54"/>
      <c r="CL94" s="68"/>
      <c r="CM94" s="70"/>
      <c r="CN94" s="53"/>
      <c r="CO94" s="54"/>
      <c r="CP94" s="68"/>
      <c r="CQ94" s="70"/>
    </row>
    <row r="95" spans="1:96" ht="20" customHeight="1" x14ac:dyDescent="0.2">
      <c r="A95" s="678"/>
      <c r="B95" s="725"/>
      <c r="C95" s="253"/>
      <c r="D95" s="722" t="s">
        <v>85</v>
      </c>
      <c r="E95" s="723" t="s">
        <v>318</v>
      </c>
      <c r="F95" s="723" t="s">
        <v>319</v>
      </c>
      <c r="G95" s="722">
        <v>2009</v>
      </c>
      <c r="H95" s="287"/>
      <c r="I95" s="65">
        <v>12</v>
      </c>
      <c r="J95" s="61" t="s">
        <v>213</v>
      </c>
      <c r="K95" s="62" t="s">
        <v>191</v>
      </c>
      <c r="L95" s="53"/>
      <c r="M95" s="54" t="str">
        <f t="shared" si="0"/>
        <v/>
      </c>
      <c r="N95" s="68"/>
      <c r="O95" s="67" t="str">
        <f t="shared" si="1"/>
        <v/>
      </c>
      <c r="P95" s="53"/>
      <c r="Q95" s="54" t="str">
        <f t="shared" si="46"/>
        <v/>
      </c>
      <c r="R95" s="68"/>
      <c r="S95" s="70" t="str">
        <f t="shared" si="3"/>
        <v/>
      </c>
      <c r="T95" s="55"/>
      <c r="U95" s="54" t="str">
        <f t="shared" si="47"/>
        <v/>
      </c>
      <c r="V95" s="68"/>
      <c r="W95" s="70" t="str">
        <f t="shared" si="5"/>
        <v/>
      </c>
      <c r="X95" s="53"/>
      <c r="Y95" s="54" t="str">
        <f t="shared" si="48"/>
        <v/>
      </c>
      <c r="Z95" s="68"/>
      <c r="AA95" s="70" t="str">
        <f t="shared" si="7"/>
        <v/>
      </c>
      <c r="AB95" s="53"/>
      <c r="AC95" s="54" t="str">
        <f t="shared" si="49"/>
        <v/>
      </c>
      <c r="AD95" s="68"/>
      <c r="AE95" s="70" t="str">
        <f t="shared" si="9"/>
        <v/>
      </c>
      <c r="AF95" s="53"/>
      <c r="AG95" s="54" t="str">
        <f>IF((ISERROR((AF95/$I95)*100)), "", IF(AND(NOT(ISERROR((AF95/$I95)*100)),((AF95/$I95)*100) &lt;&gt; 0), (AF95/$I95)*100, ""))</f>
        <v/>
      </c>
      <c r="AH95" s="68"/>
      <c r="AI95" s="70" t="str">
        <f t="shared" si="11"/>
        <v/>
      </c>
      <c r="AJ95" s="53"/>
      <c r="AK95" s="54" t="str">
        <f t="shared" si="50"/>
        <v/>
      </c>
      <c r="AL95" s="68"/>
      <c r="AM95" s="70" t="str">
        <f t="shared" si="13"/>
        <v/>
      </c>
      <c r="AN95" s="53"/>
      <c r="AO95" s="54" t="str">
        <f>IF((ISERROR((AN95/$I95)*100)), "", IF(AND(NOT(ISERROR((AN95/$I95)*100)),((AN95/$I95)*100) &lt;&gt; 0), (AN95/$I95)*100, ""))</f>
        <v/>
      </c>
      <c r="AP95" s="68"/>
      <c r="AQ95" s="70" t="str">
        <f t="shared" si="15"/>
        <v/>
      </c>
      <c r="AR95" s="53"/>
      <c r="AS95" s="54" t="str">
        <f t="shared" si="51"/>
        <v/>
      </c>
      <c r="AT95" s="68"/>
      <c r="AU95" s="70" t="str">
        <f t="shared" si="44"/>
        <v/>
      </c>
      <c r="AV95" s="53"/>
      <c r="AW95" s="54" t="str">
        <f t="shared" si="18"/>
        <v/>
      </c>
      <c r="AX95" s="68"/>
      <c r="AY95" s="70" t="str">
        <f t="shared" si="19"/>
        <v/>
      </c>
      <c r="AZ95" s="55"/>
      <c r="BA95" s="54" t="str">
        <f t="shared" si="52"/>
        <v/>
      </c>
      <c r="BB95" s="68"/>
      <c r="BC95" s="70" t="str">
        <f t="shared" si="21"/>
        <v/>
      </c>
      <c r="BD95" s="53"/>
      <c r="BE95" s="54" t="str">
        <f t="shared" si="53"/>
        <v/>
      </c>
      <c r="BF95" s="68"/>
      <c r="BG95" s="70" t="str">
        <f t="shared" si="23"/>
        <v/>
      </c>
      <c r="BH95" s="53"/>
      <c r="BI95" s="54" t="str">
        <f t="shared" si="54"/>
        <v/>
      </c>
      <c r="BJ95" s="68"/>
      <c r="BK95" s="70" t="str">
        <f t="shared" si="25"/>
        <v/>
      </c>
      <c r="BL95" s="53"/>
      <c r="BM95" s="54" t="str">
        <f t="shared" si="55"/>
        <v/>
      </c>
      <c r="BN95" s="68"/>
      <c r="BO95" s="70" t="str">
        <f t="shared" si="27"/>
        <v/>
      </c>
      <c r="BP95" s="53"/>
      <c r="BQ95" s="54" t="str">
        <f t="shared" si="28"/>
        <v/>
      </c>
      <c r="BR95" s="68"/>
      <c r="BS95" s="70" t="str">
        <f t="shared" si="29"/>
        <v/>
      </c>
      <c r="BT95" s="53"/>
      <c r="BU95" s="54" t="str">
        <f t="shared" si="30"/>
        <v/>
      </c>
      <c r="BV95" s="68"/>
      <c r="BW95" s="70" t="str">
        <f t="shared" si="31"/>
        <v/>
      </c>
      <c r="BX95" s="53"/>
      <c r="BY95" s="54" t="str">
        <f t="shared" si="32"/>
        <v/>
      </c>
      <c r="BZ95" s="68"/>
      <c r="CA95" s="70" t="str">
        <f t="shared" si="33"/>
        <v/>
      </c>
      <c r="CB95" s="53"/>
      <c r="CC95" s="54" t="str">
        <f t="shared" si="34"/>
        <v/>
      </c>
      <c r="CD95" s="68"/>
      <c r="CE95" s="70" t="str">
        <f t="shared" si="35"/>
        <v/>
      </c>
      <c r="CF95" s="53"/>
      <c r="CG95" s="54" t="str">
        <f t="shared" si="36"/>
        <v/>
      </c>
      <c r="CH95" s="68"/>
      <c r="CI95" s="70" t="str">
        <f t="shared" si="37"/>
        <v/>
      </c>
      <c r="CJ95" s="53"/>
      <c r="CK95" s="54" t="str">
        <f t="shared" si="38"/>
        <v/>
      </c>
      <c r="CL95" s="68"/>
      <c r="CM95" s="70" t="str">
        <f t="shared" si="39"/>
        <v/>
      </c>
      <c r="CN95" s="53"/>
      <c r="CO95" s="54" t="str">
        <f t="shared" si="40"/>
        <v/>
      </c>
      <c r="CP95" s="68"/>
      <c r="CQ95" s="70" t="str">
        <f t="shared" si="41"/>
        <v/>
      </c>
      <c r="CR95" s="21" t="s">
        <v>179</v>
      </c>
    </row>
    <row r="96" spans="1:96" ht="20" customHeight="1" x14ac:dyDescent="0.2">
      <c r="A96" s="678"/>
      <c r="B96" s="725"/>
      <c r="C96" s="253"/>
      <c r="D96" s="722" t="s">
        <v>85</v>
      </c>
      <c r="E96" s="723" t="s">
        <v>147</v>
      </c>
      <c r="F96" s="723" t="s">
        <v>148</v>
      </c>
      <c r="G96" s="722">
        <v>2011</v>
      </c>
      <c r="H96" s="287">
        <v>112</v>
      </c>
      <c r="I96" s="747">
        <v>17</v>
      </c>
      <c r="J96" s="748" t="s">
        <v>217</v>
      </c>
      <c r="K96" s="749" t="s">
        <v>192</v>
      </c>
      <c r="L96" s="53"/>
      <c r="M96" s="54" t="str">
        <f t="shared" si="0"/>
        <v/>
      </c>
      <c r="N96" s="68"/>
      <c r="O96" s="68" t="str">
        <f t="shared" si="1"/>
        <v/>
      </c>
      <c r="P96" s="53"/>
      <c r="Q96" s="54" t="str">
        <f t="shared" si="46"/>
        <v/>
      </c>
      <c r="R96" s="68"/>
      <c r="S96" s="70" t="str">
        <f t="shared" si="3"/>
        <v/>
      </c>
      <c r="T96" s="55"/>
      <c r="U96" s="54" t="str">
        <f t="shared" si="47"/>
        <v/>
      </c>
      <c r="V96" s="68"/>
      <c r="W96" s="70" t="str">
        <f t="shared" si="5"/>
        <v/>
      </c>
      <c r="X96" s="53"/>
      <c r="Y96" s="54" t="str">
        <f t="shared" si="48"/>
        <v/>
      </c>
      <c r="Z96" s="68"/>
      <c r="AA96" s="70" t="str">
        <f t="shared" si="7"/>
        <v/>
      </c>
      <c r="AB96" s="53"/>
      <c r="AC96" s="54" t="str">
        <f t="shared" si="49"/>
        <v/>
      </c>
      <c r="AD96" s="68"/>
      <c r="AE96" s="70" t="str">
        <f t="shared" si="9"/>
        <v/>
      </c>
      <c r="AF96" s="53"/>
      <c r="AG96" s="54" t="str">
        <f>IF((ISERROR((AF96/$I96)*100)), "", IF(AND(NOT(ISERROR((AF96/$I96)*100)),((AF96/$I96)*100) &lt;&gt; 0), (AF96/$I96)*100, ""))</f>
        <v/>
      </c>
      <c r="AH96" s="68"/>
      <c r="AI96" s="70" t="str">
        <f t="shared" si="11"/>
        <v/>
      </c>
      <c r="AJ96" s="53"/>
      <c r="AK96" s="54" t="str">
        <f t="shared" si="50"/>
        <v/>
      </c>
      <c r="AL96" s="68"/>
      <c r="AM96" s="70" t="str">
        <f t="shared" si="13"/>
        <v/>
      </c>
      <c r="AN96" s="53"/>
      <c r="AO96" s="54" t="str">
        <f>IF((ISERROR((AN96/$I96)*100)), "", IF(AND(NOT(ISERROR((AN96/$I96)*100)),((AN96/$I96)*100) &lt;&gt; 0), (AN96/$I96)*100, ""))</f>
        <v/>
      </c>
      <c r="AP96" s="68"/>
      <c r="AQ96" s="70" t="str">
        <f t="shared" si="15"/>
        <v/>
      </c>
      <c r="AR96" s="53"/>
      <c r="AS96" s="54" t="str">
        <f t="shared" si="51"/>
        <v/>
      </c>
      <c r="AT96" s="68"/>
      <c r="AU96" s="70" t="str">
        <f t="shared" si="44"/>
        <v/>
      </c>
      <c r="AV96" s="53"/>
      <c r="AW96" s="54" t="str">
        <f t="shared" si="18"/>
        <v/>
      </c>
      <c r="AX96" s="68"/>
      <c r="AY96" s="70" t="str">
        <f t="shared" si="19"/>
        <v/>
      </c>
      <c r="AZ96" s="55"/>
      <c r="BA96" s="54" t="str">
        <f t="shared" si="52"/>
        <v/>
      </c>
      <c r="BB96" s="68"/>
      <c r="BC96" s="70" t="str">
        <f t="shared" si="21"/>
        <v/>
      </c>
      <c r="BD96" s="53"/>
      <c r="BE96" s="54" t="str">
        <f t="shared" si="53"/>
        <v/>
      </c>
      <c r="BF96" s="68"/>
      <c r="BG96" s="70" t="str">
        <f t="shared" si="23"/>
        <v/>
      </c>
      <c r="BH96" s="53"/>
      <c r="BI96" s="54" t="str">
        <f t="shared" si="54"/>
        <v/>
      </c>
      <c r="BJ96" s="68"/>
      <c r="BK96" s="70" t="str">
        <f t="shared" si="25"/>
        <v/>
      </c>
      <c r="BL96" s="53"/>
      <c r="BM96" s="54" t="str">
        <f t="shared" si="55"/>
        <v/>
      </c>
      <c r="BN96" s="68"/>
      <c r="BO96" s="70" t="str">
        <f t="shared" si="27"/>
        <v/>
      </c>
      <c r="BP96" s="53"/>
      <c r="BQ96" s="54" t="str">
        <f t="shared" si="28"/>
        <v/>
      </c>
      <c r="BR96" s="68"/>
      <c r="BS96" s="70" t="str">
        <f t="shared" si="29"/>
        <v/>
      </c>
      <c r="BT96" s="53"/>
      <c r="BU96" s="54" t="str">
        <f t="shared" si="30"/>
        <v/>
      </c>
      <c r="BV96" s="68"/>
      <c r="BW96" s="70" t="str">
        <f t="shared" si="31"/>
        <v/>
      </c>
      <c r="BX96" s="53"/>
      <c r="BY96" s="54" t="str">
        <f t="shared" si="32"/>
        <v/>
      </c>
      <c r="BZ96" s="68"/>
      <c r="CA96" s="70" t="str">
        <f t="shared" si="33"/>
        <v/>
      </c>
      <c r="CB96" s="53"/>
      <c r="CC96" s="54" t="str">
        <f t="shared" si="34"/>
        <v/>
      </c>
      <c r="CD96" s="68"/>
      <c r="CE96" s="70" t="str">
        <f t="shared" si="35"/>
        <v/>
      </c>
      <c r="CF96" s="53"/>
      <c r="CG96" s="54" t="str">
        <f t="shared" si="36"/>
        <v/>
      </c>
      <c r="CH96" s="68"/>
      <c r="CI96" s="70" t="str">
        <f t="shared" si="37"/>
        <v/>
      </c>
      <c r="CJ96" s="53"/>
      <c r="CK96" s="54" t="str">
        <f t="shared" si="38"/>
        <v/>
      </c>
      <c r="CL96" s="68"/>
      <c r="CM96" s="70" t="str">
        <f t="shared" si="39"/>
        <v/>
      </c>
      <c r="CN96" s="53"/>
      <c r="CO96" s="54" t="str">
        <f t="shared" si="40"/>
        <v/>
      </c>
      <c r="CP96" s="68"/>
      <c r="CQ96" s="70" t="str">
        <f t="shared" si="41"/>
        <v/>
      </c>
      <c r="CR96" s="21" t="s">
        <v>589</v>
      </c>
    </row>
    <row r="97" spans="1:95" ht="20" customHeight="1" thickBot="1" x14ac:dyDescent="0.25">
      <c r="A97" s="732"/>
      <c r="B97" s="733"/>
      <c r="C97" s="281"/>
      <c r="D97" s="734" t="s">
        <v>85</v>
      </c>
      <c r="E97" s="735" t="s">
        <v>698</v>
      </c>
      <c r="F97" s="735" t="s">
        <v>701</v>
      </c>
      <c r="G97" s="734">
        <v>1998</v>
      </c>
      <c r="H97" s="736"/>
      <c r="I97" s="66">
        <v>15</v>
      </c>
      <c r="J97" s="63" t="s">
        <v>175</v>
      </c>
      <c r="K97" s="64" t="s">
        <v>333</v>
      </c>
      <c r="L97" s="789"/>
      <c r="M97" s="790"/>
      <c r="N97" s="791"/>
      <c r="O97" s="791"/>
      <c r="P97" s="789"/>
      <c r="Q97" s="790"/>
      <c r="R97" s="791"/>
      <c r="S97" s="792"/>
      <c r="T97" s="793"/>
      <c r="U97" s="790"/>
      <c r="V97" s="791"/>
      <c r="W97" s="792"/>
      <c r="X97" s="789"/>
      <c r="Y97" s="790"/>
      <c r="Z97" s="791"/>
      <c r="AA97" s="792"/>
      <c r="AB97" s="789"/>
      <c r="AC97" s="790"/>
      <c r="AD97" s="791"/>
      <c r="AE97" s="792"/>
      <c r="AF97" s="789"/>
      <c r="AG97" s="790"/>
      <c r="AH97" s="791"/>
      <c r="AI97" s="792"/>
      <c r="AJ97" s="789"/>
      <c r="AK97" s="790"/>
      <c r="AL97" s="791"/>
      <c r="AM97" s="792"/>
      <c r="AN97" s="789"/>
      <c r="AO97" s="790"/>
      <c r="AP97" s="791"/>
      <c r="AQ97" s="792"/>
      <c r="AR97" s="789"/>
      <c r="AS97" s="790"/>
      <c r="AT97" s="791"/>
      <c r="AU97" s="792"/>
      <c r="AV97" s="789"/>
      <c r="AW97" s="790"/>
      <c r="AX97" s="791"/>
      <c r="AY97" s="792"/>
      <c r="AZ97" s="793"/>
      <c r="BA97" s="790"/>
      <c r="BB97" s="791"/>
      <c r="BC97" s="792"/>
      <c r="BD97" s="789"/>
      <c r="BE97" s="790"/>
      <c r="BF97" s="791"/>
      <c r="BG97" s="792"/>
      <c r="BH97" s="789"/>
      <c r="BI97" s="790"/>
      <c r="BJ97" s="791"/>
      <c r="BK97" s="792"/>
      <c r="BL97" s="789"/>
      <c r="BM97" s="790"/>
      <c r="BN97" s="791"/>
      <c r="BO97" s="792"/>
      <c r="BP97" s="789"/>
      <c r="BQ97" s="790"/>
      <c r="BR97" s="791"/>
      <c r="BS97" s="792"/>
      <c r="BT97" s="789"/>
      <c r="BU97" s="790"/>
      <c r="BV97" s="791"/>
      <c r="BW97" s="792"/>
      <c r="BX97" s="789"/>
      <c r="BY97" s="790"/>
      <c r="BZ97" s="791"/>
      <c r="CA97" s="792"/>
      <c r="CB97" s="789"/>
      <c r="CC97" s="790"/>
      <c r="CD97" s="791"/>
      <c r="CE97" s="792"/>
      <c r="CF97" s="789"/>
      <c r="CG97" s="790"/>
      <c r="CH97" s="791"/>
      <c r="CI97" s="792"/>
      <c r="CJ97" s="789"/>
      <c r="CK97" s="790"/>
      <c r="CL97" s="791"/>
      <c r="CM97" s="792"/>
      <c r="CN97" s="789"/>
      <c r="CO97" s="790"/>
      <c r="CP97" s="791"/>
      <c r="CQ97" s="792"/>
    </row>
    <row r="98" spans="1:95" s="774" customFormat="1" ht="20" customHeight="1" x14ac:dyDescent="0.2">
      <c r="D98" s="775"/>
      <c r="G98" s="776"/>
      <c r="H98" s="777" t="s">
        <v>240</v>
      </c>
      <c r="I98" s="799">
        <f>SUM(I11:I97)</f>
        <v>2626</v>
      </c>
      <c r="J98" s="800" t="s">
        <v>447</v>
      </c>
      <c r="K98" s="801" t="s">
        <v>453</v>
      </c>
      <c r="L98" s="802">
        <f>IF((SUM(L11:L96)&lt;&gt;0), SUMIF($I11:$I96, "&gt;0", L11:L96), "")</f>
        <v>5</v>
      </c>
      <c r="M98" s="803">
        <f>IF(ISERROR((L98/$I98)*100), "", IF(((L98/$I98)*100) &lt;&gt; 0, (L98/$I98)*100, ""))</f>
        <v>0.19040365575019041</v>
      </c>
      <c r="N98" s="800">
        <f>IF((SUM(O11:O96)&lt;&gt;0), SUMIF($I11:$I96, "&gt;0", O11:O96), "")</f>
        <v>5</v>
      </c>
      <c r="O98" s="803">
        <f>IF(ISERROR((N98/$I98)*100), "", IF(((N98/$I98)*100) &lt;&gt; 0, (N98/$I98)*100, ""))</f>
        <v>0.19040365575019041</v>
      </c>
      <c r="P98" s="802">
        <f>IF((SUM(P11:P96)&lt;&gt;0), SUMIF($I11:$I96, "&gt;0", P11:P96), "")</f>
        <v>28</v>
      </c>
      <c r="Q98" s="803">
        <f>IF(ISERROR((P98/$I98)*100), "", IF(((P98/$I98)*100) &lt;&gt; 0, (P98/$I98)*100, ""))</f>
        <v>1.0662604722010662</v>
      </c>
      <c r="R98" s="800">
        <f>IF((SUM(S11:S96)&lt;&gt;0), SUMIF($I11:$I96, "&gt;0", S11:S96), "")</f>
        <v>3</v>
      </c>
      <c r="S98" s="803">
        <f>IF(ISERROR((R98/$I98)*100), "", IF(((R98/$I98)*100) &lt;&gt; 0, (R98/$I98)*100, ""))</f>
        <v>0.11424219345011424</v>
      </c>
      <c r="T98" s="802">
        <f>IF((SUM(T11:T96)&lt;&gt;0), SUMIF($I11:$I96, "&gt;0", T11:T96), "")</f>
        <v>187</v>
      </c>
      <c r="U98" s="803">
        <f>IF(ISERROR((T98/$I98)*100), "", IF(((T98/$I98)*100) &lt;&gt; 0, (T98/$I98)*100, ""))</f>
        <v>7.1210967250571215</v>
      </c>
      <c r="V98" s="800">
        <f>IF((SUM(W11:W96)&lt;&gt;0), SUMIF($I11:$I96, "&gt;0", W11:W96), "")</f>
        <v>-14</v>
      </c>
      <c r="W98" s="803">
        <f>IF(ISERROR((V98/$I98)*100), "", IF(((V98/$I98)*100) &lt;&gt; 0, (V98/$I98)*100, ""))</f>
        <v>-0.53313023610053312</v>
      </c>
      <c r="X98" s="802">
        <f>IF((SUM(X11:X96)&lt;&gt;0), SUMIF($I11:$I96, "&gt;0", X11:X96), "")</f>
        <v>2</v>
      </c>
      <c r="Y98" s="803">
        <f>IF(ISERROR((X98/$I98)*100), "", IF(((X98/$I98)*100) &lt;&gt; 0, (X98/$I98)*100, ""))</f>
        <v>7.6161462300076158E-2</v>
      </c>
      <c r="Z98" s="800">
        <f>IF((SUM(AA11:AA96)&lt;&gt;0), SUMIF($I11:$I96, "&gt;0", AA11:AA96), "")</f>
        <v>2</v>
      </c>
      <c r="AA98" s="803">
        <f>IF(ISERROR((Z98/$I98)*100), "", IF(((Z98/$I98)*100) &lt;&gt; 0, (Z98/$I98)*100, ""))</f>
        <v>7.6161462300076158E-2</v>
      </c>
      <c r="AB98" s="802">
        <f>IF((SUM(AB11:AB96)&lt;&gt;0), SUMIF($I11:$I96, "&gt;0", AB11:AB96), "")</f>
        <v>61</v>
      </c>
      <c r="AC98" s="803">
        <f>IF(ISERROR((AB98/$I98)*100), "", IF(((AB98/$I98)*100) &lt;&gt; 0, (AB98/$I98)*100, ""))</f>
        <v>2.3229246001523229</v>
      </c>
      <c r="AD98" s="800">
        <f>IF((SUM(AE11:AE96)&lt;&gt;0), SUMIF($I11:$I96, "&gt;0", AE11:AE96), "")</f>
        <v>7</v>
      </c>
      <c r="AE98" s="803">
        <f>IF(ISERROR((AD98/$I98)*100), "", IF(((AD98/$I98)*100) &lt;&gt; 0, (AD98/$I98)*100, ""))</f>
        <v>0.26656511805026656</v>
      </c>
      <c r="AF98" s="802">
        <f>IF((SUM(AF11:AF96)&lt;&gt;0), SUMIF($I11:$I96, "&gt;0", AF11:AF96), "")</f>
        <v>42</v>
      </c>
      <c r="AG98" s="803">
        <f>IF(ISERROR((AF98/$I98)*100), "", IF(((AF98/$I98)*100) &lt;&gt; 0, (AF98/$I98)*100, ""))</f>
        <v>1.5993907083015995</v>
      </c>
      <c r="AH98" s="800">
        <f>IF((SUM(AI11:AI96)&lt;&gt;0), SUMIF($I11:$I96, "&gt;0", AI11:AI96), "")</f>
        <v>6</v>
      </c>
      <c r="AI98" s="803">
        <f>IF(ISERROR((AH98/$I98)*100), "", IF(((AH98/$I98)*100) &lt;&gt; 0, (AH98/$I98)*100, ""))</f>
        <v>0.22848438690022849</v>
      </c>
      <c r="AJ98" s="802">
        <f>IF((SUM(AJ11:AJ96)&lt;&gt;0), SUMIF($I11:$I96, "&gt;0", AJ11:AJ96), "")</f>
        <v>1</v>
      </c>
      <c r="AK98" s="803">
        <f>IF(ISERROR((AJ98/$I98)*100), "", IF(((AJ98/$I98)*100) &lt;&gt; 0, (AJ98/$I98)*100, ""))</f>
        <v>3.8080731150038079E-2</v>
      </c>
      <c r="AL98" s="800">
        <f>IF((SUM(AM11:AM96)&lt;&gt;0), SUMIF($I11:$I96, "&gt;0", AM11:AM96), "")</f>
        <v>1</v>
      </c>
      <c r="AM98" s="803">
        <f>IF(ISERROR((AL98/$I98)*100), "", IF(((AL98/$I98)*100) &lt;&gt; 0, (AL98/$I98)*100, ""))</f>
        <v>3.8080731150038079E-2</v>
      </c>
      <c r="AN98" s="802">
        <f>IF((SUM(AN11:AN96)&lt;&gt;0), SUMIF($I11:$I96, "&gt;0", AN11:AN96), "")</f>
        <v>6</v>
      </c>
      <c r="AO98" s="803">
        <f>IF(ISERROR((AN98/$I98)*100), "", IF(((AN98/$I98)*100) &lt;&gt; 0, (AN98/$I98)*100, ""))</f>
        <v>0.22848438690022849</v>
      </c>
      <c r="AP98" s="800" t="str">
        <f>IF((SUM(AQ11:AQ96)&lt;&gt;0), SUMIF($I11:$I96, "&gt;0", AQ11:AQ96), "")</f>
        <v/>
      </c>
      <c r="AQ98" s="803" t="str">
        <f>IF(ISERROR((AP98/$I98)*100), "", IF(((AP98/$I98)*100) &lt;&gt; 0, (AP98/$I98)*100, ""))</f>
        <v/>
      </c>
      <c r="AR98" s="802">
        <f>IF((SUM(AR11:AR96)&lt;&gt;0), SUMIF($I11:$I96, "&gt;0", AR11:AR96), "")</f>
        <v>41</v>
      </c>
      <c r="AS98" s="803">
        <f>IF(ISERROR((AR98/$I98)*100), "", IF(((AR98/$I98)*100) &lt;&gt; 0, (AR98/$I98)*100, ""))</f>
        <v>1.5613099771515613</v>
      </c>
      <c r="AT98" s="800">
        <f>IF((SUM(AU11:AU96)&lt;&gt;0), SUMIF($I11:$I96, "&gt;0", AU11:AU96), "")</f>
        <v>12</v>
      </c>
      <c r="AU98" s="803">
        <f>IF(ISERROR((AT98/$I98)*100), "", IF(((AT98/$I98)*100) &lt;&gt; 0, (AT98/$I98)*100, ""))</f>
        <v>0.45696877380045697</v>
      </c>
      <c r="AV98" s="802">
        <f>IF((SUM(AV11:AV96)&lt;&gt;0), SUMIF($I11:$I96, "&gt;0", AV11:AV96), "")</f>
        <v>25</v>
      </c>
      <c r="AW98" s="803">
        <f>IF(ISERROR((AV98/$I98)*100), "", IF(((AV98/$I98)*100) &lt;&gt; 0, (AV98/$I98)*100, ""))</f>
        <v>0.95201827875095202</v>
      </c>
      <c r="AX98" s="800">
        <f>IF((SUM(AY11:AY96)&lt;&gt;0), SUMIF($I11:$I96, "&gt;0", AY11:AY96), "")</f>
        <v>1</v>
      </c>
      <c r="AY98" s="803">
        <f>IF(ISERROR((AX98/$I98)*100), "", IF(((AX98/$I98)*100) &lt;&gt; 0, (AX98/$I98)*100, ""))</f>
        <v>3.8080731150038079E-2</v>
      </c>
      <c r="AZ98" s="802">
        <f>IF((SUM(AZ11:AZ96)&lt;&gt;0), SUMIF($I11:$I96, "&gt;0", AZ11:AZ96), "")</f>
        <v>121</v>
      </c>
      <c r="BA98" s="803">
        <f>IF(ISERROR((AZ98/$I98)*100), "", IF(((AZ98/$I98)*100) &lt;&gt; 0, (AZ98/$I98)*100, ""))</f>
        <v>4.6077684691546077</v>
      </c>
      <c r="BB98" s="800">
        <f>IF((SUM(BC11:BC96)&lt;&gt;0), SUMIF($I11:$I96, "&gt;0", BC11:BC96), "")</f>
        <v>-37</v>
      </c>
      <c r="BC98" s="803">
        <f>IF(ISERROR((BB98/$I98)*100), "", IF(((BB98/$I98)*100) &lt;&gt; 0, (BB98/$I98)*100, ""))</f>
        <v>-1.408987052551409</v>
      </c>
      <c r="BD98" s="802">
        <f>IF((SUM(BD11:BD96)&lt;&gt;0), SUMIF($I11:$I96, "&gt;0", BD11:BD96), "")</f>
        <v>2</v>
      </c>
      <c r="BE98" s="803">
        <f>IF(ISERROR((BD98/$I98)*100), "", IF(((BD98/$I98)*100) &lt;&gt; 0, (BD98/$I98)*100, ""))</f>
        <v>7.6161462300076158E-2</v>
      </c>
      <c r="BF98" s="800">
        <f>IF((SUM(BG11:BG96)&lt;&gt;0), SUMIF($I11:$I96, "&gt;0", BG11:BG96), "")</f>
        <v>1</v>
      </c>
      <c r="BG98" s="803">
        <f>IF(ISERROR((BF98/$I98)*100), "", IF(((BF98/$I98)*100) &lt;&gt; 0, (BF98/$I98)*100, ""))</f>
        <v>3.8080731150038079E-2</v>
      </c>
      <c r="BH98" s="802">
        <f>IF((SUM(BH11:BH96)&lt;&gt;0), SUMIF($I11:$I96, "&gt;0", BH11:BH96), "")</f>
        <v>4</v>
      </c>
      <c r="BI98" s="803">
        <f>IF(ISERROR((BH98/$I98)*100), "", IF(((BH98/$I98)*100) &lt;&gt; 0, (BH98/$I98)*100, ""))</f>
        <v>0.15232292460015232</v>
      </c>
      <c r="BJ98" s="800">
        <f>IF((SUM(BK11:BK96)&lt;&gt;0), SUMIF($I11:$I96, "&gt;0", BK11:BK96), "")</f>
        <v>4</v>
      </c>
      <c r="BK98" s="803">
        <f>IF(ISERROR((BJ98/$I98)*100), "", IF(((BJ98/$I98)*100) &lt;&gt; 0, (BJ98/$I98)*100, ""))</f>
        <v>0.15232292460015232</v>
      </c>
      <c r="BL98" s="802">
        <f>IF((SUM(BL11:BL96)&lt;&gt;0), SUMIF($I11:$I96, "&gt;0", BL11:BL96), "")</f>
        <v>11</v>
      </c>
      <c r="BM98" s="803">
        <f>IF(ISERROR((BL98/$I98)*100), "", IF(((BL98/$I98)*100) &lt;&gt; 0, (BL98/$I98)*100, ""))</f>
        <v>0.41888804265041885</v>
      </c>
      <c r="BN98" s="800">
        <f>IF((SUM(BO11:BO96)&lt;&gt;0), SUMIF($I11:$I96, "&gt;0", BO11:BO96), "")</f>
        <v>-19</v>
      </c>
      <c r="BO98" s="803">
        <f>IF(ISERROR((BN98/$I98)*100), "", IF(((BN98/$I98)*100) &lt;&gt; 0, (BN98/$I98)*100, ""))</f>
        <v>-0.72353389185072359</v>
      </c>
      <c r="BP98" s="802">
        <f>IF((SUM(BP11:BP96)&lt;&gt;0), SUMIF($I11:$I96, "&gt;0", BP11:BP96), "")</f>
        <v>2</v>
      </c>
      <c r="BQ98" s="803">
        <f>IF(ISERROR((BP98/$I98)*100), "", IF(((BP98/$I98)*100) &lt;&gt; 0, (BP98/$I98)*100, ""))</f>
        <v>7.6161462300076158E-2</v>
      </c>
      <c r="BR98" s="800">
        <f>IF((SUM(BS11:BS96)&lt;&gt;0), SUMIF($I11:$I96, "&gt;0", BS11:BS96), "")</f>
        <v>2</v>
      </c>
      <c r="BS98" s="803">
        <f>IF(ISERROR((BR98/$I98)*100), "", IF(((BR98/$I98)*100) &lt;&gt; 0, (BR98/$I98)*100, ""))</f>
        <v>7.6161462300076158E-2</v>
      </c>
      <c r="BT98" s="802">
        <f>IF((SUM(BT11:BT96)&lt;&gt;0), SUMIF($I11:$I96, "&gt;0", BT11:BT96), "")</f>
        <v>1</v>
      </c>
      <c r="BU98" s="803">
        <f>IF(ISERROR((BT98/$I98)*100), "", IF(((BT98/$I98)*100) &lt;&gt; 0, (BT98/$I98)*100, ""))</f>
        <v>3.8080731150038079E-2</v>
      </c>
      <c r="BV98" s="800" t="str">
        <f>IF((SUM(BW11:BW96)&lt;&gt;0), SUMIF($I11:$I96, "&gt;0", BW11:BW96), "")</f>
        <v/>
      </c>
      <c r="BW98" s="803" t="str">
        <f>IF(ISERROR((BV98/$I98)*100), "", IF(((BV98/$I98)*100) &lt;&gt; 0, (BV98/$I98)*100, ""))</f>
        <v/>
      </c>
      <c r="BX98" s="802" t="str">
        <f>IF((SUM(BX11:BX96)&lt;&gt;0), SUMIF($I11:$I96, "&gt;0", BX11:BX96), "")</f>
        <v/>
      </c>
      <c r="BY98" s="803" t="str">
        <f>IF(ISERROR((BX98/$I98)*100), "", IF(((BX98/$I98)*100) &lt;&gt; 0, (BX98/$I98)*100, ""))</f>
        <v/>
      </c>
      <c r="BZ98" s="800" t="str">
        <f>IF((SUM(CA11:CA96)&lt;&gt;0), SUMIF($I11:$I96, "&gt;0", CA11:CA96), "")</f>
        <v/>
      </c>
      <c r="CA98" s="803" t="str">
        <f>IF(ISERROR((BZ98/$I98)*100), "", IF(((BZ98/$I98)*100) &lt;&gt; 0, (BZ98/$I98)*100, ""))</f>
        <v/>
      </c>
      <c r="CB98" s="802">
        <f>IF((SUM(CB11:CB96)&lt;&gt;0), SUMIF($I11:$I96, "&gt;0", CB11:CB96), "")</f>
        <v>3</v>
      </c>
      <c r="CC98" s="803">
        <f>IF(ISERROR((CB98/$I98)*100), "", IF(((CB98/$I98)*100) &lt;&gt; 0, (CB98/$I98)*100, ""))</f>
        <v>0.11424219345011424</v>
      </c>
      <c r="CD98" s="800">
        <f>IF((SUM(CE11:CE96)&lt;&gt;0), SUMIF($I11:$I96, "&gt;0", CE11:CE96), "")</f>
        <v>3</v>
      </c>
      <c r="CE98" s="803">
        <f>IF(ISERROR((CD98/$I98)*100), "", IF(((CD98/$I98)*100) &lt;&gt; 0, (CD98/$I98)*100, ""))</f>
        <v>0.11424219345011424</v>
      </c>
      <c r="CF98" s="802" t="str">
        <f>IF((SUM(CF11:CF96)&lt;&gt;0), SUMIF($I11:$I96, "&gt;0", CF11:CF96), "")</f>
        <v/>
      </c>
      <c r="CG98" s="803" t="str">
        <f>IF(ISERROR((CF98/$I98)*100), "", IF(((CF98/$I98)*100) &lt;&gt; 0, (CF98/$I98)*100, ""))</f>
        <v/>
      </c>
      <c r="CH98" s="800" t="str">
        <f>IF((SUM(CI11:CI96)&lt;&gt;0), SUMIF($I11:$I96, "&gt;0", CI11:CI96), "")</f>
        <v/>
      </c>
      <c r="CI98" s="803" t="str">
        <f>IF(ISERROR((CH98/$I98)*100), "", IF(((CH98/$I98)*100) &lt;&gt; 0, (CH98/$I98)*100, ""))</f>
        <v/>
      </c>
      <c r="CJ98" s="802" t="str">
        <f>IF((SUM(CJ11:CJ96)&lt;&gt;0), SUMIF($I11:$I96, "&gt;0", CJ11:CJ96), "")</f>
        <v/>
      </c>
      <c r="CK98" s="803" t="str">
        <f>IF(ISERROR((CJ98/$I98)*100), "", IF(((CJ98/$I98)*100) &lt;&gt; 0, (CJ98/$I98)*100, ""))</f>
        <v/>
      </c>
      <c r="CL98" s="800" t="str">
        <f>IF((SUM(CM11:CM96)&lt;&gt;0), SUMIF($I11:$I96, "&gt;0", CM11:CM96), "")</f>
        <v/>
      </c>
      <c r="CM98" s="803" t="str">
        <f>IF(ISERROR((CL98/$I98)*100), "", IF(((CL98/$I98)*100) &lt;&gt; 0, (CL98/$I98)*100, ""))</f>
        <v/>
      </c>
      <c r="CN98" s="802" t="str">
        <f>IF((SUM(CN11:CN96)&lt;&gt;0), SUMIF($I11:$I96, "&gt;0", CN11:CN96), "")</f>
        <v/>
      </c>
      <c r="CO98" s="803" t="str">
        <f>IF(ISERROR((CN98/$I98)*100), "", IF(((CN98/$I98)*100) &lt;&gt; 0, (CN98/$I98)*100, ""))</f>
        <v/>
      </c>
      <c r="CP98" s="800" t="str">
        <f>IF((SUM(CQ11:CQ96)&lt;&gt;0), SUMIF($I11:$I96, "&gt;0", CQ11:CQ96), "")</f>
        <v/>
      </c>
      <c r="CQ98" s="803" t="str">
        <f>IF(ISERROR((CP98/$I98)*100), "", IF(((CP98/$I98)*100) &lt;&gt; 0, (CP98/$I98)*100, ""))</f>
        <v/>
      </c>
    </row>
    <row r="99" spans="1:95" s="774" customFormat="1" ht="20" customHeight="1" x14ac:dyDescent="0.2">
      <c r="D99" s="775"/>
      <c r="G99" s="776"/>
      <c r="H99" s="777" t="s">
        <v>241</v>
      </c>
      <c r="I99" s="804" t="s">
        <v>239</v>
      </c>
      <c r="J99" s="784" t="s">
        <v>454</v>
      </c>
      <c r="K99" s="805" t="s">
        <v>455</v>
      </c>
      <c r="L99" s="806">
        <f>IF(SUMIF(L11:L96, "&gt; 0", $I11:$I96) &gt; 0, SUMIF(L11:L96, "&gt; 0", $I11:$I96), "")</f>
        <v>8</v>
      </c>
      <c r="M99" s="807">
        <f>IF(NOT(ISERROR(L98/L99)*100), (L98/L99)*100, "")</f>
        <v>62.5</v>
      </c>
      <c r="N99" s="806">
        <f>L99</f>
        <v>8</v>
      </c>
      <c r="O99" s="805">
        <f>IF(NOT(ISERROR((N98/L99)*100)),(N98/L99)*100, "")</f>
        <v>62.5</v>
      </c>
      <c r="P99" s="806">
        <f>IF(SUMIF(P11:P96, "&gt; 0", $I11:$I96) &gt; 0, SUMIF(P11:P96, "&gt; 0", $I11:$I96), "")</f>
        <v>130</v>
      </c>
      <c r="Q99" s="808">
        <f>IF(NOT(ISERROR(P98/P99)*100), (P98/P99)*100, "")</f>
        <v>21.53846153846154</v>
      </c>
      <c r="R99" s="806">
        <f>P99</f>
        <v>130</v>
      </c>
      <c r="S99" s="808">
        <f>IF(NOT(ISERROR((R98/P99)*100)),(R98/P99)*100, "")</f>
        <v>2.3076923076923079</v>
      </c>
      <c r="T99" s="806">
        <f>IF(SUMIF(T11:T96, "&gt; 0", $I11:$I96) &gt; 0, SUMIF(T11:T96, "&gt; 0", $I11:$I96), "")</f>
        <v>403</v>
      </c>
      <c r="U99" s="808">
        <f>IF(NOT(ISERROR(T98/T99)*100), (T98/T99)*100, "")</f>
        <v>46.401985111662533</v>
      </c>
      <c r="V99" s="806">
        <f>T99</f>
        <v>403</v>
      </c>
      <c r="W99" s="808">
        <f>IF(NOT(ISERROR((V98/T99)*100)),(V98/T99)*100, "")</f>
        <v>-3.4739454094292808</v>
      </c>
      <c r="X99" s="806">
        <f>IF(SUMIF(X11:X96, "&gt; 0", $I11:$I96) &gt; 0, SUMIF(X11:X96, "&gt; 0", $I11:$I96), "")</f>
        <v>8</v>
      </c>
      <c r="Y99" s="808">
        <f>IF(NOT(ISERROR(X98/X99)*100), (X98/X99)*100, "")</f>
        <v>25</v>
      </c>
      <c r="Z99" s="806">
        <f>X99</f>
        <v>8</v>
      </c>
      <c r="AA99" s="808">
        <f>IF(NOT(ISERROR((Z98/X99)*100)),(Z98/X99)*100, "")</f>
        <v>25</v>
      </c>
      <c r="AB99" s="806">
        <f>IF(SUMIF(AB11:AB96, "&gt; 0", $I11:$I96) &gt; 0, SUMIF(AB11:AB96, "&gt; 0", $I11:$I96), "")</f>
        <v>324</v>
      </c>
      <c r="AC99" s="808">
        <f>IF(NOT(ISERROR(AB98/AB99)*100), (AB98/AB99)*100, "")</f>
        <v>18.827160493827162</v>
      </c>
      <c r="AD99" s="806">
        <f>AB99</f>
        <v>324</v>
      </c>
      <c r="AE99" s="808">
        <f>IF(NOT(ISERROR((AD98/AB99)*100)),(AD98/AB99)*100, "")</f>
        <v>2.1604938271604937</v>
      </c>
      <c r="AF99" s="806">
        <f>IF(SUMIF(AF11:AF96, "&gt; 0", $I11:$I96) &gt; 0, SUMIF(AF11:AF96, "&gt; 0", $I11:$I96), "")</f>
        <v>226</v>
      </c>
      <c r="AG99" s="808">
        <f>IF(NOT(ISERROR(AF98/AF99)*100), (AF98/AF99)*100, "")</f>
        <v>18.584070796460178</v>
      </c>
      <c r="AH99" s="806">
        <f>AF99</f>
        <v>226</v>
      </c>
      <c r="AI99" s="808">
        <f>IF(NOT(ISERROR((AH98/AF99)*100)),(AH98/AF99)*100, "")</f>
        <v>2.6548672566371683</v>
      </c>
      <c r="AJ99" s="806">
        <f>IF(SUMIF(AJ11:AJ96, "&gt; 0", $I11:$I96) &gt; 0, SUMIF(AJ11:AJ96, "&gt; 0", $I11:$I96), "")</f>
        <v>8</v>
      </c>
      <c r="AK99" s="808">
        <f>IF(NOT(ISERROR(AJ98/AJ99)*100), (AJ98/AJ99)*100, "")</f>
        <v>12.5</v>
      </c>
      <c r="AL99" s="806">
        <f>AJ99</f>
        <v>8</v>
      </c>
      <c r="AM99" s="808">
        <f>IF(NOT(ISERROR((AL98/AJ99)*100)),(AL98/AJ99)*100, "")</f>
        <v>12.5</v>
      </c>
      <c r="AN99" s="806">
        <f>IF(SUMIF(AN11:AN96, "&gt; 0", $I11:$I96) &gt; 0, SUMIF(AN11:AN96, "&gt; 0", $I11:$I96), "")</f>
        <v>37</v>
      </c>
      <c r="AO99" s="808">
        <f>IF(NOT(ISERROR(AN98/AN99)*100), (AN98/AN99)*100, "")</f>
        <v>16.216216216216218</v>
      </c>
      <c r="AP99" s="806">
        <f>AN99</f>
        <v>37</v>
      </c>
      <c r="AQ99" s="808" t="str">
        <f>IF(NOT(ISERROR((AP98/AN99)*100)),(AP98/AN99)*100, "")</f>
        <v/>
      </c>
      <c r="AR99" s="806">
        <f>IF(SUMIF(AR11:AR96, "&gt; 0", $I11:$I96) &gt; 0, SUMIF(AR11:AR96, "&gt; 0", $I11:$I96), "")</f>
        <v>356</v>
      </c>
      <c r="AS99" s="808">
        <f>IF(NOT(ISERROR(AR98/AR99)*100), (AR98/AR99)*100, "")</f>
        <v>11.51685393258427</v>
      </c>
      <c r="AT99" s="806">
        <f>AR99</f>
        <v>356</v>
      </c>
      <c r="AU99" s="808">
        <f>IF(NOT(ISERROR((AT98/AR99)*100)),(AT98/AR99)*100, "")</f>
        <v>3.3707865168539324</v>
      </c>
      <c r="AV99" s="806">
        <f>IF(SUMIF(AV11:AV96, "&gt; 0", $I11:$I96) &gt; 0, SUMIF(AV11:AV96, "&gt; 0", $I11:$I96), "")</f>
        <v>313</v>
      </c>
      <c r="AW99" s="808">
        <f>IF(NOT(ISERROR(AV98/AV99)*100), (AV98/AV99)*100, "")</f>
        <v>7.9872204472843444</v>
      </c>
      <c r="AX99" s="806">
        <f>AV99</f>
        <v>313</v>
      </c>
      <c r="AY99" s="808">
        <f>IF(NOT(ISERROR((AX98/AV99)*100)),(AX98/AV99)*100, "")</f>
        <v>0.31948881789137379</v>
      </c>
      <c r="AZ99" s="806">
        <f>IF(SUMIF(AZ11:AZ96, "&gt; 0", $I11:$I96) &gt; 0, SUMIF(AZ11:AZ96, "&gt; 0", $I11:$I96), "")</f>
        <v>1011</v>
      </c>
      <c r="BA99" s="808">
        <f>IF(NOT(ISERROR(AZ98/AZ99)*100), (AZ98/AZ99)*100, "")</f>
        <v>11.968348170128586</v>
      </c>
      <c r="BB99" s="806">
        <f>AZ99</f>
        <v>1011</v>
      </c>
      <c r="BC99" s="808">
        <f>IF(NOT(ISERROR((BB98/AZ99)*100)),(BB98/AZ99)*100, "")</f>
        <v>-3.6597428288822944</v>
      </c>
      <c r="BD99" s="806">
        <f>IF(SUMIF(BD11:BD96, "&gt; 0", $I11:$I96) &gt; 0, SUMIF(BD11:BD96, "&gt; 0", $I11:$I96), "")</f>
        <v>27</v>
      </c>
      <c r="BE99" s="808">
        <f>IF(NOT(ISERROR(BD98/BD99)*100), (BD98/BD99)*100, "")</f>
        <v>7.4074074074074066</v>
      </c>
      <c r="BF99" s="806">
        <f>BD99</f>
        <v>27</v>
      </c>
      <c r="BG99" s="808">
        <f>IF(NOT(ISERROR((BF98/BD99)*100)),(BF98/BD99)*100, "")</f>
        <v>3.7037037037037033</v>
      </c>
      <c r="BH99" s="806">
        <f>IF(SUMIF(BH11:BH96, "&gt; 0", $I11:$I96) &gt; 0, SUMIF(BH11:BH96, "&gt; 0", $I11:$I96), "")</f>
        <v>61</v>
      </c>
      <c r="BI99" s="808">
        <f>IF(NOT(ISERROR(BH98/BH99)*100), (BH98/BH99)*100, "")</f>
        <v>6.557377049180328</v>
      </c>
      <c r="BJ99" s="806">
        <f>BH99</f>
        <v>61</v>
      </c>
      <c r="BK99" s="808">
        <f>IF(NOT(ISERROR((BJ98/BH99)*100)),(BJ98/BH99)*100, "")</f>
        <v>6.557377049180328</v>
      </c>
      <c r="BL99" s="806">
        <f>IF(SUMIF(BL11:BL96, "&gt; 0", $I11:$I96) &gt; 0, SUMIF(BL11:BL96, "&gt; 0", $I11:$I96), "")</f>
        <v>232</v>
      </c>
      <c r="BM99" s="808">
        <f>IF(NOT(ISERROR(BL98/BL99)*100), (BL98/BL99)*100, "")</f>
        <v>4.7413793103448274</v>
      </c>
      <c r="BN99" s="806">
        <f>BL99</f>
        <v>232</v>
      </c>
      <c r="BO99" s="808">
        <f>IF(NOT(ISERROR((BN98/BL99)*100)),(BN98/BL99)*100, "")</f>
        <v>-8.1896551724137936</v>
      </c>
      <c r="BP99" s="806">
        <f>IF(SUMIF(BP11:BP96, "&gt; 0", $I11:$I96) &gt; 0, SUMIF(BP11:BP96, "&gt; 0", $I11:$I96), "")</f>
        <v>47</v>
      </c>
      <c r="BQ99" s="808">
        <f>IF(NOT(ISERROR(BP98/BP99)*100), (BP98/BP99)*100, "")</f>
        <v>4.2553191489361701</v>
      </c>
      <c r="BR99" s="806">
        <f>BP99</f>
        <v>47</v>
      </c>
      <c r="BS99" s="808">
        <f>IF(NOT(ISERROR((BR98/BP99)*100)),(BR98/BP99)*100, "")</f>
        <v>4.2553191489361701</v>
      </c>
      <c r="BT99" s="806">
        <f>IF(SUMIF(BT11:BT96, "&gt; 0", $I11:$I96) &gt; 0, SUMIF(BT11:BT96, "&gt; 0", $I11:$I96), "")</f>
        <v>19</v>
      </c>
      <c r="BU99" s="807">
        <f>IF(NOT(ISERROR(BT98/BT99)*100), (BT98/BT99)*100, "")</f>
        <v>5.2631578947368416</v>
      </c>
      <c r="BV99" s="806">
        <f>BT99</f>
        <v>19</v>
      </c>
      <c r="BW99" s="808" t="str">
        <f>IF(NOT(ISERROR((BV98/BT99)*100)),(BV98/BT99)*100, "")</f>
        <v/>
      </c>
      <c r="BX99" s="806" t="str">
        <f>IF(SUMIF(BX11:BX96, "&gt; 0", $I11:$I96) &gt; 0, SUMIF(BX11:BX96, "&gt; 0", $I11:$I96), "")</f>
        <v/>
      </c>
      <c r="BY99" s="807" t="str">
        <f>IF(NOT(ISERROR(BX98/BX99)*100), (BX98/BX99)*100, "")</f>
        <v/>
      </c>
      <c r="BZ99" s="806" t="str">
        <f>BX99</f>
        <v/>
      </c>
      <c r="CA99" s="808" t="str">
        <f>IF(NOT(ISERROR((BZ98/BX99)*100)),(BZ98/BX99)*100, "")</f>
        <v/>
      </c>
      <c r="CB99" s="806">
        <f>IF(SUMIF(CB11:CB96, "&gt; 0", $I11:$I96) &gt; 0, SUMIF(CB11:CB96, "&gt; 0", $I11:$I96), "")</f>
        <v>53</v>
      </c>
      <c r="CC99" s="807">
        <f>IF(NOT(ISERROR(CB98/CB99)*100), (CB98/CB99)*100, "")</f>
        <v>5.6603773584905666</v>
      </c>
      <c r="CD99" s="806">
        <f>CB99</f>
        <v>53</v>
      </c>
      <c r="CE99" s="808">
        <f>IF(NOT(ISERROR((CD98/CB99)*100)),(CD98/CB99)*100, "")</f>
        <v>5.6603773584905666</v>
      </c>
      <c r="CF99" s="806" t="str">
        <f>IF(SUMIF(CF11:CF96, "&gt; 0", $I11:$I96) &gt; 0, SUMIF(CF11:CF96, "&gt; 0", $I11:$I96), "")</f>
        <v/>
      </c>
      <c r="CG99" s="807" t="str">
        <f>IF(NOT(ISERROR(CF98/CF99)*100), (CF98/CF99)*100, "")</f>
        <v/>
      </c>
      <c r="CH99" s="806" t="str">
        <f>CF99</f>
        <v/>
      </c>
      <c r="CI99" s="808" t="str">
        <f>IF(NOT(ISERROR((CH98/CF99)*100)),(CH98/CF99)*100, "")</f>
        <v/>
      </c>
      <c r="CJ99" s="806" t="str">
        <f>IF(SUMIF(CJ11:CJ96, "&gt; 0", $I11:$I96) &gt; 0, SUMIF(CJ11:CJ96, "&gt; 0", $I11:$I96), "")</f>
        <v/>
      </c>
      <c r="CK99" s="807" t="str">
        <f>IF(NOT(ISERROR(CJ98/CJ99)*100), (CJ98/CJ99)*100, "")</f>
        <v/>
      </c>
      <c r="CL99" s="806" t="str">
        <f>CJ99</f>
        <v/>
      </c>
      <c r="CM99" s="808" t="str">
        <f>IF(NOT(ISERROR((CL98/CJ99)*100)),(CL98/CJ99)*100, "")</f>
        <v/>
      </c>
      <c r="CN99" s="806" t="str">
        <f>IF(SUMIF(CN11:CN96, "&gt; 0", $I11:$I96) &gt; 0, SUMIF(CN11:CN96, "&gt; 0", $I11:$I96), "")</f>
        <v/>
      </c>
      <c r="CO99" s="807" t="str">
        <f>IF(NOT(ISERROR(CN98/CN99)*100), (CN98/CN99)*100, "")</f>
        <v/>
      </c>
      <c r="CP99" s="806" t="str">
        <f>CN99</f>
        <v/>
      </c>
      <c r="CQ99" s="808" t="str">
        <f>IF(NOT(ISERROR((CP98/CN99)*100)),(CP98/CN99)*100, "")</f>
        <v/>
      </c>
    </row>
    <row r="100" spans="1:95" ht="17" customHeight="1" thickBot="1" x14ac:dyDescent="0.25">
      <c r="I100" s="354" t="s">
        <v>448</v>
      </c>
      <c r="J100" s="357"/>
      <c r="K100" s="358"/>
      <c r="L100" s="328" t="s">
        <v>237</v>
      </c>
      <c r="M100" s="330" t="s">
        <v>238</v>
      </c>
      <c r="N100" s="646" t="s">
        <v>449</v>
      </c>
      <c r="O100" s="649" t="s">
        <v>238</v>
      </c>
      <c r="P100" s="328" t="s">
        <v>237</v>
      </c>
      <c r="Q100" s="330" t="s">
        <v>238</v>
      </c>
      <c r="R100" s="646" t="s">
        <v>449</v>
      </c>
      <c r="S100" s="649" t="s">
        <v>238</v>
      </c>
      <c r="T100" s="328" t="s">
        <v>237</v>
      </c>
      <c r="U100" s="330" t="s">
        <v>238</v>
      </c>
      <c r="V100" s="646" t="s">
        <v>449</v>
      </c>
      <c r="W100" s="649" t="s">
        <v>238</v>
      </c>
      <c r="X100" s="328" t="s">
        <v>237</v>
      </c>
      <c r="Y100" s="330" t="s">
        <v>238</v>
      </c>
      <c r="Z100" s="646" t="s">
        <v>449</v>
      </c>
      <c r="AA100" s="649" t="s">
        <v>238</v>
      </c>
      <c r="AB100" s="328" t="s">
        <v>237</v>
      </c>
      <c r="AC100" s="330" t="s">
        <v>238</v>
      </c>
      <c r="AD100" s="646" t="s">
        <v>449</v>
      </c>
      <c r="AE100" s="649" t="s">
        <v>238</v>
      </c>
      <c r="AF100" s="328" t="s">
        <v>237</v>
      </c>
      <c r="AG100" s="330" t="s">
        <v>238</v>
      </c>
      <c r="AH100" s="646" t="s">
        <v>449</v>
      </c>
      <c r="AI100" s="649" t="s">
        <v>238</v>
      </c>
      <c r="AJ100" s="328" t="s">
        <v>237</v>
      </c>
      <c r="AK100" s="330" t="s">
        <v>238</v>
      </c>
      <c r="AL100" s="646" t="s">
        <v>449</v>
      </c>
      <c r="AM100" s="649" t="s">
        <v>238</v>
      </c>
      <c r="AN100" s="328" t="s">
        <v>237</v>
      </c>
      <c r="AO100" s="330" t="s">
        <v>238</v>
      </c>
      <c r="AP100" s="646" t="s">
        <v>449</v>
      </c>
      <c r="AQ100" s="649" t="s">
        <v>238</v>
      </c>
      <c r="AR100" s="328" t="s">
        <v>237</v>
      </c>
      <c r="AS100" s="330" t="s">
        <v>238</v>
      </c>
      <c r="AT100" s="646" t="s">
        <v>449</v>
      </c>
      <c r="AU100" s="649" t="s">
        <v>238</v>
      </c>
      <c r="AV100" s="328" t="s">
        <v>237</v>
      </c>
      <c r="AW100" s="330" t="s">
        <v>238</v>
      </c>
      <c r="AX100" s="646" t="s">
        <v>449</v>
      </c>
      <c r="AY100" s="649" t="s">
        <v>238</v>
      </c>
      <c r="AZ100" s="328" t="s">
        <v>237</v>
      </c>
      <c r="BA100" s="330" t="s">
        <v>238</v>
      </c>
      <c r="BB100" s="646" t="s">
        <v>449</v>
      </c>
      <c r="BC100" s="649" t="s">
        <v>238</v>
      </c>
      <c r="BD100" s="328" t="s">
        <v>237</v>
      </c>
      <c r="BE100" s="330" t="s">
        <v>238</v>
      </c>
      <c r="BF100" s="646" t="s">
        <v>449</v>
      </c>
      <c r="BG100" s="649" t="s">
        <v>238</v>
      </c>
      <c r="BH100" s="328" t="s">
        <v>237</v>
      </c>
      <c r="BI100" s="330" t="s">
        <v>238</v>
      </c>
      <c r="BJ100" s="646" t="s">
        <v>449</v>
      </c>
      <c r="BK100" s="649" t="s">
        <v>238</v>
      </c>
      <c r="BL100" s="328" t="s">
        <v>237</v>
      </c>
      <c r="BM100" s="330" t="s">
        <v>238</v>
      </c>
      <c r="BN100" s="646" t="s">
        <v>449</v>
      </c>
      <c r="BO100" s="649" t="s">
        <v>238</v>
      </c>
      <c r="BP100" s="328" t="s">
        <v>237</v>
      </c>
      <c r="BQ100" s="330" t="s">
        <v>238</v>
      </c>
      <c r="BR100" s="646" t="s">
        <v>449</v>
      </c>
      <c r="BS100" s="649" t="s">
        <v>238</v>
      </c>
      <c r="BT100" s="328" t="s">
        <v>237</v>
      </c>
      <c r="BU100" s="330" t="s">
        <v>238</v>
      </c>
      <c r="BV100" s="646" t="s">
        <v>449</v>
      </c>
      <c r="BW100" s="649" t="s">
        <v>238</v>
      </c>
      <c r="BX100" s="328" t="s">
        <v>237</v>
      </c>
      <c r="BY100" s="330" t="s">
        <v>238</v>
      </c>
      <c r="BZ100" s="646" t="s">
        <v>449</v>
      </c>
      <c r="CA100" s="649" t="s">
        <v>238</v>
      </c>
      <c r="CB100" s="328" t="s">
        <v>237</v>
      </c>
      <c r="CC100" s="330" t="s">
        <v>238</v>
      </c>
      <c r="CD100" s="646" t="s">
        <v>449</v>
      </c>
      <c r="CE100" s="649" t="s">
        <v>238</v>
      </c>
      <c r="CF100" s="328" t="s">
        <v>237</v>
      </c>
      <c r="CG100" s="330" t="s">
        <v>238</v>
      </c>
      <c r="CH100" s="646" t="s">
        <v>449</v>
      </c>
      <c r="CI100" s="649" t="s">
        <v>238</v>
      </c>
      <c r="CJ100" s="328" t="s">
        <v>237</v>
      </c>
      <c r="CK100" s="330" t="s">
        <v>238</v>
      </c>
      <c r="CL100" s="646" t="s">
        <v>449</v>
      </c>
      <c r="CM100" s="649" t="s">
        <v>238</v>
      </c>
      <c r="CN100" s="328" t="s">
        <v>237</v>
      </c>
      <c r="CO100" s="330" t="s">
        <v>238</v>
      </c>
      <c r="CP100" s="646" t="s">
        <v>449</v>
      </c>
      <c r="CQ100" s="649" t="s">
        <v>238</v>
      </c>
    </row>
    <row r="101" spans="1:95" x14ac:dyDescent="0.2">
      <c r="F101" s="40" t="s">
        <v>243</v>
      </c>
      <c r="G101" s="43">
        <v>1</v>
      </c>
      <c r="I101" s="355"/>
      <c r="J101" s="359"/>
      <c r="K101" s="360"/>
      <c r="L101" s="328"/>
      <c r="M101" s="331"/>
      <c r="N101" s="647"/>
      <c r="O101" s="650"/>
      <c r="P101" s="328"/>
      <c r="Q101" s="331"/>
      <c r="R101" s="647"/>
      <c r="S101" s="650"/>
      <c r="T101" s="328"/>
      <c r="U101" s="331"/>
      <c r="V101" s="647"/>
      <c r="W101" s="650"/>
      <c r="X101" s="328"/>
      <c r="Y101" s="331"/>
      <c r="Z101" s="647"/>
      <c r="AA101" s="650"/>
      <c r="AB101" s="328"/>
      <c r="AC101" s="331"/>
      <c r="AD101" s="647"/>
      <c r="AE101" s="650"/>
      <c r="AF101" s="328"/>
      <c r="AG101" s="331"/>
      <c r="AH101" s="647"/>
      <c r="AI101" s="650"/>
      <c r="AJ101" s="328"/>
      <c r="AK101" s="331"/>
      <c r="AL101" s="647"/>
      <c r="AM101" s="650"/>
      <c r="AN101" s="328"/>
      <c r="AO101" s="331"/>
      <c r="AP101" s="647"/>
      <c r="AQ101" s="650"/>
      <c r="AR101" s="328"/>
      <c r="AS101" s="331"/>
      <c r="AT101" s="647"/>
      <c r="AU101" s="650"/>
      <c r="AV101" s="328"/>
      <c r="AW101" s="331"/>
      <c r="AX101" s="647"/>
      <c r="AY101" s="650"/>
      <c r="AZ101" s="328"/>
      <c r="BA101" s="331"/>
      <c r="BB101" s="647"/>
      <c r="BC101" s="650"/>
      <c r="BD101" s="328"/>
      <c r="BE101" s="331"/>
      <c r="BF101" s="647"/>
      <c r="BG101" s="650"/>
      <c r="BH101" s="328"/>
      <c r="BI101" s="331"/>
      <c r="BJ101" s="647"/>
      <c r="BK101" s="650"/>
      <c r="BL101" s="328"/>
      <c r="BM101" s="331"/>
      <c r="BN101" s="647"/>
      <c r="BO101" s="650"/>
      <c r="BP101" s="328"/>
      <c r="BQ101" s="331"/>
      <c r="BR101" s="647"/>
      <c r="BS101" s="650"/>
      <c r="BT101" s="328"/>
      <c r="BU101" s="331"/>
      <c r="BV101" s="647"/>
      <c r="BW101" s="650"/>
      <c r="BX101" s="328"/>
      <c r="BY101" s="331"/>
      <c r="BZ101" s="647"/>
      <c r="CA101" s="650"/>
      <c r="CB101" s="328"/>
      <c r="CC101" s="331"/>
      <c r="CD101" s="647"/>
      <c r="CE101" s="650"/>
      <c r="CF101" s="328"/>
      <c r="CG101" s="331"/>
      <c r="CH101" s="647"/>
      <c r="CI101" s="650"/>
      <c r="CJ101" s="328"/>
      <c r="CK101" s="331"/>
      <c r="CL101" s="647"/>
      <c r="CM101" s="650"/>
      <c r="CN101" s="328"/>
      <c r="CO101" s="331"/>
      <c r="CP101" s="647"/>
      <c r="CQ101" s="650"/>
    </row>
    <row r="102" spans="1:95" ht="16" customHeight="1" x14ac:dyDescent="0.2">
      <c r="F102" s="654" t="s">
        <v>450</v>
      </c>
      <c r="G102" s="655"/>
      <c r="I102" s="355"/>
      <c r="J102" s="359"/>
      <c r="K102" s="360"/>
      <c r="L102" s="328"/>
      <c r="M102" s="331"/>
      <c r="N102" s="647"/>
      <c r="O102" s="650"/>
      <c r="P102" s="328"/>
      <c r="Q102" s="331"/>
      <c r="R102" s="647"/>
      <c r="S102" s="650"/>
      <c r="T102" s="328"/>
      <c r="U102" s="331"/>
      <c r="V102" s="647"/>
      <c r="W102" s="650"/>
      <c r="X102" s="328"/>
      <c r="Y102" s="331"/>
      <c r="Z102" s="647"/>
      <c r="AA102" s="650"/>
      <c r="AB102" s="328"/>
      <c r="AC102" s="331"/>
      <c r="AD102" s="647"/>
      <c r="AE102" s="650"/>
      <c r="AF102" s="328"/>
      <c r="AG102" s="331"/>
      <c r="AH102" s="647"/>
      <c r="AI102" s="650"/>
      <c r="AJ102" s="328"/>
      <c r="AK102" s="331"/>
      <c r="AL102" s="647"/>
      <c r="AM102" s="650"/>
      <c r="AN102" s="328"/>
      <c r="AO102" s="331"/>
      <c r="AP102" s="647"/>
      <c r="AQ102" s="650"/>
      <c r="AR102" s="328"/>
      <c r="AS102" s="331"/>
      <c r="AT102" s="647"/>
      <c r="AU102" s="650"/>
      <c r="AV102" s="328"/>
      <c r="AW102" s="331"/>
      <c r="AX102" s="647"/>
      <c r="AY102" s="650"/>
      <c r="AZ102" s="328"/>
      <c r="BA102" s="331"/>
      <c r="BB102" s="647"/>
      <c r="BC102" s="650"/>
      <c r="BD102" s="328"/>
      <c r="BE102" s="331"/>
      <c r="BF102" s="647"/>
      <c r="BG102" s="650"/>
      <c r="BH102" s="328"/>
      <c r="BI102" s="331"/>
      <c r="BJ102" s="647"/>
      <c r="BK102" s="650"/>
      <c r="BL102" s="328"/>
      <c r="BM102" s="331"/>
      <c r="BN102" s="647"/>
      <c r="BO102" s="650"/>
      <c r="BP102" s="328"/>
      <c r="BQ102" s="331"/>
      <c r="BR102" s="647"/>
      <c r="BS102" s="650"/>
      <c r="BT102" s="328"/>
      <c r="BU102" s="331"/>
      <c r="BV102" s="647"/>
      <c r="BW102" s="650"/>
      <c r="BX102" s="328"/>
      <c r="BY102" s="331"/>
      <c r="BZ102" s="647"/>
      <c r="CA102" s="650"/>
      <c r="CB102" s="328"/>
      <c r="CC102" s="331"/>
      <c r="CD102" s="647"/>
      <c r="CE102" s="650"/>
      <c r="CF102" s="328"/>
      <c r="CG102" s="331"/>
      <c r="CH102" s="647"/>
      <c r="CI102" s="650"/>
      <c r="CJ102" s="328"/>
      <c r="CK102" s="331"/>
      <c r="CL102" s="647"/>
      <c r="CM102" s="650"/>
      <c r="CN102" s="328"/>
      <c r="CO102" s="331"/>
      <c r="CP102" s="647"/>
      <c r="CQ102" s="650"/>
    </row>
    <row r="103" spans="1:95" ht="16" customHeight="1" x14ac:dyDescent="0.2">
      <c r="F103" s="654"/>
      <c r="G103" s="655"/>
      <c r="I103" s="355"/>
      <c r="J103" s="359"/>
      <c r="K103" s="360"/>
      <c r="L103" s="328"/>
      <c r="M103" s="331"/>
      <c r="N103" s="647"/>
      <c r="O103" s="650"/>
      <c r="P103" s="328"/>
      <c r="Q103" s="331"/>
      <c r="R103" s="647"/>
      <c r="S103" s="650"/>
      <c r="T103" s="328"/>
      <c r="U103" s="331"/>
      <c r="V103" s="647"/>
      <c r="W103" s="650"/>
      <c r="X103" s="328"/>
      <c r="Y103" s="331"/>
      <c r="Z103" s="647"/>
      <c r="AA103" s="650"/>
      <c r="AB103" s="328"/>
      <c r="AC103" s="331"/>
      <c r="AD103" s="647"/>
      <c r="AE103" s="650"/>
      <c r="AF103" s="328"/>
      <c r="AG103" s="331"/>
      <c r="AH103" s="647"/>
      <c r="AI103" s="650"/>
      <c r="AJ103" s="328"/>
      <c r="AK103" s="331"/>
      <c r="AL103" s="647"/>
      <c r="AM103" s="650"/>
      <c r="AN103" s="328"/>
      <c r="AO103" s="331"/>
      <c r="AP103" s="647"/>
      <c r="AQ103" s="650"/>
      <c r="AR103" s="328"/>
      <c r="AS103" s="331"/>
      <c r="AT103" s="647"/>
      <c r="AU103" s="650"/>
      <c r="AV103" s="328"/>
      <c r="AW103" s="331"/>
      <c r="AX103" s="647"/>
      <c r="AY103" s="650"/>
      <c r="AZ103" s="328"/>
      <c r="BA103" s="331"/>
      <c r="BB103" s="647"/>
      <c r="BC103" s="650"/>
      <c r="BD103" s="328"/>
      <c r="BE103" s="331"/>
      <c r="BF103" s="647"/>
      <c r="BG103" s="650"/>
      <c r="BH103" s="328"/>
      <c r="BI103" s="331"/>
      <c r="BJ103" s="647"/>
      <c r="BK103" s="650"/>
      <c r="BL103" s="328"/>
      <c r="BM103" s="331"/>
      <c r="BN103" s="647"/>
      <c r="BO103" s="650"/>
      <c r="BP103" s="328"/>
      <c r="BQ103" s="331"/>
      <c r="BR103" s="647"/>
      <c r="BS103" s="650"/>
      <c r="BT103" s="328"/>
      <c r="BU103" s="331"/>
      <c r="BV103" s="647"/>
      <c r="BW103" s="650"/>
      <c r="BX103" s="328"/>
      <c r="BY103" s="331"/>
      <c r="BZ103" s="647"/>
      <c r="CA103" s="650"/>
      <c r="CB103" s="328"/>
      <c r="CC103" s="331"/>
      <c r="CD103" s="647"/>
      <c r="CE103" s="650"/>
      <c r="CF103" s="328"/>
      <c r="CG103" s="331"/>
      <c r="CH103" s="647"/>
      <c r="CI103" s="650"/>
      <c r="CJ103" s="328"/>
      <c r="CK103" s="331"/>
      <c r="CL103" s="647"/>
      <c r="CM103" s="650"/>
      <c r="CN103" s="328"/>
      <c r="CO103" s="331"/>
      <c r="CP103" s="647"/>
      <c r="CQ103" s="650"/>
    </row>
    <row r="104" spans="1:95" x14ac:dyDescent="0.2">
      <c r="F104" s="654"/>
      <c r="G104" s="655"/>
      <c r="I104" s="355"/>
      <c r="J104" s="359"/>
      <c r="K104" s="360"/>
      <c r="L104" s="329"/>
      <c r="M104" s="331"/>
      <c r="N104" s="648"/>
      <c r="O104" s="651"/>
      <c r="P104" s="329"/>
      <c r="Q104" s="331"/>
      <c r="R104" s="648"/>
      <c r="S104" s="651"/>
      <c r="T104" s="329"/>
      <c r="U104" s="331"/>
      <c r="V104" s="648"/>
      <c r="W104" s="651"/>
      <c r="X104" s="329"/>
      <c r="Y104" s="331"/>
      <c r="Z104" s="648"/>
      <c r="AA104" s="651"/>
      <c r="AB104" s="329"/>
      <c r="AC104" s="331"/>
      <c r="AD104" s="648"/>
      <c r="AE104" s="651"/>
      <c r="AF104" s="329"/>
      <c r="AG104" s="331"/>
      <c r="AH104" s="648"/>
      <c r="AI104" s="651"/>
      <c r="AJ104" s="329"/>
      <c r="AK104" s="331"/>
      <c r="AL104" s="648"/>
      <c r="AM104" s="651"/>
      <c r="AN104" s="329"/>
      <c r="AO104" s="331"/>
      <c r="AP104" s="648"/>
      <c r="AQ104" s="651"/>
      <c r="AR104" s="329"/>
      <c r="AS104" s="331"/>
      <c r="AT104" s="648"/>
      <c r="AU104" s="651"/>
      <c r="AV104" s="329"/>
      <c r="AW104" s="331"/>
      <c r="AX104" s="648"/>
      <c r="AY104" s="651"/>
      <c r="AZ104" s="329"/>
      <c r="BA104" s="331"/>
      <c r="BB104" s="648"/>
      <c r="BC104" s="651"/>
      <c r="BD104" s="329"/>
      <c r="BE104" s="331"/>
      <c r="BF104" s="648"/>
      <c r="BG104" s="651"/>
      <c r="BH104" s="329"/>
      <c r="BI104" s="331"/>
      <c r="BJ104" s="648"/>
      <c r="BK104" s="651"/>
      <c r="BL104" s="329"/>
      <c r="BM104" s="331"/>
      <c r="BN104" s="648"/>
      <c r="BO104" s="651"/>
      <c r="BP104" s="329"/>
      <c r="BQ104" s="331"/>
      <c r="BR104" s="648"/>
      <c r="BS104" s="651"/>
      <c r="BT104" s="329"/>
      <c r="BU104" s="331"/>
      <c r="BV104" s="648"/>
      <c r="BW104" s="651"/>
      <c r="BX104" s="329"/>
      <c r="BY104" s="331"/>
      <c r="BZ104" s="648"/>
      <c r="CA104" s="651"/>
      <c r="CB104" s="329"/>
      <c r="CC104" s="331"/>
      <c r="CD104" s="648"/>
      <c r="CE104" s="651"/>
      <c r="CF104" s="329"/>
      <c r="CG104" s="331"/>
      <c r="CH104" s="648"/>
      <c r="CI104" s="651"/>
      <c r="CJ104" s="329"/>
      <c r="CK104" s="331"/>
      <c r="CL104" s="648"/>
      <c r="CM104" s="651"/>
      <c r="CN104" s="329"/>
      <c r="CO104" s="331"/>
      <c r="CP104" s="648"/>
      <c r="CQ104" s="651"/>
    </row>
    <row r="105" spans="1:95" ht="16" customHeight="1" x14ac:dyDescent="0.2">
      <c r="F105" s="654"/>
      <c r="G105" s="655"/>
      <c r="I105" s="355"/>
      <c r="J105" s="359"/>
      <c r="K105" s="360"/>
      <c r="L105" s="353" t="s">
        <v>236</v>
      </c>
      <c r="M105" s="381"/>
      <c r="N105" s="379"/>
      <c r="O105" s="323"/>
      <c r="P105" s="353" t="s">
        <v>234</v>
      </c>
      <c r="Q105" s="381"/>
      <c r="R105" s="379"/>
      <c r="S105" s="323"/>
      <c r="T105" s="351" t="s">
        <v>207</v>
      </c>
      <c r="U105" s="332"/>
      <c r="V105" s="334"/>
      <c r="W105" s="335"/>
      <c r="X105" s="351" t="s">
        <v>171</v>
      </c>
      <c r="Y105" s="332"/>
      <c r="Z105" s="334"/>
      <c r="AA105" s="335"/>
      <c r="AB105" s="351" t="s">
        <v>164</v>
      </c>
      <c r="AC105" s="332"/>
      <c r="AD105" s="334"/>
      <c r="AE105" s="335"/>
      <c r="AF105" s="351" t="s">
        <v>172</v>
      </c>
      <c r="AG105" s="332"/>
      <c r="AH105" s="334"/>
      <c r="AI105" s="335"/>
      <c r="AJ105" s="351" t="s">
        <v>170</v>
      </c>
      <c r="AK105" s="332"/>
      <c r="AL105" s="334"/>
      <c r="AM105" s="335"/>
      <c r="AN105" s="351" t="s">
        <v>173</v>
      </c>
      <c r="AO105" s="332"/>
      <c r="AP105" s="334"/>
      <c r="AQ105" s="335"/>
      <c r="AR105" s="351" t="s">
        <v>157</v>
      </c>
      <c r="AS105" s="332"/>
      <c r="AT105" s="334"/>
      <c r="AU105" s="335"/>
      <c r="AV105" s="351" t="s">
        <v>158</v>
      </c>
      <c r="AW105" s="332"/>
      <c r="AX105" s="334"/>
      <c r="AY105" s="335"/>
      <c r="AZ105" s="351" t="s">
        <v>371</v>
      </c>
      <c r="BA105" s="332"/>
      <c r="BB105" s="334"/>
      <c r="BC105" s="335"/>
      <c r="BD105" s="353" t="s">
        <v>233</v>
      </c>
      <c r="BE105" s="381"/>
      <c r="BF105" s="379"/>
      <c r="BG105" s="323"/>
      <c r="BH105" s="351" t="s">
        <v>163</v>
      </c>
      <c r="BI105" s="332"/>
      <c r="BJ105" s="334"/>
      <c r="BK105" s="335"/>
      <c r="BL105" s="351" t="s">
        <v>159</v>
      </c>
      <c r="BM105" s="332"/>
      <c r="BN105" s="334"/>
      <c r="BO105" s="335"/>
      <c r="BP105" s="353" t="s">
        <v>235</v>
      </c>
      <c r="BQ105" s="381"/>
      <c r="BR105" s="379"/>
      <c r="BS105" s="323"/>
      <c r="BT105" s="351" t="s">
        <v>160</v>
      </c>
      <c r="BU105" s="332"/>
      <c r="BV105" s="334"/>
      <c r="BW105" s="335"/>
      <c r="BX105" s="351" t="s">
        <v>205</v>
      </c>
      <c r="BY105" s="332"/>
      <c r="BZ105" s="334"/>
      <c r="CA105" s="335"/>
      <c r="CB105" s="351" t="s">
        <v>204</v>
      </c>
      <c r="CC105" s="332"/>
      <c r="CD105" s="334"/>
      <c r="CE105" s="335"/>
      <c r="CF105" s="351" t="s">
        <v>206</v>
      </c>
      <c r="CG105" s="332"/>
      <c r="CH105" s="334"/>
      <c r="CI105" s="335"/>
      <c r="CJ105" s="351" t="s">
        <v>201</v>
      </c>
      <c r="CK105" s="332"/>
      <c r="CL105" s="334"/>
      <c r="CM105" s="335"/>
      <c r="CN105" s="351" t="s">
        <v>161</v>
      </c>
      <c r="CO105" s="332"/>
      <c r="CP105" s="334"/>
      <c r="CQ105" s="335"/>
    </row>
    <row r="106" spans="1:95" x14ac:dyDescent="0.2">
      <c r="F106" s="654"/>
      <c r="G106" s="655"/>
      <c r="I106" s="355"/>
      <c r="J106" s="359"/>
      <c r="K106" s="360"/>
      <c r="L106" s="322"/>
      <c r="M106" s="379"/>
      <c r="N106" s="379"/>
      <c r="O106" s="323"/>
      <c r="P106" s="322"/>
      <c r="Q106" s="379"/>
      <c r="R106" s="379"/>
      <c r="S106" s="323"/>
      <c r="T106" s="340"/>
      <c r="U106" s="334"/>
      <c r="V106" s="334"/>
      <c r="W106" s="335"/>
      <c r="X106" s="340"/>
      <c r="Y106" s="334"/>
      <c r="Z106" s="334"/>
      <c r="AA106" s="335"/>
      <c r="AB106" s="340"/>
      <c r="AC106" s="334"/>
      <c r="AD106" s="334"/>
      <c r="AE106" s="335"/>
      <c r="AF106" s="340"/>
      <c r="AG106" s="334"/>
      <c r="AH106" s="334"/>
      <c r="AI106" s="335"/>
      <c r="AJ106" s="340"/>
      <c r="AK106" s="334"/>
      <c r="AL106" s="334"/>
      <c r="AM106" s="335"/>
      <c r="AN106" s="340"/>
      <c r="AO106" s="334"/>
      <c r="AP106" s="334"/>
      <c r="AQ106" s="335"/>
      <c r="AR106" s="340"/>
      <c r="AS106" s="334"/>
      <c r="AT106" s="334"/>
      <c r="AU106" s="335"/>
      <c r="AV106" s="340"/>
      <c r="AW106" s="334"/>
      <c r="AX106" s="334"/>
      <c r="AY106" s="335"/>
      <c r="AZ106" s="340"/>
      <c r="BA106" s="334"/>
      <c r="BB106" s="334"/>
      <c r="BC106" s="335"/>
      <c r="BD106" s="322"/>
      <c r="BE106" s="379"/>
      <c r="BF106" s="379"/>
      <c r="BG106" s="323"/>
      <c r="BH106" s="340"/>
      <c r="BI106" s="334"/>
      <c r="BJ106" s="334"/>
      <c r="BK106" s="335"/>
      <c r="BL106" s="340"/>
      <c r="BM106" s="334"/>
      <c r="BN106" s="334"/>
      <c r="BO106" s="335"/>
      <c r="BP106" s="322"/>
      <c r="BQ106" s="379"/>
      <c r="BR106" s="379"/>
      <c r="BS106" s="323"/>
      <c r="BT106" s="340"/>
      <c r="BU106" s="334"/>
      <c r="BV106" s="334"/>
      <c r="BW106" s="335"/>
      <c r="BX106" s="340"/>
      <c r="BY106" s="334"/>
      <c r="BZ106" s="334"/>
      <c r="CA106" s="335"/>
      <c r="CB106" s="340"/>
      <c r="CC106" s="334"/>
      <c r="CD106" s="334"/>
      <c r="CE106" s="335"/>
      <c r="CF106" s="340"/>
      <c r="CG106" s="334"/>
      <c r="CH106" s="334"/>
      <c r="CI106" s="335"/>
      <c r="CJ106" s="340"/>
      <c r="CK106" s="334"/>
      <c r="CL106" s="334"/>
      <c r="CM106" s="335"/>
      <c r="CN106" s="340"/>
      <c r="CO106" s="334"/>
      <c r="CP106" s="334"/>
      <c r="CQ106" s="335"/>
    </row>
    <row r="107" spans="1:95" ht="17" thickBot="1" x14ac:dyDescent="0.25">
      <c r="F107" s="654"/>
      <c r="G107" s="655"/>
      <c r="I107" s="355"/>
      <c r="J107" s="359"/>
      <c r="K107" s="360"/>
      <c r="L107" s="382"/>
      <c r="M107" s="383"/>
      <c r="N107" s="383"/>
      <c r="O107" s="653"/>
      <c r="P107" s="382"/>
      <c r="Q107" s="383"/>
      <c r="R107" s="383"/>
      <c r="S107" s="653"/>
      <c r="T107" s="384"/>
      <c r="U107" s="385"/>
      <c r="V107" s="385"/>
      <c r="W107" s="388"/>
      <c r="X107" s="384"/>
      <c r="Y107" s="385"/>
      <c r="Z107" s="385"/>
      <c r="AA107" s="388"/>
      <c r="AB107" s="384"/>
      <c r="AC107" s="385"/>
      <c r="AD107" s="385"/>
      <c r="AE107" s="388"/>
      <c r="AF107" s="384"/>
      <c r="AG107" s="385"/>
      <c r="AH107" s="385"/>
      <c r="AI107" s="388"/>
      <c r="AJ107" s="384"/>
      <c r="AK107" s="385"/>
      <c r="AL107" s="385"/>
      <c r="AM107" s="388"/>
      <c r="AN107" s="384"/>
      <c r="AO107" s="385"/>
      <c r="AP107" s="385"/>
      <c r="AQ107" s="388"/>
      <c r="AR107" s="384"/>
      <c r="AS107" s="385"/>
      <c r="AT107" s="385"/>
      <c r="AU107" s="388"/>
      <c r="AV107" s="384"/>
      <c r="AW107" s="385"/>
      <c r="AX107" s="385"/>
      <c r="AY107" s="388"/>
      <c r="AZ107" s="384"/>
      <c r="BA107" s="385"/>
      <c r="BB107" s="385"/>
      <c r="BC107" s="388"/>
      <c r="BD107" s="382"/>
      <c r="BE107" s="383"/>
      <c r="BF107" s="383"/>
      <c r="BG107" s="653"/>
      <c r="BH107" s="384"/>
      <c r="BI107" s="385"/>
      <c r="BJ107" s="385"/>
      <c r="BK107" s="388"/>
      <c r="BL107" s="384"/>
      <c r="BM107" s="385"/>
      <c r="BN107" s="385"/>
      <c r="BO107" s="388"/>
      <c r="BP107" s="382"/>
      <c r="BQ107" s="383"/>
      <c r="BR107" s="383"/>
      <c r="BS107" s="653"/>
      <c r="BT107" s="384"/>
      <c r="BU107" s="385"/>
      <c r="BV107" s="385"/>
      <c r="BW107" s="388"/>
      <c r="BX107" s="384"/>
      <c r="BY107" s="385"/>
      <c r="BZ107" s="385"/>
      <c r="CA107" s="388"/>
      <c r="CB107" s="384"/>
      <c r="CC107" s="385"/>
      <c r="CD107" s="385"/>
      <c r="CE107" s="388"/>
      <c r="CF107" s="384"/>
      <c r="CG107" s="385"/>
      <c r="CH107" s="385"/>
      <c r="CI107" s="388"/>
      <c r="CJ107" s="384"/>
      <c r="CK107" s="385"/>
      <c r="CL107" s="385"/>
      <c r="CM107" s="388"/>
      <c r="CN107" s="384"/>
      <c r="CO107" s="385"/>
      <c r="CP107" s="385"/>
      <c r="CQ107" s="388"/>
    </row>
    <row r="108" spans="1:95" ht="20" thickBot="1" x14ac:dyDescent="0.3">
      <c r="F108" s="656"/>
      <c r="G108" s="657"/>
      <c r="I108" s="356"/>
      <c r="J108" s="361"/>
      <c r="K108" s="362"/>
      <c r="L108" s="389" t="s">
        <v>162</v>
      </c>
      <c r="M108" s="390"/>
      <c r="N108" s="390"/>
      <c r="O108" s="390"/>
      <c r="P108" s="390"/>
      <c r="Q108" s="390"/>
      <c r="R108" s="390"/>
      <c r="S108" s="390"/>
      <c r="T108" s="390"/>
      <c r="U108" s="390"/>
      <c r="V108" s="390"/>
      <c r="W108" s="390"/>
      <c r="X108" s="390"/>
      <c r="Y108" s="390"/>
      <c r="Z108" s="390"/>
      <c r="AA108" s="390"/>
      <c r="AB108" s="390"/>
      <c r="AC108" s="390"/>
      <c r="AD108" s="390"/>
      <c r="AE108" s="390"/>
      <c r="AF108" s="390"/>
      <c r="AG108" s="390"/>
      <c r="AH108" s="390"/>
      <c r="AI108" s="390"/>
      <c r="AJ108" s="390"/>
      <c r="AK108" s="390"/>
      <c r="AL108" s="390"/>
      <c r="AM108" s="390"/>
      <c r="AN108" s="390"/>
      <c r="AO108" s="390"/>
      <c r="AP108" s="390"/>
      <c r="AQ108" s="390"/>
      <c r="AR108" s="390"/>
      <c r="AS108" s="390"/>
      <c r="AT108" s="390"/>
      <c r="AU108" s="390"/>
      <c r="AV108" s="390"/>
      <c r="AW108" s="390"/>
      <c r="AX108" s="390"/>
      <c r="AY108" s="390"/>
      <c r="AZ108" s="390"/>
      <c r="BA108" s="390"/>
      <c r="BB108" s="390"/>
      <c r="BC108" s="390"/>
      <c r="BD108" s="390"/>
      <c r="BE108" s="390"/>
      <c r="BF108" s="390"/>
      <c r="BG108" s="390"/>
      <c r="BH108" s="390"/>
      <c r="BI108" s="390"/>
      <c r="BJ108" s="390"/>
      <c r="BK108" s="390"/>
      <c r="BL108" s="390"/>
      <c r="BM108" s="390"/>
      <c r="BN108" s="390"/>
      <c r="BO108" s="390"/>
      <c r="BP108" s="390"/>
      <c r="BQ108" s="390"/>
      <c r="BR108" s="390"/>
      <c r="BS108" s="390"/>
      <c r="BT108" s="390"/>
      <c r="BU108" s="390"/>
      <c r="BV108" s="390"/>
      <c r="BW108" s="390"/>
      <c r="BX108" s="390"/>
      <c r="BY108" s="390"/>
      <c r="BZ108" s="390"/>
      <c r="CA108" s="390"/>
      <c r="CB108" s="390"/>
      <c r="CC108" s="390"/>
      <c r="CD108" s="390"/>
      <c r="CE108" s="390"/>
      <c r="CF108" s="390"/>
      <c r="CG108" s="390"/>
      <c r="CH108" s="390"/>
      <c r="CI108" s="390"/>
      <c r="CJ108" s="390"/>
      <c r="CK108" s="390"/>
      <c r="CL108" s="390"/>
      <c r="CM108" s="390"/>
      <c r="CN108" s="390"/>
      <c r="CO108" s="390"/>
      <c r="CP108" s="390"/>
      <c r="CQ108" s="652"/>
    </row>
    <row r="109" spans="1:95" x14ac:dyDescent="0.2">
      <c r="I109" s="110" t="s">
        <v>451</v>
      </c>
    </row>
    <row r="110" spans="1:95" x14ac:dyDescent="0.2">
      <c r="I110" s="111" t="s">
        <v>452</v>
      </c>
    </row>
  </sheetData>
  <mergeCells count="224">
    <mergeCell ref="A7:A10"/>
    <mergeCell ref="F102:G108"/>
    <mergeCell ref="CN100:CN104"/>
    <mergeCell ref="CO100:CO104"/>
    <mergeCell ref="AV100:AV104"/>
    <mergeCell ref="AW100:AW104"/>
    <mergeCell ref="BP100:BP104"/>
    <mergeCell ref="BQ100:BQ104"/>
    <mergeCell ref="CN6:CN10"/>
    <mergeCell ref="CO6:CO10"/>
    <mergeCell ref="CC6:CC10"/>
    <mergeCell ref="CF6:CF10"/>
    <mergeCell ref="CG6:CG10"/>
    <mergeCell ref="CJ6:CJ10"/>
    <mergeCell ref="CK6:CK10"/>
    <mergeCell ref="BD6:BD10"/>
    <mergeCell ref="BE6:BE10"/>
    <mergeCell ref="BT6:BT10"/>
    <mergeCell ref="BU6:BU10"/>
    <mergeCell ref="BX6:BX10"/>
    <mergeCell ref="BY6:BY10"/>
    <mergeCell ref="BF6:BF10"/>
    <mergeCell ref="BG6:BG10"/>
    <mergeCell ref="BV6:BV10"/>
    <mergeCell ref="BW6:BW10"/>
    <mergeCell ref="BH6:BH10"/>
    <mergeCell ref="BX105:CA107"/>
    <mergeCell ref="CB105:CE107"/>
    <mergeCell ref="CF105:CI107"/>
    <mergeCell ref="CJ105:CM107"/>
    <mergeCell ref="CN105:CQ107"/>
    <mergeCell ref="AN105:AQ107"/>
    <mergeCell ref="AR105:AU107"/>
    <mergeCell ref="BH105:BK107"/>
    <mergeCell ref="AZ105:BC107"/>
    <mergeCell ref="BL105:BO107"/>
    <mergeCell ref="BD105:BG107"/>
    <mergeCell ref="BP105:BS107"/>
    <mergeCell ref="AV105:AY107"/>
    <mergeCell ref="CB100:CB104"/>
    <mergeCell ref="CC100:CC104"/>
    <mergeCell ref="CF100:CF104"/>
    <mergeCell ref="CG100:CG104"/>
    <mergeCell ref="CJ100:CJ104"/>
    <mergeCell ref="CK100:CK104"/>
    <mergeCell ref="CE100:CE104"/>
    <mergeCell ref="BD100:BD104"/>
    <mergeCell ref="BE100:BE104"/>
    <mergeCell ref="BT100:BT104"/>
    <mergeCell ref="L105:O107"/>
    <mergeCell ref="AF105:AI107"/>
    <mergeCell ref="P105:S107"/>
    <mergeCell ref="AB105:AE107"/>
    <mergeCell ref="X105:AA107"/>
    <mergeCell ref="T105:W107"/>
    <mergeCell ref="BT3:BW5"/>
    <mergeCell ref="BX3:CA5"/>
    <mergeCell ref="CB3:CE5"/>
    <mergeCell ref="BO6:BO10"/>
    <mergeCell ref="BN100:BN104"/>
    <mergeCell ref="BO100:BO104"/>
    <mergeCell ref="AT6:AT10"/>
    <mergeCell ref="AU6:AU10"/>
    <mergeCell ref="AT100:AT104"/>
    <mergeCell ref="AU100:AU104"/>
    <mergeCell ref="BJ6:BJ10"/>
    <mergeCell ref="BK6:BK10"/>
    <mergeCell ref="BJ100:BJ104"/>
    <mergeCell ref="BK100:BK104"/>
    <mergeCell ref="BR6:BR10"/>
    <mergeCell ref="BS6:BS10"/>
    <mergeCell ref="BR100:BR104"/>
    <mergeCell ref="BS100:BS104"/>
    <mergeCell ref="CF3:CI5"/>
    <mergeCell ref="CJ3:CM5"/>
    <mergeCell ref="CN3:CQ5"/>
    <mergeCell ref="L2:CQ2"/>
    <mergeCell ref="L3:O5"/>
    <mergeCell ref="AF3:AI5"/>
    <mergeCell ref="P3:S5"/>
    <mergeCell ref="AB3:AE5"/>
    <mergeCell ref="X3:AA5"/>
    <mergeCell ref="T3:W5"/>
    <mergeCell ref="AV3:AY5"/>
    <mergeCell ref="BP3:BS5"/>
    <mergeCell ref="AJ3:AM5"/>
    <mergeCell ref="AZ3:BC5"/>
    <mergeCell ref="BL3:BO5"/>
    <mergeCell ref="BD3:BG5"/>
    <mergeCell ref="L108:CQ108"/>
    <mergeCell ref="CP6:CP10"/>
    <mergeCell ref="CQ6:CQ10"/>
    <mergeCell ref="CP100:CP104"/>
    <mergeCell ref="CQ100:CQ104"/>
    <mergeCell ref="AN3:AQ5"/>
    <mergeCell ref="AR3:AU5"/>
    <mergeCell ref="BH3:BK5"/>
    <mergeCell ref="CL6:CL10"/>
    <mergeCell ref="CM6:CM10"/>
    <mergeCell ref="CL100:CL104"/>
    <mergeCell ref="CM100:CM104"/>
    <mergeCell ref="CH6:CH10"/>
    <mergeCell ref="CI6:CI10"/>
    <mergeCell ref="CH100:CH104"/>
    <mergeCell ref="CI100:CI104"/>
    <mergeCell ref="BZ6:BZ10"/>
    <mergeCell ref="CA6:CA10"/>
    <mergeCell ref="BZ100:BZ104"/>
    <mergeCell ref="CA100:CA104"/>
    <mergeCell ref="CD6:CD10"/>
    <mergeCell ref="CE6:CE10"/>
    <mergeCell ref="CD100:CD104"/>
    <mergeCell ref="BN6:BN10"/>
    <mergeCell ref="N100:N104"/>
    <mergeCell ref="O100:O104"/>
    <mergeCell ref="AH100:AH104"/>
    <mergeCell ref="AI100:AI104"/>
    <mergeCell ref="BT105:BW107"/>
    <mergeCell ref="AJ105:AM107"/>
    <mergeCell ref="BL100:BL104"/>
    <mergeCell ref="BM100:BM104"/>
    <mergeCell ref="BB100:BB104"/>
    <mergeCell ref="BC100:BC104"/>
    <mergeCell ref="AJ100:AJ104"/>
    <mergeCell ref="AK100:AK104"/>
    <mergeCell ref="AN100:AN104"/>
    <mergeCell ref="AO100:AO104"/>
    <mergeCell ref="AR100:AR104"/>
    <mergeCell ref="AS100:AS104"/>
    <mergeCell ref="AL100:AL104"/>
    <mergeCell ref="AM100:AM104"/>
    <mergeCell ref="AP100:AP104"/>
    <mergeCell ref="AQ100:AQ104"/>
    <mergeCell ref="Z100:Z104"/>
    <mergeCell ref="AA100:AA104"/>
    <mergeCell ref="AD100:AD104"/>
    <mergeCell ref="AE100:AE104"/>
    <mergeCell ref="BU100:BU104"/>
    <mergeCell ref="BX100:BX104"/>
    <mergeCell ref="BY100:BY104"/>
    <mergeCell ref="BF100:BF104"/>
    <mergeCell ref="BG100:BG104"/>
    <mergeCell ref="BV100:BV104"/>
    <mergeCell ref="BW100:BW104"/>
    <mergeCell ref="BH100:BH104"/>
    <mergeCell ref="BI100:BI104"/>
    <mergeCell ref="AZ100:AZ104"/>
    <mergeCell ref="BA100:BA104"/>
    <mergeCell ref="T100:T104"/>
    <mergeCell ref="U100:U104"/>
    <mergeCell ref="P100:P104"/>
    <mergeCell ref="Q100:Q104"/>
    <mergeCell ref="AB100:AB104"/>
    <mergeCell ref="AC100:AC104"/>
    <mergeCell ref="X100:X104"/>
    <mergeCell ref="Y100:Y104"/>
    <mergeCell ref="R100:R104"/>
    <mergeCell ref="S100:S104"/>
    <mergeCell ref="AY100:AY104"/>
    <mergeCell ref="AX100:AX104"/>
    <mergeCell ref="W100:W104"/>
    <mergeCell ref="V100:V104"/>
    <mergeCell ref="B7:B10"/>
    <mergeCell ref="C7:C10"/>
    <mergeCell ref="I100:I108"/>
    <mergeCell ref="J100:K108"/>
    <mergeCell ref="L100:L104"/>
    <mergeCell ref="M100:M104"/>
    <mergeCell ref="AF100:AF104"/>
    <mergeCell ref="AG100:AG104"/>
    <mergeCell ref="CB6:CB10"/>
    <mergeCell ref="AZ6:AZ10"/>
    <mergeCell ref="BA6:BA10"/>
    <mergeCell ref="BB6:BB10"/>
    <mergeCell ref="BC6:BC10"/>
    <mergeCell ref="AJ6:AJ10"/>
    <mergeCell ref="AK6:AK10"/>
    <mergeCell ref="AN6:AN10"/>
    <mergeCell ref="AO6:AO10"/>
    <mergeCell ref="AR6:AR10"/>
    <mergeCell ref="AS6:AS10"/>
    <mergeCell ref="AL6:AL10"/>
    <mergeCell ref="AM6:AM10"/>
    <mergeCell ref="AP6:AP10"/>
    <mergeCell ref="AQ6:AQ10"/>
    <mergeCell ref="AG6:AG10"/>
    <mergeCell ref="BI6:BI10"/>
    <mergeCell ref="BL6:BL10"/>
    <mergeCell ref="BM6:BM10"/>
    <mergeCell ref="AV6:AV10"/>
    <mergeCell ref="AW6:AW10"/>
    <mergeCell ref="BP6:BP10"/>
    <mergeCell ref="BQ6:BQ10"/>
    <mergeCell ref="P6:P10"/>
    <mergeCell ref="Q6:Q10"/>
    <mergeCell ref="AB6:AB10"/>
    <mergeCell ref="AC6:AC10"/>
    <mergeCell ref="X6:X10"/>
    <mergeCell ref="Y6:Y10"/>
    <mergeCell ref="AH6:AH10"/>
    <mergeCell ref="AI6:AI10"/>
    <mergeCell ref="Z6:Z10"/>
    <mergeCell ref="AA6:AA10"/>
    <mergeCell ref="AD6:AD10"/>
    <mergeCell ref="AE6:AE10"/>
    <mergeCell ref="R6:R10"/>
    <mergeCell ref="S6:S10"/>
    <mergeCell ref="AY6:AY10"/>
    <mergeCell ref="AX6:AX10"/>
    <mergeCell ref="W6:W10"/>
    <mergeCell ref="AF6:AF10"/>
    <mergeCell ref="N6:N10"/>
    <mergeCell ref="O6:O10"/>
    <mergeCell ref="T6:T10"/>
    <mergeCell ref="U6:U10"/>
    <mergeCell ref="V6:V10"/>
    <mergeCell ref="E3:E4"/>
    <mergeCell ref="E5:E7"/>
    <mergeCell ref="H6:H10"/>
    <mergeCell ref="I6:I10"/>
    <mergeCell ref="J6:J10"/>
    <mergeCell ref="K6:K10"/>
    <mergeCell ref="L6:L10"/>
    <mergeCell ref="M6:M10"/>
  </mergeCells>
  <pageMargins left="0.7" right="0.7" top="0.75" bottom="0.75" header="0.3" footer="0.3"/>
  <pageSetup paperSize="9" orientation="portrait" horizontalDpi="0" verticalDpi="0"/>
  <ignoredErrors>
    <ignoredError sqref="K36 J93 J87:J91 J85 J79:J80 J74:J77 J72 J68:J70 J64 J59 J57 J53:J55 J39:J45 J37 J23:J24 J19:J21 J82 J47:J50 J30:J32 J11:J12 J26 J36 J95:J96 J17 J1:J10 J18 J97 J38 J27:J29 J13:J16 J33:J35 J51:J52 J83:J84 J22 J25 J46 J56 J58 J60:J63 J65:J67 J71 J73 J78 J81 J86 J92 J94"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9"/>
  <sheetViews>
    <sheetView showRuler="0" workbookViewId="0"/>
  </sheetViews>
  <sheetFormatPr baseColWidth="10" defaultRowHeight="19" x14ac:dyDescent="0.25"/>
  <cols>
    <col min="1" max="1" width="28.5" style="117" customWidth="1"/>
    <col min="2" max="2" width="21.6640625" style="115" customWidth="1"/>
    <col min="3" max="3" width="21.6640625" style="113" customWidth="1"/>
    <col min="4" max="4" width="21.6640625" style="114" customWidth="1"/>
    <col min="5" max="5" width="21.6640625" style="113" customWidth="1"/>
    <col min="6" max="6" width="13.6640625" style="112" customWidth="1"/>
    <col min="7" max="16384" width="10.83203125" style="112"/>
  </cols>
  <sheetData>
    <row r="1" spans="1:13" x14ac:dyDescent="0.25">
      <c r="A1" s="137" t="s">
        <v>471</v>
      </c>
    </row>
    <row r="2" spans="1:13" ht="20" thickBot="1" x14ac:dyDescent="0.3"/>
    <row r="3" spans="1:13" customFormat="1" ht="16" x14ac:dyDescent="0.2">
      <c r="A3" s="670" t="s">
        <v>468</v>
      </c>
      <c r="B3" s="660"/>
      <c r="C3" s="661"/>
    </row>
    <row r="4" spans="1:13" ht="20" thickBot="1" x14ac:dyDescent="0.3">
      <c r="A4" s="665"/>
      <c r="B4" s="666"/>
      <c r="C4" s="667"/>
    </row>
    <row r="5" spans="1:13" ht="20" thickBot="1" x14ac:dyDescent="0.3"/>
    <row r="6" spans="1:13" ht="64" customHeight="1" thickBot="1" x14ac:dyDescent="0.3">
      <c r="A6" s="120" t="s">
        <v>460</v>
      </c>
      <c r="B6" s="121" t="s">
        <v>574</v>
      </c>
      <c r="C6" s="122" t="s">
        <v>572</v>
      </c>
      <c r="D6" s="134" t="s">
        <v>575</v>
      </c>
      <c r="E6" s="135" t="s">
        <v>573</v>
      </c>
      <c r="F6" s="668" t="s">
        <v>25</v>
      </c>
      <c r="G6" s="668"/>
      <c r="H6" s="668"/>
      <c r="I6" s="668"/>
      <c r="J6" s="668"/>
      <c r="K6" s="668"/>
      <c r="L6" s="668"/>
      <c r="M6" s="669"/>
    </row>
    <row r="7" spans="1:13" ht="22" customHeight="1" x14ac:dyDescent="0.25">
      <c r="A7" s="119" t="s">
        <v>461</v>
      </c>
      <c r="B7" s="123">
        <f>'Random-Controlled (MLT - PLB)'!M$99</f>
        <v>62.5</v>
      </c>
      <c r="C7" s="136" t="str">
        <f>IF(AND('Random-Controlled (MLT - PLB)'!L$98&gt;0,'Random-Controlled (MLT - PLB)'!L$98&lt;&gt;"", 'Random-Controlled (MLT - PLB)'!L$99&gt;0,'Random-Controlled (MLT - PLB)'!L$99&lt;&gt;""),'Random-Controlled (MLT - PLB)'!L$98&amp;"/"&amp;'Random-Controlled (MLT - PLB)'!L$99,"-")</f>
        <v>5/8</v>
      </c>
      <c r="D7" s="132">
        <f>IF(AND('Random-Controlled (MLT - PLB)'!M$98&lt;&gt;0, 'Random-Controlled (MLT - PLB)'!M$98 &lt;&gt;""), 'Random-Controlled (MLT - PLB)'!M$98, "-")</f>
        <v>0.19040365575019041</v>
      </c>
      <c r="E7" s="133" t="str">
        <f>IF(AND('Random-Controlled (MLT - PLB)'!L$98&gt;0,'Random-Controlled (MLT - PLB)'!L$98&lt;&gt;""),'Random-Controlled (MLT - PLB)'!L$98&amp;"/"&amp;'Random-Controlled (MLT - PLB)'!$I$98,"-")</f>
        <v>5/2626</v>
      </c>
      <c r="F7" s="742" t="str">
        <f>IF(AND(B7="-", C7="-", D7="-", E7="-"), "Incidence in placebo group equal or greater than incidence in melatonin group", "")</f>
        <v/>
      </c>
      <c r="G7" s="743"/>
      <c r="H7" s="743"/>
      <c r="I7" s="743"/>
      <c r="J7" s="743"/>
      <c r="K7" s="743"/>
      <c r="L7" s="743"/>
      <c r="M7" s="744"/>
    </row>
    <row r="8" spans="1:13" ht="22" customHeight="1" x14ac:dyDescent="0.25">
      <c r="A8" s="118" t="s">
        <v>462</v>
      </c>
      <c r="B8" s="124">
        <f>'Random-Controlled (MLT - PLB)'!Q$99</f>
        <v>21.53846153846154</v>
      </c>
      <c r="C8" s="125" t="str">
        <f>IF(AND('Random-Controlled (MLT - PLB)'!P$98&gt;0,'Random-Controlled (MLT - PLB)'!P$98&lt;&gt;"", 'Random-Controlled (MLT - PLB)'!P$99&gt;0,'Random-Controlled (MLT - PLB)'!P$99&lt;&gt;""),'Random-Controlled (MLT - PLB)'!P$98&amp;"/"&amp;'Random-Controlled (MLT - PLB)'!P$99,"-")</f>
        <v>28/130</v>
      </c>
      <c r="D8" s="128">
        <f>IF(AND('Random-Controlled (MLT - PLB)'!Q$98&lt;&gt;0, 'Random-Controlled (MLT - PLB)'!Q$98 &lt;&gt;""), 'Random-Controlled (MLT - PLB)'!Q$98, "-")</f>
        <v>1.0662604722010662</v>
      </c>
      <c r="E8" s="129" t="str">
        <f>IF(AND('Random-Controlled (MLT - PLB)'!P$98&gt;0,'Random-Controlled (MLT - PLB)'!P$98&lt;&gt;""),'Random-Controlled (MLT - PLB)'!P$98&amp;"/"&amp;'Random-Controlled (MLT - PLB)'!$I$98,"-")</f>
        <v>28/2626</v>
      </c>
      <c r="F8" s="745" t="str">
        <f t="shared" ref="F8:F27" si="0">IF(AND(B8="-", C8="-", D8="-", E8="-"), "Incidence in placebo group equal or greater than incidence in melatonin group", "")</f>
        <v/>
      </c>
      <c r="G8" s="658"/>
      <c r="H8" s="658"/>
      <c r="I8" s="658"/>
      <c r="J8" s="658"/>
      <c r="K8" s="658"/>
      <c r="L8" s="658"/>
      <c r="M8" s="746"/>
    </row>
    <row r="9" spans="1:13" ht="22" customHeight="1" x14ac:dyDescent="0.25">
      <c r="A9" s="118" t="s">
        <v>171</v>
      </c>
      <c r="B9" s="124">
        <f>'Random-Controlled (MLT - PLB)'!Y$99</f>
        <v>25</v>
      </c>
      <c r="C9" s="125" t="str">
        <f>IF(AND('Random-Controlled (MLT - PLB)'!X$98&gt;0,'Random-Controlled (MLT - PLB)'!X$98&lt;&gt;"", 'Random-Controlled (MLT - PLB)'!X$99&gt;0,'Random-Controlled (MLT - PLB)'!X$99&lt;&gt;""),'Random-Controlled (MLT - PLB)'!X$98&amp;"/"&amp;'Random-Controlled (MLT - PLB)'!X$99,"-")</f>
        <v>2/8</v>
      </c>
      <c r="D9" s="128">
        <f>IF(AND('Random-Controlled (MLT - PLB)'!Y$98&lt;&gt;0, 'Random-Controlled (MLT - PLB)'!Y$98 &lt;&gt;""), 'Random-Controlled (MLT - PLB)'!Y$98, "-")</f>
        <v>7.6161462300076158E-2</v>
      </c>
      <c r="E9" s="129" t="str">
        <f>IF(AND('Random-Controlled (MLT - PLB)'!X$98&gt;0,'Random-Controlled (MLT - PLB)'!X$98&lt;&gt;""),'Random-Controlled (MLT - PLB)'!X$98&amp;"/"&amp;'Random-Controlled (MLT - PLB)'!$I$98,"-")</f>
        <v>2/2626</v>
      </c>
      <c r="F9" s="745" t="str">
        <f t="shared" si="0"/>
        <v/>
      </c>
      <c r="G9" s="658"/>
      <c r="H9" s="658"/>
      <c r="I9" s="658"/>
      <c r="J9" s="658"/>
      <c r="K9" s="658"/>
      <c r="L9" s="658"/>
      <c r="M9" s="746"/>
    </row>
    <row r="10" spans="1:13" ht="22" customHeight="1" x14ac:dyDescent="0.25">
      <c r="A10" s="118" t="s">
        <v>464</v>
      </c>
      <c r="B10" s="124">
        <f>'Random-Controlled (MLT - PLB)'!AC$99</f>
        <v>18.827160493827162</v>
      </c>
      <c r="C10" s="125" t="str">
        <f>IF(AND('Random-Controlled (MLT - PLB)'!AB$98&gt;0,'Random-Controlled (MLT - PLB)'!AB$98&lt;&gt;"", 'Random-Controlled (MLT - PLB)'!AB$99&gt;0,'Random-Controlled (MLT - PLB)'!AB$99&lt;&gt;""),'Random-Controlled (MLT - PLB)'!AB$98&amp;"/"&amp;'Random-Controlled (MLT - PLB)'!AB$99,"-")</f>
        <v>61/324</v>
      </c>
      <c r="D10" s="128">
        <f>IF(AND('Random-Controlled (MLT - PLB)'!AC$98&lt;&gt;0, 'Random-Controlled (MLT - PLB)'!AC$98 &lt;&gt;""), 'Random-Controlled (MLT - PLB)'!AC$98, "-")</f>
        <v>2.3229246001523229</v>
      </c>
      <c r="E10" s="129" t="str">
        <f>IF(AND('Random-Controlled (MLT - PLB)'!AB$98&gt;0,'Random-Controlled (MLT - PLB)'!AB$98&lt;&gt;""),'Random-Controlled (MLT - PLB)'!AB$98&amp;"/"&amp;'Random-Controlled (MLT - PLB)'!$I$98,"-")</f>
        <v>61/2626</v>
      </c>
      <c r="F10" s="745" t="str">
        <f t="shared" si="0"/>
        <v/>
      </c>
      <c r="G10" s="658"/>
      <c r="H10" s="658"/>
      <c r="I10" s="658"/>
      <c r="J10" s="658"/>
      <c r="K10" s="658"/>
      <c r="L10" s="658"/>
      <c r="M10" s="746"/>
    </row>
    <row r="11" spans="1:13" ht="22" customHeight="1" x14ac:dyDescent="0.25">
      <c r="A11" s="118" t="s">
        <v>463</v>
      </c>
      <c r="B11" s="124">
        <f>'Random-Controlled (MLT - PLB)'!AG$99</f>
        <v>18.584070796460178</v>
      </c>
      <c r="C11" s="125" t="str">
        <f>IF(AND('Random-Controlled (MLT - PLB)'!AF$98&gt;0,'Random-Controlled (MLT - PLB)'!AF$98&lt;&gt;"", 'Random-Controlled (MLT - PLB)'!AF$99&gt;0,'Random-Controlled (MLT - PLB)'!AF$99&lt;&gt;""),'Random-Controlled (MLT - PLB)'!AF$98&amp;"/"&amp;'Random-Controlled (MLT - PLB)'!AF$99,"-")</f>
        <v>42/226</v>
      </c>
      <c r="D11" s="128">
        <f>IF(AND('Random-Controlled (MLT - PLB)'!AG$98&lt;&gt;0, 'Random-Controlled (MLT - PLB)'!AG$98 &lt;&gt;""), 'Random-Controlled (MLT - PLB)'!AG$98, "-")</f>
        <v>1.5993907083015995</v>
      </c>
      <c r="E11" s="129" t="str">
        <f>IF(AND('Random-Controlled (MLT - PLB)'!AF$98&gt;0,'Random-Controlled (MLT - PLB)'!AF$98&lt;&gt;""),'Random-Controlled (MLT - PLB)'!AF$98&amp;"/"&amp;'Random-Controlled (MLT - PLB)'!$I$98,"-")</f>
        <v>42/2626</v>
      </c>
      <c r="F11" s="745" t="str">
        <f t="shared" si="0"/>
        <v/>
      </c>
      <c r="G11" s="658"/>
      <c r="H11" s="658"/>
      <c r="I11" s="658"/>
      <c r="J11" s="658"/>
      <c r="K11" s="658"/>
      <c r="L11" s="658"/>
      <c r="M11" s="746"/>
    </row>
    <row r="12" spans="1:13" ht="22" customHeight="1" x14ac:dyDescent="0.25">
      <c r="A12" s="118" t="s">
        <v>170</v>
      </c>
      <c r="B12" s="124">
        <f>'Random-Controlled (MLT - PLB)'!AK$99</f>
        <v>12.5</v>
      </c>
      <c r="C12" s="125" t="str">
        <f>IF(AND('Random-Controlled (MLT - PLB)'!AJ$98&gt;0,'Random-Controlled (MLT - PLB)'!AJ$98&lt;&gt;"", 'Random-Controlled (MLT - PLB)'!AJ$99&gt;0,'Random-Controlled (MLT - PLB)'!AJ$99&lt;&gt;""),'Random-Controlled (MLT - PLB)'!AJ$98&amp;"/"&amp;'Random-Controlled (MLT - PLB)'!AJ$99,"-")</f>
        <v>1/8</v>
      </c>
      <c r="D12" s="128">
        <f>IF(AND('Random-Controlled (MLT - PLB)'!AK$98&lt;&gt;0, 'Random-Controlled (MLT - PLB)'!AK$98 &lt;&gt;""), 'Random-Controlled (MLT - PLB)'!AK$98, "-")</f>
        <v>3.8080731150038079E-2</v>
      </c>
      <c r="E12" s="129" t="str">
        <f>IF(AND('Random-Controlled (MLT - PLB)'!AJ$98&gt;0,'Random-Controlled (MLT - PLB)'!AJ$98&lt;&gt;""),'Random-Controlled (MLT - PLB)'!AJ$98&amp;"/"&amp;'Random-Controlled (MLT - PLB)'!$I$98,"-")</f>
        <v>1/2626</v>
      </c>
      <c r="F12" s="745" t="str">
        <f t="shared" si="0"/>
        <v/>
      </c>
      <c r="G12" s="658"/>
      <c r="H12" s="658"/>
      <c r="I12" s="658"/>
      <c r="J12" s="658"/>
      <c r="K12" s="658"/>
      <c r="L12" s="658"/>
      <c r="M12" s="746"/>
    </row>
    <row r="13" spans="1:13" ht="22" customHeight="1" x14ac:dyDescent="0.25">
      <c r="A13" s="118" t="s">
        <v>173</v>
      </c>
      <c r="B13" s="124">
        <f>'Random-Controlled (MLT - PLB)'!AO$99</f>
        <v>16.216216216216218</v>
      </c>
      <c r="C13" s="125" t="str">
        <f>IF(AND('Random-Controlled (MLT - PLB)'!AN$98&gt;0,'Random-Controlled (MLT - PLB)'!AN$98&lt;&gt;"", 'Random-Controlled (MLT - PLB)'!AN$99&gt;0,'Random-Controlled (MLT - PLB)'!AN$99&lt;&gt;""),'Random-Controlled (MLT - PLB)'!AN$98&amp;"/"&amp;'Random-Controlled (MLT - PLB)'!AN$99,"-")</f>
        <v>6/37</v>
      </c>
      <c r="D13" s="128">
        <f>IF(AND('Random-Controlled (MLT - PLB)'!AO$98&lt;&gt;0, 'Random-Controlled (MLT - PLB)'!AO$98 &lt;&gt;""), 'Random-Controlled (MLT - PLB)'!AO$98, "-")</f>
        <v>0.22848438690022849</v>
      </c>
      <c r="E13" s="129" t="str">
        <f>IF(AND('Random-Controlled (MLT - PLB)'!AN$98&gt;0,'Random-Controlled (MLT - PLB)'!AN$98&lt;&gt;""),'Random-Controlled (MLT - PLB)'!AN$98&amp;"/"&amp;'Random-Controlled (MLT - PLB)'!$I$98,"-")</f>
        <v>6/2626</v>
      </c>
      <c r="F13" s="745" t="str">
        <f t="shared" si="0"/>
        <v/>
      </c>
      <c r="G13" s="658"/>
      <c r="H13" s="658"/>
      <c r="I13" s="658"/>
      <c r="J13" s="658"/>
      <c r="K13" s="658"/>
      <c r="L13" s="658"/>
      <c r="M13" s="746"/>
    </row>
    <row r="14" spans="1:13" ht="22" customHeight="1" x14ac:dyDescent="0.25">
      <c r="A14" s="118" t="s">
        <v>465</v>
      </c>
      <c r="B14" s="124">
        <f>'Random-Controlled (MLT - PLB)'!AS$99</f>
        <v>11.51685393258427</v>
      </c>
      <c r="C14" s="125" t="str">
        <f>IF(AND('Random-Controlled (MLT - PLB)'!AR$98&gt;0,'Random-Controlled (MLT - PLB)'!AR$98&lt;&gt;"", 'Random-Controlled (MLT - PLB)'!AR$99&gt;0,'Random-Controlled (MLT - PLB)'!AR$99&lt;&gt;""),'Random-Controlled (MLT - PLB)'!AR$98&amp;"/"&amp;'Random-Controlled (MLT - PLB)'!AR$99,"-")</f>
        <v>41/356</v>
      </c>
      <c r="D14" s="128">
        <f>IF(AND('Random-Controlled (MLT - PLB)'!AS$98&lt;&gt;0, 'Random-Controlled (MLT - PLB)'!AS$98 &lt;&gt;""), 'Random-Controlled (MLT - PLB)'!AS$98, "-")</f>
        <v>1.5613099771515613</v>
      </c>
      <c r="E14" s="129" t="str">
        <f>IF(AND('Random-Controlled (MLT - PLB)'!AR$98&gt;0,'Random-Controlled (MLT - PLB)'!AR$98&lt;&gt;""),'Random-Controlled (MLT - PLB)'!AR$98&amp;"/"&amp;'Random-Controlled (MLT - PLB)'!$I$98,"-")</f>
        <v>41/2626</v>
      </c>
      <c r="F14" s="745" t="str">
        <f t="shared" si="0"/>
        <v/>
      </c>
      <c r="G14" s="658"/>
      <c r="H14" s="658"/>
      <c r="I14" s="658"/>
      <c r="J14" s="658"/>
      <c r="K14" s="658"/>
      <c r="L14" s="658"/>
      <c r="M14" s="746"/>
    </row>
    <row r="15" spans="1:13" ht="22" customHeight="1" x14ac:dyDescent="0.25">
      <c r="A15" s="118" t="s">
        <v>158</v>
      </c>
      <c r="B15" s="124">
        <f>'Random-Controlled (MLT - PLB)'!AW$99</f>
        <v>7.9872204472843444</v>
      </c>
      <c r="C15" s="125" t="str">
        <f>IF(AND('Random-Controlled (MLT - PLB)'!AV$98&gt;0,'Random-Controlled (MLT - PLB)'!AV$98&lt;&gt;"", 'Random-Controlled (MLT - PLB)'!AV$99&gt;0,'Random-Controlled (MLT - PLB)'!AV$99&lt;&gt;""),'Random-Controlled (MLT - PLB)'!AV$98&amp;"/"&amp;'Random-Controlled (MLT - PLB)'!AV$99,"-")</f>
        <v>25/313</v>
      </c>
      <c r="D15" s="128">
        <f>IF(AND('Random-Controlled (MLT - PLB)'!AW$98&lt;&gt;0, 'Random-Controlled (MLT - PLB)'!AW$98 &lt;&gt;""), 'Random-Controlled (MLT - PLB)'!AW$98, "-")</f>
        <v>0.95201827875095202</v>
      </c>
      <c r="E15" s="129" t="str">
        <f>IF(AND('Random-Controlled (MLT - PLB)'!AV$98&gt;0,'Random-Controlled (MLT - PLB)'!AV$98&lt;&gt;""),'Random-Controlled (MLT - PLB)'!AV$98&amp;"/"&amp;'Random-Controlled (MLT - PLB)'!$I$98,"-")</f>
        <v>25/2626</v>
      </c>
      <c r="F15" s="745" t="str">
        <f t="shared" si="0"/>
        <v/>
      </c>
      <c r="G15" s="658"/>
      <c r="H15" s="658"/>
      <c r="I15" s="658"/>
      <c r="J15" s="658"/>
      <c r="K15" s="658"/>
      <c r="L15" s="658"/>
      <c r="M15" s="746"/>
    </row>
    <row r="16" spans="1:13" ht="22" customHeight="1" x14ac:dyDescent="0.25">
      <c r="A16" s="118" t="s">
        <v>466</v>
      </c>
      <c r="B16" s="124">
        <f>'Random-Controlled (MLT - PLB)'!BE$99</f>
        <v>7.4074074074074066</v>
      </c>
      <c r="C16" s="125" t="str">
        <f>IF(AND('Random-Controlled (MLT - PLB)'!BD$98&gt;0,'Random-Controlled (MLT - PLB)'!BD$98&lt;&gt;"", 'Random-Controlled (MLT - PLB)'!BD$99&gt;0,'Random-Controlled (MLT - PLB)'!BD$99&lt;&gt;""),'Random-Controlled (MLT - PLB)'!BD$98&amp;"/"&amp;'Random-Controlled (MLT - PLB)'!BD$99,"-")</f>
        <v>2/27</v>
      </c>
      <c r="D16" s="128">
        <f>IF(AND('Random-Controlled (MLT - PLB)'!BE$98&lt;&gt;0, 'Random-Controlled (MLT - PLB)'!BE$98 &lt;&gt;""), 'Random-Controlled (MLT - PLB)'!BE$98, "-")</f>
        <v>7.6161462300076158E-2</v>
      </c>
      <c r="E16" s="129" t="str">
        <f>IF(AND('Random-Controlled (MLT - PLB)'!BD$98&gt;0,'Random-Controlled (MLT - PLB)'!BD$98&lt;&gt;""),'Random-Controlled (MLT - PLB)'!BD$98&amp;"/"&amp;'Random-Controlled (MLT - PLB)'!$I$98,"-")</f>
        <v>2/2626</v>
      </c>
      <c r="F16" s="745" t="str">
        <f t="shared" si="0"/>
        <v/>
      </c>
      <c r="G16" s="658"/>
      <c r="H16" s="658"/>
      <c r="I16" s="658"/>
      <c r="J16" s="658"/>
      <c r="K16" s="658"/>
      <c r="L16" s="658"/>
      <c r="M16" s="746"/>
    </row>
    <row r="17" spans="1:13" ht="22" customHeight="1" x14ac:dyDescent="0.25">
      <c r="A17" s="118" t="s">
        <v>163</v>
      </c>
      <c r="B17" s="124">
        <f>'Random-Controlled (MLT - PLB)'!BI$99</f>
        <v>6.557377049180328</v>
      </c>
      <c r="C17" s="125" t="str">
        <f>IF(AND('Random-Controlled (MLT - PLB)'!BH$98&gt;0,'Random-Controlled (MLT - PLB)'!BH$98&lt;&gt;"", 'Random-Controlled (MLT - PLB)'!BH$99&gt;0,'Random-Controlled (MLT - PLB)'!BH$99&lt;&gt;""),'Random-Controlled (MLT - PLB)'!BH$98&amp;"/"&amp;'Random-Controlled (MLT - PLB)'!BH$99,"-")</f>
        <v>4/61</v>
      </c>
      <c r="D17" s="128">
        <f>IF(AND('Random-Controlled (MLT - PLB)'!BI$98&lt;&gt;0, 'Random-Controlled (MLT - PLB)'!BI$98 &lt;&gt;""), 'Random-Controlled (MLT - PLB)'!BI$98, "-")</f>
        <v>0.15232292460015232</v>
      </c>
      <c r="E17" s="129" t="str">
        <f>IF(AND('Random-Controlled (MLT - PLB)'!BH$98&gt;0,'Random-Controlled (MLT - PLB)'!BH$98&lt;&gt;""),'Random-Controlled (MLT - PLB)'!BH$98&amp;"/"&amp;'Random-Controlled (MLT - PLB)'!$I$98,"-")</f>
        <v>4/2626</v>
      </c>
      <c r="F17" s="745" t="str">
        <f t="shared" si="0"/>
        <v/>
      </c>
      <c r="G17" s="658"/>
      <c r="H17" s="658"/>
      <c r="I17" s="658"/>
      <c r="J17" s="658"/>
      <c r="K17" s="658"/>
      <c r="L17" s="658"/>
      <c r="M17" s="746"/>
    </row>
    <row r="18" spans="1:13" ht="22" customHeight="1" x14ac:dyDescent="0.25">
      <c r="A18" s="118" t="s">
        <v>159</v>
      </c>
      <c r="B18" s="124">
        <f>'Random-Controlled (MLT - PLB)'!BM$99</f>
        <v>4.7413793103448274</v>
      </c>
      <c r="C18" s="125" t="str">
        <f>IF(AND('Random-Controlled (MLT - PLB)'!BL$98&gt;0,'Random-Controlled (MLT - PLB)'!BL$98&lt;&gt;"", 'Random-Controlled (MLT - PLB)'!BL$99&gt;0,'Random-Controlled (MLT - PLB)'!BL$99&lt;&gt;""),'Random-Controlled (MLT - PLB)'!BL$98&amp;"/"&amp;'Random-Controlled (MLT - PLB)'!BL$99,"-")</f>
        <v>11/232</v>
      </c>
      <c r="D18" s="128">
        <f>IF(AND('Random-Controlled (MLT - PLB)'!BM$98&lt;&gt;0, 'Random-Controlled (MLT - PLB)'!BM$98 &lt;&gt;""), 'Random-Controlled (MLT - PLB)'!BM$98, "-")</f>
        <v>0.41888804265041885</v>
      </c>
      <c r="E18" s="129" t="str">
        <f>IF(AND('Random-Controlled (MLT - PLB)'!BL$98&gt;0,'Random-Controlled (MLT - PLB)'!BL$98&lt;&gt;""),'Random-Controlled (MLT - PLB)'!BL$98&amp;"/"&amp;'Random-Controlled (MLT - PLB)'!$I$98,"-")</f>
        <v>11/2626</v>
      </c>
      <c r="F18" s="745" t="str">
        <f t="shared" si="0"/>
        <v/>
      </c>
      <c r="G18" s="658"/>
      <c r="H18" s="658"/>
      <c r="I18" s="658"/>
      <c r="J18" s="658"/>
      <c r="K18" s="658"/>
      <c r="L18" s="658"/>
      <c r="M18" s="746"/>
    </row>
    <row r="19" spans="1:13" ht="22" customHeight="1" x14ac:dyDescent="0.25">
      <c r="A19" s="118" t="s">
        <v>467</v>
      </c>
      <c r="B19" s="124">
        <f>'Random-Controlled (MLT - PLB)'!BQ$99</f>
        <v>4.2553191489361701</v>
      </c>
      <c r="C19" s="125" t="str">
        <f>IF(AND('Random-Controlled (MLT - PLB)'!BP$98&gt;0,'Random-Controlled (MLT - PLB)'!BP$98&lt;&gt;"", 'Random-Controlled (MLT - PLB)'!BP$99&gt;0,'Random-Controlled (MLT - PLB)'!BP$99&lt;&gt;""),'Random-Controlled (MLT - PLB)'!BP$98&amp;"/"&amp;'Random-Controlled (MLT - PLB)'!BP$99,"-")</f>
        <v>2/47</v>
      </c>
      <c r="D19" s="128">
        <f>IF(AND('Random-Controlled (MLT - PLB)'!BQ$98&lt;&gt;0, 'Random-Controlled (MLT - PLB)'!BQ$98 &lt;&gt;""), 'Random-Controlled (MLT - PLB)'!BQ$98, "-")</f>
        <v>7.6161462300076158E-2</v>
      </c>
      <c r="E19" s="129" t="str">
        <f>IF(AND('Random-Controlled (MLT - PLB)'!BP$98&gt;0,'Random-Controlled (MLT - PLB)'!BP$98&lt;&gt;""),'Random-Controlled (MLT - PLB)'!BP$98&amp;"/"&amp;'Random-Controlled (MLT - PLB)'!$I$98,"-")</f>
        <v>2/2626</v>
      </c>
      <c r="F19" s="745" t="str">
        <f t="shared" si="0"/>
        <v/>
      </c>
      <c r="G19" s="658"/>
      <c r="H19" s="658"/>
      <c r="I19" s="658"/>
      <c r="J19" s="658"/>
      <c r="K19" s="658"/>
      <c r="L19" s="658"/>
      <c r="M19" s="746"/>
    </row>
    <row r="20" spans="1:13" ht="22" customHeight="1" x14ac:dyDescent="0.25">
      <c r="A20" s="118" t="s">
        <v>160</v>
      </c>
      <c r="B20" s="124">
        <f>IF('Random-Controlled (MLT - PLB)'!BU$99&lt;&gt;"", 'Random-Controlled (MLT - PLB)'!BU$99, "-")</f>
        <v>5.2631578947368416</v>
      </c>
      <c r="C20" s="125" t="str">
        <f>IF(AND('Random-Controlled (MLT - PLB)'!BT$98&gt;0,'Random-Controlled (MLT - PLB)'!BT$98&lt;&gt;"", 'Random-Controlled (MLT - PLB)'!BT$99&gt;0,'Random-Controlled (MLT - PLB)'!BT$99&lt;&gt;""),'Random-Controlled (MLT - PLB)'!BT$98&amp;"/"&amp;'Random-Controlled (MLT - PLB)'!BT$99,"-")</f>
        <v>1/19</v>
      </c>
      <c r="D20" s="128">
        <f>IF(AND('Random-Controlled (MLT - PLB)'!BU$98&lt;&gt;0, 'Random-Controlled (MLT - PLB)'!BU$98 &lt;&gt;""), 'Random-Controlled (MLT - PLB)'!BU$98, "-")</f>
        <v>3.8080731150038079E-2</v>
      </c>
      <c r="E20" s="129" t="str">
        <f>IF(AND('Random-Controlled (MLT - PLB)'!BT$98&gt;0,'Random-Controlled (MLT - PLB)'!BT$98&lt;&gt;""),'Random-Controlled (MLT - PLB)'!BT$98&amp;"/"&amp;'Random-Controlled (MLT - PLB)'!$I$98,"-")</f>
        <v>1/2626</v>
      </c>
      <c r="F20" s="745" t="str">
        <f t="shared" si="0"/>
        <v/>
      </c>
      <c r="G20" s="658"/>
      <c r="H20" s="658"/>
      <c r="I20" s="658"/>
      <c r="J20" s="658"/>
      <c r="K20" s="658"/>
      <c r="L20" s="658"/>
      <c r="M20" s="746"/>
    </row>
    <row r="21" spans="1:13" ht="22" customHeight="1" x14ac:dyDescent="0.25">
      <c r="A21" s="118" t="s">
        <v>205</v>
      </c>
      <c r="B21" s="124" t="str">
        <f>IF('Random-Controlled (MLT - PLB)'!BY$99&lt;&gt;"", 'Random-Controlled (MLT - PLB)'!BY$99, "-")</f>
        <v>-</v>
      </c>
      <c r="C21" s="125" t="str">
        <f>IF(AND('Random-Controlled (MLT - PLB)'!BX$98&gt;0,'Random-Controlled (MLT - PLB)'!BX$98&lt;&gt;"", 'Random-Controlled (MLT - PLB)'!BX$99&gt;0,'Random-Controlled (MLT - PLB)'!BX$99&lt;&gt;""),'Random-Controlled (MLT - PLB)'!BX$98&amp;"/"&amp;'Random-Controlled (MLT - PLB)'!BX$99,"-")</f>
        <v>-</v>
      </c>
      <c r="D21" s="128" t="str">
        <f>IF(AND('Random-Controlled (MLT - PLB)'!BY$98&lt;&gt;0, 'Random-Controlled (MLT - PLB)'!BY$98&lt;&gt;""), 'Random-Controlled (MLT - PLB)'!BY$98, "-")</f>
        <v>-</v>
      </c>
      <c r="E21" s="129" t="str">
        <f>IF(AND('Random-Controlled (MLT - PLB)'!BX$98&gt;0,'Random-Controlled (MLT - PLB)'!BX$98&lt;&gt;""),'Random-Controlled (MLT - PLB)'!BX$98&amp;"/"&amp;'Random-Controlled (MLT - PLB)'!$I$98,"-")</f>
        <v>-</v>
      </c>
      <c r="F21" s="745" t="str">
        <f t="shared" si="0"/>
        <v>Incidence in placebo group equal or greater than incidence in melatonin group</v>
      </c>
      <c r="G21" s="658"/>
      <c r="H21" s="658"/>
      <c r="I21" s="658"/>
      <c r="J21" s="658"/>
      <c r="K21" s="658"/>
      <c r="L21" s="658"/>
      <c r="M21" s="746"/>
    </row>
    <row r="22" spans="1:13" ht="22" customHeight="1" x14ac:dyDescent="0.25">
      <c r="A22" s="118" t="s">
        <v>204</v>
      </c>
      <c r="B22" s="124">
        <f>IF('Random-Controlled (MLT - PLB)'!CC$99&lt;&gt;"", 'Random-Controlled (MLT - PLB)'!CC$99, "-")</f>
        <v>5.6603773584905666</v>
      </c>
      <c r="C22" s="125" t="str">
        <f>IF(AND('Random-Controlled (MLT - PLB)'!CB$98&gt;0,'Random-Controlled (MLT - PLB)'!CB$98&lt;&gt;"", 'Random-Controlled (MLT - PLB)'!CB$99&gt;0,'Random-Controlled (MLT - PLB)'!CB$99&lt;&gt;""),'Random-Controlled (MLT - PLB)'!CB$98&amp;"/"&amp;'Random-Controlled (MLT - PLB)'!CB$99,"-")</f>
        <v>3/53</v>
      </c>
      <c r="D22" s="128">
        <f>IF(AND('Random-Controlled (MLT - PLB)'!CC$98&lt;&gt;0, 'Random-Controlled (MLT - PLB)'!CC$98 &lt;&gt;""), 'Random-Controlled (MLT - PLB)'!CC$98, "-")</f>
        <v>0.11424219345011424</v>
      </c>
      <c r="E22" s="129" t="str">
        <f>IF(AND('Random-Controlled (MLT - PLB)'!CB$98&gt;0,'Random-Controlled (MLT - PLB)'!CB$98&lt;&gt;""),'Random-Controlled (MLT - PLB)'!CB$98&amp;"/"&amp;'Random-Controlled (MLT - PLB)'!$I$98,"-")</f>
        <v>3/2626</v>
      </c>
      <c r="F22" s="745" t="str">
        <f t="shared" si="0"/>
        <v/>
      </c>
      <c r="G22" s="658"/>
      <c r="H22" s="658"/>
      <c r="I22" s="658"/>
      <c r="J22" s="658"/>
      <c r="K22" s="658"/>
      <c r="L22" s="658"/>
      <c r="M22" s="746"/>
    </row>
    <row r="23" spans="1:13" ht="22" customHeight="1" x14ac:dyDescent="0.25">
      <c r="A23" s="118" t="s">
        <v>206</v>
      </c>
      <c r="B23" s="124" t="str">
        <f>IF('Random-Controlled (MLT - PLB)'!CG$99&lt;&gt;"", 'Random-Controlled (MLT - PLB)'!CG$99, "-")</f>
        <v>-</v>
      </c>
      <c r="C23" s="125" t="str">
        <f>IF(AND('Random-Controlled (MLT - PLB)'!CF$98&gt;0,'Random-Controlled (MLT - PLB)'!CF$98&lt;&gt;"", 'Random-Controlled (MLT - PLB)'!CF$99&gt;0,'Random-Controlled (MLT - PLB)'!CF$99&lt;&gt;""),'Random-Controlled (MLT - PLB)'!CF$98&amp;"/"&amp;'Random-Controlled (MLT - PLB)'!CF$99,"-")</f>
        <v>-</v>
      </c>
      <c r="D23" s="128" t="str">
        <f>IF(AND('Random-Controlled (MLT - PLB)'!CG$98&lt;&gt;0, 'Random-Controlled (MLT - PLB)'!CG$98 &lt;&gt;""), 'Random-Controlled (MLT - PLB)'!CG$98, "-")</f>
        <v>-</v>
      </c>
      <c r="E23" s="129" t="str">
        <f>IF(AND('Random-Controlled (MLT - PLB)'!CF$98&gt;0,'Random-Controlled (MLT - PLB)'!CF$98&lt;&gt;""),'Random-Controlled (MLT - PLB)'!CF$98&amp;"/"&amp;'Random-Controlled (MLT - PLB)'!$I$98,"-")</f>
        <v>-</v>
      </c>
      <c r="F23" s="745" t="str">
        <f t="shared" si="0"/>
        <v>Incidence in placebo group equal or greater than incidence in melatonin group</v>
      </c>
      <c r="G23" s="658"/>
      <c r="H23" s="658"/>
      <c r="I23" s="658"/>
      <c r="J23" s="658"/>
      <c r="K23" s="658"/>
      <c r="L23" s="658"/>
      <c r="M23" s="746"/>
    </row>
    <row r="24" spans="1:13" ht="22" customHeight="1" x14ac:dyDescent="0.25">
      <c r="A24" s="118" t="s">
        <v>201</v>
      </c>
      <c r="B24" s="124" t="str">
        <f>IF('Random-Controlled (MLT - PLB)'!CK$99&lt;&gt;"", 'Random-Controlled (MLT - PLB)'!CK$99, "-")</f>
        <v>-</v>
      </c>
      <c r="C24" s="125" t="str">
        <f>IF(AND('Random-Controlled (MLT - PLB)'!CJ$98&gt;0,'Random-Controlled (MLT - PLB)'!CJ$98&lt;&gt;"", 'Random-Controlled (MLT - PLB)'!CJ$99&gt;0,'Random-Controlled (MLT - PLB)'!CJ$99&lt;&gt;""),'Random-Controlled (MLT - PLB)'!CJ$98&amp;"/"&amp;'Random-Controlled (MLT - PLB)'!CJ$99,"-")</f>
        <v>-</v>
      </c>
      <c r="D24" s="128" t="str">
        <f>IF(AND('Random-Controlled (MLT - PLB)'!CK$98&lt;&gt;0, 'Random-Controlled (MLT - PLB)'!CK$98 &lt;&gt;""), 'Random-Controlled (MLT - PLB)'!CK$98, "-")</f>
        <v>-</v>
      </c>
      <c r="E24" s="129" t="str">
        <f>IF(AND('Random-Controlled (MLT - PLB)'!CJ$98&gt;0,'Random-Controlled (MLT - PLB)'!CJ$98&lt;&gt;""),'Random-Controlled (MLT - PLB)'!CJ$98&amp;"/"&amp;'Random-Controlled (MLT - PLB)'!$I$98,"-")</f>
        <v>-</v>
      </c>
      <c r="F24" s="745" t="str">
        <f t="shared" si="0"/>
        <v>Incidence in placebo group equal or greater than incidence in melatonin group</v>
      </c>
      <c r="G24" s="658"/>
      <c r="H24" s="658"/>
      <c r="I24" s="658"/>
      <c r="J24" s="658"/>
      <c r="K24" s="658"/>
      <c r="L24" s="658"/>
      <c r="M24" s="746"/>
    </row>
    <row r="25" spans="1:13" ht="22" customHeight="1" x14ac:dyDescent="0.25">
      <c r="A25" s="118" t="s">
        <v>161</v>
      </c>
      <c r="B25" s="124" t="str">
        <f>IF('Random-Controlled (MLT - PLB)'!CO$99&lt;&gt;"", 'Random-Controlled (MLT - PLB)'!CO$99, "-")</f>
        <v>-</v>
      </c>
      <c r="C25" s="125" t="str">
        <f>IF(AND('Random-Controlled (MLT - PLB)'!CN$98&gt;0,'Random-Controlled (MLT - PLB)'!CN$98&lt;&gt;"", 'Random-Controlled (MLT - PLB)'!CN$99&gt;0,'Random-Controlled (MLT - PLB)'!CN$99&lt;&gt;""),'Random-Controlled (MLT - PLB)'!CN$98&amp;"/"&amp;'Random-Controlled (MLT - PLB)'!CN$99,"-")</f>
        <v>-</v>
      </c>
      <c r="D25" s="128" t="str">
        <f>IF(AND('Random-Controlled (MLT - PLB)'!CO$98&lt;&gt;0, 'Random-Controlled (MLT - PLB)'!CO$98 &lt;&gt;""), 'Random-Controlled (MLT - PLB)'!CO$98, "-")</f>
        <v>-</v>
      </c>
      <c r="E25" s="129" t="str">
        <f>IF(AND('Random-Controlled (MLT - PLB)'!CN$98&gt;0,'Random-Controlled (MLT - PLB)'!CN$98&lt;&gt;""),'Random-Controlled (MLT - PLB)'!CN$98&amp;"/"&amp;'Random-Controlled (MLT - PLB)'!$I$98,"-")</f>
        <v>-</v>
      </c>
      <c r="F25" s="745" t="str">
        <f t="shared" si="0"/>
        <v>Incidence in placebo group equal or greater than incidence in melatonin group</v>
      </c>
      <c r="G25" s="658"/>
      <c r="H25" s="658"/>
      <c r="I25" s="658"/>
      <c r="J25" s="658"/>
      <c r="K25" s="658"/>
      <c r="L25" s="658"/>
      <c r="M25" s="746"/>
    </row>
    <row r="26" spans="1:13" ht="22" customHeight="1" x14ac:dyDescent="0.25">
      <c r="A26" s="118" t="s">
        <v>207</v>
      </c>
      <c r="B26" s="124">
        <f>IF('Random-Controlled (MLT - PLB)'!U$99&lt;&gt;"", 'Random-Controlled (MLT - PLB)'!U$99, "-")</f>
        <v>46.401985111662533</v>
      </c>
      <c r="C26" s="125" t="str">
        <f>IF(AND('Random-Controlled (MLT - PLB)'!T$98&gt;0,'Random-Controlled (MLT - PLB)'!T$98&lt;&gt;"", 'Random-Controlled (MLT - PLB)'!T$99&gt;0,'Random-Controlled (MLT - PLB)'!T$99&lt;&gt;""),'Random-Controlled (MLT - PLB)'!T$98&amp;"/"&amp;'Random-Controlled (MLT - PLB)'!T$99,"-")</f>
        <v>187/403</v>
      </c>
      <c r="D26" s="128">
        <f>IF(AND('Random-Controlled (MLT - PLB)'!U$98&lt;&gt;0, 'Random-Controlled (MLT - PLB)'!U$98 &lt;&gt;""), 'Random-Controlled (MLT - PLB)'!U$98, "-")</f>
        <v>7.1210967250571215</v>
      </c>
      <c r="E26" s="129" t="str">
        <f>IF(AND('Random-Controlled (MLT - PLB)'!T$98&gt;0,'Random-Controlled (MLT - PLB)'!T$98&lt;&gt;""),'Random-Controlled (MLT - PLB)'!T$98&amp;"/"&amp;'Random-Controlled (MLT - PLB)'!$I$98,"")</f>
        <v>187/2626</v>
      </c>
      <c r="F26" s="745" t="str">
        <f t="shared" si="0"/>
        <v/>
      </c>
      <c r="G26" s="658"/>
      <c r="H26" s="658"/>
      <c r="I26" s="658"/>
      <c r="J26" s="658"/>
      <c r="K26" s="658"/>
      <c r="L26" s="658"/>
      <c r="M26" s="746"/>
    </row>
    <row r="27" spans="1:13" ht="22" customHeight="1" thickBot="1" x14ac:dyDescent="0.3">
      <c r="A27" s="738" t="s">
        <v>371</v>
      </c>
      <c r="B27" s="126">
        <f>IF('Random-Controlled (MLT - PLB)'!BA$99&lt;&gt;"", 'Random-Controlled (MLT - PLB)'!BA$99, "-")</f>
        <v>11.968348170128586</v>
      </c>
      <c r="C27" s="127" t="str">
        <f>IF(AND('Random-Controlled (MLT - PLB)'!AZ$98&gt;0,'Random-Controlled (MLT - PLB)'!AZ$98&lt;&gt;"", 'Random-Controlled (MLT - PLB)'!AZ$99&gt;0,'Random-Controlled (MLT - PLB)'!AZ$99&lt;&gt;""),'Random-Controlled (MLT - PLB)'!AZ$98&amp;"/"&amp;'Random-Controlled (MLT - PLB)'!AZ$99,"-")</f>
        <v>121/1011</v>
      </c>
      <c r="D27" s="130">
        <f>IF(AND('Random-Controlled (MLT - PLB)'!BA$98&lt;&gt;0, 'Random-Controlled (MLT - PLB)'!BA$98 &lt;&gt;""), 'Random-Controlled (MLT - PLB)'!BA$98, "-")</f>
        <v>4.6077684691546077</v>
      </c>
      <c r="E27" s="131" t="str">
        <f>IF(AND('Random-Controlled (MLT - PLB)'!AZ$98&gt;0,'Random-Controlled (MLT - PLB)'!AZ$98&lt;&gt;""),'Random-Controlled (MLT - PLB)'!AZ$98&amp;"/"&amp;'Random-Controlled (MLT - PLB)'!$I$98,"")</f>
        <v>121/2626</v>
      </c>
      <c r="F27" s="739" t="str">
        <f t="shared" si="0"/>
        <v/>
      </c>
      <c r="G27" s="740"/>
      <c r="H27" s="740"/>
      <c r="I27" s="740"/>
      <c r="J27" s="740"/>
      <c r="K27" s="740"/>
      <c r="L27" s="740"/>
      <c r="M27" s="741"/>
    </row>
    <row r="28" spans="1:13" x14ac:dyDescent="0.25">
      <c r="B28" s="116" t="s">
        <v>550</v>
      </c>
    </row>
    <row r="29" spans="1:13" x14ac:dyDescent="0.25">
      <c r="B29" s="116" t="s">
        <v>549</v>
      </c>
    </row>
    <row r="31" spans="1:13" ht="20" thickBot="1" x14ac:dyDescent="0.3"/>
    <row r="32" spans="1:13" x14ac:dyDescent="0.25">
      <c r="A32" s="659" t="s">
        <v>469</v>
      </c>
      <c r="B32" s="660"/>
      <c r="C32" s="661"/>
      <c r="D32"/>
      <c r="E32"/>
      <c r="F32"/>
      <c r="G32"/>
      <c r="H32"/>
      <c r="I32"/>
      <c r="J32"/>
      <c r="K32"/>
      <c r="L32"/>
      <c r="M32"/>
    </row>
    <row r="33" spans="1:13" x14ac:dyDescent="0.25">
      <c r="A33" s="662"/>
      <c r="B33" s="663"/>
      <c r="C33" s="664"/>
      <c r="D33"/>
      <c r="E33"/>
      <c r="F33"/>
      <c r="G33"/>
      <c r="H33"/>
      <c r="I33"/>
      <c r="J33"/>
      <c r="K33"/>
      <c r="L33"/>
      <c r="M33"/>
    </row>
    <row r="34" spans="1:13" ht="20" thickBot="1" x14ac:dyDescent="0.3">
      <c r="A34" s="665"/>
      <c r="B34" s="666"/>
      <c r="C34" s="667"/>
    </row>
    <row r="35" spans="1:13" ht="20" thickBot="1" x14ac:dyDescent="0.3"/>
    <row r="36" spans="1:13" ht="77" thickBot="1" x14ac:dyDescent="0.3">
      <c r="A36" s="120" t="s">
        <v>460</v>
      </c>
      <c r="B36" s="121" t="s">
        <v>574</v>
      </c>
      <c r="C36" s="122" t="s">
        <v>572</v>
      </c>
      <c r="D36" s="134" t="s">
        <v>575</v>
      </c>
      <c r="E36" s="135" t="s">
        <v>573</v>
      </c>
      <c r="F36" s="668" t="s">
        <v>25</v>
      </c>
      <c r="G36" s="668"/>
      <c r="H36" s="668"/>
      <c r="I36" s="668"/>
      <c r="J36" s="668"/>
      <c r="K36" s="668"/>
      <c r="L36" s="668"/>
      <c r="M36" s="669"/>
    </row>
    <row r="37" spans="1:13" ht="22" customHeight="1" x14ac:dyDescent="0.25">
      <c r="A37" s="119" t="s">
        <v>461</v>
      </c>
      <c r="B37" s="123">
        <f>'Random-Controlled (MLT - PLB)'!M128</f>
        <v>0</v>
      </c>
      <c r="C37" s="136" t="str">
        <f>IF(AND('Random-Controlled (MLT - PLB)'!L$98&gt;0,'Random-Controlled (MLT - PLB)'!L$98&lt;&gt;"", 'Random-Controlled (MLT - PLB)'!L$99&gt;0,'Random-Controlled (MLT - PLB)'!L$99&lt;&gt;""),'Random-Controlled (MLT - PLB)'!L$98&amp;"/"&amp;'Random-Controlled (MLT - PLB)'!L$99,"-")</f>
        <v>5/8</v>
      </c>
      <c r="D37" s="132">
        <f>IF(AND('Random-Controlled (MLT - PLB)'!M$98&lt;&gt;0, 'Random-Controlled (MLT - PLB)'!M$98 &lt;&gt;""), 'Random-Controlled (MLT - PLB)'!M$98, "-")</f>
        <v>0.19040365575019041</v>
      </c>
      <c r="E37" s="133" t="str">
        <f>IF(AND('Random-Controlled (MLT - PLB)'!L$98&gt;0,'Random-Controlled (MLT - PLB)'!L$98&lt;&gt;""),'Random-Controlled (MLT - PLB)'!L$98&amp;"/"&amp;'Random-Controlled (MLT - PLB)'!$I$98,"-")</f>
        <v>5/2626</v>
      </c>
      <c r="F37" s="742" t="str">
        <f t="shared" ref="F37:F57" si="1">IF(AND(B37="-", C37="-", D37="-", E37="-"), "Incidence in placebo group equal or greater than incidence in melatonin group", "")</f>
        <v/>
      </c>
      <c r="G37" s="743"/>
      <c r="H37" s="743"/>
      <c r="I37" s="743"/>
      <c r="J37" s="743"/>
      <c r="K37" s="743"/>
      <c r="L37" s="743"/>
      <c r="M37" s="744"/>
    </row>
    <row r="38" spans="1:13" ht="22" customHeight="1" x14ac:dyDescent="0.25">
      <c r="A38" s="118" t="s">
        <v>462</v>
      </c>
      <c r="B38" s="124">
        <f>'Random-Controlled (MLT - PLB)'!Q128</f>
        <v>0</v>
      </c>
      <c r="C38" s="125" t="str">
        <f>IF(AND('Random-Controlled (MLT - PLB)'!P$98&gt;0,'Random-Controlled (MLT - PLB)'!P$98&lt;&gt;"", 'Random-Controlled (MLT - PLB)'!P$99&gt;0,'Random-Controlled (MLT - PLB)'!P$99&lt;&gt;""),'Random-Controlled (MLT - PLB)'!P$98&amp;"/"&amp;'Random-Controlled (MLT - PLB)'!P$99,"-")</f>
        <v>28/130</v>
      </c>
      <c r="D38" s="128">
        <f>IF(AND('Random-Controlled (MLT - PLB)'!Q$98&lt;&gt;0, 'Random-Controlled (MLT - PLB)'!Q$98 &lt;&gt;""), 'Random-Controlled (MLT - PLB)'!Q$98, "-")</f>
        <v>1.0662604722010662</v>
      </c>
      <c r="E38" s="129" t="str">
        <f>IF(AND('Random-Controlled (MLT - PLB)'!P$98&gt;0,'Random-Controlled (MLT - PLB)'!P$98&lt;&gt;""),'Random-Controlled (MLT - PLB)'!P$98&amp;"/"&amp;'Random-Controlled (MLT - PLB)'!$I$98,"-")</f>
        <v>28/2626</v>
      </c>
      <c r="F38" s="745" t="str">
        <f t="shared" si="1"/>
        <v/>
      </c>
      <c r="G38" s="658"/>
      <c r="H38" s="658"/>
      <c r="I38" s="658"/>
      <c r="J38" s="658"/>
      <c r="K38" s="658"/>
      <c r="L38" s="658"/>
      <c r="M38" s="746"/>
    </row>
    <row r="39" spans="1:13" ht="22" customHeight="1" x14ac:dyDescent="0.25">
      <c r="A39" s="118" t="s">
        <v>171</v>
      </c>
      <c r="B39" s="124">
        <f>'Random-Controlled (MLT - PLB)'!Y128</f>
        <v>0</v>
      </c>
      <c r="C39" s="125" t="str">
        <f>IF(AND('Random-Controlled (MLT - PLB)'!X$98&gt;0,'Random-Controlled (MLT - PLB)'!X$98&lt;&gt;"", 'Random-Controlled (MLT - PLB)'!X$99&gt;0,'Random-Controlled (MLT - PLB)'!X$99&lt;&gt;""),'Random-Controlled (MLT - PLB)'!X$98&amp;"/"&amp;'Random-Controlled (MLT - PLB)'!X$99,"-")</f>
        <v>2/8</v>
      </c>
      <c r="D39" s="128">
        <f>IF(AND('Random-Controlled (MLT - PLB)'!Y$98&lt;&gt;0, 'Random-Controlled (MLT - PLB)'!Y$98 &lt;&gt;""), 'Random-Controlled (MLT - PLB)'!Y$98, "-")</f>
        <v>7.6161462300076158E-2</v>
      </c>
      <c r="E39" s="129" t="str">
        <f>IF(AND('Random-Controlled (MLT - PLB)'!X$98&gt;0,'Random-Controlled (MLT - PLB)'!X$98&lt;&gt;""),'Random-Controlled (MLT - PLB)'!X$98&amp;"/"&amp;'Random-Controlled (MLT - PLB)'!$I$98,"-")</f>
        <v>2/2626</v>
      </c>
      <c r="F39" s="745" t="str">
        <f t="shared" si="1"/>
        <v/>
      </c>
      <c r="G39" s="658"/>
      <c r="H39" s="658"/>
      <c r="I39" s="658"/>
      <c r="J39" s="658"/>
      <c r="K39" s="658"/>
      <c r="L39" s="658"/>
      <c r="M39" s="746"/>
    </row>
    <row r="40" spans="1:13" ht="22" customHeight="1" x14ac:dyDescent="0.25">
      <c r="A40" s="118" t="s">
        <v>464</v>
      </c>
      <c r="B40" s="124">
        <f>'Random-Controlled (MLT - PLB)'!AC128</f>
        <v>0</v>
      </c>
      <c r="C40" s="125" t="str">
        <f>IF(AND('Random-Controlled (MLT - PLB)'!AB$98&gt;0,'Random-Controlled (MLT - PLB)'!AB$98&lt;&gt;"", 'Random-Controlled (MLT - PLB)'!AB$99&gt;0,'Random-Controlled (MLT - PLB)'!AB$99&lt;&gt;""),'Random-Controlled (MLT - PLB)'!AB$98&amp;"/"&amp;'Random-Controlled (MLT - PLB)'!AB$99,"-")</f>
        <v>61/324</v>
      </c>
      <c r="D40" s="128">
        <f>IF(AND('Random-Controlled (MLT - PLB)'!AC$98&lt;&gt;0, 'Random-Controlled (MLT - PLB)'!AC$98 &lt;&gt;""), 'Random-Controlled (MLT - PLB)'!AC$98, "-")</f>
        <v>2.3229246001523229</v>
      </c>
      <c r="E40" s="129" t="str">
        <f>IF(AND('Random-Controlled (MLT - PLB)'!AB$98&gt;0,'Random-Controlled (MLT - PLB)'!AB$98&lt;&gt;""),'Random-Controlled (MLT - PLB)'!AB$98&amp;"/"&amp;'Random-Controlled (MLT - PLB)'!$I$98,"-")</f>
        <v>61/2626</v>
      </c>
      <c r="F40" s="745" t="str">
        <f t="shared" si="1"/>
        <v/>
      </c>
      <c r="G40" s="658"/>
      <c r="H40" s="658"/>
      <c r="I40" s="658"/>
      <c r="J40" s="658"/>
      <c r="K40" s="658"/>
      <c r="L40" s="658"/>
      <c r="M40" s="746"/>
    </row>
    <row r="41" spans="1:13" ht="22" customHeight="1" x14ac:dyDescent="0.25">
      <c r="A41" s="118" t="s">
        <v>463</v>
      </c>
      <c r="B41" s="124">
        <f>'Random-Controlled (MLT - PLB)'!AG$99</f>
        <v>18.584070796460178</v>
      </c>
      <c r="C41" s="125" t="str">
        <f>IF(AND('Random-Controlled (MLT - PLB)'!AF$98&gt;0,'Random-Controlled (MLT - PLB)'!AF$98&lt;&gt;"", 'Random-Controlled (MLT - PLB)'!AF$99&gt;0,'Random-Controlled (MLT - PLB)'!AF$99&lt;&gt;""),'Random-Controlled (MLT - PLB)'!AF$98&amp;"/"&amp;'Random-Controlled (MLT - PLB)'!AF$99,"-")</f>
        <v>42/226</v>
      </c>
      <c r="D41" s="128">
        <f>IF(AND('Random-Controlled (MLT - PLB)'!AG$98&lt;&gt;0, 'Random-Controlled (MLT - PLB)'!AG$98 &lt;&gt;""), 'Random-Controlled (MLT - PLB)'!AG$98, "-")</f>
        <v>1.5993907083015995</v>
      </c>
      <c r="E41" s="129" t="str">
        <f>IF(AND('Random-Controlled (MLT - PLB)'!AF$98&gt;0,'Random-Controlled (MLT - PLB)'!AF$98&lt;&gt;""),'Random-Controlled (MLT - PLB)'!AF$98&amp;"/"&amp;'Random-Controlled (MLT - PLB)'!$I$98,"-")</f>
        <v>42/2626</v>
      </c>
      <c r="F41" s="745" t="str">
        <f t="shared" si="1"/>
        <v/>
      </c>
      <c r="G41" s="658"/>
      <c r="H41" s="658"/>
      <c r="I41" s="658"/>
      <c r="J41" s="658"/>
      <c r="K41" s="658"/>
      <c r="L41" s="658"/>
      <c r="M41" s="746"/>
    </row>
    <row r="42" spans="1:13" ht="22" customHeight="1" x14ac:dyDescent="0.25">
      <c r="A42" s="118" t="s">
        <v>170</v>
      </c>
      <c r="B42" s="124">
        <f>'Random-Controlled (MLT - PLB)'!AK$99</f>
        <v>12.5</v>
      </c>
      <c r="C42" s="125" t="str">
        <f>IF(AND('Random-Controlled (MLT - PLB)'!AJ$98&gt;0,'Random-Controlled (MLT - PLB)'!AJ$98&lt;&gt;"", 'Random-Controlled (MLT - PLB)'!AJ$99&gt;0,'Random-Controlled (MLT - PLB)'!AJ$99&lt;&gt;""),'Random-Controlled (MLT - PLB)'!AJ$98&amp;"/"&amp;'Random-Controlled (MLT - PLB)'!AJ$99,"-")</f>
        <v>1/8</v>
      </c>
      <c r="D42" s="128">
        <f>IF(AND('Random-Controlled (MLT - PLB)'!AK$98&lt;&gt;0, 'Random-Controlled (MLT - PLB)'!AK$98 &lt;&gt;""), 'Random-Controlled (MLT - PLB)'!AK$98, "-")</f>
        <v>3.8080731150038079E-2</v>
      </c>
      <c r="E42" s="129" t="str">
        <f>IF(AND('Random-Controlled (MLT - PLB)'!AJ$98&gt;0,'Random-Controlled (MLT - PLB)'!AJ$98&lt;&gt;""),'Random-Controlled (MLT - PLB)'!AJ$98&amp;"/"&amp;'Random-Controlled (MLT - PLB)'!$I$98,"-")</f>
        <v>1/2626</v>
      </c>
      <c r="F42" s="745" t="str">
        <f t="shared" si="1"/>
        <v/>
      </c>
      <c r="G42" s="658"/>
      <c r="H42" s="658"/>
      <c r="I42" s="658"/>
      <c r="J42" s="658"/>
      <c r="K42" s="658"/>
      <c r="L42" s="658"/>
      <c r="M42" s="746"/>
    </row>
    <row r="43" spans="1:13" ht="22" customHeight="1" x14ac:dyDescent="0.25">
      <c r="A43" s="118" t="s">
        <v>173</v>
      </c>
      <c r="B43" s="124">
        <f>'Random-Controlled (MLT - PLB)'!AO$99</f>
        <v>16.216216216216218</v>
      </c>
      <c r="C43" s="125" t="str">
        <f>IF(AND('Random-Controlled (MLT - PLB)'!AN$98&gt;0,'Random-Controlled (MLT - PLB)'!AN$98&lt;&gt;"", 'Random-Controlled (MLT - PLB)'!AN$99&gt;0,'Random-Controlled (MLT - PLB)'!AN$99&lt;&gt;""),'Random-Controlled (MLT - PLB)'!AN$98&amp;"/"&amp;'Random-Controlled (MLT - PLB)'!AN$99,"-")</f>
        <v>6/37</v>
      </c>
      <c r="D43" s="128">
        <f>IF(AND('Random-Controlled (MLT - PLB)'!AO$98&lt;&gt;0, 'Random-Controlled (MLT - PLB)'!AO$98 &lt;&gt;""), 'Random-Controlled (MLT - PLB)'!AO$98, "-")</f>
        <v>0.22848438690022849</v>
      </c>
      <c r="E43" s="129" t="str">
        <f>IF(AND('Random-Controlled (MLT - PLB)'!AN$98&gt;0,'Random-Controlled (MLT - PLB)'!AN$98&lt;&gt;""),'Random-Controlled (MLT - PLB)'!AN$98&amp;"/"&amp;'Random-Controlled (MLT - PLB)'!$I$98,"-")</f>
        <v>6/2626</v>
      </c>
      <c r="F43" s="745" t="str">
        <f t="shared" si="1"/>
        <v/>
      </c>
      <c r="G43" s="658"/>
      <c r="H43" s="658"/>
      <c r="I43" s="658"/>
      <c r="J43" s="658"/>
      <c r="K43" s="658"/>
      <c r="L43" s="658"/>
      <c r="M43" s="746"/>
    </row>
    <row r="44" spans="1:13" ht="22" customHeight="1" x14ac:dyDescent="0.25">
      <c r="A44" s="118" t="s">
        <v>465</v>
      </c>
      <c r="B44" s="124">
        <f>'Random-Controlled (MLT - PLB)'!AS$99</f>
        <v>11.51685393258427</v>
      </c>
      <c r="C44" s="125" t="str">
        <f>IF(AND('Random-Controlled (MLT - PLB)'!AR$98&gt;0,'Random-Controlled (MLT - PLB)'!AR$98&lt;&gt;"", 'Random-Controlled (MLT - PLB)'!AR$99&gt;0,'Random-Controlled (MLT - PLB)'!AR$99&lt;&gt;""),'Random-Controlled (MLT - PLB)'!AR$98&amp;"/"&amp;'Random-Controlled (MLT - PLB)'!AR$99,"-")</f>
        <v>41/356</v>
      </c>
      <c r="D44" s="128">
        <f>IF(AND('Random-Controlled (MLT - PLB)'!AS$98&lt;&gt;0, 'Random-Controlled (MLT - PLB)'!AS$98 &lt;&gt;""), 'Random-Controlled (MLT - PLB)'!AS$98, "-")</f>
        <v>1.5613099771515613</v>
      </c>
      <c r="E44" s="129" t="str">
        <f>IF(AND('Random-Controlled (MLT - PLB)'!AR$98&gt;0,'Random-Controlled (MLT - PLB)'!AR$98&lt;&gt;""),'Random-Controlled (MLT - PLB)'!AR$98&amp;"/"&amp;'Random-Controlled (MLT - PLB)'!$I$98,"-")</f>
        <v>41/2626</v>
      </c>
      <c r="F44" s="745" t="str">
        <f t="shared" si="1"/>
        <v/>
      </c>
      <c r="G44" s="658"/>
      <c r="H44" s="658"/>
      <c r="I44" s="658"/>
      <c r="J44" s="658"/>
      <c r="K44" s="658"/>
      <c r="L44" s="658"/>
      <c r="M44" s="746"/>
    </row>
    <row r="45" spans="1:13" ht="22" customHeight="1" x14ac:dyDescent="0.25">
      <c r="A45" s="118" t="s">
        <v>158</v>
      </c>
      <c r="B45" s="124">
        <f>'Random-Controlled (MLT - PLB)'!AW$99</f>
        <v>7.9872204472843444</v>
      </c>
      <c r="C45" s="125" t="str">
        <f>IF(AND('Random-Controlled (MLT - PLB)'!AV$98&gt;0,'Random-Controlled (MLT - PLB)'!AV$98&lt;&gt;"", 'Random-Controlled (MLT - PLB)'!AV$99&gt;0,'Random-Controlled (MLT - PLB)'!AV$99&lt;&gt;""),'Random-Controlled (MLT - PLB)'!AV$98&amp;"/"&amp;'Random-Controlled (MLT - PLB)'!AV$99,"-")</f>
        <v>25/313</v>
      </c>
      <c r="D45" s="128">
        <f>IF(AND('Random-Controlled (MLT - PLB)'!AW$98&lt;&gt;0, 'Random-Controlled (MLT - PLB)'!AW$98 &lt;&gt;""), 'Random-Controlled (MLT - PLB)'!AW$98, "-")</f>
        <v>0.95201827875095202</v>
      </c>
      <c r="E45" s="129" t="str">
        <f>IF(AND('Random-Controlled (MLT - PLB)'!AV$98&gt;0,'Random-Controlled (MLT - PLB)'!AV$98&lt;&gt;""),'Random-Controlled (MLT - PLB)'!AV$98&amp;"/"&amp;'Random-Controlled (MLT - PLB)'!$I$98,"-")</f>
        <v>25/2626</v>
      </c>
      <c r="F45" s="745" t="str">
        <f t="shared" si="1"/>
        <v/>
      </c>
      <c r="G45" s="658"/>
      <c r="H45" s="658"/>
      <c r="I45" s="658"/>
      <c r="J45" s="658"/>
      <c r="K45" s="658"/>
      <c r="L45" s="658"/>
      <c r="M45" s="746"/>
    </row>
    <row r="46" spans="1:13" ht="22" customHeight="1" x14ac:dyDescent="0.25">
      <c r="A46" s="118" t="s">
        <v>466</v>
      </c>
      <c r="B46" s="124">
        <f>'Random-Controlled (MLT - PLB)'!BE$99</f>
        <v>7.4074074074074066</v>
      </c>
      <c r="C46" s="125" t="str">
        <f>IF(AND('Random-Controlled (MLT - PLB)'!BD$98&gt;0,'Random-Controlled (MLT - PLB)'!BD$98&lt;&gt;"", 'Random-Controlled (MLT - PLB)'!BD$99&gt;0,'Random-Controlled (MLT - PLB)'!BD$99&lt;&gt;""),'Random-Controlled (MLT - PLB)'!BD$98&amp;"/"&amp;'Random-Controlled (MLT - PLB)'!BD$99,"-")</f>
        <v>2/27</v>
      </c>
      <c r="D46" s="128">
        <f>IF(AND('Random-Controlled (MLT - PLB)'!BE$98&lt;&gt;0, 'Random-Controlled (MLT - PLB)'!BE$98 &lt;&gt;""), 'Random-Controlled (MLT - PLB)'!BE$98, "-")</f>
        <v>7.6161462300076158E-2</v>
      </c>
      <c r="E46" s="129" t="str">
        <f>IF(AND('Random-Controlled (MLT - PLB)'!BD$98&gt;0,'Random-Controlled (MLT - PLB)'!BD$98&lt;&gt;""),'Random-Controlled (MLT - PLB)'!BD$98&amp;"/"&amp;'Random-Controlled (MLT - PLB)'!$I$98,"-")</f>
        <v>2/2626</v>
      </c>
      <c r="F46" s="745" t="str">
        <f t="shared" si="1"/>
        <v/>
      </c>
      <c r="G46" s="658"/>
      <c r="H46" s="658"/>
      <c r="I46" s="658"/>
      <c r="J46" s="658"/>
      <c r="K46" s="658"/>
      <c r="L46" s="658"/>
      <c r="M46" s="746"/>
    </row>
    <row r="47" spans="1:13" ht="22" customHeight="1" x14ac:dyDescent="0.25">
      <c r="A47" s="118" t="s">
        <v>163</v>
      </c>
      <c r="B47" s="124">
        <f>'Random-Controlled (MLT - PLB)'!BI$99</f>
        <v>6.557377049180328</v>
      </c>
      <c r="C47" s="125" t="str">
        <f>IF(AND('Random-Controlled (MLT - PLB)'!BH$98&gt;0,'Random-Controlled (MLT - PLB)'!BH$98&lt;&gt;"", 'Random-Controlled (MLT - PLB)'!BH$99&gt;0,'Random-Controlled (MLT - PLB)'!BH$99&lt;&gt;""),'Random-Controlled (MLT - PLB)'!BH$98&amp;"/"&amp;'Random-Controlled (MLT - PLB)'!BH$99,"-")</f>
        <v>4/61</v>
      </c>
      <c r="D47" s="128">
        <f>IF(AND('Random-Controlled (MLT - PLB)'!BI$98&lt;&gt;0, 'Random-Controlled (MLT - PLB)'!BI$98 &lt;&gt;""), 'Random-Controlled (MLT - PLB)'!BI$98, "-")</f>
        <v>0.15232292460015232</v>
      </c>
      <c r="E47" s="129" t="str">
        <f>IF(AND('Random-Controlled (MLT - PLB)'!BH$98&gt;0,'Random-Controlled (MLT - PLB)'!BH$98&lt;&gt;""),'Random-Controlled (MLT - PLB)'!BH$98&amp;"/"&amp;'Random-Controlled (MLT - PLB)'!$I$98,"-")</f>
        <v>4/2626</v>
      </c>
      <c r="F47" s="745" t="str">
        <f t="shared" si="1"/>
        <v/>
      </c>
      <c r="G47" s="658"/>
      <c r="H47" s="658"/>
      <c r="I47" s="658"/>
      <c r="J47" s="658"/>
      <c r="K47" s="658"/>
      <c r="L47" s="658"/>
      <c r="M47" s="746"/>
    </row>
    <row r="48" spans="1:13" ht="22" customHeight="1" x14ac:dyDescent="0.25">
      <c r="A48" s="118" t="s">
        <v>159</v>
      </c>
      <c r="B48" s="124">
        <f>'Random-Controlled (MLT - PLB)'!BM$99</f>
        <v>4.7413793103448274</v>
      </c>
      <c r="C48" s="125" t="str">
        <f>IF(AND('Random-Controlled (MLT - PLB)'!BL$98&gt;0,'Random-Controlled (MLT - PLB)'!BL$98&lt;&gt;"", 'Random-Controlled (MLT - PLB)'!BL$99&gt;0,'Random-Controlled (MLT - PLB)'!BL$99&lt;&gt;""),'Random-Controlled (MLT - PLB)'!BL$98&amp;"/"&amp;'Random-Controlled (MLT - PLB)'!BL$99,"-")</f>
        <v>11/232</v>
      </c>
      <c r="D48" s="128">
        <f>IF(AND('Random-Controlled (MLT - PLB)'!BM$98&lt;&gt;0, 'Random-Controlled (MLT - PLB)'!BM$98 &lt;&gt;""), 'Random-Controlled (MLT - PLB)'!BM$98, "-")</f>
        <v>0.41888804265041885</v>
      </c>
      <c r="E48" s="129" t="str">
        <f>IF(AND('Random-Controlled (MLT - PLB)'!BL$98&gt;0,'Random-Controlled (MLT - PLB)'!BL$98&lt;&gt;""),'Random-Controlled (MLT - PLB)'!BL$98&amp;"/"&amp;'Random-Controlled (MLT - PLB)'!$I$98,"-")</f>
        <v>11/2626</v>
      </c>
      <c r="F48" s="745" t="str">
        <f t="shared" si="1"/>
        <v/>
      </c>
      <c r="G48" s="658"/>
      <c r="H48" s="658"/>
      <c r="I48" s="658"/>
      <c r="J48" s="658"/>
      <c r="K48" s="658"/>
      <c r="L48" s="658"/>
      <c r="M48" s="746"/>
    </row>
    <row r="49" spans="1:13" ht="22" customHeight="1" x14ac:dyDescent="0.25">
      <c r="A49" s="118" t="s">
        <v>467</v>
      </c>
      <c r="B49" s="124">
        <f>'Random-Controlled (MLT - PLB)'!BQ$99</f>
        <v>4.2553191489361701</v>
      </c>
      <c r="C49" s="125" t="str">
        <f>IF(AND('Random-Controlled (MLT - PLB)'!BP$98&gt;0,'Random-Controlled (MLT - PLB)'!BP$98&lt;&gt;"", 'Random-Controlled (MLT - PLB)'!BP$99&gt;0,'Random-Controlled (MLT - PLB)'!BP$99&lt;&gt;""),'Random-Controlled (MLT - PLB)'!BP$98&amp;"/"&amp;'Random-Controlled (MLT - PLB)'!BP$99,"-")</f>
        <v>2/47</v>
      </c>
      <c r="D49" s="128">
        <f>IF(AND('Random-Controlled (MLT - PLB)'!BQ$98&lt;&gt;0, 'Random-Controlled (MLT - PLB)'!BQ$98 &lt;&gt;""), 'Random-Controlled (MLT - PLB)'!BQ$98, "-")</f>
        <v>7.6161462300076158E-2</v>
      </c>
      <c r="E49" s="129" t="str">
        <f>IF(AND('Random-Controlled (MLT - PLB)'!BP$98&gt;0,'Random-Controlled (MLT - PLB)'!BP$98&lt;&gt;""),'Random-Controlled (MLT - PLB)'!BP$98&amp;"/"&amp;'Random-Controlled (MLT - PLB)'!$I$98,"-")</f>
        <v>2/2626</v>
      </c>
      <c r="F49" s="745" t="str">
        <f t="shared" si="1"/>
        <v/>
      </c>
      <c r="G49" s="658"/>
      <c r="H49" s="658"/>
      <c r="I49" s="658"/>
      <c r="J49" s="658"/>
      <c r="K49" s="658"/>
      <c r="L49" s="658"/>
      <c r="M49" s="746"/>
    </row>
    <row r="50" spans="1:13" ht="22" customHeight="1" x14ac:dyDescent="0.25">
      <c r="A50" s="118" t="s">
        <v>160</v>
      </c>
      <c r="B50" s="124">
        <f>IF('Random-Controlled (MLT - PLB)'!BU$99&lt;&gt;"", 'Random-Controlled (MLT - PLB)'!BU$99, "-")</f>
        <v>5.2631578947368416</v>
      </c>
      <c r="C50" s="125" t="str">
        <f>IF(AND('Random-Controlled (MLT - PLB)'!BT$98&gt;0,'Random-Controlled (MLT - PLB)'!BT$98&lt;&gt;"", 'Random-Controlled (MLT - PLB)'!BT$99&gt;0,'Random-Controlled (MLT - PLB)'!BT$99&lt;&gt;""),'Random-Controlled (MLT - PLB)'!BT$98&amp;"/"&amp;'Random-Controlled (MLT - PLB)'!BT$99,"-")</f>
        <v>1/19</v>
      </c>
      <c r="D50" s="128">
        <f>IF(AND('Random-Controlled (MLT - PLB)'!BU$98&lt;&gt;0, 'Random-Controlled (MLT - PLB)'!BU$98 &lt;&gt;""), 'Random-Controlled (MLT - PLB)'!BU$98, "-")</f>
        <v>3.8080731150038079E-2</v>
      </c>
      <c r="E50" s="129" t="str">
        <f>IF(AND('Random-Controlled (MLT - PLB)'!BT$98&gt;0,'Random-Controlled (MLT - PLB)'!BT$98&lt;&gt;""),'Random-Controlled (MLT - PLB)'!BT$98&amp;"/"&amp;'Random-Controlled (MLT - PLB)'!$I$98,"-")</f>
        <v>1/2626</v>
      </c>
      <c r="F50" s="745" t="str">
        <f t="shared" si="1"/>
        <v/>
      </c>
      <c r="G50" s="658"/>
      <c r="H50" s="658"/>
      <c r="I50" s="658"/>
      <c r="J50" s="658"/>
      <c r="K50" s="658"/>
      <c r="L50" s="658"/>
      <c r="M50" s="746"/>
    </row>
    <row r="51" spans="1:13" ht="22" customHeight="1" x14ac:dyDescent="0.25">
      <c r="A51" s="118" t="s">
        <v>205</v>
      </c>
      <c r="B51" s="124" t="str">
        <f>IF('Random-Controlled (MLT - PLB)'!BY$99&lt;&gt;"", 'Random-Controlled (MLT - PLB)'!BY$99, "-")</f>
        <v>-</v>
      </c>
      <c r="C51" s="125" t="str">
        <f>IF(AND('Random-Controlled (MLT - PLB)'!BX$98&gt;0,'Random-Controlled (MLT - PLB)'!BX$98&lt;&gt;"", 'Random-Controlled (MLT - PLB)'!BX$99&gt;0,'Random-Controlled (MLT - PLB)'!BX$99&lt;&gt;""),'Random-Controlled (MLT - PLB)'!BX$98&amp;"/"&amp;'Random-Controlled (MLT - PLB)'!BX$99,"-")</f>
        <v>-</v>
      </c>
      <c r="D51" s="128" t="str">
        <f>IF(AND('Random-Controlled (MLT - PLB)'!BY$98&lt;&gt;0, 'Random-Controlled (MLT - PLB)'!BY$98&lt;&gt;""), 'Random-Controlled (MLT - PLB)'!BY$98, "-")</f>
        <v>-</v>
      </c>
      <c r="E51" s="129" t="str">
        <f>IF(AND('Random-Controlled (MLT - PLB)'!BX$98&gt;0,'Random-Controlled (MLT - PLB)'!BX$98&lt;&gt;""),'Random-Controlled (MLT - PLB)'!BX$98&amp;"/"&amp;'Random-Controlled (MLT - PLB)'!$I$98,"-")</f>
        <v>-</v>
      </c>
      <c r="F51" s="745" t="str">
        <f t="shared" si="1"/>
        <v>Incidence in placebo group equal or greater than incidence in melatonin group</v>
      </c>
      <c r="G51" s="658"/>
      <c r="H51" s="658"/>
      <c r="I51" s="658"/>
      <c r="J51" s="658"/>
      <c r="K51" s="658"/>
      <c r="L51" s="658"/>
      <c r="M51" s="746"/>
    </row>
    <row r="52" spans="1:13" ht="22" customHeight="1" x14ac:dyDescent="0.25">
      <c r="A52" s="118" t="s">
        <v>204</v>
      </c>
      <c r="B52" s="124">
        <f>IF('Random-Controlled (MLT - PLB)'!CC$99&lt;&gt;"", 'Random-Controlled (MLT - PLB)'!CC$99, "-")</f>
        <v>5.6603773584905666</v>
      </c>
      <c r="C52" s="125" t="str">
        <f>IF(AND('Random-Controlled (MLT - PLB)'!CB$98&gt;0,'Random-Controlled (MLT - PLB)'!CB$98&lt;&gt;"", 'Random-Controlled (MLT - PLB)'!CB$99&gt;0,'Random-Controlled (MLT - PLB)'!CB$99&lt;&gt;""),'Random-Controlled (MLT - PLB)'!CB$98&amp;"/"&amp;'Random-Controlled (MLT - PLB)'!CB$99,"-")</f>
        <v>3/53</v>
      </c>
      <c r="D52" s="128">
        <f>IF(AND('Random-Controlled (MLT - PLB)'!CC$98&lt;&gt;0, 'Random-Controlled (MLT - PLB)'!CC$98 &lt;&gt;""), 'Random-Controlled (MLT - PLB)'!CC$98, "-")</f>
        <v>0.11424219345011424</v>
      </c>
      <c r="E52" s="129" t="str">
        <f>IF(AND('Random-Controlled (MLT - PLB)'!CB$98&gt;0,'Random-Controlled (MLT - PLB)'!CB$98&lt;&gt;""),'Random-Controlled (MLT - PLB)'!CB$98&amp;"/"&amp;'Random-Controlled (MLT - PLB)'!$I$98,"-")</f>
        <v>3/2626</v>
      </c>
      <c r="F52" s="745" t="str">
        <f t="shared" si="1"/>
        <v/>
      </c>
      <c r="G52" s="658"/>
      <c r="H52" s="658"/>
      <c r="I52" s="658"/>
      <c r="J52" s="658"/>
      <c r="K52" s="658"/>
      <c r="L52" s="658"/>
      <c r="M52" s="746"/>
    </row>
    <row r="53" spans="1:13" ht="22" customHeight="1" x14ac:dyDescent="0.25">
      <c r="A53" s="118" t="s">
        <v>206</v>
      </c>
      <c r="B53" s="124" t="str">
        <f>IF('Random-Controlled (MLT - PLB)'!CG$99&lt;&gt;"", 'Random-Controlled (MLT - PLB)'!CG$99, "-")</f>
        <v>-</v>
      </c>
      <c r="C53" s="125" t="str">
        <f>IF(AND('Random-Controlled (MLT - PLB)'!CF$98&gt;0,'Random-Controlled (MLT - PLB)'!CF$98&lt;&gt;"", 'Random-Controlled (MLT - PLB)'!CF$99&gt;0,'Random-Controlled (MLT - PLB)'!CF$99&lt;&gt;""),'Random-Controlled (MLT - PLB)'!CF$98&amp;"/"&amp;'Random-Controlled (MLT - PLB)'!CF$99,"-")</f>
        <v>-</v>
      </c>
      <c r="D53" s="128" t="str">
        <f>IF(AND('Random-Controlled (MLT - PLB)'!CG$98&lt;&gt;0, 'Random-Controlled (MLT - PLB)'!CG$98 &lt;&gt;""), 'Random-Controlled (MLT - PLB)'!CG$98, "-")</f>
        <v>-</v>
      </c>
      <c r="E53" s="129" t="str">
        <f>IF(AND('Random-Controlled (MLT - PLB)'!CF$98&gt;0,'Random-Controlled (MLT - PLB)'!CF$98&lt;&gt;""),'Random-Controlled (MLT - PLB)'!CF$98&amp;"/"&amp;'Random-Controlled (MLT - PLB)'!$I$98,"-")</f>
        <v>-</v>
      </c>
      <c r="F53" s="745" t="str">
        <f t="shared" si="1"/>
        <v>Incidence in placebo group equal or greater than incidence in melatonin group</v>
      </c>
      <c r="G53" s="658"/>
      <c r="H53" s="658"/>
      <c r="I53" s="658"/>
      <c r="J53" s="658"/>
      <c r="K53" s="658"/>
      <c r="L53" s="658"/>
      <c r="M53" s="746"/>
    </row>
    <row r="54" spans="1:13" ht="22" customHeight="1" x14ac:dyDescent="0.25">
      <c r="A54" s="118" t="s">
        <v>201</v>
      </c>
      <c r="B54" s="124" t="str">
        <f>IF('Random-Controlled (MLT - PLB)'!CK$99&lt;&gt;"", 'Random-Controlled (MLT - PLB)'!CK$99, "-")</f>
        <v>-</v>
      </c>
      <c r="C54" s="125" t="str">
        <f>IF(AND('Random-Controlled (MLT - PLB)'!CJ$98&gt;0,'Random-Controlled (MLT - PLB)'!CJ$98&lt;&gt;"", 'Random-Controlled (MLT - PLB)'!CJ$99&gt;0,'Random-Controlled (MLT - PLB)'!CJ$99&lt;&gt;""),'Random-Controlled (MLT - PLB)'!CJ$98&amp;"/"&amp;'Random-Controlled (MLT - PLB)'!CJ$99,"-")</f>
        <v>-</v>
      </c>
      <c r="D54" s="128" t="str">
        <f>IF(AND('Random-Controlled (MLT - PLB)'!CK$98&lt;&gt;0, 'Random-Controlled (MLT - PLB)'!CK$98 &lt;&gt;""), 'Random-Controlled (MLT - PLB)'!CK$98, "-")</f>
        <v>-</v>
      </c>
      <c r="E54" s="129" t="str">
        <f>IF(AND('Random-Controlled (MLT - PLB)'!CJ$98&gt;0,'Random-Controlled (MLT - PLB)'!CJ$98&lt;&gt;""),'Random-Controlled (MLT - PLB)'!CJ$98&amp;"/"&amp;'Random-Controlled (MLT - PLB)'!$I$98,"-")</f>
        <v>-</v>
      </c>
      <c r="F54" s="745" t="str">
        <f t="shared" si="1"/>
        <v>Incidence in placebo group equal or greater than incidence in melatonin group</v>
      </c>
      <c r="G54" s="658"/>
      <c r="H54" s="658"/>
      <c r="I54" s="658"/>
      <c r="J54" s="658"/>
      <c r="K54" s="658"/>
      <c r="L54" s="658"/>
      <c r="M54" s="746"/>
    </row>
    <row r="55" spans="1:13" ht="22" customHeight="1" x14ac:dyDescent="0.25">
      <c r="A55" s="118" t="s">
        <v>161</v>
      </c>
      <c r="B55" s="124" t="str">
        <f>IF('Random-Controlled (MLT - PLB)'!CO$99&lt;&gt;"", 'Random-Controlled (MLT - PLB)'!CO$99, "-")</f>
        <v>-</v>
      </c>
      <c r="C55" s="125" t="str">
        <f>IF(AND('Random-Controlled (MLT - PLB)'!CN$98&gt;0,'Random-Controlled (MLT - PLB)'!CN$98&lt;&gt;"", 'Random-Controlled (MLT - PLB)'!CN$99&gt;0,'Random-Controlled (MLT - PLB)'!CN$99&lt;&gt;""),'Random-Controlled (MLT - PLB)'!CN$98&amp;"/"&amp;'Random-Controlled (MLT - PLB)'!CN$99,"-")</f>
        <v>-</v>
      </c>
      <c r="D55" s="128" t="str">
        <f>IF(AND('Random-Controlled (MLT - PLB)'!CO$98&lt;&gt;0, 'Random-Controlled (MLT - PLB)'!CO$98 &lt;&gt;""), 'Random-Controlled (MLT - PLB)'!CO$98, "-")</f>
        <v>-</v>
      </c>
      <c r="E55" s="129" t="str">
        <f>IF(AND('Random-Controlled (MLT - PLB)'!CN$98&gt;0,'Random-Controlled (MLT - PLB)'!CN$98&lt;&gt;""),'Random-Controlled (MLT - PLB)'!CN$98&amp;"/"&amp;'Random-Controlled (MLT - PLB)'!$I$98,"-")</f>
        <v>-</v>
      </c>
      <c r="F55" s="745" t="str">
        <f t="shared" si="1"/>
        <v>Incidence in placebo group equal or greater than incidence in melatonin group</v>
      </c>
      <c r="G55" s="658"/>
      <c r="H55" s="658"/>
      <c r="I55" s="658"/>
      <c r="J55" s="658"/>
      <c r="K55" s="658"/>
      <c r="L55" s="658"/>
      <c r="M55" s="746"/>
    </row>
    <row r="56" spans="1:13" ht="22" customHeight="1" x14ac:dyDescent="0.25">
      <c r="A56" s="118" t="s">
        <v>207</v>
      </c>
      <c r="B56" s="124">
        <f>IF('Random-Controlled (MLT - PLB)'!U$99&lt;&gt;"", 'Random-Controlled (MLT - PLB)'!U$99, "-")</f>
        <v>46.401985111662533</v>
      </c>
      <c r="C56" s="125" t="str">
        <f>IF(AND('Random-Controlled (MLT - PLB)'!T$98&gt;0,'Random-Controlled (MLT - PLB)'!T$98&lt;&gt;"", 'Random-Controlled (MLT - PLB)'!T$99&gt;0,'Random-Controlled (MLT - PLB)'!T$99&lt;&gt;""),'Random-Controlled (MLT - PLB)'!T$98&amp;"/"&amp;'Random-Controlled (MLT - PLB)'!T$99,"-")</f>
        <v>187/403</v>
      </c>
      <c r="D56" s="128">
        <f>IF(AND('Random-Controlled (MLT - PLB)'!U$98&lt;&gt;0, 'Random-Controlled (MLT - PLB)'!U$98 &lt;&gt;""), 'Random-Controlled (MLT - PLB)'!U$98, "-")</f>
        <v>7.1210967250571215</v>
      </c>
      <c r="E56" s="129" t="str">
        <f>IF(AND('Random-Controlled (MLT - PLB)'!T$98&gt;0,'Random-Controlled (MLT - PLB)'!T$98&lt;&gt;""),'Random-Controlled (MLT - PLB)'!T$98&amp;"/"&amp;'Random-Controlled (MLT - PLB)'!$I$98,"")</f>
        <v>187/2626</v>
      </c>
      <c r="F56" s="745" t="str">
        <f t="shared" si="1"/>
        <v/>
      </c>
      <c r="G56" s="658"/>
      <c r="H56" s="658"/>
      <c r="I56" s="658"/>
      <c r="J56" s="658"/>
      <c r="K56" s="658"/>
      <c r="L56" s="658"/>
      <c r="M56" s="746"/>
    </row>
    <row r="57" spans="1:13" ht="22" customHeight="1" thickBot="1" x14ac:dyDescent="0.3">
      <c r="A57" s="738" t="s">
        <v>371</v>
      </c>
      <c r="B57" s="126">
        <f>IF('Random-Controlled (MLT - PLB)'!BA$99&lt;&gt;"", 'Random-Controlled (MLT - PLB)'!BA$99, "-")</f>
        <v>11.968348170128586</v>
      </c>
      <c r="C57" s="127" t="str">
        <f>IF(AND('Random-Controlled (MLT - PLB)'!AZ$98&gt;0,'Random-Controlled (MLT - PLB)'!AZ$98&lt;&gt;"", 'Random-Controlled (MLT - PLB)'!AZ$99&gt;0,'Random-Controlled (MLT - PLB)'!AZ$99&lt;&gt;""),'Random-Controlled (MLT - PLB)'!AZ$98&amp;"/"&amp;'Random-Controlled (MLT - PLB)'!AZ$99,"-")</f>
        <v>121/1011</v>
      </c>
      <c r="D57" s="130">
        <f>IF(AND('Random-Controlled (MLT - PLB)'!BA$98&lt;&gt;0, 'Random-Controlled (MLT - PLB)'!BA$98 &lt;&gt;""), 'Random-Controlled (MLT - PLB)'!BA$98, "-")</f>
        <v>4.6077684691546077</v>
      </c>
      <c r="E57" s="131" t="str">
        <f>IF(AND('Random-Controlled (MLT - PLB)'!AZ$98&gt;0,'Random-Controlled (MLT - PLB)'!AZ$98&lt;&gt;""),'Random-Controlled (MLT - PLB)'!AZ$98&amp;"/"&amp;'Random-Controlled (MLT - PLB)'!$I$98,"")</f>
        <v>121/2626</v>
      </c>
      <c r="F57" s="739" t="str">
        <f t="shared" si="1"/>
        <v/>
      </c>
      <c r="G57" s="740"/>
      <c r="H57" s="740"/>
      <c r="I57" s="740"/>
      <c r="J57" s="740"/>
      <c r="K57" s="740"/>
      <c r="L57" s="740"/>
      <c r="M57" s="741"/>
    </row>
    <row r="58" spans="1:13" ht="22" customHeight="1" x14ac:dyDescent="0.25">
      <c r="B58" s="116" t="s">
        <v>550</v>
      </c>
    </row>
    <row r="59" spans="1:13" ht="22" customHeight="1" x14ac:dyDescent="0.25">
      <c r="B59" s="116" t="s">
        <v>551</v>
      </c>
    </row>
    <row r="61" spans="1:13" ht="20" thickBot="1" x14ac:dyDescent="0.3"/>
    <row r="62" spans="1:13" x14ac:dyDescent="0.25">
      <c r="A62" s="659" t="s">
        <v>470</v>
      </c>
      <c r="B62" s="660"/>
      <c r="C62" s="661"/>
      <c r="D62"/>
      <c r="E62"/>
      <c r="F62"/>
      <c r="G62"/>
      <c r="H62"/>
      <c r="I62"/>
      <c r="J62"/>
      <c r="K62"/>
      <c r="L62"/>
      <c r="M62"/>
    </row>
    <row r="63" spans="1:13" x14ac:dyDescent="0.25">
      <c r="A63" s="662"/>
      <c r="B63" s="663"/>
      <c r="C63" s="664"/>
      <c r="D63"/>
      <c r="E63"/>
      <c r="F63"/>
      <c r="G63"/>
      <c r="H63"/>
      <c r="I63"/>
      <c r="J63"/>
      <c r="K63"/>
      <c r="L63"/>
      <c r="M63"/>
    </row>
    <row r="64" spans="1:13" ht="20" thickBot="1" x14ac:dyDescent="0.3">
      <c r="A64" s="665"/>
      <c r="B64" s="666"/>
      <c r="C64" s="667"/>
    </row>
    <row r="65" spans="1:13" ht="20" thickBot="1" x14ac:dyDescent="0.3"/>
    <row r="66" spans="1:13" ht="77" thickBot="1" x14ac:dyDescent="0.3">
      <c r="A66" s="120" t="s">
        <v>460</v>
      </c>
      <c r="B66" s="121" t="s">
        <v>574</v>
      </c>
      <c r="C66" s="122" t="s">
        <v>572</v>
      </c>
      <c r="D66" s="134" t="s">
        <v>575</v>
      </c>
      <c r="E66" s="135" t="s">
        <v>573</v>
      </c>
      <c r="F66" s="668" t="s">
        <v>25</v>
      </c>
      <c r="G66" s="668"/>
      <c r="H66" s="668"/>
      <c r="I66" s="668"/>
      <c r="J66" s="668"/>
      <c r="K66" s="668"/>
      <c r="L66" s="668"/>
      <c r="M66" s="669"/>
    </row>
    <row r="67" spans="1:13" ht="22" customHeight="1" x14ac:dyDescent="0.25">
      <c r="A67" s="119" t="s">
        <v>461</v>
      </c>
      <c r="B67" s="123">
        <f>'Random-Controlled (MLT - PLB)'!M158</f>
        <v>0</v>
      </c>
      <c r="C67" s="136" t="str">
        <f>IF(AND('Random-Controlled (MLT - PLB)'!L$98&gt;0,'Random-Controlled (MLT - PLB)'!L$98&lt;&gt;"", 'Random-Controlled (MLT - PLB)'!L$99&gt;0,'Random-Controlled (MLT - PLB)'!L$99&lt;&gt;""),'Random-Controlled (MLT - PLB)'!L$98&amp;"/"&amp;'Random-Controlled (MLT - PLB)'!L$99,"-")</f>
        <v>5/8</v>
      </c>
      <c r="D67" s="132">
        <f>IF(AND('Random-Controlled (MLT - PLB)'!M$98&lt;&gt;0, 'Random-Controlled (MLT - PLB)'!M$98 &lt;&gt;""), 'Random-Controlled (MLT - PLB)'!M$98, "-")</f>
        <v>0.19040365575019041</v>
      </c>
      <c r="E67" s="133" t="str">
        <f>IF(AND('Random-Controlled (MLT - PLB)'!L$98&gt;0,'Random-Controlled (MLT - PLB)'!L$98&lt;&gt;""),'Random-Controlled (MLT - PLB)'!L$98&amp;"/"&amp;'Random-Controlled (MLT - PLB)'!$I$98,"-")</f>
        <v>5/2626</v>
      </c>
      <c r="F67" s="742" t="str">
        <f t="shared" ref="F67:F87" si="2">IF(AND(B67="-", C67="-", D67="-", E67="-"), "Incidence in placebo group equal or greater than incidence in melatonin group", "")</f>
        <v/>
      </c>
      <c r="G67" s="743"/>
      <c r="H67" s="743"/>
      <c r="I67" s="743"/>
      <c r="J67" s="743"/>
      <c r="K67" s="743"/>
      <c r="L67" s="743"/>
      <c r="M67" s="744"/>
    </row>
    <row r="68" spans="1:13" ht="22" customHeight="1" x14ac:dyDescent="0.25">
      <c r="A68" s="118" t="s">
        <v>462</v>
      </c>
      <c r="B68" s="124">
        <f>'Random-Controlled (MLT - PLB)'!Q158</f>
        <v>0</v>
      </c>
      <c r="C68" s="125" t="str">
        <f>IF(AND('Random-Controlled (MLT - PLB)'!P$98&gt;0,'Random-Controlled (MLT - PLB)'!P$98&lt;&gt;"", 'Random-Controlled (MLT - PLB)'!P$99&gt;0,'Random-Controlled (MLT - PLB)'!P$99&lt;&gt;""),'Random-Controlled (MLT - PLB)'!P$98&amp;"/"&amp;'Random-Controlled (MLT - PLB)'!P$99,"-")</f>
        <v>28/130</v>
      </c>
      <c r="D68" s="128">
        <f>IF(AND('Random-Controlled (MLT - PLB)'!Q$98&lt;&gt;0, 'Random-Controlled (MLT - PLB)'!Q$98 &lt;&gt;""), 'Random-Controlled (MLT - PLB)'!Q$98, "-")</f>
        <v>1.0662604722010662</v>
      </c>
      <c r="E68" s="129" t="str">
        <f>IF(AND('Random-Controlled (MLT - PLB)'!P$98&gt;0,'Random-Controlled (MLT - PLB)'!P$98&lt;&gt;""),'Random-Controlled (MLT - PLB)'!P$98&amp;"/"&amp;'Random-Controlled (MLT - PLB)'!$I$98,"-")</f>
        <v>28/2626</v>
      </c>
      <c r="F68" s="745" t="str">
        <f t="shared" si="2"/>
        <v/>
      </c>
      <c r="G68" s="658"/>
      <c r="H68" s="658"/>
      <c r="I68" s="658"/>
      <c r="J68" s="658"/>
      <c r="K68" s="658"/>
      <c r="L68" s="658"/>
      <c r="M68" s="746"/>
    </row>
    <row r="69" spans="1:13" ht="22" customHeight="1" x14ac:dyDescent="0.25">
      <c r="A69" s="118" t="s">
        <v>171</v>
      </c>
      <c r="B69" s="124">
        <f>'Random-Controlled (MLT - PLB)'!Y158</f>
        <v>0</v>
      </c>
      <c r="C69" s="125" t="str">
        <f>IF(AND('Random-Controlled (MLT - PLB)'!X$98&gt;0,'Random-Controlled (MLT - PLB)'!X$98&lt;&gt;"", 'Random-Controlled (MLT - PLB)'!X$99&gt;0,'Random-Controlled (MLT - PLB)'!X$99&lt;&gt;""),'Random-Controlled (MLT - PLB)'!X$98&amp;"/"&amp;'Random-Controlled (MLT - PLB)'!X$99,"-")</f>
        <v>2/8</v>
      </c>
      <c r="D69" s="128">
        <f>IF(AND('Random-Controlled (MLT - PLB)'!Y$98&lt;&gt;0, 'Random-Controlled (MLT - PLB)'!Y$98 &lt;&gt;""), 'Random-Controlled (MLT - PLB)'!Y$98, "-")</f>
        <v>7.6161462300076158E-2</v>
      </c>
      <c r="E69" s="129" t="str">
        <f>IF(AND('Random-Controlled (MLT - PLB)'!X$98&gt;0,'Random-Controlled (MLT - PLB)'!X$98&lt;&gt;""),'Random-Controlled (MLT - PLB)'!X$98&amp;"/"&amp;'Random-Controlled (MLT - PLB)'!$I$98,"-")</f>
        <v>2/2626</v>
      </c>
      <c r="F69" s="745" t="str">
        <f t="shared" si="2"/>
        <v/>
      </c>
      <c r="G69" s="658"/>
      <c r="H69" s="658"/>
      <c r="I69" s="658"/>
      <c r="J69" s="658"/>
      <c r="K69" s="658"/>
      <c r="L69" s="658"/>
      <c r="M69" s="746"/>
    </row>
    <row r="70" spans="1:13" ht="22" customHeight="1" x14ac:dyDescent="0.25">
      <c r="A70" s="118" t="s">
        <v>464</v>
      </c>
      <c r="B70" s="124">
        <f>'Random-Controlled (MLT - PLB)'!AC158</f>
        <v>0</v>
      </c>
      <c r="C70" s="125" t="str">
        <f>IF(AND('Random-Controlled (MLT - PLB)'!AB$98&gt;0,'Random-Controlled (MLT - PLB)'!AB$98&lt;&gt;"", 'Random-Controlled (MLT - PLB)'!AB$99&gt;0,'Random-Controlled (MLT - PLB)'!AB$99&lt;&gt;""),'Random-Controlled (MLT - PLB)'!AB$98&amp;"/"&amp;'Random-Controlled (MLT - PLB)'!AB$99,"-")</f>
        <v>61/324</v>
      </c>
      <c r="D70" s="128">
        <f>IF(AND('Random-Controlled (MLT - PLB)'!AC$98&lt;&gt;0, 'Random-Controlled (MLT - PLB)'!AC$98 &lt;&gt;""), 'Random-Controlled (MLT - PLB)'!AC$98, "-")</f>
        <v>2.3229246001523229</v>
      </c>
      <c r="E70" s="129" t="str">
        <f>IF(AND('Random-Controlled (MLT - PLB)'!AB$98&gt;0,'Random-Controlled (MLT - PLB)'!AB$98&lt;&gt;""),'Random-Controlled (MLT - PLB)'!AB$98&amp;"/"&amp;'Random-Controlled (MLT - PLB)'!$I$98,"-")</f>
        <v>61/2626</v>
      </c>
      <c r="F70" s="745" t="str">
        <f t="shared" si="2"/>
        <v/>
      </c>
      <c r="G70" s="658"/>
      <c r="H70" s="658"/>
      <c r="I70" s="658"/>
      <c r="J70" s="658"/>
      <c r="K70" s="658"/>
      <c r="L70" s="658"/>
      <c r="M70" s="746"/>
    </row>
    <row r="71" spans="1:13" ht="22" customHeight="1" x14ac:dyDescent="0.25">
      <c r="A71" s="118" t="s">
        <v>463</v>
      </c>
      <c r="B71" s="124">
        <f>'Random-Controlled (MLT - PLB)'!AG$99</f>
        <v>18.584070796460178</v>
      </c>
      <c r="C71" s="125" t="str">
        <f>IF(AND('Random-Controlled (MLT - PLB)'!AF$98&gt;0,'Random-Controlled (MLT - PLB)'!AF$98&lt;&gt;"", 'Random-Controlled (MLT - PLB)'!AF$99&gt;0,'Random-Controlled (MLT - PLB)'!AF$99&lt;&gt;""),'Random-Controlled (MLT - PLB)'!AF$98&amp;"/"&amp;'Random-Controlled (MLT - PLB)'!AF$99,"-")</f>
        <v>42/226</v>
      </c>
      <c r="D71" s="128">
        <f>IF(AND('Random-Controlled (MLT - PLB)'!AG$98&lt;&gt;0, 'Random-Controlled (MLT - PLB)'!AG$98 &lt;&gt;""), 'Random-Controlled (MLT - PLB)'!AG$98, "-")</f>
        <v>1.5993907083015995</v>
      </c>
      <c r="E71" s="129" t="str">
        <f>IF(AND('Random-Controlled (MLT - PLB)'!AF$98&gt;0,'Random-Controlled (MLT - PLB)'!AF$98&lt;&gt;""),'Random-Controlled (MLT - PLB)'!AF$98&amp;"/"&amp;'Random-Controlled (MLT - PLB)'!$I$98,"-")</f>
        <v>42/2626</v>
      </c>
      <c r="F71" s="745" t="str">
        <f t="shared" si="2"/>
        <v/>
      </c>
      <c r="G71" s="658"/>
      <c r="H71" s="658"/>
      <c r="I71" s="658"/>
      <c r="J71" s="658"/>
      <c r="K71" s="658"/>
      <c r="L71" s="658"/>
      <c r="M71" s="746"/>
    </row>
    <row r="72" spans="1:13" ht="22" customHeight="1" x14ac:dyDescent="0.25">
      <c r="A72" s="118" t="s">
        <v>170</v>
      </c>
      <c r="B72" s="124">
        <f>'Random-Controlled (MLT - PLB)'!AK$99</f>
        <v>12.5</v>
      </c>
      <c r="C72" s="125" t="str">
        <f>IF(AND('Random-Controlled (MLT - PLB)'!AJ$98&gt;0,'Random-Controlled (MLT - PLB)'!AJ$98&lt;&gt;"", 'Random-Controlled (MLT - PLB)'!AJ$99&gt;0,'Random-Controlled (MLT - PLB)'!AJ$99&lt;&gt;""),'Random-Controlled (MLT - PLB)'!AJ$98&amp;"/"&amp;'Random-Controlled (MLT - PLB)'!AJ$99,"-")</f>
        <v>1/8</v>
      </c>
      <c r="D72" s="128">
        <f>IF(AND('Random-Controlled (MLT - PLB)'!AK$98&lt;&gt;0, 'Random-Controlled (MLT - PLB)'!AK$98 &lt;&gt;""), 'Random-Controlled (MLT - PLB)'!AK$98, "-")</f>
        <v>3.8080731150038079E-2</v>
      </c>
      <c r="E72" s="129" t="str">
        <f>IF(AND('Random-Controlled (MLT - PLB)'!AJ$98&gt;0,'Random-Controlled (MLT - PLB)'!AJ$98&lt;&gt;""),'Random-Controlled (MLT - PLB)'!AJ$98&amp;"/"&amp;'Random-Controlled (MLT - PLB)'!$I$98,"-")</f>
        <v>1/2626</v>
      </c>
      <c r="F72" s="745" t="str">
        <f t="shared" si="2"/>
        <v/>
      </c>
      <c r="G72" s="658"/>
      <c r="H72" s="658"/>
      <c r="I72" s="658"/>
      <c r="J72" s="658"/>
      <c r="K72" s="658"/>
      <c r="L72" s="658"/>
      <c r="M72" s="746"/>
    </row>
    <row r="73" spans="1:13" ht="22" customHeight="1" x14ac:dyDescent="0.25">
      <c r="A73" s="118" t="s">
        <v>173</v>
      </c>
      <c r="B73" s="124">
        <f>'Random-Controlled (MLT - PLB)'!AO$99</f>
        <v>16.216216216216218</v>
      </c>
      <c r="C73" s="125" t="str">
        <f>IF(AND('Random-Controlled (MLT - PLB)'!AN$98&gt;0,'Random-Controlled (MLT - PLB)'!AN$98&lt;&gt;"", 'Random-Controlled (MLT - PLB)'!AN$99&gt;0,'Random-Controlled (MLT - PLB)'!AN$99&lt;&gt;""),'Random-Controlled (MLT - PLB)'!AN$98&amp;"/"&amp;'Random-Controlled (MLT - PLB)'!AN$99,"-")</f>
        <v>6/37</v>
      </c>
      <c r="D73" s="128">
        <f>IF(AND('Random-Controlled (MLT - PLB)'!AO$98&lt;&gt;0, 'Random-Controlled (MLT - PLB)'!AO$98 &lt;&gt;""), 'Random-Controlled (MLT - PLB)'!AO$98, "-")</f>
        <v>0.22848438690022849</v>
      </c>
      <c r="E73" s="129" t="str">
        <f>IF(AND('Random-Controlled (MLT - PLB)'!AN$98&gt;0,'Random-Controlled (MLT - PLB)'!AN$98&lt;&gt;""),'Random-Controlled (MLT - PLB)'!AN$98&amp;"/"&amp;'Random-Controlled (MLT - PLB)'!$I$98,"-")</f>
        <v>6/2626</v>
      </c>
      <c r="F73" s="745" t="str">
        <f t="shared" si="2"/>
        <v/>
      </c>
      <c r="G73" s="658"/>
      <c r="H73" s="658"/>
      <c r="I73" s="658"/>
      <c r="J73" s="658"/>
      <c r="K73" s="658"/>
      <c r="L73" s="658"/>
      <c r="M73" s="746"/>
    </row>
    <row r="74" spans="1:13" ht="22" customHeight="1" x14ac:dyDescent="0.25">
      <c r="A74" s="118" t="s">
        <v>465</v>
      </c>
      <c r="B74" s="124">
        <f>'Random-Controlled (MLT - PLB)'!AS$99</f>
        <v>11.51685393258427</v>
      </c>
      <c r="C74" s="125" t="str">
        <f>IF(AND('Random-Controlled (MLT - PLB)'!AR$98&gt;0,'Random-Controlled (MLT - PLB)'!AR$98&lt;&gt;"", 'Random-Controlled (MLT - PLB)'!AR$99&gt;0,'Random-Controlled (MLT - PLB)'!AR$99&lt;&gt;""),'Random-Controlled (MLT - PLB)'!AR$98&amp;"/"&amp;'Random-Controlled (MLT - PLB)'!AR$99,"-")</f>
        <v>41/356</v>
      </c>
      <c r="D74" s="128">
        <f>IF(AND('Random-Controlled (MLT - PLB)'!AS$98&lt;&gt;0, 'Random-Controlled (MLT - PLB)'!AS$98 &lt;&gt;""), 'Random-Controlled (MLT - PLB)'!AS$98, "-")</f>
        <v>1.5613099771515613</v>
      </c>
      <c r="E74" s="129" t="str">
        <f>IF(AND('Random-Controlled (MLT - PLB)'!AR$98&gt;0,'Random-Controlled (MLT - PLB)'!AR$98&lt;&gt;""),'Random-Controlled (MLT - PLB)'!AR$98&amp;"/"&amp;'Random-Controlled (MLT - PLB)'!$I$98,"-")</f>
        <v>41/2626</v>
      </c>
      <c r="F74" s="745" t="str">
        <f t="shared" si="2"/>
        <v/>
      </c>
      <c r="G74" s="658"/>
      <c r="H74" s="658"/>
      <c r="I74" s="658"/>
      <c r="J74" s="658"/>
      <c r="K74" s="658"/>
      <c r="L74" s="658"/>
      <c r="M74" s="746"/>
    </row>
    <row r="75" spans="1:13" ht="22" customHeight="1" x14ac:dyDescent="0.25">
      <c r="A75" s="118" t="s">
        <v>158</v>
      </c>
      <c r="B75" s="124">
        <f>'Random-Controlled (MLT - PLB)'!AW$99</f>
        <v>7.9872204472843444</v>
      </c>
      <c r="C75" s="125" t="str">
        <f>IF(AND('Random-Controlled (MLT - PLB)'!AV$98&gt;0,'Random-Controlled (MLT - PLB)'!AV$98&lt;&gt;"", 'Random-Controlled (MLT - PLB)'!AV$99&gt;0,'Random-Controlled (MLT - PLB)'!AV$99&lt;&gt;""),'Random-Controlled (MLT - PLB)'!AV$98&amp;"/"&amp;'Random-Controlled (MLT - PLB)'!AV$99,"-")</f>
        <v>25/313</v>
      </c>
      <c r="D75" s="128">
        <f>IF(AND('Random-Controlled (MLT - PLB)'!AW$98&lt;&gt;0, 'Random-Controlled (MLT - PLB)'!AW$98 &lt;&gt;""), 'Random-Controlled (MLT - PLB)'!AW$98, "-")</f>
        <v>0.95201827875095202</v>
      </c>
      <c r="E75" s="129" t="str">
        <f>IF(AND('Random-Controlled (MLT - PLB)'!AV$98&gt;0,'Random-Controlled (MLT - PLB)'!AV$98&lt;&gt;""),'Random-Controlled (MLT - PLB)'!AV$98&amp;"/"&amp;'Random-Controlled (MLT - PLB)'!$I$98,"-")</f>
        <v>25/2626</v>
      </c>
      <c r="F75" s="745" t="str">
        <f t="shared" si="2"/>
        <v/>
      </c>
      <c r="G75" s="658"/>
      <c r="H75" s="658"/>
      <c r="I75" s="658"/>
      <c r="J75" s="658"/>
      <c r="K75" s="658"/>
      <c r="L75" s="658"/>
      <c r="M75" s="746"/>
    </row>
    <row r="76" spans="1:13" ht="22" customHeight="1" x14ac:dyDescent="0.25">
      <c r="A76" s="118" t="s">
        <v>466</v>
      </c>
      <c r="B76" s="124">
        <f>'Random-Controlled (MLT - PLB)'!BE$99</f>
        <v>7.4074074074074066</v>
      </c>
      <c r="C76" s="125" t="str">
        <f>IF(AND('Random-Controlled (MLT - PLB)'!BD$98&gt;0,'Random-Controlled (MLT - PLB)'!BD$98&lt;&gt;"", 'Random-Controlled (MLT - PLB)'!BD$99&gt;0,'Random-Controlled (MLT - PLB)'!BD$99&lt;&gt;""),'Random-Controlled (MLT - PLB)'!BD$98&amp;"/"&amp;'Random-Controlled (MLT - PLB)'!BD$99,"-")</f>
        <v>2/27</v>
      </c>
      <c r="D76" s="128">
        <f>IF(AND('Random-Controlled (MLT - PLB)'!BE$98&lt;&gt;0, 'Random-Controlled (MLT - PLB)'!BE$98 &lt;&gt;""), 'Random-Controlled (MLT - PLB)'!BE$98, "-")</f>
        <v>7.6161462300076158E-2</v>
      </c>
      <c r="E76" s="129" t="str">
        <f>IF(AND('Random-Controlled (MLT - PLB)'!BD$98&gt;0,'Random-Controlled (MLT - PLB)'!BD$98&lt;&gt;""),'Random-Controlled (MLT - PLB)'!BD$98&amp;"/"&amp;'Random-Controlled (MLT - PLB)'!$I$98,"-")</f>
        <v>2/2626</v>
      </c>
      <c r="F76" s="745" t="str">
        <f t="shared" si="2"/>
        <v/>
      </c>
      <c r="G76" s="658"/>
      <c r="H76" s="658"/>
      <c r="I76" s="658"/>
      <c r="J76" s="658"/>
      <c r="K76" s="658"/>
      <c r="L76" s="658"/>
      <c r="M76" s="746"/>
    </row>
    <row r="77" spans="1:13" ht="22" customHeight="1" x14ac:dyDescent="0.25">
      <c r="A77" s="118" t="s">
        <v>163</v>
      </c>
      <c r="B77" s="124">
        <f>'Random-Controlled (MLT - PLB)'!BI$99</f>
        <v>6.557377049180328</v>
      </c>
      <c r="C77" s="125" t="str">
        <f>IF(AND('Random-Controlled (MLT - PLB)'!BH$98&gt;0,'Random-Controlled (MLT - PLB)'!BH$98&lt;&gt;"", 'Random-Controlled (MLT - PLB)'!BH$99&gt;0,'Random-Controlled (MLT - PLB)'!BH$99&lt;&gt;""),'Random-Controlled (MLT - PLB)'!BH$98&amp;"/"&amp;'Random-Controlled (MLT - PLB)'!BH$99,"-")</f>
        <v>4/61</v>
      </c>
      <c r="D77" s="128">
        <f>IF(AND('Random-Controlled (MLT - PLB)'!BI$98&lt;&gt;0, 'Random-Controlled (MLT - PLB)'!BI$98 &lt;&gt;""), 'Random-Controlled (MLT - PLB)'!BI$98, "-")</f>
        <v>0.15232292460015232</v>
      </c>
      <c r="E77" s="129" t="str">
        <f>IF(AND('Random-Controlled (MLT - PLB)'!BH$98&gt;0,'Random-Controlled (MLT - PLB)'!BH$98&lt;&gt;""),'Random-Controlled (MLT - PLB)'!BH$98&amp;"/"&amp;'Random-Controlled (MLT - PLB)'!$I$98,"-")</f>
        <v>4/2626</v>
      </c>
      <c r="F77" s="745" t="str">
        <f t="shared" si="2"/>
        <v/>
      </c>
      <c r="G77" s="658"/>
      <c r="H77" s="658"/>
      <c r="I77" s="658"/>
      <c r="J77" s="658"/>
      <c r="K77" s="658"/>
      <c r="L77" s="658"/>
      <c r="M77" s="746"/>
    </row>
    <row r="78" spans="1:13" ht="22" customHeight="1" x14ac:dyDescent="0.25">
      <c r="A78" s="118" t="s">
        <v>159</v>
      </c>
      <c r="B78" s="124">
        <f>'Random-Controlled (MLT - PLB)'!BM$99</f>
        <v>4.7413793103448274</v>
      </c>
      <c r="C78" s="125" t="str">
        <f>IF(AND('Random-Controlled (MLT - PLB)'!BL$98&gt;0,'Random-Controlled (MLT - PLB)'!BL$98&lt;&gt;"", 'Random-Controlled (MLT - PLB)'!BL$99&gt;0,'Random-Controlled (MLT - PLB)'!BL$99&lt;&gt;""),'Random-Controlled (MLT - PLB)'!BL$98&amp;"/"&amp;'Random-Controlled (MLT - PLB)'!BL$99,"-")</f>
        <v>11/232</v>
      </c>
      <c r="D78" s="128">
        <f>IF(AND('Random-Controlled (MLT - PLB)'!BM$98&lt;&gt;0, 'Random-Controlled (MLT - PLB)'!BM$98 &lt;&gt;""), 'Random-Controlled (MLT - PLB)'!BM$98, "-")</f>
        <v>0.41888804265041885</v>
      </c>
      <c r="E78" s="129" t="str">
        <f>IF(AND('Random-Controlled (MLT - PLB)'!BL$98&gt;0,'Random-Controlled (MLT - PLB)'!BL$98&lt;&gt;""),'Random-Controlled (MLT - PLB)'!BL$98&amp;"/"&amp;'Random-Controlled (MLT - PLB)'!$I$98,"-")</f>
        <v>11/2626</v>
      </c>
      <c r="F78" s="745" t="str">
        <f t="shared" si="2"/>
        <v/>
      </c>
      <c r="G78" s="658"/>
      <c r="H78" s="658"/>
      <c r="I78" s="658"/>
      <c r="J78" s="658"/>
      <c r="K78" s="658"/>
      <c r="L78" s="658"/>
      <c r="M78" s="746"/>
    </row>
    <row r="79" spans="1:13" ht="22" customHeight="1" x14ac:dyDescent="0.25">
      <c r="A79" s="118" t="s">
        <v>467</v>
      </c>
      <c r="B79" s="124">
        <f>'Random-Controlled (MLT - PLB)'!BQ$99</f>
        <v>4.2553191489361701</v>
      </c>
      <c r="C79" s="125" t="str">
        <f>IF(AND('Random-Controlled (MLT - PLB)'!BP$98&gt;0,'Random-Controlled (MLT - PLB)'!BP$98&lt;&gt;"", 'Random-Controlled (MLT - PLB)'!BP$99&gt;0,'Random-Controlled (MLT - PLB)'!BP$99&lt;&gt;""),'Random-Controlled (MLT - PLB)'!BP$98&amp;"/"&amp;'Random-Controlled (MLT - PLB)'!BP$99,"-")</f>
        <v>2/47</v>
      </c>
      <c r="D79" s="128">
        <f>IF(AND('Random-Controlled (MLT - PLB)'!BQ$98&lt;&gt;0, 'Random-Controlled (MLT - PLB)'!BQ$98 &lt;&gt;""), 'Random-Controlled (MLT - PLB)'!BQ$98, "-")</f>
        <v>7.6161462300076158E-2</v>
      </c>
      <c r="E79" s="129" t="str">
        <f>IF(AND('Random-Controlled (MLT - PLB)'!BP$98&gt;0,'Random-Controlled (MLT - PLB)'!BP$98&lt;&gt;""),'Random-Controlled (MLT - PLB)'!BP$98&amp;"/"&amp;'Random-Controlled (MLT - PLB)'!$I$98,"-")</f>
        <v>2/2626</v>
      </c>
      <c r="F79" s="745" t="str">
        <f t="shared" si="2"/>
        <v/>
      </c>
      <c r="G79" s="658"/>
      <c r="H79" s="658"/>
      <c r="I79" s="658"/>
      <c r="J79" s="658"/>
      <c r="K79" s="658"/>
      <c r="L79" s="658"/>
      <c r="M79" s="746"/>
    </row>
    <row r="80" spans="1:13" ht="22" customHeight="1" x14ac:dyDescent="0.25">
      <c r="A80" s="118" t="s">
        <v>160</v>
      </c>
      <c r="B80" s="124">
        <f>IF('Random-Controlled (MLT - PLB)'!BU$99&lt;&gt;"", 'Random-Controlled (MLT - PLB)'!BU$99, "-")</f>
        <v>5.2631578947368416</v>
      </c>
      <c r="C80" s="125" t="str">
        <f>IF(AND('Random-Controlled (MLT - PLB)'!BT$98&gt;0,'Random-Controlled (MLT - PLB)'!BT$98&lt;&gt;"", 'Random-Controlled (MLT - PLB)'!BT$99&gt;0,'Random-Controlled (MLT - PLB)'!BT$99&lt;&gt;""),'Random-Controlled (MLT - PLB)'!BT$98&amp;"/"&amp;'Random-Controlled (MLT - PLB)'!BT$99,"-")</f>
        <v>1/19</v>
      </c>
      <c r="D80" s="128">
        <f>IF(AND('Random-Controlled (MLT - PLB)'!BU$98&lt;&gt;0, 'Random-Controlled (MLT - PLB)'!BU$98 &lt;&gt;""), 'Random-Controlled (MLT - PLB)'!BU$98, "-")</f>
        <v>3.8080731150038079E-2</v>
      </c>
      <c r="E80" s="129" t="str">
        <f>IF(AND('Random-Controlled (MLT - PLB)'!BT$98&gt;0,'Random-Controlled (MLT - PLB)'!BT$98&lt;&gt;""),'Random-Controlled (MLT - PLB)'!BT$98&amp;"/"&amp;'Random-Controlled (MLT - PLB)'!$I$98,"-")</f>
        <v>1/2626</v>
      </c>
      <c r="F80" s="745" t="str">
        <f t="shared" si="2"/>
        <v/>
      </c>
      <c r="G80" s="658"/>
      <c r="H80" s="658"/>
      <c r="I80" s="658"/>
      <c r="J80" s="658"/>
      <c r="K80" s="658"/>
      <c r="L80" s="658"/>
      <c r="M80" s="746"/>
    </row>
    <row r="81" spans="1:13" ht="22" customHeight="1" x14ac:dyDescent="0.25">
      <c r="A81" s="118" t="s">
        <v>205</v>
      </c>
      <c r="B81" s="124" t="str">
        <f>IF('Random-Controlled (MLT - PLB)'!BY$99&lt;&gt;"", 'Random-Controlled (MLT - PLB)'!BY$99, "-")</f>
        <v>-</v>
      </c>
      <c r="C81" s="125" t="str">
        <f>IF(AND('Random-Controlled (MLT - PLB)'!BX$98&gt;0,'Random-Controlled (MLT - PLB)'!BX$98&lt;&gt;"", 'Random-Controlled (MLT - PLB)'!BX$99&gt;0,'Random-Controlled (MLT - PLB)'!BX$99&lt;&gt;""),'Random-Controlled (MLT - PLB)'!BX$98&amp;"/"&amp;'Random-Controlled (MLT - PLB)'!BX$99,"-")</f>
        <v>-</v>
      </c>
      <c r="D81" s="128" t="str">
        <f>IF(AND('Random-Controlled (MLT - PLB)'!BY$98&lt;&gt;0, 'Random-Controlled (MLT - PLB)'!BY$98&lt;&gt;""), 'Random-Controlled (MLT - PLB)'!BY$98, "-")</f>
        <v>-</v>
      </c>
      <c r="E81" s="129" t="str">
        <f>IF(AND('Random-Controlled (MLT - PLB)'!BX$98&gt;0,'Random-Controlled (MLT - PLB)'!BX$98&lt;&gt;""),'Random-Controlled (MLT - PLB)'!BX$98&amp;"/"&amp;'Random-Controlled (MLT - PLB)'!$I$98,"-")</f>
        <v>-</v>
      </c>
      <c r="F81" s="745" t="str">
        <f t="shared" si="2"/>
        <v>Incidence in placebo group equal or greater than incidence in melatonin group</v>
      </c>
      <c r="G81" s="658"/>
      <c r="H81" s="658"/>
      <c r="I81" s="658"/>
      <c r="J81" s="658"/>
      <c r="K81" s="658"/>
      <c r="L81" s="658"/>
      <c r="M81" s="746"/>
    </row>
    <row r="82" spans="1:13" ht="22" customHeight="1" x14ac:dyDescent="0.25">
      <c r="A82" s="118" t="s">
        <v>204</v>
      </c>
      <c r="B82" s="124">
        <f>IF('Random-Controlled (MLT - PLB)'!CC$99&lt;&gt;"", 'Random-Controlled (MLT - PLB)'!CC$99, "-")</f>
        <v>5.6603773584905666</v>
      </c>
      <c r="C82" s="125" t="str">
        <f>IF(AND('Random-Controlled (MLT - PLB)'!CB$98&gt;0,'Random-Controlled (MLT - PLB)'!CB$98&lt;&gt;"", 'Random-Controlled (MLT - PLB)'!CB$99&gt;0,'Random-Controlled (MLT - PLB)'!CB$99&lt;&gt;""),'Random-Controlled (MLT - PLB)'!CB$98&amp;"/"&amp;'Random-Controlled (MLT - PLB)'!CB$99,"-")</f>
        <v>3/53</v>
      </c>
      <c r="D82" s="128">
        <f>IF(AND('Random-Controlled (MLT - PLB)'!CC$98&lt;&gt;0, 'Random-Controlled (MLT - PLB)'!CC$98 &lt;&gt;""), 'Random-Controlled (MLT - PLB)'!CC$98, "-")</f>
        <v>0.11424219345011424</v>
      </c>
      <c r="E82" s="129" t="str">
        <f>IF(AND('Random-Controlled (MLT - PLB)'!CB$98&gt;0,'Random-Controlled (MLT - PLB)'!CB$98&lt;&gt;""),'Random-Controlled (MLT - PLB)'!CB$98&amp;"/"&amp;'Random-Controlled (MLT - PLB)'!$I$98,"-")</f>
        <v>3/2626</v>
      </c>
      <c r="F82" s="745" t="str">
        <f t="shared" si="2"/>
        <v/>
      </c>
      <c r="G82" s="658"/>
      <c r="H82" s="658"/>
      <c r="I82" s="658"/>
      <c r="J82" s="658"/>
      <c r="K82" s="658"/>
      <c r="L82" s="658"/>
      <c r="M82" s="746"/>
    </row>
    <row r="83" spans="1:13" ht="22" customHeight="1" x14ac:dyDescent="0.25">
      <c r="A83" s="118" t="s">
        <v>206</v>
      </c>
      <c r="B83" s="124" t="str">
        <f>IF('Random-Controlled (MLT - PLB)'!CG$99&lt;&gt;"", 'Random-Controlled (MLT - PLB)'!CG$99, "-")</f>
        <v>-</v>
      </c>
      <c r="C83" s="125" t="str">
        <f>IF(AND('Random-Controlled (MLT - PLB)'!CF$98&gt;0,'Random-Controlled (MLT - PLB)'!CF$98&lt;&gt;"", 'Random-Controlled (MLT - PLB)'!CF$99&gt;0,'Random-Controlled (MLT - PLB)'!CF$99&lt;&gt;""),'Random-Controlled (MLT - PLB)'!CF$98&amp;"/"&amp;'Random-Controlled (MLT - PLB)'!CF$99,"-")</f>
        <v>-</v>
      </c>
      <c r="D83" s="128" t="str">
        <f>IF(AND('Random-Controlled (MLT - PLB)'!CG$98&lt;&gt;0, 'Random-Controlled (MLT - PLB)'!CG$98 &lt;&gt;""), 'Random-Controlled (MLT - PLB)'!CG$98, "-")</f>
        <v>-</v>
      </c>
      <c r="E83" s="129" t="str">
        <f>IF(AND('Random-Controlled (MLT - PLB)'!CF$98&gt;0,'Random-Controlled (MLT - PLB)'!CF$98&lt;&gt;""),'Random-Controlled (MLT - PLB)'!CF$98&amp;"/"&amp;'Random-Controlled (MLT - PLB)'!$I$98,"-")</f>
        <v>-</v>
      </c>
      <c r="F83" s="745" t="str">
        <f t="shared" si="2"/>
        <v>Incidence in placebo group equal or greater than incidence in melatonin group</v>
      </c>
      <c r="G83" s="658"/>
      <c r="H83" s="658"/>
      <c r="I83" s="658"/>
      <c r="J83" s="658"/>
      <c r="K83" s="658"/>
      <c r="L83" s="658"/>
      <c r="M83" s="746"/>
    </row>
    <row r="84" spans="1:13" ht="22" customHeight="1" x14ac:dyDescent="0.25">
      <c r="A84" s="118" t="s">
        <v>201</v>
      </c>
      <c r="B84" s="124" t="str">
        <f>IF('Random-Controlled (MLT - PLB)'!CK$99&lt;&gt;"", 'Random-Controlled (MLT - PLB)'!CK$99, "-")</f>
        <v>-</v>
      </c>
      <c r="C84" s="125" t="str">
        <f>IF(AND('Random-Controlled (MLT - PLB)'!CJ$98&gt;0,'Random-Controlled (MLT - PLB)'!CJ$98&lt;&gt;"", 'Random-Controlled (MLT - PLB)'!CJ$99&gt;0,'Random-Controlled (MLT - PLB)'!CJ$99&lt;&gt;""),'Random-Controlled (MLT - PLB)'!CJ$98&amp;"/"&amp;'Random-Controlled (MLT - PLB)'!CJ$99,"-")</f>
        <v>-</v>
      </c>
      <c r="D84" s="128" t="str">
        <f>IF(AND('Random-Controlled (MLT - PLB)'!CK$98&lt;&gt;0, 'Random-Controlled (MLT - PLB)'!CK$98 &lt;&gt;""), 'Random-Controlled (MLT - PLB)'!CK$98, "-")</f>
        <v>-</v>
      </c>
      <c r="E84" s="129" t="str">
        <f>IF(AND('Random-Controlled (MLT - PLB)'!CJ$98&gt;0,'Random-Controlled (MLT - PLB)'!CJ$98&lt;&gt;""),'Random-Controlled (MLT - PLB)'!CJ$98&amp;"/"&amp;'Random-Controlled (MLT - PLB)'!$I$98,"-")</f>
        <v>-</v>
      </c>
      <c r="F84" s="745" t="str">
        <f t="shared" si="2"/>
        <v>Incidence in placebo group equal or greater than incidence in melatonin group</v>
      </c>
      <c r="G84" s="658"/>
      <c r="H84" s="658"/>
      <c r="I84" s="658"/>
      <c r="J84" s="658"/>
      <c r="K84" s="658"/>
      <c r="L84" s="658"/>
      <c r="M84" s="746"/>
    </row>
    <row r="85" spans="1:13" ht="22" customHeight="1" x14ac:dyDescent="0.25">
      <c r="A85" s="118" t="s">
        <v>161</v>
      </c>
      <c r="B85" s="124" t="str">
        <f>IF('Random-Controlled (MLT - PLB)'!CO$99&lt;&gt;"", 'Random-Controlled (MLT - PLB)'!CO$99, "-")</f>
        <v>-</v>
      </c>
      <c r="C85" s="125" t="str">
        <f>IF(AND('Random-Controlled (MLT - PLB)'!CN$98&gt;0,'Random-Controlled (MLT - PLB)'!CN$98&lt;&gt;"", 'Random-Controlled (MLT - PLB)'!CN$99&gt;0,'Random-Controlled (MLT - PLB)'!CN$99&lt;&gt;""),'Random-Controlled (MLT - PLB)'!CN$98&amp;"/"&amp;'Random-Controlled (MLT - PLB)'!CN$99,"-")</f>
        <v>-</v>
      </c>
      <c r="D85" s="128" t="str">
        <f>IF(AND('Random-Controlled (MLT - PLB)'!CO$98&lt;&gt;0, 'Random-Controlled (MLT - PLB)'!CO$98 &lt;&gt;""), 'Random-Controlled (MLT - PLB)'!CO$98, "-")</f>
        <v>-</v>
      </c>
      <c r="E85" s="129" t="str">
        <f>IF(AND('Random-Controlled (MLT - PLB)'!CN$98&gt;0,'Random-Controlled (MLT - PLB)'!CN$98&lt;&gt;""),'Random-Controlled (MLT - PLB)'!CN$98&amp;"/"&amp;'Random-Controlled (MLT - PLB)'!$I$98,"-")</f>
        <v>-</v>
      </c>
      <c r="F85" s="745" t="str">
        <f t="shared" si="2"/>
        <v>Incidence in placebo group equal or greater than incidence in melatonin group</v>
      </c>
      <c r="G85" s="658"/>
      <c r="H85" s="658"/>
      <c r="I85" s="658"/>
      <c r="J85" s="658"/>
      <c r="K85" s="658"/>
      <c r="L85" s="658"/>
      <c r="M85" s="746"/>
    </row>
    <row r="86" spans="1:13" ht="22" customHeight="1" x14ac:dyDescent="0.25">
      <c r="A86" s="118" t="s">
        <v>207</v>
      </c>
      <c r="B86" s="124">
        <f>IF('Random-Controlled (MLT - PLB)'!U$99&lt;&gt;"", 'Random-Controlled (MLT - PLB)'!U$99, "-")</f>
        <v>46.401985111662533</v>
      </c>
      <c r="C86" s="125" t="str">
        <f>IF(AND('Random-Controlled (MLT - PLB)'!T$98&gt;0,'Random-Controlled (MLT - PLB)'!T$98&lt;&gt;"", 'Random-Controlled (MLT - PLB)'!T$99&gt;0,'Random-Controlled (MLT - PLB)'!T$99&lt;&gt;""),'Random-Controlled (MLT - PLB)'!T$98&amp;"/"&amp;'Random-Controlled (MLT - PLB)'!T$99,"-")</f>
        <v>187/403</v>
      </c>
      <c r="D86" s="128">
        <f>IF(AND('Random-Controlled (MLT - PLB)'!U$98&lt;&gt;0, 'Random-Controlled (MLT - PLB)'!U$98 &lt;&gt;""), 'Random-Controlled (MLT - PLB)'!U$98, "-")</f>
        <v>7.1210967250571215</v>
      </c>
      <c r="E86" s="129" t="str">
        <f>IF(AND('Random-Controlled (MLT - PLB)'!T$98&gt;0,'Random-Controlled (MLT - PLB)'!T$98&lt;&gt;""),'Random-Controlled (MLT - PLB)'!T$98&amp;"/"&amp;'Random-Controlled (MLT - PLB)'!$I$98,"")</f>
        <v>187/2626</v>
      </c>
      <c r="F86" s="745" t="str">
        <f t="shared" si="2"/>
        <v/>
      </c>
      <c r="G86" s="658"/>
      <c r="H86" s="658"/>
      <c r="I86" s="658"/>
      <c r="J86" s="658"/>
      <c r="K86" s="658"/>
      <c r="L86" s="658"/>
      <c r="M86" s="746"/>
    </row>
    <row r="87" spans="1:13" ht="22" customHeight="1" thickBot="1" x14ac:dyDescent="0.3">
      <c r="A87" s="738" t="s">
        <v>371</v>
      </c>
      <c r="B87" s="126">
        <f>IF('Random-Controlled (MLT - PLB)'!BA$99&lt;&gt;"", 'Random-Controlled (MLT - PLB)'!BA$99, "-")</f>
        <v>11.968348170128586</v>
      </c>
      <c r="C87" s="127" t="str">
        <f>IF(AND('Random-Controlled (MLT - PLB)'!AZ$98&gt;0,'Random-Controlled (MLT - PLB)'!AZ$98&lt;&gt;"", 'Random-Controlled (MLT - PLB)'!AZ$99&gt;0,'Random-Controlled (MLT - PLB)'!AZ$99&lt;&gt;""),'Random-Controlled (MLT - PLB)'!AZ$98&amp;"/"&amp;'Random-Controlled (MLT - PLB)'!AZ$99,"-")</f>
        <v>121/1011</v>
      </c>
      <c r="D87" s="130">
        <f>IF(AND('Random-Controlled (MLT - PLB)'!BA$98&lt;&gt;0, 'Random-Controlled (MLT - PLB)'!BA$98 &lt;&gt;""), 'Random-Controlled (MLT - PLB)'!BA$98, "-")</f>
        <v>4.6077684691546077</v>
      </c>
      <c r="E87" s="131" t="str">
        <f>IF(AND('Random-Controlled (MLT - PLB)'!AZ$98&gt;0,'Random-Controlled (MLT - PLB)'!AZ$98&lt;&gt;""),'Random-Controlled (MLT - PLB)'!AZ$98&amp;"/"&amp;'Random-Controlled (MLT - PLB)'!$I$98,"")</f>
        <v>121/2626</v>
      </c>
      <c r="F87" s="739" t="str">
        <f t="shared" si="2"/>
        <v/>
      </c>
      <c r="G87" s="740"/>
      <c r="H87" s="740"/>
      <c r="I87" s="740"/>
      <c r="J87" s="740"/>
      <c r="K87" s="740"/>
      <c r="L87" s="740"/>
      <c r="M87" s="741"/>
    </row>
    <row r="88" spans="1:13" ht="22" customHeight="1" x14ac:dyDescent="0.25">
      <c r="B88" s="116" t="s">
        <v>550</v>
      </c>
    </row>
    <row r="89" spans="1:13" ht="22" customHeight="1" x14ac:dyDescent="0.25">
      <c r="B89" s="116" t="s">
        <v>551</v>
      </c>
    </row>
  </sheetData>
  <mergeCells count="69">
    <mergeCell ref="F24:M24"/>
    <mergeCell ref="F25:M25"/>
    <mergeCell ref="F26:M26"/>
    <mergeCell ref="F27:M27"/>
    <mergeCell ref="F18:M18"/>
    <mergeCell ref="F19:M19"/>
    <mergeCell ref="F20:M20"/>
    <mergeCell ref="F21:M21"/>
    <mergeCell ref="F22:M22"/>
    <mergeCell ref="F23:M23"/>
    <mergeCell ref="A3:C4"/>
    <mergeCell ref="A32:C34"/>
    <mergeCell ref="F36:M36"/>
    <mergeCell ref="F37:M37"/>
    <mergeCell ref="F17:M17"/>
    <mergeCell ref="F6:M6"/>
    <mergeCell ref="F7:M7"/>
    <mergeCell ref="F8:M8"/>
    <mergeCell ref="F9:M9"/>
    <mergeCell ref="F10:M10"/>
    <mergeCell ref="F11:M11"/>
    <mergeCell ref="F12:M12"/>
    <mergeCell ref="F13:M13"/>
    <mergeCell ref="F14:M14"/>
    <mergeCell ref="F15:M15"/>
    <mergeCell ref="F16:M16"/>
    <mergeCell ref="F38:M38"/>
    <mergeCell ref="F39:M39"/>
    <mergeCell ref="F40:M40"/>
    <mergeCell ref="F41:M41"/>
    <mergeCell ref="F42:M42"/>
    <mergeCell ref="F43:M43"/>
    <mergeCell ref="F44:M44"/>
    <mergeCell ref="F45:M45"/>
    <mergeCell ref="F46:M46"/>
    <mergeCell ref="F47:M47"/>
    <mergeCell ref="F48:M48"/>
    <mergeCell ref="F49:M49"/>
    <mergeCell ref="F50:M50"/>
    <mergeCell ref="F51:M51"/>
    <mergeCell ref="F52:M52"/>
    <mergeCell ref="F53:M53"/>
    <mergeCell ref="F54:M54"/>
    <mergeCell ref="F55:M55"/>
    <mergeCell ref="F56:M56"/>
    <mergeCell ref="F57:M57"/>
    <mergeCell ref="A62:C64"/>
    <mergeCell ref="F66:M66"/>
    <mergeCell ref="F67:M67"/>
    <mergeCell ref="F68:M68"/>
    <mergeCell ref="F69:M69"/>
    <mergeCell ref="F70:M70"/>
    <mergeCell ref="F71:M71"/>
    <mergeCell ref="F72:M72"/>
    <mergeCell ref="F73:M73"/>
    <mergeCell ref="F74:M74"/>
    <mergeCell ref="F75:M75"/>
    <mergeCell ref="F76:M76"/>
    <mergeCell ref="F77:M77"/>
    <mergeCell ref="F78:M78"/>
    <mergeCell ref="F79:M79"/>
    <mergeCell ref="F85:M85"/>
    <mergeCell ref="F86:M86"/>
    <mergeCell ref="F87:M87"/>
    <mergeCell ref="F80:M80"/>
    <mergeCell ref="F81:M81"/>
    <mergeCell ref="F82:M82"/>
    <mergeCell ref="F83:M83"/>
    <mergeCell ref="F84:M8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67"/>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314" t="s">
        <v>162</v>
      </c>
      <c r="M2" s="315"/>
      <c r="N2" s="315"/>
      <c r="O2" s="315"/>
      <c r="P2" s="315"/>
      <c r="Q2" s="315"/>
      <c r="R2" s="315"/>
      <c r="S2" s="315"/>
      <c r="T2" s="315"/>
      <c r="U2" s="315"/>
      <c r="V2" s="315"/>
      <c r="W2" s="315"/>
      <c r="X2" s="315"/>
      <c r="Y2" s="315"/>
      <c r="Z2" s="315"/>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6"/>
    </row>
    <row r="3" spans="1:54" ht="16" customHeight="1" x14ac:dyDescent="0.2">
      <c r="E3" s="374" t="s">
        <v>229</v>
      </c>
      <c r="L3" s="320" t="s">
        <v>234</v>
      </c>
      <c r="M3" s="339"/>
      <c r="N3" s="338" t="s">
        <v>160</v>
      </c>
      <c r="O3" s="339"/>
      <c r="P3" s="320" t="s">
        <v>236</v>
      </c>
      <c r="Q3" s="339"/>
      <c r="R3" s="338" t="s">
        <v>171</v>
      </c>
      <c r="S3" s="339"/>
      <c r="T3" s="338" t="s">
        <v>164</v>
      </c>
      <c r="U3" s="339"/>
      <c r="V3" s="343" t="s">
        <v>207</v>
      </c>
      <c r="W3" s="339"/>
      <c r="X3" s="338" t="s">
        <v>172</v>
      </c>
      <c r="Y3" s="339"/>
      <c r="Z3" s="338" t="s">
        <v>170</v>
      </c>
      <c r="AA3" s="339"/>
      <c r="AB3" s="338" t="s">
        <v>173</v>
      </c>
      <c r="AC3" s="339"/>
      <c r="AD3" s="338" t="s">
        <v>161</v>
      </c>
      <c r="AE3" s="339"/>
      <c r="AF3" s="320" t="s">
        <v>371</v>
      </c>
      <c r="AG3" s="321"/>
      <c r="AH3" s="338" t="s">
        <v>157</v>
      </c>
      <c r="AI3" s="339"/>
      <c r="AJ3" s="320" t="s">
        <v>233</v>
      </c>
      <c r="AK3" s="339"/>
      <c r="AL3" s="338" t="s">
        <v>163</v>
      </c>
      <c r="AM3" s="339"/>
      <c r="AN3" s="338" t="s">
        <v>206</v>
      </c>
      <c r="AO3" s="339"/>
      <c r="AP3" s="338" t="s">
        <v>158</v>
      </c>
      <c r="AQ3" s="339"/>
      <c r="AR3" s="320" t="s">
        <v>235</v>
      </c>
      <c r="AS3" s="339"/>
      <c r="AT3" s="338" t="s">
        <v>159</v>
      </c>
      <c r="AU3" s="339"/>
      <c r="AV3" s="338" t="s">
        <v>205</v>
      </c>
      <c r="AW3" s="339"/>
      <c r="AX3" s="338" t="s">
        <v>204</v>
      </c>
      <c r="AY3" s="339"/>
      <c r="AZ3" s="338" t="s">
        <v>201</v>
      </c>
      <c r="BA3" s="339"/>
    </row>
    <row r="4" spans="1:54" ht="20" customHeight="1" x14ac:dyDescent="0.2">
      <c r="C4" s="60"/>
      <c r="E4" s="375"/>
      <c r="L4" s="340"/>
      <c r="M4" s="335"/>
      <c r="N4" s="340"/>
      <c r="O4" s="335"/>
      <c r="P4" s="340"/>
      <c r="Q4" s="335"/>
      <c r="R4" s="340"/>
      <c r="S4" s="335"/>
      <c r="T4" s="340"/>
      <c r="U4" s="335"/>
      <c r="V4" s="334"/>
      <c r="W4" s="335"/>
      <c r="X4" s="340"/>
      <c r="Y4" s="335"/>
      <c r="Z4" s="340"/>
      <c r="AA4" s="335"/>
      <c r="AB4" s="340"/>
      <c r="AC4" s="335"/>
      <c r="AD4" s="340"/>
      <c r="AE4" s="335"/>
      <c r="AF4" s="322"/>
      <c r="AG4" s="323"/>
      <c r="AH4" s="340"/>
      <c r="AI4" s="335"/>
      <c r="AJ4" s="340"/>
      <c r="AK4" s="335"/>
      <c r="AL4" s="340"/>
      <c r="AM4" s="335"/>
      <c r="AN4" s="340"/>
      <c r="AO4" s="335"/>
      <c r="AP4" s="340"/>
      <c r="AQ4" s="335"/>
      <c r="AR4" s="340"/>
      <c r="AS4" s="335"/>
      <c r="AT4" s="340"/>
      <c r="AU4" s="335"/>
      <c r="AV4" s="340"/>
      <c r="AW4" s="335"/>
      <c r="AX4" s="340"/>
      <c r="AY4" s="335"/>
      <c r="AZ4" s="340"/>
      <c r="BA4" s="335"/>
    </row>
    <row r="5" spans="1:54" ht="20" customHeight="1" thickBot="1" x14ac:dyDescent="0.25">
      <c r="B5" s="46"/>
      <c r="C5" s="59"/>
      <c r="E5" s="372" t="s">
        <v>242</v>
      </c>
      <c r="J5" s="22"/>
      <c r="K5" s="22"/>
      <c r="L5" s="341"/>
      <c r="M5" s="342"/>
      <c r="N5" s="341"/>
      <c r="O5" s="342"/>
      <c r="P5" s="341"/>
      <c r="Q5" s="342"/>
      <c r="R5" s="341"/>
      <c r="S5" s="342"/>
      <c r="T5" s="341"/>
      <c r="U5" s="342"/>
      <c r="V5" s="344"/>
      <c r="W5" s="342"/>
      <c r="X5" s="341"/>
      <c r="Y5" s="342"/>
      <c r="Z5" s="341"/>
      <c r="AA5" s="342"/>
      <c r="AB5" s="341"/>
      <c r="AC5" s="342"/>
      <c r="AD5" s="341"/>
      <c r="AE5" s="342"/>
      <c r="AF5" s="324"/>
      <c r="AG5" s="325"/>
      <c r="AH5" s="341"/>
      <c r="AI5" s="342"/>
      <c r="AJ5" s="341"/>
      <c r="AK5" s="342"/>
      <c r="AL5" s="341"/>
      <c r="AM5" s="342"/>
      <c r="AN5" s="341"/>
      <c r="AO5" s="342"/>
      <c r="AP5" s="341"/>
      <c r="AQ5" s="342"/>
      <c r="AR5" s="341"/>
      <c r="AS5" s="342"/>
      <c r="AT5" s="341"/>
      <c r="AU5" s="342"/>
      <c r="AV5" s="341"/>
      <c r="AW5" s="342"/>
      <c r="AX5" s="341"/>
      <c r="AY5" s="342"/>
      <c r="AZ5" s="341"/>
      <c r="BA5" s="342"/>
    </row>
    <row r="6" spans="1:54" ht="20" customHeight="1" x14ac:dyDescent="0.2">
      <c r="A6" s="702"/>
      <c r="B6" s="45"/>
      <c r="C6" s="58"/>
      <c r="E6" s="372"/>
      <c r="H6" s="370" t="s">
        <v>24</v>
      </c>
      <c r="I6" s="306" t="s">
        <v>322</v>
      </c>
      <c r="J6" s="376" t="s">
        <v>320</v>
      </c>
      <c r="K6" s="377" t="s">
        <v>321</v>
      </c>
      <c r="L6" s="366" t="s">
        <v>237</v>
      </c>
      <c r="M6" s="327" t="s">
        <v>238</v>
      </c>
      <c r="N6" s="365" t="s">
        <v>237</v>
      </c>
      <c r="O6" s="327" t="s">
        <v>238</v>
      </c>
      <c r="P6" s="365" t="s">
        <v>237</v>
      </c>
      <c r="Q6" s="327" t="s">
        <v>238</v>
      </c>
      <c r="R6" s="365" t="s">
        <v>237</v>
      </c>
      <c r="S6" s="327" t="s">
        <v>238</v>
      </c>
      <c r="T6" s="365" t="s">
        <v>237</v>
      </c>
      <c r="U6" s="327" t="s">
        <v>238</v>
      </c>
      <c r="V6" s="326" t="s">
        <v>237</v>
      </c>
      <c r="W6" s="327" t="s">
        <v>238</v>
      </c>
      <c r="X6" s="367" t="s">
        <v>237</v>
      </c>
      <c r="Y6" s="327" t="s">
        <v>238</v>
      </c>
      <c r="Z6" s="365" t="s">
        <v>237</v>
      </c>
      <c r="AA6" s="327" t="s">
        <v>238</v>
      </c>
      <c r="AB6" s="365" t="s">
        <v>237</v>
      </c>
      <c r="AC6" s="327" t="s">
        <v>238</v>
      </c>
      <c r="AD6" s="363" t="s">
        <v>237</v>
      </c>
      <c r="AE6" s="327" t="s">
        <v>238</v>
      </c>
      <c r="AF6" s="326" t="s">
        <v>237</v>
      </c>
      <c r="AG6" s="327" t="s">
        <v>238</v>
      </c>
      <c r="AH6" s="363" t="s">
        <v>237</v>
      </c>
      <c r="AI6" s="345" t="s">
        <v>238</v>
      </c>
      <c r="AJ6" s="366" t="s">
        <v>237</v>
      </c>
      <c r="AK6" s="327" t="s">
        <v>238</v>
      </c>
      <c r="AL6" s="365" t="s">
        <v>237</v>
      </c>
      <c r="AM6" s="327" t="s">
        <v>238</v>
      </c>
      <c r="AN6" s="365" t="s">
        <v>237</v>
      </c>
      <c r="AO6" s="327" t="s">
        <v>238</v>
      </c>
      <c r="AP6" s="365" t="s">
        <v>237</v>
      </c>
      <c r="AQ6" s="327" t="s">
        <v>238</v>
      </c>
      <c r="AR6" s="366" t="s">
        <v>237</v>
      </c>
      <c r="AS6" s="327" t="s">
        <v>238</v>
      </c>
      <c r="AT6" s="365" t="s">
        <v>237</v>
      </c>
      <c r="AU6" s="327" t="s">
        <v>238</v>
      </c>
      <c r="AV6" s="365" t="s">
        <v>237</v>
      </c>
      <c r="AW6" s="327" t="s">
        <v>238</v>
      </c>
      <c r="AX6" s="365" t="s">
        <v>237</v>
      </c>
      <c r="AY6" s="327" t="s">
        <v>238</v>
      </c>
      <c r="AZ6" s="365" t="s">
        <v>237</v>
      </c>
      <c r="BA6" s="327" t="s">
        <v>238</v>
      </c>
    </row>
    <row r="7" spans="1:54" ht="23" customHeight="1" thickBot="1" x14ac:dyDescent="0.25">
      <c r="A7" s="370" t="s">
        <v>597</v>
      </c>
      <c r="B7" s="370" t="s">
        <v>245</v>
      </c>
      <c r="C7" s="371" t="s">
        <v>479</v>
      </c>
      <c r="E7" s="373"/>
      <c r="H7" s="370"/>
      <c r="I7" s="293"/>
      <c r="J7" s="294"/>
      <c r="K7" s="295"/>
      <c r="L7" s="366"/>
      <c r="M7" s="327"/>
      <c r="N7" s="365"/>
      <c r="O7" s="327"/>
      <c r="P7" s="365"/>
      <c r="Q7" s="327"/>
      <c r="R7" s="365"/>
      <c r="S7" s="327"/>
      <c r="T7" s="365"/>
      <c r="U7" s="327"/>
      <c r="V7" s="326"/>
      <c r="W7" s="327"/>
      <c r="X7" s="368"/>
      <c r="Y7" s="327"/>
      <c r="Z7" s="365"/>
      <c r="AA7" s="327"/>
      <c r="AB7" s="365"/>
      <c r="AC7" s="327"/>
      <c r="AD7" s="364"/>
      <c r="AE7" s="327"/>
      <c r="AF7" s="326"/>
      <c r="AG7" s="327"/>
      <c r="AH7" s="364"/>
      <c r="AI7" s="346"/>
      <c r="AJ7" s="365"/>
      <c r="AK7" s="327"/>
      <c r="AL7" s="365"/>
      <c r="AM7" s="327"/>
      <c r="AN7" s="365"/>
      <c r="AO7" s="327"/>
      <c r="AP7" s="365"/>
      <c r="AQ7" s="327"/>
      <c r="AR7" s="366"/>
      <c r="AS7" s="327"/>
      <c r="AT7" s="365"/>
      <c r="AU7" s="327"/>
      <c r="AV7" s="365"/>
      <c r="AW7" s="327"/>
      <c r="AX7" s="365"/>
      <c r="AY7" s="327"/>
      <c r="AZ7" s="365"/>
      <c r="BA7" s="327"/>
    </row>
    <row r="8" spans="1:54" ht="23" customHeight="1" x14ac:dyDescent="0.2">
      <c r="A8" s="370"/>
      <c r="B8" s="370"/>
      <c r="C8" s="371"/>
      <c r="H8" s="370"/>
      <c r="I8" s="293"/>
      <c r="J8" s="294"/>
      <c r="K8" s="295"/>
      <c r="L8" s="366"/>
      <c r="M8" s="327"/>
      <c r="N8" s="365"/>
      <c r="O8" s="327"/>
      <c r="P8" s="365"/>
      <c r="Q8" s="327"/>
      <c r="R8" s="365"/>
      <c r="S8" s="327"/>
      <c r="T8" s="365"/>
      <c r="U8" s="327"/>
      <c r="V8" s="326"/>
      <c r="W8" s="327"/>
      <c r="X8" s="368"/>
      <c r="Y8" s="327"/>
      <c r="Z8" s="365"/>
      <c r="AA8" s="327"/>
      <c r="AB8" s="365"/>
      <c r="AC8" s="327"/>
      <c r="AD8" s="364"/>
      <c r="AE8" s="327"/>
      <c r="AF8" s="326"/>
      <c r="AG8" s="327"/>
      <c r="AH8" s="364"/>
      <c r="AI8" s="346"/>
      <c r="AJ8" s="365"/>
      <c r="AK8" s="327"/>
      <c r="AL8" s="365"/>
      <c r="AM8" s="327"/>
      <c r="AN8" s="365"/>
      <c r="AO8" s="327"/>
      <c r="AP8" s="365"/>
      <c r="AQ8" s="327"/>
      <c r="AR8" s="366"/>
      <c r="AS8" s="327"/>
      <c r="AT8" s="365"/>
      <c r="AU8" s="327"/>
      <c r="AV8" s="365"/>
      <c r="AW8" s="327"/>
      <c r="AX8" s="365"/>
      <c r="AY8" s="327"/>
      <c r="AZ8" s="365"/>
      <c r="BA8" s="327"/>
    </row>
    <row r="9" spans="1:54" ht="23" customHeight="1" x14ac:dyDescent="0.2">
      <c r="A9" s="370"/>
      <c r="B9" s="370"/>
      <c r="C9" s="371"/>
      <c r="H9" s="370"/>
      <c r="I9" s="293"/>
      <c r="J9" s="294"/>
      <c r="K9" s="295"/>
      <c r="L9" s="366"/>
      <c r="M9" s="327"/>
      <c r="N9" s="365"/>
      <c r="O9" s="327"/>
      <c r="P9" s="365"/>
      <c r="Q9" s="327"/>
      <c r="R9" s="365"/>
      <c r="S9" s="327"/>
      <c r="T9" s="365"/>
      <c r="U9" s="327"/>
      <c r="V9" s="326"/>
      <c r="W9" s="327"/>
      <c r="X9" s="368"/>
      <c r="Y9" s="327"/>
      <c r="Z9" s="365"/>
      <c r="AA9" s="327"/>
      <c r="AB9" s="365"/>
      <c r="AC9" s="327"/>
      <c r="AD9" s="364"/>
      <c r="AE9" s="327"/>
      <c r="AF9" s="326"/>
      <c r="AG9" s="327"/>
      <c r="AH9" s="364"/>
      <c r="AI9" s="346"/>
      <c r="AJ9" s="365"/>
      <c r="AK9" s="327"/>
      <c r="AL9" s="365"/>
      <c r="AM9" s="327"/>
      <c r="AN9" s="365"/>
      <c r="AO9" s="327"/>
      <c r="AP9" s="365"/>
      <c r="AQ9" s="327"/>
      <c r="AR9" s="366"/>
      <c r="AS9" s="327"/>
      <c r="AT9" s="365"/>
      <c r="AU9" s="327"/>
      <c r="AV9" s="365"/>
      <c r="AW9" s="327"/>
      <c r="AX9" s="365"/>
      <c r="AY9" s="327"/>
      <c r="AZ9" s="365"/>
      <c r="BA9" s="327"/>
    </row>
    <row r="10" spans="1:54" s="20" customFormat="1" ht="23" customHeight="1" thickBot="1" x14ac:dyDescent="0.25">
      <c r="A10" s="370"/>
      <c r="B10" s="370"/>
      <c r="C10" s="371"/>
      <c r="D10" s="706" t="s">
        <v>20</v>
      </c>
      <c r="E10" s="174" t="s">
        <v>21</v>
      </c>
      <c r="F10" s="174" t="s">
        <v>22</v>
      </c>
      <c r="G10" s="706" t="s">
        <v>23</v>
      </c>
      <c r="H10" s="370"/>
      <c r="I10" s="293"/>
      <c r="J10" s="294"/>
      <c r="K10" s="295"/>
      <c r="L10" s="367"/>
      <c r="M10" s="345"/>
      <c r="N10" s="363"/>
      <c r="O10" s="345"/>
      <c r="P10" s="363"/>
      <c r="Q10" s="345"/>
      <c r="R10" s="363"/>
      <c r="S10" s="345"/>
      <c r="T10" s="363"/>
      <c r="U10" s="345"/>
      <c r="V10" s="707"/>
      <c r="W10" s="345"/>
      <c r="X10" s="368"/>
      <c r="Y10" s="345"/>
      <c r="Z10" s="363"/>
      <c r="AA10" s="345"/>
      <c r="AB10" s="363"/>
      <c r="AC10" s="345"/>
      <c r="AD10" s="364"/>
      <c r="AE10" s="345"/>
      <c r="AF10" s="707"/>
      <c r="AG10" s="345"/>
      <c r="AH10" s="364"/>
      <c r="AI10" s="346"/>
      <c r="AJ10" s="363"/>
      <c r="AK10" s="345"/>
      <c r="AL10" s="363"/>
      <c r="AM10" s="345"/>
      <c r="AN10" s="363"/>
      <c r="AO10" s="345"/>
      <c r="AP10" s="363"/>
      <c r="AQ10" s="345"/>
      <c r="AR10" s="367"/>
      <c r="AS10" s="345"/>
      <c r="AT10" s="363"/>
      <c r="AU10" s="345"/>
      <c r="AV10" s="363"/>
      <c r="AW10" s="345"/>
      <c r="AX10" s="363"/>
      <c r="AY10" s="345"/>
      <c r="AZ10" s="363"/>
      <c r="BA10" s="345"/>
      <c r="BB10" s="708" t="s">
        <v>25</v>
      </c>
    </row>
    <row r="11" spans="1:54" s="20" customFormat="1" ht="20" customHeight="1" x14ac:dyDescent="0.2">
      <c r="A11" s="717"/>
      <c r="B11" s="718"/>
      <c r="C11" s="262"/>
      <c r="D11" s="719" t="s">
        <v>85</v>
      </c>
      <c r="E11" s="720" t="s">
        <v>246</v>
      </c>
      <c r="F11" s="720" t="s">
        <v>247</v>
      </c>
      <c r="G11" s="719">
        <v>2015</v>
      </c>
      <c r="H11" s="286"/>
      <c r="I11" s="709">
        <v>40</v>
      </c>
      <c r="J11" s="710" t="s">
        <v>323</v>
      </c>
      <c r="K11" s="711" t="s">
        <v>324</v>
      </c>
      <c r="L11" s="712"/>
      <c r="M11" s="713" t="str">
        <f t="shared" ref="M11:M54" si="0">IF((ISERROR((L11/$I11)*100)), "", IF(AND(NOT(ISERROR((L11/$I11)*100)),((L11/$I11)*100) &lt;&gt; 0), (L11/$I11)*100, ""))</f>
        <v/>
      </c>
      <c r="N11" s="714"/>
      <c r="O11" s="713" t="str">
        <f t="shared" ref="O11:O54" si="1">IF((ISERROR((N11/$I11)*100)), "", IF(AND(NOT(ISERROR((N11/$I11)*100)),((N11/$I11)*100) &lt;&gt; 0), (N11/$I11)*100, ""))</f>
        <v/>
      </c>
      <c r="P11" s="714"/>
      <c r="Q11" s="713" t="str">
        <f t="shared" ref="Q11:Q54" si="2">IF((ISERROR((P11/$I11)*100)), "", IF(AND(NOT(ISERROR((P11/$I11)*100)),((P11/$I11)*100) &lt;&gt; 0), (P11/$I11)*100, ""))</f>
        <v/>
      </c>
      <c r="R11" s="714"/>
      <c r="S11" s="713" t="str">
        <f t="shared" ref="S11:S54" si="3">IF((ISERROR((R11/$I11)*100)), "", IF(AND(NOT(ISERROR((R11/$I11)*100)),((R11/$I11)*100) &lt;&gt; 0), (R11/$I11)*100, ""))</f>
        <v/>
      </c>
      <c r="T11" s="714"/>
      <c r="U11" s="713" t="str">
        <f t="shared" ref="U11:Y54" si="4">IF((ISERROR((T11/$I11)*100)), "", IF(AND(NOT(ISERROR((T11/$I11)*100)),((T11/$I11)*100) &lt;&gt; 0), (T11/$I11)*100, ""))</f>
        <v/>
      </c>
      <c r="V11" s="715"/>
      <c r="W11" s="716" t="str">
        <f t="shared" ref="W11:W54" si="5">IF((ISERROR((V11/$I11)*100)), "", IF(AND(NOT(ISERROR((V11/$I11)*100)),((V11/$I11)*100) &lt;&gt; 0), (V11/$I11)*100, ""))</f>
        <v/>
      </c>
      <c r="X11" s="712"/>
      <c r="Y11" s="713" t="str">
        <f>IF((ISERROR((X11/$I11)*100)), "", IF(AND(NOT(ISERROR((X11/$I11)*100)),((X11/$I11)*100) &lt;&gt; 0), (X11/$I11)*100, ""))</f>
        <v/>
      </c>
      <c r="Z11" s="714"/>
      <c r="AA11" s="713" t="str">
        <f>IF((ISERROR((Z11/$I11)*100)), "", IF(AND(NOT(ISERROR((Z11/$I11)*100)),((Z11/$I11)*100) &lt;&gt; 0), (Z11/$I11)*100, ""))</f>
        <v/>
      </c>
      <c r="AB11" s="714"/>
      <c r="AC11" s="713" t="str">
        <f>IF((ISERROR((AB11/$I11)*100)), "", IF(AND(NOT(ISERROR((AB11/$I11)*100)),((AB11/$I11)*100) &lt;&gt; 0), (AB11/$I11)*100, ""))</f>
        <v/>
      </c>
      <c r="AD11" s="714"/>
      <c r="AE11" s="713" t="str">
        <f>IF((ISERROR((AD11/$I11)*100)), "", IF(AND(NOT(ISERROR((AD11/$I11)*100)),((AD11/$I11)*100) &lt;&gt; 0), (AD11/$I11)*100, ""))</f>
        <v/>
      </c>
      <c r="AF11" s="715"/>
      <c r="AG11" s="716" t="str">
        <f t="shared" ref="AG11:AG54" si="6">IF((ISERROR((AF11/$I11)*100)), "", IF(AND(NOT(ISERROR((AF11/$I11)*100)),((AF11/$I11)*100) &lt;&gt; 0), (AF11/$I11)*100, ""))</f>
        <v/>
      </c>
      <c r="AH11" s="714"/>
      <c r="AI11" s="713" t="str">
        <f>IF((ISERROR((AH11/$I11)*100)), "", IF(AND(NOT(ISERROR((AH11/$I11)*100)),((AH11/$I11)*100) &lt;&gt; 0), (AH11/$I11)*100, ""))</f>
        <v/>
      </c>
      <c r="AJ11" s="714"/>
      <c r="AK11" s="713" t="str">
        <f t="shared" ref="AK11:AK54" si="7">IF((ISERROR((AJ11/$I11)*100)), "", IF(AND(NOT(ISERROR((AJ11/$I11)*100)),((AJ11/$I11)*100) &lt;&gt; 0), (AJ11/$I11)*100, ""))</f>
        <v/>
      </c>
      <c r="AL11" s="714"/>
      <c r="AM11" s="713" t="str">
        <f>IF((ISERROR((AL11/$I11)*100)), "", IF(AND(NOT(ISERROR((AL11/$I11)*100)),((AL11/$I11)*100) &lt;&gt; 0), (AL11/$I11)*100, ""))</f>
        <v/>
      </c>
      <c r="AN11" s="714"/>
      <c r="AO11" s="713" t="str">
        <f>IF((ISERROR((AN11/$I11)*100)), "", IF(AND(NOT(ISERROR((AN11/$I11)*100)),((AN11/$I11)*100) &lt;&gt; 0), (AN11/$I11)*100, ""))</f>
        <v/>
      </c>
      <c r="AP11" s="714"/>
      <c r="AQ11" s="713" t="str">
        <f t="shared" ref="AQ11:AQ54" si="8">IF((ISERROR((AP11/$I11)*100)), "", IF(AND(NOT(ISERROR((AP11/$I11)*100)),((AP11/$I11)*100) &lt;&gt; 0), (AP11/$I11)*100, ""))</f>
        <v/>
      </c>
      <c r="AR11" s="712"/>
      <c r="AS11" s="713" t="str">
        <f t="shared" ref="AS11:AS54" si="9">IF((ISERROR((AR11/$I11)*100)), "", IF(AND(NOT(ISERROR((AR11/$I11)*100)),((AR11/$I11)*100) &lt;&gt; 0), (AR11/$I11)*100, ""))</f>
        <v/>
      </c>
      <c r="AT11" s="714"/>
      <c r="AU11" s="713" t="str">
        <f t="shared" ref="AU11" si="10">IF((ISERROR((AT11/$I11)*100)), "", IF(AND(NOT(ISERROR((AT11/$I11)*100)),((AT11/$I11)*100) &lt;&gt; 0), (AT11/$I11)*100, ""))</f>
        <v/>
      </c>
      <c r="AV11" s="714"/>
      <c r="AW11" s="713" t="str">
        <f t="shared" ref="AW11" si="11">IF((ISERROR((AV11/$I11)*100)), "", IF(AND(NOT(ISERROR((AV11/$I11)*100)),((AV11/$I11)*100) &lt;&gt; 0), (AV11/$I11)*100, ""))</f>
        <v/>
      </c>
      <c r="AX11" s="714"/>
      <c r="AY11" s="713" t="str">
        <f t="shared" ref="AY11" si="12">IF((ISERROR((AX11/$I11)*100)), "", IF(AND(NOT(ISERROR((AX11/$I11)*100)),((AX11/$I11)*100) &lt;&gt; 0), (AX11/$I11)*100, ""))</f>
        <v/>
      </c>
      <c r="AZ11" s="714"/>
      <c r="BA11" s="713" t="str">
        <f t="shared" ref="BA11" si="13">IF((ISERROR((AZ11/$I11)*100)), "", IF(AND(NOT(ISERROR((AZ11/$I11)*100)),((AZ11/$I11)*100) &lt;&gt; 0), (AZ11/$I11)*100, ""))</f>
        <v/>
      </c>
      <c r="BB11" s="47" t="s">
        <v>325</v>
      </c>
    </row>
    <row r="12" spans="1:54" ht="20" customHeight="1" x14ac:dyDescent="0.2">
      <c r="A12" s="678"/>
      <c r="B12" s="721"/>
      <c r="C12" s="255"/>
      <c r="D12" s="722" t="s">
        <v>85</v>
      </c>
      <c r="E12" s="723" t="s">
        <v>26</v>
      </c>
      <c r="F12" s="723" t="s">
        <v>27</v>
      </c>
      <c r="G12" s="722">
        <v>2008</v>
      </c>
      <c r="H12" s="287">
        <v>165</v>
      </c>
      <c r="I12" s="81">
        <v>107</v>
      </c>
      <c r="J12" s="76" t="s">
        <v>165</v>
      </c>
      <c r="K12" s="77"/>
      <c r="L12" s="31"/>
      <c r="M12" s="34" t="str">
        <f t="shared" si="0"/>
        <v/>
      </c>
      <c r="N12" s="31"/>
      <c r="O12" s="34" t="str">
        <f t="shared" si="1"/>
        <v/>
      </c>
      <c r="P12" s="31"/>
      <c r="Q12" s="34" t="str">
        <f t="shared" si="2"/>
        <v/>
      </c>
      <c r="R12" s="31"/>
      <c r="S12" s="34" t="str">
        <f t="shared" si="3"/>
        <v/>
      </c>
      <c r="T12" s="31">
        <v>1</v>
      </c>
      <c r="U12" s="34">
        <f t="shared" si="4"/>
        <v>0.93457943925233633</v>
      </c>
      <c r="V12" s="56">
        <v>1</v>
      </c>
      <c r="W12" s="34">
        <f t="shared" si="5"/>
        <v>0.93457943925233633</v>
      </c>
      <c r="X12" s="31"/>
      <c r="Y12" s="34" t="str">
        <f t="shared" ref="Y12:Y55" si="14">IF((ISERROR((X12/$I12)*100)), "", IF(AND(NOT(ISERROR((X12/$I12)*100)),((X12/$I12)*100) &lt;&gt; 0), (X12/$I12)*100, ""))</f>
        <v/>
      </c>
      <c r="Z12" s="50"/>
      <c r="AA12" s="51" t="str">
        <f t="shared" ref="AA12:AA55" si="15">IF((ISERROR((Z12/$I12)*100)), "", IF(AND(NOT(ISERROR((Z12/$I12)*100)),((Z12/$I12)*100) &lt;&gt; 0), (Z12/$I12)*100, ""))</f>
        <v/>
      </c>
      <c r="AB12" s="50"/>
      <c r="AC12" s="51" t="str">
        <f t="shared" ref="AC12:AC55" si="16">IF((ISERROR((AB12/$I12)*100)), "", IF(AND(NOT(ISERROR((AB12/$I12)*100)),((AB12/$I12)*100) &lt;&gt; 0), (AB12/$I12)*100, ""))</f>
        <v/>
      </c>
      <c r="AD12" s="50"/>
      <c r="AE12" s="51" t="str">
        <f t="shared" ref="AE12:AE55" si="17">IF((ISERROR((AD12/$I12)*100)), "", IF(AND(NOT(ISERROR((AD12/$I12)*100)),((AD12/$I12)*100) &lt;&gt; 0), (AD12/$I12)*100, ""))</f>
        <v/>
      </c>
      <c r="AF12" s="52"/>
      <c r="AG12" s="34" t="str">
        <f t="shared" si="6"/>
        <v/>
      </c>
      <c r="AH12" s="31"/>
      <c r="AI12" s="34" t="str">
        <f>IF((ISERROR((AH12/$I12)*100)), "", IF(AND(NOT(ISERROR((AH12/$I12)*100)),((AH12/$I12)*100) &lt;&gt; 0), (AH12/$I12)*100, ""))</f>
        <v/>
      </c>
      <c r="AJ12" s="31"/>
      <c r="AK12" s="34" t="str">
        <f t="shared" si="7"/>
        <v/>
      </c>
      <c r="AL12" s="31">
        <v>1</v>
      </c>
      <c r="AM12" s="34">
        <f t="shared" ref="AM12:AM55" si="18">IF((ISERROR((AL12/$I12)*100)), "", IF(AND(NOT(ISERROR((AL12/$I12)*100)),((AL12/$I12)*100) &lt;&gt; 0), (AL12/$I12)*100, ""))</f>
        <v>0.93457943925233633</v>
      </c>
      <c r="AN12" s="31"/>
      <c r="AO12" s="34" t="str">
        <f t="shared" ref="AO12:AU149" si="19">IF((ISERROR((AN12/$I12)*100)), "", IF(AND(NOT(ISERROR((AN12/$I12)*100)),((AN12/$I12)*100) &lt;&gt; 0), (AN12/$I12)*100, ""))</f>
        <v/>
      </c>
      <c r="AP12" s="50"/>
      <c r="AQ12" s="51" t="str">
        <f t="shared" si="8"/>
        <v/>
      </c>
      <c r="AR12" s="50"/>
      <c r="AS12" s="51" t="str">
        <f t="shared" si="9"/>
        <v/>
      </c>
      <c r="AT12" s="50"/>
      <c r="AU12" s="51" t="str">
        <f t="shared" si="19"/>
        <v/>
      </c>
      <c r="AV12" s="50"/>
      <c r="AW12" s="51" t="str">
        <f t="shared" ref="AW12:AW93" si="20">IF((ISERROR((AV12/$I12)*100)), "", IF(AND(NOT(ISERROR((AV12/$I12)*100)),((AV12/$I12)*100) &lt;&gt; 0), (AV12/$I12)*100, ""))</f>
        <v/>
      </c>
      <c r="AX12" s="50"/>
      <c r="AY12" s="51" t="str">
        <f t="shared" ref="AY12:AY55" si="21">IF((ISERROR((AX12/$I12)*100)), "", IF(AND(NOT(ISERROR((AX12/$I12)*100)),((AX12/$I12)*100) &lt;&gt; 0), (AX12/$I12)*100, ""))</f>
        <v/>
      </c>
      <c r="AZ12" s="50"/>
      <c r="BA12" s="51" t="str">
        <f t="shared" ref="BA12:BA55" si="22">IF((ISERROR((AZ12/$I12)*100)), "", IF(AND(NOT(ISERROR((AZ12/$I12)*100)),((AZ12/$I12)*100) &lt;&gt; 0), (AZ12/$I12)*100, ""))</f>
        <v/>
      </c>
      <c r="BB12" s="21" t="s">
        <v>552</v>
      </c>
    </row>
    <row r="13" spans="1:54" ht="20" customHeight="1" x14ac:dyDescent="0.2">
      <c r="A13" s="678"/>
      <c r="B13" s="725"/>
      <c r="C13" s="722"/>
      <c r="D13" s="727" t="s">
        <v>30</v>
      </c>
      <c r="E13" s="728" t="s">
        <v>28</v>
      </c>
      <c r="F13" s="728" t="s">
        <v>29</v>
      </c>
      <c r="G13" s="727">
        <v>2016</v>
      </c>
      <c r="H13" s="729">
        <v>22</v>
      </c>
      <c r="I13" s="65"/>
      <c r="J13" s="61"/>
      <c r="K13" s="62"/>
      <c r="L13" s="31"/>
      <c r="M13" s="34" t="str">
        <f t="shared" si="0"/>
        <v/>
      </c>
      <c r="N13" s="31"/>
      <c r="O13" s="34" t="str">
        <f t="shared" si="1"/>
        <v/>
      </c>
      <c r="P13" s="31"/>
      <c r="Q13" s="34" t="str">
        <f t="shared" si="2"/>
        <v/>
      </c>
      <c r="R13" s="31"/>
      <c r="S13" s="34" t="str">
        <f t="shared" si="3"/>
        <v/>
      </c>
      <c r="T13" s="31"/>
      <c r="U13" s="34" t="str">
        <f t="shared" si="4"/>
        <v/>
      </c>
      <c r="V13" s="56"/>
      <c r="W13" s="34" t="str">
        <f t="shared" si="5"/>
        <v/>
      </c>
      <c r="X13" s="31"/>
      <c r="Y13" s="34" t="str">
        <f t="shared" si="14"/>
        <v/>
      </c>
      <c r="Z13" s="31"/>
      <c r="AA13" s="34" t="str">
        <f t="shared" si="15"/>
        <v/>
      </c>
      <c r="AB13" s="31"/>
      <c r="AC13" s="34" t="str">
        <f t="shared" si="16"/>
        <v/>
      </c>
      <c r="AD13" s="31"/>
      <c r="AE13" s="34" t="str">
        <f t="shared" si="17"/>
        <v/>
      </c>
      <c r="AF13" s="56"/>
      <c r="AG13" s="34" t="str">
        <f t="shared" si="6"/>
        <v/>
      </c>
      <c r="AH13" s="31"/>
      <c r="AI13" s="34" t="str">
        <f t="shared" ref="AI13:AI98" si="23">IF((ISERROR((AH13/$I13)*100)), "", IF(AND(NOT(ISERROR((AH13/$I13)*100)),((AH13/$I13)*100) &lt;&gt; 0), (AH13/$I13)*100, ""))</f>
        <v/>
      </c>
      <c r="AJ13" s="31"/>
      <c r="AK13" s="34" t="str">
        <f t="shared" si="7"/>
        <v/>
      </c>
      <c r="AL13" s="31"/>
      <c r="AM13" s="34" t="str">
        <f t="shared" si="18"/>
        <v/>
      </c>
      <c r="AN13" s="31"/>
      <c r="AO13" s="34" t="str">
        <f t="shared" si="19"/>
        <v/>
      </c>
      <c r="AP13" s="31"/>
      <c r="AQ13" s="34" t="str">
        <f t="shared" si="8"/>
        <v/>
      </c>
      <c r="AR13" s="31"/>
      <c r="AS13" s="34" t="str">
        <f t="shared" si="9"/>
        <v/>
      </c>
      <c r="AT13" s="31"/>
      <c r="AU13" s="34" t="str">
        <f t="shared" si="19"/>
        <v/>
      </c>
      <c r="AV13" s="31"/>
      <c r="AW13" s="34" t="str">
        <f t="shared" si="20"/>
        <v/>
      </c>
      <c r="AX13" s="31"/>
      <c r="AY13" s="34" t="str">
        <f t="shared" si="21"/>
        <v/>
      </c>
      <c r="AZ13" s="31"/>
      <c r="BA13" s="34" t="str">
        <f t="shared" si="22"/>
        <v/>
      </c>
    </row>
    <row r="14" spans="1:54" customFormat="1" ht="20" customHeight="1" x14ac:dyDescent="0.2">
      <c r="A14" s="679"/>
      <c r="B14" s="721"/>
      <c r="C14" s="253"/>
      <c r="D14" s="722" t="s">
        <v>85</v>
      </c>
      <c r="E14" s="723" t="s">
        <v>248</v>
      </c>
      <c r="F14" s="723" t="s">
        <v>249</v>
      </c>
      <c r="G14" s="722">
        <v>2016</v>
      </c>
      <c r="H14" s="724"/>
      <c r="I14" s="65">
        <v>12</v>
      </c>
      <c r="J14" s="61" t="s">
        <v>327</v>
      </c>
      <c r="K14" s="62"/>
      <c r="L14" s="31"/>
      <c r="M14" s="34" t="str">
        <f t="shared" si="0"/>
        <v/>
      </c>
      <c r="N14" s="31"/>
      <c r="O14" s="34" t="str">
        <f t="shared" si="1"/>
        <v/>
      </c>
      <c r="P14" s="31"/>
      <c r="Q14" s="34" t="str">
        <f t="shared" si="2"/>
        <v/>
      </c>
      <c r="R14" s="31"/>
      <c r="S14" s="34" t="str">
        <f t="shared" si="3"/>
        <v/>
      </c>
      <c r="T14" s="31"/>
      <c r="U14" s="34" t="str">
        <f t="shared" si="4"/>
        <v/>
      </c>
      <c r="V14" s="56"/>
      <c r="W14" s="34" t="str">
        <f t="shared" si="5"/>
        <v/>
      </c>
      <c r="X14" s="31"/>
      <c r="Y14" s="34" t="str">
        <f>IF((ISERROR((X14/$I14)*100)), "", IF(AND(NOT(ISERROR((X14/$I14)*100)),((X14/$I14)*100) &lt;&gt; 0), (X14/$I14)*100, ""))</f>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56"/>
      <c r="AG14" s="34" t="str">
        <f t="shared" si="6"/>
        <v/>
      </c>
      <c r="AH14" s="31"/>
      <c r="AI14" s="34" t="str">
        <f>IF((ISERROR((AH14/$I14)*100)), "", IF(AND(NOT(ISERROR((AH14/$I14)*100)),((AH14/$I14)*100) &lt;&gt; 0), (AH14/$I14)*100, ""))</f>
        <v/>
      </c>
      <c r="AJ14" s="31"/>
      <c r="AK14" s="34" t="str">
        <f t="shared" si="7"/>
        <v/>
      </c>
      <c r="AL14" s="31"/>
      <c r="AM14" s="34" t="str">
        <f>IF((ISERROR((AL14/$I14)*100)), "", IF(AND(NOT(ISERROR((AL14/$I14)*100)),((AL14/$I14)*100) &lt;&gt; 0), (AL14/$I14)*100, ""))</f>
        <v/>
      </c>
      <c r="AN14" s="31"/>
      <c r="AO14" s="34" t="str">
        <f>IF((ISERROR((AN14/$I14)*100)), "", IF(AND(NOT(ISERROR((AN14/$I14)*100)),((AN14/$I14)*100) &lt;&gt; 0), (AN14/$I14)*100, ""))</f>
        <v/>
      </c>
      <c r="AP14" s="31"/>
      <c r="AQ14" s="34" t="str">
        <f t="shared" si="8"/>
        <v/>
      </c>
      <c r="AR14" s="31"/>
      <c r="AS14" s="34" t="str">
        <f t="shared" si="9"/>
        <v/>
      </c>
      <c r="AT14" s="31"/>
      <c r="AU14" s="34" t="str">
        <f t="shared" si="19"/>
        <v/>
      </c>
      <c r="AV14" s="31"/>
      <c r="AW14" s="34" t="str">
        <f t="shared" si="20"/>
        <v/>
      </c>
      <c r="AX14" s="31"/>
      <c r="AY14" s="34" t="str">
        <f t="shared" si="21"/>
        <v/>
      </c>
      <c r="AZ14" s="31"/>
      <c r="BA14" s="34" t="str">
        <f t="shared" si="22"/>
        <v/>
      </c>
      <c r="BB14" s="21" t="s">
        <v>328</v>
      </c>
    </row>
    <row r="15" spans="1:54" customFormat="1" ht="20" customHeight="1" x14ac:dyDescent="0.2">
      <c r="A15" s="679"/>
      <c r="B15" s="725"/>
      <c r="C15" s="255"/>
      <c r="D15" s="722" t="s">
        <v>85</v>
      </c>
      <c r="E15" s="723" t="s">
        <v>556</v>
      </c>
      <c r="F15" s="723" t="s">
        <v>557</v>
      </c>
      <c r="G15" s="722">
        <v>2012</v>
      </c>
      <c r="H15" s="724"/>
      <c r="I15" s="65">
        <v>70</v>
      </c>
      <c r="J15" s="61" t="s">
        <v>181</v>
      </c>
      <c r="K15" s="62" t="s">
        <v>190</v>
      </c>
      <c r="L15" s="31"/>
      <c r="M15" s="34"/>
      <c r="N15" s="31"/>
      <c r="O15" s="34"/>
      <c r="P15" s="31"/>
      <c r="Q15" s="34"/>
      <c r="R15" s="31"/>
      <c r="S15" s="34"/>
      <c r="T15" s="31">
        <v>9</v>
      </c>
      <c r="U15" s="34">
        <f t="shared" si="4"/>
        <v>12.857142857142856</v>
      </c>
      <c r="V15" s="56">
        <v>101</v>
      </c>
      <c r="W15" s="34">
        <f t="shared" si="4"/>
        <v>144.28571428571428</v>
      </c>
      <c r="X15" s="31">
        <v>8</v>
      </c>
      <c r="Y15" s="34">
        <f t="shared" si="4"/>
        <v>11.428571428571429</v>
      </c>
      <c r="Z15" s="31"/>
      <c r="AA15" s="34"/>
      <c r="AB15" s="31"/>
      <c r="AC15" s="34"/>
      <c r="AD15" s="31"/>
      <c r="AE15" s="34"/>
      <c r="AF15" s="56">
        <v>31</v>
      </c>
      <c r="AG15" s="34">
        <f t="shared" si="6"/>
        <v>44.285714285714285</v>
      </c>
      <c r="AH15" s="31">
        <v>10</v>
      </c>
      <c r="AI15" s="34">
        <f t="shared" ref="AI15" si="24">IF((ISERROR((AH15/$I15)*100)), "", IF(AND(NOT(ISERROR((AH15/$I15)*100)),((AH15/$I15)*100) &lt;&gt; 0), (AH15/$I15)*100, ""))</f>
        <v>14.285714285714285</v>
      </c>
      <c r="AJ15" s="31"/>
      <c r="AK15" s="34"/>
      <c r="AL15" s="31"/>
      <c r="AM15" s="34"/>
      <c r="AN15" s="31"/>
      <c r="AO15" s="34"/>
      <c r="AP15" s="31">
        <v>1</v>
      </c>
      <c r="AQ15" s="34">
        <f t="shared" si="8"/>
        <v>1.4285714285714286</v>
      </c>
      <c r="AR15" s="31"/>
      <c r="AS15" s="34"/>
      <c r="AT15" s="31">
        <v>3</v>
      </c>
      <c r="AU15" s="34">
        <f t="shared" si="19"/>
        <v>4.2857142857142856</v>
      </c>
      <c r="AV15" s="31"/>
      <c r="AW15" s="34"/>
      <c r="AX15" s="31"/>
      <c r="AY15" s="34"/>
      <c r="AZ15" s="31"/>
      <c r="BA15" s="34"/>
      <c r="BB15" s="21" t="s">
        <v>559</v>
      </c>
    </row>
    <row r="16" spans="1:54" customFormat="1" ht="20" customHeight="1" x14ac:dyDescent="0.2">
      <c r="A16" s="726"/>
      <c r="B16" s="721"/>
      <c r="C16" s="722"/>
      <c r="D16" s="722" t="s">
        <v>85</v>
      </c>
      <c r="E16" s="723" t="s">
        <v>595</v>
      </c>
      <c r="F16" s="723" t="s">
        <v>596</v>
      </c>
      <c r="G16" s="722">
        <v>1984</v>
      </c>
      <c r="H16" s="287"/>
      <c r="I16" s="701"/>
      <c r="J16" s="232" t="s">
        <v>210</v>
      </c>
      <c r="K16" s="250" t="s">
        <v>168</v>
      </c>
      <c r="L16" s="31"/>
      <c r="M16" s="34"/>
      <c r="N16" s="31"/>
      <c r="O16" s="34"/>
      <c r="P16" s="31"/>
      <c r="Q16" s="34"/>
      <c r="R16" s="31"/>
      <c r="S16" s="34"/>
      <c r="T16" s="31"/>
      <c r="U16" s="34"/>
      <c r="V16" s="56"/>
      <c r="W16" s="34"/>
      <c r="X16" s="31"/>
      <c r="Y16" s="34"/>
      <c r="Z16" s="31"/>
      <c r="AA16" s="34"/>
      <c r="AB16" s="31"/>
      <c r="AC16" s="34"/>
      <c r="AD16" s="31"/>
      <c r="AE16" s="34"/>
      <c r="AF16" s="56"/>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678"/>
      <c r="B17" s="721"/>
      <c r="C17" s="722"/>
      <c r="D17" s="727"/>
      <c r="E17" s="728" t="s">
        <v>155</v>
      </c>
      <c r="F17" s="728" t="s">
        <v>156</v>
      </c>
      <c r="G17" s="727">
        <v>1997</v>
      </c>
      <c r="H17" s="729"/>
      <c r="I17" s="65"/>
      <c r="J17" s="61"/>
      <c r="K17" s="62"/>
      <c r="L17" s="31"/>
      <c r="M17" s="34" t="str">
        <f t="shared" si="0"/>
        <v/>
      </c>
      <c r="N17" s="31"/>
      <c r="O17" s="34" t="str">
        <f t="shared" si="1"/>
        <v/>
      </c>
      <c r="P17" s="31"/>
      <c r="Q17" s="34" t="str">
        <f t="shared" si="2"/>
        <v/>
      </c>
      <c r="R17" s="31"/>
      <c r="S17" s="34" t="str">
        <f t="shared" si="3"/>
        <v/>
      </c>
      <c r="T17" s="31"/>
      <c r="U17" s="34" t="str">
        <f t="shared" si="4"/>
        <v/>
      </c>
      <c r="V17" s="56"/>
      <c r="W17" s="34" t="str">
        <f t="shared" si="5"/>
        <v/>
      </c>
      <c r="X17" s="31"/>
      <c r="Y17" s="34" t="str">
        <f t="shared" si="14"/>
        <v/>
      </c>
      <c r="Z17" s="31"/>
      <c r="AA17" s="34" t="str">
        <f t="shared" si="15"/>
        <v/>
      </c>
      <c r="AB17" s="31"/>
      <c r="AC17" s="34" t="str">
        <f t="shared" si="16"/>
        <v/>
      </c>
      <c r="AD17" s="31"/>
      <c r="AE17" s="34" t="str">
        <f t="shared" si="17"/>
        <v/>
      </c>
      <c r="AF17" s="56"/>
      <c r="AG17" s="34" t="str">
        <f t="shared" si="6"/>
        <v/>
      </c>
      <c r="AH17" s="31"/>
      <c r="AI17" s="34" t="str">
        <f t="shared" si="23"/>
        <v/>
      </c>
      <c r="AJ17" s="31"/>
      <c r="AK17" s="34" t="str">
        <f t="shared" si="7"/>
        <v/>
      </c>
      <c r="AL17" s="31"/>
      <c r="AM17" s="34" t="str">
        <f t="shared" si="18"/>
        <v/>
      </c>
      <c r="AN17" s="31"/>
      <c r="AO17" s="34" t="str">
        <f t="shared" si="19"/>
        <v/>
      </c>
      <c r="AP17" s="31"/>
      <c r="AQ17" s="34" t="str">
        <f t="shared" si="8"/>
        <v/>
      </c>
      <c r="AR17" s="31"/>
      <c r="AS17" s="34" t="str">
        <f t="shared" si="9"/>
        <v/>
      </c>
      <c r="AT17" s="31"/>
      <c r="AU17" s="34" t="str">
        <f t="shared" si="19"/>
        <v/>
      </c>
      <c r="AV17" s="31"/>
      <c r="AW17" s="34" t="str">
        <f t="shared" si="20"/>
        <v/>
      </c>
      <c r="AX17" s="31"/>
      <c r="AY17" s="34" t="str">
        <f t="shared" si="21"/>
        <v/>
      </c>
      <c r="AZ17" s="31"/>
      <c r="BA17" s="34" t="str">
        <f t="shared" si="22"/>
        <v/>
      </c>
    </row>
    <row r="18" spans="1:54" ht="20" customHeight="1" x14ac:dyDescent="0.2">
      <c r="A18" s="678"/>
      <c r="B18" s="725"/>
      <c r="C18" s="722"/>
      <c r="D18" s="727" t="s">
        <v>30</v>
      </c>
      <c r="E18" s="728" t="s">
        <v>31</v>
      </c>
      <c r="F18" s="728" t="s">
        <v>32</v>
      </c>
      <c r="G18" s="727">
        <v>2004</v>
      </c>
      <c r="H18" s="729">
        <v>21</v>
      </c>
      <c r="I18" s="65"/>
      <c r="J18" s="61"/>
      <c r="K18" s="62"/>
      <c r="L18" s="31"/>
      <c r="M18" s="34" t="str">
        <f t="shared" si="0"/>
        <v/>
      </c>
      <c r="N18" s="31"/>
      <c r="O18" s="34" t="str">
        <f t="shared" si="1"/>
        <v/>
      </c>
      <c r="P18" s="31"/>
      <c r="Q18" s="34" t="str">
        <f t="shared" si="2"/>
        <v/>
      </c>
      <c r="R18" s="31"/>
      <c r="S18" s="34" t="str">
        <f t="shared" si="3"/>
        <v/>
      </c>
      <c r="T18" s="31"/>
      <c r="U18" s="34" t="str">
        <f t="shared" si="4"/>
        <v/>
      </c>
      <c r="V18" s="56"/>
      <c r="W18" s="34" t="str">
        <f t="shared" si="5"/>
        <v/>
      </c>
      <c r="X18" s="31"/>
      <c r="Y18" s="34" t="str">
        <f t="shared" si="14"/>
        <v/>
      </c>
      <c r="Z18" s="31"/>
      <c r="AA18" s="34" t="str">
        <f t="shared" si="15"/>
        <v/>
      </c>
      <c r="AB18" s="31"/>
      <c r="AC18" s="34" t="str">
        <f t="shared" si="16"/>
        <v/>
      </c>
      <c r="AD18" s="31"/>
      <c r="AE18" s="34" t="str">
        <f t="shared" si="17"/>
        <v/>
      </c>
      <c r="AF18" s="56"/>
      <c r="AG18" s="34" t="str">
        <f t="shared" si="6"/>
        <v/>
      </c>
      <c r="AH18" s="31"/>
      <c r="AI18" s="34" t="str">
        <f t="shared" si="23"/>
        <v/>
      </c>
      <c r="AJ18" s="31"/>
      <c r="AK18" s="34" t="str">
        <f t="shared" si="7"/>
        <v/>
      </c>
      <c r="AL18" s="31"/>
      <c r="AM18" s="34" t="str">
        <f t="shared" si="18"/>
        <v/>
      </c>
      <c r="AN18" s="31"/>
      <c r="AO18" s="34" t="str">
        <f t="shared" si="19"/>
        <v/>
      </c>
      <c r="AP18" s="31"/>
      <c r="AQ18" s="34" t="str">
        <f t="shared" si="8"/>
        <v/>
      </c>
      <c r="AR18" s="31"/>
      <c r="AS18" s="34" t="str">
        <f t="shared" si="9"/>
        <v/>
      </c>
      <c r="AT18" s="31"/>
      <c r="AU18" s="34" t="str">
        <f t="shared" si="19"/>
        <v/>
      </c>
      <c r="AV18" s="31"/>
      <c r="AW18" s="34" t="str">
        <f t="shared" si="20"/>
        <v/>
      </c>
      <c r="AX18" s="31"/>
      <c r="AY18" s="34" t="str">
        <f t="shared" si="21"/>
        <v/>
      </c>
      <c r="AZ18" s="31"/>
      <c r="BA18" s="34" t="str">
        <f t="shared" si="22"/>
        <v/>
      </c>
    </row>
    <row r="19" spans="1:54" ht="20" customHeight="1" x14ac:dyDescent="0.2">
      <c r="A19" s="680"/>
      <c r="B19" s="721"/>
      <c r="C19" s="722"/>
      <c r="D19" s="722" t="s">
        <v>85</v>
      </c>
      <c r="E19" s="723" t="s">
        <v>598</v>
      </c>
      <c r="F19" s="723" t="s">
        <v>599</v>
      </c>
      <c r="G19" s="722">
        <v>2015</v>
      </c>
      <c r="H19" s="287"/>
      <c r="I19" s="701"/>
      <c r="J19" s="232" t="s">
        <v>600</v>
      </c>
      <c r="K19" s="250" t="s">
        <v>601</v>
      </c>
      <c r="L19" s="31"/>
      <c r="M19" s="34"/>
      <c r="N19" s="31"/>
      <c r="O19" s="34"/>
      <c r="P19" s="31"/>
      <c r="Q19" s="34"/>
      <c r="R19" s="31"/>
      <c r="S19" s="34"/>
      <c r="T19" s="31"/>
      <c r="U19" s="34"/>
      <c r="V19" s="56"/>
      <c r="W19" s="34"/>
      <c r="X19" s="31"/>
      <c r="Y19" s="34"/>
      <c r="Z19" s="31"/>
      <c r="AA19" s="34"/>
      <c r="AB19" s="31"/>
      <c r="AC19" s="34"/>
      <c r="AD19" s="31"/>
      <c r="AE19" s="34"/>
      <c r="AF19" s="56"/>
      <c r="AG19" s="34"/>
      <c r="AH19" s="31"/>
      <c r="AI19" s="34"/>
      <c r="AJ19" s="31"/>
      <c r="AK19" s="34"/>
      <c r="AL19" s="31"/>
      <c r="AM19" s="34"/>
      <c r="AN19" s="31"/>
      <c r="AO19" s="34"/>
      <c r="AP19" s="31"/>
      <c r="AQ19" s="34"/>
      <c r="AR19" s="31"/>
      <c r="AS19" s="34"/>
      <c r="AT19" s="31"/>
      <c r="AU19" s="34"/>
      <c r="AV19" s="31"/>
      <c r="AW19" s="34"/>
      <c r="AX19" s="31"/>
      <c r="AY19" s="34"/>
      <c r="AZ19" s="31"/>
      <c r="BA19" s="34"/>
    </row>
    <row r="20" spans="1:54" ht="20" customHeight="1" x14ac:dyDescent="0.2">
      <c r="A20" s="680"/>
      <c r="B20" s="721"/>
      <c r="C20" s="722"/>
      <c r="D20" s="722" t="s">
        <v>85</v>
      </c>
      <c r="E20" s="723" t="s">
        <v>602</v>
      </c>
      <c r="F20" s="723" t="s">
        <v>603</v>
      </c>
      <c r="G20" s="722">
        <v>2016</v>
      </c>
      <c r="H20" s="287"/>
      <c r="I20" s="703"/>
      <c r="J20" s="704" t="s">
        <v>184</v>
      </c>
      <c r="K20" s="705"/>
      <c r="L20" s="31"/>
      <c r="M20" s="34"/>
      <c r="N20" s="31"/>
      <c r="O20" s="34"/>
      <c r="P20" s="31"/>
      <c r="Q20" s="34"/>
      <c r="R20" s="31"/>
      <c r="S20" s="34"/>
      <c r="T20" s="31"/>
      <c r="U20" s="34"/>
      <c r="V20" s="56"/>
      <c r="W20" s="34"/>
      <c r="X20" s="31"/>
      <c r="Y20" s="34"/>
      <c r="Z20" s="31"/>
      <c r="AA20" s="34"/>
      <c r="AB20" s="31"/>
      <c r="AC20" s="34"/>
      <c r="AD20" s="31"/>
      <c r="AE20" s="34"/>
      <c r="AF20" s="56"/>
      <c r="AG20" s="34"/>
      <c r="AH20" s="31"/>
      <c r="AI20" s="34"/>
      <c r="AJ20" s="31"/>
      <c r="AK20" s="34"/>
      <c r="AL20" s="31"/>
      <c r="AM20" s="34"/>
      <c r="AN20" s="31"/>
      <c r="AO20" s="34"/>
      <c r="AP20" s="31"/>
      <c r="AQ20" s="34"/>
      <c r="AR20" s="31"/>
      <c r="AS20" s="34"/>
      <c r="AT20" s="31"/>
      <c r="AU20" s="34"/>
      <c r="AV20" s="31"/>
      <c r="AW20" s="34"/>
      <c r="AX20" s="31"/>
      <c r="AY20" s="34"/>
      <c r="AZ20" s="31"/>
      <c r="BA20" s="34"/>
    </row>
    <row r="21" spans="1:54" ht="20" customHeight="1" x14ac:dyDescent="0.2">
      <c r="A21" s="680"/>
      <c r="B21" s="721"/>
      <c r="C21" s="722"/>
      <c r="D21" s="722" t="s">
        <v>85</v>
      </c>
      <c r="E21" s="723" t="s">
        <v>604</v>
      </c>
      <c r="F21" s="723" t="s">
        <v>605</v>
      </c>
      <c r="G21" s="722">
        <v>2001</v>
      </c>
      <c r="H21" s="287"/>
      <c r="I21" s="703"/>
      <c r="J21" s="704" t="s">
        <v>213</v>
      </c>
      <c r="K21" s="705" t="s">
        <v>189</v>
      </c>
      <c r="L21" s="31"/>
      <c r="M21" s="34"/>
      <c r="N21" s="31"/>
      <c r="O21" s="34"/>
      <c r="P21" s="31"/>
      <c r="Q21" s="34"/>
      <c r="R21" s="31"/>
      <c r="S21" s="34"/>
      <c r="T21" s="31"/>
      <c r="U21" s="34"/>
      <c r="V21" s="56"/>
      <c r="W21" s="34"/>
      <c r="X21" s="31"/>
      <c r="Y21" s="34"/>
      <c r="Z21" s="31"/>
      <c r="AA21" s="34"/>
      <c r="AB21" s="31"/>
      <c r="AC21" s="34"/>
      <c r="AD21" s="31"/>
      <c r="AE21" s="34"/>
      <c r="AF21" s="56"/>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678"/>
      <c r="B22" s="721"/>
      <c r="C22" s="255"/>
      <c r="D22" s="722" t="s">
        <v>85</v>
      </c>
      <c r="E22" s="723" t="s">
        <v>33</v>
      </c>
      <c r="F22" s="723" t="s">
        <v>34</v>
      </c>
      <c r="G22" s="722">
        <v>2003</v>
      </c>
      <c r="H22" s="287">
        <v>291</v>
      </c>
      <c r="I22" s="65">
        <v>14</v>
      </c>
      <c r="J22" s="61" t="s">
        <v>166</v>
      </c>
      <c r="K22" s="62"/>
      <c r="L22" s="31"/>
      <c r="M22" s="34" t="str">
        <f t="shared" si="0"/>
        <v/>
      </c>
      <c r="N22" s="31"/>
      <c r="O22" s="34" t="str">
        <f t="shared" si="1"/>
        <v/>
      </c>
      <c r="P22" s="31"/>
      <c r="Q22" s="34" t="str">
        <f t="shared" si="2"/>
        <v/>
      </c>
      <c r="R22" s="31"/>
      <c r="S22" s="34" t="str">
        <f t="shared" si="3"/>
        <v/>
      </c>
      <c r="T22" s="31">
        <v>2</v>
      </c>
      <c r="U22" s="34">
        <f t="shared" si="4"/>
        <v>14.285714285714285</v>
      </c>
      <c r="V22" s="56"/>
      <c r="W22" s="34" t="str">
        <f t="shared" si="5"/>
        <v/>
      </c>
      <c r="X22" s="31"/>
      <c r="Y22" s="34" t="str">
        <f t="shared" si="14"/>
        <v/>
      </c>
      <c r="Z22" s="31"/>
      <c r="AA22" s="34" t="str">
        <f t="shared" si="15"/>
        <v/>
      </c>
      <c r="AB22" s="31"/>
      <c r="AC22" s="34" t="str">
        <f t="shared" si="16"/>
        <v/>
      </c>
      <c r="AD22" s="31"/>
      <c r="AE22" s="34" t="str">
        <f t="shared" si="17"/>
        <v/>
      </c>
      <c r="AF22" s="56"/>
      <c r="AG22" s="34" t="str">
        <f t="shared" si="6"/>
        <v/>
      </c>
      <c r="AH22" s="31">
        <v>2</v>
      </c>
      <c r="AI22" s="34">
        <f t="shared" si="23"/>
        <v>14.285714285714285</v>
      </c>
      <c r="AJ22" s="31"/>
      <c r="AK22" s="34" t="str">
        <f t="shared" si="7"/>
        <v/>
      </c>
      <c r="AL22" s="31"/>
      <c r="AM22" s="34" t="str">
        <f t="shared" si="18"/>
        <v/>
      </c>
      <c r="AN22" s="31"/>
      <c r="AO22" s="34" t="str">
        <f t="shared" si="19"/>
        <v/>
      </c>
      <c r="AP22" s="31"/>
      <c r="AQ22" s="34" t="str">
        <f t="shared" si="8"/>
        <v/>
      </c>
      <c r="AR22" s="31">
        <v>1</v>
      </c>
      <c r="AS22" s="34">
        <f t="shared" si="9"/>
        <v>7.1428571428571423</v>
      </c>
      <c r="AT22" s="31"/>
      <c r="AU22" s="34" t="str">
        <f t="shared" si="19"/>
        <v/>
      </c>
      <c r="AV22" s="31"/>
      <c r="AW22" s="34" t="str">
        <f t="shared" si="20"/>
        <v/>
      </c>
      <c r="AX22" s="31"/>
      <c r="AY22" s="34" t="str">
        <f t="shared" si="21"/>
        <v/>
      </c>
      <c r="AZ22" s="31"/>
      <c r="BA22" s="34" t="str">
        <f t="shared" si="22"/>
        <v/>
      </c>
      <c r="BB22" s="21" t="s">
        <v>329</v>
      </c>
    </row>
    <row r="23" spans="1:54" ht="20" customHeight="1" x14ac:dyDescent="0.2">
      <c r="A23" s="678"/>
      <c r="B23" s="725"/>
      <c r="C23" s="255"/>
      <c r="D23" s="722" t="s">
        <v>85</v>
      </c>
      <c r="E23" s="723" t="s">
        <v>250</v>
      </c>
      <c r="F23" s="723" t="s">
        <v>251</v>
      </c>
      <c r="G23" s="722">
        <v>2008</v>
      </c>
      <c r="H23" s="287"/>
      <c r="I23" s="65">
        <v>13</v>
      </c>
      <c r="J23" s="61" t="s">
        <v>217</v>
      </c>
      <c r="K23" s="62" t="s">
        <v>330</v>
      </c>
      <c r="L23" s="31"/>
      <c r="M23" s="34" t="str">
        <f t="shared" si="0"/>
        <v/>
      </c>
      <c r="N23" s="31"/>
      <c r="O23" s="34" t="str">
        <f t="shared" si="1"/>
        <v/>
      </c>
      <c r="P23" s="31"/>
      <c r="Q23" s="34" t="str">
        <f t="shared" si="2"/>
        <v/>
      </c>
      <c r="R23" s="31"/>
      <c r="S23" s="34" t="str">
        <f t="shared" si="3"/>
        <v/>
      </c>
      <c r="T23" s="31"/>
      <c r="U23" s="34" t="str">
        <f t="shared" si="4"/>
        <v/>
      </c>
      <c r="V23" s="56"/>
      <c r="W23" s="34" t="str">
        <f t="shared" si="5"/>
        <v/>
      </c>
      <c r="X23" s="31"/>
      <c r="Y23" s="34" t="str">
        <f>IF((ISERROR((X23/$I23)*100)), "", IF(AND(NOT(ISERROR((X23/$I23)*100)),((X23/$I23)*100) &lt;&gt; 0), (X23/$I23)*100, ""))</f>
        <v/>
      </c>
      <c r="Z23" s="31"/>
      <c r="AA23" s="34" t="str">
        <f>IF((ISERROR((Z23/$I23)*100)), "", IF(AND(NOT(ISERROR((Z23/$I23)*100)),((Z23/$I23)*100) &lt;&gt; 0), (Z23/$I23)*100, ""))</f>
        <v/>
      </c>
      <c r="AB23" s="31"/>
      <c r="AC23" s="34" t="str">
        <f>IF((ISERROR((AB23/$I23)*100)), "", IF(AND(NOT(ISERROR((AB23/$I23)*100)),((AB23/$I23)*100) &lt;&gt; 0), (AB23/$I23)*100, ""))</f>
        <v/>
      </c>
      <c r="AD23" s="31"/>
      <c r="AE23" s="34" t="str">
        <f>IF((ISERROR((AD23/$I23)*100)), "", IF(AND(NOT(ISERROR((AD23/$I23)*100)),((AD23/$I23)*100) &lt;&gt; 0), (AD23/$I23)*100, ""))</f>
        <v/>
      </c>
      <c r="AF23" s="56"/>
      <c r="AG23" s="34" t="str">
        <f t="shared" si="6"/>
        <v/>
      </c>
      <c r="AH23" s="31">
        <v>1</v>
      </c>
      <c r="AI23" s="34">
        <f>IF((ISERROR((AH23/$I23)*100)), "", IF(AND(NOT(ISERROR((AH23/$I23)*100)),((AH23/$I23)*100) &lt;&gt; 0), (AH23/$I23)*100, ""))</f>
        <v>7.6923076923076925</v>
      </c>
      <c r="AJ23" s="31"/>
      <c r="AK23" s="34" t="str">
        <f t="shared" si="7"/>
        <v/>
      </c>
      <c r="AL23" s="31"/>
      <c r="AM23" s="34" t="str">
        <f>IF((ISERROR((AL23/$I23)*100)), "", IF(AND(NOT(ISERROR((AL23/$I23)*100)),((AL23/$I23)*100) &lt;&gt; 0), (AL23/$I23)*100, ""))</f>
        <v/>
      </c>
      <c r="AN23" s="31"/>
      <c r="AO23" s="34" t="str">
        <f>IF((ISERROR((AN23/$I23)*100)), "", IF(AND(NOT(ISERROR((AN23/$I23)*100)),((AN23/$I23)*100) &lt;&gt; 0), (AN23/$I23)*100, ""))</f>
        <v/>
      </c>
      <c r="AP23" s="31"/>
      <c r="AQ23" s="34" t="str">
        <f t="shared" si="8"/>
        <v/>
      </c>
      <c r="AR23" s="31"/>
      <c r="AS23" s="34" t="str">
        <f t="shared" si="9"/>
        <v/>
      </c>
      <c r="AT23" s="31"/>
      <c r="AU23" s="34" t="str">
        <f t="shared" si="19"/>
        <v/>
      </c>
      <c r="AV23" s="31"/>
      <c r="AW23" s="34" t="str">
        <f t="shared" si="20"/>
        <v/>
      </c>
      <c r="AX23" s="31"/>
      <c r="AY23" s="34" t="str">
        <f t="shared" si="21"/>
        <v/>
      </c>
      <c r="AZ23" s="31"/>
      <c r="BA23" s="34" t="str">
        <f t="shared" si="22"/>
        <v/>
      </c>
    </row>
    <row r="24" spans="1:54" ht="20" customHeight="1" x14ac:dyDescent="0.2">
      <c r="A24" s="678"/>
      <c r="B24" s="721"/>
      <c r="C24" s="255"/>
      <c r="D24" s="722" t="s">
        <v>85</v>
      </c>
      <c r="E24" s="723" t="s">
        <v>36</v>
      </c>
      <c r="F24" s="723" t="s">
        <v>37</v>
      </c>
      <c r="G24" s="722">
        <v>2008</v>
      </c>
      <c r="H24" s="287">
        <v>40</v>
      </c>
      <c r="I24" s="65">
        <v>29</v>
      </c>
      <c r="J24" s="61" t="s">
        <v>175</v>
      </c>
      <c r="K24" s="62" t="s">
        <v>168</v>
      </c>
      <c r="L24" s="31"/>
      <c r="M24" s="34" t="str">
        <f t="shared" si="0"/>
        <v/>
      </c>
      <c r="N24" s="31"/>
      <c r="O24" s="34" t="str">
        <f t="shared" si="1"/>
        <v/>
      </c>
      <c r="P24" s="31"/>
      <c r="Q24" s="34" t="str">
        <f t="shared" si="2"/>
        <v/>
      </c>
      <c r="R24" s="31"/>
      <c r="S24" s="34" t="str">
        <f t="shared" si="3"/>
        <v/>
      </c>
      <c r="T24" s="31"/>
      <c r="U24" s="34" t="str">
        <f t="shared" si="4"/>
        <v/>
      </c>
      <c r="V24" s="56">
        <v>5</v>
      </c>
      <c r="W24" s="34">
        <f t="shared" si="5"/>
        <v>17.241379310344829</v>
      </c>
      <c r="X24" s="31"/>
      <c r="Y24" s="34" t="str">
        <f>IF((ISERROR((X24/$I24)*100)), "", IF(AND(NOT(ISERROR((X24/$I24)*100)),((X24/$I24)*100) &lt;&gt; 0), (X24/$I24)*100, ""))</f>
        <v/>
      </c>
      <c r="Z24" s="31"/>
      <c r="AA24" s="34" t="str">
        <f>IF((ISERROR((Z24/$I24)*100)), "", IF(AND(NOT(ISERROR((Z24/$I24)*100)),((Z24/$I24)*100) &lt;&gt; 0), (Z24/$I24)*100, ""))</f>
        <v/>
      </c>
      <c r="AB24" s="31">
        <v>5</v>
      </c>
      <c r="AC24" s="34">
        <f>IF((ISERROR((AB24/$I24)*100)), "", IF(AND(NOT(ISERROR((AB24/$I24)*100)),((AB24/$I24)*100) &lt;&gt; 0), (AB24/$I24)*100, ""))</f>
        <v>17.241379310344829</v>
      </c>
      <c r="AD24" s="31"/>
      <c r="AE24" s="34" t="str">
        <f>IF((ISERROR((AD24/$I24)*100)), "", IF(AND(NOT(ISERROR((AD24/$I24)*100)),((AD24/$I24)*100) &lt;&gt; 0), (AD24/$I24)*100, ""))</f>
        <v/>
      </c>
      <c r="AF24" s="56"/>
      <c r="AG24" s="34" t="str">
        <f t="shared" si="6"/>
        <v/>
      </c>
      <c r="AH24" s="31"/>
      <c r="AI24" s="34" t="str">
        <f>IF((ISERROR((AH24/$I24)*100)), "", IF(AND(NOT(ISERROR((AH24/$I24)*100)),((AH24/$I24)*100) &lt;&gt; 0), (AH24/$I24)*100, ""))</f>
        <v/>
      </c>
      <c r="AJ24" s="31"/>
      <c r="AK24" s="34" t="str">
        <f t="shared" si="7"/>
        <v/>
      </c>
      <c r="AL24" s="31"/>
      <c r="AM24" s="34" t="str">
        <f>IF((ISERROR((AL24/$I24)*100)), "", IF(AND(NOT(ISERROR((AL24/$I24)*100)),((AL24/$I24)*100) &lt;&gt; 0), (AL24/$I24)*100, ""))</f>
        <v/>
      </c>
      <c r="AN24" s="31"/>
      <c r="AO24" s="34" t="str">
        <f>IF((ISERROR((AN24/$I24)*100)), "", IF(AND(NOT(ISERROR((AN24/$I24)*100)),((AN24/$I24)*100) &lt;&gt; 0), (AN24/$I24)*100, ""))</f>
        <v/>
      </c>
      <c r="AP24" s="31"/>
      <c r="AQ24" s="34" t="str">
        <f t="shared" si="8"/>
        <v/>
      </c>
      <c r="AR24" s="31"/>
      <c r="AS24" s="34" t="str">
        <f t="shared" si="9"/>
        <v/>
      </c>
      <c r="AT24" s="31"/>
      <c r="AU24" s="34" t="str">
        <f t="shared" si="19"/>
        <v/>
      </c>
      <c r="AV24" s="31"/>
      <c r="AW24" s="34" t="str">
        <f t="shared" si="20"/>
        <v/>
      </c>
      <c r="AX24" s="31"/>
      <c r="AY24" s="34" t="str">
        <f t="shared" si="21"/>
        <v/>
      </c>
      <c r="AZ24" s="31"/>
      <c r="BA24" s="34" t="str">
        <f t="shared" si="22"/>
        <v/>
      </c>
      <c r="BB24" s="21" t="s">
        <v>472</v>
      </c>
    </row>
    <row r="25" spans="1:54" ht="20" customHeight="1" x14ac:dyDescent="0.2">
      <c r="A25" s="678"/>
      <c r="B25" s="725"/>
      <c r="C25" s="722"/>
      <c r="D25" s="727" t="s">
        <v>30</v>
      </c>
      <c r="E25" s="728" t="s">
        <v>38</v>
      </c>
      <c r="F25" s="728" t="s">
        <v>39</v>
      </c>
      <c r="G25" s="727">
        <v>2005</v>
      </c>
      <c r="H25" s="729">
        <v>282</v>
      </c>
      <c r="I25" s="65"/>
      <c r="J25" s="61"/>
      <c r="K25" s="62"/>
      <c r="L25" s="31"/>
      <c r="M25" s="34" t="str">
        <f t="shared" si="0"/>
        <v/>
      </c>
      <c r="N25" s="31"/>
      <c r="O25" s="34" t="str">
        <f t="shared" si="1"/>
        <v/>
      </c>
      <c r="P25" s="31"/>
      <c r="Q25" s="34" t="str">
        <f t="shared" si="2"/>
        <v/>
      </c>
      <c r="R25" s="31"/>
      <c r="S25" s="34" t="str">
        <f t="shared" si="3"/>
        <v/>
      </c>
      <c r="T25" s="31"/>
      <c r="U25" s="34" t="str">
        <f t="shared" si="4"/>
        <v/>
      </c>
      <c r="V25" s="56"/>
      <c r="W25" s="34" t="str">
        <f t="shared" si="5"/>
        <v/>
      </c>
      <c r="X25" s="31"/>
      <c r="Y25" s="34" t="str">
        <f t="shared" si="14"/>
        <v/>
      </c>
      <c r="Z25" s="31"/>
      <c r="AA25" s="34" t="str">
        <f t="shared" si="15"/>
        <v/>
      </c>
      <c r="AB25" s="31"/>
      <c r="AC25" s="34" t="str">
        <f t="shared" si="16"/>
        <v/>
      </c>
      <c r="AD25" s="31"/>
      <c r="AE25" s="34" t="str">
        <f t="shared" si="17"/>
        <v/>
      </c>
      <c r="AF25" s="56"/>
      <c r="AG25" s="34" t="str">
        <f t="shared" si="6"/>
        <v/>
      </c>
      <c r="AH25" s="31"/>
      <c r="AI25" s="34" t="str">
        <f t="shared" si="23"/>
        <v/>
      </c>
      <c r="AJ25" s="31"/>
      <c r="AK25" s="34" t="str">
        <f t="shared" si="7"/>
        <v/>
      </c>
      <c r="AL25" s="31"/>
      <c r="AM25" s="34" t="str">
        <f t="shared" si="18"/>
        <v/>
      </c>
      <c r="AN25" s="31"/>
      <c r="AO25" s="34" t="str">
        <f t="shared" si="19"/>
        <v/>
      </c>
      <c r="AP25" s="31"/>
      <c r="AQ25" s="34" t="str">
        <f t="shared" si="8"/>
        <v/>
      </c>
      <c r="AR25" s="31"/>
      <c r="AS25" s="34" t="str">
        <f t="shared" si="9"/>
        <v/>
      </c>
      <c r="AT25" s="31"/>
      <c r="AU25" s="34" t="str">
        <f t="shared" si="19"/>
        <v/>
      </c>
      <c r="AV25" s="31"/>
      <c r="AW25" s="34" t="str">
        <f t="shared" si="20"/>
        <v/>
      </c>
      <c r="AX25" s="31"/>
      <c r="AY25" s="34" t="str">
        <f t="shared" si="21"/>
        <v/>
      </c>
      <c r="AZ25" s="31"/>
      <c r="BA25" s="34" t="str">
        <f t="shared" si="22"/>
        <v/>
      </c>
      <c r="BB25" s="21" t="s">
        <v>377</v>
      </c>
    </row>
    <row r="26" spans="1:54" ht="20" customHeight="1" x14ac:dyDescent="0.2">
      <c r="A26" s="678"/>
      <c r="B26" s="725"/>
      <c r="C26" s="722"/>
      <c r="D26" s="727" t="s">
        <v>30</v>
      </c>
      <c r="E26" s="728" t="s">
        <v>40</v>
      </c>
      <c r="F26" s="728" t="s">
        <v>39</v>
      </c>
      <c r="G26" s="727">
        <v>2006</v>
      </c>
      <c r="H26" s="729">
        <v>380</v>
      </c>
      <c r="I26" s="65"/>
      <c r="J26" s="61"/>
      <c r="K26" s="62"/>
      <c r="L26" s="36"/>
      <c r="M26" s="37" t="str">
        <f t="shared" si="0"/>
        <v/>
      </c>
      <c r="N26" s="31"/>
      <c r="O26" s="34" t="str">
        <f t="shared" si="1"/>
        <v/>
      </c>
      <c r="P26" s="31"/>
      <c r="Q26" s="34" t="str">
        <f t="shared" si="2"/>
        <v/>
      </c>
      <c r="R26" s="31"/>
      <c r="S26" s="34" t="str">
        <f t="shared" si="3"/>
        <v/>
      </c>
      <c r="T26" s="36"/>
      <c r="U26" s="37" t="str">
        <f t="shared" si="4"/>
        <v/>
      </c>
      <c r="V26" s="56"/>
      <c r="W26" s="34" t="str">
        <f t="shared" si="5"/>
        <v/>
      </c>
      <c r="X26" s="36"/>
      <c r="Y26" s="37" t="str">
        <f t="shared" si="14"/>
        <v/>
      </c>
      <c r="Z26" s="31"/>
      <c r="AA26" s="34" t="str">
        <f t="shared" si="15"/>
        <v/>
      </c>
      <c r="AB26" s="31"/>
      <c r="AC26" s="34" t="str">
        <f t="shared" si="16"/>
        <v/>
      </c>
      <c r="AD26" s="31"/>
      <c r="AE26" s="34" t="str">
        <f t="shared" si="17"/>
        <v/>
      </c>
      <c r="AF26" s="56"/>
      <c r="AG26" s="34" t="str">
        <f t="shared" si="6"/>
        <v/>
      </c>
      <c r="AH26" s="36"/>
      <c r="AI26" s="37" t="str">
        <f t="shared" si="23"/>
        <v/>
      </c>
      <c r="AJ26" s="31"/>
      <c r="AK26" s="34" t="str">
        <f t="shared" si="7"/>
        <v/>
      </c>
      <c r="AL26" s="31"/>
      <c r="AM26" s="34" t="str">
        <f t="shared" si="18"/>
        <v/>
      </c>
      <c r="AN26" s="36"/>
      <c r="AO26" s="37" t="str">
        <f t="shared" si="19"/>
        <v/>
      </c>
      <c r="AP26" s="36"/>
      <c r="AQ26" s="37" t="str">
        <f t="shared" si="8"/>
        <v/>
      </c>
      <c r="AR26" s="31"/>
      <c r="AS26" s="34" t="str">
        <f t="shared" si="9"/>
        <v/>
      </c>
      <c r="AT26" s="36"/>
      <c r="AU26" s="37" t="str">
        <f t="shared" si="19"/>
        <v/>
      </c>
      <c r="AV26" s="31"/>
      <c r="AW26" s="34" t="str">
        <f t="shared" si="20"/>
        <v/>
      </c>
      <c r="AX26" s="31"/>
      <c r="AY26" s="34" t="str">
        <f t="shared" si="21"/>
        <v/>
      </c>
      <c r="AZ26" s="36"/>
      <c r="BA26" s="37" t="str">
        <f t="shared" si="22"/>
        <v/>
      </c>
      <c r="BB26" s="21" t="s">
        <v>378</v>
      </c>
    </row>
    <row r="27" spans="1:54" ht="20" customHeight="1" x14ac:dyDescent="0.2">
      <c r="A27" s="678"/>
      <c r="B27" s="725"/>
      <c r="C27" s="255"/>
      <c r="D27" s="722" t="s">
        <v>85</v>
      </c>
      <c r="E27" s="723" t="s">
        <v>41</v>
      </c>
      <c r="F27" s="723" t="s">
        <v>42</v>
      </c>
      <c r="G27" s="722">
        <v>2004</v>
      </c>
      <c r="H27" s="287">
        <v>79</v>
      </c>
      <c r="I27" s="65">
        <v>12</v>
      </c>
      <c r="J27" s="61" t="s">
        <v>167</v>
      </c>
      <c r="K27" s="62" t="s">
        <v>168</v>
      </c>
      <c r="L27" s="31"/>
      <c r="M27" s="34" t="str">
        <f t="shared" si="0"/>
        <v/>
      </c>
      <c r="N27" s="31"/>
      <c r="O27" s="34" t="str">
        <f t="shared" si="1"/>
        <v/>
      </c>
      <c r="P27" s="31"/>
      <c r="Q27" s="34" t="str">
        <f t="shared" si="2"/>
        <v/>
      </c>
      <c r="R27" s="31"/>
      <c r="S27" s="34" t="str">
        <f t="shared" si="3"/>
        <v/>
      </c>
      <c r="T27" s="31"/>
      <c r="U27" s="34" t="str">
        <f t="shared" si="4"/>
        <v/>
      </c>
      <c r="V27" s="56"/>
      <c r="W27" s="34" t="str">
        <f t="shared" si="5"/>
        <v/>
      </c>
      <c r="X27" s="31"/>
      <c r="Y27" s="34" t="str">
        <f>IF((ISERROR((X27/$I27)*100)), "", IF(AND(NOT(ISERROR((X27/$I27)*100)),((X27/$I27)*100) &lt;&gt; 0), (X27/$I27)*100, ""))</f>
        <v/>
      </c>
      <c r="Z27" s="31"/>
      <c r="AA27" s="34" t="str">
        <f>IF((ISERROR((Z27/$I27)*100)), "", IF(AND(NOT(ISERROR((Z27/$I27)*100)),((Z27/$I27)*100) &lt;&gt; 0), (Z27/$I27)*100, ""))</f>
        <v/>
      </c>
      <c r="AB27" s="31"/>
      <c r="AC27" s="34" t="str">
        <f>IF((ISERROR((AB27/$I27)*100)), "", IF(AND(NOT(ISERROR((AB27/$I27)*100)),((AB27/$I27)*100) &lt;&gt; 0), (AB27/$I27)*100, ""))</f>
        <v/>
      </c>
      <c r="AD27" s="31"/>
      <c r="AE27" s="34" t="str">
        <f>IF((ISERROR((AD27/$I27)*100)), "", IF(AND(NOT(ISERROR((AD27/$I27)*100)),((AD27/$I27)*100) &lt;&gt; 0), (AD27/$I27)*100, ""))</f>
        <v/>
      </c>
      <c r="AF27" s="56"/>
      <c r="AG27" s="34" t="str">
        <f t="shared" si="6"/>
        <v/>
      </c>
      <c r="AH27" s="31">
        <v>5</v>
      </c>
      <c r="AI27" s="34">
        <f>IF((ISERROR((AH27/$I27)*100)), "", IF(AND(NOT(ISERROR((AH27/$I27)*100)),((AH27/$I27)*100) &lt;&gt; 0), (AH27/$I27)*100, ""))</f>
        <v>41.666666666666671</v>
      </c>
      <c r="AJ27" s="31"/>
      <c r="AK27" s="34" t="str">
        <f t="shared" si="7"/>
        <v/>
      </c>
      <c r="AL27" s="31"/>
      <c r="AM27" s="34" t="str">
        <f>IF((ISERROR((AL27/$I27)*100)), "", IF(AND(NOT(ISERROR((AL27/$I27)*100)),((AL27/$I27)*100) &lt;&gt; 0), (AL27/$I27)*100, ""))</f>
        <v/>
      </c>
      <c r="AN27" s="31"/>
      <c r="AO27" s="34" t="str">
        <f>IF((ISERROR((AN27/$I27)*100)), "", IF(AND(NOT(ISERROR((AN27/$I27)*100)),((AN27/$I27)*100) &lt;&gt; 0), (AN27/$I27)*100, ""))</f>
        <v/>
      </c>
      <c r="AP27" s="31"/>
      <c r="AQ27" s="34" t="str">
        <f t="shared" si="8"/>
        <v/>
      </c>
      <c r="AR27" s="31"/>
      <c r="AS27" s="34" t="str">
        <f t="shared" si="9"/>
        <v/>
      </c>
      <c r="AT27" s="31"/>
      <c r="AU27" s="34" t="str">
        <f t="shared" si="19"/>
        <v/>
      </c>
      <c r="AV27" s="31"/>
      <c r="AW27" s="34" t="str">
        <f t="shared" si="20"/>
        <v/>
      </c>
      <c r="AX27" s="31"/>
      <c r="AY27" s="34" t="str">
        <f t="shared" si="21"/>
        <v/>
      </c>
      <c r="AZ27" s="31"/>
      <c r="BA27" s="34" t="str">
        <f t="shared" si="22"/>
        <v/>
      </c>
      <c r="BB27" s="21" t="s">
        <v>169</v>
      </c>
    </row>
    <row r="28" spans="1:54" ht="20" customHeight="1" x14ac:dyDescent="0.2">
      <c r="A28" s="678"/>
      <c r="B28" s="725"/>
      <c r="C28" s="255"/>
      <c r="D28" s="722" t="s">
        <v>85</v>
      </c>
      <c r="E28" s="723" t="s">
        <v>43</v>
      </c>
      <c r="F28" s="723" t="s">
        <v>44</v>
      </c>
      <c r="G28" s="722">
        <v>1976</v>
      </c>
      <c r="H28" s="287">
        <v>179</v>
      </c>
      <c r="I28" s="65">
        <v>8</v>
      </c>
      <c r="J28" s="78" t="s">
        <v>331</v>
      </c>
      <c r="K28" s="62"/>
      <c r="L28" s="36">
        <v>2</v>
      </c>
      <c r="M28" s="37">
        <f t="shared" si="0"/>
        <v>25</v>
      </c>
      <c r="N28" s="31"/>
      <c r="O28" s="34" t="str">
        <f t="shared" si="1"/>
        <v/>
      </c>
      <c r="P28" s="36">
        <v>5</v>
      </c>
      <c r="Q28" s="37">
        <f t="shared" si="2"/>
        <v>62.5</v>
      </c>
      <c r="R28" s="36">
        <v>2</v>
      </c>
      <c r="S28" s="37">
        <f t="shared" si="3"/>
        <v>25</v>
      </c>
      <c r="T28" s="36">
        <v>1</v>
      </c>
      <c r="U28" s="37">
        <f t="shared" si="4"/>
        <v>12.5</v>
      </c>
      <c r="V28" s="56">
        <v>1</v>
      </c>
      <c r="W28" s="34">
        <f t="shared" si="5"/>
        <v>12.5</v>
      </c>
      <c r="X28" s="36">
        <v>1</v>
      </c>
      <c r="Y28" s="37">
        <f>IF((ISERROR((X28/$I28)*100)), "", IF(AND(NOT(ISERROR((X28/$I28)*100)),((X28/$I28)*100) &lt;&gt; 0), (X28/$I28)*100, ""))</f>
        <v>12.5</v>
      </c>
      <c r="Z28" s="36">
        <v>1</v>
      </c>
      <c r="AA28" s="37">
        <f>IF((ISERROR((Z28/$I28)*100)), "", IF(AND(NOT(ISERROR((Z28/$I28)*100)),((Z28/$I28)*100) &lt;&gt; 0), (Z28/$I28)*100, ""))</f>
        <v>12.5</v>
      </c>
      <c r="AB28" s="36">
        <v>1</v>
      </c>
      <c r="AC28" s="37">
        <f>IF((ISERROR((AB28/$I28)*100)), "", IF(AND(NOT(ISERROR((AB28/$I28)*100)),((AB28/$I28)*100) &lt;&gt; 0), (AB28/$I28)*100, ""))</f>
        <v>12.5</v>
      </c>
      <c r="AD28" s="31"/>
      <c r="AE28" s="34" t="str">
        <f>IF((ISERROR((AD28/$I28)*100)), "", IF(AND(NOT(ISERROR((AD28/$I28)*100)),((AD28/$I28)*100) &lt;&gt; 0), (AD28/$I28)*100, ""))</f>
        <v/>
      </c>
      <c r="AF28" s="56"/>
      <c r="AG28" s="34" t="str">
        <f t="shared" si="6"/>
        <v/>
      </c>
      <c r="AH28" s="31"/>
      <c r="AI28" s="34" t="str">
        <f>IF((ISERROR((AH28/$I28)*100)), "", IF(AND(NOT(ISERROR((AH28/$I28)*100)),((AH28/$I28)*100) &lt;&gt; 0), (AH28/$I28)*100, ""))</f>
        <v/>
      </c>
      <c r="AJ28" s="31"/>
      <c r="AK28" s="34" t="str">
        <f t="shared" si="7"/>
        <v/>
      </c>
      <c r="AL28" s="36">
        <v>1</v>
      </c>
      <c r="AM28" s="37">
        <f>IF((ISERROR((AL28/$I28)*100)), "", IF(AND(NOT(ISERROR((AL28/$I28)*100)),((AL28/$I28)*100) &lt;&gt; 0), (AL28/$I28)*100, ""))</f>
        <v>12.5</v>
      </c>
      <c r="AN28" s="31"/>
      <c r="AO28" s="34" t="str">
        <f>IF((ISERROR((AN28/$I28)*100)), "", IF(AND(NOT(ISERROR((AN28/$I28)*100)),((AN28/$I28)*100) &lt;&gt; 0), (AN28/$I28)*100, ""))</f>
        <v/>
      </c>
      <c r="AP28" s="31"/>
      <c r="AQ28" s="34" t="str">
        <f t="shared" si="8"/>
        <v/>
      </c>
      <c r="AR28" s="36">
        <v>1</v>
      </c>
      <c r="AS28" s="37">
        <f t="shared" si="9"/>
        <v>12.5</v>
      </c>
      <c r="AT28" s="31"/>
      <c r="AU28" s="34" t="str">
        <f t="shared" si="19"/>
        <v/>
      </c>
      <c r="AV28" s="36"/>
      <c r="AW28" s="37" t="str">
        <f t="shared" si="20"/>
        <v/>
      </c>
      <c r="AX28" s="36"/>
      <c r="AY28" s="37" t="str">
        <f t="shared" si="21"/>
        <v/>
      </c>
      <c r="AZ28" s="31"/>
      <c r="BA28" s="34" t="str">
        <f t="shared" si="22"/>
        <v/>
      </c>
      <c r="BB28" s="21" t="s">
        <v>182</v>
      </c>
    </row>
    <row r="29" spans="1:54" ht="20" customHeight="1" x14ac:dyDescent="0.2">
      <c r="A29" s="678"/>
      <c r="B29" s="725"/>
      <c r="C29" s="258"/>
      <c r="D29" s="722" t="s">
        <v>85</v>
      </c>
      <c r="E29" s="723" t="s">
        <v>152</v>
      </c>
      <c r="F29" s="723" t="s">
        <v>153</v>
      </c>
      <c r="G29" s="722">
        <v>2007</v>
      </c>
      <c r="H29" s="287"/>
      <c r="I29" s="65">
        <v>44</v>
      </c>
      <c r="J29" s="61" t="s">
        <v>561</v>
      </c>
      <c r="K29" s="62" t="s">
        <v>560</v>
      </c>
      <c r="L29" s="31"/>
      <c r="M29" s="34" t="str">
        <f t="shared" si="0"/>
        <v/>
      </c>
      <c r="N29" s="31"/>
      <c r="O29" s="34" t="str">
        <f t="shared" si="1"/>
        <v/>
      </c>
      <c r="P29" s="31"/>
      <c r="Q29" s="34" t="str">
        <f t="shared" si="2"/>
        <v/>
      </c>
      <c r="R29" s="31"/>
      <c r="S29" s="34" t="str">
        <f t="shared" si="3"/>
        <v/>
      </c>
      <c r="T29" s="31"/>
      <c r="U29" s="34" t="str">
        <f t="shared" si="4"/>
        <v/>
      </c>
      <c r="V29" s="56"/>
      <c r="W29" s="34" t="str">
        <f t="shared" si="5"/>
        <v/>
      </c>
      <c r="X29" s="31"/>
      <c r="Y29" s="34" t="str">
        <f t="shared" si="14"/>
        <v/>
      </c>
      <c r="Z29" s="31"/>
      <c r="AA29" s="34" t="str">
        <f t="shared" si="15"/>
        <v/>
      </c>
      <c r="AB29" s="31"/>
      <c r="AC29" s="34" t="str">
        <f t="shared" si="16"/>
        <v/>
      </c>
      <c r="AD29" s="31"/>
      <c r="AE29" s="34" t="str">
        <f t="shared" si="17"/>
        <v/>
      </c>
      <c r="AF29" s="56"/>
      <c r="AG29" s="34" t="str">
        <f t="shared" si="6"/>
        <v/>
      </c>
      <c r="AH29" s="31"/>
      <c r="AI29" s="34" t="str">
        <f t="shared" si="23"/>
        <v/>
      </c>
      <c r="AJ29" s="31"/>
      <c r="AK29" s="34" t="str">
        <f t="shared" si="7"/>
        <v/>
      </c>
      <c r="AL29" s="31"/>
      <c r="AM29" s="34" t="str">
        <f t="shared" si="18"/>
        <v/>
      </c>
      <c r="AN29" s="31"/>
      <c r="AO29" s="34" t="str">
        <f t="shared" si="19"/>
        <v/>
      </c>
      <c r="AP29" s="31"/>
      <c r="AQ29" s="34" t="str">
        <f t="shared" si="8"/>
        <v/>
      </c>
      <c r="AR29" s="31"/>
      <c r="AS29" s="34" t="str">
        <f t="shared" si="9"/>
        <v/>
      </c>
      <c r="AT29" s="31"/>
      <c r="AU29" s="34" t="str">
        <f t="shared" si="19"/>
        <v/>
      </c>
      <c r="AV29" s="31"/>
      <c r="AW29" s="34" t="str">
        <f t="shared" si="20"/>
        <v/>
      </c>
      <c r="AX29" s="31"/>
      <c r="AY29" s="34" t="str">
        <f t="shared" si="21"/>
        <v/>
      </c>
      <c r="AZ29" s="31"/>
      <c r="BA29" s="34" t="str">
        <f t="shared" si="22"/>
        <v/>
      </c>
      <c r="BB29" s="21" t="s">
        <v>562</v>
      </c>
    </row>
    <row r="30" spans="1:54" ht="20" customHeight="1" x14ac:dyDescent="0.2">
      <c r="A30" s="678"/>
      <c r="B30" s="725"/>
      <c r="C30" s="253"/>
      <c r="D30" s="722" t="s">
        <v>85</v>
      </c>
      <c r="E30" s="723" t="s">
        <v>252</v>
      </c>
      <c r="F30" s="723" t="s">
        <v>253</v>
      </c>
      <c r="G30" s="722">
        <v>2014</v>
      </c>
      <c r="H30" s="287"/>
      <c r="I30" s="65">
        <v>48</v>
      </c>
      <c r="J30" s="61" t="s">
        <v>213</v>
      </c>
      <c r="K30" s="62" t="s">
        <v>332</v>
      </c>
      <c r="L30" s="36"/>
      <c r="M30" s="37" t="str">
        <f t="shared" si="0"/>
        <v/>
      </c>
      <c r="N30" s="31"/>
      <c r="O30" s="34" t="str">
        <f t="shared" si="1"/>
        <v/>
      </c>
      <c r="P30" s="31"/>
      <c r="Q30" s="34" t="str">
        <f t="shared" si="2"/>
        <v/>
      </c>
      <c r="R30" s="31"/>
      <c r="S30" s="34" t="str">
        <f t="shared" si="3"/>
        <v/>
      </c>
      <c r="T30" s="31"/>
      <c r="U30" s="34" t="str">
        <f t="shared" si="4"/>
        <v/>
      </c>
      <c r="V30" s="56"/>
      <c r="W30" s="34" t="str">
        <f t="shared" si="5"/>
        <v/>
      </c>
      <c r="X30" s="31"/>
      <c r="Y30" s="34" t="str">
        <f>IF((ISERROR((X30/$I30)*100)), "", IF(AND(NOT(ISERROR((X30/$I30)*100)),((X30/$I30)*100) &lt;&gt; 0), (X30/$I30)*100, ""))</f>
        <v/>
      </c>
      <c r="Z30" s="31"/>
      <c r="AA30" s="34" t="str">
        <f>IF((ISERROR((Z30/$I30)*100)), "", IF(AND(NOT(ISERROR((Z30/$I30)*100)),((Z30/$I30)*100) &lt;&gt; 0), (Z30/$I30)*100, ""))</f>
        <v/>
      </c>
      <c r="AB30" s="31"/>
      <c r="AC30" s="34" t="str">
        <f>IF((ISERROR((AB30/$I30)*100)), "", IF(AND(NOT(ISERROR((AB30/$I30)*100)),((AB30/$I30)*100) &lt;&gt; 0), (AB30/$I30)*100, ""))</f>
        <v/>
      </c>
      <c r="AD30" s="31"/>
      <c r="AE30" s="34" t="str">
        <f>IF((ISERROR((AD30/$I30)*100)), "", IF(AND(NOT(ISERROR((AD30/$I30)*100)),((AD30/$I30)*100) &lt;&gt; 0), (AD30/$I30)*100, ""))</f>
        <v/>
      </c>
      <c r="AF30" s="56"/>
      <c r="AG30" s="34" t="str">
        <f t="shared" si="6"/>
        <v/>
      </c>
      <c r="AH30" s="36"/>
      <c r="AI30" s="37" t="str">
        <f>IF((ISERROR((AH30/$I30)*100)), "", IF(AND(NOT(ISERROR((AH30/$I30)*100)),((AH30/$I30)*100) &lt;&gt; 0), (AH30/$I30)*100, ""))</f>
        <v/>
      </c>
      <c r="AJ30" s="31"/>
      <c r="AK30" s="34" t="str">
        <f t="shared" si="7"/>
        <v/>
      </c>
      <c r="AL30" s="31"/>
      <c r="AM30" s="34" t="str">
        <f>IF((ISERROR((AL30/$I30)*100)), "", IF(AND(NOT(ISERROR((AL30/$I30)*100)),((AL30/$I30)*100) &lt;&gt; 0), (AL30/$I30)*100, ""))</f>
        <v/>
      </c>
      <c r="AN30" s="31"/>
      <c r="AO30" s="34" t="str">
        <f>IF((ISERROR((AN30/$I30)*100)), "", IF(AND(NOT(ISERROR((AN30/$I30)*100)),((AN30/$I30)*100) &lt;&gt; 0), (AN30/$I30)*100, ""))</f>
        <v/>
      </c>
      <c r="AP30" s="31"/>
      <c r="AQ30" s="34" t="str">
        <f t="shared" si="8"/>
        <v/>
      </c>
      <c r="AR30" s="31"/>
      <c r="AS30" s="34" t="str">
        <f t="shared" si="9"/>
        <v/>
      </c>
      <c r="AT30" s="31"/>
      <c r="AU30" s="34" t="str">
        <f t="shared" si="19"/>
        <v/>
      </c>
      <c r="AV30" s="31"/>
      <c r="AW30" s="34" t="str">
        <f t="shared" si="20"/>
        <v/>
      </c>
      <c r="AX30" s="31"/>
      <c r="AY30" s="34" t="str">
        <f t="shared" si="21"/>
        <v/>
      </c>
      <c r="AZ30" s="31"/>
      <c r="BA30" s="34" t="str">
        <f t="shared" si="22"/>
        <v/>
      </c>
      <c r="BB30" s="21" t="s">
        <v>395</v>
      </c>
    </row>
    <row r="31" spans="1:54" ht="20" customHeight="1" x14ac:dyDescent="0.2">
      <c r="A31" s="680"/>
      <c r="B31" s="721"/>
      <c r="C31" s="253"/>
      <c r="D31" s="722" t="s">
        <v>85</v>
      </c>
      <c r="E31" s="723" t="s">
        <v>612</v>
      </c>
      <c r="F31" s="723" t="s">
        <v>613</v>
      </c>
      <c r="G31" s="722">
        <v>2004</v>
      </c>
      <c r="H31" s="287"/>
      <c r="I31" s="701"/>
      <c r="J31" s="232" t="s">
        <v>614</v>
      </c>
      <c r="K31" s="250"/>
      <c r="L31" s="31"/>
      <c r="M31" s="34"/>
      <c r="N31" s="31"/>
      <c r="O31" s="34"/>
      <c r="P31" s="31"/>
      <c r="Q31" s="34"/>
      <c r="R31" s="31"/>
      <c r="S31" s="34"/>
      <c r="T31" s="31"/>
      <c r="U31" s="34"/>
      <c r="V31" s="56"/>
      <c r="W31" s="34"/>
      <c r="X31" s="31"/>
      <c r="Y31" s="34"/>
      <c r="Z31" s="31"/>
      <c r="AA31" s="34"/>
      <c r="AB31" s="31"/>
      <c r="AC31" s="34"/>
      <c r="AD31" s="31"/>
      <c r="AE31" s="34"/>
      <c r="AF31" s="56"/>
      <c r="AG31" s="34"/>
      <c r="AH31" s="31"/>
      <c r="AI31" s="34"/>
      <c r="AJ31" s="31"/>
      <c r="AK31" s="34"/>
      <c r="AL31" s="31"/>
      <c r="AM31" s="34"/>
      <c r="AN31" s="31"/>
      <c r="AO31" s="34"/>
      <c r="AP31" s="31"/>
      <c r="AQ31" s="34"/>
      <c r="AR31" s="31"/>
      <c r="AS31" s="34"/>
      <c r="AT31" s="31"/>
      <c r="AU31" s="34"/>
      <c r="AV31" s="31"/>
      <c r="AW31" s="34"/>
      <c r="AX31" s="31"/>
      <c r="AY31" s="34"/>
      <c r="AZ31" s="31"/>
      <c r="BA31" s="34"/>
    </row>
    <row r="32" spans="1:54" ht="20" customHeight="1" x14ac:dyDescent="0.2">
      <c r="A32" s="678"/>
      <c r="B32" s="725"/>
      <c r="C32" s="253"/>
      <c r="D32" s="722" t="s">
        <v>85</v>
      </c>
      <c r="E32" s="723" t="s">
        <v>256</v>
      </c>
      <c r="F32" s="723" t="s">
        <v>257</v>
      </c>
      <c r="G32" s="722">
        <v>2012</v>
      </c>
      <c r="H32" s="287"/>
      <c r="I32" s="65">
        <v>80</v>
      </c>
      <c r="J32" s="61" t="s">
        <v>213</v>
      </c>
      <c r="K32" s="62" t="s">
        <v>190</v>
      </c>
      <c r="L32" s="31"/>
      <c r="M32" s="34" t="str">
        <f t="shared" si="0"/>
        <v/>
      </c>
      <c r="N32" s="31"/>
      <c r="O32" s="34" t="str">
        <f t="shared" si="1"/>
        <v/>
      </c>
      <c r="P32" s="31"/>
      <c r="Q32" s="34" t="str">
        <f t="shared" si="2"/>
        <v/>
      </c>
      <c r="R32" s="31"/>
      <c r="S32" s="34" t="str">
        <f t="shared" si="3"/>
        <v/>
      </c>
      <c r="T32" s="31"/>
      <c r="U32" s="34" t="str">
        <f t="shared" si="4"/>
        <v/>
      </c>
      <c r="V32" s="56"/>
      <c r="W32" s="34" t="str">
        <f t="shared" si="5"/>
        <v/>
      </c>
      <c r="X32" s="31"/>
      <c r="Y32" s="34" t="str">
        <f>IF((ISERROR((X32/$I32)*100)), "", IF(AND(NOT(ISERROR((X32/$I32)*100)),((X32/$I32)*100) &lt;&gt; 0), (X32/$I32)*100, ""))</f>
        <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56"/>
      <c r="AG32" s="34" t="str">
        <f t="shared" si="6"/>
        <v/>
      </c>
      <c r="AH32" s="31"/>
      <c r="AI32" s="34" t="str">
        <f>IF((ISERROR((AH32/$I32)*100)), "", IF(AND(NOT(ISERROR((AH32/$I32)*100)),((AH32/$I32)*100) &lt;&gt; 0), (AH32/$I32)*100, ""))</f>
        <v/>
      </c>
      <c r="AJ32" s="31"/>
      <c r="AK32" s="34" t="str">
        <f t="shared" si="7"/>
        <v/>
      </c>
      <c r="AL32" s="31"/>
      <c r="AM32" s="34" t="str">
        <f>IF((ISERROR((AL32/$I32)*100)), "", IF(AND(NOT(ISERROR((AL32/$I32)*100)),((AL32/$I32)*100) &lt;&gt; 0), (AL32/$I32)*100, ""))</f>
        <v/>
      </c>
      <c r="AN32" s="31"/>
      <c r="AO32" s="34" t="str">
        <f>IF((ISERROR((AN32/$I32)*100)), "", IF(AND(NOT(ISERROR((AN32/$I32)*100)),((AN32/$I32)*100) &lt;&gt; 0), (AN32/$I32)*100, ""))</f>
        <v/>
      </c>
      <c r="AP32" s="31"/>
      <c r="AQ32" s="34" t="str">
        <f t="shared" si="8"/>
        <v/>
      </c>
      <c r="AR32" s="31"/>
      <c r="AS32" s="34" t="str">
        <f t="shared" si="9"/>
        <v/>
      </c>
      <c r="AT32" s="31"/>
      <c r="AU32" s="34" t="str">
        <f t="shared" si="19"/>
        <v/>
      </c>
      <c r="AV32" s="31"/>
      <c r="AW32" s="34" t="str">
        <f t="shared" si="20"/>
        <v/>
      </c>
      <c r="AX32" s="31"/>
      <c r="AY32" s="34" t="str">
        <f t="shared" si="21"/>
        <v/>
      </c>
      <c r="AZ32" s="31"/>
      <c r="BA32" s="34" t="str">
        <f t="shared" si="22"/>
        <v/>
      </c>
    </row>
    <row r="33" spans="1:54" ht="20" customHeight="1" x14ac:dyDescent="0.2">
      <c r="A33" s="678"/>
      <c r="B33" s="725"/>
      <c r="C33" s="255"/>
      <c r="D33" s="722" t="s">
        <v>85</v>
      </c>
      <c r="E33" s="723" t="s">
        <v>258</v>
      </c>
      <c r="F33" s="723" t="s">
        <v>259</v>
      </c>
      <c r="G33" s="722">
        <v>2013</v>
      </c>
      <c r="H33" s="287"/>
      <c r="I33" s="65">
        <v>12</v>
      </c>
      <c r="J33" s="61" t="s">
        <v>213</v>
      </c>
      <c r="K33" s="62" t="s">
        <v>333</v>
      </c>
      <c r="L33" s="31"/>
      <c r="M33" s="34" t="str">
        <f t="shared" si="0"/>
        <v/>
      </c>
      <c r="N33" s="31"/>
      <c r="O33" s="34" t="str">
        <f t="shared" si="1"/>
        <v/>
      </c>
      <c r="P33" s="31"/>
      <c r="Q33" s="34" t="str">
        <f t="shared" si="2"/>
        <v/>
      </c>
      <c r="R33" s="31"/>
      <c r="S33" s="34" t="str">
        <f t="shared" si="3"/>
        <v/>
      </c>
      <c r="T33" s="36"/>
      <c r="U33" s="37" t="str">
        <f t="shared" si="4"/>
        <v/>
      </c>
      <c r="V33" s="38"/>
      <c r="W33" s="37" t="str">
        <f t="shared" si="5"/>
        <v/>
      </c>
      <c r="X33" s="31"/>
      <c r="Y33" s="34" t="str">
        <f>IF((ISERROR((X33/$I33)*100)), "", IF(AND(NOT(ISERROR((X33/$I33)*100)),((X33/$I33)*100) &lt;&gt; 0), (X33/$I33)*100, ""))</f>
        <v/>
      </c>
      <c r="Z33" s="31"/>
      <c r="AA33" s="34" t="str">
        <f>IF((ISERROR((Z33/$I33)*100)), "", IF(AND(NOT(ISERROR((Z33/$I33)*100)),((Z33/$I33)*100) &lt;&gt; 0), (Z33/$I33)*100, ""))</f>
        <v/>
      </c>
      <c r="AB33" s="31"/>
      <c r="AC33" s="34" t="str">
        <f>IF((ISERROR((AB33/$I33)*100)), "", IF(AND(NOT(ISERROR((AB33/$I33)*100)),((AB33/$I33)*100) &lt;&gt; 0), (AB33/$I33)*100, ""))</f>
        <v/>
      </c>
      <c r="AD33" s="31"/>
      <c r="AE33" s="34" t="str">
        <f>IF((ISERROR((AD33/$I33)*100)), "", IF(AND(NOT(ISERROR((AD33/$I33)*100)),((AD33/$I33)*100) &lt;&gt; 0), (AD33/$I33)*100, ""))</f>
        <v/>
      </c>
      <c r="AF33" s="56"/>
      <c r="AG33" s="34" t="str">
        <f t="shared" si="6"/>
        <v/>
      </c>
      <c r="AH33" s="31"/>
      <c r="AI33" s="34" t="str">
        <f>IF((ISERROR((AH33/$I33)*100)), "", IF(AND(NOT(ISERROR((AH33/$I33)*100)),((AH33/$I33)*100) &lt;&gt; 0), (AH33/$I33)*100, ""))</f>
        <v/>
      </c>
      <c r="AJ33" s="31"/>
      <c r="AK33" s="34" t="str">
        <f t="shared" si="7"/>
        <v/>
      </c>
      <c r="AL33" s="31"/>
      <c r="AM33" s="34" t="str">
        <f>IF((ISERROR((AL33/$I33)*100)), "", IF(AND(NOT(ISERROR((AL33/$I33)*100)),((AL33/$I33)*100) &lt;&gt; 0), (AL33/$I33)*100, ""))</f>
        <v/>
      </c>
      <c r="AN33" s="31"/>
      <c r="AO33" s="34" t="str">
        <f>IF((ISERROR((AN33/$I33)*100)), "", IF(AND(NOT(ISERROR((AN33/$I33)*100)),((AN33/$I33)*100) &lt;&gt; 0), (AN33/$I33)*100, ""))</f>
        <v/>
      </c>
      <c r="AP33" s="31"/>
      <c r="AQ33" s="34" t="str">
        <f t="shared" si="8"/>
        <v/>
      </c>
      <c r="AR33" s="31"/>
      <c r="AS33" s="34" t="str">
        <f t="shared" si="9"/>
        <v/>
      </c>
      <c r="AT33" s="31"/>
      <c r="AU33" s="34" t="str">
        <f t="shared" si="19"/>
        <v/>
      </c>
      <c r="AV33" s="31"/>
      <c r="AW33" s="34" t="str">
        <f t="shared" si="20"/>
        <v/>
      </c>
      <c r="AX33" s="31"/>
      <c r="AY33" s="34" t="str">
        <f t="shared" si="21"/>
        <v/>
      </c>
      <c r="AZ33" s="31"/>
      <c r="BA33" s="34" t="str">
        <f t="shared" si="22"/>
        <v/>
      </c>
      <c r="BB33" s="21" t="s">
        <v>396</v>
      </c>
    </row>
    <row r="34" spans="1:54" ht="20" customHeight="1" x14ac:dyDescent="0.2">
      <c r="A34" s="678"/>
      <c r="B34" s="721"/>
      <c r="C34" s="258"/>
      <c r="D34" s="722" t="s">
        <v>85</v>
      </c>
      <c r="E34" s="723" t="s">
        <v>45</v>
      </c>
      <c r="F34" s="723" t="s">
        <v>46</v>
      </c>
      <c r="G34" s="722">
        <v>1998</v>
      </c>
      <c r="H34" s="287">
        <v>96</v>
      </c>
      <c r="I34" s="65">
        <v>61</v>
      </c>
      <c r="J34" s="61" t="s">
        <v>175</v>
      </c>
      <c r="K34" s="62" t="s">
        <v>187</v>
      </c>
      <c r="L34" s="31"/>
      <c r="M34" s="34" t="str">
        <f t="shared" si="0"/>
        <v/>
      </c>
      <c r="N34" s="31"/>
      <c r="O34" s="34" t="str">
        <f t="shared" si="1"/>
        <v/>
      </c>
      <c r="P34" s="31"/>
      <c r="Q34" s="34" t="str">
        <f t="shared" si="2"/>
        <v/>
      </c>
      <c r="R34" s="31"/>
      <c r="S34" s="34" t="str">
        <f t="shared" si="3"/>
        <v/>
      </c>
      <c r="T34" s="31"/>
      <c r="U34" s="34" t="str">
        <f t="shared" si="4"/>
        <v/>
      </c>
      <c r="V34" s="56"/>
      <c r="W34" s="34" t="str">
        <f t="shared" si="5"/>
        <v/>
      </c>
      <c r="X34" s="31"/>
      <c r="Y34" s="34" t="str">
        <f t="shared" si="14"/>
        <v/>
      </c>
      <c r="Z34" s="31"/>
      <c r="AA34" s="34" t="str">
        <f t="shared" si="15"/>
        <v/>
      </c>
      <c r="AB34" s="31"/>
      <c r="AC34" s="34" t="str">
        <f t="shared" si="16"/>
        <v/>
      </c>
      <c r="AD34" s="31"/>
      <c r="AE34" s="34" t="str">
        <f t="shared" si="17"/>
        <v/>
      </c>
      <c r="AF34" s="56"/>
      <c r="AG34" s="34" t="str">
        <f t="shared" si="6"/>
        <v/>
      </c>
      <c r="AH34" s="31"/>
      <c r="AI34" s="34" t="str">
        <f t="shared" si="23"/>
        <v/>
      </c>
      <c r="AJ34" s="31"/>
      <c r="AK34" s="34" t="str">
        <f t="shared" si="7"/>
        <v/>
      </c>
      <c r="AL34" s="31"/>
      <c r="AM34" s="34" t="str">
        <f t="shared" si="18"/>
        <v/>
      </c>
      <c r="AN34" s="31"/>
      <c r="AO34" s="34" t="str">
        <f t="shared" si="19"/>
        <v/>
      </c>
      <c r="AP34" s="31"/>
      <c r="AQ34" s="34" t="str">
        <f t="shared" si="8"/>
        <v/>
      </c>
      <c r="AR34" s="31"/>
      <c r="AS34" s="34" t="str">
        <f t="shared" si="9"/>
        <v/>
      </c>
      <c r="AT34" s="31"/>
      <c r="AU34" s="34" t="str">
        <f t="shared" si="19"/>
        <v/>
      </c>
      <c r="AV34" s="31"/>
      <c r="AW34" s="34" t="str">
        <f t="shared" si="20"/>
        <v/>
      </c>
      <c r="AX34" s="31"/>
      <c r="AY34" s="34" t="str">
        <f t="shared" si="21"/>
        <v/>
      </c>
      <c r="AZ34" s="31"/>
      <c r="BA34" s="34" t="str">
        <f t="shared" si="22"/>
        <v/>
      </c>
      <c r="BB34" s="21" t="s">
        <v>176</v>
      </c>
    </row>
    <row r="35" spans="1:54" ht="20" customHeight="1" x14ac:dyDescent="0.2">
      <c r="A35" s="678"/>
      <c r="B35" s="725"/>
      <c r="C35" s="255"/>
      <c r="D35" s="722" t="s">
        <v>85</v>
      </c>
      <c r="E35" s="723" t="s">
        <v>260</v>
      </c>
      <c r="F35" s="723" t="s">
        <v>261</v>
      </c>
      <c r="G35" s="722">
        <v>2000</v>
      </c>
      <c r="H35" s="287"/>
      <c r="I35" s="65">
        <v>9</v>
      </c>
      <c r="J35" s="61" t="s">
        <v>217</v>
      </c>
      <c r="K35" s="62" t="s">
        <v>168</v>
      </c>
      <c r="L35" s="31"/>
      <c r="M35" s="34" t="str">
        <f t="shared" si="0"/>
        <v/>
      </c>
      <c r="N35" s="31"/>
      <c r="O35" s="34" t="str">
        <f t="shared" si="1"/>
        <v/>
      </c>
      <c r="P35" s="31">
        <v>1</v>
      </c>
      <c r="Q35" s="34">
        <f t="shared" si="2"/>
        <v>11.111111111111111</v>
      </c>
      <c r="R35" s="31"/>
      <c r="S35" s="34" t="str">
        <f t="shared" si="3"/>
        <v/>
      </c>
      <c r="T35" s="31">
        <v>1</v>
      </c>
      <c r="U35" s="34">
        <f t="shared" si="4"/>
        <v>11.111111111111111</v>
      </c>
      <c r="V35" s="56">
        <v>1</v>
      </c>
      <c r="W35" s="34">
        <f t="shared" si="5"/>
        <v>11.111111111111111</v>
      </c>
      <c r="X35" s="31"/>
      <c r="Y35" s="34" t="str">
        <f t="shared" si="14"/>
        <v/>
      </c>
      <c r="Z35" s="31"/>
      <c r="AA35" s="34" t="str">
        <f t="shared" si="15"/>
        <v/>
      </c>
      <c r="AB35" s="31"/>
      <c r="AC35" s="34" t="str">
        <f t="shared" si="16"/>
        <v/>
      </c>
      <c r="AD35" s="31"/>
      <c r="AE35" s="34" t="str">
        <f t="shared" si="17"/>
        <v/>
      </c>
      <c r="AF35" s="56"/>
      <c r="AG35" s="34" t="str">
        <f t="shared" si="6"/>
        <v/>
      </c>
      <c r="AH35" s="31"/>
      <c r="AI35" s="34" t="str">
        <f t="shared" si="23"/>
        <v/>
      </c>
      <c r="AJ35" s="31"/>
      <c r="AK35" s="34" t="str">
        <f t="shared" si="7"/>
        <v/>
      </c>
      <c r="AL35" s="31"/>
      <c r="AM35" s="34" t="str">
        <f t="shared" si="18"/>
        <v/>
      </c>
      <c r="AN35" s="31"/>
      <c r="AO35" s="34" t="str">
        <f t="shared" si="19"/>
        <v/>
      </c>
      <c r="AP35" s="31"/>
      <c r="AQ35" s="34" t="str">
        <f t="shared" si="8"/>
        <v/>
      </c>
      <c r="AR35" s="31"/>
      <c r="AS35" s="34" t="str">
        <f t="shared" si="9"/>
        <v/>
      </c>
      <c r="AT35" s="31"/>
      <c r="AU35" s="34" t="str">
        <f t="shared" si="19"/>
        <v/>
      </c>
      <c r="AV35" s="31"/>
      <c r="AW35" s="34" t="str">
        <f t="shared" si="20"/>
        <v/>
      </c>
      <c r="AX35" s="31"/>
      <c r="AY35" s="34" t="str">
        <f t="shared" si="21"/>
        <v/>
      </c>
      <c r="AZ35" s="31"/>
      <c r="BA35" s="34" t="str">
        <f t="shared" si="22"/>
        <v/>
      </c>
      <c r="BB35" s="21" t="s">
        <v>334</v>
      </c>
    </row>
    <row r="36" spans="1:54" ht="20" customHeight="1" x14ac:dyDescent="0.2">
      <c r="A36" s="678"/>
      <c r="B36" s="725"/>
      <c r="C36" s="253"/>
      <c r="D36" s="722" t="s">
        <v>85</v>
      </c>
      <c r="E36" s="723" t="s">
        <v>262</v>
      </c>
      <c r="F36" s="723" t="s">
        <v>263</v>
      </c>
      <c r="G36" s="722">
        <v>2003</v>
      </c>
      <c r="H36" s="287"/>
      <c r="I36" s="65">
        <v>10</v>
      </c>
      <c r="J36" s="61" t="s">
        <v>184</v>
      </c>
      <c r="K36" s="62" t="s">
        <v>189</v>
      </c>
      <c r="L36" s="31"/>
      <c r="M36" s="34" t="str">
        <f t="shared" si="0"/>
        <v/>
      </c>
      <c r="N36" s="31"/>
      <c r="O36" s="34" t="str">
        <f t="shared" si="1"/>
        <v/>
      </c>
      <c r="P36" s="31"/>
      <c r="Q36" s="34" t="str">
        <f t="shared" si="2"/>
        <v/>
      </c>
      <c r="R36" s="31"/>
      <c r="S36" s="34" t="str">
        <f t="shared" si="3"/>
        <v/>
      </c>
      <c r="T36" s="31"/>
      <c r="U36" s="34" t="str">
        <f t="shared" si="4"/>
        <v/>
      </c>
      <c r="V36" s="56"/>
      <c r="W36" s="34" t="str">
        <f t="shared" si="5"/>
        <v/>
      </c>
      <c r="X36" s="31"/>
      <c r="Y36" s="34" t="str">
        <f t="shared" si="14"/>
        <v/>
      </c>
      <c r="Z36" s="31"/>
      <c r="AA36" s="34" t="str">
        <f t="shared" si="15"/>
        <v/>
      </c>
      <c r="AB36" s="31"/>
      <c r="AC36" s="34" t="str">
        <f t="shared" si="16"/>
        <v/>
      </c>
      <c r="AD36" s="31"/>
      <c r="AE36" s="34" t="str">
        <f t="shared" si="17"/>
        <v/>
      </c>
      <c r="AF36" s="56"/>
      <c r="AG36" s="34" t="str">
        <f t="shared" si="6"/>
        <v/>
      </c>
      <c r="AH36" s="31"/>
      <c r="AI36" s="34" t="str">
        <f t="shared" si="23"/>
        <v/>
      </c>
      <c r="AJ36" s="31"/>
      <c r="AK36" s="34" t="str">
        <f t="shared" si="7"/>
        <v/>
      </c>
      <c r="AL36" s="31"/>
      <c r="AM36" s="34" t="str">
        <f t="shared" si="18"/>
        <v/>
      </c>
      <c r="AN36" s="31"/>
      <c r="AO36" s="34" t="str">
        <f t="shared" si="19"/>
        <v/>
      </c>
      <c r="AP36" s="31"/>
      <c r="AQ36" s="34" t="str">
        <f t="shared" si="8"/>
        <v/>
      </c>
      <c r="AR36" s="31"/>
      <c r="AS36" s="34" t="str">
        <f t="shared" si="9"/>
        <v/>
      </c>
      <c r="AT36" s="31"/>
      <c r="AU36" s="34" t="str">
        <f t="shared" si="19"/>
        <v/>
      </c>
      <c r="AV36" s="31"/>
      <c r="AW36" s="34" t="str">
        <f t="shared" si="20"/>
        <v/>
      </c>
      <c r="AX36" s="31"/>
      <c r="AY36" s="34" t="str">
        <f t="shared" si="21"/>
        <v/>
      </c>
      <c r="AZ36" s="31"/>
      <c r="BA36" s="34" t="str">
        <f t="shared" si="22"/>
        <v/>
      </c>
      <c r="BB36" s="21" t="s">
        <v>199</v>
      </c>
    </row>
    <row r="37" spans="1:54" ht="20" customHeight="1" x14ac:dyDescent="0.2">
      <c r="A37" s="680"/>
      <c r="B37" s="721"/>
      <c r="C37" s="722"/>
      <c r="D37" s="722" t="s">
        <v>85</v>
      </c>
      <c r="E37" s="723" t="s">
        <v>618</v>
      </c>
      <c r="F37" s="723" t="s">
        <v>619</v>
      </c>
      <c r="G37" s="722">
        <v>2011</v>
      </c>
      <c r="H37" s="287"/>
      <c r="I37" s="65">
        <v>80</v>
      </c>
      <c r="J37" s="61" t="s">
        <v>620</v>
      </c>
      <c r="K37" s="62" t="s">
        <v>621</v>
      </c>
      <c r="L37" s="31"/>
      <c r="M37" s="34"/>
      <c r="N37" s="31"/>
      <c r="O37" s="34"/>
      <c r="P37" s="31"/>
      <c r="Q37" s="34"/>
      <c r="R37" s="31"/>
      <c r="S37" s="34"/>
      <c r="T37" s="31"/>
      <c r="U37" s="34"/>
      <c r="V37" s="56"/>
      <c r="W37" s="34"/>
      <c r="X37" s="31"/>
      <c r="Y37" s="34"/>
      <c r="Z37" s="31"/>
      <c r="AA37" s="34"/>
      <c r="AB37" s="31"/>
      <c r="AC37" s="34"/>
      <c r="AD37" s="31"/>
      <c r="AE37" s="34"/>
      <c r="AF37" s="56"/>
      <c r="AG37" s="34"/>
      <c r="AH37" s="31"/>
      <c r="AI37" s="34"/>
      <c r="AJ37" s="31"/>
      <c r="AK37" s="34"/>
      <c r="AL37" s="31"/>
      <c r="AM37" s="34"/>
      <c r="AN37" s="31"/>
      <c r="AO37" s="34"/>
      <c r="AP37" s="31"/>
      <c r="AQ37" s="34"/>
      <c r="AR37" s="31"/>
      <c r="AS37" s="34"/>
      <c r="AT37" s="31"/>
      <c r="AU37" s="34"/>
      <c r="AV37" s="31"/>
      <c r="AW37" s="34"/>
      <c r="AX37" s="31"/>
      <c r="AY37" s="34"/>
      <c r="AZ37" s="31"/>
      <c r="BA37" s="34"/>
    </row>
    <row r="38" spans="1:54" ht="20" customHeight="1" x14ac:dyDescent="0.2">
      <c r="A38" s="680"/>
      <c r="B38" s="721"/>
      <c r="C38" s="722"/>
      <c r="D38" s="722" t="s">
        <v>85</v>
      </c>
      <c r="E38" s="723" t="s">
        <v>622</v>
      </c>
      <c r="F38" s="723" t="s">
        <v>705</v>
      </c>
      <c r="G38" s="722">
        <v>2012</v>
      </c>
      <c r="H38" s="287"/>
      <c r="I38" s="65"/>
      <c r="J38" s="61" t="s">
        <v>213</v>
      </c>
      <c r="K38" s="62" t="s">
        <v>192</v>
      </c>
      <c r="L38" s="31"/>
      <c r="M38" s="34"/>
      <c r="N38" s="31"/>
      <c r="O38" s="34"/>
      <c r="P38" s="31"/>
      <c r="Q38" s="34"/>
      <c r="R38" s="31"/>
      <c r="S38" s="34"/>
      <c r="T38" s="31"/>
      <c r="U38" s="34"/>
      <c r="V38" s="56"/>
      <c r="W38" s="34"/>
      <c r="X38" s="31"/>
      <c r="Y38" s="34"/>
      <c r="Z38" s="31"/>
      <c r="AA38" s="34"/>
      <c r="AB38" s="31"/>
      <c r="AC38" s="34"/>
      <c r="AD38" s="31"/>
      <c r="AE38" s="34"/>
      <c r="AF38" s="56"/>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678"/>
      <c r="B39" s="725"/>
      <c r="C39" s="722"/>
      <c r="D39" s="727" t="s">
        <v>30</v>
      </c>
      <c r="E39" s="728" t="s">
        <v>50</v>
      </c>
      <c r="F39" s="728" t="s">
        <v>51</v>
      </c>
      <c r="G39" s="727">
        <v>1993</v>
      </c>
      <c r="H39" s="729">
        <v>306</v>
      </c>
      <c r="I39" s="65"/>
      <c r="J39" s="61"/>
      <c r="K39" s="62"/>
      <c r="L39" s="31"/>
      <c r="M39" s="34" t="str">
        <f t="shared" si="0"/>
        <v/>
      </c>
      <c r="N39" s="31"/>
      <c r="O39" s="34" t="str">
        <f t="shared" si="1"/>
        <v/>
      </c>
      <c r="P39" s="31"/>
      <c r="Q39" s="34" t="str">
        <f t="shared" si="2"/>
        <v/>
      </c>
      <c r="R39" s="31"/>
      <c r="S39" s="34" t="str">
        <f t="shared" si="3"/>
        <v/>
      </c>
      <c r="T39" s="31"/>
      <c r="U39" s="34" t="str">
        <f t="shared" si="4"/>
        <v/>
      </c>
      <c r="V39" s="56"/>
      <c r="W39" s="34" t="str">
        <f t="shared" si="5"/>
        <v/>
      </c>
      <c r="X39" s="31"/>
      <c r="Y39" s="34" t="str">
        <f t="shared" si="14"/>
        <v/>
      </c>
      <c r="Z39" s="31"/>
      <c r="AA39" s="34" t="str">
        <f t="shared" si="15"/>
        <v/>
      </c>
      <c r="AB39" s="31"/>
      <c r="AC39" s="34" t="str">
        <f t="shared" si="16"/>
        <v/>
      </c>
      <c r="AD39" s="31"/>
      <c r="AE39" s="34" t="str">
        <f t="shared" si="17"/>
        <v/>
      </c>
      <c r="AF39" s="56"/>
      <c r="AG39" s="34" t="str">
        <f t="shared" si="6"/>
        <v/>
      </c>
      <c r="AH39" s="31"/>
      <c r="AI39" s="34" t="str">
        <f t="shared" si="23"/>
        <v/>
      </c>
      <c r="AJ39" s="31"/>
      <c r="AK39" s="34" t="str">
        <f t="shared" si="7"/>
        <v/>
      </c>
      <c r="AL39" s="31"/>
      <c r="AM39" s="34" t="str">
        <f t="shared" si="18"/>
        <v/>
      </c>
      <c r="AN39" s="31"/>
      <c r="AO39" s="34" t="str">
        <f t="shared" si="19"/>
        <v/>
      </c>
      <c r="AP39" s="31"/>
      <c r="AQ39" s="34" t="str">
        <f t="shared" si="8"/>
        <v/>
      </c>
      <c r="AR39" s="31"/>
      <c r="AS39" s="34" t="str">
        <f t="shared" si="9"/>
        <v/>
      </c>
      <c r="AT39" s="31"/>
      <c r="AU39" s="34" t="str">
        <f t="shared" si="19"/>
        <v/>
      </c>
      <c r="AV39" s="31"/>
      <c r="AW39" s="34" t="str">
        <f t="shared" si="20"/>
        <v/>
      </c>
      <c r="AX39" s="31"/>
      <c r="AY39" s="34" t="str">
        <f t="shared" si="21"/>
        <v/>
      </c>
      <c r="AZ39" s="31"/>
      <c r="BA39" s="34" t="str">
        <f t="shared" si="22"/>
        <v/>
      </c>
    </row>
    <row r="40" spans="1:54" ht="20" customHeight="1" x14ac:dyDescent="0.2">
      <c r="A40" s="678"/>
      <c r="B40" s="725"/>
      <c r="C40" s="255"/>
      <c r="D40" s="722" t="s">
        <v>85</v>
      </c>
      <c r="E40" s="723" t="s">
        <v>397</v>
      </c>
      <c r="F40" s="723" t="s">
        <v>398</v>
      </c>
      <c r="G40" s="722">
        <v>2013</v>
      </c>
      <c r="H40" s="287"/>
      <c r="I40" s="65">
        <v>38</v>
      </c>
      <c r="J40" s="61" t="s">
        <v>399</v>
      </c>
      <c r="K40" s="62" t="s">
        <v>168</v>
      </c>
      <c r="L40" s="31"/>
      <c r="M40" s="34" t="str">
        <f t="shared" si="0"/>
        <v/>
      </c>
      <c r="N40" s="31"/>
      <c r="O40" s="34" t="str">
        <f t="shared" si="1"/>
        <v/>
      </c>
      <c r="P40" s="31"/>
      <c r="Q40" s="34" t="str">
        <f t="shared" si="2"/>
        <v/>
      </c>
      <c r="R40" s="31"/>
      <c r="S40" s="34" t="str">
        <f t="shared" si="3"/>
        <v/>
      </c>
      <c r="T40" s="31"/>
      <c r="U40" s="34" t="str">
        <f t="shared" si="4"/>
        <v/>
      </c>
      <c r="V40" s="31"/>
      <c r="W40" s="34" t="str">
        <f t="shared" si="5"/>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IF((ISERROR((AD40/$I40)*100)), "", IF(AND(NOT(ISERROR((AD40/$I40)*100)),((AD40/$I40)*100) &lt;&gt; 0), (AD40/$I40)*100, ""))</f>
        <v/>
      </c>
      <c r="AF40" s="56">
        <v>37</v>
      </c>
      <c r="AG40" s="34">
        <f t="shared" si="6"/>
        <v>97.368421052631575</v>
      </c>
      <c r="AH40" s="31"/>
      <c r="AI40" s="34" t="str">
        <f>IF((ISERROR((AH40/$I40)*100)), "", IF(AND(NOT(ISERROR((AH40/$I40)*100)),((AH40/$I40)*100) &lt;&gt; 0), (AH40/$I40)*100, ""))</f>
        <v/>
      </c>
      <c r="AJ40" s="31"/>
      <c r="AK40" s="34" t="str">
        <f t="shared" si="7"/>
        <v/>
      </c>
      <c r="AL40" s="31"/>
      <c r="AM40" s="34" t="str">
        <f>IF((ISERROR((AL40/$I40)*100)), "", IF(AND(NOT(ISERROR((AL40/$I40)*100)),((AL40/$I40)*100) &lt;&gt; 0), (AL40/$I40)*100, ""))</f>
        <v/>
      </c>
      <c r="AN40" s="31"/>
      <c r="AO40" s="34" t="str">
        <f>IF((ISERROR((AN40/$I40)*100)), "", IF(AND(NOT(ISERROR((AN40/$I40)*100)),((AN40/$I40)*100) &lt;&gt; 0), (AN40/$I40)*100, ""))</f>
        <v/>
      </c>
      <c r="AP40" s="31"/>
      <c r="AQ40" s="34" t="str">
        <f t="shared" si="8"/>
        <v/>
      </c>
      <c r="AR40" s="31"/>
      <c r="AS40" s="34" t="str">
        <f t="shared" si="9"/>
        <v/>
      </c>
      <c r="AT40" s="31"/>
      <c r="AU40" s="34" t="str">
        <f t="shared" si="19"/>
        <v/>
      </c>
      <c r="AV40" s="31"/>
      <c r="AW40" s="34" t="str">
        <f t="shared" si="20"/>
        <v/>
      </c>
      <c r="AX40" s="31"/>
      <c r="AY40" s="34" t="str">
        <f t="shared" si="21"/>
        <v/>
      </c>
      <c r="AZ40" s="31"/>
      <c r="BA40" s="34" t="str">
        <f t="shared" si="22"/>
        <v/>
      </c>
      <c r="BB40" s="21" t="s">
        <v>407</v>
      </c>
    </row>
    <row r="41" spans="1:54" ht="20" customHeight="1" x14ac:dyDescent="0.2">
      <c r="A41" s="680"/>
      <c r="B41" s="721"/>
      <c r="C41" s="722"/>
      <c r="D41" s="722" t="s">
        <v>85</v>
      </c>
      <c r="E41" s="723" t="s">
        <v>623</v>
      </c>
      <c r="F41" s="723" t="s">
        <v>624</v>
      </c>
      <c r="G41" s="722">
        <v>2000</v>
      </c>
      <c r="H41" s="287"/>
      <c r="I41" s="65">
        <v>12</v>
      </c>
      <c r="J41" s="61" t="s">
        <v>625</v>
      </c>
      <c r="K41" s="62"/>
      <c r="L41" s="31"/>
      <c r="M41" s="34"/>
      <c r="N41" s="31"/>
      <c r="O41" s="34"/>
      <c r="P41" s="31"/>
      <c r="Q41" s="34"/>
      <c r="R41" s="31"/>
      <c r="S41" s="34"/>
      <c r="T41" s="31"/>
      <c r="U41" s="34"/>
      <c r="V41" s="56"/>
      <c r="W41" s="34"/>
      <c r="X41" s="31"/>
      <c r="Y41" s="34"/>
      <c r="Z41" s="31"/>
      <c r="AA41" s="34"/>
      <c r="AB41" s="31"/>
      <c r="AC41" s="34"/>
      <c r="AD41" s="31"/>
      <c r="AE41" s="34"/>
      <c r="AF41" s="56"/>
      <c r="AG41" s="34"/>
      <c r="AH41" s="31"/>
      <c r="AI41" s="34"/>
      <c r="AJ41" s="31"/>
      <c r="AK41" s="34"/>
      <c r="AL41" s="31"/>
      <c r="AM41" s="34"/>
      <c r="AN41" s="31"/>
      <c r="AO41" s="34"/>
      <c r="AP41" s="31"/>
      <c r="AQ41" s="34"/>
      <c r="AR41" s="31"/>
      <c r="AS41" s="34"/>
      <c r="AT41" s="31"/>
      <c r="AU41" s="34"/>
      <c r="AV41" s="31"/>
      <c r="AW41" s="34"/>
      <c r="AX41" s="31"/>
      <c r="AY41" s="34"/>
      <c r="AZ41" s="31"/>
      <c r="BA41" s="34"/>
    </row>
    <row r="42" spans="1:54" ht="20" customHeight="1" x14ac:dyDescent="0.2">
      <c r="A42" s="678"/>
      <c r="B42" s="725"/>
      <c r="C42" s="253"/>
      <c r="D42" s="722" t="s">
        <v>85</v>
      </c>
      <c r="E42" s="723" t="s">
        <v>52</v>
      </c>
      <c r="F42" s="723" t="s">
        <v>53</v>
      </c>
      <c r="G42" s="722">
        <v>2001</v>
      </c>
      <c r="H42" s="287">
        <v>118</v>
      </c>
      <c r="I42" s="65">
        <v>20</v>
      </c>
      <c r="J42" s="61" t="s">
        <v>175</v>
      </c>
      <c r="K42" s="62" t="s">
        <v>191</v>
      </c>
      <c r="L42" s="31"/>
      <c r="M42" s="34" t="str">
        <f t="shared" si="0"/>
        <v/>
      </c>
      <c r="N42" s="31"/>
      <c r="O42" s="34" t="str">
        <f t="shared" si="1"/>
        <v/>
      </c>
      <c r="P42" s="31"/>
      <c r="Q42" s="34" t="str">
        <f t="shared" si="2"/>
        <v/>
      </c>
      <c r="R42" s="31"/>
      <c r="S42" s="34" t="str">
        <f t="shared" si="3"/>
        <v/>
      </c>
      <c r="T42" s="31"/>
      <c r="U42" s="34" t="str">
        <f t="shared" si="4"/>
        <v/>
      </c>
      <c r="V42" s="56"/>
      <c r="W42" s="34" t="str">
        <f t="shared" si="5"/>
        <v/>
      </c>
      <c r="X42" s="31"/>
      <c r="Y42" s="34" t="str">
        <f>IF((ISERROR((X42/$I42)*100)), "", IF(AND(NOT(ISERROR((X42/$I42)*100)),((X42/$I42)*100) &lt;&gt; 0), (X42/$I42)*100, ""))</f>
        <v/>
      </c>
      <c r="Z42" s="31"/>
      <c r="AA42" s="34" t="str">
        <f>IF((ISERROR((Z42/$I42)*100)), "", IF(AND(NOT(ISERROR((Z42/$I42)*100)),((Z42/$I42)*100) &lt;&gt; 0), (Z42/$I42)*100, ""))</f>
        <v/>
      </c>
      <c r="AB42" s="31"/>
      <c r="AC42" s="34" t="str">
        <f>IF((ISERROR((AB42/$I42)*100)), "", IF(AND(NOT(ISERROR((AB42/$I42)*100)),((AB42/$I42)*100) &lt;&gt; 0), (AB42/$I42)*100, ""))</f>
        <v/>
      </c>
      <c r="AD42" s="31"/>
      <c r="AE42" s="34" t="str">
        <f>IF((ISERROR((AD42/$I42)*100)), "", IF(AND(NOT(ISERROR((AD42/$I42)*100)),((AD42/$I42)*100) &lt;&gt; 0), (AD42/$I42)*100, ""))</f>
        <v/>
      </c>
      <c r="AF42" s="56"/>
      <c r="AG42" s="34" t="str">
        <f t="shared" si="6"/>
        <v/>
      </c>
      <c r="AH42" s="31"/>
      <c r="AI42" s="34" t="str">
        <f>IF((ISERROR((AH42/$I42)*100)), "", IF(AND(NOT(ISERROR((AH42/$I42)*100)),((AH42/$I42)*100) &lt;&gt; 0), (AH42/$I42)*100, ""))</f>
        <v/>
      </c>
      <c r="AJ42" s="31"/>
      <c r="AK42" s="34" t="str">
        <f t="shared" si="7"/>
        <v/>
      </c>
      <c r="AL42" s="31"/>
      <c r="AM42" s="34" t="str">
        <f>IF((ISERROR((AL42/$I42)*100)), "", IF(AND(NOT(ISERROR((AL42/$I42)*100)),((AL42/$I42)*100) &lt;&gt; 0), (AL42/$I42)*100, ""))</f>
        <v/>
      </c>
      <c r="AN42" s="31"/>
      <c r="AO42" s="34" t="str">
        <f>IF((ISERROR((AN42/$I42)*100)), "", IF(AND(NOT(ISERROR((AN42/$I42)*100)),((AN42/$I42)*100) &lt;&gt; 0), (AN42/$I42)*100, ""))</f>
        <v/>
      </c>
      <c r="AP42" s="31"/>
      <c r="AQ42" s="34" t="str">
        <f t="shared" si="8"/>
        <v/>
      </c>
      <c r="AR42" s="31"/>
      <c r="AS42" s="34" t="str">
        <f t="shared" si="9"/>
        <v/>
      </c>
      <c r="AT42" s="31"/>
      <c r="AU42" s="34" t="str">
        <f t="shared" si="19"/>
        <v/>
      </c>
      <c r="AV42" s="31"/>
      <c r="AW42" s="34" t="str">
        <f t="shared" si="20"/>
        <v/>
      </c>
      <c r="AX42" s="31"/>
      <c r="AY42" s="34" t="str">
        <f t="shared" si="21"/>
        <v/>
      </c>
      <c r="AZ42" s="31"/>
      <c r="BA42" s="34" t="str">
        <f t="shared" si="22"/>
        <v/>
      </c>
      <c r="BB42" s="21" t="s">
        <v>179</v>
      </c>
    </row>
    <row r="43" spans="1:54" ht="20" customHeight="1" x14ac:dyDescent="0.2">
      <c r="A43" s="680"/>
      <c r="B43" s="721"/>
      <c r="C43" s="255"/>
      <c r="D43" s="722" t="s">
        <v>85</v>
      </c>
      <c r="E43" s="723" t="s">
        <v>628</v>
      </c>
      <c r="F43" s="723" t="s">
        <v>629</v>
      </c>
      <c r="G43" s="722">
        <v>1993</v>
      </c>
      <c r="H43" s="287"/>
      <c r="I43" s="701"/>
      <c r="J43" s="232" t="s">
        <v>627</v>
      </c>
      <c r="K43" s="250" t="s">
        <v>626</v>
      </c>
      <c r="L43" s="31"/>
      <c r="M43" s="34"/>
      <c r="N43" s="31"/>
      <c r="O43" s="34"/>
      <c r="P43" s="31"/>
      <c r="Q43" s="34"/>
      <c r="R43" s="31"/>
      <c r="S43" s="34"/>
      <c r="T43" s="31"/>
      <c r="U43" s="34"/>
      <c r="V43" s="56"/>
      <c r="W43" s="34"/>
      <c r="X43" s="31"/>
      <c r="Y43" s="34"/>
      <c r="Z43" s="31"/>
      <c r="AA43" s="34"/>
      <c r="AB43" s="31"/>
      <c r="AC43" s="34"/>
      <c r="AD43" s="31"/>
      <c r="AE43" s="34"/>
      <c r="AF43" s="56"/>
      <c r="AG43" s="34"/>
      <c r="AH43" s="31"/>
      <c r="AI43" s="34"/>
      <c r="AJ43" s="31"/>
      <c r="AK43" s="34"/>
      <c r="AL43" s="31"/>
      <c r="AM43" s="34"/>
      <c r="AN43" s="31"/>
      <c r="AO43" s="34"/>
      <c r="AP43" s="31"/>
      <c r="AQ43" s="34"/>
      <c r="AR43" s="31"/>
      <c r="AS43" s="34"/>
      <c r="AT43" s="31"/>
      <c r="AU43" s="34"/>
      <c r="AV43" s="31"/>
      <c r="AW43" s="34"/>
      <c r="AX43" s="31"/>
      <c r="AY43" s="34"/>
      <c r="AZ43" s="31"/>
      <c r="BA43" s="34"/>
    </row>
    <row r="44" spans="1:54" ht="20" customHeight="1" x14ac:dyDescent="0.2">
      <c r="A44" s="678"/>
      <c r="B44" s="725"/>
      <c r="C44" s="255"/>
      <c r="D44" s="722" t="s">
        <v>85</v>
      </c>
      <c r="E44" s="723" t="s">
        <v>264</v>
      </c>
      <c r="F44" s="723" t="s">
        <v>265</v>
      </c>
      <c r="G44" s="722">
        <v>1994</v>
      </c>
      <c r="H44" s="287"/>
      <c r="I44" s="65">
        <v>20</v>
      </c>
      <c r="J44" s="61" t="s">
        <v>335</v>
      </c>
      <c r="K44" s="62"/>
      <c r="L44" s="31"/>
      <c r="M44" s="34" t="str">
        <f t="shared" si="0"/>
        <v/>
      </c>
      <c r="N44" s="31"/>
      <c r="O44" s="34" t="str">
        <f t="shared" si="1"/>
        <v/>
      </c>
      <c r="P44" s="31"/>
      <c r="Q44" s="34" t="str">
        <f t="shared" si="2"/>
        <v/>
      </c>
      <c r="R44" s="31"/>
      <c r="S44" s="34" t="str">
        <f t="shared" si="3"/>
        <v/>
      </c>
      <c r="T44" s="36"/>
      <c r="U44" s="37" t="str">
        <f t="shared" si="4"/>
        <v/>
      </c>
      <c r="V44" s="38"/>
      <c r="W44" s="37" t="str">
        <f t="shared" si="5"/>
        <v/>
      </c>
      <c r="X44" s="36"/>
      <c r="Y44" s="37" t="str">
        <f>IF((ISERROR((X44/$I44)*100)), "", IF(AND(NOT(ISERROR((X44/$I44)*100)),((X44/$I44)*100) &lt;&gt; 0), (X44/$I44)*100, ""))</f>
        <v/>
      </c>
      <c r="Z44" s="31"/>
      <c r="AA44" s="34" t="str">
        <f>IF((ISERROR((Z44/$I44)*100)), "", IF(AND(NOT(ISERROR((Z44/$I44)*100)),((Z44/$I44)*100) &lt;&gt; 0), (Z44/$I44)*100, ""))</f>
        <v/>
      </c>
      <c r="AB44" s="31"/>
      <c r="AC44" s="34" t="str">
        <f>IF((ISERROR((AB44/$I44)*100)), "", IF(AND(NOT(ISERROR((AB44/$I44)*100)),((AB44/$I44)*100) &lt;&gt; 0), (AB44/$I44)*100, ""))</f>
        <v/>
      </c>
      <c r="AD44" s="31"/>
      <c r="AE44" s="34" t="str">
        <f>IF((ISERROR((AD44/$I44)*100)), "", IF(AND(NOT(ISERROR((AD44/$I44)*100)),((AD44/$I44)*100) &lt;&gt; 0), (AD44/$I44)*100, ""))</f>
        <v/>
      </c>
      <c r="AF44" s="56"/>
      <c r="AG44" s="34" t="str">
        <f t="shared" si="6"/>
        <v/>
      </c>
      <c r="AH44" s="31"/>
      <c r="AI44" s="34" t="str">
        <f>IF((ISERROR((AH44/$I44)*100)), "", IF(AND(NOT(ISERROR((AH44/$I44)*100)),((AH44/$I44)*100) &lt;&gt; 0), (AH44/$I44)*100, ""))</f>
        <v/>
      </c>
      <c r="AJ44" s="31"/>
      <c r="AK44" s="34" t="str">
        <f t="shared" si="7"/>
        <v/>
      </c>
      <c r="AL44" s="31"/>
      <c r="AM44" s="34" t="str">
        <f>IF((ISERROR((AL44/$I44)*100)), "", IF(AND(NOT(ISERROR((AL44/$I44)*100)),((AL44/$I44)*100) &lt;&gt; 0), (AL44/$I44)*100, ""))</f>
        <v/>
      </c>
      <c r="AN44" s="31"/>
      <c r="AO44" s="34" t="str">
        <f>IF((ISERROR((AN44/$I44)*100)), "", IF(AND(NOT(ISERROR((AN44/$I44)*100)),((AN44/$I44)*100) &lt;&gt; 0), (AN44/$I44)*100, ""))</f>
        <v/>
      </c>
      <c r="AP44" s="31"/>
      <c r="AQ44" s="34" t="str">
        <f t="shared" si="8"/>
        <v/>
      </c>
      <c r="AR44" s="31"/>
      <c r="AS44" s="34" t="str">
        <f t="shared" si="9"/>
        <v/>
      </c>
      <c r="AT44" s="31"/>
      <c r="AU44" s="34" t="str">
        <f t="shared" si="19"/>
        <v/>
      </c>
      <c r="AV44" s="31"/>
      <c r="AW44" s="34" t="str">
        <f t="shared" si="20"/>
        <v/>
      </c>
      <c r="AX44" s="31"/>
      <c r="AY44" s="34" t="str">
        <f t="shared" si="21"/>
        <v/>
      </c>
      <c r="AZ44" s="31"/>
      <c r="BA44" s="34" t="str">
        <f t="shared" si="22"/>
        <v/>
      </c>
      <c r="BB44" s="21" t="s">
        <v>400</v>
      </c>
    </row>
    <row r="45" spans="1:54" ht="20" customHeight="1" x14ac:dyDescent="0.2">
      <c r="A45" s="680"/>
      <c r="B45" s="721"/>
      <c r="C45" s="255"/>
      <c r="D45" s="722" t="s">
        <v>85</v>
      </c>
      <c r="E45" s="723" t="s">
        <v>630</v>
      </c>
      <c r="F45" s="723" t="s">
        <v>631</v>
      </c>
      <c r="G45" s="722">
        <v>2013</v>
      </c>
      <c r="H45" s="287"/>
      <c r="I45" s="701">
        <v>30</v>
      </c>
      <c r="J45" s="232" t="s">
        <v>213</v>
      </c>
      <c r="K45" s="250" t="s">
        <v>632</v>
      </c>
      <c r="L45" s="31"/>
      <c r="M45" s="34"/>
      <c r="N45" s="31"/>
      <c r="O45" s="34"/>
      <c r="P45" s="31"/>
      <c r="Q45" s="34"/>
      <c r="R45" s="31"/>
      <c r="S45" s="34"/>
      <c r="T45" s="31"/>
      <c r="U45" s="34"/>
      <c r="V45" s="56"/>
      <c r="W45" s="34"/>
      <c r="X45" s="31"/>
      <c r="Y45" s="34"/>
      <c r="Z45" s="31"/>
      <c r="AA45" s="34"/>
      <c r="AB45" s="31"/>
      <c r="AC45" s="34"/>
      <c r="AD45" s="31"/>
      <c r="AE45" s="34"/>
      <c r="AF45" s="56"/>
      <c r="AG45" s="34"/>
      <c r="AH45" s="31"/>
      <c r="AI45" s="34"/>
      <c r="AJ45" s="31"/>
      <c r="AK45" s="34"/>
      <c r="AL45" s="31"/>
      <c r="AM45" s="34"/>
      <c r="AN45" s="31"/>
      <c r="AO45" s="34"/>
      <c r="AP45" s="31"/>
      <c r="AQ45" s="34"/>
      <c r="AR45" s="31"/>
      <c r="AS45" s="34"/>
      <c r="AT45" s="31"/>
      <c r="AU45" s="34"/>
      <c r="AV45" s="31"/>
      <c r="AW45" s="34"/>
      <c r="AX45" s="31"/>
      <c r="AY45" s="34"/>
      <c r="AZ45" s="31"/>
      <c r="BA45" s="34"/>
    </row>
    <row r="46" spans="1:54" ht="20" customHeight="1" x14ac:dyDescent="0.2">
      <c r="A46" s="678"/>
      <c r="B46" s="725"/>
      <c r="C46" s="253"/>
      <c r="D46" s="722" t="s">
        <v>85</v>
      </c>
      <c r="E46" s="723" t="s">
        <v>336</v>
      </c>
      <c r="F46" s="723" t="s">
        <v>337</v>
      </c>
      <c r="G46" s="722">
        <v>2008</v>
      </c>
      <c r="H46" s="287"/>
      <c r="I46" s="65">
        <v>16</v>
      </c>
      <c r="J46" s="61" t="s">
        <v>175</v>
      </c>
      <c r="K46" s="62" t="s">
        <v>338</v>
      </c>
      <c r="L46" s="31"/>
      <c r="M46" s="34" t="str">
        <f t="shared" si="0"/>
        <v/>
      </c>
      <c r="N46" s="31"/>
      <c r="O46" s="34" t="str">
        <f t="shared" si="1"/>
        <v/>
      </c>
      <c r="P46" s="31"/>
      <c r="Q46" s="34" t="str">
        <f t="shared" si="2"/>
        <v/>
      </c>
      <c r="R46" s="31"/>
      <c r="S46" s="34" t="str">
        <f t="shared" si="3"/>
        <v/>
      </c>
      <c r="T46" s="31"/>
      <c r="U46" s="34" t="str">
        <f t="shared" si="4"/>
        <v/>
      </c>
      <c r="V46" s="56"/>
      <c r="W46" s="34" t="str">
        <f t="shared" si="5"/>
        <v/>
      </c>
      <c r="X46" s="31"/>
      <c r="Y46" s="34" t="str">
        <f>IF((ISERROR((X46/$I46)*100)), "", IF(AND(NOT(ISERROR((X46/$I46)*100)),((X46/$I46)*100) &lt;&gt; 0), (X46/$I46)*100, ""))</f>
        <v/>
      </c>
      <c r="Z46" s="31"/>
      <c r="AA46" s="34" t="str">
        <f>IF((ISERROR((Z46/$I46)*100)), "", IF(AND(NOT(ISERROR((Z46/$I46)*100)),((Z46/$I46)*100) &lt;&gt; 0), (Z46/$I46)*100, ""))</f>
        <v/>
      </c>
      <c r="AB46" s="31"/>
      <c r="AC46" s="34" t="str">
        <f>IF((ISERROR((AB46/$I46)*100)), "", IF(AND(NOT(ISERROR((AB46/$I46)*100)),((AB46/$I46)*100) &lt;&gt; 0), (AB46/$I46)*100, ""))</f>
        <v/>
      </c>
      <c r="AD46" s="31"/>
      <c r="AE46" s="34" t="str">
        <f>IF((ISERROR((AD46/$I46)*100)), "", IF(AND(NOT(ISERROR((AD46/$I46)*100)),((AD46/$I46)*100) &lt;&gt; 0), (AD46/$I46)*100, ""))</f>
        <v/>
      </c>
      <c r="AF46" s="56"/>
      <c r="AG46" s="34" t="str">
        <f t="shared" si="6"/>
        <v/>
      </c>
      <c r="AH46" s="31"/>
      <c r="AI46" s="34" t="str">
        <f>IF((ISERROR((AH46/$I46)*100)), "", IF(AND(NOT(ISERROR((AH46/$I46)*100)),((AH46/$I46)*100) &lt;&gt; 0), (AH46/$I46)*100, ""))</f>
        <v/>
      </c>
      <c r="AJ46" s="31"/>
      <c r="AK46" s="34" t="str">
        <f t="shared" si="7"/>
        <v/>
      </c>
      <c r="AL46" s="31"/>
      <c r="AM46" s="34" t="str">
        <f>IF((ISERROR((AL46/$I46)*100)), "", IF(AND(NOT(ISERROR((AL46/$I46)*100)),((AL46/$I46)*100) &lt;&gt; 0), (AL46/$I46)*100, ""))</f>
        <v/>
      </c>
      <c r="AN46" s="31"/>
      <c r="AO46" s="34" t="str">
        <f>IF((ISERROR((AN46/$I46)*100)), "", IF(AND(NOT(ISERROR((AN46/$I46)*100)),((AN46/$I46)*100) &lt;&gt; 0), (AN46/$I46)*100, ""))</f>
        <v/>
      </c>
      <c r="AP46" s="31"/>
      <c r="AQ46" s="34" t="str">
        <f t="shared" si="8"/>
        <v/>
      </c>
      <c r="AR46" s="31"/>
      <c r="AS46" s="34" t="str">
        <f t="shared" si="9"/>
        <v/>
      </c>
      <c r="AT46" s="31"/>
      <c r="AU46" s="34" t="str">
        <f t="shared" si="19"/>
        <v/>
      </c>
      <c r="AV46" s="31"/>
      <c r="AW46" s="34" t="str">
        <f t="shared" si="20"/>
        <v/>
      </c>
      <c r="AX46" s="31"/>
      <c r="AY46" s="34" t="str">
        <f t="shared" si="21"/>
        <v/>
      </c>
      <c r="AZ46" s="31"/>
      <c r="BA46" s="34" t="str">
        <f t="shared" si="22"/>
        <v/>
      </c>
      <c r="BB46" s="21" t="s">
        <v>408</v>
      </c>
    </row>
    <row r="47" spans="1:54" ht="20" customHeight="1" x14ac:dyDescent="0.2">
      <c r="A47" s="678"/>
      <c r="B47" s="725"/>
      <c r="C47" s="255"/>
      <c r="D47" s="722" t="s">
        <v>85</v>
      </c>
      <c r="E47" s="723" t="s">
        <v>54</v>
      </c>
      <c r="F47" s="723" t="s">
        <v>55</v>
      </c>
      <c r="G47" s="722">
        <v>1996</v>
      </c>
      <c r="H47" s="287">
        <v>82</v>
      </c>
      <c r="I47" s="65">
        <v>15</v>
      </c>
      <c r="J47" s="61" t="s">
        <v>175</v>
      </c>
      <c r="K47" s="62" t="s">
        <v>177</v>
      </c>
      <c r="L47" s="31">
        <v>1</v>
      </c>
      <c r="M47" s="34">
        <f t="shared" si="0"/>
        <v>6.666666666666667</v>
      </c>
      <c r="N47" s="31"/>
      <c r="O47" s="34" t="str">
        <f t="shared" si="1"/>
        <v/>
      </c>
      <c r="P47" s="31"/>
      <c r="Q47" s="34" t="str">
        <f t="shared" si="2"/>
        <v/>
      </c>
      <c r="R47" s="31"/>
      <c r="S47" s="34" t="str">
        <f t="shared" si="3"/>
        <v/>
      </c>
      <c r="T47" s="31"/>
      <c r="U47" s="34" t="str">
        <f t="shared" si="4"/>
        <v/>
      </c>
      <c r="V47" s="56">
        <v>1</v>
      </c>
      <c r="W47" s="34">
        <f t="shared" si="5"/>
        <v>6.666666666666667</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56"/>
      <c r="AG47" s="34" t="str">
        <f t="shared" si="6"/>
        <v/>
      </c>
      <c r="AH47" s="31">
        <v>3</v>
      </c>
      <c r="AI47" s="34">
        <f>IF((ISERROR((AH47/$I47)*100)), "", IF(AND(NOT(ISERROR((AH47/$I47)*100)),((AH47/$I47)*100) &lt;&gt; 0), (AH47/$I47)*100, ""))</f>
        <v>20</v>
      </c>
      <c r="AJ47" s="31">
        <v>1</v>
      </c>
      <c r="AK47" s="34">
        <f t="shared" si="7"/>
        <v>6.666666666666667</v>
      </c>
      <c r="AL47" s="31"/>
      <c r="AM47" s="34" t="str">
        <f>IF((ISERROR((AL47/$I47)*100)), "", IF(AND(NOT(ISERROR((AL47/$I47)*100)),((AL47/$I47)*100) &lt;&gt; 0), (AL47/$I47)*100, ""))</f>
        <v/>
      </c>
      <c r="AN47" s="31"/>
      <c r="AO47" s="34" t="str">
        <f>IF((ISERROR((AN47/$I47)*100)), "", IF(AND(NOT(ISERROR((AN47/$I47)*100)),((AN47/$I47)*100) &lt;&gt; 0), (AN47/$I47)*100, ""))</f>
        <v/>
      </c>
      <c r="AP47" s="31"/>
      <c r="AQ47" s="34" t="str">
        <f t="shared" si="8"/>
        <v/>
      </c>
      <c r="AR47" s="31"/>
      <c r="AS47" s="34" t="str">
        <f t="shared" si="9"/>
        <v/>
      </c>
      <c r="AT47" s="31"/>
      <c r="AU47" s="34" t="str">
        <f t="shared" si="19"/>
        <v/>
      </c>
      <c r="AV47" s="31"/>
      <c r="AW47" s="34" t="str">
        <f t="shared" si="20"/>
        <v/>
      </c>
      <c r="AX47" s="31"/>
      <c r="AY47" s="34" t="str">
        <f t="shared" si="21"/>
        <v/>
      </c>
      <c r="AZ47" s="31"/>
      <c r="BA47" s="34" t="str">
        <f t="shared" si="22"/>
        <v/>
      </c>
      <c r="BB47" s="21" t="s">
        <v>339</v>
      </c>
    </row>
    <row r="48" spans="1:54" ht="20" customHeight="1" x14ac:dyDescent="0.2">
      <c r="A48" s="678"/>
      <c r="B48" s="725"/>
      <c r="C48" s="253"/>
      <c r="D48" s="722" t="s">
        <v>85</v>
      </c>
      <c r="E48" s="723" t="s">
        <v>266</v>
      </c>
      <c r="F48" s="723" t="s">
        <v>267</v>
      </c>
      <c r="G48" s="722">
        <v>2016</v>
      </c>
      <c r="H48" s="287"/>
      <c r="I48" s="65">
        <v>49</v>
      </c>
      <c r="J48" s="61" t="s">
        <v>340</v>
      </c>
      <c r="K48" s="62" t="s">
        <v>192</v>
      </c>
      <c r="L48" s="31"/>
      <c r="M48" s="34" t="str">
        <f t="shared" si="0"/>
        <v/>
      </c>
      <c r="N48" s="31"/>
      <c r="O48" s="34" t="str">
        <f t="shared" si="1"/>
        <v/>
      </c>
      <c r="P48" s="31"/>
      <c r="Q48" s="34" t="str">
        <f t="shared" si="2"/>
        <v/>
      </c>
      <c r="R48" s="31"/>
      <c r="S48" s="34" t="str">
        <f t="shared" si="3"/>
        <v/>
      </c>
      <c r="T48" s="31"/>
      <c r="U48" s="34" t="str">
        <f t="shared" si="4"/>
        <v/>
      </c>
      <c r="V48" s="56"/>
      <c r="W48" s="34" t="str">
        <f t="shared" si="5"/>
        <v/>
      </c>
      <c r="X48" s="31"/>
      <c r="Y48" s="34" t="str">
        <f t="shared" si="14"/>
        <v/>
      </c>
      <c r="Z48" s="31"/>
      <c r="AA48" s="34" t="str">
        <f t="shared" si="15"/>
        <v/>
      </c>
      <c r="AB48" s="31"/>
      <c r="AC48" s="34" t="str">
        <f t="shared" si="16"/>
        <v/>
      </c>
      <c r="AD48" s="31"/>
      <c r="AE48" s="34" t="str">
        <f t="shared" si="17"/>
        <v/>
      </c>
      <c r="AF48" s="56"/>
      <c r="AG48" s="34" t="str">
        <f t="shared" si="6"/>
        <v/>
      </c>
      <c r="AH48" s="31"/>
      <c r="AI48" s="34" t="str">
        <f t="shared" si="23"/>
        <v/>
      </c>
      <c r="AJ48" s="31"/>
      <c r="AK48" s="34" t="str">
        <f t="shared" si="7"/>
        <v/>
      </c>
      <c r="AL48" s="31"/>
      <c r="AM48" s="34" t="str">
        <f t="shared" si="18"/>
        <v/>
      </c>
      <c r="AN48" s="31"/>
      <c r="AO48" s="34" t="str">
        <f t="shared" si="19"/>
        <v/>
      </c>
      <c r="AP48" s="31"/>
      <c r="AQ48" s="34" t="str">
        <f t="shared" si="8"/>
        <v/>
      </c>
      <c r="AR48" s="31"/>
      <c r="AS48" s="34" t="str">
        <f t="shared" si="9"/>
        <v/>
      </c>
      <c r="AT48" s="31"/>
      <c r="AU48" s="34" t="str">
        <f t="shared" si="19"/>
        <v/>
      </c>
      <c r="AV48" s="31"/>
      <c r="AW48" s="34" t="str">
        <f t="shared" si="20"/>
        <v/>
      </c>
      <c r="AX48" s="31"/>
      <c r="AY48" s="34" t="str">
        <f t="shared" si="21"/>
        <v/>
      </c>
      <c r="AZ48" s="31"/>
      <c r="BA48" s="34" t="str">
        <f t="shared" si="22"/>
        <v/>
      </c>
      <c r="BB48" s="21" t="s">
        <v>341</v>
      </c>
    </row>
    <row r="49" spans="1:54" ht="20" customHeight="1" x14ac:dyDescent="0.2">
      <c r="A49" s="678"/>
      <c r="B49" s="721"/>
      <c r="C49" s="253"/>
      <c r="D49" s="722" t="s">
        <v>85</v>
      </c>
      <c r="E49" s="723" t="s">
        <v>86</v>
      </c>
      <c r="F49" s="723" t="s">
        <v>56</v>
      </c>
      <c r="G49" s="722">
        <v>2014</v>
      </c>
      <c r="H49" s="287">
        <v>41</v>
      </c>
      <c r="I49" s="65">
        <v>20</v>
      </c>
      <c r="J49" s="61" t="s">
        <v>178</v>
      </c>
      <c r="K49" s="62"/>
      <c r="L49" s="31"/>
      <c r="M49" s="34" t="str">
        <f t="shared" si="0"/>
        <v/>
      </c>
      <c r="N49" s="31"/>
      <c r="O49" s="34" t="str">
        <f t="shared" si="1"/>
        <v/>
      </c>
      <c r="P49" s="31"/>
      <c r="Q49" s="34" t="str">
        <f t="shared" si="2"/>
        <v/>
      </c>
      <c r="R49" s="31"/>
      <c r="S49" s="34" t="str">
        <f t="shared" si="3"/>
        <v/>
      </c>
      <c r="T49" s="36"/>
      <c r="U49" s="37" t="str">
        <f t="shared" si="4"/>
        <v/>
      </c>
      <c r="V49" s="56"/>
      <c r="W49" s="34" t="str">
        <f t="shared" si="5"/>
        <v/>
      </c>
      <c r="X49" s="31"/>
      <c r="Y49" s="34" t="str">
        <f t="shared" si="14"/>
        <v/>
      </c>
      <c r="Z49" s="31"/>
      <c r="AA49" s="34" t="str">
        <f t="shared" si="15"/>
        <v/>
      </c>
      <c r="AB49" s="31"/>
      <c r="AC49" s="34" t="str">
        <f t="shared" si="16"/>
        <v/>
      </c>
      <c r="AD49" s="31"/>
      <c r="AE49" s="34" t="str">
        <f t="shared" si="17"/>
        <v/>
      </c>
      <c r="AF49" s="56"/>
      <c r="AG49" s="34" t="str">
        <f t="shared" si="6"/>
        <v/>
      </c>
      <c r="AH49" s="31"/>
      <c r="AI49" s="34" t="str">
        <f t="shared" si="23"/>
        <v/>
      </c>
      <c r="AJ49" s="31"/>
      <c r="AK49" s="34" t="str">
        <f t="shared" si="7"/>
        <v/>
      </c>
      <c r="AL49" s="31"/>
      <c r="AM49" s="34" t="str">
        <f t="shared" si="18"/>
        <v/>
      </c>
      <c r="AN49" s="31"/>
      <c r="AO49" s="34" t="str">
        <f t="shared" si="19"/>
        <v/>
      </c>
      <c r="AP49" s="31"/>
      <c r="AQ49" s="34" t="str">
        <f t="shared" si="8"/>
        <v/>
      </c>
      <c r="AR49" s="31"/>
      <c r="AS49" s="34" t="str">
        <f t="shared" si="9"/>
        <v/>
      </c>
      <c r="AT49" s="31"/>
      <c r="AU49" s="34" t="str">
        <f t="shared" si="19"/>
        <v/>
      </c>
      <c r="AV49" s="31"/>
      <c r="AW49" s="34" t="str">
        <f t="shared" si="20"/>
        <v/>
      </c>
      <c r="AX49" s="31"/>
      <c r="AY49" s="34" t="str">
        <f t="shared" si="21"/>
        <v/>
      </c>
      <c r="AZ49" s="31"/>
      <c r="BA49" s="34" t="str">
        <f t="shared" si="22"/>
        <v/>
      </c>
      <c r="BB49" s="21" t="s">
        <v>342</v>
      </c>
    </row>
    <row r="50" spans="1:54" ht="20" customHeight="1" x14ac:dyDescent="0.2">
      <c r="A50" s="680"/>
      <c r="B50" s="721"/>
      <c r="C50" s="255"/>
      <c r="D50" s="722" t="s">
        <v>85</v>
      </c>
      <c r="E50" s="723" t="s">
        <v>633</v>
      </c>
      <c r="F50" s="723" t="s">
        <v>514</v>
      </c>
      <c r="G50" s="722">
        <v>1995</v>
      </c>
      <c r="H50" s="287"/>
      <c r="I50" s="701">
        <v>12</v>
      </c>
      <c r="J50" s="232" t="s">
        <v>210</v>
      </c>
      <c r="K50" s="250" t="s">
        <v>209</v>
      </c>
      <c r="L50" s="31"/>
      <c r="M50" s="34"/>
      <c r="N50" s="31"/>
      <c r="O50" s="34"/>
      <c r="P50" s="31"/>
      <c r="Q50" s="34"/>
      <c r="R50" s="31"/>
      <c r="S50" s="34"/>
      <c r="T50" s="31"/>
      <c r="U50" s="34"/>
      <c r="V50" s="56"/>
      <c r="W50" s="34"/>
      <c r="X50" s="31"/>
      <c r="Y50" s="34"/>
      <c r="Z50" s="31"/>
      <c r="AA50" s="34"/>
      <c r="AB50" s="31"/>
      <c r="AC50" s="34"/>
      <c r="AD50" s="31"/>
      <c r="AE50" s="34"/>
      <c r="AF50" s="56"/>
      <c r="AG50" s="34"/>
      <c r="AH50" s="31"/>
      <c r="AI50" s="34"/>
      <c r="AJ50" s="31"/>
      <c r="AK50" s="34"/>
      <c r="AL50" s="31"/>
      <c r="AM50" s="34"/>
      <c r="AN50" s="31"/>
      <c r="AO50" s="34"/>
      <c r="AP50" s="31"/>
      <c r="AQ50" s="34"/>
      <c r="AR50" s="31"/>
      <c r="AS50" s="34"/>
      <c r="AT50" s="31"/>
      <c r="AU50" s="34"/>
      <c r="AV50" s="31"/>
      <c r="AW50" s="34"/>
      <c r="AX50" s="31"/>
      <c r="AY50" s="34"/>
      <c r="AZ50" s="31"/>
      <c r="BA50" s="34"/>
    </row>
    <row r="51" spans="1:54" ht="20" customHeight="1" x14ac:dyDescent="0.2">
      <c r="A51" s="680"/>
      <c r="B51" s="725"/>
      <c r="C51" s="255"/>
      <c r="D51" s="722" t="s">
        <v>85</v>
      </c>
      <c r="E51" s="723" t="s">
        <v>634</v>
      </c>
      <c r="F51" s="723" t="s">
        <v>514</v>
      </c>
      <c r="G51" s="722">
        <v>1999</v>
      </c>
      <c r="H51" s="287"/>
      <c r="I51" s="703">
        <v>34</v>
      </c>
      <c r="J51" s="704" t="s">
        <v>210</v>
      </c>
      <c r="K51" s="705" t="s">
        <v>636</v>
      </c>
      <c r="L51" s="31"/>
      <c r="M51" s="34"/>
      <c r="N51" s="31"/>
      <c r="O51" s="34"/>
      <c r="P51" s="31"/>
      <c r="Q51" s="34"/>
      <c r="R51" s="31"/>
      <c r="S51" s="34"/>
      <c r="T51" s="31"/>
      <c r="U51" s="34"/>
      <c r="V51" s="56"/>
      <c r="W51" s="34"/>
      <c r="X51" s="31"/>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680"/>
      <c r="B52" s="725"/>
      <c r="C52" s="255"/>
      <c r="D52" s="722" t="s">
        <v>85</v>
      </c>
      <c r="E52" s="723" t="s">
        <v>635</v>
      </c>
      <c r="F52" s="723" t="s">
        <v>514</v>
      </c>
      <c r="G52" s="722">
        <v>2011</v>
      </c>
      <c r="H52" s="287"/>
      <c r="I52" s="703">
        <v>36</v>
      </c>
      <c r="J52" s="704" t="s">
        <v>210</v>
      </c>
      <c r="K52" s="705" t="s">
        <v>637</v>
      </c>
      <c r="L52" s="31"/>
      <c r="M52" s="34"/>
      <c r="N52" s="31"/>
      <c r="O52" s="34"/>
      <c r="P52" s="31"/>
      <c r="Q52" s="34"/>
      <c r="R52" s="31"/>
      <c r="S52" s="34"/>
      <c r="T52" s="31"/>
      <c r="U52" s="34"/>
      <c r="V52" s="56"/>
      <c r="W52" s="34"/>
      <c r="X52" s="31"/>
      <c r="Y52" s="34"/>
      <c r="Z52" s="31"/>
      <c r="AA52" s="34"/>
      <c r="AB52" s="31"/>
      <c r="AC52" s="34"/>
      <c r="AD52" s="31"/>
      <c r="AE52" s="34"/>
      <c r="AF52" s="56"/>
      <c r="AG52" s="34"/>
      <c r="AH52" s="31"/>
      <c r="AI52" s="34"/>
      <c r="AJ52" s="31"/>
      <c r="AK52" s="34"/>
      <c r="AL52" s="31"/>
      <c r="AM52" s="34"/>
      <c r="AN52" s="31"/>
      <c r="AO52" s="34"/>
      <c r="AP52" s="31"/>
      <c r="AQ52" s="34"/>
      <c r="AR52" s="31"/>
      <c r="AS52" s="34"/>
      <c r="AT52" s="31"/>
      <c r="AU52" s="34"/>
      <c r="AV52" s="31"/>
      <c r="AW52" s="34"/>
      <c r="AX52" s="31"/>
      <c r="AY52" s="34"/>
      <c r="AZ52" s="31"/>
      <c r="BA52" s="34"/>
    </row>
    <row r="53" spans="1:54" ht="20" customHeight="1" x14ac:dyDescent="0.2">
      <c r="A53" s="678"/>
      <c r="B53" s="721"/>
      <c r="C53" s="258"/>
      <c r="D53" s="722" t="s">
        <v>85</v>
      </c>
      <c r="E53" s="723" t="s">
        <v>57</v>
      </c>
      <c r="F53" s="723" t="s">
        <v>58</v>
      </c>
      <c r="G53" s="722">
        <v>2006</v>
      </c>
      <c r="H53" s="287">
        <v>132</v>
      </c>
      <c r="I53" s="65">
        <v>7</v>
      </c>
      <c r="J53" s="61" t="s">
        <v>175</v>
      </c>
      <c r="K53" s="62" t="s">
        <v>168</v>
      </c>
      <c r="L53" s="31"/>
      <c r="M53" s="34" t="str">
        <f t="shared" si="0"/>
        <v/>
      </c>
      <c r="N53" s="31"/>
      <c r="O53" s="34" t="str">
        <f t="shared" si="1"/>
        <v/>
      </c>
      <c r="P53" s="31"/>
      <c r="Q53" s="34" t="str">
        <f t="shared" si="2"/>
        <v/>
      </c>
      <c r="R53" s="31"/>
      <c r="S53" s="34" t="str">
        <f t="shared" si="3"/>
        <v/>
      </c>
      <c r="T53" s="31"/>
      <c r="U53" s="34" t="str">
        <f t="shared" si="4"/>
        <v/>
      </c>
      <c r="V53" s="56"/>
      <c r="W53" s="34" t="str">
        <f t="shared" si="5"/>
        <v/>
      </c>
      <c r="X53" s="31"/>
      <c r="Y53" s="34" t="str">
        <f>IF((ISERROR((X53/$I53)*100)), "", IF(AND(NOT(ISERROR((X53/$I53)*100)),((X53/$I53)*100) &lt;&gt; 0), (X53/$I53)*100, ""))</f>
        <v/>
      </c>
      <c r="Z53" s="31"/>
      <c r="AA53" s="34" t="str">
        <f>IF((ISERROR((Z53/$I53)*100)), "", IF(AND(NOT(ISERROR((Z53/$I53)*100)),((Z53/$I53)*100) &lt;&gt; 0), (Z53/$I53)*100, ""))</f>
        <v/>
      </c>
      <c r="AB53" s="31"/>
      <c r="AC53" s="34" t="str">
        <f>IF((ISERROR((AB53/$I53)*100)), "", IF(AND(NOT(ISERROR((AB53/$I53)*100)),((AB53/$I53)*100) &lt;&gt; 0), (AB53/$I53)*100, ""))</f>
        <v/>
      </c>
      <c r="AD53" s="31"/>
      <c r="AE53" s="34" t="str">
        <f>IF((ISERROR((AD53/$I53)*100)), "", IF(AND(NOT(ISERROR((AD53/$I53)*100)),((AD53/$I53)*100) &lt;&gt; 0), (AD53/$I53)*100, ""))</f>
        <v/>
      </c>
      <c r="AF53" s="56"/>
      <c r="AG53" s="34" t="str">
        <f t="shared" si="6"/>
        <v/>
      </c>
      <c r="AH53" s="31"/>
      <c r="AI53" s="34" t="str">
        <f>IF((ISERROR((AH53/$I53)*100)), "", IF(AND(NOT(ISERROR((AH53/$I53)*100)),((AH53/$I53)*100) &lt;&gt; 0), (AH53/$I53)*100, ""))</f>
        <v/>
      </c>
      <c r="AJ53" s="31"/>
      <c r="AK53" s="34" t="str">
        <f t="shared" si="7"/>
        <v/>
      </c>
      <c r="AL53" s="31"/>
      <c r="AM53" s="34" t="str">
        <f>IF((ISERROR((AL53/$I53)*100)), "", IF(AND(NOT(ISERROR((AL53/$I53)*100)),((AL53/$I53)*100) &lt;&gt; 0), (AL53/$I53)*100, ""))</f>
        <v/>
      </c>
      <c r="AN53" s="31"/>
      <c r="AO53" s="34" t="str">
        <f>IF((ISERROR((AN53/$I53)*100)), "", IF(AND(NOT(ISERROR((AN53/$I53)*100)),((AN53/$I53)*100) &lt;&gt; 0), (AN53/$I53)*100, ""))</f>
        <v/>
      </c>
      <c r="AP53" s="31"/>
      <c r="AQ53" s="34" t="str">
        <f t="shared" si="8"/>
        <v/>
      </c>
      <c r="AR53" s="31"/>
      <c r="AS53" s="34" t="str">
        <f t="shared" si="9"/>
        <v/>
      </c>
      <c r="AT53" s="31"/>
      <c r="AU53" s="34" t="str">
        <f t="shared" si="19"/>
        <v/>
      </c>
      <c r="AV53" s="31"/>
      <c r="AW53" s="34" t="str">
        <f t="shared" si="20"/>
        <v/>
      </c>
      <c r="AX53" s="31"/>
      <c r="AY53" s="34" t="str">
        <f t="shared" si="21"/>
        <v/>
      </c>
      <c r="AZ53" s="31"/>
      <c r="BA53" s="34" t="str">
        <f t="shared" si="22"/>
        <v/>
      </c>
      <c r="BB53" s="21" t="s">
        <v>473</v>
      </c>
    </row>
    <row r="54" spans="1:54" ht="20" customHeight="1" x14ac:dyDescent="0.2">
      <c r="A54" s="678"/>
      <c r="B54" s="725"/>
      <c r="C54" s="253"/>
      <c r="D54" s="722" t="s">
        <v>85</v>
      </c>
      <c r="E54" s="723" t="s">
        <v>59</v>
      </c>
      <c r="F54" s="723" t="s">
        <v>60</v>
      </c>
      <c r="G54" s="722">
        <v>2009</v>
      </c>
      <c r="H54" s="287">
        <v>49</v>
      </c>
      <c r="I54" s="65">
        <v>22</v>
      </c>
      <c r="J54" s="61" t="s">
        <v>175</v>
      </c>
      <c r="K54" s="62" t="s">
        <v>188</v>
      </c>
      <c r="L54" s="31"/>
      <c r="M54" s="34" t="str">
        <f t="shared" si="0"/>
        <v/>
      </c>
      <c r="N54" s="31"/>
      <c r="O54" s="34" t="str">
        <f t="shared" si="1"/>
        <v/>
      </c>
      <c r="P54" s="31"/>
      <c r="Q54" s="34" t="str">
        <f t="shared" si="2"/>
        <v/>
      </c>
      <c r="R54" s="31"/>
      <c r="S54" s="34" t="str">
        <f t="shared" si="3"/>
        <v/>
      </c>
      <c r="T54" s="31"/>
      <c r="U54" s="34" t="str">
        <f t="shared" si="4"/>
        <v/>
      </c>
      <c r="V54" s="56"/>
      <c r="W54" s="34" t="str">
        <f t="shared" si="5"/>
        <v/>
      </c>
      <c r="X54" s="31"/>
      <c r="Y54" s="34" t="str">
        <f>IF((ISERROR((X54/$I54)*100)), "", IF(AND(NOT(ISERROR((X54/$I54)*100)),((X54/$I54)*100) &lt;&gt; 0), (X54/$I54)*100, ""))</f>
        <v/>
      </c>
      <c r="Z54" s="31"/>
      <c r="AA54" s="34" t="str">
        <f>IF((ISERROR((Z54/$I54)*100)), "", IF(AND(NOT(ISERROR((Z54/$I54)*100)),((Z54/$I54)*100) &lt;&gt; 0), (Z54/$I54)*100, ""))</f>
        <v/>
      </c>
      <c r="AB54" s="31"/>
      <c r="AC54" s="34" t="str">
        <f>IF((ISERROR((AB54/$I54)*100)), "", IF(AND(NOT(ISERROR((AB54/$I54)*100)),((AB54/$I54)*100) &lt;&gt; 0), (AB54/$I54)*100, ""))</f>
        <v/>
      </c>
      <c r="AD54" s="31"/>
      <c r="AE54" s="34" t="str">
        <f>IF((ISERROR((AD54/$I54)*100)), "", IF(AND(NOT(ISERROR((AD54/$I54)*100)),((AD54/$I54)*100) &lt;&gt; 0), (AD54/$I54)*100, ""))</f>
        <v/>
      </c>
      <c r="AF54" s="56"/>
      <c r="AG54" s="34" t="str">
        <f t="shared" si="6"/>
        <v/>
      </c>
      <c r="AH54" s="31"/>
      <c r="AI54" s="34" t="str">
        <f>IF((ISERROR((AH54/$I54)*100)), "", IF(AND(NOT(ISERROR((AH54/$I54)*100)),((AH54/$I54)*100) &lt;&gt; 0), (AH54/$I54)*100, ""))</f>
        <v/>
      </c>
      <c r="AJ54" s="31"/>
      <c r="AK54" s="34" t="str">
        <f t="shared" si="7"/>
        <v/>
      </c>
      <c r="AL54" s="31"/>
      <c r="AM54" s="34" t="str">
        <f>IF((ISERROR((AL54/$I54)*100)), "", IF(AND(NOT(ISERROR((AL54/$I54)*100)),((AL54/$I54)*100) &lt;&gt; 0), (AL54/$I54)*100, ""))</f>
        <v/>
      </c>
      <c r="AN54" s="31"/>
      <c r="AO54" s="34" t="str">
        <f>IF((ISERROR((AN54/$I54)*100)), "", IF(AND(NOT(ISERROR((AN54/$I54)*100)),((AN54/$I54)*100) &lt;&gt; 0), (AN54/$I54)*100, ""))</f>
        <v/>
      </c>
      <c r="AP54" s="31"/>
      <c r="AQ54" s="34" t="str">
        <f t="shared" si="8"/>
        <v/>
      </c>
      <c r="AR54" s="31"/>
      <c r="AS54" s="34" t="str">
        <f t="shared" si="9"/>
        <v/>
      </c>
      <c r="AT54" s="31"/>
      <c r="AU54" s="34" t="str">
        <f t="shared" si="19"/>
        <v/>
      </c>
      <c r="AV54" s="31"/>
      <c r="AW54" s="34" t="str">
        <f t="shared" si="20"/>
        <v/>
      </c>
      <c r="AX54" s="31"/>
      <c r="AY54" s="34" t="str">
        <f t="shared" si="21"/>
        <v/>
      </c>
      <c r="AZ54" s="31"/>
      <c r="BA54" s="34" t="str">
        <f t="shared" si="22"/>
        <v/>
      </c>
      <c r="BB54" s="21" t="s">
        <v>401</v>
      </c>
    </row>
    <row r="55" spans="1:54" ht="20" customHeight="1" x14ac:dyDescent="0.2">
      <c r="A55" s="678"/>
      <c r="B55" s="721"/>
      <c r="C55" s="253"/>
      <c r="D55" s="722" t="s">
        <v>85</v>
      </c>
      <c r="E55" s="723" t="s">
        <v>61</v>
      </c>
      <c r="F55" s="723" t="s">
        <v>62</v>
      </c>
      <c r="G55" s="722">
        <v>2006</v>
      </c>
      <c r="H55" s="287">
        <v>144</v>
      </c>
      <c r="I55" s="65">
        <v>25</v>
      </c>
      <c r="J55" s="61"/>
      <c r="K55" s="62" t="s">
        <v>189</v>
      </c>
      <c r="L55" s="31"/>
      <c r="M55" s="34" t="str">
        <f t="shared" ref="M55:M92" si="25">IF((ISERROR((L55/$I55)*100)), "", IF(AND(NOT(ISERROR((L55/$I55)*100)),((L55/$I55)*100) &lt;&gt; 0), (L55/$I55)*100, ""))</f>
        <v/>
      </c>
      <c r="N55" s="31"/>
      <c r="O55" s="34" t="str">
        <f t="shared" ref="O55:O92" si="26">IF((ISERROR((N55/$I55)*100)), "", IF(AND(NOT(ISERROR((N55/$I55)*100)),((N55/$I55)*100) &lt;&gt; 0), (N55/$I55)*100, ""))</f>
        <v/>
      </c>
      <c r="P55" s="31"/>
      <c r="Q55" s="34" t="str">
        <f t="shared" ref="Q55:Q92" si="27">IF((ISERROR((P55/$I55)*100)), "", IF(AND(NOT(ISERROR((P55/$I55)*100)),((P55/$I55)*100) &lt;&gt; 0), (P55/$I55)*100, ""))</f>
        <v/>
      </c>
      <c r="R55" s="31"/>
      <c r="S55" s="34" t="str">
        <f t="shared" ref="S55:S92" si="28">IF((ISERROR((R55/$I55)*100)), "", IF(AND(NOT(ISERROR((R55/$I55)*100)),((R55/$I55)*100) &lt;&gt; 0), (R55/$I55)*100, ""))</f>
        <v/>
      </c>
      <c r="T55" s="31"/>
      <c r="U55" s="34" t="str">
        <f t="shared" ref="U55:U92" si="29">IF((ISERROR((T55/$I55)*100)), "", IF(AND(NOT(ISERROR((T55/$I55)*100)),((T55/$I55)*100) &lt;&gt; 0), (T55/$I55)*100, ""))</f>
        <v/>
      </c>
      <c r="V55" s="56"/>
      <c r="W55" s="34" t="str">
        <f t="shared" ref="W55:W92" si="30">IF((ISERROR((V55/$I55)*100)), "", IF(AND(NOT(ISERROR((V55/$I55)*100)),((V55/$I55)*100) &lt;&gt; 0), (V55/$I55)*100, ""))</f>
        <v/>
      </c>
      <c r="X55" s="31"/>
      <c r="Y55" s="34" t="str">
        <f t="shared" si="14"/>
        <v/>
      </c>
      <c r="Z55" s="31"/>
      <c r="AA55" s="34" t="str">
        <f t="shared" si="15"/>
        <v/>
      </c>
      <c r="AB55" s="31"/>
      <c r="AC55" s="34" t="str">
        <f t="shared" si="16"/>
        <v/>
      </c>
      <c r="AD55" s="31"/>
      <c r="AE55" s="34" t="str">
        <f t="shared" si="17"/>
        <v/>
      </c>
      <c r="AF55" s="56"/>
      <c r="AG55" s="34" t="str">
        <f t="shared" ref="AG55:AG92" si="31">IF((ISERROR((AF55/$I55)*100)), "", IF(AND(NOT(ISERROR((AF55/$I55)*100)),((AF55/$I55)*100) &lt;&gt; 0), (AF55/$I55)*100, ""))</f>
        <v/>
      </c>
      <c r="AH55" s="31"/>
      <c r="AI55" s="34" t="str">
        <f t="shared" si="23"/>
        <v/>
      </c>
      <c r="AJ55" s="31"/>
      <c r="AK55" s="34" t="str">
        <f t="shared" ref="AK55:AK92" si="32">IF((ISERROR((AJ55/$I55)*100)), "", IF(AND(NOT(ISERROR((AJ55/$I55)*100)),((AJ55/$I55)*100) &lt;&gt; 0), (AJ55/$I55)*100, ""))</f>
        <v/>
      </c>
      <c r="AL55" s="31"/>
      <c r="AM55" s="34" t="str">
        <f t="shared" si="18"/>
        <v/>
      </c>
      <c r="AN55" s="31"/>
      <c r="AO55" s="34" t="str">
        <f t="shared" si="19"/>
        <v/>
      </c>
      <c r="AP55" s="31"/>
      <c r="AQ55" s="34" t="str">
        <f t="shared" ref="AQ55:AQ92" si="33">IF((ISERROR((AP55/$I55)*100)), "", IF(AND(NOT(ISERROR((AP55/$I55)*100)),((AP55/$I55)*100) &lt;&gt; 0), (AP55/$I55)*100, ""))</f>
        <v/>
      </c>
      <c r="AR55" s="31"/>
      <c r="AS55" s="34" t="str">
        <f t="shared" ref="AS55:AS92" si="34">IF((ISERROR((AR55/$I55)*100)), "", IF(AND(NOT(ISERROR((AR55/$I55)*100)),((AR55/$I55)*100) &lt;&gt; 0), (AR55/$I55)*100, ""))</f>
        <v/>
      </c>
      <c r="AT55" s="31"/>
      <c r="AU55" s="34" t="str">
        <f t="shared" si="19"/>
        <v/>
      </c>
      <c r="AV55" s="31"/>
      <c r="AW55" s="34" t="str">
        <f t="shared" si="20"/>
        <v/>
      </c>
      <c r="AX55" s="31"/>
      <c r="AY55" s="34" t="str">
        <f t="shared" si="21"/>
        <v/>
      </c>
      <c r="AZ55" s="31"/>
      <c r="BA55" s="34" t="str">
        <f t="shared" si="22"/>
        <v/>
      </c>
      <c r="BB55" s="21" t="s">
        <v>180</v>
      </c>
    </row>
    <row r="56" spans="1:54" ht="20" customHeight="1" x14ac:dyDescent="0.2">
      <c r="A56" s="678"/>
      <c r="B56" s="721"/>
      <c r="C56" s="722"/>
      <c r="D56" s="722"/>
      <c r="E56" s="723" t="s">
        <v>268</v>
      </c>
      <c r="F56" s="723" t="s">
        <v>269</v>
      </c>
      <c r="G56" s="722">
        <v>2004</v>
      </c>
      <c r="H56" s="287"/>
      <c r="I56" s="65"/>
      <c r="J56" s="61"/>
      <c r="K56" s="62"/>
      <c r="L56" s="31"/>
      <c r="M56" s="34" t="str">
        <f t="shared" si="25"/>
        <v/>
      </c>
      <c r="N56" s="31"/>
      <c r="O56" s="34" t="str">
        <f t="shared" si="26"/>
        <v/>
      </c>
      <c r="P56" s="31"/>
      <c r="Q56" s="34" t="str">
        <f t="shared" si="27"/>
        <v/>
      </c>
      <c r="R56" s="31"/>
      <c r="S56" s="34" t="str">
        <f t="shared" si="28"/>
        <v/>
      </c>
      <c r="T56" s="31"/>
      <c r="U56" s="34" t="str">
        <f t="shared" si="29"/>
        <v/>
      </c>
      <c r="V56" s="56"/>
      <c r="W56" s="34" t="str">
        <f t="shared" si="30"/>
        <v/>
      </c>
      <c r="X56" s="31"/>
      <c r="Y56" s="34" t="str">
        <f t="shared" ref="Y56:Y93" si="35">IF((ISERROR((X56/$I56)*100)), "", IF(AND(NOT(ISERROR((X56/$I56)*100)),((X56/$I56)*100) &lt;&gt; 0), (X56/$I56)*100, ""))</f>
        <v/>
      </c>
      <c r="Z56" s="31"/>
      <c r="AA56" s="34" t="str">
        <f t="shared" ref="AA56:AA93" si="36">IF((ISERROR((Z56/$I56)*100)), "", IF(AND(NOT(ISERROR((Z56/$I56)*100)),((Z56/$I56)*100) &lt;&gt; 0), (Z56/$I56)*100, ""))</f>
        <v/>
      </c>
      <c r="AB56" s="31"/>
      <c r="AC56" s="34" t="str">
        <f t="shared" ref="AC56:AC93" si="37">IF((ISERROR((AB56/$I56)*100)), "", IF(AND(NOT(ISERROR((AB56/$I56)*100)),((AB56/$I56)*100) &lt;&gt; 0), (AB56/$I56)*100, ""))</f>
        <v/>
      </c>
      <c r="AD56" s="31"/>
      <c r="AE56" s="34" t="str">
        <f t="shared" ref="AE56:AE93" si="38">IF((ISERROR((AD56/$I56)*100)), "", IF(AND(NOT(ISERROR((AD56/$I56)*100)),((AD56/$I56)*100) &lt;&gt; 0), (AD56/$I56)*100, ""))</f>
        <v/>
      </c>
      <c r="AF56" s="56"/>
      <c r="AG56" s="34" t="str">
        <f t="shared" si="31"/>
        <v/>
      </c>
      <c r="AH56" s="31"/>
      <c r="AI56" s="34" t="str">
        <f t="shared" si="23"/>
        <v/>
      </c>
      <c r="AJ56" s="31"/>
      <c r="AK56" s="34" t="str">
        <f t="shared" si="32"/>
        <v/>
      </c>
      <c r="AL56" s="31"/>
      <c r="AM56" s="34" t="str">
        <f t="shared" ref="AM56:AM93" si="39">IF((ISERROR((AL56/$I56)*100)), "", IF(AND(NOT(ISERROR((AL56/$I56)*100)),((AL56/$I56)*100) &lt;&gt; 0), (AL56/$I56)*100, ""))</f>
        <v/>
      </c>
      <c r="AN56" s="31"/>
      <c r="AO56" s="34" t="str">
        <f t="shared" si="19"/>
        <v/>
      </c>
      <c r="AP56" s="31"/>
      <c r="AQ56" s="34" t="str">
        <f t="shared" si="33"/>
        <v/>
      </c>
      <c r="AR56" s="31"/>
      <c r="AS56" s="34" t="str">
        <f t="shared" si="34"/>
        <v/>
      </c>
      <c r="AT56" s="31"/>
      <c r="AU56" s="34" t="str">
        <f t="shared" si="19"/>
        <v/>
      </c>
      <c r="AV56" s="31"/>
      <c r="AW56" s="34" t="str">
        <f t="shared" si="20"/>
        <v/>
      </c>
      <c r="AX56" s="31"/>
      <c r="AY56" s="34" t="str">
        <f t="shared" ref="AY56:AY95" si="40">IF((ISERROR((AX56/$I56)*100)), "", IF(AND(NOT(ISERROR((AX56/$I56)*100)),((AX56/$I56)*100) &lt;&gt; 0), (AX56/$I56)*100, ""))</f>
        <v/>
      </c>
      <c r="AZ56" s="31"/>
      <c r="BA56" s="34" t="str">
        <f t="shared" ref="BA56:BA95" si="41">IF((ISERROR((AZ56/$I56)*100)), "", IF(AND(NOT(ISERROR((AZ56/$I56)*100)),((AZ56/$I56)*100) &lt;&gt; 0), (AZ56/$I56)*100, ""))</f>
        <v/>
      </c>
    </row>
    <row r="57" spans="1:54" ht="20" customHeight="1" x14ac:dyDescent="0.2">
      <c r="A57" s="680"/>
      <c r="B57" s="725"/>
      <c r="C57" s="253"/>
      <c r="D57" s="722" t="s">
        <v>85</v>
      </c>
      <c r="E57" s="723" t="s">
        <v>517</v>
      </c>
      <c r="F57" s="723" t="s">
        <v>638</v>
      </c>
      <c r="G57" s="722">
        <v>2012</v>
      </c>
      <c r="H57" s="287"/>
      <c r="I57" s="701">
        <v>18</v>
      </c>
      <c r="J57" s="232" t="s">
        <v>519</v>
      </c>
      <c r="K57" s="250"/>
      <c r="L57" s="31"/>
      <c r="M57" s="34"/>
      <c r="N57" s="31"/>
      <c r="O57" s="34"/>
      <c r="P57" s="31"/>
      <c r="Q57" s="34"/>
      <c r="R57" s="31"/>
      <c r="S57" s="34"/>
      <c r="T57" s="31"/>
      <c r="U57" s="34"/>
      <c r="V57" s="56"/>
      <c r="W57" s="34"/>
      <c r="X57" s="31"/>
      <c r="Y57" s="34"/>
      <c r="Z57" s="31"/>
      <c r="AA57" s="34"/>
      <c r="AB57" s="31"/>
      <c r="AC57" s="34"/>
      <c r="AD57" s="31"/>
      <c r="AE57" s="34"/>
      <c r="AF57" s="56"/>
      <c r="AG57" s="34"/>
      <c r="AH57" s="31"/>
      <c r="AI57" s="34"/>
      <c r="AJ57" s="31"/>
      <c r="AK57" s="34"/>
      <c r="AL57" s="31"/>
      <c r="AM57" s="34"/>
      <c r="AN57" s="31"/>
      <c r="AO57" s="34"/>
      <c r="AP57" s="31"/>
      <c r="AQ57" s="34"/>
      <c r="AR57" s="31"/>
      <c r="AS57" s="34"/>
      <c r="AT57" s="31"/>
      <c r="AU57" s="34"/>
      <c r="AV57" s="31"/>
      <c r="AW57" s="34"/>
      <c r="AX57" s="31"/>
      <c r="AY57" s="34"/>
      <c r="AZ57" s="31"/>
      <c r="BA57" s="34"/>
    </row>
    <row r="58" spans="1:54" ht="20" customHeight="1" x14ac:dyDescent="0.2">
      <c r="A58" s="678"/>
      <c r="B58" s="725"/>
      <c r="C58" s="255"/>
      <c r="D58" s="722" t="s">
        <v>85</v>
      </c>
      <c r="E58" s="723" t="s">
        <v>270</v>
      </c>
      <c r="F58" s="723" t="s">
        <v>271</v>
      </c>
      <c r="G58" s="722">
        <v>2014</v>
      </c>
      <c r="H58" s="287"/>
      <c r="I58" s="65">
        <v>39</v>
      </c>
      <c r="J58" s="61" t="s">
        <v>402</v>
      </c>
      <c r="K58" s="62" t="s">
        <v>338</v>
      </c>
      <c r="L58" s="31">
        <v>22</v>
      </c>
      <c r="M58" s="34">
        <f t="shared" si="25"/>
        <v>56.410256410256409</v>
      </c>
      <c r="N58" s="31"/>
      <c r="O58" s="34" t="str">
        <f t="shared" si="26"/>
        <v/>
      </c>
      <c r="P58" s="31"/>
      <c r="Q58" s="34" t="str">
        <f t="shared" si="27"/>
        <v/>
      </c>
      <c r="R58" s="31"/>
      <c r="S58" s="34" t="str">
        <f t="shared" si="28"/>
        <v/>
      </c>
      <c r="T58" s="31">
        <v>22</v>
      </c>
      <c r="U58" s="34">
        <f t="shared" si="29"/>
        <v>56.410256410256409</v>
      </c>
      <c r="V58" s="56"/>
      <c r="W58" s="34" t="str">
        <f t="shared" si="30"/>
        <v/>
      </c>
      <c r="X58" s="31">
        <v>23</v>
      </c>
      <c r="Y58" s="34">
        <f>IF((ISERROR((X58/$I58)*100)), "", IF(AND(NOT(ISERROR((X58/$I58)*100)),((X58/$I58)*100) &lt;&gt; 0), (X58/$I58)*100, ""))</f>
        <v>58.974358974358978</v>
      </c>
      <c r="Z58" s="31"/>
      <c r="AA58" s="34" t="str">
        <f>IF((ISERROR((Z58/$I58)*100)), "", IF(AND(NOT(ISERROR((Z58/$I58)*100)),((Z58/$I58)*100) &lt;&gt; 0), (Z58/$I58)*100, ""))</f>
        <v/>
      </c>
      <c r="AB58" s="31"/>
      <c r="AC58" s="34" t="str">
        <f>IF((ISERROR((AB58/$I58)*100)), "", IF(AND(NOT(ISERROR((AB58/$I58)*100)),((AB58/$I58)*100) &lt;&gt; 0), (AB58/$I58)*100, ""))</f>
        <v/>
      </c>
      <c r="AD58" s="31"/>
      <c r="AE58" s="34" t="str">
        <f>IF((ISERROR((AD58/$I58)*100)), "", IF(AND(NOT(ISERROR((AD58/$I58)*100)),((AD58/$I58)*100) &lt;&gt; 0), (AD58/$I58)*100, ""))</f>
        <v/>
      </c>
      <c r="AF58" s="56"/>
      <c r="AG58" s="34" t="str">
        <f t="shared" si="31"/>
        <v/>
      </c>
      <c r="AH58" s="31"/>
      <c r="AI58" s="34" t="str">
        <f>IF((ISERROR((AH58/$I58)*100)), "", IF(AND(NOT(ISERROR((AH58/$I58)*100)),((AH58/$I58)*100) &lt;&gt; 0), (AH58/$I58)*100, ""))</f>
        <v/>
      </c>
      <c r="AJ58" s="31"/>
      <c r="AK58" s="34" t="str">
        <f t="shared" si="32"/>
        <v/>
      </c>
      <c r="AL58" s="31"/>
      <c r="AM58" s="34" t="str">
        <f>IF((ISERROR((AL58/$I58)*100)), "", IF(AND(NOT(ISERROR((AL58/$I58)*100)),((AL58/$I58)*100) &lt;&gt; 0), (AL58/$I58)*100, ""))</f>
        <v/>
      </c>
      <c r="AN58" s="31"/>
      <c r="AO58" s="34" t="str">
        <f>IF((ISERROR((AN58/$I58)*100)), "", IF(AND(NOT(ISERROR((AN58/$I58)*100)),((AN58/$I58)*100) &lt;&gt; 0), (AN58/$I58)*100, ""))</f>
        <v/>
      </c>
      <c r="AP58" s="31">
        <v>8</v>
      </c>
      <c r="AQ58" s="34">
        <f t="shared" si="33"/>
        <v>20.512820512820511</v>
      </c>
      <c r="AR58" s="31"/>
      <c r="AS58" s="34" t="str">
        <f t="shared" si="34"/>
        <v/>
      </c>
      <c r="AT58" s="31">
        <v>3</v>
      </c>
      <c r="AU58" s="34">
        <f t="shared" si="19"/>
        <v>7.6923076923076925</v>
      </c>
      <c r="AV58" s="31"/>
      <c r="AW58" s="34" t="str">
        <f t="shared" si="20"/>
        <v/>
      </c>
      <c r="AX58" s="31"/>
      <c r="AY58" s="34" t="str">
        <f t="shared" si="40"/>
        <v/>
      </c>
      <c r="AZ58" s="31"/>
      <c r="BA58" s="34" t="str">
        <f t="shared" si="41"/>
        <v/>
      </c>
      <c r="BB58" s="21" t="s">
        <v>344</v>
      </c>
    </row>
    <row r="59" spans="1:54" ht="20" customHeight="1" x14ac:dyDescent="0.2">
      <c r="A59" s="678"/>
      <c r="B59" s="725"/>
      <c r="C59" s="722"/>
      <c r="D59" s="722" t="s">
        <v>85</v>
      </c>
      <c r="E59" s="723" t="s">
        <v>272</v>
      </c>
      <c r="F59" s="723" t="s">
        <v>273</v>
      </c>
      <c r="G59" s="722">
        <v>2015</v>
      </c>
      <c r="H59" s="287"/>
      <c r="I59" s="65">
        <v>8</v>
      </c>
      <c r="J59" s="61" t="s">
        <v>213</v>
      </c>
      <c r="K59" s="62" t="s">
        <v>345</v>
      </c>
      <c r="L59" s="31"/>
      <c r="M59" s="34" t="str">
        <f t="shared" si="25"/>
        <v/>
      </c>
      <c r="N59" s="31"/>
      <c r="O59" s="34" t="str">
        <f t="shared" si="26"/>
        <v/>
      </c>
      <c r="P59" s="31"/>
      <c r="Q59" s="34" t="str">
        <f t="shared" si="27"/>
        <v/>
      </c>
      <c r="R59" s="31"/>
      <c r="S59" s="34" t="str">
        <f t="shared" si="28"/>
        <v/>
      </c>
      <c r="T59" s="31">
        <v>2</v>
      </c>
      <c r="U59" s="34">
        <f t="shared" si="29"/>
        <v>25</v>
      </c>
      <c r="V59" s="56"/>
      <c r="W59" s="34" t="str">
        <f t="shared" si="30"/>
        <v/>
      </c>
      <c r="X59" s="31"/>
      <c r="Y59" s="34" t="str">
        <f>IF((ISERROR((X59/$I59)*100)), "", IF(AND(NOT(ISERROR((X59/$I59)*100)),((X59/$I59)*100) &lt;&gt; 0), (X59/$I59)*100, ""))</f>
        <v/>
      </c>
      <c r="Z59" s="31"/>
      <c r="AA59" s="34" t="str">
        <f>IF((ISERROR((Z59/$I59)*100)), "", IF(AND(NOT(ISERROR((Z59/$I59)*100)),((Z59/$I59)*100) &lt;&gt; 0), (Z59/$I59)*100, ""))</f>
        <v/>
      </c>
      <c r="AB59" s="31"/>
      <c r="AC59" s="34" t="str">
        <f>IF((ISERROR((AB59/$I59)*100)), "", IF(AND(NOT(ISERROR((AB59/$I59)*100)),((AB59/$I59)*100) &lt;&gt; 0), (AB59/$I59)*100, ""))</f>
        <v/>
      </c>
      <c r="AD59" s="31"/>
      <c r="AE59" s="34" t="str">
        <f>IF((ISERROR((AD59/$I59)*100)), "", IF(AND(NOT(ISERROR((AD59/$I59)*100)),((AD59/$I59)*100) &lt;&gt; 0), (AD59/$I59)*100, ""))</f>
        <v/>
      </c>
      <c r="AF59" s="56"/>
      <c r="AG59" s="34" t="str">
        <f t="shared" si="31"/>
        <v/>
      </c>
      <c r="AH59" s="31"/>
      <c r="AI59" s="34" t="str">
        <f>IF((ISERROR((AH59/$I59)*100)), "", IF(AND(NOT(ISERROR((AH59/$I59)*100)),((AH59/$I59)*100) &lt;&gt; 0), (AH59/$I59)*100, ""))</f>
        <v/>
      </c>
      <c r="AJ59" s="31"/>
      <c r="AK59" s="34" t="str">
        <f t="shared" si="32"/>
        <v/>
      </c>
      <c r="AL59" s="31"/>
      <c r="AM59" s="34" t="str">
        <f>IF((ISERROR((AL59/$I59)*100)), "", IF(AND(NOT(ISERROR((AL59/$I59)*100)),((AL59/$I59)*100) &lt;&gt; 0), (AL59/$I59)*100, ""))</f>
        <v/>
      </c>
      <c r="AN59" s="31"/>
      <c r="AO59" s="34" t="str">
        <f>IF((ISERROR((AN59/$I59)*100)), "", IF(AND(NOT(ISERROR((AN59/$I59)*100)),((AN59/$I59)*100) &lt;&gt; 0), (AN59/$I59)*100, ""))</f>
        <v/>
      </c>
      <c r="AP59" s="31"/>
      <c r="AQ59" s="34" t="str">
        <f t="shared" si="33"/>
        <v/>
      </c>
      <c r="AR59" s="31"/>
      <c r="AS59" s="34" t="str">
        <f t="shared" si="34"/>
        <v/>
      </c>
      <c r="AT59" s="31"/>
      <c r="AU59" s="34" t="str">
        <f t="shared" si="19"/>
        <v/>
      </c>
      <c r="AV59" s="31"/>
      <c r="AW59" s="34" t="str">
        <f t="shared" si="20"/>
        <v/>
      </c>
      <c r="AX59" s="31"/>
      <c r="AY59" s="34" t="str">
        <f t="shared" si="40"/>
        <v/>
      </c>
      <c r="AZ59" s="31"/>
      <c r="BA59" s="34" t="str">
        <f t="shared" si="41"/>
        <v/>
      </c>
      <c r="BB59" s="21" t="s">
        <v>403</v>
      </c>
    </row>
    <row r="60" spans="1:54" ht="20" customHeight="1" x14ac:dyDescent="0.2">
      <c r="A60" s="678"/>
      <c r="B60" s="721"/>
      <c r="C60" s="255"/>
      <c r="D60" s="722" t="s">
        <v>85</v>
      </c>
      <c r="E60" s="723" t="s">
        <v>274</v>
      </c>
      <c r="F60" s="723" t="s">
        <v>275</v>
      </c>
      <c r="G60" s="722">
        <v>2001</v>
      </c>
      <c r="H60" s="287"/>
      <c r="I60" s="65">
        <v>9</v>
      </c>
      <c r="J60" s="61"/>
      <c r="K60" s="62" t="s">
        <v>346</v>
      </c>
      <c r="L60" s="31"/>
      <c r="M60" s="34" t="str">
        <f t="shared" si="25"/>
        <v/>
      </c>
      <c r="N60" s="31"/>
      <c r="O60" s="34" t="str">
        <f t="shared" si="26"/>
        <v/>
      </c>
      <c r="P60" s="31"/>
      <c r="Q60" s="34" t="str">
        <f t="shared" si="27"/>
        <v/>
      </c>
      <c r="R60" s="31"/>
      <c r="S60" s="34" t="str">
        <f t="shared" si="28"/>
        <v/>
      </c>
      <c r="T60" s="31"/>
      <c r="U60" s="34" t="str">
        <f t="shared" si="29"/>
        <v/>
      </c>
      <c r="V60" s="38"/>
      <c r="W60" s="37" t="str">
        <f t="shared" si="30"/>
        <v/>
      </c>
      <c r="X60" s="31"/>
      <c r="Y60" s="34" t="str">
        <f>IF((ISERROR((X60/$I60)*100)), "", IF(AND(NOT(ISERROR((X60/$I60)*100)),((X60/$I60)*100) &lt;&gt; 0), (X60/$I60)*100, ""))</f>
        <v/>
      </c>
      <c r="Z60" s="31"/>
      <c r="AA60" s="34" t="str">
        <f>IF((ISERROR((Z60/$I60)*100)), "", IF(AND(NOT(ISERROR((Z60/$I60)*100)),((Z60/$I60)*100) &lt;&gt; 0), (Z60/$I60)*100, ""))</f>
        <v/>
      </c>
      <c r="AB60" s="31"/>
      <c r="AC60" s="34" t="str">
        <f>IF((ISERROR((AB60/$I60)*100)), "", IF(AND(NOT(ISERROR((AB60/$I60)*100)),((AB60/$I60)*100) &lt;&gt; 0), (AB60/$I60)*100, ""))</f>
        <v/>
      </c>
      <c r="AD60" s="31"/>
      <c r="AE60" s="34" t="str">
        <f>IF((ISERROR((AD60/$I60)*100)), "", IF(AND(NOT(ISERROR((AD60/$I60)*100)),((AD60/$I60)*100) &lt;&gt; 0), (AD60/$I60)*100, ""))</f>
        <v/>
      </c>
      <c r="AF60" s="56"/>
      <c r="AG60" s="34" t="str">
        <f t="shared" si="31"/>
        <v/>
      </c>
      <c r="AH60" s="31"/>
      <c r="AI60" s="34" t="str">
        <f>IF((ISERROR((AH60/$I60)*100)), "", IF(AND(NOT(ISERROR((AH60/$I60)*100)),((AH60/$I60)*100) &lt;&gt; 0), (AH60/$I60)*100, ""))</f>
        <v/>
      </c>
      <c r="AJ60" s="31"/>
      <c r="AK60" s="34" t="str">
        <f t="shared" si="32"/>
        <v/>
      </c>
      <c r="AL60" s="31"/>
      <c r="AM60" s="34" t="str">
        <f>IF((ISERROR((AL60/$I60)*100)), "", IF(AND(NOT(ISERROR((AL60/$I60)*100)),((AL60/$I60)*100) &lt;&gt; 0), (AL60/$I60)*100, ""))</f>
        <v/>
      </c>
      <c r="AN60" s="31"/>
      <c r="AO60" s="34" t="str">
        <f>IF((ISERROR((AN60/$I60)*100)), "", IF(AND(NOT(ISERROR((AN60/$I60)*100)),((AN60/$I60)*100) &lt;&gt; 0), (AN60/$I60)*100, ""))</f>
        <v/>
      </c>
      <c r="AP60" s="31"/>
      <c r="AQ60" s="34" t="str">
        <f t="shared" si="33"/>
        <v/>
      </c>
      <c r="AR60" s="31"/>
      <c r="AS60" s="34" t="str">
        <f t="shared" si="34"/>
        <v/>
      </c>
      <c r="AT60" s="31"/>
      <c r="AU60" s="34" t="str">
        <f t="shared" si="19"/>
        <v/>
      </c>
      <c r="AV60" s="31"/>
      <c r="AW60" s="34" t="str">
        <f t="shared" si="20"/>
        <v/>
      </c>
      <c r="AX60" s="31"/>
      <c r="AY60" s="34" t="str">
        <f t="shared" si="40"/>
        <v/>
      </c>
      <c r="AZ60" s="31"/>
      <c r="BA60" s="34" t="str">
        <f t="shared" si="41"/>
        <v/>
      </c>
      <c r="BB60" s="21" t="s">
        <v>347</v>
      </c>
    </row>
    <row r="61" spans="1:54" ht="20" customHeight="1" x14ac:dyDescent="0.2">
      <c r="A61" s="678"/>
      <c r="B61" s="725"/>
      <c r="C61" s="255"/>
      <c r="D61" s="722" t="s">
        <v>85</v>
      </c>
      <c r="E61" s="723" t="s">
        <v>63</v>
      </c>
      <c r="F61" s="723" t="s">
        <v>64</v>
      </c>
      <c r="G61" s="722">
        <v>2012</v>
      </c>
      <c r="H61" s="287">
        <v>83</v>
      </c>
      <c r="I61" s="65">
        <v>70</v>
      </c>
      <c r="J61" s="61" t="s">
        <v>181</v>
      </c>
      <c r="K61" s="62" t="s">
        <v>190</v>
      </c>
      <c r="L61" s="31"/>
      <c r="M61" s="34" t="str">
        <f t="shared" si="25"/>
        <v/>
      </c>
      <c r="N61" s="31"/>
      <c r="O61" s="34" t="str">
        <f t="shared" si="26"/>
        <v/>
      </c>
      <c r="P61" s="31"/>
      <c r="Q61" s="34" t="str">
        <f t="shared" si="27"/>
        <v/>
      </c>
      <c r="R61" s="31"/>
      <c r="S61" s="34" t="str">
        <f t="shared" si="28"/>
        <v/>
      </c>
      <c r="T61" s="31">
        <v>9</v>
      </c>
      <c r="U61" s="34">
        <f t="shared" si="29"/>
        <v>12.857142857142856</v>
      </c>
      <c r="V61" s="56">
        <v>31</v>
      </c>
      <c r="W61" s="34">
        <f t="shared" si="30"/>
        <v>44.285714285714285</v>
      </c>
      <c r="X61" s="31">
        <v>8</v>
      </c>
      <c r="Y61" s="34">
        <f>IF((ISERROR((X61/$I61)*100)), "", IF(AND(NOT(ISERROR((X61/$I61)*100)),((X61/$I61)*100) &lt;&gt; 0), (X61/$I61)*100, ""))</f>
        <v>11.428571428571429</v>
      </c>
      <c r="Z61" s="31"/>
      <c r="AA61" s="34" t="str">
        <f>IF((ISERROR((Z61/$I61)*100)), "", IF(AND(NOT(ISERROR((Z61/$I61)*100)),((Z61/$I61)*100) &lt;&gt; 0), (Z61/$I61)*100, ""))</f>
        <v/>
      </c>
      <c r="AB61" s="31"/>
      <c r="AC61" s="34" t="str">
        <f>IF((ISERROR((AB61/$I61)*100)), "", IF(AND(NOT(ISERROR((AB61/$I61)*100)),((AB61/$I61)*100) &lt;&gt; 0), (AB61/$I61)*100, ""))</f>
        <v/>
      </c>
      <c r="AD61" s="31"/>
      <c r="AE61" s="34" t="str">
        <f>IF((ISERROR((AD61/$I61)*100)), "", IF(AND(NOT(ISERROR((AD61/$I61)*100)),((AD61/$I61)*100) &lt;&gt; 0), (AD61/$I61)*100, ""))</f>
        <v/>
      </c>
      <c r="AF61" s="56">
        <v>1</v>
      </c>
      <c r="AG61" s="34">
        <f t="shared" si="31"/>
        <v>1.4285714285714286</v>
      </c>
      <c r="AH61" s="31">
        <v>10</v>
      </c>
      <c r="AI61" s="34">
        <f>IF((ISERROR((AH61/$I61)*100)), "", IF(AND(NOT(ISERROR((AH61/$I61)*100)),((AH61/$I61)*100) &lt;&gt; 0), (AH61/$I61)*100, ""))</f>
        <v>14.285714285714285</v>
      </c>
      <c r="AJ61" s="31"/>
      <c r="AK61" s="34" t="str">
        <f t="shared" si="32"/>
        <v/>
      </c>
      <c r="AL61" s="31"/>
      <c r="AM61" s="34" t="str">
        <f>IF((ISERROR((AL61/$I61)*100)), "", IF(AND(NOT(ISERROR((AL61/$I61)*100)),((AL61/$I61)*100) &lt;&gt; 0), (AL61/$I61)*100, ""))</f>
        <v/>
      </c>
      <c r="AN61" s="31"/>
      <c r="AO61" s="34" t="str">
        <f>IF((ISERROR((AN61/$I61)*100)), "", IF(AND(NOT(ISERROR((AN61/$I61)*100)),((AN61/$I61)*100) &lt;&gt; 0), (AN61/$I61)*100, ""))</f>
        <v/>
      </c>
      <c r="AP61" s="31">
        <v>1</v>
      </c>
      <c r="AQ61" s="34">
        <f t="shared" si="33"/>
        <v>1.4285714285714286</v>
      </c>
      <c r="AR61" s="31"/>
      <c r="AS61" s="34" t="str">
        <f t="shared" si="34"/>
        <v/>
      </c>
      <c r="AT61" s="31">
        <v>3</v>
      </c>
      <c r="AU61" s="34">
        <f t="shared" si="19"/>
        <v>4.2857142857142856</v>
      </c>
      <c r="AV61" s="31"/>
      <c r="AW61" s="34" t="str">
        <f t="shared" si="20"/>
        <v/>
      </c>
      <c r="AX61" s="31"/>
      <c r="AY61" s="34" t="str">
        <f t="shared" si="40"/>
        <v/>
      </c>
      <c r="AZ61" s="31"/>
      <c r="BA61" s="34" t="str">
        <f t="shared" si="41"/>
        <v/>
      </c>
      <c r="BB61" s="21" t="s">
        <v>409</v>
      </c>
    </row>
    <row r="62" spans="1:54" ht="20" customHeight="1" x14ac:dyDescent="0.2">
      <c r="A62" s="678"/>
      <c r="B62" s="721"/>
      <c r="C62" s="722"/>
      <c r="D62" s="727" t="s">
        <v>49</v>
      </c>
      <c r="E62" s="728" t="s">
        <v>65</v>
      </c>
      <c r="F62" s="728" t="s">
        <v>66</v>
      </c>
      <c r="G62" s="727">
        <v>1997</v>
      </c>
      <c r="H62" s="729"/>
      <c r="I62" s="65"/>
      <c r="J62" s="61"/>
      <c r="K62" s="62"/>
      <c r="L62" s="31"/>
      <c r="M62" s="34" t="str">
        <f t="shared" si="25"/>
        <v/>
      </c>
      <c r="N62" s="31"/>
      <c r="O62" s="34" t="str">
        <f t="shared" si="26"/>
        <v/>
      </c>
      <c r="P62" s="31"/>
      <c r="Q62" s="34" t="str">
        <f t="shared" si="27"/>
        <v/>
      </c>
      <c r="R62" s="31"/>
      <c r="S62" s="34" t="str">
        <f t="shared" si="28"/>
        <v/>
      </c>
      <c r="T62" s="31"/>
      <c r="U62" s="34" t="str">
        <f t="shared" si="29"/>
        <v/>
      </c>
      <c r="V62" s="56"/>
      <c r="W62" s="34" t="str">
        <f t="shared" si="30"/>
        <v/>
      </c>
      <c r="X62" s="31"/>
      <c r="Y62" s="34" t="str">
        <f t="shared" si="35"/>
        <v/>
      </c>
      <c r="Z62" s="31"/>
      <c r="AA62" s="34" t="str">
        <f t="shared" si="36"/>
        <v/>
      </c>
      <c r="AB62" s="31"/>
      <c r="AC62" s="34" t="str">
        <f t="shared" si="37"/>
        <v/>
      </c>
      <c r="AD62" s="31"/>
      <c r="AE62" s="34" t="str">
        <f t="shared" si="38"/>
        <v/>
      </c>
      <c r="AF62" s="56"/>
      <c r="AG62" s="34" t="str">
        <f t="shared" si="31"/>
        <v/>
      </c>
      <c r="AH62" s="31"/>
      <c r="AI62" s="34" t="str">
        <f t="shared" si="23"/>
        <v/>
      </c>
      <c r="AJ62" s="31"/>
      <c r="AK62" s="34" t="str">
        <f t="shared" si="32"/>
        <v/>
      </c>
      <c r="AL62" s="31"/>
      <c r="AM62" s="34" t="str">
        <f t="shared" si="39"/>
        <v/>
      </c>
      <c r="AN62" s="31"/>
      <c r="AO62" s="34" t="str">
        <f t="shared" si="19"/>
        <v/>
      </c>
      <c r="AP62" s="31"/>
      <c r="AQ62" s="34" t="str">
        <f t="shared" si="33"/>
        <v/>
      </c>
      <c r="AR62" s="31"/>
      <c r="AS62" s="34" t="str">
        <f t="shared" si="34"/>
        <v/>
      </c>
      <c r="AT62" s="31"/>
      <c r="AU62" s="34" t="str">
        <f t="shared" si="19"/>
        <v/>
      </c>
      <c r="AV62" s="31"/>
      <c r="AW62" s="34" t="str">
        <f t="shared" si="20"/>
        <v/>
      </c>
      <c r="AX62" s="31"/>
      <c r="AY62" s="34" t="str">
        <f t="shared" si="40"/>
        <v/>
      </c>
      <c r="AZ62" s="31"/>
      <c r="BA62" s="34" t="str">
        <f t="shared" si="41"/>
        <v/>
      </c>
    </row>
    <row r="63" spans="1:54" ht="20" customHeight="1" x14ac:dyDescent="0.2">
      <c r="A63" s="678"/>
      <c r="B63" s="721"/>
      <c r="C63" s="722"/>
      <c r="D63" s="727" t="s">
        <v>30</v>
      </c>
      <c r="E63" s="728" t="s">
        <v>67</v>
      </c>
      <c r="F63" s="728" t="s">
        <v>68</v>
      </c>
      <c r="G63" s="727">
        <v>2011</v>
      </c>
      <c r="H63" s="729">
        <v>54</v>
      </c>
      <c r="I63" s="65"/>
      <c r="J63" s="61"/>
      <c r="K63" s="62"/>
      <c r="L63" s="31"/>
      <c r="M63" s="34" t="str">
        <f t="shared" si="25"/>
        <v/>
      </c>
      <c r="N63" s="31"/>
      <c r="O63" s="34" t="str">
        <f t="shared" si="26"/>
        <v/>
      </c>
      <c r="P63" s="31"/>
      <c r="Q63" s="34" t="str">
        <f t="shared" si="27"/>
        <v/>
      </c>
      <c r="R63" s="31"/>
      <c r="S63" s="34" t="str">
        <f t="shared" si="28"/>
        <v/>
      </c>
      <c r="T63" s="31"/>
      <c r="U63" s="34" t="str">
        <f t="shared" si="29"/>
        <v/>
      </c>
      <c r="V63" s="56"/>
      <c r="W63" s="34" t="str">
        <f t="shared" si="30"/>
        <v/>
      </c>
      <c r="X63" s="31"/>
      <c r="Y63" s="34" t="str">
        <f t="shared" si="35"/>
        <v/>
      </c>
      <c r="Z63" s="31"/>
      <c r="AA63" s="34" t="str">
        <f t="shared" si="36"/>
        <v/>
      </c>
      <c r="AB63" s="31"/>
      <c r="AC63" s="34" t="str">
        <f t="shared" si="37"/>
        <v/>
      </c>
      <c r="AD63" s="31"/>
      <c r="AE63" s="34" t="str">
        <f t="shared" si="38"/>
        <v/>
      </c>
      <c r="AF63" s="56"/>
      <c r="AG63" s="34" t="str">
        <f t="shared" si="31"/>
        <v/>
      </c>
      <c r="AH63" s="31"/>
      <c r="AI63" s="34" t="str">
        <f t="shared" si="23"/>
        <v/>
      </c>
      <c r="AJ63" s="31"/>
      <c r="AK63" s="34" t="str">
        <f t="shared" si="32"/>
        <v/>
      </c>
      <c r="AL63" s="31"/>
      <c r="AM63" s="34" t="str">
        <f t="shared" si="39"/>
        <v/>
      </c>
      <c r="AN63" s="31"/>
      <c r="AO63" s="34" t="str">
        <f t="shared" si="19"/>
        <v/>
      </c>
      <c r="AP63" s="31"/>
      <c r="AQ63" s="34" t="str">
        <f t="shared" si="33"/>
        <v/>
      </c>
      <c r="AR63" s="31"/>
      <c r="AS63" s="34" t="str">
        <f t="shared" si="34"/>
        <v/>
      </c>
      <c r="AT63" s="31"/>
      <c r="AU63" s="34" t="str">
        <f t="shared" si="19"/>
        <v/>
      </c>
      <c r="AV63" s="31"/>
      <c r="AW63" s="34" t="str">
        <f t="shared" si="20"/>
        <v/>
      </c>
      <c r="AX63" s="31"/>
      <c r="AY63" s="34" t="str">
        <f t="shared" si="40"/>
        <v/>
      </c>
      <c r="AZ63" s="31"/>
      <c r="BA63" s="34" t="str">
        <f t="shared" si="41"/>
        <v/>
      </c>
      <c r="BB63" s="21" t="s">
        <v>379</v>
      </c>
    </row>
    <row r="64" spans="1:54" ht="20" customHeight="1" x14ac:dyDescent="0.2">
      <c r="A64" s="678"/>
      <c r="B64" s="725"/>
      <c r="C64" s="258"/>
      <c r="D64" s="722" t="s">
        <v>85</v>
      </c>
      <c r="E64" s="723" t="s">
        <v>69</v>
      </c>
      <c r="F64" s="723" t="s">
        <v>70</v>
      </c>
      <c r="G64" s="722">
        <v>2004</v>
      </c>
      <c r="H64" s="287">
        <v>61</v>
      </c>
      <c r="I64" s="65">
        <v>15</v>
      </c>
      <c r="J64" s="61" t="s">
        <v>183</v>
      </c>
      <c r="K64" s="62" t="s">
        <v>191</v>
      </c>
      <c r="L64" s="31"/>
      <c r="M64" s="34" t="str">
        <f t="shared" si="25"/>
        <v/>
      </c>
      <c r="N64" s="31"/>
      <c r="O64" s="34" t="str">
        <f t="shared" si="26"/>
        <v/>
      </c>
      <c r="P64" s="31"/>
      <c r="Q64" s="34" t="str">
        <f t="shared" si="27"/>
        <v/>
      </c>
      <c r="R64" s="31"/>
      <c r="S64" s="34" t="str">
        <f t="shared" si="28"/>
        <v/>
      </c>
      <c r="T64" s="31"/>
      <c r="U64" s="34" t="str">
        <f t="shared" si="29"/>
        <v/>
      </c>
      <c r="V64" s="56">
        <v>13</v>
      </c>
      <c r="W64" s="34">
        <f t="shared" si="30"/>
        <v>86.666666666666671</v>
      </c>
      <c r="X64" s="31"/>
      <c r="Y64" s="34" t="str">
        <f>IF((ISERROR((X64/$I64)*100)), "", IF(AND(NOT(ISERROR((X64/$I64)*100)),((X64/$I64)*100) &lt;&gt; 0), (X64/$I64)*100, ""))</f>
        <v/>
      </c>
      <c r="Z64" s="31"/>
      <c r="AA64" s="34" t="str">
        <f>IF((ISERROR((Z64/$I64)*100)), "", IF(AND(NOT(ISERROR((Z64/$I64)*100)),((Z64/$I64)*100) &lt;&gt; 0), (Z64/$I64)*100, ""))</f>
        <v/>
      </c>
      <c r="AB64" s="31"/>
      <c r="AC64" s="34" t="str">
        <f>IF((ISERROR((AB64/$I64)*100)), "", IF(AND(NOT(ISERROR((AB64/$I64)*100)),((AB64/$I64)*100) &lt;&gt; 0), (AB64/$I64)*100, ""))</f>
        <v/>
      </c>
      <c r="AD64" s="31"/>
      <c r="AE64" s="34" t="str">
        <f>IF((ISERROR((AD64/$I64)*100)), "", IF(AND(NOT(ISERROR((AD64/$I64)*100)),((AD64/$I64)*100) &lt;&gt; 0), (AD64/$I64)*100, ""))</f>
        <v/>
      </c>
      <c r="AF64" s="56"/>
      <c r="AG64" s="34" t="str">
        <f t="shared" si="31"/>
        <v/>
      </c>
      <c r="AH64" s="31"/>
      <c r="AI64" s="34" t="str">
        <f>IF((ISERROR((AH64/$I64)*100)), "", IF(AND(NOT(ISERROR((AH64/$I64)*100)),((AH64/$I64)*100) &lt;&gt; 0), (AH64/$I64)*100, ""))</f>
        <v/>
      </c>
      <c r="AJ64" s="31"/>
      <c r="AK64" s="34" t="str">
        <f t="shared" si="32"/>
        <v/>
      </c>
      <c r="AL64" s="31"/>
      <c r="AM64" s="34" t="str">
        <f>IF((ISERROR((AL64/$I64)*100)), "", IF(AND(NOT(ISERROR((AL64/$I64)*100)),((AL64/$I64)*100) &lt;&gt; 0), (AL64/$I64)*100, ""))</f>
        <v/>
      </c>
      <c r="AN64" s="31"/>
      <c r="AO64" s="34" t="str">
        <f>IF((ISERROR((AN64/$I64)*100)), "", IF(AND(NOT(ISERROR((AN64/$I64)*100)),((AN64/$I64)*100) &lt;&gt; 0), (AN64/$I64)*100, ""))</f>
        <v/>
      </c>
      <c r="AP64" s="31"/>
      <c r="AQ64" s="34" t="str">
        <f t="shared" si="33"/>
        <v/>
      </c>
      <c r="AR64" s="31"/>
      <c r="AS64" s="34" t="str">
        <f t="shared" si="34"/>
        <v/>
      </c>
      <c r="AT64" s="31"/>
      <c r="AU64" s="34" t="str">
        <f t="shared" si="19"/>
        <v/>
      </c>
      <c r="AV64" s="31"/>
      <c r="AW64" s="34" t="str">
        <f t="shared" si="20"/>
        <v/>
      </c>
      <c r="AX64" s="31"/>
      <c r="AY64" s="34" t="str">
        <f t="shared" si="40"/>
        <v/>
      </c>
      <c r="AZ64" s="31"/>
      <c r="BA64" s="34" t="str">
        <f t="shared" si="41"/>
        <v/>
      </c>
      <c r="BB64" s="21" t="s">
        <v>410</v>
      </c>
    </row>
    <row r="65" spans="1:54" ht="20" customHeight="1" x14ac:dyDescent="0.2">
      <c r="A65" s="678"/>
      <c r="B65" s="725"/>
      <c r="C65" s="253"/>
      <c r="D65" s="727" t="s">
        <v>85</v>
      </c>
      <c r="E65" s="728" t="s">
        <v>71</v>
      </c>
      <c r="F65" s="728" t="s">
        <v>70</v>
      </c>
      <c r="G65" s="727">
        <v>2004</v>
      </c>
      <c r="H65" s="729">
        <v>45</v>
      </c>
      <c r="I65" s="65">
        <v>15</v>
      </c>
      <c r="J65" s="61" t="s">
        <v>183</v>
      </c>
      <c r="K65" s="62" t="s">
        <v>191</v>
      </c>
      <c r="L65" s="31"/>
      <c r="M65" s="34" t="str">
        <f t="shared" si="25"/>
        <v/>
      </c>
      <c r="N65" s="31"/>
      <c r="O65" s="34" t="str">
        <f t="shared" si="26"/>
        <v/>
      </c>
      <c r="P65" s="31"/>
      <c r="Q65" s="34" t="str">
        <f t="shared" si="27"/>
        <v/>
      </c>
      <c r="R65" s="31"/>
      <c r="S65" s="34" t="str">
        <f t="shared" si="28"/>
        <v/>
      </c>
      <c r="T65" s="31"/>
      <c r="U65" s="34" t="str">
        <f t="shared" si="29"/>
        <v/>
      </c>
      <c r="V65" s="56"/>
      <c r="W65" s="34" t="str">
        <f t="shared" si="30"/>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56"/>
      <c r="AG65" s="34" t="str">
        <f t="shared" si="31"/>
        <v/>
      </c>
      <c r="AH65" s="31"/>
      <c r="AI65" s="34" t="str">
        <f>IF((ISERROR((AH65/$I65)*100)), "", IF(AND(NOT(ISERROR((AH65/$I65)*100)),((AH65/$I65)*100) &lt;&gt; 0), (AH65/$I65)*100, ""))</f>
        <v/>
      </c>
      <c r="AJ65" s="31"/>
      <c r="AK65" s="34" t="str">
        <f t="shared" si="32"/>
        <v/>
      </c>
      <c r="AL65" s="31"/>
      <c r="AM65" s="34" t="str">
        <f>IF((ISERROR((AL65/$I65)*100)), "", IF(AND(NOT(ISERROR((AL65/$I65)*100)),((AL65/$I65)*100) &lt;&gt; 0), (AL65/$I65)*100, ""))</f>
        <v/>
      </c>
      <c r="AN65" s="31"/>
      <c r="AO65" s="34" t="str">
        <f>IF((ISERROR((AN65/$I65)*100)), "", IF(AND(NOT(ISERROR((AN65/$I65)*100)),((AN65/$I65)*100) &lt;&gt; 0), (AN65/$I65)*100, ""))</f>
        <v/>
      </c>
      <c r="AP65" s="31"/>
      <c r="AQ65" s="34" t="str">
        <f t="shared" si="33"/>
        <v/>
      </c>
      <c r="AR65" s="31"/>
      <c r="AS65" s="34" t="str">
        <f t="shared" si="34"/>
        <v/>
      </c>
      <c r="AT65" s="31"/>
      <c r="AU65" s="34" t="str">
        <f t="shared" si="19"/>
        <v/>
      </c>
      <c r="AV65" s="31"/>
      <c r="AW65" s="34" t="str">
        <f t="shared" si="20"/>
        <v/>
      </c>
      <c r="AX65" s="31"/>
      <c r="AY65" s="34" t="str">
        <f t="shared" si="40"/>
        <v/>
      </c>
      <c r="AZ65" s="31"/>
      <c r="BA65" s="34" t="str">
        <f t="shared" si="41"/>
        <v/>
      </c>
      <c r="BB65" s="21" t="s">
        <v>411</v>
      </c>
    </row>
    <row r="66" spans="1:54" ht="20" customHeight="1" x14ac:dyDescent="0.2">
      <c r="A66" s="678"/>
      <c r="B66" s="725"/>
      <c r="C66" s="255"/>
      <c r="D66" s="722"/>
      <c r="E66" s="723" t="s">
        <v>276</v>
      </c>
      <c r="F66" s="723" t="s">
        <v>279</v>
      </c>
      <c r="G66" s="722">
        <v>2008</v>
      </c>
      <c r="H66" s="287"/>
      <c r="I66" s="65"/>
      <c r="J66" s="61"/>
      <c r="K66" s="62" t="s">
        <v>348</v>
      </c>
      <c r="L66" s="31"/>
      <c r="M66" s="34" t="str">
        <f t="shared" si="25"/>
        <v/>
      </c>
      <c r="N66" s="31"/>
      <c r="O66" s="34" t="str">
        <f t="shared" si="26"/>
        <v/>
      </c>
      <c r="P66" s="31"/>
      <c r="Q66" s="34" t="str">
        <f t="shared" si="27"/>
        <v/>
      </c>
      <c r="R66" s="31"/>
      <c r="S66" s="34" t="str">
        <f t="shared" si="28"/>
        <v/>
      </c>
      <c r="T66" s="31">
        <v>2</v>
      </c>
      <c r="U66" s="34" t="str">
        <f t="shared" si="29"/>
        <v/>
      </c>
      <c r="V66" s="56"/>
      <c r="W66" s="34" t="str">
        <f t="shared" si="30"/>
        <v/>
      </c>
      <c r="X66" s="31"/>
      <c r="Y66" s="34" t="str">
        <f t="shared" si="35"/>
        <v/>
      </c>
      <c r="Z66" s="31"/>
      <c r="AA66" s="34" t="str">
        <f t="shared" si="36"/>
        <v/>
      </c>
      <c r="AB66" s="31"/>
      <c r="AC66" s="34" t="str">
        <f t="shared" si="37"/>
        <v/>
      </c>
      <c r="AD66" s="31"/>
      <c r="AE66" s="34" t="str">
        <f t="shared" si="38"/>
        <v/>
      </c>
      <c r="AF66" s="56"/>
      <c r="AG66" s="34" t="str">
        <f t="shared" si="31"/>
        <v/>
      </c>
      <c r="AH66" s="31"/>
      <c r="AI66" s="34" t="str">
        <f t="shared" si="23"/>
        <v/>
      </c>
      <c r="AJ66" s="31"/>
      <c r="AK66" s="34" t="str">
        <f t="shared" si="32"/>
        <v/>
      </c>
      <c r="AL66" s="31"/>
      <c r="AM66" s="34" t="str">
        <f t="shared" si="39"/>
        <v/>
      </c>
      <c r="AN66" s="31"/>
      <c r="AO66" s="34" t="str">
        <f t="shared" si="19"/>
        <v/>
      </c>
      <c r="AP66" s="31"/>
      <c r="AQ66" s="34" t="str">
        <f t="shared" si="33"/>
        <v/>
      </c>
      <c r="AR66" s="31"/>
      <c r="AS66" s="34" t="str">
        <f t="shared" si="34"/>
        <v/>
      </c>
      <c r="AT66" s="31"/>
      <c r="AU66" s="34" t="str">
        <f t="shared" si="19"/>
        <v/>
      </c>
      <c r="AV66" s="31"/>
      <c r="AW66" s="34" t="str">
        <f t="shared" si="20"/>
        <v/>
      </c>
      <c r="AX66" s="31"/>
      <c r="AY66" s="34" t="str">
        <f t="shared" si="40"/>
        <v/>
      </c>
      <c r="AZ66" s="31"/>
      <c r="BA66" s="34" t="str">
        <f t="shared" si="41"/>
        <v/>
      </c>
    </row>
    <row r="67" spans="1:54" ht="20" customHeight="1" x14ac:dyDescent="0.2">
      <c r="A67" s="678"/>
      <c r="B67" s="725"/>
      <c r="C67" s="253"/>
      <c r="D67" s="722" t="s">
        <v>85</v>
      </c>
      <c r="E67" s="723" t="s">
        <v>277</v>
      </c>
      <c r="F67" s="723" t="s">
        <v>278</v>
      </c>
      <c r="G67" s="722">
        <v>2013</v>
      </c>
      <c r="H67" s="287"/>
      <c r="I67" s="65">
        <v>23</v>
      </c>
      <c r="J67" s="61"/>
      <c r="K67" s="62"/>
      <c r="L67" s="31"/>
      <c r="M67" s="34" t="str">
        <f t="shared" si="25"/>
        <v/>
      </c>
      <c r="N67" s="31"/>
      <c r="O67" s="34" t="str">
        <f t="shared" si="26"/>
        <v/>
      </c>
      <c r="P67" s="31"/>
      <c r="Q67" s="34" t="str">
        <f t="shared" si="27"/>
        <v/>
      </c>
      <c r="R67" s="31"/>
      <c r="S67" s="34" t="str">
        <f t="shared" si="28"/>
        <v/>
      </c>
      <c r="T67" s="31"/>
      <c r="U67" s="34" t="str">
        <f t="shared" si="29"/>
        <v/>
      </c>
      <c r="V67" s="56"/>
      <c r="W67" s="34" t="str">
        <f t="shared" si="30"/>
        <v/>
      </c>
      <c r="X67" s="31"/>
      <c r="Y67" s="34" t="str">
        <f>IF((ISERROR((X67/$I67)*100)), "", IF(AND(NOT(ISERROR((X67/$I67)*100)),((X67/$I67)*100) &lt;&gt; 0), (X67/$I67)*100, ""))</f>
        <v/>
      </c>
      <c r="Z67" s="31"/>
      <c r="AA67" s="34" t="str">
        <f>IF((ISERROR((Z67/$I67)*100)), "", IF(AND(NOT(ISERROR((Z67/$I67)*100)),((Z67/$I67)*100) &lt;&gt; 0), (Z67/$I67)*100, ""))</f>
        <v/>
      </c>
      <c r="AB67" s="31"/>
      <c r="AC67" s="34" t="str">
        <f>IF((ISERROR((AB67/$I67)*100)), "", IF(AND(NOT(ISERROR((AB67/$I67)*100)),((AB67/$I67)*100) &lt;&gt; 0), (AB67/$I67)*100, ""))</f>
        <v/>
      </c>
      <c r="AD67" s="31"/>
      <c r="AE67" s="34" t="str">
        <f>IF((ISERROR((AD67/$I67)*100)), "", IF(AND(NOT(ISERROR((AD67/$I67)*100)),((AD67/$I67)*100) &lt;&gt; 0), (AD67/$I67)*100, ""))</f>
        <v/>
      </c>
      <c r="AF67" s="56"/>
      <c r="AG67" s="34" t="str">
        <f t="shared" si="31"/>
        <v/>
      </c>
      <c r="AH67" s="31"/>
      <c r="AI67" s="34" t="str">
        <f>IF((ISERROR((AH67/$I67)*100)), "", IF(AND(NOT(ISERROR((AH67/$I67)*100)),((AH67/$I67)*100) &lt;&gt; 0), (AH67/$I67)*100, ""))</f>
        <v/>
      </c>
      <c r="AJ67" s="31"/>
      <c r="AK67" s="34" t="str">
        <f t="shared" si="32"/>
        <v/>
      </c>
      <c r="AL67" s="31"/>
      <c r="AM67" s="34" t="str">
        <f>IF((ISERROR((AL67/$I67)*100)), "", IF(AND(NOT(ISERROR((AL67/$I67)*100)),((AL67/$I67)*100) &lt;&gt; 0), (AL67/$I67)*100, ""))</f>
        <v/>
      </c>
      <c r="AN67" s="31"/>
      <c r="AO67" s="34" t="str">
        <f>IF((ISERROR((AN67/$I67)*100)), "", IF(AND(NOT(ISERROR((AN67/$I67)*100)),((AN67/$I67)*100) &lt;&gt; 0), (AN67/$I67)*100, ""))</f>
        <v/>
      </c>
      <c r="AP67" s="31"/>
      <c r="AQ67" s="34" t="str">
        <f t="shared" si="33"/>
        <v/>
      </c>
      <c r="AR67" s="31"/>
      <c r="AS67" s="34" t="str">
        <f t="shared" si="34"/>
        <v/>
      </c>
      <c r="AT67" s="31"/>
      <c r="AU67" s="34" t="str">
        <f t="shared" si="19"/>
        <v/>
      </c>
      <c r="AV67" s="31"/>
      <c r="AW67" s="34" t="str">
        <f t="shared" si="20"/>
        <v/>
      </c>
      <c r="AX67" s="31"/>
      <c r="AY67" s="34" t="str">
        <f t="shared" si="40"/>
        <v/>
      </c>
      <c r="AZ67" s="31"/>
      <c r="BA67" s="34" t="str">
        <f t="shared" si="41"/>
        <v/>
      </c>
      <c r="BB67" s="21" t="s">
        <v>412</v>
      </c>
    </row>
    <row r="68" spans="1:54" ht="20" customHeight="1" x14ac:dyDescent="0.2">
      <c r="A68" s="680"/>
      <c r="B68" s="721"/>
      <c r="C68" s="253"/>
      <c r="D68" s="722" t="s">
        <v>85</v>
      </c>
      <c r="E68" s="723" t="s">
        <v>639</v>
      </c>
      <c r="F68" s="723" t="s">
        <v>640</v>
      </c>
      <c r="G68" s="722">
        <v>2005</v>
      </c>
      <c r="H68" s="287"/>
      <c r="I68" s="701">
        <v>8</v>
      </c>
      <c r="J68" s="232" t="s">
        <v>641</v>
      </c>
      <c r="K68" s="250"/>
      <c r="L68" s="31"/>
      <c r="M68" s="34"/>
      <c r="N68" s="31"/>
      <c r="O68" s="34"/>
      <c r="P68" s="31"/>
      <c r="Q68" s="34"/>
      <c r="R68" s="31"/>
      <c r="S68" s="34"/>
      <c r="T68" s="31"/>
      <c r="U68" s="34"/>
      <c r="V68" s="56"/>
      <c r="W68" s="34"/>
      <c r="X68" s="31"/>
      <c r="Y68" s="34"/>
      <c r="Z68" s="31"/>
      <c r="AA68" s="34"/>
      <c r="AB68" s="31"/>
      <c r="AC68" s="34"/>
      <c r="AD68" s="31"/>
      <c r="AE68" s="34"/>
      <c r="AF68" s="56"/>
      <c r="AG68" s="34"/>
      <c r="AH68" s="31"/>
      <c r="AI68" s="34"/>
      <c r="AJ68" s="31"/>
      <c r="AK68" s="34"/>
      <c r="AL68" s="31"/>
      <c r="AM68" s="34"/>
      <c r="AN68" s="31"/>
      <c r="AO68" s="34"/>
      <c r="AP68" s="31"/>
      <c r="AQ68" s="34"/>
      <c r="AR68" s="31"/>
      <c r="AS68" s="34"/>
      <c r="AT68" s="31"/>
      <c r="AU68" s="34"/>
      <c r="AV68" s="31"/>
      <c r="AW68" s="34"/>
      <c r="AX68" s="31"/>
      <c r="AY68" s="34"/>
      <c r="AZ68" s="31"/>
      <c r="BA68" s="34"/>
    </row>
    <row r="69" spans="1:54" ht="20" customHeight="1" x14ac:dyDescent="0.2">
      <c r="A69" s="678"/>
      <c r="B69" s="721"/>
      <c r="C69" s="722"/>
      <c r="D69" s="727" t="s">
        <v>85</v>
      </c>
      <c r="E69" s="728" t="s">
        <v>349</v>
      </c>
      <c r="F69" s="728" t="s">
        <v>72</v>
      </c>
      <c r="G69" s="727">
        <v>2014</v>
      </c>
      <c r="H69" s="729">
        <v>23</v>
      </c>
      <c r="I69" s="65">
        <v>28</v>
      </c>
      <c r="J69" s="61" t="s">
        <v>184</v>
      </c>
      <c r="K69" s="62" t="s">
        <v>192</v>
      </c>
      <c r="L69" s="31"/>
      <c r="M69" s="34" t="str">
        <f t="shared" si="25"/>
        <v/>
      </c>
      <c r="N69" s="31"/>
      <c r="O69" s="34" t="str">
        <f t="shared" si="26"/>
        <v/>
      </c>
      <c r="P69" s="31"/>
      <c r="Q69" s="34" t="str">
        <f t="shared" si="27"/>
        <v/>
      </c>
      <c r="R69" s="31"/>
      <c r="S69" s="34" t="str">
        <f t="shared" si="28"/>
        <v/>
      </c>
      <c r="T69" s="31"/>
      <c r="U69" s="34" t="str">
        <f t="shared" si="29"/>
        <v/>
      </c>
      <c r="V69" s="56"/>
      <c r="W69" s="34" t="str">
        <f t="shared" si="30"/>
        <v/>
      </c>
      <c r="X69" s="31"/>
      <c r="Y69" s="34" t="str">
        <f>IF((ISERROR((X69/$I69)*100)), "", IF(AND(NOT(ISERROR((X69/$I69)*100)),((X69/$I69)*100) &lt;&gt; 0), (X69/$I69)*100, ""))</f>
        <v/>
      </c>
      <c r="Z69" s="31"/>
      <c r="AA69" s="34" t="str">
        <f>IF((ISERROR((Z69/$I69)*100)), "", IF(AND(NOT(ISERROR((Z69/$I69)*100)),((Z69/$I69)*100) &lt;&gt; 0), (Z69/$I69)*100, ""))</f>
        <v/>
      </c>
      <c r="AB69" s="31"/>
      <c r="AC69" s="34" t="str">
        <f>IF((ISERROR((AB69/$I69)*100)), "", IF(AND(NOT(ISERROR((AB69/$I69)*100)),((AB69/$I69)*100) &lt;&gt; 0), (AB69/$I69)*100, ""))</f>
        <v/>
      </c>
      <c r="AD69" s="31"/>
      <c r="AE69" s="34" t="str">
        <f>IF((ISERROR((AD69/$I69)*100)), "", IF(AND(NOT(ISERROR((AD69/$I69)*100)),((AD69/$I69)*100) &lt;&gt; 0), (AD69/$I69)*100, ""))</f>
        <v/>
      </c>
      <c r="AF69" s="56"/>
      <c r="AG69" s="34" t="str">
        <f t="shared" si="31"/>
        <v/>
      </c>
      <c r="AH69" s="31"/>
      <c r="AI69" s="34" t="str">
        <f>IF((ISERROR((AH69/$I69)*100)), "", IF(AND(NOT(ISERROR((AH69/$I69)*100)),((AH69/$I69)*100) &lt;&gt; 0), (AH69/$I69)*100, ""))</f>
        <v/>
      </c>
      <c r="AJ69" s="31"/>
      <c r="AK69" s="34" t="str">
        <f t="shared" si="32"/>
        <v/>
      </c>
      <c r="AL69" s="31"/>
      <c r="AM69" s="34" t="str">
        <f>IF((ISERROR((AL69/$I69)*100)), "", IF(AND(NOT(ISERROR((AL69/$I69)*100)),((AL69/$I69)*100) &lt;&gt; 0), (AL69/$I69)*100, ""))</f>
        <v/>
      </c>
      <c r="AN69" s="31"/>
      <c r="AO69" s="34" t="str">
        <f>IF((ISERROR((AN69/$I69)*100)), "", IF(AND(NOT(ISERROR((AN69/$I69)*100)),((AN69/$I69)*100) &lt;&gt; 0), (AN69/$I69)*100, ""))</f>
        <v/>
      </c>
      <c r="AP69" s="31"/>
      <c r="AQ69" s="34" t="str">
        <f t="shared" si="33"/>
        <v/>
      </c>
      <c r="AR69" s="31"/>
      <c r="AS69" s="34" t="str">
        <f t="shared" si="34"/>
        <v/>
      </c>
      <c r="AT69" s="31"/>
      <c r="AU69" s="34" t="str">
        <f t="shared" si="19"/>
        <v/>
      </c>
      <c r="AV69" s="31"/>
      <c r="AW69" s="34" t="str">
        <f t="shared" si="20"/>
        <v/>
      </c>
      <c r="AX69" s="31"/>
      <c r="AY69" s="34" t="str">
        <f t="shared" si="40"/>
        <v/>
      </c>
      <c r="AZ69" s="31"/>
      <c r="BA69" s="34" t="str">
        <f t="shared" si="41"/>
        <v/>
      </c>
      <c r="BB69" s="21" t="s">
        <v>413</v>
      </c>
    </row>
    <row r="70" spans="1:54" ht="20" customHeight="1" x14ac:dyDescent="0.2">
      <c r="A70" s="678"/>
      <c r="B70" s="725"/>
      <c r="C70" s="255"/>
      <c r="D70" s="722" t="s">
        <v>85</v>
      </c>
      <c r="E70" s="723" t="s">
        <v>280</v>
      </c>
      <c r="F70" s="723" t="s">
        <v>281</v>
      </c>
      <c r="G70" s="722">
        <v>2014</v>
      </c>
      <c r="H70" s="287"/>
      <c r="I70" s="65">
        <v>28</v>
      </c>
      <c r="J70" s="61" t="s">
        <v>184</v>
      </c>
      <c r="K70" s="62" t="s">
        <v>192</v>
      </c>
      <c r="L70" s="31"/>
      <c r="M70" s="34" t="str">
        <f t="shared" si="25"/>
        <v/>
      </c>
      <c r="N70" s="31"/>
      <c r="O70" s="34" t="str">
        <f t="shared" si="26"/>
        <v/>
      </c>
      <c r="P70" s="31"/>
      <c r="Q70" s="34" t="str">
        <f t="shared" si="27"/>
        <v/>
      </c>
      <c r="R70" s="31"/>
      <c r="S70" s="34" t="str">
        <f t="shared" si="28"/>
        <v/>
      </c>
      <c r="T70" s="31"/>
      <c r="U70" s="34" t="str">
        <f t="shared" si="29"/>
        <v/>
      </c>
      <c r="V70" s="56">
        <v>3</v>
      </c>
      <c r="W70" s="34">
        <f t="shared" si="30"/>
        <v>10.714285714285714</v>
      </c>
      <c r="X70" s="31"/>
      <c r="Y70" s="34" t="str">
        <f>IF((ISERROR((X70/$I70)*100)), "", IF(AND(NOT(ISERROR((X70/$I70)*100)),((X70/$I70)*100) &lt;&gt; 0), (X70/$I70)*100, ""))</f>
        <v/>
      </c>
      <c r="Z70" s="31"/>
      <c r="AA70" s="34" t="str">
        <f>IF((ISERROR((Z70/$I70)*100)), "", IF(AND(NOT(ISERROR((Z70/$I70)*100)),((Z70/$I70)*100) &lt;&gt; 0), (Z70/$I70)*100, ""))</f>
        <v/>
      </c>
      <c r="AB70" s="31"/>
      <c r="AC70" s="34" t="str">
        <f>IF((ISERROR((AB70/$I70)*100)), "", IF(AND(NOT(ISERROR((AB70/$I70)*100)),((AB70/$I70)*100) &lt;&gt; 0), (AB70/$I70)*100, ""))</f>
        <v/>
      </c>
      <c r="AD70" s="31"/>
      <c r="AE70" s="34" t="str">
        <f>IF((ISERROR((AD70/$I70)*100)), "", IF(AND(NOT(ISERROR((AD70/$I70)*100)),((AD70/$I70)*100) &lt;&gt; 0), (AD70/$I70)*100, ""))</f>
        <v/>
      </c>
      <c r="AF70" s="56">
        <v>5</v>
      </c>
      <c r="AG70" s="34">
        <f t="shared" si="31"/>
        <v>17.857142857142858</v>
      </c>
      <c r="AH70" s="31">
        <v>3</v>
      </c>
      <c r="AI70" s="34">
        <f>IF((ISERROR((AH70/$I70)*100)), "", IF(AND(NOT(ISERROR((AH70/$I70)*100)),((AH70/$I70)*100) &lt;&gt; 0), (AH70/$I70)*100, ""))</f>
        <v>10.714285714285714</v>
      </c>
      <c r="AJ70" s="31"/>
      <c r="AK70" s="34" t="str">
        <f t="shared" si="32"/>
        <v/>
      </c>
      <c r="AL70" s="31"/>
      <c r="AM70" s="34" t="str">
        <f>IF((ISERROR((AL70/$I70)*100)), "", IF(AND(NOT(ISERROR((AL70/$I70)*100)),((AL70/$I70)*100) &lt;&gt; 0), (AL70/$I70)*100, ""))</f>
        <v/>
      </c>
      <c r="AN70" s="31"/>
      <c r="AO70" s="34" t="str">
        <f>IF((ISERROR((AN70/$I70)*100)), "", IF(AND(NOT(ISERROR((AN70/$I70)*100)),((AN70/$I70)*100) &lt;&gt; 0), (AN70/$I70)*100, ""))</f>
        <v/>
      </c>
      <c r="AP70" s="31">
        <v>4</v>
      </c>
      <c r="AQ70" s="34">
        <f t="shared" si="33"/>
        <v>14.285714285714285</v>
      </c>
      <c r="AR70" s="31"/>
      <c r="AS70" s="34" t="str">
        <f t="shared" si="34"/>
        <v/>
      </c>
      <c r="AT70" s="31"/>
      <c r="AU70" s="34" t="str">
        <f t="shared" si="19"/>
        <v/>
      </c>
      <c r="AV70" s="31"/>
      <c r="AW70" s="34" t="str">
        <f t="shared" si="20"/>
        <v/>
      </c>
      <c r="AX70" s="31"/>
      <c r="AY70" s="34" t="str">
        <f t="shared" si="40"/>
        <v/>
      </c>
      <c r="AZ70" s="31"/>
      <c r="BA70" s="34" t="str">
        <f t="shared" si="41"/>
        <v/>
      </c>
      <c r="BB70" s="21" t="s">
        <v>350</v>
      </c>
    </row>
    <row r="71" spans="1:54" ht="20" customHeight="1" x14ac:dyDescent="0.2">
      <c r="A71" s="678"/>
      <c r="B71" s="725"/>
      <c r="C71" s="722"/>
      <c r="D71" s="727" t="s">
        <v>35</v>
      </c>
      <c r="E71" s="728" t="s">
        <v>73</v>
      </c>
      <c r="F71" s="728" t="s">
        <v>74</v>
      </c>
      <c r="G71" s="727">
        <v>2015</v>
      </c>
      <c r="H71" s="729">
        <v>6</v>
      </c>
      <c r="I71" s="65"/>
      <c r="J71" s="61"/>
      <c r="K71" s="62"/>
      <c r="L71" s="31"/>
      <c r="M71" s="34" t="str">
        <f t="shared" si="25"/>
        <v/>
      </c>
      <c r="N71" s="31"/>
      <c r="O71" s="34" t="str">
        <f t="shared" si="26"/>
        <v/>
      </c>
      <c r="P71" s="31"/>
      <c r="Q71" s="34" t="str">
        <f t="shared" si="27"/>
        <v/>
      </c>
      <c r="R71" s="31"/>
      <c r="S71" s="34" t="str">
        <f t="shared" si="28"/>
        <v/>
      </c>
      <c r="T71" s="31"/>
      <c r="U71" s="34" t="str">
        <f t="shared" si="29"/>
        <v/>
      </c>
      <c r="V71" s="56"/>
      <c r="W71" s="34" t="str">
        <f t="shared" si="30"/>
        <v/>
      </c>
      <c r="X71" s="31"/>
      <c r="Y71" s="34" t="str">
        <f t="shared" si="35"/>
        <v/>
      </c>
      <c r="Z71" s="31"/>
      <c r="AA71" s="34" t="str">
        <f t="shared" si="36"/>
        <v/>
      </c>
      <c r="AB71" s="31"/>
      <c r="AC71" s="34" t="str">
        <f t="shared" si="37"/>
        <v/>
      </c>
      <c r="AD71" s="31"/>
      <c r="AE71" s="34" t="str">
        <f t="shared" si="38"/>
        <v/>
      </c>
      <c r="AF71" s="56"/>
      <c r="AG71" s="34" t="str">
        <f t="shared" si="31"/>
        <v/>
      </c>
      <c r="AH71" s="31"/>
      <c r="AI71" s="34" t="str">
        <f t="shared" si="23"/>
        <v/>
      </c>
      <c r="AJ71" s="31"/>
      <c r="AK71" s="34" t="str">
        <f t="shared" si="32"/>
        <v/>
      </c>
      <c r="AL71" s="31"/>
      <c r="AM71" s="34" t="str">
        <f t="shared" si="39"/>
        <v/>
      </c>
      <c r="AN71" s="31"/>
      <c r="AO71" s="34" t="str">
        <f t="shared" si="19"/>
        <v/>
      </c>
      <c r="AP71" s="31"/>
      <c r="AQ71" s="34" t="str">
        <f t="shared" si="33"/>
        <v/>
      </c>
      <c r="AR71" s="31"/>
      <c r="AS71" s="34" t="str">
        <f t="shared" si="34"/>
        <v/>
      </c>
      <c r="AT71" s="31"/>
      <c r="AU71" s="34" t="str">
        <f t="shared" si="19"/>
        <v/>
      </c>
      <c r="AV71" s="31"/>
      <c r="AW71" s="34" t="str">
        <f t="shared" si="20"/>
        <v/>
      </c>
      <c r="AX71" s="31"/>
      <c r="AY71" s="34" t="str">
        <f t="shared" si="40"/>
        <v/>
      </c>
      <c r="AZ71" s="31"/>
      <c r="BA71" s="34" t="str">
        <f t="shared" si="41"/>
        <v/>
      </c>
    </row>
    <row r="72" spans="1:54" ht="20" customHeight="1" x14ac:dyDescent="0.2">
      <c r="A72" s="678"/>
      <c r="B72" s="725"/>
      <c r="C72" s="722"/>
      <c r="D72" s="727" t="s">
        <v>30</v>
      </c>
      <c r="E72" s="728" t="s">
        <v>75</v>
      </c>
      <c r="F72" s="728" t="s">
        <v>76</v>
      </c>
      <c r="G72" s="727">
        <v>2002</v>
      </c>
      <c r="H72" s="729">
        <v>434</v>
      </c>
      <c r="I72" s="65"/>
      <c r="J72" s="61" t="s">
        <v>185</v>
      </c>
      <c r="K72" s="62"/>
      <c r="L72" s="31"/>
      <c r="M72" s="34" t="str">
        <f t="shared" si="25"/>
        <v/>
      </c>
      <c r="N72" s="31"/>
      <c r="O72" s="34" t="str">
        <f t="shared" si="26"/>
        <v/>
      </c>
      <c r="P72" s="31"/>
      <c r="Q72" s="34" t="str">
        <f t="shared" si="27"/>
        <v/>
      </c>
      <c r="R72" s="31"/>
      <c r="S72" s="34" t="str">
        <f t="shared" si="28"/>
        <v/>
      </c>
      <c r="T72" s="36"/>
      <c r="U72" s="37" t="str">
        <f t="shared" si="29"/>
        <v/>
      </c>
      <c r="V72" s="56"/>
      <c r="W72" s="34" t="str">
        <f t="shared" si="30"/>
        <v/>
      </c>
      <c r="X72" s="31"/>
      <c r="Y72" s="34" t="str">
        <f t="shared" si="35"/>
        <v/>
      </c>
      <c r="Z72" s="31"/>
      <c r="AA72" s="34" t="str">
        <f t="shared" si="36"/>
        <v/>
      </c>
      <c r="AB72" s="31"/>
      <c r="AC72" s="34" t="str">
        <f t="shared" si="37"/>
        <v/>
      </c>
      <c r="AD72" s="31"/>
      <c r="AE72" s="34" t="str">
        <f t="shared" si="38"/>
        <v/>
      </c>
      <c r="AF72" s="56"/>
      <c r="AG72" s="34" t="str">
        <f t="shared" si="31"/>
        <v/>
      </c>
      <c r="AH72" s="31"/>
      <c r="AI72" s="34" t="str">
        <f t="shared" si="23"/>
        <v/>
      </c>
      <c r="AJ72" s="31"/>
      <c r="AK72" s="34" t="str">
        <f t="shared" si="32"/>
        <v/>
      </c>
      <c r="AL72" s="31"/>
      <c r="AM72" s="34" t="str">
        <f t="shared" si="39"/>
        <v/>
      </c>
      <c r="AN72" s="31"/>
      <c r="AO72" s="34" t="str">
        <f t="shared" si="19"/>
        <v/>
      </c>
      <c r="AP72" s="31"/>
      <c r="AQ72" s="34" t="str">
        <f t="shared" si="33"/>
        <v/>
      </c>
      <c r="AR72" s="31"/>
      <c r="AS72" s="34" t="str">
        <f t="shared" si="34"/>
        <v/>
      </c>
      <c r="AT72" s="31"/>
      <c r="AU72" s="34" t="str">
        <f t="shared" si="19"/>
        <v/>
      </c>
      <c r="AV72" s="31"/>
      <c r="AW72" s="34" t="str">
        <f t="shared" si="20"/>
        <v/>
      </c>
      <c r="AX72" s="31"/>
      <c r="AY72" s="34" t="str">
        <f t="shared" si="40"/>
        <v/>
      </c>
      <c r="AZ72" s="31"/>
      <c r="BA72" s="34" t="str">
        <f t="shared" si="41"/>
        <v/>
      </c>
      <c r="BB72" s="21" t="s">
        <v>186</v>
      </c>
    </row>
    <row r="73" spans="1:54" ht="20" customHeight="1" x14ac:dyDescent="0.2">
      <c r="A73" s="678"/>
      <c r="B73" s="725"/>
      <c r="C73" s="255"/>
      <c r="D73" s="722" t="s">
        <v>476</v>
      </c>
      <c r="E73" s="723" t="s">
        <v>77</v>
      </c>
      <c r="F73" s="723" t="s">
        <v>78</v>
      </c>
      <c r="G73" s="722">
        <v>2009</v>
      </c>
      <c r="H73" s="287">
        <v>134</v>
      </c>
      <c r="I73" s="65">
        <v>94</v>
      </c>
      <c r="J73" s="61" t="s">
        <v>474</v>
      </c>
      <c r="K73" s="62" t="s">
        <v>475</v>
      </c>
      <c r="L73" s="31">
        <v>3</v>
      </c>
      <c r="M73" s="34">
        <f t="shared" si="25"/>
        <v>3.1914893617021276</v>
      </c>
      <c r="N73" s="31"/>
      <c r="O73" s="34" t="str">
        <f t="shared" si="26"/>
        <v/>
      </c>
      <c r="P73" s="31"/>
      <c r="Q73" s="34" t="str">
        <f t="shared" si="27"/>
        <v/>
      </c>
      <c r="R73" s="31"/>
      <c r="S73" s="34" t="str">
        <f t="shared" si="28"/>
        <v/>
      </c>
      <c r="T73" s="31">
        <v>2</v>
      </c>
      <c r="U73" s="34">
        <f t="shared" si="29"/>
        <v>2.1276595744680851</v>
      </c>
      <c r="V73" s="56">
        <v>8</v>
      </c>
      <c r="W73" s="34">
        <f t="shared" si="30"/>
        <v>8.5106382978723403</v>
      </c>
      <c r="X73" s="31">
        <v>1</v>
      </c>
      <c r="Y73" s="34">
        <f t="shared" si="35"/>
        <v>1.0638297872340425</v>
      </c>
      <c r="Z73" s="31"/>
      <c r="AA73" s="34" t="str">
        <f t="shared" si="36"/>
        <v/>
      </c>
      <c r="AB73" s="31"/>
      <c r="AC73" s="34" t="str">
        <f t="shared" si="37"/>
        <v/>
      </c>
      <c r="AD73" s="31"/>
      <c r="AE73" s="34" t="str">
        <f t="shared" si="38"/>
        <v/>
      </c>
      <c r="AF73" s="56"/>
      <c r="AG73" s="34" t="str">
        <f t="shared" si="31"/>
        <v/>
      </c>
      <c r="AH73" s="31">
        <v>2</v>
      </c>
      <c r="AI73" s="34">
        <f t="shared" si="23"/>
        <v>2.1276595744680851</v>
      </c>
      <c r="AJ73" s="31"/>
      <c r="AK73" s="34" t="str">
        <f t="shared" si="32"/>
        <v/>
      </c>
      <c r="AL73" s="31">
        <v>3</v>
      </c>
      <c r="AM73" s="34">
        <f t="shared" si="39"/>
        <v>3.1914893617021276</v>
      </c>
      <c r="AN73" s="31"/>
      <c r="AO73" s="34" t="str">
        <f t="shared" si="19"/>
        <v/>
      </c>
      <c r="AP73" s="31">
        <v>4</v>
      </c>
      <c r="AQ73" s="34">
        <f t="shared" si="33"/>
        <v>4.2553191489361701</v>
      </c>
      <c r="AR73" s="31"/>
      <c r="AS73" s="34" t="str">
        <f t="shared" si="34"/>
        <v/>
      </c>
      <c r="AT73" s="31">
        <v>2</v>
      </c>
      <c r="AU73" s="34">
        <f t="shared" si="19"/>
        <v>2.1276595744680851</v>
      </c>
      <c r="AV73" s="31">
        <v>2</v>
      </c>
      <c r="AW73" s="34">
        <f t="shared" si="20"/>
        <v>2.1276595744680851</v>
      </c>
      <c r="AX73" s="31"/>
      <c r="AY73" s="34" t="str">
        <f t="shared" si="40"/>
        <v/>
      </c>
      <c r="AZ73" s="31"/>
      <c r="BA73" s="34" t="str">
        <f t="shared" si="41"/>
        <v/>
      </c>
      <c r="BB73" s="21" t="s">
        <v>477</v>
      </c>
    </row>
    <row r="74" spans="1:54" ht="20" customHeight="1" x14ac:dyDescent="0.2">
      <c r="A74" s="678"/>
      <c r="B74" s="725"/>
      <c r="C74" s="253"/>
      <c r="D74" s="722" t="s">
        <v>85</v>
      </c>
      <c r="E74" s="723" t="s">
        <v>282</v>
      </c>
      <c r="F74" s="723" t="s">
        <v>283</v>
      </c>
      <c r="G74" s="722">
        <v>2015</v>
      </c>
      <c r="H74" s="287"/>
      <c r="I74" s="65">
        <v>10</v>
      </c>
      <c r="J74" s="61" t="s">
        <v>340</v>
      </c>
      <c r="K74" s="62" t="s">
        <v>351</v>
      </c>
      <c r="L74" s="31"/>
      <c r="M74" s="34" t="str">
        <f t="shared" si="25"/>
        <v/>
      </c>
      <c r="N74" s="31"/>
      <c r="O74" s="34" t="str">
        <f t="shared" si="26"/>
        <v/>
      </c>
      <c r="P74" s="31"/>
      <c r="Q74" s="34" t="str">
        <f t="shared" si="27"/>
        <v/>
      </c>
      <c r="R74" s="31"/>
      <c r="S74" s="34" t="str">
        <f t="shared" si="28"/>
        <v/>
      </c>
      <c r="T74" s="31"/>
      <c r="U74" s="34" t="str">
        <f t="shared" si="29"/>
        <v/>
      </c>
      <c r="V74" s="56"/>
      <c r="W74" s="34" t="str">
        <f t="shared" si="30"/>
        <v/>
      </c>
      <c r="X74" s="31"/>
      <c r="Y74" s="34" t="str">
        <f>IF((ISERROR((X74/$I74)*100)), "", IF(AND(NOT(ISERROR((X74/$I74)*100)),((X74/$I74)*100) &lt;&gt; 0), (X74/$I74)*100, ""))</f>
        <v/>
      </c>
      <c r="Z74" s="31"/>
      <c r="AA74" s="34" t="str">
        <f>IF((ISERROR((Z74/$I74)*100)), "", IF(AND(NOT(ISERROR((Z74/$I74)*100)),((Z74/$I74)*100) &lt;&gt; 0), (Z74/$I74)*100, ""))</f>
        <v/>
      </c>
      <c r="AB74" s="31"/>
      <c r="AC74" s="34" t="str">
        <f>IF((ISERROR((AB74/$I74)*100)), "", IF(AND(NOT(ISERROR((AB74/$I74)*100)),((AB74/$I74)*100) &lt;&gt; 0), (AB74/$I74)*100, ""))</f>
        <v/>
      </c>
      <c r="AD74" s="31"/>
      <c r="AE74" s="34" t="str">
        <f>IF((ISERROR((AD74/$I74)*100)), "", IF(AND(NOT(ISERROR((AD74/$I74)*100)),((AD74/$I74)*100) &lt;&gt; 0), (AD74/$I74)*100, ""))</f>
        <v/>
      </c>
      <c r="AF74" s="56"/>
      <c r="AG74" s="34" t="str">
        <f t="shared" si="31"/>
        <v/>
      </c>
      <c r="AH74" s="31"/>
      <c r="AI74" s="34" t="str">
        <f>IF((ISERROR((AH74/$I74)*100)), "", IF(AND(NOT(ISERROR((AH74/$I74)*100)),((AH74/$I74)*100) &lt;&gt; 0), (AH74/$I74)*100, ""))</f>
        <v/>
      </c>
      <c r="AJ74" s="31"/>
      <c r="AK74" s="34" t="str">
        <f t="shared" si="32"/>
        <v/>
      </c>
      <c r="AL74" s="31"/>
      <c r="AM74" s="34" t="str">
        <f>IF((ISERROR((AL74/$I74)*100)), "", IF(AND(NOT(ISERROR((AL74/$I74)*100)),((AL74/$I74)*100) &lt;&gt; 0), (AL74/$I74)*100, ""))</f>
        <v/>
      </c>
      <c r="AN74" s="31"/>
      <c r="AO74" s="34" t="str">
        <f>IF((ISERROR((AN74/$I74)*100)), "", IF(AND(NOT(ISERROR((AN74/$I74)*100)),((AN74/$I74)*100) &lt;&gt; 0), (AN74/$I74)*100, ""))</f>
        <v/>
      </c>
      <c r="AP74" s="31"/>
      <c r="AQ74" s="34" t="str">
        <f t="shared" si="33"/>
        <v/>
      </c>
      <c r="AR74" s="31"/>
      <c r="AS74" s="34" t="str">
        <f t="shared" si="34"/>
        <v/>
      </c>
      <c r="AT74" s="31"/>
      <c r="AU74" s="34" t="str">
        <f t="shared" si="19"/>
        <v/>
      </c>
      <c r="AV74" s="31"/>
      <c r="AW74" s="34" t="str">
        <f t="shared" si="20"/>
        <v/>
      </c>
      <c r="AX74" s="31"/>
      <c r="AY74" s="34" t="str">
        <f t="shared" si="40"/>
        <v/>
      </c>
      <c r="AZ74" s="31"/>
      <c r="BA74" s="34" t="str">
        <f t="shared" si="41"/>
        <v/>
      </c>
    </row>
    <row r="75" spans="1:54" ht="20" customHeight="1" x14ac:dyDescent="0.2">
      <c r="A75" s="678"/>
      <c r="B75" s="725"/>
      <c r="C75" s="255"/>
      <c r="D75" s="722" t="s">
        <v>85</v>
      </c>
      <c r="E75" s="723" t="s">
        <v>79</v>
      </c>
      <c r="F75" s="723" t="s">
        <v>80</v>
      </c>
      <c r="G75" s="722">
        <v>2015</v>
      </c>
      <c r="H75" s="287">
        <v>10</v>
      </c>
      <c r="I75" s="65">
        <v>11</v>
      </c>
      <c r="J75" s="61" t="s">
        <v>194</v>
      </c>
      <c r="K75" s="62" t="s">
        <v>168</v>
      </c>
      <c r="L75" s="31"/>
      <c r="M75" s="34" t="str">
        <f t="shared" si="25"/>
        <v/>
      </c>
      <c r="N75" s="31"/>
      <c r="O75" s="34" t="str">
        <f t="shared" si="26"/>
        <v/>
      </c>
      <c r="P75" s="31"/>
      <c r="Q75" s="34" t="str">
        <f t="shared" si="27"/>
        <v/>
      </c>
      <c r="R75" s="31"/>
      <c r="S75" s="34" t="str">
        <f t="shared" si="28"/>
        <v/>
      </c>
      <c r="T75" s="31"/>
      <c r="U75" s="34" t="str">
        <f t="shared" si="29"/>
        <v/>
      </c>
      <c r="V75" s="56"/>
      <c r="W75" s="34" t="str">
        <f t="shared" si="30"/>
        <v/>
      </c>
      <c r="X75" s="31"/>
      <c r="Y75" s="34" t="str">
        <f>IF((ISERROR((X75/$I75)*100)), "", IF(AND(NOT(ISERROR((X75/$I75)*100)),((X75/$I75)*100) &lt;&gt; 0), (X75/$I75)*100, ""))</f>
        <v/>
      </c>
      <c r="Z75" s="31"/>
      <c r="AA75" s="34" t="str">
        <f>IF((ISERROR((Z75/$I75)*100)), "", IF(AND(NOT(ISERROR((Z75/$I75)*100)),((Z75/$I75)*100) &lt;&gt; 0), (Z75/$I75)*100, ""))</f>
        <v/>
      </c>
      <c r="AB75" s="31"/>
      <c r="AC75" s="34" t="str">
        <f>IF((ISERROR((AB75/$I75)*100)), "", IF(AND(NOT(ISERROR((AB75/$I75)*100)),((AB75/$I75)*100) &lt;&gt; 0), (AB75/$I75)*100, ""))</f>
        <v/>
      </c>
      <c r="AD75" s="31"/>
      <c r="AE75" s="34" t="str">
        <f>IF((ISERROR((AD75/$I75)*100)), "", IF(AND(NOT(ISERROR((AD75/$I75)*100)),((AD75/$I75)*100) &lt;&gt; 0), (AD75/$I75)*100, ""))</f>
        <v/>
      </c>
      <c r="AF75" s="56">
        <v>3</v>
      </c>
      <c r="AG75" s="34">
        <f t="shared" si="31"/>
        <v>27.27272727272727</v>
      </c>
      <c r="AH75" s="36">
        <v>1</v>
      </c>
      <c r="AI75" s="37">
        <f>IF((ISERROR((AH75/$I75)*100)), "", IF(AND(NOT(ISERROR((AH75/$I75)*100)),((AH75/$I75)*100) &lt;&gt; 0), (AH75/$I75)*100, ""))</f>
        <v>9.0909090909090917</v>
      </c>
      <c r="AJ75" s="31"/>
      <c r="AK75" s="34" t="str">
        <f t="shared" si="32"/>
        <v/>
      </c>
      <c r="AL75" s="31"/>
      <c r="AM75" s="34" t="str">
        <f>IF((ISERROR((AL75/$I75)*100)), "", IF(AND(NOT(ISERROR((AL75/$I75)*100)),((AL75/$I75)*100) &lt;&gt; 0), (AL75/$I75)*100, ""))</f>
        <v/>
      </c>
      <c r="AN75" s="31"/>
      <c r="AO75" s="34" t="str">
        <f>IF((ISERROR((AN75/$I75)*100)), "", IF(AND(NOT(ISERROR((AN75/$I75)*100)),((AN75/$I75)*100) &lt;&gt; 0), (AN75/$I75)*100, ""))</f>
        <v/>
      </c>
      <c r="AP75" s="31"/>
      <c r="AQ75" s="34" t="str">
        <f t="shared" si="33"/>
        <v/>
      </c>
      <c r="AR75" s="31"/>
      <c r="AS75" s="34" t="str">
        <f t="shared" si="34"/>
        <v/>
      </c>
      <c r="AT75" s="31"/>
      <c r="AU75" s="34" t="str">
        <f t="shared" si="19"/>
        <v/>
      </c>
      <c r="AV75" s="31"/>
      <c r="AW75" s="34" t="str">
        <f t="shared" si="20"/>
        <v/>
      </c>
      <c r="AX75" s="31"/>
      <c r="AY75" s="34" t="str">
        <f t="shared" si="40"/>
        <v/>
      </c>
      <c r="AZ75" s="31"/>
      <c r="BA75" s="34" t="str">
        <f t="shared" si="41"/>
        <v/>
      </c>
      <c r="BB75" s="21" t="s">
        <v>193</v>
      </c>
    </row>
    <row r="76" spans="1:54" ht="20" customHeight="1" x14ac:dyDescent="0.2">
      <c r="A76" s="678"/>
      <c r="B76" s="725"/>
      <c r="C76" s="723"/>
      <c r="D76" s="722" t="s">
        <v>85</v>
      </c>
      <c r="E76" s="723" t="s">
        <v>526</v>
      </c>
      <c r="F76" s="723" t="s">
        <v>564</v>
      </c>
      <c r="G76" s="722">
        <v>1998</v>
      </c>
      <c r="H76" s="287"/>
      <c r="I76" s="65">
        <v>22</v>
      </c>
      <c r="J76" s="61" t="s">
        <v>184</v>
      </c>
      <c r="K76" s="62" t="s">
        <v>346</v>
      </c>
      <c r="L76" s="31"/>
      <c r="M76" s="34"/>
      <c r="N76" s="31"/>
      <c r="O76" s="34"/>
      <c r="P76" s="31"/>
      <c r="Q76" s="34"/>
      <c r="R76" s="31"/>
      <c r="S76" s="34"/>
      <c r="T76" s="31">
        <v>1</v>
      </c>
      <c r="U76" s="34">
        <f t="shared" si="29"/>
        <v>4.5454545454545459</v>
      </c>
      <c r="V76" s="56"/>
      <c r="W76" s="34"/>
      <c r="X76" s="31"/>
      <c r="Y76" s="34"/>
      <c r="Z76" s="31"/>
      <c r="AA76" s="34"/>
      <c r="AB76" s="31"/>
      <c r="AC76" s="34"/>
      <c r="AD76" s="31"/>
      <c r="AE76" s="34"/>
      <c r="AF76" s="56"/>
      <c r="AG76" s="34"/>
      <c r="AH76" s="31"/>
      <c r="AI76" s="34"/>
      <c r="AJ76" s="31"/>
      <c r="AK76" s="34"/>
      <c r="AL76" s="31"/>
      <c r="AM76" s="34"/>
      <c r="AN76" s="31"/>
      <c r="AO76" s="34"/>
      <c r="AP76" s="31"/>
      <c r="AQ76" s="34"/>
      <c r="AR76" s="31"/>
      <c r="AS76" s="34"/>
      <c r="AT76" s="31"/>
      <c r="AU76" s="34"/>
      <c r="AV76" s="31"/>
      <c r="AW76" s="34"/>
      <c r="AX76" s="31"/>
      <c r="AY76" s="34"/>
      <c r="AZ76" s="31"/>
      <c r="BA76" s="34"/>
    </row>
    <row r="77" spans="1:54" ht="20" customHeight="1" x14ac:dyDescent="0.2">
      <c r="A77" s="678"/>
      <c r="B77" s="721"/>
      <c r="C77" s="253"/>
      <c r="D77" s="722" t="s">
        <v>85</v>
      </c>
      <c r="E77" s="723" t="s">
        <v>81</v>
      </c>
      <c r="F77" s="723" t="s">
        <v>82</v>
      </c>
      <c r="G77" s="722">
        <v>1994</v>
      </c>
      <c r="H77" s="287">
        <v>292</v>
      </c>
      <c r="I77" s="65">
        <v>15</v>
      </c>
      <c r="J77" s="61" t="s">
        <v>195</v>
      </c>
      <c r="K77" s="62"/>
      <c r="L77" s="31"/>
      <c r="M77" s="34" t="str">
        <f t="shared" si="25"/>
        <v/>
      </c>
      <c r="N77" s="31"/>
      <c r="O77" s="34" t="str">
        <f t="shared" si="26"/>
        <v/>
      </c>
      <c r="P77" s="31"/>
      <c r="Q77" s="34" t="str">
        <f t="shared" si="27"/>
        <v/>
      </c>
      <c r="R77" s="31"/>
      <c r="S77" s="34" t="str">
        <f t="shared" si="28"/>
        <v/>
      </c>
      <c r="T77" s="31"/>
      <c r="U77" s="34" t="str">
        <f t="shared" si="29"/>
        <v/>
      </c>
      <c r="V77" s="56"/>
      <c r="W77" s="34" t="str">
        <f t="shared" si="30"/>
        <v/>
      </c>
      <c r="X77" s="31"/>
      <c r="Y77" s="34" t="str">
        <f t="shared" si="35"/>
        <v/>
      </c>
      <c r="Z77" s="31"/>
      <c r="AA77" s="34" t="str">
        <f t="shared" si="36"/>
        <v/>
      </c>
      <c r="AB77" s="31"/>
      <c r="AC77" s="34" t="str">
        <f t="shared" si="37"/>
        <v/>
      </c>
      <c r="AD77" s="31"/>
      <c r="AE77" s="34" t="str">
        <f t="shared" si="38"/>
        <v/>
      </c>
      <c r="AF77" s="56"/>
      <c r="AG77" s="34" t="str">
        <f t="shared" si="31"/>
        <v/>
      </c>
      <c r="AH77" s="31"/>
      <c r="AI77" s="34" t="str">
        <f t="shared" si="23"/>
        <v/>
      </c>
      <c r="AJ77" s="31"/>
      <c r="AK77" s="34" t="str">
        <f t="shared" si="32"/>
        <v/>
      </c>
      <c r="AL77" s="31"/>
      <c r="AM77" s="34" t="str">
        <f t="shared" si="39"/>
        <v/>
      </c>
      <c r="AN77" s="31"/>
      <c r="AO77" s="34" t="str">
        <f t="shared" si="19"/>
        <v/>
      </c>
      <c r="AP77" s="31"/>
      <c r="AQ77" s="34" t="str">
        <f t="shared" si="33"/>
        <v/>
      </c>
      <c r="AR77" s="31"/>
      <c r="AS77" s="34" t="str">
        <f t="shared" si="34"/>
        <v/>
      </c>
      <c r="AT77" s="31"/>
      <c r="AU77" s="34" t="str">
        <f t="shared" si="19"/>
        <v/>
      </c>
      <c r="AV77" s="31"/>
      <c r="AW77" s="34" t="str">
        <f t="shared" si="20"/>
        <v/>
      </c>
      <c r="AX77" s="31"/>
      <c r="AY77" s="34" t="str">
        <f t="shared" si="40"/>
        <v/>
      </c>
      <c r="AZ77" s="31"/>
      <c r="BA77" s="34" t="str">
        <f t="shared" si="41"/>
        <v/>
      </c>
      <c r="BB77" s="21" t="s">
        <v>196</v>
      </c>
    </row>
    <row r="78" spans="1:54" ht="20" customHeight="1" x14ac:dyDescent="0.2">
      <c r="A78" s="678"/>
      <c r="B78" s="725"/>
      <c r="C78" s="255"/>
      <c r="D78" s="722" t="s">
        <v>85</v>
      </c>
      <c r="E78" s="723" t="s">
        <v>83</v>
      </c>
      <c r="F78" s="723" t="s">
        <v>84</v>
      </c>
      <c r="G78" s="722">
        <v>2000</v>
      </c>
      <c r="H78" s="287">
        <v>146</v>
      </c>
      <c r="I78" s="65">
        <v>42</v>
      </c>
      <c r="J78" s="61" t="s">
        <v>352</v>
      </c>
      <c r="K78" s="62"/>
      <c r="L78" s="31"/>
      <c r="M78" s="34" t="str">
        <f t="shared" si="25"/>
        <v/>
      </c>
      <c r="N78" s="31"/>
      <c r="O78" s="34" t="str">
        <f t="shared" si="26"/>
        <v/>
      </c>
      <c r="P78" s="31"/>
      <c r="Q78" s="34" t="str">
        <f t="shared" si="27"/>
        <v/>
      </c>
      <c r="R78" s="31"/>
      <c r="S78" s="34" t="str">
        <f t="shared" si="28"/>
        <v/>
      </c>
      <c r="T78" s="31">
        <v>1</v>
      </c>
      <c r="U78" s="34">
        <f t="shared" si="29"/>
        <v>2.3809523809523809</v>
      </c>
      <c r="V78" s="56"/>
      <c r="W78" s="34" t="str">
        <f t="shared" si="30"/>
        <v/>
      </c>
      <c r="X78" s="31"/>
      <c r="Y78" s="34" t="str">
        <f t="shared" si="35"/>
        <v/>
      </c>
      <c r="Z78" s="31"/>
      <c r="AA78" s="34" t="str">
        <f t="shared" si="36"/>
        <v/>
      </c>
      <c r="AB78" s="31"/>
      <c r="AC78" s="34" t="str">
        <f t="shared" si="37"/>
        <v/>
      </c>
      <c r="AD78" s="31"/>
      <c r="AE78" s="34" t="str">
        <f t="shared" si="38"/>
        <v/>
      </c>
      <c r="AF78" s="56"/>
      <c r="AG78" s="34" t="str">
        <f t="shared" si="31"/>
        <v/>
      </c>
      <c r="AH78" s="31"/>
      <c r="AI78" s="34" t="str">
        <f t="shared" si="23"/>
        <v/>
      </c>
      <c r="AJ78" s="31"/>
      <c r="AK78" s="34" t="str">
        <f t="shared" si="32"/>
        <v/>
      </c>
      <c r="AL78" s="31"/>
      <c r="AM78" s="34" t="str">
        <f t="shared" si="39"/>
        <v/>
      </c>
      <c r="AN78" s="31"/>
      <c r="AO78" s="34" t="str">
        <f t="shared" si="19"/>
        <v/>
      </c>
      <c r="AP78" s="31"/>
      <c r="AQ78" s="34" t="str">
        <f t="shared" si="33"/>
        <v/>
      </c>
      <c r="AR78" s="31"/>
      <c r="AS78" s="34" t="str">
        <f t="shared" si="34"/>
        <v/>
      </c>
      <c r="AT78" s="31"/>
      <c r="AU78" s="34" t="str">
        <f t="shared" si="19"/>
        <v/>
      </c>
      <c r="AV78" s="31"/>
      <c r="AW78" s="34" t="str">
        <f t="shared" si="20"/>
        <v/>
      </c>
      <c r="AX78" s="31"/>
      <c r="AY78" s="34" t="str">
        <f t="shared" si="40"/>
        <v/>
      </c>
      <c r="AZ78" s="31"/>
      <c r="BA78" s="34" t="str">
        <f t="shared" si="41"/>
        <v/>
      </c>
    </row>
    <row r="79" spans="1:54" ht="20" customHeight="1" x14ac:dyDescent="0.2">
      <c r="A79" s="680"/>
      <c r="B79" s="721"/>
      <c r="C79" s="253"/>
      <c r="D79" s="722"/>
      <c r="E79" s="723" t="s">
        <v>643</v>
      </c>
      <c r="F79" s="723" t="s">
        <v>704</v>
      </c>
      <c r="G79" s="722">
        <v>2001</v>
      </c>
      <c r="H79" s="287"/>
      <c r="I79" s="65">
        <v>1</v>
      </c>
      <c r="J79" s="61"/>
      <c r="K79" s="62" t="s">
        <v>644</v>
      </c>
      <c r="L79" s="31"/>
      <c r="M79" s="34"/>
      <c r="N79" s="31"/>
      <c r="O79" s="34"/>
      <c r="P79" s="31"/>
      <c r="Q79" s="34"/>
      <c r="R79" s="31"/>
      <c r="S79" s="34"/>
      <c r="T79" s="31"/>
      <c r="U79" s="34"/>
      <c r="V79" s="56"/>
      <c r="W79" s="34"/>
      <c r="X79" s="31"/>
      <c r="Y79" s="34"/>
      <c r="Z79" s="31"/>
      <c r="AA79" s="34"/>
      <c r="AB79" s="31"/>
      <c r="AC79" s="34"/>
      <c r="AD79" s="31"/>
      <c r="AE79" s="34"/>
      <c r="AF79" s="56"/>
      <c r="AG79" s="34"/>
      <c r="AH79" s="31"/>
      <c r="AI79" s="34"/>
      <c r="AJ79" s="31"/>
      <c r="AK79" s="34"/>
      <c r="AL79" s="31"/>
      <c r="AM79" s="34"/>
      <c r="AN79" s="31"/>
      <c r="AO79" s="34"/>
      <c r="AP79" s="31"/>
      <c r="AQ79" s="34"/>
      <c r="AR79" s="31"/>
      <c r="AS79" s="34"/>
      <c r="AT79" s="31"/>
      <c r="AU79" s="34"/>
      <c r="AV79" s="31"/>
      <c r="AW79" s="34"/>
      <c r="AX79" s="31"/>
      <c r="AY79" s="34"/>
      <c r="AZ79" s="31"/>
      <c r="BA79" s="34"/>
    </row>
    <row r="80" spans="1:54" ht="20" customHeight="1" x14ac:dyDescent="0.2">
      <c r="A80" s="678"/>
      <c r="B80" s="721"/>
      <c r="C80" s="253"/>
      <c r="D80" s="727" t="s">
        <v>35</v>
      </c>
      <c r="E80" s="728" t="s">
        <v>87</v>
      </c>
      <c r="F80" s="728" t="s">
        <v>88</v>
      </c>
      <c r="G80" s="727">
        <v>1996</v>
      </c>
      <c r="H80" s="729">
        <v>187</v>
      </c>
      <c r="I80" s="65">
        <v>100</v>
      </c>
      <c r="J80" s="61" t="s">
        <v>197</v>
      </c>
      <c r="K80" s="62"/>
      <c r="L80" s="31"/>
      <c r="M80" s="34" t="str">
        <f t="shared" si="25"/>
        <v/>
      </c>
      <c r="N80" s="31"/>
      <c r="O80" s="34" t="str">
        <f t="shared" si="26"/>
        <v/>
      </c>
      <c r="P80" s="31"/>
      <c r="Q80" s="34" t="str">
        <f t="shared" si="27"/>
        <v/>
      </c>
      <c r="R80" s="31"/>
      <c r="S80" s="34" t="str">
        <f t="shared" si="28"/>
        <v/>
      </c>
      <c r="T80" s="31"/>
      <c r="U80" s="34" t="str">
        <f t="shared" si="29"/>
        <v/>
      </c>
      <c r="V80" s="56"/>
      <c r="W80" s="34" t="str">
        <f t="shared" si="30"/>
        <v/>
      </c>
      <c r="X80" s="31"/>
      <c r="Y80" s="34" t="str">
        <f t="shared" si="35"/>
        <v/>
      </c>
      <c r="Z80" s="31"/>
      <c r="AA80" s="34" t="str">
        <f t="shared" si="36"/>
        <v/>
      </c>
      <c r="AB80" s="31"/>
      <c r="AC80" s="34" t="str">
        <f t="shared" si="37"/>
        <v/>
      </c>
      <c r="AD80" s="31"/>
      <c r="AE80" s="34" t="str">
        <f t="shared" si="38"/>
        <v/>
      </c>
      <c r="AF80" s="56"/>
      <c r="AG80" s="34" t="str">
        <f t="shared" si="31"/>
        <v/>
      </c>
      <c r="AH80" s="31"/>
      <c r="AI80" s="34" t="str">
        <f t="shared" si="23"/>
        <v/>
      </c>
      <c r="AJ80" s="31"/>
      <c r="AK80" s="34" t="str">
        <f t="shared" si="32"/>
        <v/>
      </c>
      <c r="AL80" s="31"/>
      <c r="AM80" s="34" t="str">
        <f t="shared" si="39"/>
        <v/>
      </c>
      <c r="AN80" s="31"/>
      <c r="AO80" s="34" t="str">
        <f t="shared" si="19"/>
        <v/>
      </c>
      <c r="AP80" s="31"/>
      <c r="AQ80" s="34" t="str">
        <f t="shared" si="33"/>
        <v/>
      </c>
      <c r="AR80" s="31"/>
      <c r="AS80" s="34" t="str">
        <f t="shared" si="34"/>
        <v/>
      </c>
      <c r="AT80" s="31"/>
      <c r="AU80" s="34" t="str">
        <f t="shared" si="19"/>
        <v/>
      </c>
      <c r="AV80" s="31"/>
      <c r="AW80" s="34" t="str">
        <f t="shared" si="20"/>
        <v/>
      </c>
      <c r="AX80" s="31"/>
      <c r="AY80" s="34" t="str">
        <f t="shared" si="40"/>
        <v/>
      </c>
      <c r="AZ80" s="31"/>
      <c r="BA80" s="34" t="str">
        <f t="shared" si="41"/>
        <v/>
      </c>
      <c r="BB80" s="21" t="s">
        <v>198</v>
      </c>
    </row>
    <row r="81" spans="1:54" ht="20" customHeight="1" x14ac:dyDescent="0.2">
      <c r="A81" s="678"/>
      <c r="B81" s="721"/>
      <c r="C81" s="253"/>
      <c r="D81" s="722" t="s">
        <v>85</v>
      </c>
      <c r="E81" s="723" t="s">
        <v>89</v>
      </c>
      <c r="F81" s="723" t="s">
        <v>90</v>
      </c>
      <c r="G81" s="722">
        <v>2000</v>
      </c>
      <c r="H81" s="287">
        <v>79</v>
      </c>
      <c r="I81" s="65">
        <v>10</v>
      </c>
      <c r="J81" s="61" t="s">
        <v>167</v>
      </c>
      <c r="K81" s="62"/>
      <c r="L81" s="31"/>
      <c r="M81" s="34" t="str">
        <f t="shared" si="25"/>
        <v/>
      </c>
      <c r="N81" s="31"/>
      <c r="O81" s="34" t="str">
        <f t="shared" si="26"/>
        <v/>
      </c>
      <c r="P81" s="31"/>
      <c r="Q81" s="34" t="str">
        <f t="shared" si="27"/>
        <v/>
      </c>
      <c r="R81" s="31"/>
      <c r="S81" s="34" t="str">
        <f t="shared" si="28"/>
        <v/>
      </c>
      <c r="T81" s="31"/>
      <c r="U81" s="34" t="str">
        <f t="shared" si="29"/>
        <v/>
      </c>
      <c r="V81" s="56"/>
      <c r="W81" s="34" t="str">
        <f t="shared" si="30"/>
        <v/>
      </c>
      <c r="X81" s="31"/>
      <c r="Y81" s="34" t="str">
        <f t="shared" si="35"/>
        <v/>
      </c>
      <c r="Z81" s="31"/>
      <c r="AA81" s="34" t="str">
        <f t="shared" si="36"/>
        <v/>
      </c>
      <c r="AB81" s="31"/>
      <c r="AC81" s="34" t="str">
        <f t="shared" si="37"/>
        <v/>
      </c>
      <c r="AD81" s="31"/>
      <c r="AE81" s="34" t="str">
        <f t="shared" si="38"/>
        <v/>
      </c>
      <c r="AF81" s="56"/>
      <c r="AG81" s="34" t="str">
        <f t="shared" si="31"/>
        <v/>
      </c>
      <c r="AH81" s="31"/>
      <c r="AI81" s="34" t="str">
        <f t="shared" si="23"/>
        <v/>
      </c>
      <c r="AJ81" s="31"/>
      <c r="AK81" s="34" t="str">
        <f t="shared" si="32"/>
        <v/>
      </c>
      <c r="AL81" s="31"/>
      <c r="AM81" s="34" t="str">
        <f t="shared" si="39"/>
        <v/>
      </c>
      <c r="AN81" s="31"/>
      <c r="AO81" s="34" t="str">
        <f t="shared" si="19"/>
        <v/>
      </c>
      <c r="AP81" s="31"/>
      <c r="AQ81" s="34" t="str">
        <f t="shared" si="33"/>
        <v/>
      </c>
      <c r="AR81" s="31"/>
      <c r="AS81" s="34" t="str">
        <f t="shared" si="34"/>
        <v/>
      </c>
      <c r="AT81" s="31"/>
      <c r="AU81" s="34" t="str">
        <f t="shared" si="19"/>
        <v/>
      </c>
      <c r="AV81" s="31"/>
      <c r="AW81" s="34" t="str">
        <f t="shared" si="20"/>
        <v/>
      </c>
      <c r="AX81" s="31"/>
      <c r="AY81" s="34" t="str">
        <f t="shared" si="40"/>
        <v/>
      </c>
      <c r="AZ81" s="31"/>
      <c r="BA81" s="34" t="str">
        <f t="shared" si="41"/>
        <v/>
      </c>
      <c r="BB81" s="21" t="s">
        <v>199</v>
      </c>
    </row>
    <row r="82" spans="1:54" ht="20" customHeight="1" x14ac:dyDescent="0.2">
      <c r="A82" s="680"/>
      <c r="B82" s="725"/>
      <c r="C82" s="255"/>
      <c r="D82" s="722" t="s">
        <v>85</v>
      </c>
      <c r="E82" s="723" t="s">
        <v>528</v>
      </c>
      <c r="F82" s="723" t="s">
        <v>529</v>
      </c>
      <c r="G82" s="722">
        <v>2000</v>
      </c>
      <c r="H82" s="287"/>
      <c r="I82" s="701">
        <v>19</v>
      </c>
      <c r="J82" s="232" t="s">
        <v>340</v>
      </c>
      <c r="K82" s="250" t="s">
        <v>333</v>
      </c>
      <c r="L82" s="31"/>
      <c r="M82" s="34"/>
      <c r="N82" s="31"/>
      <c r="O82" s="34"/>
      <c r="P82" s="31"/>
      <c r="Q82" s="34"/>
      <c r="R82" s="31"/>
      <c r="S82" s="34"/>
      <c r="T82" s="31"/>
      <c r="U82" s="34"/>
      <c r="V82" s="56"/>
      <c r="W82" s="34"/>
      <c r="X82" s="31"/>
      <c r="Y82" s="34"/>
      <c r="Z82" s="31"/>
      <c r="AA82" s="34"/>
      <c r="AB82" s="31"/>
      <c r="AC82" s="34"/>
      <c r="AD82" s="31"/>
      <c r="AE82" s="34"/>
      <c r="AF82" s="56"/>
      <c r="AG82" s="34"/>
      <c r="AH82" s="31"/>
      <c r="AI82" s="34"/>
      <c r="AJ82" s="31"/>
      <c r="AK82" s="34"/>
      <c r="AL82" s="31"/>
      <c r="AM82" s="34"/>
      <c r="AN82" s="31"/>
      <c r="AO82" s="34"/>
      <c r="AP82" s="31"/>
      <c r="AQ82" s="34"/>
      <c r="AR82" s="31"/>
      <c r="AS82" s="34"/>
      <c r="AT82" s="31"/>
      <c r="AU82" s="34"/>
      <c r="AV82" s="31"/>
      <c r="AW82" s="34"/>
      <c r="AX82" s="31"/>
      <c r="AY82" s="34"/>
      <c r="AZ82" s="31"/>
      <c r="BA82" s="34"/>
    </row>
    <row r="83" spans="1:54" ht="20" customHeight="1" x14ac:dyDescent="0.2">
      <c r="A83" s="678"/>
      <c r="B83" s="725"/>
      <c r="C83" s="255"/>
      <c r="D83" s="722"/>
      <c r="E83" s="723" t="s">
        <v>284</v>
      </c>
      <c r="F83" s="723" t="s">
        <v>285</v>
      </c>
      <c r="G83" s="722">
        <v>2005</v>
      </c>
      <c r="H83" s="287"/>
      <c r="I83" s="65">
        <v>13</v>
      </c>
      <c r="J83" s="61" t="s">
        <v>353</v>
      </c>
      <c r="K83" s="62"/>
      <c r="L83" s="31"/>
      <c r="M83" s="34" t="str">
        <f t="shared" si="25"/>
        <v/>
      </c>
      <c r="N83" s="31">
        <v>3</v>
      </c>
      <c r="O83" s="34">
        <f t="shared" si="26"/>
        <v>23.076923076923077</v>
      </c>
      <c r="P83" s="31"/>
      <c r="Q83" s="34" t="str">
        <f t="shared" si="27"/>
        <v/>
      </c>
      <c r="R83" s="31"/>
      <c r="S83" s="34" t="str">
        <f t="shared" si="28"/>
        <v/>
      </c>
      <c r="T83" s="31"/>
      <c r="U83" s="34" t="str">
        <f t="shared" si="29"/>
        <v/>
      </c>
      <c r="V83" s="56">
        <v>1</v>
      </c>
      <c r="W83" s="34">
        <f t="shared" si="30"/>
        <v>7.6923076923076925</v>
      </c>
      <c r="X83" s="31"/>
      <c r="Y83" s="34" t="str">
        <f t="shared" si="35"/>
        <v/>
      </c>
      <c r="Z83" s="31"/>
      <c r="AA83" s="34" t="str">
        <f t="shared" si="36"/>
        <v/>
      </c>
      <c r="AB83" s="31"/>
      <c r="AC83" s="34" t="str">
        <f t="shared" si="37"/>
        <v/>
      </c>
      <c r="AD83" s="31"/>
      <c r="AE83" s="34" t="str">
        <f t="shared" si="38"/>
        <v/>
      </c>
      <c r="AF83" s="56"/>
      <c r="AG83" s="34" t="str">
        <f t="shared" si="31"/>
        <v/>
      </c>
      <c r="AH83" s="31"/>
      <c r="AI83" s="34" t="str">
        <f t="shared" si="23"/>
        <v/>
      </c>
      <c r="AJ83" s="31"/>
      <c r="AK83" s="34" t="str">
        <f t="shared" si="32"/>
        <v/>
      </c>
      <c r="AL83" s="31"/>
      <c r="AM83" s="34" t="str">
        <f t="shared" si="39"/>
        <v/>
      </c>
      <c r="AN83" s="31"/>
      <c r="AO83" s="34" t="str">
        <f t="shared" si="19"/>
        <v/>
      </c>
      <c r="AP83" s="31"/>
      <c r="AQ83" s="34" t="str">
        <f t="shared" si="33"/>
        <v/>
      </c>
      <c r="AR83" s="31"/>
      <c r="AS83" s="34" t="str">
        <f t="shared" si="34"/>
        <v/>
      </c>
      <c r="AT83" s="31"/>
      <c r="AU83" s="34" t="str">
        <f t="shared" si="19"/>
        <v/>
      </c>
      <c r="AV83" s="31"/>
      <c r="AW83" s="34" t="str">
        <f t="shared" si="20"/>
        <v/>
      </c>
      <c r="AX83" s="31"/>
      <c r="AY83" s="34" t="str">
        <f t="shared" si="40"/>
        <v/>
      </c>
      <c r="AZ83" s="31"/>
      <c r="BA83" s="34" t="str">
        <f t="shared" si="41"/>
        <v/>
      </c>
      <c r="BB83" s="21" t="s">
        <v>354</v>
      </c>
    </row>
    <row r="84" spans="1:54" ht="20" customHeight="1" x14ac:dyDescent="0.2">
      <c r="A84" s="680"/>
      <c r="B84" s="721"/>
      <c r="C84" s="723"/>
      <c r="D84" s="722" t="s">
        <v>85</v>
      </c>
      <c r="E84" s="723" t="s">
        <v>646</v>
      </c>
      <c r="F84" s="723" t="s">
        <v>647</v>
      </c>
      <c r="G84" s="722">
        <v>1998</v>
      </c>
      <c r="H84" s="287"/>
      <c r="I84" s="701">
        <v>18</v>
      </c>
      <c r="J84" s="232" t="s">
        <v>217</v>
      </c>
      <c r="K84" s="250"/>
      <c r="L84" s="31"/>
      <c r="M84" s="34"/>
      <c r="N84" s="31"/>
      <c r="O84" s="34"/>
      <c r="P84" s="31"/>
      <c r="Q84" s="34"/>
      <c r="R84" s="31"/>
      <c r="S84" s="34"/>
      <c r="T84" s="31"/>
      <c r="U84" s="34"/>
      <c r="V84" s="56"/>
      <c r="W84" s="34"/>
      <c r="X84" s="31"/>
      <c r="Y84" s="34"/>
      <c r="Z84" s="31"/>
      <c r="AA84" s="34"/>
      <c r="AB84" s="31"/>
      <c r="AC84" s="34"/>
      <c r="AD84" s="31"/>
      <c r="AE84" s="34"/>
      <c r="AF84" s="56"/>
      <c r="AG84" s="34"/>
      <c r="AH84" s="31"/>
      <c r="AI84" s="34"/>
      <c r="AJ84" s="31"/>
      <c r="AK84" s="34"/>
      <c r="AL84" s="31"/>
      <c r="AM84" s="34"/>
      <c r="AN84" s="31"/>
      <c r="AO84" s="34"/>
      <c r="AP84" s="31"/>
      <c r="AQ84" s="34"/>
      <c r="AR84" s="31"/>
      <c r="AS84" s="34"/>
      <c r="AT84" s="31"/>
      <c r="AU84" s="34"/>
      <c r="AV84" s="31"/>
      <c r="AW84" s="34"/>
      <c r="AX84" s="31"/>
      <c r="AY84" s="34"/>
      <c r="AZ84" s="31"/>
      <c r="BA84" s="34"/>
    </row>
    <row r="85" spans="1:54" ht="20" customHeight="1" x14ac:dyDescent="0.2">
      <c r="A85" s="678"/>
      <c r="B85" s="725"/>
      <c r="C85" s="253"/>
      <c r="D85" s="722" t="s">
        <v>85</v>
      </c>
      <c r="E85" s="723" t="s">
        <v>91</v>
      </c>
      <c r="F85" s="723" t="s">
        <v>92</v>
      </c>
      <c r="G85" s="722">
        <v>2001</v>
      </c>
      <c r="H85" s="287">
        <v>170</v>
      </c>
      <c r="I85" s="65">
        <v>20</v>
      </c>
      <c r="J85" s="61" t="s">
        <v>175</v>
      </c>
      <c r="K85" s="62" t="s">
        <v>168</v>
      </c>
      <c r="L85" s="31"/>
      <c r="M85" s="34" t="str">
        <f t="shared" si="25"/>
        <v/>
      </c>
      <c r="N85" s="31"/>
      <c r="O85" s="34" t="str">
        <f t="shared" si="26"/>
        <v/>
      </c>
      <c r="P85" s="31"/>
      <c r="Q85" s="34" t="str">
        <f t="shared" si="27"/>
        <v/>
      </c>
      <c r="R85" s="31"/>
      <c r="S85" s="34" t="str">
        <f t="shared" si="28"/>
        <v/>
      </c>
      <c r="T85" s="31"/>
      <c r="U85" s="34" t="str">
        <f t="shared" si="29"/>
        <v/>
      </c>
      <c r="V85" s="56"/>
      <c r="W85" s="34" t="str">
        <f t="shared" si="30"/>
        <v/>
      </c>
      <c r="X85" s="31"/>
      <c r="Y85" s="34" t="str">
        <f>IF((ISERROR((X85/$I85)*100)), "", IF(AND(NOT(ISERROR((X85/$I85)*100)),((X85/$I85)*100) &lt;&gt; 0), (X85/$I85)*100, ""))</f>
        <v/>
      </c>
      <c r="Z85" s="31"/>
      <c r="AA85" s="34" t="str">
        <f>IF((ISERROR((Z85/$I85)*100)), "", IF(AND(NOT(ISERROR((Z85/$I85)*100)),((Z85/$I85)*100) &lt;&gt; 0), (Z85/$I85)*100, ""))</f>
        <v/>
      </c>
      <c r="AB85" s="31"/>
      <c r="AC85" s="34" t="str">
        <f>IF((ISERROR((AB85/$I85)*100)), "", IF(AND(NOT(ISERROR((AB85/$I85)*100)),((AB85/$I85)*100) &lt;&gt; 0), (AB85/$I85)*100, ""))</f>
        <v/>
      </c>
      <c r="AD85" s="31"/>
      <c r="AE85" s="34" t="str">
        <f>IF((ISERROR((AD85/$I85)*100)), "", IF(AND(NOT(ISERROR((AD85/$I85)*100)),((AD85/$I85)*100) &lt;&gt; 0), (AD85/$I85)*100, ""))</f>
        <v/>
      </c>
      <c r="AF85" s="56"/>
      <c r="AG85" s="34" t="str">
        <f t="shared" si="31"/>
        <v/>
      </c>
      <c r="AH85" s="31"/>
      <c r="AI85" s="34" t="str">
        <f>IF((ISERROR((AH85/$I85)*100)), "", IF(AND(NOT(ISERROR((AH85/$I85)*100)),((AH85/$I85)*100) &lt;&gt; 0), (AH85/$I85)*100, ""))</f>
        <v/>
      </c>
      <c r="AJ85" s="31"/>
      <c r="AK85" s="34" t="str">
        <f t="shared" si="32"/>
        <v/>
      </c>
      <c r="AL85" s="31"/>
      <c r="AM85" s="34" t="str">
        <f>IF((ISERROR((AL85/$I85)*100)), "", IF(AND(NOT(ISERROR((AL85/$I85)*100)),((AL85/$I85)*100) &lt;&gt; 0), (AL85/$I85)*100, ""))</f>
        <v/>
      </c>
      <c r="AN85" s="31"/>
      <c r="AO85" s="34" t="str">
        <f>IF((ISERROR((AN85/$I85)*100)), "", IF(AND(NOT(ISERROR((AN85/$I85)*100)),((AN85/$I85)*100) &lt;&gt; 0), (AN85/$I85)*100, ""))</f>
        <v/>
      </c>
      <c r="AP85" s="31"/>
      <c r="AQ85" s="34" t="str">
        <f t="shared" si="33"/>
        <v/>
      </c>
      <c r="AR85" s="31"/>
      <c r="AS85" s="34" t="str">
        <f t="shared" si="34"/>
        <v/>
      </c>
      <c r="AT85" s="31"/>
      <c r="AU85" s="34" t="str">
        <f t="shared" si="19"/>
        <v/>
      </c>
      <c r="AV85" s="31"/>
      <c r="AW85" s="34" t="str">
        <f t="shared" si="20"/>
        <v/>
      </c>
      <c r="AX85" s="31"/>
      <c r="AY85" s="34" t="str">
        <f t="shared" si="40"/>
        <v/>
      </c>
      <c r="AZ85" s="31"/>
      <c r="BA85" s="34" t="str">
        <f t="shared" si="41"/>
        <v/>
      </c>
      <c r="BB85" s="21" t="s">
        <v>180</v>
      </c>
    </row>
    <row r="86" spans="1:54" ht="20" customHeight="1" x14ac:dyDescent="0.2">
      <c r="A86" s="678"/>
      <c r="B86" s="725"/>
      <c r="C86" s="253"/>
      <c r="D86" s="722" t="s">
        <v>85</v>
      </c>
      <c r="E86" s="723" t="s">
        <v>286</v>
      </c>
      <c r="F86" s="723" t="s">
        <v>287</v>
      </c>
      <c r="G86" s="722">
        <v>2009</v>
      </c>
      <c r="H86" s="287"/>
      <c r="I86" s="65">
        <v>20</v>
      </c>
      <c r="J86" s="61" t="s">
        <v>213</v>
      </c>
      <c r="K86" s="62" t="s">
        <v>190</v>
      </c>
      <c r="L86" s="31"/>
      <c r="M86" s="34" t="str">
        <f t="shared" si="25"/>
        <v/>
      </c>
      <c r="N86" s="31"/>
      <c r="O86" s="34" t="str">
        <f t="shared" si="26"/>
        <v/>
      </c>
      <c r="P86" s="31"/>
      <c r="Q86" s="34" t="str">
        <f t="shared" si="27"/>
        <v/>
      </c>
      <c r="R86" s="31"/>
      <c r="S86" s="34" t="str">
        <f t="shared" si="28"/>
        <v/>
      </c>
      <c r="T86" s="31"/>
      <c r="U86" s="34" t="str">
        <f t="shared" si="29"/>
        <v/>
      </c>
      <c r="V86" s="56"/>
      <c r="W86" s="34" t="str">
        <f t="shared" si="30"/>
        <v/>
      </c>
      <c r="X86" s="31"/>
      <c r="Y86" s="34" t="str">
        <f>IF((ISERROR((X86/$I86)*100)), "", IF(AND(NOT(ISERROR((X86/$I86)*100)),((X86/$I86)*100) &lt;&gt; 0), (X86/$I86)*100, ""))</f>
        <v/>
      </c>
      <c r="Z86" s="31"/>
      <c r="AA86" s="34" t="str">
        <f>IF((ISERROR((Z86/$I86)*100)), "", IF(AND(NOT(ISERROR((Z86/$I86)*100)),((Z86/$I86)*100) &lt;&gt; 0), (Z86/$I86)*100, ""))</f>
        <v/>
      </c>
      <c r="AB86" s="31"/>
      <c r="AC86" s="34" t="str">
        <f>IF((ISERROR((AB86/$I86)*100)), "", IF(AND(NOT(ISERROR((AB86/$I86)*100)),((AB86/$I86)*100) &lt;&gt; 0), (AB86/$I86)*100, ""))</f>
        <v/>
      </c>
      <c r="AD86" s="31"/>
      <c r="AE86" s="34" t="str">
        <f>IF((ISERROR((AD86/$I86)*100)), "", IF(AND(NOT(ISERROR((AD86/$I86)*100)),((AD86/$I86)*100) &lt;&gt; 0), (AD86/$I86)*100, ""))</f>
        <v/>
      </c>
      <c r="AF86" s="56"/>
      <c r="AG86" s="34" t="str">
        <f t="shared" si="31"/>
        <v/>
      </c>
      <c r="AH86" s="31"/>
      <c r="AI86" s="34" t="str">
        <f>IF((ISERROR((AH86/$I86)*100)), "", IF(AND(NOT(ISERROR((AH86/$I86)*100)),((AH86/$I86)*100) &lt;&gt; 0), (AH86/$I86)*100, ""))</f>
        <v/>
      </c>
      <c r="AJ86" s="31"/>
      <c r="AK86" s="34" t="str">
        <f t="shared" si="32"/>
        <v/>
      </c>
      <c r="AL86" s="31"/>
      <c r="AM86" s="34" t="str">
        <f>IF((ISERROR((AL86/$I86)*100)), "", IF(AND(NOT(ISERROR((AL86/$I86)*100)),((AL86/$I86)*100) &lt;&gt; 0), (AL86/$I86)*100, ""))</f>
        <v/>
      </c>
      <c r="AN86" s="31"/>
      <c r="AO86" s="34" t="str">
        <f>IF((ISERROR((AN86/$I86)*100)), "", IF(AND(NOT(ISERROR((AN86/$I86)*100)),((AN86/$I86)*100) &lt;&gt; 0), (AN86/$I86)*100, ""))</f>
        <v/>
      </c>
      <c r="AP86" s="31"/>
      <c r="AQ86" s="34" t="str">
        <f t="shared" si="33"/>
        <v/>
      </c>
      <c r="AR86" s="31"/>
      <c r="AS86" s="34" t="str">
        <f t="shared" si="34"/>
        <v/>
      </c>
      <c r="AT86" s="31"/>
      <c r="AU86" s="34" t="str">
        <f t="shared" si="19"/>
        <v/>
      </c>
      <c r="AV86" s="31"/>
      <c r="AW86" s="34" t="str">
        <f t="shared" si="20"/>
        <v/>
      </c>
      <c r="AX86" s="31"/>
      <c r="AY86" s="34" t="str">
        <f t="shared" si="40"/>
        <v/>
      </c>
      <c r="AZ86" s="31"/>
      <c r="BA86" s="34" t="str">
        <f t="shared" si="41"/>
        <v/>
      </c>
      <c r="BB86" s="21" t="s">
        <v>355</v>
      </c>
    </row>
    <row r="87" spans="1:54" ht="20" customHeight="1" x14ac:dyDescent="0.2">
      <c r="A87" s="678"/>
      <c r="B87" s="725"/>
      <c r="C87" s="722"/>
      <c r="D87" s="722" t="s">
        <v>85</v>
      </c>
      <c r="E87" s="723" t="s">
        <v>288</v>
      </c>
      <c r="F87" s="723" t="s">
        <v>289</v>
      </c>
      <c r="G87" s="722">
        <v>2006</v>
      </c>
      <c r="H87" s="287"/>
      <c r="I87" s="65">
        <v>10</v>
      </c>
      <c r="J87" s="61" t="s">
        <v>356</v>
      </c>
      <c r="K87" s="62" t="s">
        <v>168</v>
      </c>
      <c r="L87" s="31"/>
      <c r="M87" s="34" t="str">
        <f t="shared" si="25"/>
        <v/>
      </c>
      <c r="N87" s="31"/>
      <c r="O87" s="34" t="str">
        <f t="shared" si="26"/>
        <v/>
      </c>
      <c r="P87" s="31"/>
      <c r="Q87" s="34" t="str">
        <f t="shared" si="27"/>
        <v/>
      </c>
      <c r="R87" s="31"/>
      <c r="S87" s="34" t="str">
        <f t="shared" si="28"/>
        <v/>
      </c>
      <c r="T87" s="36"/>
      <c r="U87" s="37" t="str">
        <f t="shared" si="29"/>
        <v/>
      </c>
      <c r="V87" s="56"/>
      <c r="W87" s="34" t="str">
        <f t="shared" si="30"/>
        <v/>
      </c>
      <c r="X87" s="31"/>
      <c r="Y87" s="34" t="str">
        <f>IF((ISERROR((X87/$I87)*100)), "", IF(AND(NOT(ISERROR((X87/$I87)*100)),((X87/$I87)*100) &lt;&gt; 0), (X87/$I87)*100, ""))</f>
        <v/>
      </c>
      <c r="Z87" s="31"/>
      <c r="AA87" s="34" t="str">
        <f>IF((ISERROR((Z87/$I87)*100)), "", IF(AND(NOT(ISERROR((Z87/$I87)*100)),((Z87/$I87)*100) &lt;&gt; 0), (Z87/$I87)*100, ""))</f>
        <v/>
      </c>
      <c r="AB87" s="31"/>
      <c r="AC87" s="34" t="str">
        <f>IF((ISERROR((AB87/$I87)*100)), "", IF(AND(NOT(ISERROR((AB87/$I87)*100)),((AB87/$I87)*100) &lt;&gt; 0), (AB87/$I87)*100, ""))</f>
        <v/>
      </c>
      <c r="AD87" s="31"/>
      <c r="AE87" s="34" t="str">
        <f>IF((ISERROR((AD87/$I87)*100)), "", IF(AND(NOT(ISERROR((AD87/$I87)*100)),((AD87/$I87)*100) &lt;&gt; 0), (AD87/$I87)*100, ""))</f>
        <v/>
      </c>
      <c r="AF87" s="56"/>
      <c r="AG87" s="34" t="str">
        <f t="shared" si="31"/>
        <v/>
      </c>
      <c r="AH87" s="31"/>
      <c r="AI87" s="34" t="str">
        <f>IF((ISERROR((AH87/$I87)*100)), "", IF(AND(NOT(ISERROR((AH87/$I87)*100)),((AH87/$I87)*100) &lt;&gt; 0), (AH87/$I87)*100, ""))</f>
        <v/>
      </c>
      <c r="AJ87" s="31"/>
      <c r="AK87" s="34" t="str">
        <f t="shared" si="32"/>
        <v/>
      </c>
      <c r="AL87" s="31"/>
      <c r="AM87" s="34" t="str">
        <f>IF((ISERROR((AL87/$I87)*100)), "", IF(AND(NOT(ISERROR((AL87/$I87)*100)),((AL87/$I87)*100) &lt;&gt; 0), (AL87/$I87)*100, ""))</f>
        <v/>
      </c>
      <c r="AN87" s="31"/>
      <c r="AO87" s="34" t="str">
        <f>IF((ISERROR((AN87/$I87)*100)), "", IF(AND(NOT(ISERROR((AN87/$I87)*100)),((AN87/$I87)*100) &lt;&gt; 0), (AN87/$I87)*100, ""))</f>
        <v/>
      </c>
      <c r="AP87" s="31"/>
      <c r="AQ87" s="34" t="str">
        <f t="shared" si="33"/>
        <v/>
      </c>
      <c r="AR87" s="31"/>
      <c r="AS87" s="34" t="str">
        <f t="shared" si="34"/>
        <v/>
      </c>
      <c r="AT87" s="31"/>
      <c r="AU87" s="34" t="str">
        <f t="shared" si="19"/>
        <v/>
      </c>
      <c r="AV87" s="31"/>
      <c r="AW87" s="34" t="str">
        <f t="shared" si="20"/>
        <v/>
      </c>
      <c r="AX87" s="31"/>
      <c r="AY87" s="34" t="str">
        <f t="shared" si="40"/>
        <v/>
      </c>
      <c r="AZ87" s="31"/>
      <c r="BA87" s="34" t="str">
        <f t="shared" si="41"/>
        <v/>
      </c>
      <c r="BB87" s="21" t="s">
        <v>357</v>
      </c>
    </row>
    <row r="88" spans="1:54" ht="20" customHeight="1" x14ac:dyDescent="0.2">
      <c r="A88" s="680"/>
      <c r="B88" s="725"/>
      <c r="C88" s="253"/>
      <c r="D88" s="722" t="s">
        <v>85</v>
      </c>
      <c r="E88" s="723" t="s">
        <v>531</v>
      </c>
      <c r="F88" s="723" t="s">
        <v>532</v>
      </c>
      <c r="G88" s="722">
        <v>2010</v>
      </c>
      <c r="H88" s="287"/>
      <c r="I88" s="701">
        <v>8</v>
      </c>
      <c r="J88" s="232" t="s">
        <v>213</v>
      </c>
      <c r="K88" s="250" t="s">
        <v>168</v>
      </c>
      <c r="L88" s="31"/>
      <c r="M88" s="34"/>
      <c r="N88" s="31"/>
      <c r="O88" s="34"/>
      <c r="P88" s="31"/>
      <c r="Q88" s="34"/>
      <c r="R88" s="31"/>
      <c r="S88" s="34"/>
      <c r="T88" s="31"/>
      <c r="U88" s="34"/>
      <c r="V88" s="56"/>
      <c r="W88" s="34"/>
      <c r="X88" s="31"/>
      <c r="Y88" s="34"/>
      <c r="Z88" s="31"/>
      <c r="AA88" s="34"/>
      <c r="AB88" s="31"/>
      <c r="AC88" s="34"/>
      <c r="AD88" s="31"/>
      <c r="AE88" s="34"/>
      <c r="AF88" s="56"/>
      <c r="AG88" s="34"/>
      <c r="AH88" s="31"/>
      <c r="AI88" s="34"/>
      <c r="AJ88" s="31"/>
      <c r="AK88" s="34"/>
      <c r="AL88" s="31"/>
      <c r="AM88" s="34"/>
      <c r="AN88" s="31"/>
      <c r="AO88" s="34"/>
      <c r="AP88" s="31"/>
      <c r="AQ88" s="34"/>
      <c r="AR88" s="31"/>
      <c r="AS88" s="34"/>
      <c r="AT88" s="31"/>
      <c r="AU88" s="34"/>
      <c r="AV88" s="31"/>
      <c r="AW88" s="34"/>
      <c r="AX88" s="31"/>
      <c r="AY88" s="34"/>
      <c r="AZ88" s="31"/>
      <c r="BA88" s="34"/>
    </row>
    <row r="89" spans="1:54" ht="20" customHeight="1" x14ac:dyDescent="0.2">
      <c r="A89" s="678"/>
      <c r="B89" s="721"/>
      <c r="C89" s="722"/>
      <c r="D89" s="722" t="s">
        <v>85</v>
      </c>
      <c r="E89" s="723" t="s">
        <v>292</v>
      </c>
      <c r="F89" s="723" t="s">
        <v>293</v>
      </c>
      <c r="G89" s="722">
        <v>2016</v>
      </c>
      <c r="H89" s="287"/>
      <c r="I89" s="65">
        <v>25</v>
      </c>
      <c r="J89" s="61" t="s">
        <v>213</v>
      </c>
      <c r="K89" s="62" t="s">
        <v>191</v>
      </c>
      <c r="L89" s="31"/>
      <c r="M89" s="34" t="str">
        <f t="shared" si="25"/>
        <v/>
      </c>
      <c r="N89" s="31"/>
      <c r="O89" s="34" t="str">
        <f t="shared" si="26"/>
        <v/>
      </c>
      <c r="P89" s="31"/>
      <c r="Q89" s="34" t="str">
        <f t="shared" si="27"/>
        <v/>
      </c>
      <c r="R89" s="31"/>
      <c r="S89" s="34" t="str">
        <f t="shared" si="28"/>
        <v/>
      </c>
      <c r="T89" s="31"/>
      <c r="U89" s="34" t="str">
        <f t="shared" si="29"/>
        <v/>
      </c>
      <c r="V89" s="56"/>
      <c r="W89" s="34" t="str">
        <f t="shared" si="30"/>
        <v/>
      </c>
      <c r="X89" s="31"/>
      <c r="Y89" s="34" t="str">
        <f>IF((ISERROR((X89/$I89)*100)), "", IF(AND(NOT(ISERROR((X89/$I89)*100)),((X89/$I89)*100) &lt;&gt; 0), (X89/$I89)*100, ""))</f>
        <v/>
      </c>
      <c r="Z89" s="31"/>
      <c r="AA89" s="34" t="str">
        <f>IF((ISERROR((Z89/$I89)*100)), "", IF(AND(NOT(ISERROR((Z89/$I89)*100)),((Z89/$I89)*100) &lt;&gt; 0), (Z89/$I89)*100, ""))</f>
        <v/>
      </c>
      <c r="AB89" s="31"/>
      <c r="AC89" s="34" t="str">
        <f>IF((ISERROR((AB89/$I89)*100)), "", IF(AND(NOT(ISERROR((AB89/$I89)*100)),((AB89/$I89)*100) &lt;&gt; 0), (AB89/$I89)*100, ""))</f>
        <v/>
      </c>
      <c r="AD89" s="31"/>
      <c r="AE89" s="34" t="str">
        <f>IF((ISERROR((AD89/$I89)*100)), "", IF(AND(NOT(ISERROR((AD89/$I89)*100)),((AD89/$I89)*100) &lt;&gt; 0), (AD89/$I89)*100, ""))</f>
        <v/>
      </c>
      <c r="AF89" s="56"/>
      <c r="AG89" s="34" t="str">
        <f t="shared" si="31"/>
        <v/>
      </c>
      <c r="AH89" s="31"/>
      <c r="AI89" s="34" t="str">
        <f>IF((ISERROR((AH89/$I89)*100)), "", IF(AND(NOT(ISERROR((AH89/$I89)*100)),((AH89/$I89)*100) &lt;&gt; 0), (AH89/$I89)*100, ""))</f>
        <v/>
      </c>
      <c r="AJ89" s="31"/>
      <c r="AK89" s="34" t="str">
        <f t="shared" si="32"/>
        <v/>
      </c>
      <c r="AL89" s="31"/>
      <c r="AM89" s="34" t="str">
        <f>IF((ISERROR((AL89/$I89)*100)), "", IF(AND(NOT(ISERROR((AL89/$I89)*100)),((AL89/$I89)*100) &lt;&gt; 0), (AL89/$I89)*100, ""))</f>
        <v/>
      </c>
      <c r="AN89" s="31"/>
      <c r="AO89" s="34" t="str">
        <f>IF((ISERROR((AN89/$I89)*100)), "", IF(AND(NOT(ISERROR((AN89/$I89)*100)),((AN89/$I89)*100) &lt;&gt; 0), (AN89/$I89)*100, ""))</f>
        <v/>
      </c>
      <c r="AP89" s="31"/>
      <c r="AQ89" s="34" t="str">
        <f t="shared" si="33"/>
        <v/>
      </c>
      <c r="AR89" s="31"/>
      <c r="AS89" s="34" t="str">
        <f t="shared" si="34"/>
        <v/>
      </c>
      <c r="AT89" s="31"/>
      <c r="AU89" s="34" t="str">
        <f t="shared" si="19"/>
        <v/>
      </c>
      <c r="AV89" s="31"/>
      <c r="AW89" s="34" t="str">
        <f t="shared" si="20"/>
        <v/>
      </c>
      <c r="AX89" s="31"/>
      <c r="AY89" s="34" t="str">
        <f t="shared" si="40"/>
        <v/>
      </c>
      <c r="AZ89" s="31"/>
      <c r="BA89" s="34" t="str">
        <f t="shared" si="41"/>
        <v/>
      </c>
    </row>
    <row r="90" spans="1:54" ht="20" customHeight="1" x14ac:dyDescent="0.2">
      <c r="A90" s="678"/>
      <c r="B90" s="725"/>
      <c r="C90" s="255"/>
      <c r="D90" s="722" t="s">
        <v>85</v>
      </c>
      <c r="E90" s="723" t="s">
        <v>290</v>
      </c>
      <c r="F90" s="723" t="s">
        <v>291</v>
      </c>
      <c r="G90" s="722">
        <v>2011</v>
      </c>
      <c r="H90" s="287"/>
      <c r="I90" s="65">
        <v>244</v>
      </c>
      <c r="J90" s="61" t="s">
        <v>210</v>
      </c>
      <c r="K90" s="62" t="s">
        <v>189</v>
      </c>
      <c r="L90" s="31"/>
      <c r="M90" s="34" t="str">
        <f t="shared" si="25"/>
        <v/>
      </c>
      <c r="N90" s="31"/>
      <c r="O90" s="34" t="str">
        <f t="shared" si="26"/>
        <v/>
      </c>
      <c r="P90" s="31"/>
      <c r="Q90" s="34" t="str">
        <f t="shared" si="27"/>
        <v/>
      </c>
      <c r="R90" s="31"/>
      <c r="S90" s="34" t="str">
        <f t="shared" si="28"/>
        <v/>
      </c>
      <c r="T90" s="31"/>
      <c r="U90" s="34" t="str">
        <f t="shared" si="29"/>
        <v/>
      </c>
      <c r="V90" s="56"/>
      <c r="W90" s="34" t="str">
        <f t="shared" si="30"/>
        <v/>
      </c>
      <c r="X90" s="31"/>
      <c r="Y90" s="34" t="str">
        <f t="shared" si="35"/>
        <v/>
      </c>
      <c r="Z90" s="31"/>
      <c r="AA90" s="34" t="str">
        <f t="shared" si="36"/>
        <v/>
      </c>
      <c r="AB90" s="31"/>
      <c r="AC90" s="34" t="str">
        <f t="shared" si="37"/>
        <v/>
      </c>
      <c r="AD90" s="31"/>
      <c r="AE90" s="34" t="str">
        <f t="shared" si="38"/>
        <v/>
      </c>
      <c r="AF90" s="56"/>
      <c r="AG90" s="34" t="str">
        <f t="shared" si="31"/>
        <v/>
      </c>
      <c r="AH90" s="31">
        <v>3</v>
      </c>
      <c r="AI90" s="34">
        <f t="shared" si="23"/>
        <v>1.2295081967213115</v>
      </c>
      <c r="AJ90" s="31"/>
      <c r="AK90" s="34" t="str">
        <f t="shared" si="32"/>
        <v/>
      </c>
      <c r="AL90" s="31"/>
      <c r="AM90" s="34" t="str">
        <f t="shared" si="39"/>
        <v/>
      </c>
      <c r="AN90" s="31"/>
      <c r="AO90" s="34" t="str">
        <f t="shared" si="19"/>
        <v/>
      </c>
      <c r="AP90" s="31">
        <v>4</v>
      </c>
      <c r="AQ90" s="34">
        <f t="shared" si="33"/>
        <v>1.639344262295082</v>
      </c>
      <c r="AR90" s="31"/>
      <c r="AS90" s="34" t="str">
        <f t="shared" si="34"/>
        <v/>
      </c>
      <c r="AT90" s="31"/>
      <c r="AU90" s="34" t="str">
        <f t="shared" si="19"/>
        <v/>
      </c>
      <c r="AV90" s="31"/>
      <c r="AW90" s="34" t="str">
        <f t="shared" si="20"/>
        <v/>
      </c>
      <c r="AX90" s="31"/>
      <c r="AY90" s="34" t="str">
        <f t="shared" si="40"/>
        <v/>
      </c>
      <c r="AZ90" s="31"/>
      <c r="BA90" s="34" t="str">
        <f t="shared" si="41"/>
        <v/>
      </c>
    </row>
    <row r="91" spans="1:54" ht="20" customHeight="1" x14ac:dyDescent="0.2">
      <c r="A91" s="678"/>
      <c r="B91" s="721"/>
      <c r="C91" s="722"/>
      <c r="D91" s="727" t="s">
        <v>49</v>
      </c>
      <c r="E91" s="728" t="s">
        <v>93</v>
      </c>
      <c r="F91" s="728" t="s">
        <v>94</v>
      </c>
      <c r="G91" s="727">
        <v>2015</v>
      </c>
      <c r="H91" s="729">
        <v>22</v>
      </c>
      <c r="I91" s="65"/>
      <c r="J91" s="61"/>
      <c r="K91" s="62"/>
      <c r="L91" s="31"/>
      <c r="M91" s="34" t="str">
        <f t="shared" si="25"/>
        <v/>
      </c>
      <c r="N91" s="31"/>
      <c r="O91" s="34" t="str">
        <f t="shared" si="26"/>
        <v/>
      </c>
      <c r="P91" s="31"/>
      <c r="Q91" s="34" t="str">
        <f t="shared" si="27"/>
        <v/>
      </c>
      <c r="R91" s="31"/>
      <c r="S91" s="34" t="str">
        <f t="shared" si="28"/>
        <v/>
      </c>
      <c r="T91" s="31"/>
      <c r="U91" s="34" t="str">
        <f t="shared" si="29"/>
        <v/>
      </c>
      <c r="V91" s="56"/>
      <c r="W91" s="34" t="str">
        <f t="shared" si="30"/>
        <v/>
      </c>
      <c r="X91" s="31"/>
      <c r="Y91" s="34" t="str">
        <f t="shared" si="35"/>
        <v/>
      </c>
      <c r="Z91" s="31"/>
      <c r="AA91" s="34" t="str">
        <f t="shared" si="36"/>
        <v/>
      </c>
      <c r="AB91" s="31"/>
      <c r="AC91" s="34" t="str">
        <f t="shared" si="37"/>
        <v/>
      </c>
      <c r="AD91" s="31"/>
      <c r="AE91" s="34" t="str">
        <f t="shared" si="38"/>
        <v/>
      </c>
      <c r="AF91" s="56"/>
      <c r="AG91" s="34" t="str">
        <f t="shared" si="31"/>
        <v/>
      </c>
      <c r="AH91" s="31"/>
      <c r="AI91" s="34" t="str">
        <f t="shared" si="23"/>
        <v/>
      </c>
      <c r="AJ91" s="31"/>
      <c r="AK91" s="34" t="str">
        <f t="shared" si="32"/>
        <v/>
      </c>
      <c r="AL91" s="31"/>
      <c r="AM91" s="34" t="str">
        <f t="shared" si="39"/>
        <v/>
      </c>
      <c r="AN91" s="31"/>
      <c r="AO91" s="34" t="str">
        <f t="shared" si="19"/>
        <v/>
      </c>
      <c r="AP91" s="31"/>
      <c r="AQ91" s="34" t="str">
        <f t="shared" si="33"/>
        <v/>
      </c>
      <c r="AR91" s="31"/>
      <c r="AS91" s="34" t="str">
        <f t="shared" si="34"/>
        <v/>
      </c>
      <c r="AT91" s="31"/>
      <c r="AU91" s="34" t="str">
        <f t="shared" si="19"/>
        <v/>
      </c>
      <c r="AV91" s="31"/>
      <c r="AW91" s="34" t="str">
        <f t="shared" si="20"/>
        <v/>
      </c>
      <c r="AX91" s="31"/>
      <c r="AY91" s="34" t="str">
        <f t="shared" si="40"/>
        <v/>
      </c>
      <c r="AZ91" s="31"/>
      <c r="BA91" s="34" t="str">
        <f t="shared" si="41"/>
        <v/>
      </c>
    </row>
    <row r="92" spans="1:54" ht="20" customHeight="1" x14ac:dyDescent="0.2">
      <c r="A92" s="678"/>
      <c r="B92" s="721"/>
      <c r="C92" s="722"/>
      <c r="D92" s="727" t="s">
        <v>49</v>
      </c>
      <c r="E92" s="728" t="s">
        <v>95</v>
      </c>
      <c r="F92" s="728" t="s">
        <v>96</v>
      </c>
      <c r="G92" s="727">
        <v>1996</v>
      </c>
      <c r="H92" s="729">
        <v>71</v>
      </c>
      <c r="I92" s="65"/>
      <c r="J92" s="61"/>
      <c r="K92" s="62"/>
      <c r="L92" s="31"/>
      <c r="M92" s="34" t="str">
        <f t="shared" si="25"/>
        <v/>
      </c>
      <c r="N92" s="31"/>
      <c r="O92" s="34" t="str">
        <f t="shared" si="26"/>
        <v/>
      </c>
      <c r="P92" s="31"/>
      <c r="Q92" s="34" t="str">
        <f t="shared" si="27"/>
        <v/>
      </c>
      <c r="R92" s="31"/>
      <c r="S92" s="34" t="str">
        <f t="shared" si="28"/>
        <v/>
      </c>
      <c r="T92" s="31"/>
      <c r="U92" s="34" t="str">
        <f t="shared" si="29"/>
        <v/>
      </c>
      <c r="V92" s="56"/>
      <c r="W92" s="34" t="str">
        <f t="shared" si="30"/>
        <v/>
      </c>
      <c r="X92" s="31"/>
      <c r="Y92" s="34" t="str">
        <f t="shared" si="35"/>
        <v/>
      </c>
      <c r="Z92" s="31"/>
      <c r="AA92" s="34" t="str">
        <f t="shared" si="36"/>
        <v/>
      </c>
      <c r="AB92" s="31"/>
      <c r="AC92" s="34" t="str">
        <f t="shared" si="37"/>
        <v/>
      </c>
      <c r="AD92" s="31"/>
      <c r="AE92" s="34" t="str">
        <f t="shared" si="38"/>
        <v/>
      </c>
      <c r="AF92" s="56"/>
      <c r="AG92" s="34" t="str">
        <f t="shared" si="31"/>
        <v/>
      </c>
      <c r="AH92" s="31"/>
      <c r="AI92" s="34" t="str">
        <f t="shared" si="23"/>
        <v/>
      </c>
      <c r="AJ92" s="31"/>
      <c r="AK92" s="34" t="str">
        <f t="shared" si="32"/>
        <v/>
      </c>
      <c r="AL92" s="31"/>
      <c r="AM92" s="34" t="str">
        <f t="shared" si="39"/>
        <v/>
      </c>
      <c r="AN92" s="31"/>
      <c r="AO92" s="34" t="str">
        <f t="shared" si="19"/>
        <v/>
      </c>
      <c r="AP92" s="31"/>
      <c r="AQ92" s="34" t="str">
        <f t="shared" si="33"/>
        <v/>
      </c>
      <c r="AR92" s="31"/>
      <c r="AS92" s="34" t="str">
        <f t="shared" si="34"/>
        <v/>
      </c>
      <c r="AT92" s="31"/>
      <c r="AU92" s="34" t="str">
        <f t="shared" si="19"/>
        <v/>
      </c>
      <c r="AV92" s="31"/>
      <c r="AW92" s="34" t="str">
        <f t="shared" si="20"/>
        <v/>
      </c>
      <c r="AX92" s="31"/>
      <c r="AY92" s="34" t="str">
        <f t="shared" si="40"/>
        <v/>
      </c>
      <c r="AZ92" s="31"/>
      <c r="BA92" s="34" t="str">
        <f t="shared" si="41"/>
        <v/>
      </c>
    </row>
    <row r="93" spans="1:54" ht="20" customHeight="1" x14ac:dyDescent="0.2">
      <c r="A93" s="678"/>
      <c r="B93" s="725"/>
      <c r="C93" s="253"/>
      <c r="D93" s="727" t="s">
        <v>30</v>
      </c>
      <c r="E93" s="728" t="s">
        <v>97</v>
      </c>
      <c r="F93" s="728" t="s">
        <v>98</v>
      </c>
      <c r="G93" s="727">
        <v>2011</v>
      </c>
      <c r="H93" s="729">
        <v>74</v>
      </c>
      <c r="I93" s="65">
        <v>221</v>
      </c>
      <c r="J93" s="61"/>
      <c r="K93" s="62"/>
      <c r="L93" s="31"/>
      <c r="M93" s="34" t="str">
        <f t="shared" ref="M93:M134" si="42">IF((ISERROR((L93/$I93)*100)), "", IF(AND(NOT(ISERROR((L93/$I93)*100)),((L93/$I93)*100) &lt;&gt; 0), (L93/$I93)*100, ""))</f>
        <v/>
      </c>
      <c r="N93" s="31"/>
      <c r="O93" s="34" t="str">
        <f t="shared" ref="O93:O134" si="43">IF((ISERROR((N93/$I93)*100)), "", IF(AND(NOT(ISERROR((N93/$I93)*100)),((N93/$I93)*100) &lt;&gt; 0), (N93/$I93)*100, ""))</f>
        <v/>
      </c>
      <c r="P93" s="31"/>
      <c r="Q93" s="34" t="str">
        <f t="shared" ref="Q93:Q134" si="44">IF((ISERROR((P93/$I93)*100)), "", IF(AND(NOT(ISERROR((P93/$I93)*100)),((P93/$I93)*100) &lt;&gt; 0), (P93/$I93)*100, ""))</f>
        <v/>
      </c>
      <c r="R93" s="31"/>
      <c r="S93" s="34" t="str">
        <f t="shared" ref="S93:S134" si="45">IF((ISERROR((R93/$I93)*100)), "", IF(AND(NOT(ISERROR((R93/$I93)*100)),((R93/$I93)*100) &lt;&gt; 0), (R93/$I93)*100, ""))</f>
        <v/>
      </c>
      <c r="T93" s="31"/>
      <c r="U93" s="34" t="str">
        <f t="shared" ref="U93:U134" si="46">IF((ISERROR((T93/$I93)*100)), "", IF(AND(NOT(ISERROR((T93/$I93)*100)),((T93/$I93)*100) &lt;&gt; 0), (T93/$I93)*100, ""))</f>
        <v/>
      </c>
      <c r="V93" s="56"/>
      <c r="W93" s="34" t="str">
        <f t="shared" ref="W93:W105" si="47">IF((ISERROR((V93/$I93)*100)), "", IF(AND(NOT(ISERROR((V93/$I93)*100)),((V93/$I93)*100) &lt;&gt; 0), (V93/$I93)*100, ""))</f>
        <v/>
      </c>
      <c r="X93" s="31"/>
      <c r="Y93" s="34" t="str">
        <f t="shared" si="35"/>
        <v/>
      </c>
      <c r="Z93" s="31"/>
      <c r="AA93" s="34" t="str">
        <f t="shared" si="36"/>
        <v/>
      </c>
      <c r="AB93" s="31"/>
      <c r="AC93" s="34" t="str">
        <f t="shared" si="37"/>
        <v/>
      </c>
      <c r="AD93" s="31"/>
      <c r="AE93" s="34" t="str">
        <f t="shared" si="38"/>
        <v/>
      </c>
      <c r="AF93" s="56"/>
      <c r="AG93" s="34" t="str">
        <f t="shared" ref="AG93:AG134" si="48">IF((ISERROR((AF93/$I93)*100)), "", IF(AND(NOT(ISERROR((AF93/$I93)*100)),((AF93/$I93)*100) &lt;&gt; 0), (AF93/$I93)*100, ""))</f>
        <v/>
      </c>
      <c r="AH93" s="31"/>
      <c r="AI93" s="34" t="str">
        <f t="shared" si="23"/>
        <v/>
      </c>
      <c r="AJ93" s="31"/>
      <c r="AK93" s="34" t="str">
        <f t="shared" ref="AK93:AK134" si="49">IF((ISERROR((AJ93/$I93)*100)), "", IF(AND(NOT(ISERROR((AJ93/$I93)*100)),((AJ93/$I93)*100) &lt;&gt; 0), (AJ93/$I93)*100, ""))</f>
        <v/>
      </c>
      <c r="AL93" s="31"/>
      <c r="AM93" s="34" t="str">
        <f t="shared" si="39"/>
        <v/>
      </c>
      <c r="AN93" s="31"/>
      <c r="AO93" s="34" t="str">
        <f t="shared" si="19"/>
        <v/>
      </c>
      <c r="AP93" s="31"/>
      <c r="AQ93" s="34" t="str">
        <f t="shared" ref="AQ93:AQ134" si="50">IF((ISERROR((AP93/$I93)*100)), "", IF(AND(NOT(ISERROR((AP93/$I93)*100)),((AP93/$I93)*100) &lt;&gt; 0), (AP93/$I93)*100, ""))</f>
        <v/>
      </c>
      <c r="AR93" s="31"/>
      <c r="AS93" s="34" t="str">
        <f t="shared" ref="AS93:AS134" si="51">IF((ISERROR((AR93/$I93)*100)), "", IF(AND(NOT(ISERROR((AR93/$I93)*100)),((AR93/$I93)*100) &lt;&gt; 0), (AR93/$I93)*100, ""))</f>
        <v/>
      </c>
      <c r="AT93" s="31"/>
      <c r="AU93" s="34" t="str">
        <f t="shared" si="19"/>
        <v/>
      </c>
      <c r="AV93" s="31"/>
      <c r="AW93" s="34" t="str">
        <f t="shared" si="20"/>
        <v/>
      </c>
      <c r="AX93" s="31"/>
      <c r="AY93" s="34" t="str">
        <f t="shared" si="40"/>
        <v/>
      </c>
      <c r="AZ93" s="31"/>
      <c r="BA93" s="34" t="str">
        <f t="shared" si="41"/>
        <v/>
      </c>
      <c r="BB93" s="21" t="s">
        <v>380</v>
      </c>
    </row>
    <row r="94" spans="1:54" ht="20" customHeight="1" x14ac:dyDescent="0.2">
      <c r="A94" s="680"/>
      <c r="B94" s="721"/>
      <c r="C94" s="723"/>
      <c r="D94" s="722" t="s">
        <v>85</v>
      </c>
      <c r="E94" s="723" t="s">
        <v>650</v>
      </c>
      <c r="F94" s="723" t="s">
        <v>651</v>
      </c>
      <c r="G94" s="722">
        <v>2003</v>
      </c>
      <c r="H94" s="287"/>
      <c r="I94" s="701"/>
      <c r="J94" s="232" t="s">
        <v>210</v>
      </c>
      <c r="K94" s="250" t="s">
        <v>209</v>
      </c>
      <c r="L94" s="31"/>
      <c r="M94" s="34"/>
      <c r="N94" s="31"/>
      <c r="O94" s="34"/>
      <c r="P94" s="31"/>
      <c r="Q94" s="34"/>
      <c r="R94" s="31"/>
      <c r="S94" s="34"/>
      <c r="T94" s="31"/>
      <c r="U94" s="34"/>
      <c r="V94" s="56"/>
      <c r="W94" s="34"/>
      <c r="X94" s="31"/>
      <c r="Y94" s="34"/>
      <c r="Z94" s="31"/>
      <c r="AA94" s="34"/>
      <c r="AB94" s="31"/>
      <c r="AC94" s="34"/>
      <c r="AD94" s="31"/>
      <c r="AE94" s="34"/>
      <c r="AF94" s="56"/>
      <c r="AG94" s="34"/>
      <c r="AH94" s="31"/>
      <c r="AI94" s="34"/>
      <c r="AJ94" s="31"/>
      <c r="AK94" s="34"/>
      <c r="AL94" s="31"/>
      <c r="AM94" s="34"/>
      <c r="AN94" s="31"/>
      <c r="AO94" s="34"/>
      <c r="AP94" s="31"/>
      <c r="AQ94" s="34"/>
      <c r="AR94" s="31"/>
      <c r="AS94" s="34"/>
      <c r="AT94" s="31"/>
      <c r="AU94" s="34"/>
      <c r="AV94" s="31"/>
      <c r="AW94" s="34"/>
      <c r="AX94" s="31"/>
      <c r="AY94" s="34"/>
      <c r="AZ94" s="31"/>
      <c r="BA94" s="34"/>
    </row>
    <row r="95" spans="1:54" ht="20" customHeight="1" x14ac:dyDescent="0.2">
      <c r="A95" s="678"/>
      <c r="B95" s="725"/>
      <c r="C95" s="255"/>
      <c r="D95" s="722" t="s">
        <v>85</v>
      </c>
      <c r="E95" s="723" t="s">
        <v>99</v>
      </c>
      <c r="F95" s="723" t="s">
        <v>100</v>
      </c>
      <c r="G95" s="722">
        <v>2002</v>
      </c>
      <c r="H95" s="287">
        <v>103</v>
      </c>
      <c r="I95" s="65">
        <v>8</v>
      </c>
      <c r="J95" s="61"/>
      <c r="K95" s="62"/>
      <c r="L95" s="31"/>
      <c r="M95" s="34" t="str">
        <f t="shared" si="42"/>
        <v/>
      </c>
      <c r="N95" s="31"/>
      <c r="O95" s="34" t="str">
        <f t="shared" si="43"/>
        <v/>
      </c>
      <c r="P95" s="31"/>
      <c r="Q95" s="34" t="str">
        <f t="shared" si="44"/>
        <v/>
      </c>
      <c r="R95" s="31"/>
      <c r="S95" s="34" t="str">
        <f t="shared" si="45"/>
        <v/>
      </c>
      <c r="T95" s="31"/>
      <c r="U95" s="34" t="str">
        <f t="shared" si="46"/>
        <v/>
      </c>
      <c r="V95" s="56">
        <v>2</v>
      </c>
      <c r="W95" s="34">
        <f t="shared" si="47"/>
        <v>25</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IF((ISERROR((AD95/$I95)*100)), "", IF(AND(NOT(ISERROR((AD95/$I95)*100)),((AD95/$I95)*100) &lt;&gt; 0), (AD95/$I95)*100, ""))</f>
        <v/>
      </c>
      <c r="AF95" s="56"/>
      <c r="AG95" s="34" t="str">
        <f t="shared" si="48"/>
        <v/>
      </c>
      <c r="AH95" s="31"/>
      <c r="AI95" s="34" t="str">
        <f>IF((ISERROR((AH95/$I95)*100)), "", IF(AND(NOT(ISERROR((AH95/$I95)*100)),((AH95/$I95)*100) &lt;&gt; 0), (AH95/$I95)*100, ""))</f>
        <v/>
      </c>
      <c r="AJ95" s="31"/>
      <c r="AK95" s="34" t="str">
        <f t="shared" si="49"/>
        <v/>
      </c>
      <c r="AL95" s="31"/>
      <c r="AM95" s="34" t="str">
        <f>IF((ISERROR((AL95/$I95)*100)), "", IF(AND(NOT(ISERROR((AL95/$I95)*100)),((AL95/$I95)*100) &lt;&gt; 0), (AL95/$I95)*100, ""))</f>
        <v/>
      </c>
      <c r="AN95" s="31"/>
      <c r="AO95" s="34" t="str">
        <f>IF((ISERROR((AN95/$I95)*100)), "", IF(AND(NOT(ISERROR((AN95/$I95)*100)),((AN95/$I95)*100) &lt;&gt; 0), (AN95/$I95)*100, ""))</f>
        <v/>
      </c>
      <c r="AP95" s="31"/>
      <c r="AQ95" s="34" t="str">
        <f t="shared" si="50"/>
        <v/>
      </c>
      <c r="AR95" s="31"/>
      <c r="AS95" s="34" t="str">
        <f t="shared" si="51"/>
        <v/>
      </c>
      <c r="AT95" s="31"/>
      <c r="AU95" s="34" t="str">
        <f t="shared" si="19"/>
        <v/>
      </c>
      <c r="AV95" s="31"/>
      <c r="AW95" s="34" t="str">
        <f t="shared" ref="AW95" si="52">IF((ISERROR((AV95/$I95)*100)), "", IF(AND(NOT(ISERROR((AV95/$I95)*100)),((AV95/$I95)*100) &lt;&gt; 0), (AV95/$I95)*100, ""))</f>
        <v/>
      </c>
      <c r="AX95" s="31"/>
      <c r="AY95" s="34" t="str">
        <f t="shared" si="40"/>
        <v/>
      </c>
      <c r="AZ95" s="31"/>
      <c r="BA95" s="34" t="str">
        <f t="shared" si="41"/>
        <v/>
      </c>
      <c r="BB95" s="21" t="s">
        <v>200</v>
      </c>
    </row>
    <row r="96" spans="1:54" ht="20" customHeight="1" x14ac:dyDescent="0.2">
      <c r="A96" s="680"/>
      <c r="B96" s="721"/>
      <c r="C96" s="722"/>
      <c r="D96" s="722" t="s">
        <v>85</v>
      </c>
      <c r="E96" s="723" t="s">
        <v>652</v>
      </c>
      <c r="F96" s="723" t="s">
        <v>653</v>
      </c>
      <c r="G96" s="722">
        <v>1991</v>
      </c>
      <c r="H96" s="287"/>
      <c r="I96" s="65">
        <v>13</v>
      </c>
      <c r="J96" s="61" t="s">
        <v>655</v>
      </c>
      <c r="K96" s="62" t="s">
        <v>191</v>
      </c>
      <c r="L96" s="31"/>
      <c r="M96" s="34"/>
      <c r="N96" s="31"/>
      <c r="O96" s="34"/>
      <c r="P96" s="31"/>
      <c r="Q96" s="34"/>
      <c r="R96" s="31"/>
      <c r="S96" s="34"/>
      <c r="T96" s="31"/>
      <c r="U96" s="34"/>
      <c r="V96" s="56"/>
      <c r="W96" s="34"/>
      <c r="X96" s="31"/>
      <c r="Y96" s="34"/>
      <c r="Z96" s="31"/>
      <c r="AA96" s="34"/>
      <c r="AB96" s="31"/>
      <c r="AC96" s="34"/>
      <c r="AD96" s="31"/>
      <c r="AE96" s="34"/>
      <c r="AF96" s="56"/>
      <c r="AG96" s="34"/>
      <c r="AH96" s="31"/>
      <c r="AI96" s="34"/>
      <c r="AJ96" s="31"/>
      <c r="AK96" s="34"/>
      <c r="AL96" s="31"/>
      <c r="AM96" s="34"/>
      <c r="AN96" s="31"/>
      <c r="AO96" s="34"/>
      <c r="AP96" s="31"/>
      <c r="AQ96" s="34"/>
      <c r="AR96" s="31"/>
      <c r="AS96" s="34"/>
      <c r="AT96" s="31"/>
      <c r="AU96" s="34"/>
      <c r="AV96" s="31"/>
      <c r="AW96" s="34"/>
      <c r="AX96" s="31"/>
      <c r="AY96" s="34"/>
      <c r="AZ96" s="31"/>
      <c r="BA96" s="34"/>
    </row>
    <row r="97" spans="1:54" ht="20" customHeight="1" x14ac:dyDescent="0.2">
      <c r="A97" s="680"/>
      <c r="B97" s="725"/>
      <c r="C97" s="253"/>
      <c r="D97" s="722" t="s">
        <v>85</v>
      </c>
      <c r="E97" s="723" t="s">
        <v>533</v>
      </c>
      <c r="F97" s="723" t="s">
        <v>654</v>
      </c>
      <c r="G97" s="722">
        <v>1998</v>
      </c>
      <c r="H97" s="287"/>
      <c r="I97" s="65">
        <v>9</v>
      </c>
      <c r="J97" s="61" t="s">
        <v>535</v>
      </c>
      <c r="K97" s="62" t="s">
        <v>168</v>
      </c>
      <c r="L97" s="31"/>
      <c r="M97" s="34"/>
      <c r="N97" s="31"/>
      <c r="O97" s="34"/>
      <c r="P97" s="31"/>
      <c r="Q97" s="34"/>
      <c r="R97" s="31"/>
      <c r="S97" s="34"/>
      <c r="T97" s="31"/>
      <c r="U97" s="34"/>
      <c r="V97" s="56"/>
      <c r="W97" s="34"/>
      <c r="X97" s="31"/>
      <c r="Y97" s="34"/>
      <c r="Z97" s="31"/>
      <c r="AA97" s="34"/>
      <c r="AB97" s="31"/>
      <c r="AC97" s="34"/>
      <c r="AD97" s="31"/>
      <c r="AE97" s="34"/>
      <c r="AF97" s="56"/>
      <c r="AG97" s="34"/>
      <c r="AH97" s="31"/>
      <c r="AI97" s="34"/>
      <c r="AJ97" s="31"/>
      <c r="AK97" s="34"/>
      <c r="AL97" s="31"/>
      <c r="AM97" s="34"/>
      <c r="AN97" s="31"/>
      <c r="AO97" s="34"/>
      <c r="AP97" s="31"/>
      <c r="AQ97" s="34"/>
      <c r="AR97" s="31"/>
      <c r="AS97" s="34"/>
      <c r="AT97" s="31"/>
      <c r="AU97" s="34"/>
      <c r="AV97" s="31"/>
      <c r="AW97" s="34"/>
      <c r="AX97" s="31"/>
      <c r="AY97" s="34"/>
      <c r="AZ97" s="31"/>
      <c r="BA97" s="34"/>
    </row>
    <row r="98" spans="1:54" ht="20" customHeight="1" x14ac:dyDescent="0.2">
      <c r="A98" s="678"/>
      <c r="B98" s="725"/>
      <c r="C98" s="253"/>
      <c r="D98" s="727" t="s">
        <v>30</v>
      </c>
      <c r="E98" s="728" t="s">
        <v>101</v>
      </c>
      <c r="F98" s="728" t="s">
        <v>102</v>
      </c>
      <c r="G98" s="727">
        <v>2014</v>
      </c>
      <c r="H98" s="729">
        <v>30</v>
      </c>
      <c r="I98" s="65"/>
      <c r="J98" s="61"/>
      <c r="K98" s="62"/>
      <c r="L98" s="31"/>
      <c r="M98" s="34" t="str">
        <f t="shared" si="42"/>
        <v/>
      </c>
      <c r="N98" s="31"/>
      <c r="O98" s="34" t="str">
        <f t="shared" si="43"/>
        <v/>
      </c>
      <c r="P98" s="31"/>
      <c r="Q98" s="34" t="str">
        <f t="shared" si="44"/>
        <v/>
      </c>
      <c r="R98" s="31"/>
      <c r="S98" s="34" t="str">
        <f t="shared" si="45"/>
        <v/>
      </c>
      <c r="T98" s="31">
        <v>2</v>
      </c>
      <c r="U98" s="34" t="str">
        <f t="shared" si="46"/>
        <v/>
      </c>
      <c r="V98" s="56"/>
      <c r="W98" s="34" t="str">
        <f t="shared" si="47"/>
        <v/>
      </c>
      <c r="X98" s="31"/>
      <c r="Y98" s="34" t="str">
        <f t="shared" ref="Y98:Y140" si="53">IF((ISERROR((X98/$I98)*100)), "", IF(AND(NOT(ISERROR((X98/$I98)*100)),((X98/$I98)*100) &lt;&gt; 0), (X98/$I98)*100, ""))</f>
        <v/>
      </c>
      <c r="Z98" s="31"/>
      <c r="AA98" s="34" t="str">
        <f t="shared" ref="AA98:AA140" si="54">IF((ISERROR((Z98/$I98)*100)), "", IF(AND(NOT(ISERROR((Z98/$I98)*100)),((Z98/$I98)*100) &lt;&gt; 0), (Z98/$I98)*100, ""))</f>
        <v/>
      </c>
      <c r="AB98" s="31"/>
      <c r="AC98" s="34" t="str">
        <f t="shared" ref="AC98:AC140" si="55">IF((ISERROR((AB98/$I98)*100)), "", IF(AND(NOT(ISERROR((AB98/$I98)*100)),((AB98/$I98)*100) &lt;&gt; 0), (AB98/$I98)*100, ""))</f>
        <v/>
      </c>
      <c r="AD98" s="31"/>
      <c r="AE98" s="34" t="str">
        <f t="shared" ref="AE98:AE140" si="56">IF((ISERROR((AD98/$I98)*100)), "", IF(AND(NOT(ISERROR((AD98/$I98)*100)),((AD98/$I98)*100) &lt;&gt; 0), (AD98/$I98)*100, ""))</f>
        <v/>
      </c>
      <c r="AF98" s="56"/>
      <c r="AG98" s="34" t="str">
        <f t="shared" si="48"/>
        <v/>
      </c>
      <c r="AH98" s="31">
        <v>2</v>
      </c>
      <c r="AI98" s="34" t="str">
        <f t="shared" si="23"/>
        <v/>
      </c>
      <c r="AJ98" s="31"/>
      <c r="AK98" s="34" t="str">
        <f t="shared" si="49"/>
        <v/>
      </c>
      <c r="AL98" s="31"/>
      <c r="AM98" s="34" t="str">
        <f t="shared" ref="AM98:AM140" si="57">IF((ISERROR((AL98/$I98)*100)), "", IF(AND(NOT(ISERROR((AL98/$I98)*100)),((AL98/$I98)*100) &lt;&gt; 0), (AL98/$I98)*100, ""))</f>
        <v/>
      </c>
      <c r="AN98" s="31"/>
      <c r="AO98" s="34" t="str">
        <f t="shared" si="19"/>
        <v/>
      </c>
      <c r="AP98" s="36"/>
      <c r="AQ98" s="37" t="str">
        <f t="shared" si="50"/>
        <v/>
      </c>
      <c r="AR98" s="31">
        <v>1</v>
      </c>
      <c r="AS98" s="34" t="str">
        <f t="shared" si="51"/>
        <v/>
      </c>
      <c r="AT98" s="31"/>
      <c r="AU98" s="34" t="str">
        <f t="shared" si="19"/>
        <v/>
      </c>
      <c r="AV98" s="31"/>
      <c r="AW98" s="34" t="str">
        <f t="shared" ref="AW98:AW152" si="58">IF((ISERROR((AV98/$I98)*100)), "", IF(AND(NOT(ISERROR((AV98/$I98)*100)),((AV98/$I98)*100) &lt;&gt; 0), (AV98/$I98)*100, ""))</f>
        <v/>
      </c>
      <c r="AX98" s="31"/>
      <c r="AY98" s="34" t="str">
        <f t="shared" ref="AY98:AY143" si="59">IF((ISERROR((AX98/$I98)*100)), "", IF(AND(NOT(ISERROR((AX98/$I98)*100)),((AX98/$I98)*100) &lt;&gt; 0), (AX98/$I98)*100, ""))</f>
        <v/>
      </c>
      <c r="AZ98" s="36"/>
      <c r="BA98" s="37" t="str">
        <f t="shared" ref="BA98:BA143" si="60">IF((ISERROR((AZ98/$I98)*100)), "", IF(AND(NOT(ISERROR((AZ98/$I98)*100)),((AZ98/$I98)*100) &lt;&gt; 0), (AZ98/$I98)*100, ""))</f>
        <v/>
      </c>
      <c r="BB98" s="21" t="s">
        <v>381</v>
      </c>
    </row>
    <row r="99" spans="1:54" ht="20" customHeight="1" x14ac:dyDescent="0.2">
      <c r="A99" s="680"/>
      <c r="B99" s="721"/>
      <c r="C99" s="722"/>
      <c r="D99" s="722" t="s">
        <v>85</v>
      </c>
      <c r="E99" s="723" t="s">
        <v>656</v>
      </c>
      <c r="F99" s="723" t="s">
        <v>657</v>
      </c>
      <c r="G99" s="722">
        <v>2007</v>
      </c>
      <c r="H99" s="757"/>
      <c r="I99" s="701"/>
      <c r="J99" s="232" t="s">
        <v>213</v>
      </c>
      <c r="K99" s="250" t="s">
        <v>168</v>
      </c>
      <c r="L99" s="31"/>
      <c r="M99" s="34"/>
      <c r="N99" s="31"/>
      <c r="O99" s="34"/>
      <c r="P99" s="31"/>
      <c r="Q99" s="34"/>
      <c r="R99" s="31"/>
      <c r="S99" s="34"/>
      <c r="T99" s="31"/>
      <c r="U99" s="34"/>
      <c r="V99" s="56"/>
      <c r="W99" s="34"/>
      <c r="X99" s="31"/>
      <c r="Y99" s="34"/>
      <c r="Z99" s="31"/>
      <c r="AA99" s="34"/>
      <c r="AB99" s="31"/>
      <c r="AC99" s="34"/>
      <c r="AD99" s="31"/>
      <c r="AE99" s="34"/>
      <c r="AF99" s="56"/>
      <c r="AG99" s="34"/>
      <c r="AH99" s="31"/>
      <c r="AI99" s="34"/>
      <c r="AJ99" s="31"/>
      <c r="AK99" s="34"/>
      <c r="AL99" s="31"/>
      <c r="AM99" s="34"/>
      <c r="AN99" s="31"/>
      <c r="AO99" s="34"/>
      <c r="AP99" s="31"/>
      <c r="AQ99" s="34"/>
      <c r="AR99" s="31"/>
      <c r="AS99" s="34"/>
      <c r="AT99" s="31"/>
      <c r="AU99" s="34"/>
      <c r="AV99" s="31"/>
      <c r="AW99" s="34"/>
      <c r="AX99" s="31"/>
      <c r="AY99" s="34"/>
      <c r="AZ99" s="31"/>
      <c r="BA99" s="34"/>
    </row>
    <row r="100" spans="1:54" ht="20" customHeight="1" x14ac:dyDescent="0.2">
      <c r="A100" s="678"/>
      <c r="B100" s="725"/>
      <c r="C100" s="253"/>
      <c r="D100" s="722"/>
      <c r="E100" s="723" t="s">
        <v>294</v>
      </c>
      <c r="F100" s="723" t="s">
        <v>295</v>
      </c>
      <c r="G100" s="722">
        <v>2013</v>
      </c>
      <c r="H100" s="287"/>
      <c r="I100" s="65">
        <v>18</v>
      </c>
      <c r="J100" s="61"/>
      <c r="K100" s="62"/>
      <c r="L100" s="31"/>
      <c r="M100" s="34" t="str">
        <f t="shared" si="42"/>
        <v/>
      </c>
      <c r="N100" s="31"/>
      <c r="O100" s="34" t="str">
        <f t="shared" si="43"/>
        <v/>
      </c>
      <c r="P100" s="31"/>
      <c r="Q100" s="34" t="str">
        <f t="shared" si="44"/>
        <v/>
      </c>
      <c r="R100" s="31"/>
      <c r="S100" s="34" t="str">
        <f t="shared" si="45"/>
        <v/>
      </c>
      <c r="T100" s="31"/>
      <c r="U100" s="34" t="str">
        <f t="shared" si="46"/>
        <v/>
      </c>
      <c r="V100" s="56"/>
      <c r="W100" s="34" t="str">
        <f t="shared" si="47"/>
        <v/>
      </c>
      <c r="X100" s="31"/>
      <c r="Y100" s="34" t="str">
        <f t="shared" si="53"/>
        <v/>
      </c>
      <c r="Z100" s="31"/>
      <c r="AA100" s="34" t="str">
        <f t="shared" si="54"/>
        <v/>
      </c>
      <c r="AB100" s="31"/>
      <c r="AC100" s="34" t="str">
        <f t="shared" si="55"/>
        <v/>
      </c>
      <c r="AD100" s="31"/>
      <c r="AE100" s="34" t="str">
        <f t="shared" si="56"/>
        <v/>
      </c>
      <c r="AF100" s="56"/>
      <c r="AG100" s="34" t="str">
        <f t="shared" si="48"/>
        <v/>
      </c>
      <c r="AH100" s="31"/>
      <c r="AI100" s="34" t="str">
        <f t="shared" ref="AI100:AI149" si="61">IF((ISERROR((AH100/$I100)*100)), "", IF(AND(NOT(ISERROR((AH100/$I100)*100)),((AH100/$I100)*100) &lt;&gt; 0), (AH100/$I100)*100, ""))</f>
        <v/>
      </c>
      <c r="AJ100" s="31"/>
      <c r="AK100" s="34" t="str">
        <f t="shared" si="49"/>
        <v/>
      </c>
      <c r="AL100" s="31"/>
      <c r="AM100" s="34" t="str">
        <f t="shared" si="57"/>
        <v/>
      </c>
      <c r="AN100" s="31"/>
      <c r="AO100" s="34" t="str">
        <f t="shared" si="19"/>
        <v/>
      </c>
      <c r="AP100" s="31"/>
      <c r="AQ100" s="34" t="str">
        <f t="shared" si="50"/>
        <v/>
      </c>
      <c r="AR100" s="31"/>
      <c r="AS100" s="34" t="str">
        <f t="shared" si="51"/>
        <v/>
      </c>
      <c r="AT100" s="31"/>
      <c r="AU100" s="34" t="str">
        <f t="shared" si="19"/>
        <v/>
      </c>
      <c r="AV100" s="31"/>
      <c r="AW100" s="34" t="str">
        <f t="shared" si="58"/>
        <v/>
      </c>
      <c r="AX100" s="31"/>
      <c r="AY100" s="34" t="str">
        <f t="shared" si="59"/>
        <v/>
      </c>
      <c r="AZ100" s="31"/>
      <c r="BA100" s="34" t="str">
        <f t="shared" si="60"/>
        <v/>
      </c>
      <c r="BB100" s="21" t="s">
        <v>358</v>
      </c>
    </row>
    <row r="101" spans="1:54" ht="20" customHeight="1" x14ac:dyDescent="0.2">
      <c r="A101" s="680"/>
      <c r="B101" s="721"/>
      <c r="C101" s="722"/>
      <c r="D101" s="722" t="s">
        <v>85</v>
      </c>
      <c r="E101" s="723" t="s">
        <v>658</v>
      </c>
      <c r="F101" s="723" t="s">
        <v>659</v>
      </c>
      <c r="G101" s="722">
        <v>2012</v>
      </c>
      <c r="H101" s="287"/>
      <c r="I101" s="701">
        <v>11</v>
      </c>
      <c r="J101" s="232"/>
      <c r="K101" s="250" t="s">
        <v>660</v>
      </c>
      <c r="L101" s="31"/>
      <c r="M101" s="34"/>
      <c r="N101" s="31"/>
      <c r="O101" s="34"/>
      <c r="P101" s="31"/>
      <c r="Q101" s="34"/>
      <c r="R101" s="31"/>
      <c r="S101" s="34"/>
      <c r="T101" s="31"/>
      <c r="U101" s="34"/>
      <c r="V101" s="56"/>
      <c r="W101" s="34"/>
      <c r="X101" s="31"/>
      <c r="Y101" s="34"/>
      <c r="Z101" s="31"/>
      <c r="AA101" s="34"/>
      <c r="AB101" s="31"/>
      <c r="AC101" s="34"/>
      <c r="AD101" s="31"/>
      <c r="AE101" s="34"/>
      <c r="AF101" s="56"/>
      <c r="AG101" s="34"/>
      <c r="AH101" s="31"/>
      <c r="AI101" s="34"/>
      <c r="AJ101" s="31"/>
      <c r="AK101" s="34"/>
      <c r="AL101" s="31"/>
      <c r="AM101" s="34"/>
      <c r="AN101" s="31"/>
      <c r="AO101" s="34"/>
      <c r="AP101" s="31"/>
      <c r="AQ101" s="34"/>
      <c r="AR101" s="31"/>
      <c r="AS101" s="34"/>
      <c r="AT101" s="31"/>
      <c r="AU101" s="34"/>
      <c r="AV101" s="31"/>
      <c r="AW101" s="34"/>
      <c r="AX101" s="31"/>
      <c r="AY101" s="34"/>
      <c r="AZ101" s="31"/>
      <c r="BA101" s="34"/>
    </row>
    <row r="102" spans="1:54" ht="20" customHeight="1" x14ac:dyDescent="0.2">
      <c r="A102" s="678"/>
      <c r="B102" s="725"/>
      <c r="C102" s="253"/>
      <c r="D102" s="722" t="s">
        <v>85</v>
      </c>
      <c r="E102" s="723" t="s">
        <v>296</v>
      </c>
      <c r="F102" s="723" t="s">
        <v>297</v>
      </c>
      <c r="G102" s="722">
        <v>2015</v>
      </c>
      <c r="H102" s="287"/>
      <c r="I102" s="65">
        <v>41</v>
      </c>
      <c r="J102" s="61" t="s">
        <v>184</v>
      </c>
      <c r="K102" s="62"/>
      <c r="L102" s="31"/>
      <c r="M102" s="34" t="str">
        <f t="shared" si="42"/>
        <v/>
      </c>
      <c r="N102" s="31"/>
      <c r="O102" s="34" t="str">
        <f t="shared" si="43"/>
        <v/>
      </c>
      <c r="P102" s="31"/>
      <c r="Q102" s="34" t="str">
        <f t="shared" si="44"/>
        <v/>
      </c>
      <c r="R102" s="31"/>
      <c r="S102" s="34" t="str">
        <f t="shared" si="45"/>
        <v/>
      </c>
      <c r="T102" s="31"/>
      <c r="U102" s="34" t="str">
        <f t="shared" si="46"/>
        <v/>
      </c>
      <c r="V102" s="56"/>
      <c r="W102" s="34" t="str">
        <f t="shared" si="47"/>
        <v/>
      </c>
      <c r="X102" s="31"/>
      <c r="Y102" s="34" t="str">
        <f>IF((ISERROR((X102/$I102)*100)), "", IF(AND(NOT(ISERROR((X102/$I102)*100)),((X102/$I102)*100) &lt;&gt; 0), (X102/$I102)*100, ""))</f>
        <v/>
      </c>
      <c r="Z102" s="31"/>
      <c r="AA102" s="34" t="str">
        <f>IF((ISERROR((Z102/$I102)*100)), "", IF(AND(NOT(ISERROR((Z102/$I102)*100)),((Z102/$I102)*100) &lt;&gt; 0), (Z102/$I102)*100, ""))</f>
        <v/>
      </c>
      <c r="AB102" s="31"/>
      <c r="AC102" s="34" t="str">
        <f>IF((ISERROR((AB102/$I102)*100)), "", IF(AND(NOT(ISERROR((AB102/$I102)*100)),((AB102/$I102)*100) &lt;&gt; 0), (AB102/$I102)*100, ""))</f>
        <v/>
      </c>
      <c r="AD102" s="31"/>
      <c r="AE102" s="34" t="str">
        <f>IF((ISERROR((AD102/$I102)*100)), "", IF(AND(NOT(ISERROR((AD102/$I102)*100)),((AD102/$I102)*100) &lt;&gt; 0), (AD102/$I102)*100, ""))</f>
        <v/>
      </c>
      <c r="AF102" s="56"/>
      <c r="AG102" s="34" t="str">
        <f t="shared" si="48"/>
        <v/>
      </c>
      <c r="AH102" s="31"/>
      <c r="AI102" s="34" t="str">
        <f>IF((ISERROR((AH102/$I102)*100)), "", IF(AND(NOT(ISERROR((AH102/$I102)*100)),((AH102/$I102)*100) &lt;&gt; 0), (AH102/$I102)*100, ""))</f>
        <v/>
      </c>
      <c r="AJ102" s="31"/>
      <c r="AK102" s="34" t="str">
        <f t="shared" si="49"/>
        <v/>
      </c>
      <c r="AL102" s="31"/>
      <c r="AM102" s="34" t="str">
        <f>IF((ISERROR((AL102/$I102)*100)), "", IF(AND(NOT(ISERROR((AL102/$I102)*100)),((AL102/$I102)*100) &lt;&gt; 0), (AL102/$I102)*100, ""))</f>
        <v/>
      </c>
      <c r="AN102" s="31"/>
      <c r="AO102" s="34" t="str">
        <f>IF((ISERROR((AN102/$I102)*100)), "", IF(AND(NOT(ISERROR((AN102/$I102)*100)),((AN102/$I102)*100) &lt;&gt; 0), (AN102/$I102)*100, ""))</f>
        <v/>
      </c>
      <c r="AP102" s="31"/>
      <c r="AQ102" s="34" t="str">
        <f t="shared" si="50"/>
        <v/>
      </c>
      <c r="AR102" s="31"/>
      <c r="AS102" s="34" t="str">
        <f t="shared" si="51"/>
        <v/>
      </c>
      <c r="AT102" s="31"/>
      <c r="AU102" s="34" t="str">
        <f t="shared" si="19"/>
        <v/>
      </c>
      <c r="AV102" s="31"/>
      <c r="AW102" s="34" t="str">
        <f t="shared" si="58"/>
        <v/>
      </c>
      <c r="AX102" s="31"/>
      <c r="AY102" s="34" t="str">
        <f t="shared" si="59"/>
        <v/>
      </c>
      <c r="AZ102" s="31"/>
      <c r="BA102" s="34" t="str">
        <f t="shared" si="60"/>
        <v/>
      </c>
      <c r="BB102" s="21" t="s">
        <v>359</v>
      </c>
    </row>
    <row r="103" spans="1:54" ht="20" customHeight="1" x14ac:dyDescent="0.2">
      <c r="A103" s="680"/>
      <c r="B103" s="721"/>
      <c r="C103" s="722"/>
      <c r="D103" s="722"/>
      <c r="E103" s="723" t="s">
        <v>661</v>
      </c>
      <c r="F103" s="723" t="s">
        <v>662</v>
      </c>
      <c r="G103" s="722">
        <v>1999</v>
      </c>
      <c r="H103" s="287"/>
      <c r="I103" s="65">
        <v>2</v>
      </c>
      <c r="J103" s="61" t="s">
        <v>664</v>
      </c>
      <c r="K103" s="62" t="s">
        <v>663</v>
      </c>
      <c r="L103" s="31"/>
      <c r="M103" s="34"/>
      <c r="N103" s="31"/>
      <c r="O103" s="34"/>
      <c r="P103" s="31"/>
      <c r="Q103" s="34"/>
      <c r="R103" s="31"/>
      <c r="S103" s="34"/>
      <c r="T103" s="31"/>
      <c r="U103" s="34"/>
      <c r="V103" s="56"/>
      <c r="W103" s="34"/>
      <c r="X103" s="31"/>
      <c r="Y103" s="34"/>
      <c r="Z103" s="31"/>
      <c r="AA103" s="34"/>
      <c r="AB103" s="31"/>
      <c r="AC103" s="34"/>
      <c r="AD103" s="31"/>
      <c r="AE103" s="34"/>
      <c r="AF103" s="56"/>
      <c r="AG103" s="34"/>
      <c r="AH103" s="31"/>
      <c r="AI103" s="34"/>
      <c r="AJ103" s="31"/>
      <c r="AK103" s="34"/>
      <c r="AL103" s="31"/>
      <c r="AM103" s="34"/>
      <c r="AN103" s="31"/>
      <c r="AO103" s="34"/>
      <c r="AP103" s="31"/>
      <c r="AQ103" s="34"/>
      <c r="AR103" s="31"/>
      <c r="AS103" s="34"/>
      <c r="AT103" s="31"/>
      <c r="AU103" s="34"/>
      <c r="AV103" s="31"/>
      <c r="AW103" s="34"/>
      <c r="AX103" s="31"/>
      <c r="AY103" s="34"/>
      <c r="AZ103" s="31"/>
      <c r="BA103" s="34"/>
    </row>
    <row r="104" spans="1:54" ht="20" customHeight="1" x14ac:dyDescent="0.2">
      <c r="A104" s="680"/>
      <c r="B104" s="725"/>
      <c r="C104" s="255"/>
      <c r="D104" s="722" t="s">
        <v>85</v>
      </c>
      <c r="E104" s="723" t="s">
        <v>665</v>
      </c>
      <c r="F104" s="723" t="s">
        <v>666</v>
      </c>
      <c r="G104" s="722">
        <v>2012</v>
      </c>
      <c r="H104" s="287"/>
      <c r="I104" s="65">
        <v>26</v>
      </c>
      <c r="J104" s="61" t="s">
        <v>220</v>
      </c>
      <c r="K104" s="62" t="s">
        <v>667</v>
      </c>
      <c r="L104" s="31"/>
      <c r="M104" s="34"/>
      <c r="N104" s="31"/>
      <c r="O104" s="34"/>
      <c r="P104" s="31"/>
      <c r="Q104" s="34"/>
      <c r="R104" s="31"/>
      <c r="S104" s="34"/>
      <c r="T104" s="31"/>
      <c r="U104" s="34"/>
      <c r="V104" s="56"/>
      <c r="W104" s="34"/>
      <c r="X104" s="31"/>
      <c r="Y104" s="34"/>
      <c r="Z104" s="31"/>
      <c r="AA104" s="34"/>
      <c r="AB104" s="31"/>
      <c r="AC104" s="34"/>
      <c r="AD104" s="31"/>
      <c r="AE104" s="34"/>
      <c r="AF104" s="56"/>
      <c r="AG104" s="34"/>
      <c r="AH104" s="31"/>
      <c r="AI104" s="34"/>
      <c r="AJ104" s="31"/>
      <c r="AK104" s="34"/>
      <c r="AL104" s="31"/>
      <c r="AM104" s="34"/>
      <c r="AN104" s="31"/>
      <c r="AO104" s="34"/>
      <c r="AP104" s="31"/>
      <c r="AQ104" s="34"/>
      <c r="AR104" s="31"/>
      <c r="AS104" s="34"/>
      <c r="AT104" s="31"/>
      <c r="AU104" s="34"/>
      <c r="AV104" s="31"/>
      <c r="AW104" s="34"/>
      <c r="AX104" s="31"/>
      <c r="AY104" s="34"/>
      <c r="AZ104" s="31"/>
      <c r="BA104" s="34"/>
    </row>
    <row r="105" spans="1:54" ht="20" customHeight="1" x14ac:dyDescent="0.2">
      <c r="A105" s="678"/>
      <c r="B105" s="725"/>
      <c r="C105" s="255"/>
      <c r="D105" s="722" t="s">
        <v>85</v>
      </c>
      <c r="E105" s="723" t="s">
        <v>103</v>
      </c>
      <c r="F105" s="723" t="s">
        <v>104</v>
      </c>
      <c r="G105" s="722">
        <v>1996</v>
      </c>
      <c r="H105" s="287">
        <v>12</v>
      </c>
      <c r="I105" s="65">
        <v>97</v>
      </c>
      <c r="J105" s="61" t="s">
        <v>202</v>
      </c>
      <c r="K105" s="62" t="s">
        <v>203</v>
      </c>
      <c r="L105" s="31"/>
      <c r="M105" s="34" t="str">
        <f t="shared" si="42"/>
        <v/>
      </c>
      <c r="N105" s="31"/>
      <c r="O105" s="34" t="str">
        <f t="shared" si="43"/>
        <v/>
      </c>
      <c r="P105" s="31"/>
      <c r="Q105" s="34" t="str">
        <f t="shared" si="44"/>
        <v/>
      </c>
      <c r="R105" s="31"/>
      <c r="S105" s="34" t="str">
        <f t="shared" si="45"/>
        <v/>
      </c>
      <c r="T105" s="31"/>
      <c r="U105" s="34" t="str">
        <f t="shared" si="46"/>
        <v/>
      </c>
      <c r="V105" s="56">
        <v>16</v>
      </c>
      <c r="W105" s="34">
        <f t="shared" si="47"/>
        <v>16.494845360824741</v>
      </c>
      <c r="X105" s="31"/>
      <c r="Y105" s="34" t="str">
        <f t="shared" si="53"/>
        <v/>
      </c>
      <c r="Z105" s="31"/>
      <c r="AA105" s="34" t="str">
        <f t="shared" si="54"/>
        <v/>
      </c>
      <c r="AB105" s="31"/>
      <c r="AC105" s="34" t="str">
        <f t="shared" si="55"/>
        <v/>
      </c>
      <c r="AD105" s="31"/>
      <c r="AE105" s="34" t="str">
        <f t="shared" si="56"/>
        <v/>
      </c>
      <c r="AF105" s="56"/>
      <c r="AG105" s="34" t="str">
        <f t="shared" si="48"/>
        <v/>
      </c>
      <c r="AH105" s="31">
        <v>3</v>
      </c>
      <c r="AI105" s="34">
        <f t="shared" si="61"/>
        <v>3.0927835051546393</v>
      </c>
      <c r="AJ105" s="31"/>
      <c r="AK105" s="34" t="str">
        <f t="shared" si="49"/>
        <v/>
      </c>
      <c r="AL105" s="31"/>
      <c r="AM105" s="34" t="str">
        <f t="shared" si="57"/>
        <v/>
      </c>
      <c r="AN105" s="31">
        <v>6</v>
      </c>
      <c r="AO105" s="34">
        <f t="shared" si="19"/>
        <v>6.1855670103092786</v>
      </c>
      <c r="AP105" s="31">
        <v>4</v>
      </c>
      <c r="AQ105" s="34">
        <f t="shared" si="50"/>
        <v>4.1237113402061851</v>
      </c>
      <c r="AR105" s="31"/>
      <c r="AS105" s="34" t="str">
        <f t="shared" si="51"/>
        <v/>
      </c>
      <c r="AT105" s="31"/>
      <c r="AU105" s="34" t="str">
        <f t="shared" si="19"/>
        <v/>
      </c>
      <c r="AV105" s="31">
        <v>1</v>
      </c>
      <c r="AW105" s="34">
        <f t="shared" si="58"/>
        <v>1.0309278350515463</v>
      </c>
      <c r="AX105" s="31">
        <v>1</v>
      </c>
      <c r="AY105" s="34">
        <f t="shared" si="59"/>
        <v>1.0309278350515463</v>
      </c>
      <c r="AZ105" s="31"/>
      <c r="BA105" s="34" t="str">
        <f t="shared" si="60"/>
        <v/>
      </c>
      <c r="BB105" s="21" t="s">
        <v>382</v>
      </c>
    </row>
    <row r="106" spans="1:54" ht="20" customHeight="1" x14ac:dyDescent="0.2">
      <c r="A106" s="680"/>
      <c r="B106" s="725"/>
      <c r="C106" s="722"/>
      <c r="D106" s="722" t="s">
        <v>85</v>
      </c>
      <c r="E106" s="723" t="s">
        <v>668</v>
      </c>
      <c r="F106" s="723" t="s">
        <v>669</v>
      </c>
      <c r="G106" s="722">
        <v>1998</v>
      </c>
      <c r="H106" s="287"/>
      <c r="I106" s="65">
        <v>25</v>
      </c>
      <c r="J106" s="61" t="s">
        <v>175</v>
      </c>
      <c r="K106" s="62" t="s">
        <v>191</v>
      </c>
      <c r="L106" s="31"/>
      <c r="M106" s="34"/>
      <c r="N106" s="31"/>
      <c r="O106" s="34"/>
      <c r="P106" s="31"/>
      <c r="Q106" s="34"/>
      <c r="R106" s="31"/>
      <c r="S106" s="34"/>
      <c r="T106" s="31"/>
      <c r="U106" s="34"/>
      <c r="V106" s="56"/>
      <c r="W106" s="34"/>
      <c r="X106" s="31"/>
      <c r="Y106" s="34"/>
      <c r="Z106" s="31"/>
      <c r="AA106" s="34"/>
      <c r="AB106" s="31"/>
      <c r="AC106" s="34"/>
      <c r="AD106" s="31"/>
      <c r="AE106" s="34"/>
      <c r="AF106" s="56"/>
      <c r="AG106" s="34"/>
      <c r="AH106" s="31"/>
      <c r="AI106" s="34"/>
      <c r="AJ106" s="31"/>
      <c r="AK106" s="34"/>
      <c r="AL106" s="31"/>
      <c r="AM106" s="34"/>
      <c r="AN106" s="31"/>
      <c r="AO106" s="34"/>
      <c r="AP106" s="31"/>
      <c r="AQ106" s="34"/>
      <c r="AR106" s="31"/>
      <c r="AS106" s="34"/>
      <c r="AT106" s="31"/>
      <c r="AU106" s="34"/>
      <c r="AV106" s="31"/>
      <c r="AW106" s="34"/>
      <c r="AX106" s="31"/>
      <c r="AY106" s="34"/>
      <c r="AZ106" s="31"/>
      <c r="BA106" s="34"/>
    </row>
    <row r="107" spans="1:54" ht="20" customHeight="1" x14ac:dyDescent="0.2">
      <c r="A107" s="678"/>
      <c r="B107" s="725"/>
      <c r="C107" s="253"/>
      <c r="D107" s="722" t="s">
        <v>85</v>
      </c>
      <c r="E107" s="723" t="s">
        <v>298</v>
      </c>
      <c r="F107" s="723" t="s">
        <v>299</v>
      </c>
      <c r="G107" s="722">
        <v>2009</v>
      </c>
      <c r="H107" s="287"/>
      <c r="I107" s="65">
        <v>68</v>
      </c>
      <c r="J107" s="61" t="s">
        <v>213</v>
      </c>
      <c r="K107" s="62" t="s">
        <v>360</v>
      </c>
      <c r="L107" s="31"/>
      <c r="M107" s="34" t="str">
        <f t="shared" si="42"/>
        <v/>
      </c>
      <c r="N107" s="31"/>
      <c r="O107" s="34" t="str">
        <f t="shared" si="43"/>
        <v/>
      </c>
      <c r="P107" s="31"/>
      <c r="Q107" s="34" t="str">
        <f t="shared" si="44"/>
        <v/>
      </c>
      <c r="R107" s="31"/>
      <c r="S107" s="34" t="str">
        <f t="shared" si="45"/>
        <v/>
      </c>
      <c r="T107" s="31"/>
      <c r="U107" s="34" t="str">
        <f t="shared" si="46"/>
        <v/>
      </c>
      <c r="V107" s="56"/>
      <c r="W107" s="34"/>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IF((ISERROR((AD107/$I107)*100)), "", IF(AND(NOT(ISERROR((AD107/$I107)*100)),((AD107/$I107)*100) &lt;&gt; 0), (AD107/$I107)*100, ""))</f>
        <v/>
      </c>
      <c r="AF107" s="56"/>
      <c r="AG107" s="34" t="str">
        <f t="shared" si="48"/>
        <v/>
      </c>
      <c r="AH107" s="31"/>
      <c r="AI107" s="34" t="str">
        <f>IF((ISERROR((AH107/$I107)*100)), "", IF(AND(NOT(ISERROR((AH107/$I107)*100)),((AH107/$I107)*100) &lt;&gt; 0), (AH107/$I107)*100, ""))</f>
        <v/>
      </c>
      <c r="AJ107" s="31"/>
      <c r="AK107" s="34" t="str">
        <f t="shared" si="49"/>
        <v/>
      </c>
      <c r="AL107" s="31"/>
      <c r="AM107" s="34" t="str">
        <f>IF((ISERROR((AL107/$I107)*100)), "", IF(AND(NOT(ISERROR((AL107/$I107)*100)),((AL107/$I107)*100) &lt;&gt; 0), (AL107/$I107)*100, ""))</f>
        <v/>
      </c>
      <c r="AN107" s="31"/>
      <c r="AO107" s="34" t="str">
        <f>IF((ISERROR((AN107/$I107)*100)), "", IF(AND(NOT(ISERROR((AN107/$I107)*100)),((AN107/$I107)*100) &lt;&gt; 0), (AN107/$I107)*100, ""))</f>
        <v/>
      </c>
      <c r="AP107" s="31"/>
      <c r="AQ107" s="34" t="str">
        <f t="shared" si="50"/>
        <v/>
      </c>
      <c r="AR107" s="31"/>
      <c r="AS107" s="34" t="str">
        <f t="shared" si="51"/>
        <v/>
      </c>
      <c r="AT107" s="31"/>
      <c r="AU107" s="34" t="str">
        <f t="shared" si="19"/>
        <v/>
      </c>
      <c r="AV107" s="31"/>
      <c r="AW107" s="34" t="str">
        <f t="shared" si="58"/>
        <v/>
      </c>
      <c r="AX107" s="31"/>
      <c r="AY107" s="34" t="str">
        <f t="shared" si="59"/>
        <v/>
      </c>
      <c r="AZ107" s="31"/>
      <c r="BA107" s="34" t="str">
        <f t="shared" si="60"/>
        <v/>
      </c>
      <c r="BB107" s="21" t="s">
        <v>414</v>
      </c>
    </row>
    <row r="108" spans="1:54" ht="20" customHeight="1" x14ac:dyDescent="0.2">
      <c r="A108" s="678"/>
      <c r="B108" s="721"/>
      <c r="C108" s="722"/>
      <c r="D108" s="722" t="s">
        <v>85</v>
      </c>
      <c r="E108" s="723" t="s">
        <v>105</v>
      </c>
      <c r="F108" s="723" t="s">
        <v>106</v>
      </c>
      <c r="G108" s="722">
        <v>1989</v>
      </c>
      <c r="H108" s="287">
        <v>27</v>
      </c>
      <c r="I108" s="65"/>
      <c r="J108" s="61" t="s">
        <v>208</v>
      </c>
      <c r="K108" s="62" t="s">
        <v>177</v>
      </c>
      <c r="L108" s="31"/>
      <c r="M108" s="34" t="str">
        <f t="shared" si="42"/>
        <v/>
      </c>
      <c r="N108" s="31"/>
      <c r="O108" s="34" t="str">
        <f t="shared" si="43"/>
        <v/>
      </c>
      <c r="P108" s="31"/>
      <c r="Q108" s="34" t="str">
        <f t="shared" si="44"/>
        <v/>
      </c>
      <c r="R108" s="31"/>
      <c r="S108" s="34" t="str">
        <f t="shared" si="45"/>
        <v/>
      </c>
      <c r="T108" s="31"/>
      <c r="U108" s="34" t="str">
        <f t="shared" si="46"/>
        <v/>
      </c>
      <c r="V108" s="56"/>
      <c r="W108" s="34" t="str">
        <f t="shared" ref="W108:W134" si="62">IF((ISERROR((V108/$I108)*100)), "", IF(AND(NOT(ISERROR((V108/$I108)*100)),((V108/$I108)*100) &lt;&gt; 0), (V108/$I108)*100, ""))</f>
        <v/>
      </c>
      <c r="X108" s="36"/>
      <c r="Y108" s="37" t="str">
        <f>IF((ISERROR((X108/$I108)*100)), "", IF(AND(NOT(ISERROR((X108/$I108)*100)),((X108/$I108)*100) &lt;&gt; 0), (X108/$I108)*100, ""))</f>
        <v/>
      </c>
      <c r="Z108" s="31"/>
      <c r="AA108" s="34" t="str">
        <f>IF((ISERROR((Z108/$I108)*100)), "", IF(AND(NOT(ISERROR((Z108/$I108)*100)),((Z108/$I108)*100) &lt;&gt; 0), (Z108/$I108)*100, ""))</f>
        <v/>
      </c>
      <c r="AB108" s="31"/>
      <c r="AC108" s="34" t="str">
        <f>IF((ISERROR((AB108/$I108)*100)), "", IF(AND(NOT(ISERROR((AB108/$I108)*100)),((AB108/$I108)*100) &lt;&gt; 0), (AB108/$I108)*100, ""))</f>
        <v/>
      </c>
      <c r="AD108" s="31"/>
      <c r="AE108" s="34" t="str">
        <f>IF((ISERROR((AD108/$I108)*100)), "", IF(AND(NOT(ISERROR((AD108/$I108)*100)),((AD108/$I108)*100) &lt;&gt; 0), (AD108/$I108)*100, ""))</f>
        <v/>
      </c>
      <c r="AF108" s="56"/>
      <c r="AG108" s="34" t="str">
        <f t="shared" si="48"/>
        <v/>
      </c>
      <c r="AH108" s="31"/>
      <c r="AI108" s="34" t="str">
        <f>IF((ISERROR((AH108/$I108)*100)), "", IF(AND(NOT(ISERROR((AH108/$I108)*100)),((AH108/$I108)*100) &lt;&gt; 0), (AH108/$I108)*100, ""))</f>
        <v/>
      </c>
      <c r="AJ108" s="31"/>
      <c r="AK108" s="34" t="str">
        <f t="shared" si="49"/>
        <v/>
      </c>
      <c r="AL108" s="31"/>
      <c r="AM108" s="34" t="str">
        <f>IF((ISERROR((AL108/$I108)*100)), "", IF(AND(NOT(ISERROR((AL108/$I108)*100)),((AL108/$I108)*100) &lt;&gt; 0), (AL108/$I108)*100, ""))</f>
        <v/>
      </c>
      <c r="AN108" s="31"/>
      <c r="AO108" s="34" t="str">
        <f>IF((ISERROR((AN108/$I108)*100)), "", IF(AND(NOT(ISERROR((AN108/$I108)*100)),((AN108/$I108)*100) &lt;&gt; 0), (AN108/$I108)*100, ""))</f>
        <v/>
      </c>
      <c r="AP108" s="31"/>
      <c r="AQ108" s="34" t="str">
        <f t="shared" si="50"/>
        <v/>
      </c>
      <c r="AR108" s="31"/>
      <c r="AS108" s="34" t="str">
        <f t="shared" si="51"/>
        <v/>
      </c>
      <c r="AT108" s="31"/>
      <c r="AU108" s="34" t="str">
        <f t="shared" si="19"/>
        <v/>
      </c>
      <c r="AV108" s="31"/>
      <c r="AW108" s="34" t="str">
        <f t="shared" si="58"/>
        <v/>
      </c>
      <c r="AX108" s="31"/>
      <c r="AY108" s="34" t="str">
        <f t="shared" si="59"/>
        <v/>
      </c>
      <c r="AZ108" s="31"/>
      <c r="BA108" s="34" t="str">
        <f t="shared" si="60"/>
        <v/>
      </c>
    </row>
    <row r="109" spans="1:54" ht="20" customHeight="1" x14ac:dyDescent="0.2">
      <c r="A109" s="678"/>
      <c r="B109" s="721"/>
      <c r="C109" s="253"/>
      <c r="D109" s="722" t="s">
        <v>85</v>
      </c>
      <c r="E109" s="723" t="s">
        <v>300</v>
      </c>
      <c r="F109" s="723" t="s">
        <v>301</v>
      </c>
      <c r="G109" s="722">
        <v>2011</v>
      </c>
      <c r="H109" s="287"/>
      <c r="I109" s="65"/>
      <c r="J109" s="61"/>
      <c r="K109" s="62"/>
      <c r="L109" s="31"/>
      <c r="M109" s="34" t="str">
        <f t="shared" si="42"/>
        <v/>
      </c>
      <c r="N109" s="31"/>
      <c r="O109" s="34" t="str">
        <f t="shared" si="43"/>
        <v/>
      </c>
      <c r="P109" s="31"/>
      <c r="Q109" s="34" t="str">
        <f t="shared" si="44"/>
        <v/>
      </c>
      <c r="R109" s="31"/>
      <c r="S109" s="34" t="str">
        <f t="shared" si="45"/>
        <v/>
      </c>
      <c r="T109" s="31"/>
      <c r="U109" s="34" t="str">
        <f t="shared" si="46"/>
        <v/>
      </c>
      <c r="V109" s="56"/>
      <c r="W109" s="34" t="str">
        <f t="shared" si="62"/>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IF((ISERROR((AD109/$I109)*100)), "", IF(AND(NOT(ISERROR((AD109/$I109)*100)),((AD109/$I109)*100) &lt;&gt; 0), (AD109/$I109)*100, ""))</f>
        <v/>
      </c>
      <c r="AF109" s="56"/>
      <c r="AG109" s="34" t="str">
        <f t="shared" si="48"/>
        <v/>
      </c>
      <c r="AH109" s="31"/>
      <c r="AI109" s="34" t="str">
        <f>IF((ISERROR((AH109/$I109)*100)), "", IF(AND(NOT(ISERROR((AH109/$I109)*100)),((AH109/$I109)*100) &lt;&gt; 0), (AH109/$I109)*100, ""))</f>
        <v/>
      </c>
      <c r="AJ109" s="31"/>
      <c r="AK109" s="34" t="str">
        <f t="shared" si="49"/>
        <v/>
      </c>
      <c r="AL109" s="31"/>
      <c r="AM109" s="34" t="str">
        <f>IF((ISERROR((AL109/$I109)*100)), "", IF(AND(NOT(ISERROR((AL109/$I109)*100)),((AL109/$I109)*100) &lt;&gt; 0), (AL109/$I109)*100, ""))</f>
        <v/>
      </c>
      <c r="AN109" s="31"/>
      <c r="AO109" s="34" t="str">
        <f>IF((ISERROR((AN109/$I109)*100)), "", IF(AND(NOT(ISERROR((AN109/$I109)*100)),((AN109/$I109)*100) &lt;&gt; 0), (AN109/$I109)*100, ""))</f>
        <v/>
      </c>
      <c r="AP109" s="31"/>
      <c r="AQ109" s="34" t="str">
        <f t="shared" si="50"/>
        <v/>
      </c>
      <c r="AR109" s="31"/>
      <c r="AS109" s="34" t="str">
        <f t="shared" si="51"/>
        <v/>
      </c>
      <c r="AT109" s="31"/>
      <c r="AU109" s="34" t="str">
        <f t="shared" si="19"/>
        <v/>
      </c>
      <c r="AV109" s="31"/>
      <c r="AW109" s="34" t="str">
        <f t="shared" si="58"/>
        <v/>
      </c>
      <c r="AX109" s="31"/>
      <c r="AY109" s="34" t="str">
        <f t="shared" si="59"/>
        <v/>
      </c>
      <c r="AZ109" s="31"/>
      <c r="BA109" s="34" t="str">
        <f t="shared" si="60"/>
        <v/>
      </c>
      <c r="BB109" s="21" t="s">
        <v>361</v>
      </c>
    </row>
    <row r="110" spans="1:54" ht="20" customHeight="1" x14ac:dyDescent="0.2">
      <c r="A110" s="680"/>
      <c r="B110" s="721"/>
      <c r="C110" s="722"/>
      <c r="D110" s="722" t="s">
        <v>85</v>
      </c>
      <c r="E110" s="723" t="s">
        <v>670</v>
      </c>
      <c r="F110" s="723" t="s">
        <v>671</v>
      </c>
      <c r="G110" s="722">
        <v>2003</v>
      </c>
      <c r="H110" s="287"/>
      <c r="I110" s="65"/>
      <c r="J110" s="61" t="s">
        <v>672</v>
      </c>
      <c r="K110" s="62" t="s">
        <v>177</v>
      </c>
      <c r="L110" s="31"/>
      <c r="M110" s="34"/>
      <c r="N110" s="31"/>
      <c r="O110" s="34"/>
      <c r="P110" s="31"/>
      <c r="Q110" s="34"/>
      <c r="R110" s="31"/>
      <c r="S110" s="34"/>
      <c r="T110" s="31"/>
      <c r="U110" s="34"/>
      <c r="V110" s="56"/>
      <c r="W110" s="34"/>
      <c r="X110" s="31"/>
      <c r="Y110" s="34"/>
      <c r="Z110" s="31"/>
      <c r="AA110" s="34"/>
      <c r="AB110" s="31"/>
      <c r="AC110" s="34"/>
      <c r="AD110" s="31"/>
      <c r="AE110" s="34"/>
      <c r="AF110" s="56"/>
      <c r="AG110" s="34"/>
      <c r="AH110" s="31"/>
      <c r="AI110" s="34"/>
      <c r="AJ110" s="31"/>
      <c r="AK110" s="34"/>
      <c r="AL110" s="31"/>
      <c r="AM110" s="34"/>
      <c r="AN110" s="31"/>
      <c r="AO110" s="34"/>
      <c r="AP110" s="31"/>
      <c r="AQ110" s="34"/>
      <c r="AR110" s="31"/>
      <c r="AS110" s="34"/>
      <c r="AT110" s="31"/>
      <c r="AU110" s="34"/>
      <c r="AV110" s="31"/>
      <c r="AW110" s="34"/>
      <c r="AX110" s="31"/>
      <c r="AY110" s="34"/>
      <c r="AZ110" s="31"/>
      <c r="BA110" s="34"/>
    </row>
    <row r="111" spans="1:54" ht="20" customHeight="1" x14ac:dyDescent="0.2">
      <c r="A111" s="678"/>
      <c r="B111" s="721"/>
      <c r="C111" s="255"/>
      <c r="D111" s="722" t="s">
        <v>85</v>
      </c>
      <c r="E111" s="723" t="s">
        <v>302</v>
      </c>
      <c r="F111" s="723" t="s">
        <v>303</v>
      </c>
      <c r="G111" s="722">
        <v>1977</v>
      </c>
      <c r="H111" s="287"/>
      <c r="I111" s="65">
        <v>5</v>
      </c>
      <c r="J111" s="61" t="s">
        <v>362</v>
      </c>
      <c r="K111" s="62"/>
      <c r="L111" s="31"/>
      <c r="M111" s="34" t="str">
        <f t="shared" si="42"/>
        <v/>
      </c>
      <c r="N111" s="31"/>
      <c r="O111" s="34" t="str">
        <f t="shared" si="43"/>
        <v/>
      </c>
      <c r="P111" s="31"/>
      <c r="Q111" s="34" t="str">
        <f t="shared" si="44"/>
        <v/>
      </c>
      <c r="R111" s="31"/>
      <c r="S111" s="34" t="str">
        <f t="shared" si="45"/>
        <v/>
      </c>
      <c r="T111" s="31">
        <v>5</v>
      </c>
      <c r="U111" s="34">
        <f t="shared" si="46"/>
        <v>100</v>
      </c>
      <c r="V111" s="56"/>
      <c r="W111" s="34" t="str">
        <f t="shared" si="62"/>
        <v/>
      </c>
      <c r="X111" s="31"/>
      <c r="Y111" s="34" t="str">
        <f t="shared" si="53"/>
        <v/>
      </c>
      <c r="Z111" s="31"/>
      <c r="AA111" s="34" t="str">
        <f t="shared" si="54"/>
        <v/>
      </c>
      <c r="AB111" s="31"/>
      <c r="AC111" s="34" t="str">
        <f t="shared" si="55"/>
        <v/>
      </c>
      <c r="AD111" s="31"/>
      <c r="AE111" s="34" t="str">
        <f t="shared" si="56"/>
        <v/>
      </c>
      <c r="AF111" s="56"/>
      <c r="AG111" s="34" t="str">
        <f t="shared" si="48"/>
        <v/>
      </c>
      <c r="AH111" s="31"/>
      <c r="AI111" s="34" t="str">
        <f t="shared" si="61"/>
        <v/>
      </c>
      <c r="AJ111" s="31"/>
      <c r="AK111" s="34" t="str">
        <f t="shared" si="49"/>
        <v/>
      </c>
      <c r="AL111" s="31"/>
      <c r="AM111" s="34" t="str">
        <f t="shared" si="57"/>
        <v/>
      </c>
      <c r="AN111" s="31"/>
      <c r="AO111" s="34" t="str">
        <f t="shared" si="19"/>
        <v/>
      </c>
      <c r="AP111" s="31"/>
      <c r="AQ111" s="34" t="str">
        <f t="shared" si="50"/>
        <v/>
      </c>
      <c r="AR111" s="31"/>
      <c r="AS111" s="34" t="str">
        <f t="shared" si="51"/>
        <v/>
      </c>
      <c r="AT111" s="31"/>
      <c r="AU111" s="34" t="str">
        <f t="shared" si="19"/>
        <v/>
      </c>
      <c r="AV111" s="31"/>
      <c r="AW111" s="34" t="str">
        <f t="shared" si="58"/>
        <v/>
      </c>
      <c r="AX111" s="31"/>
      <c r="AY111" s="34" t="str">
        <f t="shared" si="59"/>
        <v/>
      </c>
      <c r="AZ111" s="31"/>
      <c r="BA111" s="34" t="str">
        <f t="shared" si="60"/>
        <v/>
      </c>
      <c r="BB111" s="21" t="s">
        <v>363</v>
      </c>
    </row>
    <row r="112" spans="1:54" ht="20" customHeight="1" x14ac:dyDescent="0.2">
      <c r="A112" s="678"/>
      <c r="B112" s="725"/>
      <c r="C112" s="255"/>
      <c r="D112" s="722" t="s">
        <v>85</v>
      </c>
      <c r="E112" s="723" t="s">
        <v>107</v>
      </c>
      <c r="F112" s="723" t="s">
        <v>108</v>
      </c>
      <c r="G112" s="722">
        <v>2008</v>
      </c>
      <c r="H112" s="287">
        <v>54</v>
      </c>
      <c r="I112" s="65">
        <v>12</v>
      </c>
      <c r="J112" s="61" t="s">
        <v>167</v>
      </c>
      <c r="K112" s="62" t="s">
        <v>209</v>
      </c>
      <c r="L112" s="31"/>
      <c r="M112" s="34" t="str">
        <f t="shared" si="42"/>
        <v/>
      </c>
      <c r="N112" s="31"/>
      <c r="O112" s="34" t="str">
        <f t="shared" si="43"/>
        <v/>
      </c>
      <c r="P112" s="31"/>
      <c r="Q112" s="34" t="str">
        <f t="shared" si="44"/>
        <v/>
      </c>
      <c r="R112" s="31"/>
      <c r="S112" s="34" t="str">
        <f t="shared" si="45"/>
        <v/>
      </c>
      <c r="T112" s="31"/>
      <c r="U112" s="34" t="str">
        <f t="shared" si="46"/>
        <v/>
      </c>
      <c r="V112" s="56"/>
      <c r="W112" s="34" t="str">
        <f t="shared" si="62"/>
        <v/>
      </c>
      <c r="X112" s="31"/>
      <c r="Y112" s="34" t="str">
        <f>IF((ISERROR((X112/$I112)*100)), "", IF(AND(NOT(ISERROR((X112/$I112)*100)),((X112/$I112)*100) &lt;&gt; 0), (X112/$I112)*100, ""))</f>
        <v/>
      </c>
      <c r="Z112" s="31"/>
      <c r="AA112" s="34" t="str">
        <f>IF((ISERROR((Z112/$I112)*100)), "", IF(AND(NOT(ISERROR((Z112/$I112)*100)),((Z112/$I112)*100) &lt;&gt; 0), (Z112/$I112)*100, ""))</f>
        <v/>
      </c>
      <c r="AB112" s="31"/>
      <c r="AC112" s="34" t="str">
        <f>IF((ISERROR((AB112/$I112)*100)), "", IF(AND(NOT(ISERROR((AB112/$I112)*100)),((AB112/$I112)*100) &lt;&gt; 0), (AB112/$I112)*100, ""))</f>
        <v/>
      </c>
      <c r="AD112" s="31"/>
      <c r="AE112" s="34" t="str">
        <f>IF((ISERROR((AD112/$I112)*100)), "", IF(AND(NOT(ISERROR((AD112/$I112)*100)),((AD112/$I112)*100) &lt;&gt; 0), (AD112/$I112)*100, ""))</f>
        <v/>
      </c>
      <c r="AF112" s="56"/>
      <c r="AG112" s="34" t="str">
        <f t="shared" si="48"/>
        <v/>
      </c>
      <c r="AH112" s="31">
        <v>1</v>
      </c>
      <c r="AI112" s="34">
        <f>IF((ISERROR((AH112/$I112)*100)), "", IF(AND(NOT(ISERROR((AH112/$I112)*100)),((AH112/$I112)*100) &lt;&gt; 0), (AH112/$I112)*100, ""))</f>
        <v>8.3333333333333321</v>
      </c>
      <c r="AJ112" s="31">
        <v>1</v>
      </c>
      <c r="AK112" s="34">
        <f t="shared" si="49"/>
        <v>8.3333333333333321</v>
      </c>
      <c r="AL112" s="31"/>
      <c r="AM112" s="34" t="str">
        <f>IF((ISERROR((AL112/$I112)*100)), "", IF(AND(NOT(ISERROR((AL112/$I112)*100)),((AL112/$I112)*100) &lt;&gt; 0), (AL112/$I112)*100, ""))</f>
        <v/>
      </c>
      <c r="AN112" s="31"/>
      <c r="AO112" s="34" t="str">
        <f>IF((ISERROR((AN112/$I112)*100)), "", IF(AND(NOT(ISERROR((AN112/$I112)*100)),((AN112/$I112)*100) &lt;&gt; 0), (AN112/$I112)*100, ""))</f>
        <v/>
      </c>
      <c r="AP112" s="31"/>
      <c r="AQ112" s="34" t="str">
        <f t="shared" si="50"/>
        <v/>
      </c>
      <c r="AR112" s="31"/>
      <c r="AS112" s="34" t="str">
        <f t="shared" si="51"/>
        <v/>
      </c>
      <c r="AT112" s="31"/>
      <c r="AU112" s="34" t="str">
        <f t="shared" si="19"/>
        <v/>
      </c>
      <c r="AV112" s="31"/>
      <c r="AW112" s="34" t="str">
        <f t="shared" si="58"/>
        <v/>
      </c>
      <c r="AX112" s="31"/>
      <c r="AY112" s="34" t="str">
        <f t="shared" si="59"/>
        <v/>
      </c>
      <c r="AZ112" s="31"/>
      <c r="BA112" s="34" t="str">
        <f t="shared" si="60"/>
        <v/>
      </c>
      <c r="BB112" s="21" t="s">
        <v>415</v>
      </c>
    </row>
    <row r="113" spans="1:54" ht="20" customHeight="1" x14ac:dyDescent="0.2">
      <c r="A113" s="678"/>
      <c r="B113" s="725"/>
      <c r="C113" s="253"/>
      <c r="D113" s="722" t="s">
        <v>85</v>
      </c>
      <c r="E113" s="723" t="s">
        <v>109</v>
      </c>
      <c r="F113" s="723" t="s">
        <v>110</v>
      </c>
      <c r="G113" s="722">
        <v>1999</v>
      </c>
      <c r="H113" s="287">
        <v>76</v>
      </c>
      <c r="I113" s="65">
        <v>7</v>
      </c>
      <c r="J113" s="61" t="s">
        <v>175</v>
      </c>
      <c r="K113" s="62" t="s">
        <v>191</v>
      </c>
      <c r="L113" s="31"/>
      <c r="M113" s="34" t="str">
        <f t="shared" si="42"/>
        <v/>
      </c>
      <c r="N113" s="31"/>
      <c r="O113" s="34" t="str">
        <f t="shared" si="43"/>
        <v/>
      </c>
      <c r="P113" s="31"/>
      <c r="Q113" s="34" t="str">
        <f t="shared" si="44"/>
        <v/>
      </c>
      <c r="R113" s="31"/>
      <c r="S113" s="34" t="str">
        <f t="shared" si="45"/>
        <v/>
      </c>
      <c r="T113" s="31"/>
      <c r="U113" s="34" t="str">
        <f t="shared" si="46"/>
        <v/>
      </c>
      <c r="V113" s="56"/>
      <c r="W113" s="34" t="str">
        <f t="shared" si="62"/>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IF((ISERROR((AD113/$I113)*100)), "", IF(AND(NOT(ISERROR((AD113/$I113)*100)),((AD113/$I113)*100) &lt;&gt; 0), (AD113/$I113)*100, ""))</f>
        <v/>
      </c>
      <c r="AF113" s="56"/>
      <c r="AG113" s="34" t="str">
        <f t="shared" si="48"/>
        <v/>
      </c>
      <c r="AH113" s="31"/>
      <c r="AI113" s="34" t="str">
        <f>IF((ISERROR((AH113/$I113)*100)), "", IF(AND(NOT(ISERROR((AH113/$I113)*100)),((AH113/$I113)*100) &lt;&gt; 0), (AH113/$I113)*100, ""))</f>
        <v/>
      </c>
      <c r="AJ113" s="31"/>
      <c r="AK113" s="34" t="str">
        <f t="shared" si="49"/>
        <v/>
      </c>
      <c r="AL113" s="31"/>
      <c r="AM113" s="34" t="str">
        <f>IF((ISERROR((AL113/$I113)*100)), "", IF(AND(NOT(ISERROR((AL113/$I113)*100)),((AL113/$I113)*100) &lt;&gt; 0), (AL113/$I113)*100, ""))</f>
        <v/>
      </c>
      <c r="AN113" s="31"/>
      <c r="AO113" s="34" t="str">
        <f>IF((ISERROR((AN113/$I113)*100)), "", IF(AND(NOT(ISERROR((AN113/$I113)*100)),((AN113/$I113)*100) &lt;&gt; 0), (AN113/$I113)*100, ""))</f>
        <v/>
      </c>
      <c r="AP113" s="31"/>
      <c r="AQ113" s="34" t="str">
        <f t="shared" si="50"/>
        <v/>
      </c>
      <c r="AR113" s="31"/>
      <c r="AS113" s="34" t="str">
        <f t="shared" si="51"/>
        <v/>
      </c>
      <c r="AT113" s="31"/>
      <c r="AU113" s="34" t="str">
        <f t="shared" si="19"/>
        <v/>
      </c>
      <c r="AV113" s="31"/>
      <c r="AW113" s="34" t="str">
        <f t="shared" si="58"/>
        <v/>
      </c>
      <c r="AX113" s="31"/>
      <c r="AY113" s="34" t="str">
        <f t="shared" si="59"/>
        <v/>
      </c>
      <c r="AZ113" s="31"/>
      <c r="BA113" s="34" t="str">
        <f t="shared" si="60"/>
        <v/>
      </c>
      <c r="BB113" s="21" t="s">
        <v>180</v>
      </c>
    </row>
    <row r="114" spans="1:54" ht="20" customHeight="1" x14ac:dyDescent="0.2">
      <c r="A114" s="678"/>
      <c r="B114" s="721"/>
      <c r="C114" s="253"/>
      <c r="D114" s="722" t="s">
        <v>85</v>
      </c>
      <c r="E114" s="723" t="s">
        <v>111</v>
      </c>
      <c r="F114" s="723" t="s">
        <v>112</v>
      </c>
      <c r="G114" s="722">
        <v>2008</v>
      </c>
      <c r="H114" s="287">
        <v>101</v>
      </c>
      <c r="I114" s="65">
        <v>16</v>
      </c>
      <c r="J114" s="61" t="s">
        <v>210</v>
      </c>
      <c r="K114" s="62"/>
      <c r="L114" s="31"/>
      <c r="M114" s="34" t="str">
        <f t="shared" si="42"/>
        <v/>
      </c>
      <c r="N114" s="31"/>
      <c r="O114" s="34" t="str">
        <f t="shared" si="43"/>
        <v/>
      </c>
      <c r="P114" s="31"/>
      <c r="Q114" s="34" t="str">
        <f t="shared" si="44"/>
        <v/>
      </c>
      <c r="R114" s="31"/>
      <c r="S114" s="34" t="str">
        <f t="shared" si="45"/>
        <v/>
      </c>
      <c r="T114" s="31"/>
      <c r="U114" s="34" t="str">
        <f t="shared" si="46"/>
        <v/>
      </c>
      <c r="V114" s="56"/>
      <c r="W114" s="34" t="str">
        <f t="shared" si="62"/>
        <v/>
      </c>
      <c r="X114" s="31"/>
      <c r="Y114" s="34" t="str">
        <f>IF((ISERROR((X114/$I114)*100)), "", IF(AND(NOT(ISERROR((X114/$I114)*100)),((X114/$I114)*100) &lt;&gt; 0), (X114/$I114)*100, ""))</f>
        <v/>
      </c>
      <c r="Z114" s="31"/>
      <c r="AA114" s="34" t="str">
        <f>IF((ISERROR((Z114/$I114)*100)), "", IF(AND(NOT(ISERROR((Z114/$I114)*100)),((Z114/$I114)*100) &lt;&gt; 0), (Z114/$I114)*100, ""))</f>
        <v/>
      </c>
      <c r="AB114" s="31"/>
      <c r="AC114" s="34" t="str">
        <f>IF((ISERROR((AB114/$I114)*100)), "", IF(AND(NOT(ISERROR((AB114/$I114)*100)),((AB114/$I114)*100) &lt;&gt; 0), (AB114/$I114)*100, ""))</f>
        <v/>
      </c>
      <c r="AD114" s="31"/>
      <c r="AE114" s="34" t="str">
        <f>IF((ISERROR((AD114/$I114)*100)), "", IF(AND(NOT(ISERROR((AD114/$I114)*100)),((AD114/$I114)*100) &lt;&gt; 0), (AD114/$I114)*100, ""))</f>
        <v/>
      </c>
      <c r="AF114" s="56"/>
      <c r="AG114" s="34" t="str">
        <f t="shared" si="48"/>
        <v/>
      </c>
      <c r="AH114" s="31"/>
      <c r="AI114" s="34" t="str">
        <f>IF((ISERROR((AH114/$I114)*100)), "", IF(AND(NOT(ISERROR((AH114/$I114)*100)),((AH114/$I114)*100) &lt;&gt; 0), (AH114/$I114)*100, ""))</f>
        <v/>
      </c>
      <c r="AJ114" s="31"/>
      <c r="AK114" s="34" t="str">
        <f t="shared" si="49"/>
        <v/>
      </c>
      <c r="AL114" s="31"/>
      <c r="AM114" s="34" t="str">
        <f>IF((ISERROR((AL114/$I114)*100)), "", IF(AND(NOT(ISERROR((AL114/$I114)*100)),((AL114/$I114)*100) &lt;&gt; 0), (AL114/$I114)*100, ""))</f>
        <v/>
      </c>
      <c r="AN114" s="31"/>
      <c r="AO114" s="34" t="str">
        <f>IF((ISERROR((AN114/$I114)*100)), "", IF(AND(NOT(ISERROR((AN114/$I114)*100)),((AN114/$I114)*100) &lt;&gt; 0), (AN114/$I114)*100, ""))</f>
        <v/>
      </c>
      <c r="AP114" s="31"/>
      <c r="AQ114" s="34" t="str">
        <f t="shared" si="50"/>
        <v/>
      </c>
      <c r="AR114" s="31"/>
      <c r="AS114" s="34" t="str">
        <f t="shared" si="51"/>
        <v/>
      </c>
      <c r="AT114" s="31"/>
      <c r="AU114" s="34" t="str">
        <f t="shared" si="19"/>
        <v/>
      </c>
      <c r="AV114" s="31"/>
      <c r="AW114" s="34" t="str">
        <f t="shared" si="58"/>
        <v/>
      </c>
      <c r="AX114" s="31"/>
      <c r="AY114" s="34" t="str">
        <f t="shared" si="59"/>
        <v/>
      </c>
      <c r="AZ114" s="31"/>
      <c r="BA114" s="34" t="str">
        <f t="shared" si="60"/>
        <v/>
      </c>
      <c r="BB114" s="21" t="s">
        <v>383</v>
      </c>
    </row>
    <row r="115" spans="1:54" ht="20" customHeight="1" x14ac:dyDescent="0.2">
      <c r="A115" s="680"/>
      <c r="B115" s="721"/>
      <c r="C115" s="722"/>
      <c r="D115" s="722" t="s">
        <v>85</v>
      </c>
      <c r="E115" s="723" t="s">
        <v>673</v>
      </c>
      <c r="F115" s="723" t="s">
        <v>674</v>
      </c>
      <c r="G115" s="722">
        <v>2003</v>
      </c>
      <c r="H115" s="287"/>
      <c r="I115" s="65">
        <v>15</v>
      </c>
      <c r="J115" s="61" t="s">
        <v>213</v>
      </c>
      <c r="K115" s="62" t="s">
        <v>675</v>
      </c>
      <c r="L115" s="31"/>
      <c r="M115" s="34"/>
      <c r="N115" s="31"/>
      <c r="O115" s="34"/>
      <c r="P115" s="31"/>
      <c r="Q115" s="34"/>
      <c r="R115" s="31"/>
      <c r="S115" s="34"/>
      <c r="T115" s="31"/>
      <c r="U115" s="34"/>
      <c r="V115" s="56"/>
      <c r="W115" s="34"/>
      <c r="X115" s="31"/>
      <c r="Y115" s="34"/>
      <c r="Z115" s="31"/>
      <c r="AA115" s="34"/>
      <c r="AB115" s="31"/>
      <c r="AC115" s="34"/>
      <c r="AD115" s="31"/>
      <c r="AE115" s="34"/>
      <c r="AF115" s="56"/>
      <c r="AG115" s="34"/>
      <c r="AH115" s="31"/>
      <c r="AI115" s="34"/>
      <c r="AJ115" s="31"/>
      <c r="AK115" s="34"/>
      <c r="AL115" s="31"/>
      <c r="AM115" s="34"/>
      <c r="AN115" s="31"/>
      <c r="AO115" s="34"/>
      <c r="AP115" s="31"/>
      <c r="AQ115" s="34"/>
      <c r="AR115" s="31"/>
      <c r="AS115" s="34"/>
      <c r="AT115" s="31"/>
      <c r="AU115" s="34"/>
      <c r="AV115" s="31"/>
      <c r="AW115" s="34"/>
      <c r="AX115" s="31"/>
      <c r="AY115" s="34"/>
      <c r="AZ115" s="31"/>
      <c r="BA115" s="34"/>
    </row>
    <row r="116" spans="1:54" ht="20" customHeight="1" x14ac:dyDescent="0.2">
      <c r="A116" s="678"/>
      <c r="B116" s="725"/>
      <c r="C116" s="255"/>
      <c r="D116" s="722" t="s">
        <v>85</v>
      </c>
      <c r="E116" s="723" t="s">
        <v>113</v>
      </c>
      <c r="F116" s="723" t="s">
        <v>114</v>
      </c>
      <c r="G116" s="722">
        <v>1997</v>
      </c>
      <c r="H116" s="287">
        <v>127</v>
      </c>
      <c r="I116" s="65">
        <v>8</v>
      </c>
      <c r="J116" s="61" t="s">
        <v>211</v>
      </c>
      <c r="K116" s="62" t="s">
        <v>212</v>
      </c>
      <c r="L116" s="31"/>
      <c r="M116" s="34" t="str">
        <f t="shared" si="42"/>
        <v/>
      </c>
      <c r="N116" s="31"/>
      <c r="O116" s="34" t="str">
        <f t="shared" si="43"/>
        <v/>
      </c>
      <c r="P116" s="31"/>
      <c r="Q116" s="34" t="str">
        <f t="shared" si="44"/>
        <v/>
      </c>
      <c r="R116" s="31"/>
      <c r="S116" s="34" t="str">
        <f t="shared" si="45"/>
        <v/>
      </c>
      <c r="T116" s="31"/>
      <c r="U116" s="34" t="str">
        <f t="shared" si="46"/>
        <v/>
      </c>
      <c r="V116" s="56">
        <v>1</v>
      </c>
      <c r="W116" s="34">
        <f t="shared" si="62"/>
        <v>12.5</v>
      </c>
      <c r="X116" s="31"/>
      <c r="Y116" s="34" t="str">
        <f t="shared" si="53"/>
        <v/>
      </c>
      <c r="Z116" s="31"/>
      <c r="AA116" s="34" t="str">
        <f t="shared" si="54"/>
        <v/>
      </c>
      <c r="AB116" s="31"/>
      <c r="AC116" s="34" t="str">
        <f t="shared" si="55"/>
        <v/>
      </c>
      <c r="AD116" s="31">
        <v>1</v>
      </c>
      <c r="AE116" s="34">
        <f t="shared" si="56"/>
        <v>12.5</v>
      </c>
      <c r="AF116" s="56"/>
      <c r="AG116" s="34" t="str">
        <f t="shared" si="48"/>
        <v/>
      </c>
      <c r="AH116" s="31"/>
      <c r="AI116" s="34" t="str">
        <f t="shared" si="61"/>
        <v/>
      </c>
      <c r="AJ116" s="31"/>
      <c r="AK116" s="34" t="str">
        <f t="shared" si="49"/>
        <v/>
      </c>
      <c r="AL116" s="31"/>
      <c r="AM116" s="34" t="str">
        <f t="shared" si="57"/>
        <v/>
      </c>
      <c r="AN116" s="31"/>
      <c r="AO116" s="34" t="str">
        <f t="shared" si="19"/>
        <v/>
      </c>
      <c r="AP116" s="31"/>
      <c r="AQ116" s="34" t="str">
        <f t="shared" si="50"/>
        <v/>
      </c>
      <c r="AR116" s="31"/>
      <c r="AS116" s="34" t="str">
        <f t="shared" si="51"/>
        <v/>
      </c>
      <c r="AT116" s="31"/>
      <c r="AU116" s="34" t="str">
        <f t="shared" si="19"/>
        <v/>
      </c>
      <c r="AV116" s="31"/>
      <c r="AW116" s="34" t="str">
        <f t="shared" si="58"/>
        <v/>
      </c>
      <c r="AX116" s="31"/>
      <c r="AY116" s="34" t="str">
        <f t="shared" si="59"/>
        <v/>
      </c>
      <c r="AZ116" s="31"/>
      <c r="BA116" s="34" t="str">
        <f t="shared" si="60"/>
        <v/>
      </c>
      <c r="BB116" s="21" t="s">
        <v>384</v>
      </c>
    </row>
    <row r="117" spans="1:54" ht="20" customHeight="1" x14ac:dyDescent="0.2">
      <c r="A117" s="680"/>
      <c r="B117" s="721"/>
      <c r="C117" s="722"/>
      <c r="D117" s="722" t="s">
        <v>85</v>
      </c>
      <c r="E117" s="723" t="s">
        <v>677</v>
      </c>
      <c r="F117" s="723" t="s">
        <v>678</v>
      </c>
      <c r="G117" s="722"/>
      <c r="H117" s="287"/>
      <c r="I117" s="65"/>
      <c r="J117" s="61" t="s">
        <v>340</v>
      </c>
      <c r="K117" s="62" t="s">
        <v>168</v>
      </c>
      <c r="L117" s="31"/>
      <c r="M117" s="34"/>
      <c r="N117" s="31"/>
      <c r="O117" s="34"/>
      <c r="P117" s="31"/>
      <c r="Q117" s="34"/>
      <c r="R117" s="31"/>
      <c r="S117" s="34"/>
      <c r="T117" s="31"/>
      <c r="U117" s="34"/>
      <c r="V117" s="56"/>
      <c r="W117" s="34"/>
      <c r="X117" s="31"/>
      <c r="Y117" s="34"/>
      <c r="Z117" s="31"/>
      <c r="AA117" s="34"/>
      <c r="AB117" s="31"/>
      <c r="AC117" s="34"/>
      <c r="AD117" s="31"/>
      <c r="AE117" s="34"/>
      <c r="AF117" s="56"/>
      <c r="AG117" s="34"/>
      <c r="AH117" s="31"/>
      <c r="AI117" s="34"/>
      <c r="AJ117" s="31"/>
      <c r="AK117" s="34"/>
      <c r="AL117" s="31"/>
      <c r="AM117" s="34"/>
      <c r="AN117" s="31"/>
      <c r="AO117" s="34"/>
      <c r="AP117" s="31"/>
      <c r="AQ117" s="34"/>
      <c r="AR117" s="31"/>
      <c r="AS117" s="34"/>
      <c r="AT117" s="31"/>
      <c r="AU117" s="34"/>
      <c r="AV117" s="31"/>
      <c r="AW117" s="34"/>
      <c r="AX117" s="31"/>
      <c r="AY117" s="34"/>
      <c r="AZ117" s="31"/>
      <c r="BA117" s="34"/>
    </row>
    <row r="118" spans="1:54" ht="20" customHeight="1" x14ac:dyDescent="0.2">
      <c r="A118" s="678"/>
      <c r="B118" s="725"/>
      <c r="C118" s="722"/>
      <c r="D118" s="722" t="s">
        <v>85</v>
      </c>
      <c r="E118" s="723" t="s">
        <v>115</v>
      </c>
      <c r="F118" s="723" t="s">
        <v>116</v>
      </c>
      <c r="G118" s="722">
        <v>2001</v>
      </c>
      <c r="H118" s="287">
        <v>143</v>
      </c>
      <c r="I118" s="65">
        <v>6</v>
      </c>
      <c r="J118" s="61" t="s">
        <v>213</v>
      </c>
      <c r="K118" s="62" t="s">
        <v>192</v>
      </c>
      <c r="L118" s="31"/>
      <c r="M118" s="34" t="str">
        <f t="shared" si="42"/>
        <v/>
      </c>
      <c r="N118" s="31"/>
      <c r="O118" s="34" t="str">
        <f t="shared" si="43"/>
        <v/>
      </c>
      <c r="P118" s="31"/>
      <c r="Q118" s="34" t="str">
        <f t="shared" si="44"/>
        <v/>
      </c>
      <c r="R118" s="31"/>
      <c r="S118" s="34" t="str">
        <f t="shared" si="45"/>
        <v/>
      </c>
      <c r="T118" s="31"/>
      <c r="U118" s="34" t="str">
        <f t="shared" si="46"/>
        <v/>
      </c>
      <c r="V118" s="56"/>
      <c r="W118" s="34" t="str">
        <f t="shared" si="62"/>
        <v/>
      </c>
      <c r="X118" s="31"/>
      <c r="Y118" s="34" t="str">
        <f t="shared" si="53"/>
        <v/>
      </c>
      <c r="Z118" s="31"/>
      <c r="AA118" s="34" t="str">
        <f t="shared" si="54"/>
        <v/>
      </c>
      <c r="AB118" s="31"/>
      <c r="AC118" s="34" t="str">
        <f t="shared" si="55"/>
        <v/>
      </c>
      <c r="AD118" s="31"/>
      <c r="AE118" s="34" t="str">
        <f t="shared" si="56"/>
        <v/>
      </c>
      <c r="AF118" s="56"/>
      <c r="AG118" s="34" t="str">
        <f t="shared" si="48"/>
        <v/>
      </c>
      <c r="AH118" s="31"/>
      <c r="AI118" s="34" t="str">
        <f t="shared" si="61"/>
        <v/>
      </c>
      <c r="AJ118" s="31"/>
      <c r="AK118" s="34" t="str">
        <f t="shared" si="49"/>
        <v/>
      </c>
      <c r="AL118" s="31"/>
      <c r="AM118" s="34" t="str">
        <f t="shared" si="57"/>
        <v/>
      </c>
      <c r="AN118" s="31"/>
      <c r="AO118" s="34" t="str">
        <f t="shared" si="19"/>
        <v/>
      </c>
      <c r="AP118" s="31"/>
      <c r="AQ118" s="34" t="str">
        <f t="shared" si="50"/>
        <v/>
      </c>
      <c r="AR118" s="31"/>
      <c r="AS118" s="34" t="str">
        <f t="shared" si="51"/>
        <v/>
      </c>
      <c r="AT118" s="31"/>
      <c r="AU118" s="34" t="str">
        <f t="shared" si="19"/>
        <v/>
      </c>
      <c r="AV118" s="31"/>
      <c r="AW118" s="34" t="str">
        <f t="shared" si="58"/>
        <v/>
      </c>
      <c r="AX118" s="31"/>
      <c r="AY118" s="34" t="str">
        <f t="shared" si="59"/>
        <v/>
      </c>
      <c r="AZ118" s="31"/>
      <c r="BA118" s="34" t="str">
        <f t="shared" si="60"/>
        <v/>
      </c>
      <c r="BB118" s="21" t="s">
        <v>214</v>
      </c>
    </row>
    <row r="119" spans="1:54" ht="20" customHeight="1" x14ac:dyDescent="0.2">
      <c r="A119" s="678"/>
      <c r="B119" s="725"/>
      <c r="C119" s="722"/>
      <c r="D119" s="727" t="s">
        <v>30</v>
      </c>
      <c r="E119" s="728" t="s">
        <v>117</v>
      </c>
      <c r="F119" s="728" t="s">
        <v>118</v>
      </c>
      <c r="G119" s="727">
        <v>2004</v>
      </c>
      <c r="H119" s="729">
        <v>100</v>
      </c>
      <c r="I119" s="65" t="s">
        <v>215</v>
      </c>
      <c r="J119" s="61" t="s">
        <v>216</v>
      </c>
      <c r="K119" s="62"/>
      <c r="L119" s="31"/>
      <c r="M119" s="34" t="str">
        <f t="shared" si="42"/>
        <v/>
      </c>
      <c r="N119" s="31"/>
      <c r="O119" s="34" t="str">
        <f t="shared" si="43"/>
        <v/>
      </c>
      <c r="P119" s="31"/>
      <c r="Q119" s="34" t="str">
        <f t="shared" si="44"/>
        <v/>
      </c>
      <c r="R119" s="31"/>
      <c r="S119" s="34" t="str">
        <f t="shared" si="45"/>
        <v/>
      </c>
      <c r="T119" s="31"/>
      <c r="U119" s="34" t="str">
        <f t="shared" si="46"/>
        <v/>
      </c>
      <c r="V119" s="56">
        <v>1</v>
      </c>
      <c r="W119" s="34" t="str">
        <f t="shared" si="62"/>
        <v/>
      </c>
      <c r="X119" s="31"/>
      <c r="Y119" s="34" t="str">
        <f t="shared" si="53"/>
        <v/>
      </c>
      <c r="Z119" s="31"/>
      <c r="AA119" s="34" t="str">
        <f t="shared" si="54"/>
        <v/>
      </c>
      <c r="AB119" s="31"/>
      <c r="AC119" s="34" t="str">
        <f t="shared" si="55"/>
        <v/>
      </c>
      <c r="AD119" s="31"/>
      <c r="AE119" s="34" t="str">
        <f t="shared" si="56"/>
        <v/>
      </c>
      <c r="AF119" s="56"/>
      <c r="AG119" s="34" t="str">
        <f t="shared" si="48"/>
        <v/>
      </c>
      <c r="AH119" s="31"/>
      <c r="AI119" s="34" t="str">
        <f t="shared" si="61"/>
        <v/>
      </c>
      <c r="AJ119" s="31"/>
      <c r="AK119" s="34" t="str">
        <f t="shared" si="49"/>
        <v/>
      </c>
      <c r="AL119" s="31"/>
      <c r="AM119" s="34" t="str">
        <f t="shared" si="57"/>
        <v/>
      </c>
      <c r="AN119" s="31"/>
      <c r="AO119" s="34" t="str">
        <f t="shared" si="19"/>
        <v/>
      </c>
      <c r="AP119" s="31"/>
      <c r="AQ119" s="34" t="str">
        <f t="shared" si="50"/>
        <v/>
      </c>
      <c r="AR119" s="31"/>
      <c r="AS119" s="34" t="str">
        <f t="shared" si="51"/>
        <v/>
      </c>
      <c r="AT119" s="31"/>
      <c r="AU119" s="34" t="str">
        <f t="shared" si="19"/>
        <v/>
      </c>
      <c r="AV119" s="31"/>
      <c r="AW119" s="34" t="str">
        <f t="shared" si="58"/>
        <v/>
      </c>
      <c r="AX119" s="31"/>
      <c r="AY119" s="34" t="str">
        <f t="shared" si="59"/>
        <v/>
      </c>
      <c r="AZ119" s="31"/>
      <c r="BA119" s="34" t="str">
        <f t="shared" si="60"/>
        <v/>
      </c>
      <c r="BB119" s="21" t="s">
        <v>385</v>
      </c>
    </row>
    <row r="120" spans="1:54" ht="20" customHeight="1" x14ac:dyDescent="0.2">
      <c r="A120" s="678"/>
      <c r="B120" s="725"/>
      <c r="C120" s="255"/>
      <c r="D120" s="722" t="s">
        <v>85</v>
      </c>
      <c r="E120" s="723" t="s">
        <v>119</v>
      </c>
      <c r="F120" s="723" t="s">
        <v>120</v>
      </c>
      <c r="G120" s="722">
        <v>2003</v>
      </c>
      <c r="H120" s="287">
        <v>45</v>
      </c>
      <c r="I120" s="65">
        <v>16</v>
      </c>
      <c r="J120" s="61" t="s">
        <v>175</v>
      </c>
      <c r="K120" s="62" t="s">
        <v>416</v>
      </c>
      <c r="L120" s="31"/>
      <c r="M120" s="34" t="str">
        <f t="shared" si="42"/>
        <v/>
      </c>
      <c r="N120" s="31"/>
      <c r="O120" s="34" t="str">
        <f t="shared" si="43"/>
        <v/>
      </c>
      <c r="P120" s="31"/>
      <c r="Q120" s="34" t="str">
        <f t="shared" si="44"/>
        <v/>
      </c>
      <c r="R120" s="31"/>
      <c r="S120" s="34" t="str">
        <f t="shared" si="45"/>
        <v/>
      </c>
      <c r="T120" s="36"/>
      <c r="U120" s="37" t="str">
        <f t="shared" si="46"/>
        <v/>
      </c>
      <c r="V120" s="36"/>
      <c r="W120" s="37" t="str">
        <f t="shared" si="62"/>
        <v/>
      </c>
      <c r="X120" s="31"/>
      <c r="Y120" s="34" t="str">
        <f>IF((ISERROR((X120/$I120)*100)), "", IF(AND(NOT(ISERROR((X120/$I120)*100)),((X120/$I120)*100) &lt;&gt; 0), (X120/$I120)*100, ""))</f>
        <v/>
      </c>
      <c r="Z120" s="31"/>
      <c r="AA120" s="34" t="str">
        <f>IF((ISERROR((Z120/$I120)*100)), "", IF(AND(NOT(ISERROR((Z120/$I120)*100)),((Z120/$I120)*100) &lt;&gt; 0), (Z120/$I120)*100, ""))</f>
        <v/>
      </c>
      <c r="AB120" s="31"/>
      <c r="AC120" s="34" t="str">
        <f>IF((ISERROR((AB120/$I120)*100)), "", IF(AND(NOT(ISERROR((AB120/$I120)*100)),((AB120/$I120)*100) &lt;&gt; 0), (AB120/$I120)*100, ""))</f>
        <v/>
      </c>
      <c r="AD120" s="31"/>
      <c r="AE120" s="34" t="str">
        <f>IF((ISERROR((AD120/$I120)*100)), "", IF(AND(NOT(ISERROR((AD120/$I120)*100)),((AD120/$I120)*100) &lt;&gt; 0), (AD120/$I120)*100, ""))</f>
        <v/>
      </c>
      <c r="AF120" s="56"/>
      <c r="AG120" s="34" t="str">
        <f t="shared" si="48"/>
        <v/>
      </c>
      <c r="AH120" s="31"/>
      <c r="AI120" s="34" t="str">
        <f>IF((ISERROR((AH120/$I120)*100)), "", IF(AND(NOT(ISERROR((AH120/$I120)*100)),((AH120/$I120)*100) &lt;&gt; 0), (AH120/$I120)*100, ""))</f>
        <v/>
      </c>
      <c r="AJ120" s="31"/>
      <c r="AK120" s="34" t="str">
        <f t="shared" si="49"/>
        <v/>
      </c>
      <c r="AL120" s="31"/>
      <c r="AM120" s="34" t="str">
        <f>IF((ISERROR((AL120/$I120)*100)), "", IF(AND(NOT(ISERROR((AL120/$I120)*100)),((AL120/$I120)*100) &lt;&gt; 0), (AL120/$I120)*100, ""))</f>
        <v/>
      </c>
      <c r="AN120" s="31"/>
      <c r="AO120" s="34" t="str">
        <f>IF((ISERROR((AN120/$I120)*100)), "", IF(AND(NOT(ISERROR((AN120/$I120)*100)),((AN120/$I120)*100) &lt;&gt; 0), (AN120/$I120)*100, ""))</f>
        <v/>
      </c>
      <c r="AP120" s="31"/>
      <c r="AQ120" s="34" t="str">
        <f t="shared" si="50"/>
        <v/>
      </c>
      <c r="AR120" s="31"/>
      <c r="AS120" s="34" t="str">
        <f t="shared" si="51"/>
        <v/>
      </c>
      <c r="AT120" s="31"/>
      <c r="AU120" s="34" t="str">
        <f t="shared" si="19"/>
        <v/>
      </c>
      <c r="AV120" s="31"/>
      <c r="AW120" s="34" t="str">
        <f t="shared" si="58"/>
        <v/>
      </c>
      <c r="AX120" s="31"/>
      <c r="AY120" s="34" t="str">
        <f t="shared" si="59"/>
        <v/>
      </c>
      <c r="AZ120" s="31"/>
      <c r="BA120" s="34" t="str">
        <f t="shared" si="60"/>
        <v/>
      </c>
      <c r="BB120" s="21" t="s">
        <v>404</v>
      </c>
    </row>
    <row r="121" spans="1:54" ht="20" customHeight="1" x14ac:dyDescent="0.2">
      <c r="A121" s="678"/>
      <c r="B121" s="725"/>
      <c r="C121" s="253"/>
      <c r="D121" s="722" t="s">
        <v>85</v>
      </c>
      <c r="E121" s="723" t="s">
        <v>121</v>
      </c>
      <c r="F121" s="723" t="s">
        <v>122</v>
      </c>
      <c r="G121" s="722">
        <v>2002</v>
      </c>
      <c r="H121" s="287">
        <v>73</v>
      </c>
      <c r="I121" s="65">
        <v>49</v>
      </c>
      <c r="J121" s="61" t="s">
        <v>197</v>
      </c>
      <c r="K121" s="62"/>
      <c r="L121" s="31"/>
      <c r="M121" s="34" t="str">
        <f t="shared" si="42"/>
        <v/>
      </c>
      <c r="N121" s="31"/>
      <c r="O121" s="34" t="str">
        <f t="shared" si="43"/>
        <v/>
      </c>
      <c r="P121" s="31"/>
      <c r="Q121" s="34" t="str">
        <f t="shared" si="44"/>
        <v/>
      </c>
      <c r="R121" s="31"/>
      <c r="S121" s="34" t="str">
        <f t="shared" si="45"/>
        <v/>
      </c>
      <c r="T121" s="31"/>
      <c r="U121" s="34" t="str">
        <f t="shared" si="46"/>
        <v/>
      </c>
      <c r="V121" s="56"/>
      <c r="W121" s="34" t="str">
        <f t="shared" si="62"/>
        <v/>
      </c>
      <c r="X121" s="31"/>
      <c r="Y121" s="34" t="str">
        <f t="shared" si="53"/>
        <v/>
      </c>
      <c r="Z121" s="31"/>
      <c r="AA121" s="34" t="str">
        <f t="shared" si="54"/>
        <v/>
      </c>
      <c r="AB121" s="31"/>
      <c r="AC121" s="34" t="str">
        <f t="shared" si="55"/>
        <v/>
      </c>
      <c r="AD121" s="31"/>
      <c r="AE121" s="34" t="str">
        <f t="shared" si="56"/>
        <v/>
      </c>
      <c r="AF121" s="56"/>
      <c r="AG121" s="34" t="str">
        <f t="shared" si="48"/>
        <v/>
      </c>
      <c r="AH121" s="31"/>
      <c r="AI121" s="34" t="str">
        <f t="shared" si="61"/>
        <v/>
      </c>
      <c r="AJ121" s="31"/>
      <c r="AK121" s="34" t="str">
        <f t="shared" si="49"/>
        <v/>
      </c>
      <c r="AL121" s="31"/>
      <c r="AM121" s="34" t="str">
        <f t="shared" si="57"/>
        <v/>
      </c>
      <c r="AN121" s="31"/>
      <c r="AO121" s="34" t="str">
        <f t="shared" si="19"/>
        <v/>
      </c>
      <c r="AP121" s="31"/>
      <c r="AQ121" s="34" t="str">
        <f t="shared" si="50"/>
        <v/>
      </c>
      <c r="AR121" s="31"/>
      <c r="AS121" s="34" t="str">
        <f t="shared" si="51"/>
        <v/>
      </c>
      <c r="AT121" s="31"/>
      <c r="AU121" s="34" t="str">
        <f t="shared" si="19"/>
        <v/>
      </c>
      <c r="AV121" s="31"/>
      <c r="AW121" s="34" t="str">
        <f t="shared" si="58"/>
        <v/>
      </c>
      <c r="AX121" s="31"/>
      <c r="AY121" s="34" t="str">
        <f t="shared" si="59"/>
        <v/>
      </c>
      <c r="AZ121" s="31"/>
      <c r="BA121" s="34" t="str">
        <f t="shared" si="60"/>
        <v/>
      </c>
      <c r="BB121" s="21" t="s">
        <v>180</v>
      </c>
    </row>
    <row r="122" spans="1:54" ht="20" customHeight="1" x14ac:dyDescent="0.2">
      <c r="A122" s="678"/>
      <c r="B122" s="725"/>
      <c r="C122" s="255"/>
      <c r="D122" s="722" t="s">
        <v>85</v>
      </c>
      <c r="E122" s="723" t="s">
        <v>304</v>
      </c>
      <c r="F122" s="723" t="s">
        <v>305</v>
      </c>
      <c r="G122" s="722">
        <v>2015</v>
      </c>
      <c r="H122" s="287"/>
      <c r="I122" s="65">
        <v>5</v>
      </c>
      <c r="J122" s="61" t="s">
        <v>210</v>
      </c>
      <c r="K122" s="62" t="s">
        <v>187</v>
      </c>
      <c r="L122" s="31"/>
      <c r="M122" s="34" t="str">
        <f t="shared" si="42"/>
        <v/>
      </c>
      <c r="N122" s="31"/>
      <c r="O122" s="34" t="str">
        <f t="shared" si="43"/>
        <v/>
      </c>
      <c r="P122" s="31"/>
      <c r="Q122" s="34" t="str">
        <f t="shared" si="44"/>
        <v/>
      </c>
      <c r="R122" s="31"/>
      <c r="S122" s="34" t="str">
        <f t="shared" si="45"/>
        <v/>
      </c>
      <c r="T122" s="31"/>
      <c r="U122" s="34" t="str">
        <f t="shared" si="46"/>
        <v/>
      </c>
      <c r="V122" s="56"/>
      <c r="W122" s="34" t="str">
        <f t="shared" si="62"/>
        <v/>
      </c>
      <c r="X122" s="31"/>
      <c r="Y122" s="34" t="str">
        <f>IF((ISERROR((X122/$I122)*100)), "", IF(AND(NOT(ISERROR((X122/$I122)*100)),((X122/$I122)*100) &lt;&gt; 0), (X122/$I122)*100, ""))</f>
        <v/>
      </c>
      <c r="Z122" s="31"/>
      <c r="AA122" s="34" t="str">
        <f>IF((ISERROR((Z122/$I122)*100)), "", IF(AND(NOT(ISERROR((Z122/$I122)*100)),((Z122/$I122)*100) &lt;&gt; 0), (Z122/$I122)*100, ""))</f>
        <v/>
      </c>
      <c r="AB122" s="31"/>
      <c r="AC122" s="34" t="str">
        <f>IF((ISERROR((AB122/$I122)*100)), "", IF(AND(NOT(ISERROR((AB122/$I122)*100)),((AB122/$I122)*100) &lt;&gt; 0), (AB122/$I122)*100, ""))</f>
        <v/>
      </c>
      <c r="AD122" s="31"/>
      <c r="AE122" s="34" t="str">
        <f>IF((ISERROR((AD122/$I122)*100)), "", IF(AND(NOT(ISERROR((AD122/$I122)*100)),((AD122/$I122)*100) &lt;&gt; 0), (AD122/$I122)*100, ""))</f>
        <v/>
      </c>
      <c r="AF122" s="56">
        <v>1</v>
      </c>
      <c r="AG122" s="34">
        <f t="shared" si="48"/>
        <v>20</v>
      </c>
      <c r="AH122" s="31"/>
      <c r="AI122" s="34" t="str">
        <f>IF((ISERROR((AH122/$I122)*100)), "", IF(AND(NOT(ISERROR((AH122/$I122)*100)),((AH122/$I122)*100) &lt;&gt; 0), (AH122/$I122)*100, ""))</f>
        <v/>
      </c>
      <c r="AJ122" s="31"/>
      <c r="AK122" s="34" t="str">
        <f t="shared" si="49"/>
        <v/>
      </c>
      <c r="AL122" s="31"/>
      <c r="AM122" s="34" t="str">
        <f>IF((ISERROR((AL122/$I122)*100)), "", IF(AND(NOT(ISERROR((AL122/$I122)*100)),((AL122/$I122)*100) &lt;&gt; 0), (AL122/$I122)*100, ""))</f>
        <v/>
      </c>
      <c r="AN122" s="31"/>
      <c r="AO122" s="34" t="str">
        <f>IF((ISERROR((AN122/$I122)*100)), "", IF(AND(NOT(ISERROR((AN122/$I122)*100)),((AN122/$I122)*100) &lt;&gt; 0), (AN122/$I122)*100, ""))</f>
        <v/>
      </c>
      <c r="AP122" s="31"/>
      <c r="AQ122" s="34" t="str">
        <f t="shared" si="50"/>
        <v/>
      </c>
      <c r="AR122" s="31"/>
      <c r="AS122" s="34" t="str">
        <f t="shared" si="51"/>
        <v/>
      </c>
      <c r="AT122" s="31"/>
      <c r="AU122" s="34" t="str">
        <f t="shared" si="19"/>
        <v/>
      </c>
      <c r="AV122" s="31"/>
      <c r="AW122" s="34" t="str">
        <f t="shared" si="58"/>
        <v/>
      </c>
      <c r="AX122" s="31"/>
      <c r="AY122" s="34" t="str">
        <f t="shared" si="59"/>
        <v/>
      </c>
      <c r="AZ122" s="31"/>
      <c r="BA122" s="34" t="str">
        <f t="shared" si="60"/>
        <v/>
      </c>
      <c r="BB122" s="21" t="s">
        <v>417</v>
      </c>
    </row>
    <row r="123" spans="1:54" ht="20" customHeight="1" x14ac:dyDescent="0.2">
      <c r="A123" s="680"/>
      <c r="B123" s="721"/>
      <c r="C123" s="722"/>
      <c r="D123" s="722" t="s">
        <v>85</v>
      </c>
      <c r="E123" s="723" t="s">
        <v>679</v>
      </c>
      <c r="F123" s="723" t="s">
        <v>680</v>
      </c>
      <c r="G123" s="722">
        <v>1991</v>
      </c>
      <c r="H123" s="287"/>
      <c r="I123" s="65"/>
      <c r="J123" s="61" t="s">
        <v>175</v>
      </c>
      <c r="K123" s="62" t="s">
        <v>209</v>
      </c>
      <c r="L123" s="31"/>
      <c r="M123" s="34"/>
      <c r="N123" s="31"/>
      <c r="O123" s="34"/>
      <c r="P123" s="31"/>
      <c r="Q123" s="34"/>
      <c r="R123" s="31"/>
      <c r="S123" s="34"/>
      <c r="T123" s="31"/>
      <c r="U123" s="34"/>
      <c r="V123" s="56"/>
      <c r="W123" s="34"/>
      <c r="X123" s="31"/>
      <c r="Y123" s="34"/>
      <c r="Z123" s="31"/>
      <c r="AA123" s="34"/>
      <c r="AB123" s="31"/>
      <c r="AC123" s="34"/>
      <c r="AD123" s="31"/>
      <c r="AE123" s="34"/>
      <c r="AF123" s="56"/>
      <c r="AG123" s="34"/>
      <c r="AH123" s="31"/>
      <c r="AI123" s="34"/>
      <c r="AJ123" s="31"/>
      <c r="AK123" s="34"/>
      <c r="AL123" s="31"/>
      <c r="AM123" s="34"/>
      <c r="AN123" s="31"/>
      <c r="AO123" s="34"/>
      <c r="AP123" s="31"/>
      <c r="AQ123" s="34"/>
      <c r="AR123" s="31"/>
      <c r="AS123" s="34"/>
      <c r="AT123" s="31"/>
      <c r="AU123" s="34"/>
      <c r="AV123" s="31"/>
      <c r="AW123" s="34"/>
      <c r="AX123" s="31"/>
      <c r="AY123" s="34"/>
      <c r="AZ123" s="31"/>
      <c r="BA123" s="34"/>
    </row>
    <row r="124" spans="1:54" ht="20" customHeight="1" x14ac:dyDescent="0.2">
      <c r="A124" s="678"/>
      <c r="B124" s="725"/>
      <c r="C124" s="253"/>
      <c r="D124" s="722" t="s">
        <v>85</v>
      </c>
      <c r="E124" s="723" t="s">
        <v>306</v>
      </c>
      <c r="F124" s="723" t="s">
        <v>307</v>
      </c>
      <c r="G124" s="722">
        <v>2008</v>
      </c>
      <c r="H124" s="287"/>
      <c r="I124" s="65">
        <v>86</v>
      </c>
      <c r="J124" s="61" t="s">
        <v>175</v>
      </c>
      <c r="K124" s="62"/>
      <c r="L124" s="31"/>
      <c r="M124" s="34" t="str">
        <f t="shared" si="42"/>
        <v/>
      </c>
      <c r="N124" s="31"/>
      <c r="O124" s="34" t="str">
        <f t="shared" si="43"/>
        <v/>
      </c>
      <c r="P124" s="31"/>
      <c r="Q124" s="34" t="str">
        <f t="shared" si="44"/>
        <v/>
      </c>
      <c r="R124" s="31"/>
      <c r="S124" s="34" t="str">
        <f t="shared" si="45"/>
        <v/>
      </c>
      <c r="T124" s="31"/>
      <c r="U124" s="34" t="str">
        <f t="shared" si="46"/>
        <v/>
      </c>
      <c r="V124" s="56"/>
      <c r="W124" s="34" t="str">
        <f t="shared" si="62"/>
        <v/>
      </c>
      <c r="X124" s="31"/>
      <c r="Y124" s="34" t="str">
        <f>IF((ISERROR((X124/$I124)*100)), "", IF(AND(NOT(ISERROR((X124/$I124)*100)),((X124/$I124)*100) &lt;&gt; 0), (X124/$I124)*100, ""))</f>
        <v/>
      </c>
      <c r="Z124" s="31"/>
      <c r="AA124" s="34" t="str">
        <f>IF((ISERROR((Z124/$I124)*100)), "", IF(AND(NOT(ISERROR((Z124/$I124)*100)),((Z124/$I124)*100) &lt;&gt; 0), (Z124/$I124)*100, ""))</f>
        <v/>
      </c>
      <c r="AB124" s="31"/>
      <c r="AC124" s="34" t="str">
        <f>IF((ISERROR((AB124/$I124)*100)), "", IF(AND(NOT(ISERROR((AB124/$I124)*100)),((AB124/$I124)*100) &lt;&gt; 0), (AB124/$I124)*100, ""))</f>
        <v/>
      </c>
      <c r="AD124" s="31"/>
      <c r="AE124" s="34" t="str">
        <f>IF((ISERROR((AD124/$I124)*100)), "", IF(AND(NOT(ISERROR((AD124/$I124)*100)),((AD124/$I124)*100) &lt;&gt; 0), (AD124/$I124)*100, ""))</f>
        <v/>
      </c>
      <c r="AF124" s="56"/>
      <c r="AG124" s="34" t="str">
        <f t="shared" si="48"/>
        <v/>
      </c>
      <c r="AH124" s="31"/>
      <c r="AI124" s="34" t="str">
        <f>IF((ISERROR((AH124/$I124)*100)), "", IF(AND(NOT(ISERROR((AH124/$I124)*100)),((AH124/$I124)*100) &lt;&gt; 0), (AH124/$I124)*100, ""))</f>
        <v/>
      </c>
      <c r="AJ124" s="31"/>
      <c r="AK124" s="34" t="str">
        <f t="shared" si="49"/>
        <v/>
      </c>
      <c r="AL124" s="31"/>
      <c r="AM124" s="34" t="str">
        <f>IF((ISERROR((AL124/$I124)*100)), "", IF(AND(NOT(ISERROR((AL124/$I124)*100)),((AL124/$I124)*100) &lt;&gt; 0), (AL124/$I124)*100, ""))</f>
        <v/>
      </c>
      <c r="AN124" s="31"/>
      <c r="AO124" s="34" t="str">
        <f>IF((ISERROR((AN124/$I124)*100)), "", IF(AND(NOT(ISERROR((AN124/$I124)*100)),((AN124/$I124)*100) &lt;&gt; 0), (AN124/$I124)*100, ""))</f>
        <v/>
      </c>
      <c r="AP124" s="31"/>
      <c r="AQ124" s="34" t="str">
        <f t="shared" si="50"/>
        <v/>
      </c>
      <c r="AR124" s="31"/>
      <c r="AS124" s="34" t="str">
        <f t="shared" si="51"/>
        <v/>
      </c>
      <c r="AT124" s="31"/>
      <c r="AU124" s="34" t="str">
        <f t="shared" si="19"/>
        <v/>
      </c>
      <c r="AV124" s="31"/>
      <c r="AW124" s="34" t="str">
        <f t="shared" si="58"/>
        <v/>
      </c>
      <c r="AX124" s="31"/>
      <c r="AY124" s="34" t="str">
        <f t="shared" si="59"/>
        <v/>
      </c>
      <c r="AZ124" s="31"/>
      <c r="BA124" s="34" t="str">
        <f t="shared" si="60"/>
        <v/>
      </c>
      <c r="BB124" s="21" t="s">
        <v>364</v>
      </c>
    </row>
    <row r="125" spans="1:54" ht="20" customHeight="1" x14ac:dyDescent="0.2">
      <c r="A125" s="678"/>
      <c r="B125" s="725"/>
      <c r="C125" s="253"/>
      <c r="D125" s="722" t="s">
        <v>85</v>
      </c>
      <c r="E125" s="723" t="s">
        <v>308</v>
      </c>
      <c r="F125" s="723" t="s">
        <v>309</v>
      </c>
      <c r="G125" s="722">
        <v>2012</v>
      </c>
      <c r="H125" s="287"/>
      <c r="I125" s="65"/>
      <c r="J125" s="61" t="s">
        <v>365</v>
      </c>
      <c r="K125" s="62" t="s">
        <v>209</v>
      </c>
      <c r="L125" s="31"/>
      <c r="M125" s="34" t="str">
        <f t="shared" si="42"/>
        <v/>
      </c>
      <c r="N125" s="31"/>
      <c r="O125" s="34" t="str">
        <f t="shared" si="43"/>
        <v/>
      </c>
      <c r="P125" s="31"/>
      <c r="Q125" s="34" t="str">
        <f t="shared" si="44"/>
        <v/>
      </c>
      <c r="R125" s="31"/>
      <c r="S125" s="34" t="str">
        <f t="shared" si="45"/>
        <v/>
      </c>
      <c r="T125" s="31"/>
      <c r="U125" s="34" t="str">
        <f t="shared" si="46"/>
        <v/>
      </c>
      <c r="V125" s="56"/>
      <c r="W125" s="34" t="str">
        <f t="shared" si="62"/>
        <v/>
      </c>
      <c r="X125" s="31"/>
      <c r="Y125" s="34" t="str">
        <f>IF((ISERROR((X125/$I125)*100)), "", IF(AND(NOT(ISERROR((X125/$I125)*100)),((X125/$I125)*100) &lt;&gt; 0), (X125/$I125)*100, ""))</f>
        <v/>
      </c>
      <c r="Z125" s="31"/>
      <c r="AA125" s="34" t="str">
        <f>IF((ISERROR((Z125/$I125)*100)), "", IF(AND(NOT(ISERROR((Z125/$I125)*100)),((Z125/$I125)*100) &lt;&gt; 0), (Z125/$I125)*100, ""))</f>
        <v/>
      </c>
      <c r="AB125" s="31"/>
      <c r="AC125" s="34" t="str">
        <f>IF((ISERROR((AB125/$I125)*100)), "", IF(AND(NOT(ISERROR((AB125/$I125)*100)),((AB125/$I125)*100) &lt;&gt; 0), (AB125/$I125)*100, ""))</f>
        <v/>
      </c>
      <c r="AD125" s="31"/>
      <c r="AE125" s="34" t="str">
        <f>IF((ISERROR((AD125/$I125)*100)), "", IF(AND(NOT(ISERROR((AD125/$I125)*100)),((AD125/$I125)*100) &lt;&gt; 0), (AD125/$I125)*100, ""))</f>
        <v/>
      </c>
      <c r="AF125" s="56"/>
      <c r="AG125" s="34" t="str">
        <f t="shared" si="48"/>
        <v/>
      </c>
      <c r="AH125" s="31"/>
      <c r="AI125" s="34" t="str">
        <f>IF((ISERROR((AH125/$I125)*100)), "", IF(AND(NOT(ISERROR((AH125/$I125)*100)),((AH125/$I125)*100) &lt;&gt; 0), (AH125/$I125)*100, ""))</f>
        <v/>
      </c>
      <c r="AJ125" s="31"/>
      <c r="AK125" s="34" t="str">
        <f t="shared" si="49"/>
        <v/>
      </c>
      <c r="AL125" s="31"/>
      <c r="AM125" s="34" t="str">
        <f>IF((ISERROR((AL125/$I125)*100)), "", IF(AND(NOT(ISERROR((AL125/$I125)*100)),((AL125/$I125)*100) &lt;&gt; 0), (AL125/$I125)*100, ""))</f>
        <v/>
      </c>
      <c r="AN125" s="31"/>
      <c r="AO125" s="34" t="str">
        <f>IF((ISERROR((AN125/$I125)*100)), "", IF(AND(NOT(ISERROR((AN125/$I125)*100)),((AN125/$I125)*100) &lt;&gt; 0), (AN125/$I125)*100, ""))</f>
        <v/>
      </c>
      <c r="AP125" s="31"/>
      <c r="AQ125" s="34" t="str">
        <f t="shared" si="50"/>
        <v/>
      </c>
      <c r="AR125" s="31"/>
      <c r="AS125" s="34" t="str">
        <f t="shared" si="51"/>
        <v/>
      </c>
      <c r="AT125" s="31"/>
      <c r="AU125" s="34" t="str">
        <f t="shared" si="19"/>
        <v/>
      </c>
      <c r="AV125" s="31"/>
      <c r="AW125" s="34" t="str">
        <f t="shared" si="58"/>
        <v/>
      </c>
      <c r="AX125" s="31"/>
      <c r="AY125" s="34" t="str">
        <f t="shared" si="59"/>
        <v/>
      </c>
      <c r="AZ125" s="31"/>
      <c r="BA125" s="34" t="str">
        <f t="shared" si="60"/>
        <v/>
      </c>
    </row>
    <row r="126" spans="1:54" ht="20" customHeight="1" x14ac:dyDescent="0.2">
      <c r="A126" s="680"/>
      <c r="B126" s="721"/>
      <c r="C126" s="722"/>
      <c r="D126" s="722" t="s">
        <v>85</v>
      </c>
      <c r="E126" s="723" t="s">
        <v>681</v>
      </c>
      <c r="F126" s="723" t="s">
        <v>682</v>
      </c>
      <c r="G126" s="722">
        <v>2012</v>
      </c>
      <c r="H126" s="287"/>
      <c r="I126" s="65"/>
      <c r="J126" s="61" t="s">
        <v>213</v>
      </c>
      <c r="K126" s="62" t="s">
        <v>332</v>
      </c>
      <c r="L126" s="31"/>
      <c r="M126" s="34"/>
      <c r="N126" s="31"/>
      <c r="O126" s="34"/>
      <c r="P126" s="31"/>
      <c r="Q126" s="34"/>
      <c r="R126" s="31"/>
      <c r="S126" s="34"/>
      <c r="T126" s="31"/>
      <c r="U126" s="34"/>
      <c r="V126" s="56"/>
      <c r="W126" s="34"/>
      <c r="X126" s="31"/>
      <c r="Y126" s="34"/>
      <c r="Z126" s="31"/>
      <c r="AA126" s="34"/>
      <c r="AB126" s="31"/>
      <c r="AC126" s="34"/>
      <c r="AD126" s="31"/>
      <c r="AE126" s="34"/>
      <c r="AF126" s="56"/>
      <c r="AG126" s="34"/>
      <c r="AH126" s="31"/>
      <c r="AI126" s="34"/>
      <c r="AJ126" s="31"/>
      <c r="AK126" s="34"/>
      <c r="AL126" s="31"/>
      <c r="AM126" s="34"/>
      <c r="AN126" s="31"/>
      <c r="AO126" s="34"/>
      <c r="AP126" s="31"/>
      <c r="AQ126" s="34"/>
      <c r="AR126" s="31"/>
      <c r="AS126" s="34"/>
      <c r="AT126" s="31"/>
      <c r="AU126" s="34"/>
      <c r="AV126" s="31"/>
      <c r="AW126" s="34"/>
      <c r="AX126" s="31"/>
      <c r="AY126" s="34"/>
      <c r="AZ126" s="31"/>
      <c r="BA126" s="34"/>
    </row>
    <row r="127" spans="1:54" ht="20" customHeight="1" x14ac:dyDescent="0.2">
      <c r="A127" s="678"/>
      <c r="B127" s="721"/>
      <c r="C127" s="722"/>
      <c r="D127" s="727" t="s">
        <v>35</v>
      </c>
      <c r="E127" s="728" t="s">
        <v>123</v>
      </c>
      <c r="F127" s="728" t="s">
        <v>124</v>
      </c>
      <c r="G127" s="727">
        <v>2007</v>
      </c>
      <c r="H127" s="729">
        <v>60</v>
      </c>
      <c r="I127" s="65"/>
      <c r="J127" s="61"/>
      <c r="K127" s="62"/>
      <c r="L127" s="31"/>
      <c r="M127" s="34" t="str">
        <f t="shared" si="42"/>
        <v/>
      </c>
      <c r="N127" s="31"/>
      <c r="O127" s="34" t="str">
        <f t="shared" si="43"/>
        <v/>
      </c>
      <c r="P127" s="31"/>
      <c r="Q127" s="34" t="str">
        <f t="shared" si="44"/>
        <v/>
      </c>
      <c r="R127" s="31"/>
      <c r="S127" s="34" t="str">
        <f t="shared" si="45"/>
        <v/>
      </c>
      <c r="T127" s="31"/>
      <c r="U127" s="34" t="str">
        <f t="shared" si="46"/>
        <v/>
      </c>
      <c r="V127" s="56"/>
      <c r="W127" s="34" t="str">
        <f t="shared" si="62"/>
        <v/>
      </c>
      <c r="X127" s="31"/>
      <c r="Y127" s="34" t="str">
        <f t="shared" si="53"/>
        <v/>
      </c>
      <c r="Z127" s="31"/>
      <c r="AA127" s="34" t="str">
        <f t="shared" si="54"/>
        <v/>
      </c>
      <c r="AB127" s="31"/>
      <c r="AC127" s="34" t="str">
        <f t="shared" si="55"/>
        <v/>
      </c>
      <c r="AD127" s="31"/>
      <c r="AE127" s="34" t="str">
        <f t="shared" si="56"/>
        <v/>
      </c>
      <c r="AF127" s="56"/>
      <c r="AG127" s="34" t="str">
        <f t="shared" si="48"/>
        <v/>
      </c>
      <c r="AH127" s="31"/>
      <c r="AI127" s="34" t="str">
        <f t="shared" si="61"/>
        <v/>
      </c>
      <c r="AJ127" s="31"/>
      <c r="AK127" s="34" t="str">
        <f t="shared" si="49"/>
        <v/>
      </c>
      <c r="AL127" s="31"/>
      <c r="AM127" s="34" t="str">
        <f t="shared" si="57"/>
        <v/>
      </c>
      <c r="AN127" s="31"/>
      <c r="AO127" s="34" t="str">
        <f t="shared" si="19"/>
        <v/>
      </c>
      <c r="AP127" s="31"/>
      <c r="AQ127" s="34" t="str">
        <f t="shared" si="50"/>
        <v/>
      </c>
      <c r="AR127" s="31"/>
      <c r="AS127" s="34" t="str">
        <f t="shared" si="51"/>
        <v/>
      </c>
      <c r="AT127" s="31"/>
      <c r="AU127" s="34" t="str">
        <f t="shared" si="19"/>
        <v/>
      </c>
      <c r="AV127" s="31"/>
      <c r="AW127" s="34" t="str">
        <f t="shared" si="58"/>
        <v/>
      </c>
      <c r="AX127" s="31"/>
      <c r="AY127" s="34" t="str">
        <f t="shared" si="59"/>
        <v/>
      </c>
      <c r="AZ127" s="31"/>
      <c r="BA127" s="34" t="str">
        <f t="shared" si="60"/>
        <v/>
      </c>
      <c r="BB127" s="21" t="s">
        <v>386</v>
      </c>
    </row>
    <row r="128" spans="1:54" ht="20" customHeight="1" x14ac:dyDescent="0.2">
      <c r="A128" s="678"/>
      <c r="B128" s="721"/>
      <c r="C128" s="722"/>
      <c r="D128" s="727" t="s">
        <v>30</v>
      </c>
      <c r="E128" s="728" t="s">
        <v>125</v>
      </c>
      <c r="F128" s="728" t="s">
        <v>126</v>
      </c>
      <c r="G128" s="727">
        <v>2014</v>
      </c>
      <c r="H128" s="729"/>
      <c r="I128" s="65"/>
      <c r="J128" s="61"/>
      <c r="K128" s="62"/>
      <c r="L128" s="31"/>
      <c r="M128" s="34" t="str">
        <f t="shared" si="42"/>
        <v/>
      </c>
      <c r="N128" s="31"/>
      <c r="O128" s="34" t="str">
        <f t="shared" si="43"/>
        <v/>
      </c>
      <c r="P128" s="31"/>
      <c r="Q128" s="34" t="str">
        <f t="shared" si="44"/>
        <v/>
      </c>
      <c r="R128" s="31"/>
      <c r="S128" s="34" t="str">
        <f t="shared" si="45"/>
        <v/>
      </c>
      <c r="T128" s="31"/>
      <c r="U128" s="34" t="str">
        <f t="shared" si="46"/>
        <v/>
      </c>
      <c r="V128" s="56"/>
      <c r="W128" s="34" t="str">
        <f t="shared" si="62"/>
        <v/>
      </c>
      <c r="X128" s="31"/>
      <c r="Y128" s="34" t="str">
        <f t="shared" si="53"/>
        <v/>
      </c>
      <c r="Z128" s="31"/>
      <c r="AA128" s="34" t="str">
        <f t="shared" si="54"/>
        <v/>
      </c>
      <c r="AB128" s="31"/>
      <c r="AC128" s="34" t="str">
        <f t="shared" si="55"/>
        <v/>
      </c>
      <c r="AD128" s="31"/>
      <c r="AE128" s="34" t="str">
        <f t="shared" si="56"/>
        <v/>
      </c>
      <c r="AF128" s="56"/>
      <c r="AG128" s="34" t="str">
        <f t="shared" si="48"/>
        <v/>
      </c>
      <c r="AH128" s="31"/>
      <c r="AI128" s="34" t="str">
        <f t="shared" si="61"/>
        <v/>
      </c>
      <c r="AJ128" s="31"/>
      <c r="AK128" s="34" t="str">
        <f t="shared" si="49"/>
        <v/>
      </c>
      <c r="AL128" s="31"/>
      <c r="AM128" s="34" t="str">
        <f t="shared" si="57"/>
        <v/>
      </c>
      <c r="AN128" s="31"/>
      <c r="AO128" s="34" t="str">
        <f t="shared" si="19"/>
        <v/>
      </c>
      <c r="AP128" s="31"/>
      <c r="AQ128" s="34" t="str">
        <f t="shared" si="50"/>
        <v/>
      </c>
      <c r="AR128" s="31"/>
      <c r="AS128" s="34" t="str">
        <f t="shared" si="51"/>
        <v/>
      </c>
      <c r="AT128" s="31"/>
      <c r="AU128" s="34" t="str">
        <f t="shared" si="19"/>
        <v/>
      </c>
      <c r="AV128" s="31"/>
      <c r="AW128" s="34" t="str">
        <f t="shared" si="58"/>
        <v/>
      </c>
      <c r="AX128" s="31"/>
      <c r="AY128" s="34" t="str">
        <f t="shared" si="59"/>
        <v/>
      </c>
      <c r="AZ128" s="31"/>
      <c r="BA128" s="34" t="str">
        <f t="shared" si="60"/>
        <v/>
      </c>
    </row>
    <row r="129" spans="1:54" ht="20" customHeight="1" x14ac:dyDescent="0.2">
      <c r="A129" s="678"/>
      <c r="B129" s="721"/>
      <c r="C129" s="722"/>
      <c r="D129" s="722" t="s">
        <v>85</v>
      </c>
      <c r="E129" s="723" t="s">
        <v>127</v>
      </c>
      <c r="F129" s="723" t="s">
        <v>128</v>
      </c>
      <c r="G129" s="722">
        <v>2000</v>
      </c>
      <c r="H129" s="287">
        <v>252</v>
      </c>
      <c r="I129" s="65">
        <v>30</v>
      </c>
      <c r="J129" s="61" t="s">
        <v>217</v>
      </c>
      <c r="K129" s="62" t="s">
        <v>168</v>
      </c>
      <c r="L129" s="31"/>
      <c r="M129" s="34" t="str">
        <f t="shared" si="42"/>
        <v/>
      </c>
      <c r="N129" s="31"/>
      <c r="O129" s="34" t="str">
        <f t="shared" si="43"/>
        <v/>
      </c>
      <c r="P129" s="31"/>
      <c r="Q129" s="34" t="str">
        <f t="shared" si="44"/>
        <v/>
      </c>
      <c r="R129" s="31"/>
      <c r="S129" s="34" t="str">
        <f t="shared" si="45"/>
        <v/>
      </c>
      <c r="T129" s="31"/>
      <c r="U129" s="34" t="str">
        <f t="shared" si="46"/>
        <v/>
      </c>
      <c r="V129" s="56"/>
      <c r="W129" s="34" t="str">
        <f t="shared" si="62"/>
        <v/>
      </c>
      <c r="X129" s="31"/>
      <c r="Y129" s="34" t="str">
        <f>IF((ISERROR((X129/$I129)*100)), "", IF(AND(NOT(ISERROR((X129/$I129)*100)),((X129/$I129)*100) &lt;&gt; 0), (X129/$I129)*100, ""))</f>
        <v/>
      </c>
      <c r="Z129" s="31"/>
      <c r="AA129" s="34" t="str">
        <f>IF((ISERROR((Z129/$I129)*100)), "", IF(AND(NOT(ISERROR((Z129/$I129)*100)),((Z129/$I129)*100) &lt;&gt; 0), (Z129/$I129)*100, ""))</f>
        <v/>
      </c>
      <c r="AB129" s="31"/>
      <c r="AC129" s="34" t="str">
        <f>IF((ISERROR((AB129/$I129)*100)), "", IF(AND(NOT(ISERROR((AB129/$I129)*100)),((AB129/$I129)*100) &lt;&gt; 0), (AB129/$I129)*100, ""))</f>
        <v/>
      </c>
      <c r="AD129" s="31"/>
      <c r="AE129" s="34" t="str">
        <f>IF((ISERROR((AD129/$I129)*100)), "", IF(AND(NOT(ISERROR((AD129/$I129)*100)),((AD129/$I129)*100) &lt;&gt; 0), (AD129/$I129)*100, ""))</f>
        <v/>
      </c>
      <c r="AF129" s="56"/>
      <c r="AG129" s="34" t="str">
        <f t="shared" si="48"/>
        <v/>
      </c>
      <c r="AH129" s="31"/>
      <c r="AI129" s="34" t="str">
        <f>IF((ISERROR((AH129/$I129)*100)), "", IF(AND(NOT(ISERROR((AH129/$I129)*100)),((AH129/$I129)*100) &lt;&gt; 0), (AH129/$I129)*100, ""))</f>
        <v/>
      </c>
      <c r="AJ129" s="31"/>
      <c r="AK129" s="34" t="str">
        <f t="shared" si="49"/>
        <v/>
      </c>
      <c r="AL129" s="31"/>
      <c r="AM129" s="34" t="str">
        <f>IF((ISERROR((AL129/$I129)*100)), "", IF(AND(NOT(ISERROR((AL129/$I129)*100)),((AL129/$I129)*100) &lt;&gt; 0), (AL129/$I129)*100, ""))</f>
        <v/>
      </c>
      <c r="AN129" s="31"/>
      <c r="AO129" s="34" t="str">
        <f>IF((ISERROR((AN129/$I129)*100)), "", IF(AND(NOT(ISERROR((AN129/$I129)*100)),((AN129/$I129)*100) &lt;&gt; 0), (AN129/$I129)*100, ""))</f>
        <v/>
      </c>
      <c r="AP129" s="31"/>
      <c r="AQ129" s="34" t="str">
        <f t="shared" si="50"/>
        <v/>
      </c>
      <c r="AR129" s="31"/>
      <c r="AS129" s="34" t="str">
        <f t="shared" si="51"/>
        <v/>
      </c>
      <c r="AT129" s="31"/>
      <c r="AU129" s="34" t="str">
        <f t="shared" si="19"/>
        <v/>
      </c>
      <c r="AV129" s="31"/>
      <c r="AW129" s="34" t="str">
        <f t="shared" si="58"/>
        <v/>
      </c>
      <c r="AX129" s="31"/>
      <c r="AY129" s="34" t="str">
        <f t="shared" si="59"/>
        <v/>
      </c>
      <c r="AZ129" s="31"/>
      <c r="BA129" s="34" t="str">
        <f t="shared" si="60"/>
        <v/>
      </c>
      <c r="BB129" s="21" t="s">
        <v>418</v>
      </c>
    </row>
    <row r="130" spans="1:54" ht="20" customHeight="1" x14ac:dyDescent="0.2">
      <c r="A130" s="680"/>
      <c r="B130" s="721"/>
      <c r="C130" s="722"/>
      <c r="D130" s="722" t="s">
        <v>85</v>
      </c>
      <c r="E130" s="723" t="s">
        <v>683</v>
      </c>
      <c r="F130" s="723" t="s">
        <v>684</v>
      </c>
      <c r="G130" s="722">
        <v>2004</v>
      </c>
      <c r="H130" s="287"/>
      <c r="I130" s="65"/>
      <c r="J130" s="61" t="s">
        <v>213</v>
      </c>
      <c r="K130" s="62" t="s">
        <v>192</v>
      </c>
      <c r="L130" s="31"/>
      <c r="M130" s="34"/>
      <c r="N130" s="31"/>
      <c r="O130" s="34"/>
      <c r="P130" s="31"/>
      <c r="Q130" s="34"/>
      <c r="R130" s="31"/>
      <c r="S130" s="34"/>
      <c r="T130" s="31"/>
      <c r="U130" s="34"/>
      <c r="V130" s="56"/>
      <c r="W130" s="34"/>
      <c r="X130" s="31"/>
      <c r="Y130" s="34"/>
      <c r="Z130" s="31"/>
      <c r="AA130" s="34"/>
      <c r="AB130" s="31"/>
      <c r="AC130" s="34"/>
      <c r="AD130" s="31"/>
      <c r="AE130" s="34"/>
      <c r="AF130" s="56"/>
      <c r="AG130" s="34"/>
      <c r="AH130" s="31"/>
      <c r="AI130" s="34"/>
      <c r="AJ130" s="31"/>
      <c r="AK130" s="34"/>
      <c r="AL130" s="31"/>
      <c r="AM130" s="34"/>
      <c r="AN130" s="31"/>
      <c r="AO130" s="34"/>
      <c r="AP130" s="31"/>
      <c r="AQ130" s="34"/>
      <c r="AR130" s="31"/>
      <c r="AS130" s="34"/>
      <c r="AT130" s="31"/>
      <c r="AU130" s="34"/>
      <c r="AV130" s="31"/>
      <c r="AW130" s="34"/>
      <c r="AX130" s="31"/>
      <c r="AY130" s="34"/>
      <c r="AZ130" s="31"/>
      <c r="BA130" s="34"/>
    </row>
    <row r="131" spans="1:54" ht="20" customHeight="1" x14ac:dyDescent="0.2">
      <c r="A131" s="678"/>
      <c r="B131" s="725"/>
      <c r="C131" s="253"/>
      <c r="D131" s="722" t="s">
        <v>85</v>
      </c>
      <c r="E131" s="723" t="s">
        <v>568</v>
      </c>
      <c r="F131" s="723" t="s">
        <v>569</v>
      </c>
      <c r="G131" s="722">
        <v>2010</v>
      </c>
      <c r="H131" s="287"/>
      <c r="I131" s="65">
        <v>15</v>
      </c>
      <c r="J131" s="61" t="s">
        <v>184</v>
      </c>
      <c r="K131" s="62" t="s">
        <v>168</v>
      </c>
      <c r="L131" s="31">
        <v>2</v>
      </c>
      <c r="M131" s="34">
        <f t="shared" si="42"/>
        <v>13.333333333333334</v>
      </c>
      <c r="N131" s="31"/>
      <c r="O131" s="34"/>
      <c r="P131" s="31"/>
      <c r="Q131" s="34"/>
      <c r="R131" s="31"/>
      <c r="S131" s="34"/>
      <c r="T131" s="31">
        <v>1</v>
      </c>
      <c r="U131" s="34">
        <f t="shared" si="46"/>
        <v>6.666666666666667</v>
      </c>
      <c r="V131" s="56">
        <v>2</v>
      </c>
      <c r="W131" s="34">
        <f t="shared" si="62"/>
        <v>13.333333333333334</v>
      </c>
      <c r="X131" s="31"/>
      <c r="Y131" s="34"/>
      <c r="Z131" s="31"/>
      <c r="AA131" s="34"/>
      <c r="AB131" s="31"/>
      <c r="AC131" s="34"/>
      <c r="AD131" s="31"/>
      <c r="AE131" s="34"/>
      <c r="AF131" s="56"/>
      <c r="AG131" s="34"/>
      <c r="AH131" s="31"/>
      <c r="AI131" s="34"/>
      <c r="AJ131" s="31"/>
      <c r="AK131" s="34"/>
      <c r="AL131" s="31"/>
      <c r="AM131" s="34"/>
      <c r="AN131" s="31"/>
      <c r="AO131" s="34"/>
      <c r="AP131" s="31"/>
      <c r="AQ131" s="34"/>
      <c r="AR131" s="31"/>
      <c r="AS131" s="34"/>
      <c r="AT131" s="31"/>
      <c r="AU131" s="34"/>
      <c r="AV131" s="31"/>
      <c r="AW131" s="34"/>
      <c r="AX131" s="31"/>
      <c r="AY131" s="34"/>
      <c r="AZ131" s="31"/>
      <c r="BA131" s="34"/>
      <c r="BB131" s="21" t="s">
        <v>570</v>
      </c>
    </row>
    <row r="132" spans="1:54" ht="20" customHeight="1" x14ac:dyDescent="0.2">
      <c r="A132" s="678"/>
      <c r="B132" s="725"/>
      <c r="C132" s="722"/>
      <c r="D132" s="727" t="s">
        <v>30</v>
      </c>
      <c r="E132" s="728" t="s">
        <v>129</v>
      </c>
      <c r="F132" s="728" t="s">
        <v>130</v>
      </c>
      <c r="G132" s="727">
        <v>2009</v>
      </c>
      <c r="H132" s="729">
        <v>13</v>
      </c>
      <c r="I132" s="65"/>
      <c r="J132" s="61"/>
      <c r="K132" s="62"/>
      <c r="L132" s="31"/>
      <c r="M132" s="34" t="str">
        <f t="shared" si="42"/>
        <v/>
      </c>
      <c r="N132" s="31"/>
      <c r="O132" s="34" t="str">
        <f t="shared" si="43"/>
        <v/>
      </c>
      <c r="P132" s="31"/>
      <c r="Q132" s="34" t="str">
        <f t="shared" si="44"/>
        <v/>
      </c>
      <c r="R132" s="31"/>
      <c r="S132" s="34" t="str">
        <f t="shared" si="45"/>
        <v/>
      </c>
      <c r="T132" s="31"/>
      <c r="U132" s="34" t="str">
        <f t="shared" si="46"/>
        <v/>
      </c>
      <c r="V132" s="56"/>
      <c r="W132" s="34" t="str">
        <f t="shared" si="62"/>
        <v/>
      </c>
      <c r="X132" s="31"/>
      <c r="Y132" s="34" t="str">
        <f t="shared" si="53"/>
        <v/>
      </c>
      <c r="Z132" s="31"/>
      <c r="AA132" s="34" t="str">
        <f t="shared" si="54"/>
        <v/>
      </c>
      <c r="AB132" s="31"/>
      <c r="AC132" s="34" t="str">
        <f t="shared" si="55"/>
        <v/>
      </c>
      <c r="AD132" s="31"/>
      <c r="AE132" s="34" t="str">
        <f t="shared" si="56"/>
        <v/>
      </c>
      <c r="AF132" s="56"/>
      <c r="AG132" s="34" t="str">
        <f t="shared" si="48"/>
        <v/>
      </c>
      <c r="AH132" s="31"/>
      <c r="AI132" s="34" t="str">
        <f t="shared" si="61"/>
        <v/>
      </c>
      <c r="AJ132" s="31"/>
      <c r="AK132" s="34" t="str">
        <f t="shared" si="49"/>
        <v/>
      </c>
      <c r="AL132" s="31"/>
      <c r="AM132" s="34" t="str">
        <f t="shared" si="57"/>
        <v/>
      </c>
      <c r="AN132" s="31"/>
      <c r="AO132" s="34" t="str">
        <f t="shared" si="19"/>
        <v/>
      </c>
      <c r="AP132" s="31"/>
      <c r="AQ132" s="34" t="str">
        <f t="shared" si="50"/>
        <v/>
      </c>
      <c r="AR132" s="31"/>
      <c r="AS132" s="34" t="str">
        <f t="shared" si="51"/>
        <v/>
      </c>
      <c r="AT132" s="31"/>
      <c r="AU132" s="34" t="str">
        <f t="shared" si="19"/>
        <v/>
      </c>
      <c r="AV132" s="31"/>
      <c r="AW132" s="34" t="str">
        <f t="shared" si="58"/>
        <v/>
      </c>
      <c r="AX132" s="31"/>
      <c r="AY132" s="34" t="str">
        <f t="shared" si="59"/>
        <v/>
      </c>
      <c r="AZ132" s="31"/>
      <c r="BA132" s="34" t="str">
        <f t="shared" si="60"/>
        <v/>
      </c>
    </row>
    <row r="133" spans="1:54" ht="20" customHeight="1" x14ac:dyDescent="0.2">
      <c r="A133" s="678"/>
      <c r="B133" s="725"/>
      <c r="C133" s="255"/>
      <c r="D133" s="722" t="s">
        <v>85</v>
      </c>
      <c r="E133" s="723" t="s">
        <v>131</v>
      </c>
      <c r="F133" s="723" t="s">
        <v>132</v>
      </c>
      <c r="G133" s="722">
        <v>1998</v>
      </c>
      <c r="H133" s="287">
        <v>213</v>
      </c>
      <c r="I133" s="65">
        <v>6</v>
      </c>
      <c r="J133" s="61" t="s">
        <v>175</v>
      </c>
      <c r="K133" s="62"/>
      <c r="L133" s="31"/>
      <c r="M133" s="34" t="str">
        <f t="shared" si="42"/>
        <v/>
      </c>
      <c r="N133" s="36">
        <v>4</v>
      </c>
      <c r="O133" s="37">
        <f t="shared" si="43"/>
        <v>66.666666666666657</v>
      </c>
      <c r="P133" s="31"/>
      <c r="Q133" s="34" t="str">
        <f t="shared" si="44"/>
        <v/>
      </c>
      <c r="R133" s="31"/>
      <c r="S133" s="34" t="str">
        <f t="shared" si="45"/>
        <v/>
      </c>
      <c r="T133" s="31"/>
      <c r="U133" s="34" t="str">
        <f t="shared" si="46"/>
        <v/>
      </c>
      <c r="V133" s="56"/>
      <c r="W133" s="34" t="str">
        <f t="shared" si="62"/>
        <v/>
      </c>
      <c r="X133" s="31"/>
      <c r="Y133" s="34" t="str">
        <f t="shared" si="53"/>
        <v/>
      </c>
      <c r="Z133" s="31"/>
      <c r="AA133" s="34" t="str">
        <f t="shared" si="54"/>
        <v/>
      </c>
      <c r="AB133" s="31"/>
      <c r="AC133" s="34" t="str">
        <f t="shared" si="55"/>
        <v/>
      </c>
      <c r="AD133" s="31"/>
      <c r="AE133" s="34" t="str">
        <f t="shared" si="56"/>
        <v/>
      </c>
      <c r="AF133" s="56"/>
      <c r="AG133" s="34" t="str">
        <f t="shared" si="48"/>
        <v/>
      </c>
      <c r="AH133" s="31"/>
      <c r="AI133" s="34" t="str">
        <f t="shared" si="61"/>
        <v/>
      </c>
      <c r="AJ133" s="31"/>
      <c r="AK133" s="34" t="str">
        <f t="shared" si="49"/>
        <v/>
      </c>
      <c r="AL133" s="31"/>
      <c r="AM133" s="34" t="str">
        <f t="shared" si="57"/>
        <v/>
      </c>
      <c r="AN133" s="31"/>
      <c r="AO133" s="34" t="str">
        <f t="shared" si="19"/>
        <v/>
      </c>
      <c r="AP133" s="31"/>
      <c r="AQ133" s="34" t="str">
        <f t="shared" si="50"/>
        <v/>
      </c>
      <c r="AR133" s="31"/>
      <c r="AS133" s="34" t="str">
        <f t="shared" si="51"/>
        <v/>
      </c>
      <c r="AT133" s="31"/>
      <c r="AU133" s="34" t="str">
        <f t="shared" si="19"/>
        <v/>
      </c>
      <c r="AV133" s="31"/>
      <c r="AW133" s="34" t="str">
        <f t="shared" si="58"/>
        <v/>
      </c>
      <c r="AX133" s="31"/>
      <c r="AY133" s="34" t="str">
        <f t="shared" si="59"/>
        <v/>
      </c>
      <c r="AZ133" s="31"/>
      <c r="BA133" s="34" t="str">
        <f t="shared" si="60"/>
        <v/>
      </c>
      <c r="BB133" s="21" t="s">
        <v>218</v>
      </c>
    </row>
    <row r="134" spans="1:54" ht="20" customHeight="1" x14ac:dyDescent="0.2">
      <c r="A134" s="678"/>
      <c r="B134" s="725"/>
      <c r="C134" s="255"/>
      <c r="D134" s="722" t="s">
        <v>85</v>
      </c>
      <c r="E134" s="723" t="s">
        <v>133</v>
      </c>
      <c r="F134" s="723" t="s">
        <v>134</v>
      </c>
      <c r="G134" s="722">
        <v>2001</v>
      </c>
      <c r="H134" s="287">
        <v>192</v>
      </c>
      <c r="I134" s="65">
        <v>19</v>
      </c>
      <c r="J134" s="61" t="s">
        <v>175</v>
      </c>
      <c r="K134" s="62" t="s">
        <v>168</v>
      </c>
      <c r="L134" s="31"/>
      <c r="M134" s="34" t="str">
        <f t="shared" si="42"/>
        <v/>
      </c>
      <c r="N134" s="36">
        <v>1</v>
      </c>
      <c r="O134" s="37">
        <f t="shared" si="43"/>
        <v>5.2631578947368416</v>
      </c>
      <c r="P134" s="31"/>
      <c r="Q134" s="34" t="str">
        <f t="shared" si="44"/>
        <v/>
      </c>
      <c r="R134" s="31"/>
      <c r="S134" s="34" t="str">
        <f t="shared" si="45"/>
        <v/>
      </c>
      <c r="T134" s="31"/>
      <c r="U134" s="34" t="str">
        <f t="shared" si="46"/>
        <v/>
      </c>
      <c r="V134" s="56"/>
      <c r="W134" s="34" t="str">
        <f t="shared" si="62"/>
        <v/>
      </c>
      <c r="X134" s="31"/>
      <c r="Y134" s="34" t="str">
        <f>IF((ISERROR((X134/$I134)*100)), "", IF(AND(NOT(ISERROR((X134/$I134)*100)),((X134/$I134)*100) &lt;&gt; 0), (X134/$I134)*100, ""))</f>
        <v/>
      </c>
      <c r="Z134" s="31"/>
      <c r="AA134" s="34" t="str">
        <f>IF((ISERROR((Z134/$I134)*100)), "", IF(AND(NOT(ISERROR((Z134/$I134)*100)),((Z134/$I134)*100) &lt;&gt; 0), (Z134/$I134)*100, ""))</f>
        <v/>
      </c>
      <c r="AB134" s="31"/>
      <c r="AC134" s="34" t="str">
        <f>IF((ISERROR((AB134/$I134)*100)), "", IF(AND(NOT(ISERROR((AB134/$I134)*100)),((AB134/$I134)*100) &lt;&gt; 0), (AB134/$I134)*100, ""))</f>
        <v/>
      </c>
      <c r="AD134" s="31"/>
      <c r="AE134" s="34" t="str">
        <f>IF((ISERROR((AD134/$I134)*100)), "", IF(AND(NOT(ISERROR((AD134/$I134)*100)),((AD134/$I134)*100) &lt;&gt; 0), (AD134/$I134)*100, ""))</f>
        <v/>
      </c>
      <c r="AF134" s="56"/>
      <c r="AG134" s="34" t="str">
        <f t="shared" si="48"/>
        <v/>
      </c>
      <c r="AH134" s="31">
        <v>2</v>
      </c>
      <c r="AI134" s="34">
        <f>IF((ISERROR((AH134/$I134)*100)), "", IF(AND(NOT(ISERROR((AH134/$I134)*100)),((AH134/$I134)*100) &lt;&gt; 0), (AH134/$I134)*100, ""))</f>
        <v>10.526315789473683</v>
      </c>
      <c r="AJ134" s="31"/>
      <c r="AK134" s="34" t="str">
        <f t="shared" si="49"/>
        <v/>
      </c>
      <c r="AL134" s="31"/>
      <c r="AM134" s="34" t="str">
        <f>IF((ISERROR((AL134/$I134)*100)), "", IF(AND(NOT(ISERROR((AL134/$I134)*100)),((AL134/$I134)*100) &lt;&gt; 0), (AL134/$I134)*100, ""))</f>
        <v/>
      </c>
      <c r="AN134" s="31"/>
      <c r="AO134" s="34" t="str">
        <f>IF((ISERROR((AN134/$I134)*100)), "", IF(AND(NOT(ISERROR((AN134/$I134)*100)),((AN134/$I134)*100) &lt;&gt; 0), (AN134/$I134)*100, ""))</f>
        <v/>
      </c>
      <c r="AP134" s="31"/>
      <c r="AQ134" s="34" t="str">
        <f t="shared" si="50"/>
        <v/>
      </c>
      <c r="AR134" s="31"/>
      <c r="AS134" s="34" t="str">
        <f t="shared" si="51"/>
        <v/>
      </c>
      <c r="AT134" s="31"/>
      <c r="AU134" s="34" t="str">
        <f t="shared" si="19"/>
        <v/>
      </c>
      <c r="AV134" s="31"/>
      <c r="AW134" s="34" t="str">
        <f t="shared" si="58"/>
        <v/>
      </c>
      <c r="AX134" s="31"/>
      <c r="AY134" s="34" t="str">
        <f t="shared" si="59"/>
        <v/>
      </c>
      <c r="AZ134" s="31"/>
      <c r="BA134" s="34" t="str">
        <f t="shared" si="60"/>
        <v/>
      </c>
      <c r="BB134" s="21" t="s">
        <v>387</v>
      </c>
    </row>
    <row r="135" spans="1:54" ht="20" customHeight="1" x14ac:dyDescent="0.2">
      <c r="A135" s="680"/>
      <c r="B135" s="721"/>
      <c r="C135" s="722"/>
      <c r="D135" s="722" t="s">
        <v>85</v>
      </c>
      <c r="E135" s="723" t="s">
        <v>685</v>
      </c>
      <c r="F135" s="723" t="s">
        <v>686</v>
      </c>
      <c r="G135" s="722">
        <v>2003</v>
      </c>
      <c r="H135" s="287"/>
      <c r="I135" s="65"/>
      <c r="J135" s="61" t="s">
        <v>175</v>
      </c>
      <c r="K135" s="62" t="s">
        <v>168</v>
      </c>
      <c r="L135" s="31"/>
      <c r="M135" s="34"/>
      <c r="N135" s="31"/>
      <c r="O135" s="34"/>
      <c r="P135" s="31"/>
      <c r="Q135" s="34"/>
      <c r="R135" s="31"/>
      <c r="S135" s="34"/>
      <c r="T135" s="31"/>
      <c r="U135" s="34"/>
      <c r="V135" s="56"/>
      <c r="W135" s="34"/>
      <c r="X135" s="31"/>
      <c r="Y135" s="34"/>
      <c r="Z135" s="31"/>
      <c r="AA135" s="34"/>
      <c r="AB135" s="31"/>
      <c r="AC135" s="34"/>
      <c r="AD135" s="31"/>
      <c r="AE135" s="34"/>
      <c r="AF135" s="56"/>
      <c r="AG135" s="34"/>
      <c r="AH135" s="31"/>
      <c r="AI135" s="34"/>
      <c r="AJ135" s="31"/>
      <c r="AK135" s="34"/>
      <c r="AL135" s="31"/>
      <c r="AM135" s="34"/>
      <c r="AN135" s="31"/>
      <c r="AO135" s="34"/>
      <c r="AP135" s="31"/>
      <c r="AQ135" s="34"/>
      <c r="AR135" s="31"/>
      <c r="AS135" s="34"/>
      <c r="AT135" s="31"/>
      <c r="AU135" s="34"/>
      <c r="AV135" s="31"/>
      <c r="AW135" s="34"/>
      <c r="AX135" s="31"/>
      <c r="AY135" s="34"/>
      <c r="AZ135" s="31"/>
      <c r="BA135" s="34"/>
    </row>
    <row r="136" spans="1:54" ht="20" customHeight="1" x14ac:dyDescent="0.2">
      <c r="A136" s="680"/>
      <c r="B136" s="721"/>
      <c r="C136" s="722"/>
      <c r="D136" s="722" t="s">
        <v>85</v>
      </c>
      <c r="E136" s="723" t="s">
        <v>687</v>
      </c>
      <c r="F136" s="723" t="s">
        <v>688</v>
      </c>
      <c r="G136" s="722">
        <v>2006</v>
      </c>
      <c r="H136" s="287"/>
      <c r="I136" s="65"/>
      <c r="J136" s="61" t="s">
        <v>664</v>
      </c>
      <c r="K136" s="62" t="s">
        <v>189</v>
      </c>
      <c r="L136" s="31"/>
      <c r="M136" s="34"/>
      <c r="N136" s="31"/>
      <c r="O136" s="34"/>
      <c r="P136" s="31"/>
      <c r="Q136" s="34"/>
      <c r="R136" s="31"/>
      <c r="S136" s="34"/>
      <c r="T136" s="31"/>
      <c r="U136" s="34"/>
      <c r="V136" s="56"/>
      <c r="W136" s="34"/>
      <c r="X136" s="31"/>
      <c r="Y136" s="34"/>
      <c r="Z136" s="31"/>
      <c r="AA136" s="34"/>
      <c r="AB136" s="31"/>
      <c r="AC136" s="34"/>
      <c r="AD136" s="31"/>
      <c r="AE136" s="34"/>
      <c r="AF136" s="56"/>
      <c r="AG136" s="34"/>
      <c r="AH136" s="31"/>
      <c r="AI136" s="34"/>
      <c r="AJ136" s="31"/>
      <c r="AK136" s="34"/>
      <c r="AL136" s="31"/>
      <c r="AM136" s="34"/>
      <c r="AN136" s="31"/>
      <c r="AO136" s="34"/>
      <c r="AP136" s="31"/>
      <c r="AQ136" s="34"/>
      <c r="AR136" s="31"/>
      <c r="AS136" s="34"/>
      <c r="AT136" s="31"/>
      <c r="AU136" s="34"/>
      <c r="AV136" s="31"/>
      <c r="AW136" s="34"/>
      <c r="AX136" s="31"/>
      <c r="AY136" s="34"/>
      <c r="AZ136" s="31"/>
      <c r="BA136" s="34"/>
    </row>
    <row r="137" spans="1:54" ht="20" customHeight="1" x14ac:dyDescent="0.2">
      <c r="A137" s="680"/>
      <c r="B137" s="721"/>
      <c r="C137" s="722"/>
      <c r="D137" s="722" t="s">
        <v>85</v>
      </c>
      <c r="E137" s="723" t="s">
        <v>689</v>
      </c>
      <c r="F137" s="723" t="s">
        <v>690</v>
      </c>
      <c r="G137" s="722">
        <v>2003</v>
      </c>
      <c r="H137" s="287"/>
      <c r="I137" s="65"/>
      <c r="J137" s="61"/>
      <c r="K137" s="62"/>
      <c r="L137" s="31"/>
      <c r="M137" s="34"/>
      <c r="N137" s="31"/>
      <c r="O137" s="34"/>
      <c r="P137" s="31"/>
      <c r="Q137" s="34"/>
      <c r="R137" s="31"/>
      <c r="S137" s="34"/>
      <c r="T137" s="31"/>
      <c r="U137" s="34"/>
      <c r="V137" s="56"/>
      <c r="W137" s="34"/>
      <c r="X137" s="31"/>
      <c r="Y137" s="34"/>
      <c r="Z137" s="31"/>
      <c r="AA137" s="34"/>
      <c r="AB137" s="31"/>
      <c r="AC137" s="34"/>
      <c r="AD137" s="31"/>
      <c r="AE137" s="34"/>
      <c r="AF137" s="56"/>
      <c r="AG137" s="34"/>
      <c r="AH137" s="31"/>
      <c r="AI137" s="34"/>
      <c r="AJ137" s="31"/>
      <c r="AK137" s="34"/>
      <c r="AL137" s="31"/>
      <c r="AM137" s="34"/>
      <c r="AN137" s="31"/>
      <c r="AO137" s="34"/>
      <c r="AP137" s="31"/>
      <c r="AQ137" s="34"/>
      <c r="AR137" s="31"/>
      <c r="AS137" s="34"/>
      <c r="AT137" s="31"/>
      <c r="AU137" s="34"/>
      <c r="AV137" s="31"/>
      <c r="AW137" s="34"/>
      <c r="AX137" s="31"/>
      <c r="AY137" s="34"/>
      <c r="AZ137" s="31"/>
      <c r="BA137" s="34"/>
    </row>
    <row r="138" spans="1:54" ht="20" customHeight="1" x14ac:dyDescent="0.2">
      <c r="A138" s="678"/>
      <c r="B138" s="721"/>
      <c r="C138" s="255"/>
      <c r="D138" s="722"/>
      <c r="E138" s="723" t="s">
        <v>151</v>
      </c>
      <c r="F138" s="723" t="s">
        <v>419</v>
      </c>
      <c r="G138" s="722">
        <v>1999</v>
      </c>
      <c r="H138" s="287"/>
      <c r="I138" s="65">
        <v>30</v>
      </c>
      <c r="J138" s="61" t="s">
        <v>420</v>
      </c>
      <c r="K138" s="62" t="s">
        <v>219</v>
      </c>
      <c r="L138" s="31"/>
      <c r="M138" s="34"/>
      <c r="N138" s="31"/>
      <c r="O138" s="34"/>
      <c r="P138" s="31"/>
      <c r="Q138" s="34"/>
      <c r="R138" s="31"/>
      <c r="S138" s="34"/>
      <c r="T138" s="31"/>
      <c r="U138" s="34"/>
      <c r="V138" s="56"/>
      <c r="W138" s="34"/>
      <c r="X138" s="31"/>
      <c r="Y138" s="34"/>
      <c r="Z138" s="31"/>
      <c r="AA138" s="34"/>
      <c r="AB138" s="31"/>
      <c r="AC138" s="34"/>
      <c r="AD138" s="31"/>
      <c r="AE138" s="34"/>
      <c r="AF138" s="56"/>
      <c r="AG138" s="34"/>
      <c r="AH138" s="31"/>
      <c r="AI138" s="34"/>
      <c r="AJ138" s="31"/>
      <c r="AK138" s="34"/>
      <c r="AL138" s="31"/>
      <c r="AM138" s="34"/>
      <c r="AN138" s="31"/>
      <c r="AO138" s="34"/>
      <c r="AP138" s="31"/>
      <c r="AQ138" s="34"/>
      <c r="AR138" s="31"/>
      <c r="AS138" s="34"/>
      <c r="AT138" s="31"/>
      <c r="AU138" s="34"/>
      <c r="AV138" s="31"/>
      <c r="AW138" s="34"/>
      <c r="AX138" s="31"/>
      <c r="AY138" s="34"/>
      <c r="AZ138" s="31"/>
      <c r="BA138" s="34"/>
      <c r="BB138" s="21" t="s">
        <v>388</v>
      </c>
    </row>
    <row r="139" spans="1:54" ht="20" customHeight="1" x14ac:dyDescent="0.2">
      <c r="A139" s="678"/>
      <c r="B139" s="725"/>
      <c r="C139" s="255"/>
      <c r="D139" s="722" t="s">
        <v>85</v>
      </c>
      <c r="E139" s="723" t="s">
        <v>135</v>
      </c>
      <c r="F139" s="723" t="s">
        <v>136</v>
      </c>
      <c r="G139" s="722">
        <v>2007</v>
      </c>
      <c r="H139" s="287">
        <v>240</v>
      </c>
      <c r="I139" s="65">
        <v>53</v>
      </c>
      <c r="J139" s="61" t="s">
        <v>220</v>
      </c>
      <c r="K139" s="62" t="s">
        <v>168</v>
      </c>
      <c r="L139" s="31">
        <v>1</v>
      </c>
      <c r="M139" s="34">
        <f t="shared" ref="M139:M152" si="63">IF((ISERROR((L139/$I139)*100)), "", IF(AND(NOT(ISERROR((L139/$I139)*100)),((L139/$I139)*100) &lt;&gt; 0), (L139/$I139)*100, ""))</f>
        <v>1.8867924528301887</v>
      </c>
      <c r="N139" s="31"/>
      <c r="O139" s="34" t="str">
        <f t="shared" ref="O139:O152" si="64">IF((ISERROR((N139/$I139)*100)), "", IF(AND(NOT(ISERROR((N139/$I139)*100)),((N139/$I139)*100) &lt;&gt; 0), (N139/$I139)*100, ""))</f>
        <v/>
      </c>
      <c r="P139" s="31"/>
      <c r="Q139" s="34" t="str">
        <f t="shared" ref="Q139:Q152" si="65">IF((ISERROR((P139/$I139)*100)), "", IF(AND(NOT(ISERROR((P139/$I139)*100)),((P139/$I139)*100) &lt;&gt; 0), (P139/$I139)*100, ""))</f>
        <v/>
      </c>
      <c r="R139" s="31"/>
      <c r="S139" s="34" t="str">
        <f t="shared" ref="S139:S152" si="66">IF((ISERROR((R139/$I139)*100)), "", IF(AND(NOT(ISERROR((R139/$I139)*100)),((R139/$I139)*100) &lt;&gt; 0), (R139/$I139)*100, ""))</f>
        <v/>
      </c>
      <c r="T139" s="31"/>
      <c r="U139" s="34" t="str">
        <f t="shared" ref="U139:U152" si="67">IF((ISERROR((T139/$I139)*100)), "", IF(AND(NOT(ISERROR((T139/$I139)*100)),((T139/$I139)*100) &lt;&gt; 0), (T139/$I139)*100, ""))</f>
        <v/>
      </c>
      <c r="V139" s="56">
        <v>7</v>
      </c>
      <c r="W139" s="34">
        <f t="shared" ref="W139:W152" si="68">IF((ISERROR((V139/$I139)*100)), "", IF(AND(NOT(ISERROR((V139/$I139)*100)),((V139/$I139)*100) &lt;&gt; 0), (V139/$I139)*100, ""))</f>
        <v>13.20754716981132</v>
      </c>
      <c r="X139" s="31"/>
      <c r="Y139" s="34" t="str">
        <f>IF((ISERROR((X139/$I139)*100)), "", IF(AND(NOT(ISERROR((X139/$I139)*100)),((X139/$I139)*100) &lt;&gt; 0), (X139/$I139)*100, ""))</f>
        <v/>
      </c>
      <c r="Z139" s="31"/>
      <c r="AA139" s="34" t="str">
        <f>IF((ISERROR((Z139/$I139)*100)), "", IF(AND(NOT(ISERROR((Z139/$I139)*100)),((Z139/$I139)*100) &lt;&gt; 0), (Z139/$I139)*100, ""))</f>
        <v/>
      </c>
      <c r="AB139" s="31"/>
      <c r="AC139" s="34" t="str">
        <f>IF((ISERROR((AB139/$I139)*100)), "", IF(AND(NOT(ISERROR((AB139/$I139)*100)),((AB139/$I139)*100) &lt;&gt; 0), (AB139/$I139)*100, ""))</f>
        <v/>
      </c>
      <c r="AD139" s="31"/>
      <c r="AE139" s="34" t="str">
        <f>IF((ISERROR((AD139/$I139)*100)), "", IF(AND(NOT(ISERROR((AD139/$I139)*100)),((AD139/$I139)*100) &lt;&gt; 0), (AD139/$I139)*100, ""))</f>
        <v/>
      </c>
      <c r="AF139" s="56"/>
      <c r="AG139" s="34" t="str">
        <f t="shared" ref="AG139:AG152" si="69">IF((ISERROR((AF139/$I139)*100)), "", IF(AND(NOT(ISERROR((AF139/$I139)*100)),((AF139/$I139)*100) &lt;&gt; 0), (AF139/$I139)*100, ""))</f>
        <v/>
      </c>
      <c r="AH139" s="31">
        <v>3</v>
      </c>
      <c r="AI139" s="34">
        <f>IF((ISERROR((AH139/$I139)*100)), "", IF(AND(NOT(ISERROR((AH139/$I139)*100)),((AH139/$I139)*100) &lt;&gt; 0), (AH139/$I139)*100, ""))</f>
        <v>5.6603773584905666</v>
      </c>
      <c r="AJ139" s="31"/>
      <c r="AK139" s="34" t="str">
        <f t="shared" ref="AK139:AK152" si="70">IF((ISERROR((AJ139/$I139)*100)), "", IF(AND(NOT(ISERROR((AJ139/$I139)*100)),((AJ139/$I139)*100) &lt;&gt; 0), (AJ139/$I139)*100, ""))</f>
        <v/>
      </c>
      <c r="AL139" s="31"/>
      <c r="AM139" s="34" t="str">
        <f>IF((ISERROR((AL139/$I139)*100)), "", IF(AND(NOT(ISERROR((AL139/$I139)*100)),((AL139/$I139)*100) &lt;&gt; 0), (AL139/$I139)*100, ""))</f>
        <v/>
      </c>
      <c r="AN139" s="31"/>
      <c r="AO139" s="34" t="str">
        <f>IF((ISERROR((AN139/$I139)*100)), "", IF(AND(NOT(ISERROR((AN139/$I139)*100)),((AN139/$I139)*100) &lt;&gt; 0), (AN139/$I139)*100, ""))</f>
        <v/>
      </c>
      <c r="AP139" s="31">
        <v>2</v>
      </c>
      <c r="AQ139" s="34">
        <f t="shared" ref="AQ139:AQ152" si="71">IF((ISERROR((AP139/$I139)*100)), "", IF(AND(NOT(ISERROR((AP139/$I139)*100)),((AP139/$I139)*100) &lt;&gt; 0), (AP139/$I139)*100, ""))</f>
        <v>3.7735849056603774</v>
      </c>
      <c r="AR139" s="31"/>
      <c r="AS139" s="34" t="str">
        <f t="shared" ref="AS139:AS152" si="72">IF((ISERROR((AR139/$I139)*100)), "", IF(AND(NOT(ISERROR((AR139/$I139)*100)),((AR139/$I139)*100) &lt;&gt; 0), (AR139/$I139)*100, ""))</f>
        <v/>
      </c>
      <c r="AT139" s="31"/>
      <c r="AU139" s="34" t="str">
        <f t="shared" si="19"/>
        <v/>
      </c>
      <c r="AV139" s="31"/>
      <c r="AW139" s="34" t="str">
        <f t="shared" si="58"/>
        <v/>
      </c>
      <c r="AX139" s="31">
        <v>3</v>
      </c>
      <c r="AY139" s="34">
        <f t="shared" si="59"/>
        <v>5.6603773584905666</v>
      </c>
      <c r="AZ139" s="31"/>
      <c r="BA139" s="34" t="str">
        <f t="shared" si="60"/>
        <v/>
      </c>
      <c r="BB139" s="21" t="s">
        <v>586</v>
      </c>
    </row>
    <row r="140" spans="1:54" ht="20" customHeight="1" x14ac:dyDescent="0.2">
      <c r="A140" s="678"/>
      <c r="B140" s="725"/>
      <c r="C140" s="255"/>
      <c r="D140" s="722" t="s">
        <v>85</v>
      </c>
      <c r="E140" s="723" t="s">
        <v>137</v>
      </c>
      <c r="F140" s="723" t="s">
        <v>138</v>
      </c>
      <c r="G140" s="722">
        <v>2011</v>
      </c>
      <c r="H140" s="287">
        <v>42</v>
      </c>
      <c r="I140" s="65">
        <v>51</v>
      </c>
      <c r="J140" s="61" t="s">
        <v>221</v>
      </c>
      <c r="K140" s="62" t="s">
        <v>222</v>
      </c>
      <c r="L140" s="31"/>
      <c r="M140" s="34" t="str">
        <f t="shared" si="63"/>
        <v/>
      </c>
      <c r="N140" s="31"/>
      <c r="O140" s="34" t="str">
        <f t="shared" si="64"/>
        <v/>
      </c>
      <c r="P140" s="31"/>
      <c r="Q140" s="34" t="str">
        <f t="shared" si="65"/>
        <v/>
      </c>
      <c r="R140" s="31"/>
      <c r="S140" s="34" t="str">
        <f t="shared" si="66"/>
        <v/>
      </c>
      <c r="T140" s="31"/>
      <c r="U140" s="34" t="str">
        <f t="shared" si="67"/>
        <v/>
      </c>
      <c r="V140" s="38">
        <v>4</v>
      </c>
      <c r="W140" s="37">
        <f t="shared" si="68"/>
        <v>7.8431372549019605</v>
      </c>
      <c r="X140" s="31"/>
      <c r="Y140" s="34" t="str">
        <f t="shared" si="53"/>
        <v/>
      </c>
      <c r="Z140" s="31"/>
      <c r="AA140" s="34" t="str">
        <f t="shared" si="54"/>
        <v/>
      </c>
      <c r="AB140" s="31"/>
      <c r="AC140" s="34" t="str">
        <f t="shared" si="55"/>
        <v/>
      </c>
      <c r="AD140" s="36" t="s">
        <v>223</v>
      </c>
      <c r="AE140" s="37" t="str">
        <f t="shared" si="56"/>
        <v/>
      </c>
      <c r="AF140" s="56"/>
      <c r="AG140" s="34" t="str">
        <f t="shared" si="69"/>
        <v/>
      </c>
      <c r="AH140" s="36">
        <v>21</v>
      </c>
      <c r="AI140" s="37">
        <f t="shared" si="61"/>
        <v>41.17647058823529</v>
      </c>
      <c r="AJ140" s="31"/>
      <c r="AK140" s="34" t="str">
        <f t="shared" si="70"/>
        <v/>
      </c>
      <c r="AL140" s="31"/>
      <c r="AM140" s="34" t="str">
        <f t="shared" si="57"/>
        <v/>
      </c>
      <c r="AN140" s="31"/>
      <c r="AO140" s="34" t="str">
        <f t="shared" si="19"/>
        <v/>
      </c>
      <c r="AP140" s="31"/>
      <c r="AQ140" s="34" t="str">
        <f t="shared" si="71"/>
        <v/>
      </c>
      <c r="AR140" s="31"/>
      <c r="AS140" s="34" t="str">
        <f t="shared" si="72"/>
        <v/>
      </c>
      <c r="AT140" s="36">
        <v>1</v>
      </c>
      <c r="AU140" s="37">
        <f t="shared" si="19"/>
        <v>1.9607843137254901</v>
      </c>
      <c r="AV140" s="31"/>
      <c r="AW140" s="34" t="str">
        <f t="shared" si="58"/>
        <v/>
      </c>
      <c r="AX140" s="31"/>
      <c r="AY140" s="34" t="str">
        <f t="shared" si="59"/>
        <v/>
      </c>
      <c r="AZ140" s="31"/>
      <c r="BA140" s="34" t="str">
        <f t="shared" si="60"/>
        <v/>
      </c>
      <c r="BB140" s="21" t="s">
        <v>389</v>
      </c>
    </row>
    <row r="141" spans="1:54" ht="20" customHeight="1" x14ac:dyDescent="0.2">
      <c r="A141" s="678"/>
      <c r="B141" s="725"/>
      <c r="C141" s="255"/>
      <c r="D141" s="722" t="s">
        <v>85</v>
      </c>
      <c r="E141" s="723" t="s">
        <v>310</v>
      </c>
      <c r="F141" s="723" t="s">
        <v>311</v>
      </c>
      <c r="G141" s="722">
        <v>2010</v>
      </c>
      <c r="H141" s="287"/>
      <c r="I141" s="65">
        <v>53</v>
      </c>
      <c r="J141" s="78" t="s">
        <v>366</v>
      </c>
      <c r="K141" s="62" t="s">
        <v>405</v>
      </c>
      <c r="L141" s="31"/>
      <c r="M141" s="34" t="str">
        <f t="shared" si="63"/>
        <v/>
      </c>
      <c r="N141" s="31"/>
      <c r="O141" s="34" t="str">
        <f t="shared" si="64"/>
        <v/>
      </c>
      <c r="P141" s="31"/>
      <c r="Q141" s="34" t="str">
        <f t="shared" si="65"/>
        <v/>
      </c>
      <c r="R141" s="31"/>
      <c r="S141" s="34" t="str">
        <f t="shared" si="66"/>
        <v/>
      </c>
      <c r="T141" s="31">
        <v>15</v>
      </c>
      <c r="U141" s="34">
        <f t="shared" si="67"/>
        <v>28.30188679245283</v>
      </c>
      <c r="V141" s="56">
        <v>15</v>
      </c>
      <c r="W141" s="34">
        <f t="shared" si="68"/>
        <v>28.30188679245283</v>
      </c>
      <c r="X141" s="31"/>
      <c r="Y141" s="34" t="str">
        <f>IF((ISERROR((X141/$I141)*100)), "", IF(AND(NOT(ISERROR((X141/$I141)*100)),((X141/$I141)*100) &lt;&gt; 0), (X141/$I141)*100, ""))</f>
        <v/>
      </c>
      <c r="Z141" s="31"/>
      <c r="AA141" s="34" t="str">
        <f>IF((ISERROR((Z141/$I141)*100)), "", IF(AND(NOT(ISERROR((Z141/$I141)*100)),((Z141/$I141)*100) &lt;&gt; 0), (Z141/$I141)*100, ""))</f>
        <v/>
      </c>
      <c r="AB141" s="31"/>
      <c r="AC141" s="34" t="str">
        <f>IF((ISERROR((AB141/$I141)*100)), "", IF(AND(NOT(ISERROR((AB141/$I141)*100)),((AB141/$I141)*100) &lt;&gt; 0), (AB141/$I141)*100, ""))</f>
        <v/>
      </c>
      <c r="AD141" s="31"/>
      <c r="AE141" s="34" t="str">
        <f>IF((ISERROR((AD141/$I141)*100)), "", IF(AND(NOT(ISERROR((AD141/$I141)*100)),((AD141/$I141)*100) &lt;&gt; 0), (AD141/$I141)*100, ""))</f>
        <v/>
      </c>
      <c r="AF141" s="56"/>
      <c r="AG141" s="34" t="str">
        <f t="shared" si="69"/>
        <v/>
      </c>
      <c r="AH141" s="31">
        <v>2</v>
      </c>
      <c r="AI141" s="34">
        <f>IF((ISERROR((AH141/$I141)*100)), "", IF(AND(NOT(ISERROR((AH141/$I141)*100)),((AH141/$I141)*100) &lt;&gt; 0), (AH141/$I141)*100, ""))</f>
        <v>3.7735849056603774</v>
      </c>
      <c r="AJ141" s="31"/>
      <c r="AK141" s="34" t="str">
        <f t="shared" si="70"/>
        <v/>
      </c>
      <c r="AL141" s="31">
        <v>3</v>
      </c>
      <c r="AM141" s="34">
        <f>IF((ISERROR((AL141/$I141)*100)), "", IF(AND(NOT(ISERROR((AL141/$I141)*100)),((AL141/$I141)*100) &lt;&gt; 0), (AL141/$I141)*100, ""))</f>
        <v>5.6603773584905666</v>
      </c>
      <c r="AN141" s="31"/>
      <c r="AO141" s="34" t="str">
        <f>IF((ISERROR((AN141/$I141)*100)), "", IF(AND(NOT(ISERROR((AN141/$I141)*100)),((AN141/$I141)*100) &lt;&gt; 0), (AN141/$I141)*100, ""))</f>
        <v/>
      </c>
      <c r="AP141" s="31">
        <v>9</v>
      </c>
      <c r="AQ141" s="34">
        <f t="shared" si="71"/>
        <v>16.981132075471699</v>
      </c>
      <c r="AR141" s="31"/>
      <c r="AS141" s="34" t="str">
        <f t="shared" si="72"/>
        <v/>
      </c>
      <c r="AT141" s="31">
        <v>2</v>
      </c>
      <c r="AU141" s="34">
        <f t="shared" si="19"/>
        <v>3.7735849056603774</v>
      </c>
      <c r="AV141" s="31"/>
      <c r="AW141" s="34" t="str">
        <f t="shared" si="58"/>
        <v/>
      </c>
      <c r="AX141" s="31"/>
      <c r="AY141" s="34" t="str">
        <f t="shared" si="59"/>
        <v/>
      </c>
      <c r="AZ141" s="31"/>
      <c r="BA141" s="34" t="str">
        <f t="shared" si="60"/>
        <v/>
      </c>
      <c r="BB141" s="21" t="s">
        <v>367</v>
      </c>
    </row>
    <row r="142" spans="1:54" ht="20" customHeight="1" x14ac:dyDescent="0.2">
      <c r="A142" s="678"/>
      <c r="B142" s="725"/>
      <c r="C142" s="255"/>
      <c r="D142" s="722" t="s">
        <v>85</v>
      </c>
      <c r="E142" s="723" t="s">
        <v>312</v>
      </c>
      <c r="F142" s="723" t="s">
        <v>313</v>
      </c>
      <c r="G142" s="722">
        <v>2014</v>
      </c>
      <c r="H142" s="287"/>
      <c r="I142" s="65">
        <v>39</v>
      </c>
      <c r="J142" s="61" t="s">
        <v>210</v>
      </c>
      <c r="K142" s="62" t="s">
        <v>368</v>
      </c>
      <c r="L142" s="31"/>
      <c r="M142" s="34" t="str">
        <f t="shared" si="63"/>
        <v/>
      </c>
      <c r="N142" s="31"/>
      <c r="O142" s="34" t="str">
        <f t="shared" si="64"/>
        <v/>
      </c>
      <c r="P142" s="31"/>
      <c r="Q142" s="34" t="str">
        <f t="shared" si="65"/>
        <v/>
      </c>
      <c r="R142" s="31"/>
      <c r="S142" s="34" t="str">
        <f t="shared" si="66"/>
        <v/>
      </c>
      <c r="T142" s="31">
        <v>1</v>
      </c>
      <c r="U142" s="34">
        <f t="shared" si="67"/>
        <v>2.5641025641025639</v>
      </c>
      <c r="V142" s="56">
        <v>6</v>
      </c>
      <c r="W142" s="34">
        <f t="shared" si="68"/>
        <v>15.384615384615385</v>
      </c>
      <c r="X142" s="31">
        <v>2</v>
      </c>
      <c r="Y142" s="34">
        <f>IF((ISERROR((X142/$I142)*100)), "", IF(AND(NOT(ISERROR((X142/$I142)*100)),((X142/$I142)*100) &lt;&gt; 0), (X142/$I142)*100, ""))</f>
        <v>5.1282051282051277</v>
      </c>
      <c r="Z142" s="31"/>
      <c r="AA142" s="34" t="str">
        <f>IF((ISERROR((Z142/$I142)*100)), "", IF(AND(NOT(ISERROR((Z142/$I142)*100)),((Z142/$I142)*100) &lt;&gt; 0), (Z142/$I142)*100, ""))</f>
        <v/>
      </c>
      <c r="AB142" s="31"/>
      <c r="AC142" s="34"/>
      <c r="AD142" s="31"/>
      <c r="AE142" s="34" t="str">
        <f>IF((ISERROR((AD142/$I142)*100)), "", IF(AND(NOT(ISERROR((AD142/$I142)*100)),((AD142/$I142)*100) &lt;&gt; 0), (AD142/$I142)*100, ""))</f>
        <v/>
      </c>
      <c r="AF142" s="56"/>
      <c r="AG142" s="34" t="str">
        <f t="shared" si="69"/>
        <v/>
      </c>
      <c r="AH142" s="31"/>
      <c r="AI142" s="34" t="str">
        <f>IF((ISERROR((AH142/$I142)*100)), "", IF(AND(NOT(ISERROR((AH142/$I142)*100)),((AH142/$I142)*100) &lt;&gt; 0), (AH142/$I142)*100, ""))</f>
        <v/>
      </c>
      <c r="AJ142" s="31"/>
      <c r="AK142" s="34" t="str">
        <f t="shared" si="70"/>
        <v/>
      </c>
      <c r="AL142" s="31"/>
      <c r="AM142" s="34" t="str">
        <f>IF((ISERROR((AL142/$I142)*100)), "", IF(AND(NOT(ISERROR((AL142/$I142)*100)),((AL142/$I142)*100) &lt;&gt; 0), (AL142/$I142)*100, ""))</f>
        <v/>
      </c>
      <c r="AN142" s="31"/>
      <c r="AO142" s="34" t="str">
        <f>IF((ISERROR((AN142/$I142)*100)), "", IF(AND(NOT(ISERROR((AN142/$I142)*100)),((AN142/$I142)*100) &lt;&gt; 0), (AN142/$I142)*100, ""))</f>
        <v/>
      </c>
      <c r="AP142" s="31"/>
      <c r="AQ142" s="34" t="str">
        <f t="shared" si="71"/>
        <v/>
      </c>
      <c r="AR142" s="31">
        <v>1</v>
      </c>
      <c r="AS142" s="34">
        <f t="shared" si="72"/>
        <v>2.5641025641025639</v>
      </c>
      <c r="AT142" s="31"/>
      <c r="AU142" s="34" t="str">
        <f t="shared" si="19"/>
        <v/>
      </c>
      <c r="AV142" s="31"/>
      <c r="AW142" s="34" t="str">
        <f t="shared" si="58"/>
        <v/>
      </c>
      <c r="AX142" s="31"/>
      <c r="AY142" s="34" t="str">
        <f t="shared" si="59"/>
        <v/>
      </c>
      <c r="AZ142" s="31"/>
      <c r="BA142" s="34" t="str">
        <f t="shared" si="60"/>
        <v/>
      </c>
      <c r="BB142" s="21" t="s">
        <v>406</v>
      </c>
    </row>
    <row r="143" spans="1:54" ht="20" customHeight="1" x14ac:dyDescent="0.2">
      <c r="A143" s="678"/>
      <c r="B143" s="725"/>
      <c r="C143" s="255"/>
      <c r="D143" s="722" t="s">
        <v>85</v>
      </c>
      <c r="E143" s="723" t="s">
        <v>314</v>
      </c>
      <c r="F143" s="723" t="s">
        <v>315</v>
      </c>
      <c r="G143" s="722">
        <v>2010</v>
      </c>
      <c r="H143" s="287"/>
      <c r="I143" s="65">
        <v>789</v>
      </c>
      <c r="J143" s="61" t="s">
        <v>210</v>
      </c>
      <c r="K143" s="62" t="s">
        <v>370</v>
      </c>
      <c r="L143" s="31"/>
      <c r="M143" s="34" t="str">
        <f t="shared" si="63"/>
        <v/>
      </c>
      <c r="N143" s="31"/>
      <c r="O143" s="34" t="str">
        <f t="shared" si="64"/>
        <v/>
      </c>
      <c r="P143" s="31"/>
      <c r="Q143" s="34" t="str">
        <f t="shared" si="65"/>
        <v/>
      </c>
      <c r="R143" s="31"/>
      <c r="S143" s="34" t="str">
        <f t="shared" si="66"/>
        <v/>
      </c>
      <c r="T143" s="31"/>
      <c r="U143" s="34" t="str">
        <f t="shared" si="67"/>
        <v/>
      </c>
      <c r="V143" s="56"/>
      <c r="W143" s="34" t="str">
        <f t="shared" si="68"/>
        <v/>
      </c>
      <c r="X143" s="31"/>
      <c r="Y143" s="34" t="str">
        <f>IF((ISERROR((X143/$I143)*100)), "", IF(AND(NOT(ISERROR((X143/$I143)*100)),((X143/$I143)*100) &lt;&gt; 0), (X143/$I143)*100, ""))</f>
        <v/>
      </c>
      <c r="Z143" s="31"/>
      <c r="AA143" s="34" t="str">
        <f>IF((ISERROR((Z143/$I143)*100)), "", IF(AND(NOT(ISERROR((Z143/$I143)*100)),((Z143/$I143)*100) &lt;&gt; 0), (Z143/$I143)*100, ""))</f>
        <v/>
      </c>
      <c r="AB143" s="31"/>
      <c r="AC143" s="34" t="str">
        <f>IF((ISERROR((AB143/$I143)*100)), "", IF(AND(NOT(ISERROR((AB143/$I143)*100)),((AB143/$I143)*100) &lt;&gt; 0), (AB143/$I143)*100, ""))</f>
        <v/>
      </c>
      <c r="AD143" s="31"/>
      <c r="AE143" s="34" t="str">
        <f>IF((ISERROR((AD143/$I143)*100)), "", IF(AND(NOT(ISERROR((AD143/$I143)*100)),((AD143/$I143)*100) &lt;&gt; 0), (AD143/$I143)*100, ""))</f>
        <v/>
      </c>
      <c r="AF143" s="56">
        <v>43</v>
      </c>
      <c r="AG143" s="34">
        <f t="shared" si="69"/>
        <v>5.4499366286438535</v>
      </c>
      <c r="AH143" s="31"/>
      <c r="AI143" s="34" t="str">
        <f>IF((ISERROR((AH143/$I143)*100)), "", IF(AND(NOT(ISERROR((AH143/$I143)*100)),((AH143/$I143)*100) &lt;&gt; 0), (AH143/$I143)*100, ""))</f>
        <v/>
      </c>
      <c r="AJ143" s="31"/>
      <c r="AK143" s="34" t="str">
        <f t="shared" si="70"/>
        <v/>
      </c>
      <c r="AL143" s="31"/>
      <c r="AM143" s="34" t="str">
        <f>IF((ISERROR((AL143/$I143)*100)), "", IF(AND(NOT(ISERROR((AL143/$I143)*100)),((AL143/$I143)*100) &lt;&gt; 0), (AL143/$I143)*100, ""))</f>
        <v/>
      </c>
      <c r="AN143" s="31"/>
      <c r="AO143" s="34" t="str">
        <f>IF((ISERROR((AN143/$I143)*100)), "", IF(AND(NOT(ISERROR((AN143/$I143)*100)),((AN143/$I143)*100) &lt;&gt; 0), (AN143/$I143)*100, ""))</f>
        <v/>
      </c>
      <c r="AP143" s="31"/>
      <c r="AQ143" s="34" t="str">
        <f t="shared" si="71"/>
        <v/>
      </c>
      <c r="AR143" s="31"/>
      <c r="AS143" s="34" t="str">
        <f t="shared" si="72"/>
        <v/>
      </c>
      <c r="AT143" s="31"/>
      <c r="AU143" s="34" t="str">
        <f t="shared" si="19"/>
        <v/>
      </c>
      <c r="AV143" s="31"/>
      <c r="AW143" s="34" t="str">
        <f t="shared" si="58"/>
        <v/>
      </c>
      <c r="AX143" s="31"/>
      <c r="AY143" s="34" t="str">
        <f t="shared" si="59"/>
        <v/>
      </c>
      <c r="AZ143" s="31"/>
      <c r="BA143" s="34" t="str">
        <f t="shared" si="60"/>
        <v/>
      </c>
      <c r="BB143" s="21" t="s">
        <v>369</v>
      </c>
    </row>
    <row r="144" spans="1:54" ht="20" customHeight="1" x14ac:dyDescent="0.2">
      <c r="A144" s="680"/>
      <c r="B144" s="721"/>
      <c r="C144" s="722"/>
      <c r="D144" s="722" t="s">
        <v>85</v>
      </c>
      <c r="E144" s="723" t="s">
        <v>694</v>
      </c>
      <c r="F144" s="723" t="s">
        <v>695</v>
      </c>
      <c r="G144" s="722">
        <v>2007</v>
      </c>
      <c r="H144" s="287"/>
      <c r="I144" s="65">
        <v>171</v>
      </c>
      <c r="J144" s="61"/>
      <c r="K144" s="62" t="s">
        <v>209</v>
      </c>
      <c r="L144" s="31"/>
      <c r="M144" s="34"/>
      <c r="N144" s="31"/>
      <c r="O144" s="34"/>
      <c r="P144" s="31"/>
      <c r="Q144" s="34"/>
      <c r="R144" s="31"/>
      <c r="S144" s="34"/>
      <c r="T144" s="31"/>
      <c r="U144" s="34"/>
      <c r="V144" s="56"/>
      <c r="W144" s="34"/>
      <c r="X144" s="31"/>
      <c r="Y144" s="34"/>
      <c r="Z144" s="31"/>
      <c r="AA144" s="34"/>
      <c r="AB144" s="31"/>
      <c r="AC144" s="34"/>
      <c r="AD144" s="31"/>
      <c r="AE144" s="34"/>
      <c r="AF144" s="56"/>
      <c r="AG144" s="34"/>
      <c r="AH144" s="31"/>
      <c r="AI144" s="34"/>
      <c r="AJ144" s="31"/>
      <c r="AK144" s="34"/>
      <c r="AL144" s="31"/>
      <c r="AM144" s="34"/>
      <c r="AN144" s="31"/>
      <c r="AO144" s="34"/>
      <c r="AP144" s="31"/>
      <c r="AQ144" s="34"/>
      <c r="AR144" s="31"/>
      <c r="AS144" s="34"/>
      <c r="AT144" s="31"/>
      <c r="AU144" s="34"/>
      <c r="AV144" s="31"/>
      <c r="AW144" s="34"/>
      <c r="AX144" s="31"/>
      <c r="AY144" s="34"/>
      <c r="AZ144" s="31"/>
      <c r="BA144" s="34"/>
    </row>
    <row r="145" spans="1:54" ht="20" customHeight="1" x14ac:dyDescent="0.2">
      <c r="A145" s="678"/>
      <c r="B145" s="725"/>
      <c r="C145" s="253"/>
      <c r="D145" s="730" t="s">
        <v>374</v>
      </c>
      <c r="E145" s="723" t="s">
        <v>316</v>
      </c>
      <c r="F145" s="723" t="s">
        <v>317</v>
      </c>
      <c r="G145" s="722">
        <v>2016</v>
      </c>
      <c r="H145" s="287"/>
      <c r="I145" s="65">
        <v>16</v>
      </c>
      <c r="J145" s="61" t="s">
        <v>372</v>
      </c>
      <c r="K145" s="79" t="s">
        <v>373</v>
      </c>
      <c r="L145" s="31"/>
      <c r="M145" s="34" t="str">
        <f t="shared" si="63"/>
        <v/>
      </c>
      <c r="N145" s="31"/>
      <c r="O145" s="34" t="str">
        <f t="shared" si="64"/>
        <v/>
      </c>
      <c r="P145" s="31"/>
      <c r="Q145" s="34" t="str">
        <f t="shared" si="65"/>
        <v/>
      </c>
      <c r="R145" s="31"/>
      <c r="S145" s="34" t="str">
        <f t="shared" si="66"/>
        <v/>
      </c>
      <c r="T145" s="31"/>
      <c r="U145" s="34" t="str">
        <f t="shared" si="67"/>
        <v/>
      </c>
      <c r="V145" s="56"/>
      <c r="W145" s="34" t="str">
        <f t="shared" si="68"/>
        <v/>
      </c>
      <c r="X145" s="31"/>
      <c r="Y145" s="34" t="str">
        <f t="shared" ref="Y145:Y149" si="73">IF((ISERROR((X145/$I145)*100)), "", IF(AND(NOT(ISERROR((X145/$I145)*100)),((X145/$I145)*100) &lt;&gt; 0), (X145/$I145)*100, ""))</f>
        <v/>
      </c>
      <c r="Z145" s="31"/>
      <c r="AA145" s="34" t="str">
        <f t="shared" ref="AA145:AA149" si="74">IF((ISERROR((Z145/$I145)*100)), "", IF(AND(NOT(ISERROR((Z145/$I145)*100)),((Z145/$I145)*100) &lt;&gt; 0), (Z145/$I145)*100, ""))</f>
        <v/>
      </c>
      <c r="AB145" s="31"/>
      <c r="AC145" s="34" t="str">
        <f t="shared" ref="AC145:AC149" si="75">IF((ISERROR((AB145/$I145)*100)), "", IF(AND(NOT(ISERROR((AB145/$I145)*100)),((AB145/$I145)*100) &lt;&gt; 0), (AB145/$I145)*100, ""))</f>
        <v/>
      </c>
      <c r="AD145" s="31"/>
      <c r="AE145" s="34" t="str">
        <f t="shared" ref="AE145:AE149" si="76">IF((ISERROR((AD145/$I145)*100)), "", IF(AND(NOT(ISERROR((AD145/$I145)*100)),((AD145/$I145)*100) &lt;&gt; 0), (AD145/$I145)*100, ""))</f>
        <v/>
      </c>
      <c r="AF145" s="56"/>
      <c r="AG145" s="34" t="str">
        <f t="shared" si="69"/>
        <v/>
      </c>
      <c r="AH145" s="31"/>
      <c r="AI145" s="34" t="str">
        <f t="shared" si="61"/>
        <v/>
      </c>
      <c r="AJ145" s="31"/>
      <c r="AK145" s="34" t="str">
        <f t="shared" si="70"/>
        <v/>
      </c>
      <c r="AL145" s="31"/>
      <c r="AM145" s="34" t="str">
        <f t="shared" ref="AM145:AM149" si="77">IF((ISERROR((AL145/$I145)*100)), "", IF(AND(NOT(ISERROR((AL145/$I145)*100)),((AL145/$I145)*100) &lt;&gt; 0), (AL145/$I145)*100, ""))</f>
        <v/>
      </c>
      <c r="AN145" s="31"/>
      <c r="AO145" s="34" t="str">
        <f t="shared" si="19"/>
        <v/>
      </c>
      <c r="AP145" s="31"/>
      <c r="AQ145" s="34" t="str">
        <f t="shared" si="71"/>
        <v/>
      </c>
      <c r="AR145" s="31"/>
      <c r="AS145" s="34" t="str">
        <f t="shared" si="72"/>
        <v/>
      </c>
      <c r="AT145" s="31"/>
      <c r="AU145" s="34" t="str">
        <f t="shared" si="19"/>
        <v/>
      </c>
      <c r="AV145" s="31"/>
      <c r="AW145" s="34" t="str">
        <f t="shared" si="58"/>
        <v/>
      </c>
      <c r="AX145" s="31"/>
      <c r="AY145" s="34" t="str">
        <f t="shared" ref="AY145:AY152" si="78">IF((ISERROR((AX145/$I145)*100)), "", IF(AND(NOT(ISERROR((AX145/$I145)*100)),((AX145/$I145)*100) &lt;&gt; 0), (AX145/$I145)*100, ""))</f>
        <v/>
      </c>
      <c r="AZ145" s="31"/>
      <c r="BA145" s="34" t="str">
        <f t="shared" ref="BA145:BA152" si="79">IF((ISERROR((AZ145/$I145)*100)), "", IF(AND(NOT(ISERROR((AZ145/$I145)*100)),((AZ145/$I145)*100) &lt;&gt; 0), (AZ145/$I145)*100, ""))</f>
        <v/>
      </c>
      <c r="BB145" s="21" t="s">
        <v>375</v>
      </c>
    </row>
    <row r="146" spans="1:54" ht="20" customHeight="1" x14ac:dyDescent="0.2">
      <c r="A146" s="678"/>
      <c r="B146" s="725"/>
      <c r="C146" s="255"/>
      <c r="D146" s="731" t="s">
        <v>376</v>
      </c>
      <c r="E146" s="728" t="s">
        <v>139</v>
      </c>
      <c r="F146" s="728" t="s">
        <v>140</v>
      </c>
      <c r="G146" s="727">
        <v>2005</v>
      </c>
      <c r="H146" s="729">
        <v>21</v>
      </c>
      <c r="I146" s="65"/>
      <c r="J146" s="61" t="s">
        <v>224</v>
      </c>
      <c r="K146" s="62"/>
      <c r="L146" s="31"/>
      <c r="M146" s="34" t="str">
        <f t="shared" si="63"/>
        <v/>
      </c>
      <c r="N146" s="36">
        <v>5</v>
      </c>
      <c r="O146" s="37" t="str">
        <f t="shared" si="64"/>
        <v/>
      </c>
      <c r="P146" s="31"/>
      <c r="Q146" s="34" t="str">
        <f t="shared" si="65"/>
        <v/>
      </c>
      <c r="R146" s="31"/>
      <c r="S146" s="34" t="str">
        <f t="shared" si="66"/>
        <v/>
      </c>
      <c r="T146" s="31"/>
      <c r="U146" s="34" t="str">
        <f t="shared" si="67"/>
        <v/>
      </c>
      <c r="V146" s="38">
        <v>16</v>
      </c>
      <c r="W146" s="37" t="str">
        <f t="shared" si="68"/>
        <v/>
      </c>
      <c r="X146" s="31"/>
      <c r="Y146" s="34" t="str">
        <f t="shared" si="73"/>
        <v/>
      </c>
      <c r="Z146" s="31"/>
      <c r="AA146" s="34" t="str">
        <f t="shared" si="74"/>
        <v/>
      </c>
      <c r="AB146" s="31"/>
      <c r="AC146" s="34" t="str">
        <f t="shared" si="75"/>
        <v/>
      </c>
      <c r="AD146" s="31"/>
      <c r="AE146" s="34" t="str">
        <f t="shared" si="76"/>
        <v/>
      </c>
      <c r="AF146" s="56"/>
      <c r="AG146" s="34" t="str">
        <f t="shared" si="69"/>
        <v/>
      </c>
      <c r="AH146" s="31"/>
      <c r="AI146" s="34" t="str">
        <f t="shared" si="61"/>
        <v/>
      </c>
      <c r="AJ146" s="31"/>
      <c r="AK146" s="34" t="str">
        <f t="shared" si="70"/>
        <v/>
      </c>
      <c r="AL146" s="31"/>
      <c r="AM146" s="34" t="str">
        <f t="shared" si="77"/>
        <v/>
      </c>
      <c r="AN146" s="31"/>
      <c r="AO146" s="34" t="str">
        <f t="shared" si="19"/>
        <v/>
      </c>
      <c r="AP146" s="31"/>
      <c r="AQ146" s="34" t="str">
        <f t="shared" si="71"/>
        <v/>
      </c>
      <c r="AR146" s="31"/>
      <c r="AS146" s="34" t="str">
        <f t="shared" si="72"/>
        <v/>
      </c>
      <c r="AT146" s="31"/>
      <c r="AU146" s="34" t="str">
        <f t="shared" si="19"/>
        <v/>
      </c>
      <c r="AV146" s="31"/>
      <c r="AW146" s="34" t="str">
        <f t="shared" si="58"/>
        <v/>
      </c>
      <c r="AX146" s="36">
        <v>5</v>
      </c>
      <c r="AY146" s="37" t="str">
        <f t="shared" si="78"/>
        <v/>
      </c>
      <c r="AZ146" s="31"/>
      <c r="BA146" s="34" t="str">
        <f t="shared" si="79"/>
        <v/>
      </c>
      <c r="BB146" s="21" t="s">
        <v>225</v>
      </c>
    </row>
    <row r="147" spans="1:54" ht="20" customHeight="1" x14ac:dyDescent="0.2">
      <c r="A147" s="678"/>
      <c r="B147" s="721"/>
      <c r="C147" s="722"/>
      <c r="D147" s="722" t="s">
        <v>35</v>
      </c>
      <c r="E147" s="723" t="s">
        <v>141</v>
      </c>
      <c r="F147" s="723" t="s">
        <v>142</v>
      </c>
      <c r="G147" s="722">
        <v>2015</v>
      </c>
      <c r="H147" s="287">
        <v>1</v>
      </c>
      <c r="I147" s="65">
        <v>119</v>
      </c>
      <c r="J147" s="61"/>
      <c r="K147" s="62"/>
      <c r="L147" s="31"/>
      <c r="M147" s="34" t="str">
        <f t="shared" si="63"/>
        <v/>
      </c>
      <c r="N147" s="31"/>
      <c r="O147" s="34" t="str">
        <f t="shared" si="64"/>
        <v/>
      </c>
      <c r="P147" s="31"/>
      <c r="Q147" s="34" t="str">
        <f t="shared" si="65"/>
        <v/>
      </c>
      <c r="R147" s="31"/>
      <c r="S147" s="34" t="str">
        <f t="shared" si="66"/>
        <v/>
      </c>
      <c r="T147" s="31"/>
      <c r="U147" s="34" t="str">
        <f t="shared" si="67"/>
        <v/>
      </c>
      <c r="V147" s="56"/>
      <c r="W147" s="34" t="str">
        <f t="shared" si="68"/>
        <v/>
      </c>
      <c r="X147" s="31"/>
      <c r="Y147" s="34" t="str">
        <f t="shared" si="73"/>
        <v/>
      </c>
      <c r="Z147" s="31"/>
      <c r="AA147" s="34" t="str">
        <f t="shared" si="74"/>
        <v/>
      </c>
      <c r="AB147" s="31"/>
      <c r="AC147" s="34" t="str">
        <f t="shared" si="75"/>
        <v/>
      </c>
      <c r="AD147" s="31"/>
      <c r="AE147" s="34" t="str">
        <f t="shared" si="76"/>
        <v/>
      </c>
      <c r="AF147" s="56"/>
      <c r="AG147" s="34" t="str">
        <f t="shared" si="69"/>
        <v/>
      </c>
      <c r="AH147" s="31"/>
      <c r="AI147" s="34" t="str">
        <f t="shared" si="61"/>
        <v/>
      </c>
      <c r="AJ147" s="31"/>
      <c r="AK147" s="34" t="str">
        <f t="shared" si="70"/>
        <v/>
      </c>
      <c r="AL147" s="31"/>
      <c r="AM147" s="34" t="str">
        <f t="shared" si="77"/>
        <v/>
      </c>
      <c r="AN147" s="31"/>
      <c r="AO147" s="34" t="str">
        <f t="shared" si="19"/>
        <v/>
      </c>
      <c r="AP147" s="31"/>
      <c r="AQ147" s="34" t="str">
        <f t="shared" si="71"/>
        <v/>
      </c>
      <c r="AR147" s="31"/>
      <c r="AS147" s="34" t="str">
        <f t="shared" si="72"/>
        <v/>
      </c>
      <c r="AT147" s="31"/>
      <c r="AU147" s="34" t="str">
        <f t="shared" si="19"/>
        <v/>
      </c>
      <c r="AV147" s="31"/>
      <c r="AW147" s="34" t="str">
        <f t="shared" si="58"/>
        <v/>
      </c>
      <c r="AX147" s="31"/>
      <c r="AY147" s="34" t="str">
        <f t="shared" si="78"/>
        <v/>
      </c>
      <c r="AZ147" s="31"/>
      <c r="BA147" s="34" t="str">
        <f t="shared" si="79"/>
        <v/>
      </c>
      <c r="BB147" s="21" t="s">
        <v>226</v>
      </c>
    </row>
    <row r="148" spans="1:54" ht="20" customHeight="1" x14ac:dyDescent="0.2">
      <c r="A148" s="678"/>
      <c r="B148" s="725"/>
      <c r="C148" s="253"/>
      <c r="D148" s="722" t="s">
        <v>85</v>
      </c>
      <c r="E148" s="723" t="s">
        <v>143</v>
      </c>
      <c r="F148" s="723" t="s">
        <v>144</v>
      </c>
      <c r="G148" s="722">
        <v>2008</v>
      </c>
      <c r="H148" s="287">
        <v>156</v>
      </c>
      <c r="I148" s="65">
        <v>50</v>
      </c>
      <c r="J148" s="61" t="s">
        <v>175</v>
      </c>
      <c r="K148" s="62"/>
      <c r="L148" s="31"/>
      <c r="M148" s="34" t="str">
        <f t="shared" si="63"/>
        <v/>
      </c>
      <c r="N148" s="31"/>
      <c r="O148" s="34" t="str">
        <f t="shared" si="64"/>
        <v/>
      </c>
      <c r="P148" s="31"/>
      <c r="Q148" s="34" t="str">
        <f t="shared" si="65"/>
        <v/>
      </c>
      <c r="R148" s="31"/>
      <c r="S148" s="34" t="str">
        <f t="shared" si="66"/>
        <v/>
      </c>
      <c r="T148" s="31"/>
      <c r="U148" s="34" t="str">
        <f t="shared" si="67"/>
        <v/>
      </c>
      <c r="V148" s="56"/>
      <c r="W148" s="34" t="str">
        <f t="shared" si="68"/>
        <v/>
      </c>
      <c r="X148" s="31"/>
      <c r="Y148" s="34" t="str">
        <f>IF((ISERROR((X148/$I148)*100)), "", IF(AND(NOT(ISERROR((X148/$I148)*100)),((X148/$I148)*100) &lt;&gt; 0), (X148/$I148)*100, ""))</f>
        <v/>
      </c>
      <c r="Z148" s="31"/>
      <c r="AA148" s="34" t="str">
        <f>IF((ISERROR((Z148/$I148)*100)), "", IF(AND(NOT(ISERROR((Z148/$I148)*100)),((Z148/$I148)*100) &lt;&gt; 0), (Z148/$I148)*100, ""))</f>
        <v/>
      </c>
      <c r="AB148" s="31"/>
      <c r="AC148" s="34" t="str">
        <f>IF((ISERROR((AB148/$I148)*100)), "", IF(AND(NOT(ISERROR((AB148/$I148)*100)),((AB148/$I148)*100) &lt;&gt; 0), (AB148/$I148)*100, ""))</f>
        <v/>
      </c>
      <c r="AD148" s="31"/>
      <c r="AE148" s="34" t="str">
        <f>IF((ISERROR((AD148/$I148)*100)), "", IF(AND(NOT(ISERROR((AD148/$I148)*100)),((AD148/$I148)*100) &lt;&gt; 0), (AD148/$I148)*100, ""))</f>
        <v/>
      </c>
      <c r="AF148" s="56"/>
      <c r="AG148" s="34" t="str">
        <f t="shared" si="69"/>
        <v/>
      </c>
      <c r="AH148" s="31"/>
      <c r="AI148" s="34" t="str">
        <f>IF((ISERROR((AH148/$I148)*100)), "", IF(AND(NOT(ISERROR((AH148/$I148)*100)),((AH148/$I148)*100) &lt;&gt; 0), (AH148/$I148)*100, ""))</f>
        <v/>
      </c>
      <c r="AJ148" s="31"/>
      <c r="AK148" s="34" t="str">
        <f t="shared" si="70"/>
        <v/>
      </c>
      <c r="AL148" s="31"/>
      <c r="AM148" s="34" t="str">
        <f>IF((ISERROR((AL148/$I148)*100)), "", IF(AND(NOT(ISERROR((AL148/$I148)*100)),((AL148/$I148)*100) &lt;&gt; 0), (AL148/$I148)*100, ""))</f>
        <v/>
      </c>
      <c r="AN148" s="31"/>
      <c r="AO148" s="34" t="str">
        <f>IF((ISERROR((AN148/$I148)*100)), "", IF(AND(NOT(ISERROR((AN148/$I148)*100)),((AN148/$I148)*100) &lt;&gt; 0), (AN148/$I148)*100, ""))</f>
        <v/>
      </c>
      <c r="AP148" s="31"/>
      <c r="AQ148" s="34" t="str">
        <f t="shared" si="71"/>
        <v/>
      </c>
      <c r="AR148" s="31"/>
      <c r="AS148" s="34" t="str">
        <f t="shared" si="72"/>
        <v/>
      </c>
      <c r="AT148" s="31"/>
      <c r="AU148" s="34" t="str">
        <f t="shared" ref="AU148" si="80">IF((ISERROR((AT148/$I148)*100)), "", IF(AND(NOT(ISERROR((AT148/$I148)*100)),((AT148/$I148)*100) &lt;&gt; 0), (AT148/$I148)*100, ""))</f>
        <v/>
      </c>
      <c r="AV148" s="31"/>
      <c r="AW148" s="34" t="str">
        <f t="shared" si="58"/>
        <v/>
      </c>
      <c r="AX148" s="31"/>
      <c r="AY148" s="34" t="str">
        <f t="shared" si="78"/>
        <v/>
      </c>
      <c r="AZ148" s="31"/>
      <c r="BA148" s="34" t="str">
        <f t="shared" si="79"/>
        <v/>
      </c>
      <c r="BB148" s="21" t="s">
        <v>588</v>
      </c>
    </row>
    <row r="149" spans="1:54" ht="20" customHeight="1" x14ac:dyDescent="0.2">
      <c r="A149" s="678"/>
      <c r="B149" s="721"/>
      <c r="C149" s="722"/>
      <c r="D149" s="727" t="s">
        <v>49</v>
      </c>
      <c r="E149" s="728" t="s">
        <v>145</v>
      </c>
      <c r="F149" s="728" t="s">
        <v>146</v>
      </c>
      <c r="G149" s="727">
        <v>1997</v>
      </c>
      <c r="H149" s="729">
        <v>47</v>
      </c>
      <c r="I149" s="65"/>
      <c r="J149" s="61"/>
      <c r="K149" s="62"/>
      <c r="L149" s="31"/>
      <c r="M149" s="34" t="str">
        <f t="shared" si="63"/>
        <v/>
      </c>
      <c r="N149" s="31"/>
      <c r="O149" s="34" t="str">
        <f t="shared" si="64"/>
        <v/>
      </c>
      <c r="P149" s="31"/>
      <c r="Q149" s="34" t="str">
        <f t="shared" si="65"/>
        <v/>
      </c>
      <c r="R149" s="31"/>
      <c r="S149" s="34" t="str">
        <f t="shared" si="66"/>
        <v/>
      </c>
      <c r="T149" s="31"/>
      <c r="U149" s="34" t="str">
        <f t="shared" si="67"/>
        <v/>
      </c>
      <c r="V149" s="56"/>
      <c r="W149" s="34" t="str">
        <f t="shared" si="68"/>
        <v/>
      </c>
      <c r="X149" s="31"/>
      <c r="Y149" s="34" t="str">
        <f t="shared" si="73"/>
        <v/>
      </c>
      <c r="Z149" s="31"/>
      <c r="AA149" s="34" t="str">
        <f t="shared" si="74"/>
        <v/>
      </c>
      <c r="AB149" s="31"/>
      <c r="AC149" s="34" t="str">
        <f t="shared" si="75"/>
        <v/>
      </c>
      <c r="AD149" s="31"/>
      <c r="AE149" s="34" t="str">
        <f t="shared" si="76"/>
        <v/>
      </c>
      <c r="AF149" s="56"/>
      <c r="AG149" s="34" t="str">
        <f t="shared" si="69"/>
        <v/>
      </c>
      <c r="AH149" s="31"/>
      <c r="AI149" s="34" t="str">
        <f t="shared" si="61"/>
        <v/>
      </c>
      <c r="AJ149" s="31"/>
      <c r="AK149" s="34" t="str">
        <f t="shared" si="70"/>
        <v/>
      </c>
      <c r="AL149" s="31"/>
      <c r="AM149" s="34" t="str">
        <f t="shared" si="77"/>
        <v/>
      </c>
      <c r="AN149" s="31"/>
      <c r="AO149" s="34" t="str">
        <f t="shared" si="19"/>
        <v/>
      </c>
      <c r="AP149" s="31"/>
      <c r="AQ149" s="34" t="str">
        <f t="shared" si="71"/>
        <v/>
      </c>
      <c r="AR149" s="31"/>
      <c r="AS149" s="34" t="str">
        <f t="shared" si="72"/>
        <v/>
      </c>
      <c r="AT149" s="31"/>
      <c r="AU149" s="34" t="str">
        <f t="shared" si="19"/>
        <v/>
      </c>
      <c r="AV149" s="31"/>
      <c r="AW149" s="34" t="str">
        <f t="shared" si="58"/>
        <v/>
      </c>
      <c r="AX149" s="31"/>
      <c r="AY149" s="34" t="str">
        <f t="shared" si="78"/>
        <v/>
      </c>
      <c r="AZ149" s="31"/>
      <c r="BA149" s="34" t="str">
        <f t="shared" si="79"/>
        <v/>
      </c>
      <c r="BB149" s="21" t="s">
        <v>227</v>
      </c>
    </row>
    <row r="150" spans="1:54" ht="20" customHeight="1" x14ac:dyDescent="0.2">
      <c r="A150" s="680"/>
      <c r="B150" s="721"/>
      <c r="C150" s="722"/>
      <c r="D150" s="722" t="s">
        <v>85</v>
      </c>
      <c r="E150" s="723" t="s">
        <v>696</v>
      </c>
      <c r="F150" s="723" t="s">
        <v>697</v>
      </c>
      <c r="G150" s="722">
        <v>2006</v>
      </c>
      <c r="H150" s="287"/>
      <c r="I150" s="65">
        <v>27</v>
      </c>
      <c r="J150" s="61" t="s">
        <v>175</v>
      </c>
      <c r="K150" s="62" t="s">
        <v>702</v>
      </c>
      <c r="L150" s="53"/>
      <c r="M150" s="54"/>
      <c r="N150" s="53"/>
      <c r="O150" s="54"/>
      <c r="P150" s="53"/>
      <c r="Q150" s="54"/>
      <c r="R150" s="53"/>
      <c r="S150" s="54"/>
      <c r="T150" s="53"/>
      <c r="U150" s="54"/>
      <c r="V150" s="55"/>
      <c r="W150" s="54"/>
      <c r="X150" s="53"/>
      <c r="Y150" s="54"/>
      <c r="Z150" s="53"/>
      <c r="AA150" s="54"/>
      <c r="AB150" s="53"/>
      <c r="AC150" s="54"/>
      <c r="AD150" s="53"/>
      <c r="AE150" s="54"/>
      <c r="AF150" s="55"/>
      <c r="AG150" s="54"/>
      <c r="AH150" s="53"/>
      <c r="AI150" s="54"/>
      <c r="AJ150" s="53"/>
      <c r="AK150" s="54"/>
      <c r="AL150" s="53"/>
      <c r="AM150" s="54"/>
      <c r="AN150" s="53"/>
      <c r="AO150" s="54"/>
      <c r="AP150" s="53"/>
      <c r="AQ150" s="54"/>
      <c r="AR150" s="53"/>
      <c r="AS150" s="54"/>
      <c r="AT150" s="53"/>
      <c r="AU150" s="54"/>
      <c r="AV150" s="53"/>
      <c r="AW150" s="54"/>
      <c r="AX150" s="53"/>
      <c r="AY150" s="54"/>
      <c r="AZ150" s="53"/>
      <c r="BA150" s="54"/>
    </row>
    <row r="151" spans="1:54" ht="20" customHeight="1" x14ac:dyDescent="0.2">
      <c r="A151" s="678"/>
      <c r="B151" s="725"/>
      <c r="C151" s="253"/>
      <c r="D151" s="722" t="s">
        <v>85</v>
      </c>
      <c r="E151" s="723" t="s">
        <v>318</v>
      </c>
      <c r="F151" s="723" t="s">
        <v>319</v>
      </c>
      <c r="G151" s="722">
        <v>2009</v>
      </c>
      <c r="H151" s="287"/>
      <c r="I151" s="65">
        <v>12</v>
      </c>
      <c r="J151" s="61" t="s">
        <v>213</v>
      </c>
      <c r="K151" s="62" t="s">
        <v>191</v>
      </c>
      <c r="L151" s="53"/>
      <c r="M151" s="54" t="str">
        <f t="shared" si="63"/>
        <v/>
      </c>
      <c r="N151" s="53"/>
      <c r="O151" s="54" t="str">
        <f t="shared" si="64"/>
        <v/>
      </c>
      <c r="P151" s="53"/>
      <c r="Q151" s="54" t="str">
        <f t="shared" si="65"/>
        <v/>
      </c>
      <c r="R151" s="53"/>
      <c r="S151" s="54" t="str">
        <f t="shared" si="66"/>
        <v/>
      </c>
      <c r="T151" s="53"/>
      <c r="U151" s="54" t="str">
        <f t="shared" si="67"/>
        <v/>
      </c>
      <c r="V151" s="55"/>
      <c r="W151" s="54" t="str">
        <f t="shared" si="68"/>
        <v/>
      </c>
      <c r="X151" s="53"/>
      <c r="Y151" s="54" t="str">
        <f>IF((ISERROR((X151/$I151)*100)), "", IF(AND(NOT(ISERROR((X151/$I151)*100)),((X151/$I151)*100) &lt;&gt; 0), (X151/$I151)*100, ""))</f>
        <v/>
      </c>
      <c r="Z151" s="53"/>
      <c r="AA151" s="54" t="str">
        <f>IF((ISERROR((Z151/$I151)*100)), "", IF(AND(NOT(ISERROR((Z151/$I151)*100)),((Z151/$I151)*100) &lt;&gt; 0), (Z151/$I151)*100, ""))</f>
        <v/>
      </c>
      <c r="AB151" s="53"/>
      <c r="AC151" s="54" t="str">
        <f>IF((ISERROR((AB151/$I151)*100)), "", IF(AND(NOT(ISERROR((AB151/$I151)*100)),((AB151/$I151)*100) &lt;&gt; 0), (AB151/$I151)*100, ""))</f>
        <v/>
      </c>
      <c r="AD151" s="53"/>
      <c r="AE151" s="54" t="str">
        <f>IF((ISERROR((AD151/$I151)*100)), "", IF(AND(NOT(ISERROR((AD151/$I151)*100)),((AD151/$I151)*100) &lt;&gt; 0), (AD151/$I151)*100, ""))</f>
        <v/>
      </c>
      <c r="AF151" s="55"/>
      <c r="AG151" s="54" t="str">
        <f t="shared" si="69"/>
        <v/>
      </c>
      <c r="AH151" s="53"/>
      <c r="AI151" s="54" t="str">
        <f>IF((ISERROR((AH151/$I151)*100)), "", IF(AND(NOT(ISERROR((AH151/$I151)*100)),((AH151/$I151)*100) &lt;&gt; 0), (AH151/$I151)*100, ""))</f>
        <v/>
      </c>
      <c r="AJ151" s="53"/>
      <c r="AK151" s="54" t="str">
        <f t="shared" si="70"/>
        <v/>
      </c>
      <c r="AL151" s="53"/>
      <c r="AM151" s="54" t="str">
        <f>IF((ISERROR((AL151/$I151)*100)), "", IF(AND(NOT(ISERROR((AL151/$I151)*100)),((AL151/$I151)*100) &lt;&gt; 0), (AL151/$I151)*100, ""))</f>
        <v/>
      </c>
      <c r="AN151" s="53"/>
      <c r="AO151" s="54" t="str">
        <f>IF((ISERROR((AN151/$I151)*100)), "", IF(AND(NOT(ISERROR((AN151/$I151)*100)),((AN151/$I151)*100) &lt;&gt; 0), (AN151/$I151)*100, ""))</f>
        <v/>
      </c>
      <c r="AP151" s="53"/>
      <c r="AQ151" s="54" t="str">
        <f t="shared" si="71"/>
        <v/>
      </c>
      <c r="AR151" s="53"/>
      <c r="AS151" s="54" t="str">
        <f t="shared" si="72"/>
        <v/>
      </c>
      <c r="AT151" s="53"/>
      <c r="AU151" s="54" t="str">
        <f t="shared" ref="AU151:AU152" si="81">IF((ISERROR((AT151/$I151)*100)), "", IF(AND(NOT(ISERROR((AT151/$I151)*100)),((AT151/$I151)*100) &lt;&gt; 0), (AT151/$I151)*100, ""))</f>
        <v/>
      </c>
      <c r="AV151" s="53"/>
      <c r="AW151" s="54" t="str">
        <f t="shared" si="58"/>
        <v/>
      </c>
      <c r="AX151" s="53"/>
      <c r="AY151" s="54" t="str">
        <f t="shared" si="78"/>
        <v/>
      </c>
      <c r="AZ151" s="53"/>
      <c r="BA151" s="54" t="str">
        <f t="shared" si="79"/>
        <v/>
      </c>
      <c r="BB151" s="21" t="s">
        <v>179</v>
      </c>
    </row>
    <row r="152" spans="1:54" ht="20" customHeight="1" x14ac:dyDescent="0.2">
      <c r="A152" s="678"/>
      <c r="B152" s="725"/>
      <c r="C152" s="253"/>
      <c r="D152" s="722" t="s">
        <v>85</v>
      </c>
      <c r="E152" s="723" t="s">
        <v>147</v>
      </c>
      <c r="F152" s="723" t="s">
        <v>148</v>
      </c>
      <c r="G152" s="722">
        <v>2011</v>
      </c>
      <c r="H152" s="287">
        <v>112</v>
      </c>
      <c r="I152" s="65">
        <v>17</v>
      </c>
      <c r="J152" s="61" t="s">
        <v>217</v>
      </c>
      <c r="K152" s="62" t="s">
        <v>192</v>
      </c>
      <c r="L152" s="53"/>
      <c r="M152" s="54" t="str">
        <f t="shared" si="63"/>
        <v/>
      </c>
      <c r="N152" s="53"/>
      <c r="O152" s="54" t="str">
        <f t="shared" si="64"/>
        <v/>
      </c>
      <c r="P152" s="53"/>
      <c r="Q152" s="54" t="str">
        <f t="shared" si="65"/>
        <v/>
      </c>
      <c r="R152" s="53"/>
      <c r="S152" s="54" t="str">
        <f t="shared" si="66"/>
        <v/>
      </c>
      <c r="T152" s="53"/>
      <c r="U152" s="54" t="str">
        <f t="shared" si="67"/>
        <v/>
      </c>
      <c r="V152" s="55"/>
      <c r="W152" s="54" t="str">
        <f t="shared" si="68"/>
        <v/>
      </c>
      <c r="X152" s="53"/>
      <c r="Y152" s="54" t="str">
        <f>IF((ISERROR((X152/$I152)*100)), "", IF(AND(NOT(ISERROR((X152/$I152)*100)),((X152/$I152)*100) &lt;&gt; 0), (X152/$I152)*100, ""))</f>
        <v/>
      </c>
      <c r="Z152" s="53"/>
      <c r="AA152" s="54" t="str">
        <f>IF((ISERROR((Z152/$I152)*100)), "", IF(AND(NOT(ISERROR((Z152/$I152)*100)),((Z152/$I152)*100) &lt;&gt; 0), (Z152/$I152)*100, ""))</f>
        <v/>
      </c>
      <c r="AB152" s="53"/>
      <c r="AC152" s="54" t="str">
        <f>IF((ISERROR((AB152/$I152)*100)), "", IF(AND(NOT(ISERROR((AB152/$I152)*100)),((AB152/$I152)*100) &lt;&gt; 0), (AB152/$I152)*100, ""))</f>
        <v/>
      </c>
      <c r="AD152" s="53"/>
      <c r="AE152" s="54" t="str">
        <f>IF((ISERROR((AD152/$I152)*100)), "", IF(AND(NOT(ISERROR((AD152/$I152)*100)),((AD152/$I152)*100) &lt;&gt; 0), (AD152/$I152)*100, ""))</f>
        <v/>
      </c>
      <c r="AF152" s="55"/>
      <c r="AG152" s="54" t="str">
        <f t="shared" si="69"/>
        <v/>
      </c>
      <c r="AH152" s="53"/>
      <c r="AI152" s="54" t="str">
        <f>IF((ISERROR((AH152/$I152)*100)), "", IF(AND(NOT(ISERROR((AH152/$I152)*100)),((AH152/$I152)*100) &lt;&gt; 0), (AH152/$I152)*100, ""))</f>
        <v/>
      </c>
      <c r="AJ152" s="53"/>
      <c r="AK152" s="54" t="str">
        <f t="shared" si="70"/>
        <v/>
      </c>
      <c r="AL152" s="53"/>
      <c r="AM152" s="54" t="str">
        <f>IF((ISERROR((AL152/$I152)*100)), "", IF(AND(NOT(ISERROR((AL152/$I152)*100)),((AL152/$I152)*100) &lt;&gt; 0), (AL152/$I152)*100, ""))</f>
        <v/>
      </c>
      <c r="AN152" s="53"/>
      <c r="AO152" s="54" t="str">
        <f>IF((ISERROR((AN152/$I152)*100)), "", IF(AND(NOT(ISERROR((AN152/$I152)*100)),((AN152/$I152)*100) &lt;&gt; 0), (AN152/$I152)*100, ""))</f>
        <v/>
      </c>
      <c r="AP152" s="53"/>
      <c r="AQ152" s="54" t="str">
        <f t="shared" si="71"/>
        <v/>
      </c>
      <c r="AR152" s="53"/>
      <c r="AS152" s="54" t="str">
        <f t="shared" si="72"/>
        <v/>
      </c>
      <c r="AT152" s="53"/>
      <c r="AU152" s="54" t="str">
        <f t="shared" si="81"/>
        <v/>
      </c>
      <c r="AV152" s="53"/>
      <c r="AW152" s="54" t="str">
        <f t="shared" si="58"/>
        <v/>
      </c>
      <c r="AX152" s="53"/>
      <c r="AY152" s="54" t="str">
        <f t="shared" si="78"/>
        <v/>
      </c>
      <c r="AZ152" s="53"/>
      <c r="BA152" s="54" t="str">
        <f t="shared" si="79"/>
        <v/>
      </c>
      <c r="BB152" s="21" t="s">
        <v>589</v>
      </c>
    </row>
    <row r="153" spans="1:54" ht="20" customHeight="1" x14ac:dyDescent="0.2">
      <c r="A153" s="680"/>
      <c r="B153" s="721"/>
      <c r="C153" s="722"/>
      <c r="D153" s="722" t="s">
        <v>85</v>
      </c>
      <c r="E153" s="723" t="s">
        <v>698</v>
      </c>
      <c r="F153" s="723" t="s">
        <v>701</v>
      </c>
      <c r="G153" s="722">
        <v>1998</v>
      </c>
      <c r="H153" s="287"/>
      <c r="I153" s="65">
        <v>15</v>
      </c>
      <c r="J153" s="61" t="s">
        <v>175</v>
      </c>
      <c r="K153" s="62" t="s">
        <v>333</v>
      </c>
      <c r="L153" s="53"/>
      <c r="M153" s="54"/>
      <c r="N153" s="53"/>
      <c r="O153" s="54"/>
      <c r="P153" s="53"/>
      <c r="Q153" s="54"/>
      <c r="R153" s="53"/>
      <c r="S153" s="54"/>
      <c r="T153" s="53"/>
      <c r="U153" s="54"/>
      <c r="V153" s="55"/>
      <c r="W153" s="54"/>
      <c r="X153" s="53"/>
      <c r="Y153" s="54"/>
      <c r="Z153" s="53"/>
      <c r="AA153" s="54"/>
      <c r="AB153" s="53"/>
      <c r="AC153" s="54"/>
      <c r="AD153" s="53"/>
      <c r="AE153" s="54"/>
      <c r="AF153" s="55"/>
      <c r="AG153" s="54"/>
      <c r="AH153" s="53"/>
      <c r="AI153" s="54"/>
      <c r="AJ153" s="53"/>
      <c r="AK153" s="54"/>
      <c r="AL153" s="53"/>
      <c r="AM153" s="54"/>
      <c r="AN153" s="53"/>
      <c r="AO153" s="54"/>
      <c r="AP153" s="53"/>
      <c r="AQ153" s="54"/>
      <c r="AR153" s="53"/>
      <c r="AS153" s="54"/>
      <c r="AT153" s="53"/>
      <c r="AU153" s="54"/>
      <c r="AV153" s="53"/>
      <c r="AW153" s="54"/>
      <c r="AX153" s="53"/>
      <c r="AY153" s="54"/>
      <c r="AZ153" s="53"/>
      <c r="BA153" s="54"/>
    </row>
    <row r="154" spans="1:54" ht="20" customHeight="1" thickBot="1" x14ac:dyDescent="0.25">
      <c r="A154" s="681"/>
      <c r="B154" s="759"/>
      <c r="C154" s="734"/>
      <c r="D154" s="734" t="s">
        <v>85</v>
      </c>
      <c r="E154" s="735" t="s">
        <v>699</v>
      </c>
      <c r="F154" s="735" t="s">
        <v>700</v>
      </c>
      <c r="G154" s="734">
        <v>1999</v>
      </c>
      <c r="H154" s="760"/>
      <c r="I154" s="66">
        <v>13</v>
      </c>
      <c r="J154" s="63" t="s">
        <v>703</v>
      </c>
      <c r="K154" s="64" t="s">
        <v>626</v>
      </c>
      <c r="L154" s="32"/>
      <c r="M154" s="35"/>
      <c r="N154" s="32"/>
      <c r="O154" s="35"/>
      <c r="P154" s="32"/>
      <c r="Q154" s="35"/>
      <c r="R154" s="32"/>
      <c r="S154" s="35"/>
      <c r="T154" s="32"/>
      <c r="U154" s="35"/>
      <c r="V154" s="33"/>
      <c r="W154" s="35"/>
      <c r="X154" s="32"/>
      <c r="Y154" s="35"/>
      <c r="Z154" s="32"/>
      <c r="AA154" s="35"/>
      <c r="AB154" s="32"/>
      <c r="AC154" s="35"/>
      <c r="AD154" s="32"/>
      <c r="AE154" s="35"/>
      <c r="AF154" s="33"/>
      <c r="AG154" s="35"/>
      <c r="AH154" s="32"/>
      <c r="AI154" s="35"/>
      <c r="AJ154" s="32"/>
      <c r="AK154" s="35"/>
      <c r="AL154" s="32"/>
      <c r="AM154" s="35"/>
      <c r="AN154" s="32"/>
      <c r="AO154" s="35"/>
      <c r="AP154" s="32"/>
      <c r="AQ154" s="35"/>
      <c r="AR154" s="32"/>
      <c r="AS154" s="35"/>
      <c r="AT154" s="32"/>
      <c r="AU154" s="35"/>
      <c r="AV154" s="32"/>
      <c r="AW154" s="35"/>
      <c r="AX154" s="32"/>
      <c r="AY154" s="35"/>
      <c r="AZ154" s="32"/>
      <c r="BA154" s="35"/>
    </row>
    <row r="155" spans="1:54" s="775" customFormat="1" ht="20" customHeight="1" x14ac:dyDescent="0.2">
      <c r="G155" s="776"/>
      <c r="H155" s="777" t="s">
        <v>240</v>
      </c>
      <c r="I155" s="778">
        <f>SUM(I11:I152)</f>
        <v>4209</v>
      </c>
      <c r="J155" s="779" t="s">
        <v>447</v>
      </c>
      <c r="K155" s="780" t="s">
        <v>453</v>
      </c>
      <c r="L155" s="781">
        <f>IF((SUM(L11:L152)&lt;&gt;0), SUMIF($I11:$I152, "&gt;0", L11:L152), "")</f>
        <v>31</v>
      </c>
      <c r="M155" s="782">
        <f>IF(ISERROR((L155/$I155)*100), "", IF(((L155/$I155)*100) &lt;&gt; 0, (L155/$I155)*100, ""))</f>
        <v>0.73651698740793536</v>
      </c>
      <c r="N155" s="781">
        <f>IF((SUM(N11:N152)&lt;&gt;0), SUMIF($I11:$I152, "&gt;0", N11:N152), "")</f>
        <v>8</v>
      </c>
      <c r="O155" s="782">
        <f>IF(ISERROR((N155/$I155)*100), "", IF(((N155/$I155)*100) &lt;&gt; 0, (N155/$I155)*100, ""))</f>
        <v>0.19006889997624138</v>
      </c>
      <c r="P155" s="781">
        <f>IF((SUM(P11:P152)&lt;&gt;0), SUMIF($I11:$I152, "&gt;0", P11:P152), "")</f>
        <v>6</v>
      </c>
      <c r="Q155" s="782">
        <f>IF(ISERROR((P155/$I155)*100), "", IF(((P155/$I155)*100) &lt;&gt; 0, (P155/$I155)*100, ""))</f>
        <v>0.14255167498218105</v>
      </c>
      <c r="R155" s="781">
        <f>IF((SUM(R11:R152)&lt;&gt;0), SUMIF($I11:$I152, "&gt;0", R11:R152), "")</f>
        <v>2</v>
      </c>
      <c r="S155" s="782">
        <f>IF(ISERROR((R155/$I155)*100), "", IF(((R155/$I155)*100) &lt;&gt; 0, (R155/$I155)*100, ""))</f>
        <v>4.7517224994060345E-2</v>
      </c>
      <c r="T155" s="781">
        <f>IF((SUM(T11:T152)&lt;&gt;0), SUMIF($I11:$I152, "&gt;0", T11:T152), "")</f>
        <v>73</v>
      </c>
      <c r="U155" s="782">
        <f>IF(ISERROR((T155/$I155)*100), "", IF(((T155/$I155)*100) &lt;&gt; 0, (T155/$I155)*100, ""))</f>
        <v>1.7343787122832026</v>
      </c>
      <c r="V155" s="781">
        <f>IF((SUM(V11:V152)&lt;&gt;0), SUMIF($I11:$I152, "&gt;0", V11:V152), "")</f>
        <v>219</v>
      </c>
      <c r="W155" s="782">
        <f>IF(ISERROR((V155/$I155)*100), "", IF(((V155/$I155)*100) &lt;&gt; 0, (V155/$I155)*100, ""))</f>
        <v>5.2031361368496079</v>
      </c>
      <c r="X155" s="781">
        <f>IF((SUM(X11:X152)&lt;&gt;0), SUMIF($I11:$I152, "&gt;0", X11:X152), "")</f>
        <v>43</v>
      </c>
      <c r="Y155" s="782">
        <f>IF(ISERROR((X155/$I155)*100), "", IF(((X155/$I155)*100) &lt;&gt; 0, (X155/$I155)*100, ""))</f>
        <v>1.0216203373722974</v>
      </c>
      <c r="Z155" s="781">
        <f>IF((SUM(Z11:Z152)&lt;&gt;0), SUMIF($I11:$I152, "&gt;0", Z11:Z152), "")</f>
        <v>1</v>
      </c>
      <c r="AA155" s="782">
        <f>IF(ISERROR((Z155/$I155)*100), "", IF(((Z155/$I155)*100) &lt;&gt; 0, (Z155/$I155)*100, ""))</f>
        <v>2.3758612497030172E-2</v>
      </c>
      <c r="AB155" s="781">
        <f>IF((SUM(AB11:AB152)&lt;&gt;0), SUMIF($I11:$I152, "&gt;0", AB11:AB152), "")</f>
        <v>6</v>
      </c>
      <c r="AC155" s="782">
        <f>IF(ISERROR((AB155/$I155)*100), "", IF(((AB155/$I155)*100) &lt;&gt; 0, (AB155/$I155)*100, ""))</f>
        <v>0.14255167498218105</v>
      </c>
      <c r="AD155" s="781">
        <f>IF((SUM(AD11:AD152)&lt;&gt;0), SUMIF($I11:$I152, "&gt;0", AD11:AD152), "")</f>
        <v>1</v>
      </c>
      <c r="AE155" s="782">
        <f>IF(ISERROR((AD155/$I155)*100), "", IF(((AD155/$I155)*100) &lt;&gt; 0, (AD155/$I155)*100, ""))</f>
        <v>2.3758612497030172E-2</v>
      </c>
      <c r="AF155" s="781">
        <f>IF((SUM(AF11:AF152)&lt;&gt;0), SUMIF($I11:$I152, "&gt;0", AF11:AF152), "")</f>
        <v>121</v>
      </c>
      <c r="AG155" s="782">
        <f>IF(ISERROR((AF155/$I155)*100), "", IF(((AF155/$I155)*100) &lt;&gt; 0, (AF155/$I155)*100, ""))</f>
        <v>2.8747921121406508</v>
      </c>
      <c r="AH155" s="781">
        <f>IF((SUM(AH11:AH152)&lt;&gt;0), SUMIF($I11:$I152, "&gt;0", AH11:AH152), "")</f>
        <v>72</v>
      </c>
      <c r="AI155" s="782">
        <f>IF(ISERROR((AH155/$I155)*100), "", IF(((AH155/$I155)*100) &lt;&gt; 0, (AH155/$I155)*100, ""))</f>
        <v>1.7106200997861727</v>
      </c>
      <c r="AJ155" s="781">
        <f>IF((SUM(AJ11:AJ152)&lt;&gt;0), SUMIF($I11:$I152, "&gt;0", AJ11:AJ152), "")</f>
        <v>2</v>
      </c>
      <c r="AK155" s="782">
        <f>IF(ISERROR((AJ155/$I155)*100), "", IF(((AJ155/$I155)*100) &lt;&gt; 0, (AJ155/$I155)*100, ""))</f>
        <v>4.7517224994060345E-2</v>
      </c>
      <c r="AL155" s="781">
        <f>IF((SUM(AL11:AL152)&lt;&gt;0), SUMIF($I11:$I152, "&gt;0", AL11:AL152), "")</f>
        <v>8</v>
      </c>
      <c r="AM155" s="782">
        <f>IF(ISERROR((AL155/$I155)*100), "", IF(((AL155/$I155)*100) &lt;&gt; 0, (AL155/$I155)*100, ""))</f>
        <v>0.19006889997624138</v>
      </c>
      <c r="AN155" s="781">
        <f>IF((SUM(AN11:AN152)&lt;&gt;0), SUMIF($I11:$I152, "&gt;0", AN11:AN152), "")</f>
        <v>6</v>
      </c>
      <c r="AO155" s="782">
        <f>IF(ISERROR((AN155/$I155)*100), "", IF(((AN155/$I155)*100) &lt;&gt; 0, (AN155/$I155)*100, ""))</f>
        <v>0.14255167498218105</v>
      </c>
      <c r="AP155" s="781">
        <f>IF((SUM(AP11:AP152)&lt;&gt;0), SUMIF($I11:$I152, "&gt;0", AP11:AP152), "")</f>
        <v>37</v>
      </c>
      <c r="AQ155" s="782">
        <f>IF(ISERROR((AP155/$I155)*100), "", IF(((AP155/$I155)*100) &lt;&gt; 0, (AP155/$I155)*100, ""))</f>
        <v>0.87906866239011638</v>
      </c>
      <c r="AR155" s="781">
        <f>IF((SUM(AR11:AR152)&lt;&gt;0), SUMIF($I11:$I152, "&gt;0", AR11:AR152), "")</f>
        <v>3</v>
      </c>
      <c r="AS155" s="782">
        <f>IF(ISERROR((AR155/$I155)*100), "", IF(((AR155/$I155)*100) &lt;&gt; 0, (AR155/$I155)*100, ""))</f>
        <v>7.1275837491090524E-2</v>
      </c>
      <c r="AT155" s="781">
        <f>IF((SUM(AT11:AT152)&lt;&gt;0), SUMIF($I11:$I152, "&gt;0", AT11:AT152), "")</f>
        <v>14</v>
      </c>
      <c r="AU155" s="782">
        <f>IF(ISERROR((AT155/$I155)*100), "", IF(((AT155/$I155)*100) &lt;&gt; 0, (AT155/$I155)*100, ""))</f>
        <v>0.3326205749584224</v>
      </c>
      <c r="AV155" s="781">
        <f>IF((SUM(AV11:AV152)&lt;&gt;0), SUMIF($I11:$I152, "&gt;0", AV11:AV152), "")</f>
        <v>3</v>
      </c>
      <c r="AW155" s="782">
        <f>IF(ISERROR((AV155/$I155)*100), "", IF(((AV155/$I155)*100) &lt;&gt; 0, (AV155/$I155)*100, ""))</f>
        <v>7.1275837491090524E-2</v>
      </c>
      <c r="AX155" s="781">
        <f>IF((SUM(AX11:AX152)&lt;&gt;0), SUMIF($I11:$I152, "&gt;0", AX11:AX152), "")</f>
        <v>4</v>
      </c>
      <c r="AY155" s="782">
        <f>IF(ISERROR((AX155/$I155)*100), "", IF(((AX155/$I155)*100) &lt;&gt; 0, (AX155/$I155)*100, ""))</f>
        <v>9.5034449988120689E-2</v>
      </c>
      <c r="AZ155" s="781" t="str">
        <f>IF((SUM(AZ11:AZ152)&lt;&gt;0), SUMIF($I11:$I152, "&gt;0", AZ11:AZ152), "")</f>
        <v/>
      </c>
      <c r="BA155" s="782" t="str">
        <f>IF(ISERROR((AZ155/$I155)*100), "", IF(((AZ155/$I155)*100) &lt;&gt; 0, (AZ155/$I155)*100, ""))</f>
        <v/>
      </c>
    </row>
    <row r="156" spans="1:54" s="775" customFormat="1" ht="20" customHeight="1" x14ac:dyDescent="0.2">
      <c r="G156" s="776"/>
      <c r="H156" s="777" t="s">
        <v>241</v>
      </c>
      <c r="I156" s="783" t="s">
        <v>239</v>
      </c>
      <c r="J156" s="784" t="s">
        <v>454</v>
      </c>
      <c r="K156" s="785" t="s">
        <v>455</v>
      </c>
      <c r="L156" s="786">
        <f>IF(SUMIF(L11:L152, "&gt; 0", $I11:$I152) &gt; 0, SUMIF(L11:L152, "&gt; 0", $I11:$I152), "")</f>
        <v>224</v>
      </c>
      <c r="M156" s="787">
        <f>IF(AND(NOT(ISERROR((L155/L156)*100)), L155/L156 &lt;&gt; 0), (L155/L156)*100, "")</f>
        <v>13.839285714285715</v>
      </c>
      <c r="N156" s="786">
        <f>IF(SUMIF(N11:N152, "&gt; 0", $I11:$I152) &gt; 0, SUMIF(N11:N152, "&gt; 0", $I11:$I152), "")</f>
        <v>38</v>
      </c>
      <c r="O156" s="787">
        <f>IF(AND(NOT(ISERROR((N155/N156)*100)), N155/N156 &lt;&gt; 0), (N155/N156)*100, "")</f>
        <v>21.052631578947366</v>
      </c>
      <c r="P156" s="786">
        <f>IF(SUMIF(P11:P152, "&gt; 0", $I11:$I152) &gt; 0, SUMIF(P11:P152, "&gt; 0", $I11:$I152), "")</f>
        <v>17</v>
      </c>
      <c r="Q156" s="787">
        <f>IF(AND(NOT(ISERROR((P155/P156)*100)), P155/P156 &lt;&gt; 0), (P155/P156)*100, "")</f>
        <v>35.294117647058826</v>
      </c>
      <c r="R156" s="786">
        <f>IF(SUMIF(R11:R152, "&gt; 0", $I11:$I152) &gt; 0, SUMIF(R11:R152, "&gt; 0", $I11:$I152), "")</f>
        <v>8</v>
      </c>
      <c r="S156" s="787">
        <f>IF(AND(NOT(ISERROR((R155/R156)*100)), R155/R156 &lt;&gt; 0), (R155/R156)*100, "")</f>
        <v>25</v>
      </c>
      <c r="T156" s="786">
        <f>IF(SUMIF(T11:T152, "&gt; 0", $I11:$I152) &gt; 0, SUMIF(T11:T152, "&gt; 0", $I11:$I152), "")</f>
        <v>595</v>
      </c>
      <c r="U156" s="787">
        <f>IF(AND(NOT(ISERROR((T155/T156)*100)), T155/T156 &lt;&gt; 0), (T155/T156)*100, "")</f>
        <v>12.268907563025209</v>
      </c>
      <c r="V156" s="786">
        <f>IF(SUMIF(V11:V152, "&gt; 0", $I11:$I152) &gt; 0, SUMIF(V11:V152, "&gt; 0", $I11:$I152), "")</f>
        <v>782</v>
      </c>
      <c r="W156" s="787">
        <f>IF(AND(NOT(ISERROR((V155/V156)*100)), V155/V156 &lt;&gt; 0), (V155/V156)*100, "")</f>
        <v>28.005115089514064</v>
      </c>
      <c r="X156" s="786">
        <f>IF(SUMIF(X11:X152, "&gt; 0", $I11:$I152) &gt; 0, SUMIF(X11:X152, "&gt; 0", $I11:$I152), "")</f>
        <v>320</v>
      </c>
      <c r="Y156" s="787">
        <f>IF(AND(NOT(ISERROR((X155/X156)*100)), X155/X156 &lt;&gt; 0), (X155/X156)*100, "")</f>
        <v>13.4375</v>
      </c>
      <c r="Z156" s="786">
        <f>IF(SUMIF(Z11:Z152, "&gt; 0", $I11:$I152) &gt; 0, SUMIF(Z11:Z152, "&gt; 0", $I11:$I152), "")</f>
        <v>8</v>
      </c>
      <c r="AA156" s="787">
        <f>IF(AND(NOT(ISERROR((Z155/Z156)*100)), Z155/Z156 &lt;&gt; 0), (Z155/Z156)*100, "")</f>
        <v>12.5</v>
      </c>
      <c r="AB156" s="786">
        <f>IF(SUMIF(AB11:AB152, "&gt; 0", $I11:$I152) &gt; 0, SUMIF(AB11:AB152, "&gt; 0", $I11:$I152), "")</f>
        <v>37</v>
      </c>
      <c r="AC156" s="787">
        <f>IF(AND(NOT(ISERROR((AB155/AB156)*100)), AB155/AB156 &lt;&gt; 0), (AB155/AB156)*100, "")</f>
        <v>16.216216216216218</v>
      </c>
      <c r="AD156" s="786">
        <f>IF(SUMIF(AD11:AD152, "&gt; 0", $I11:$I152) &gt; 0, SUMIF(AD11:AD152, "&gt; 0", $I11:$I152), "")</f>
        <v>8</v>
      </c>
      <c r="AE156" s="787">
        <f>IF(AND(NOT(ISERROR((AD155/AD156)*100)), AD155/AD156 &lt;&gt; 0), (AD155/AD156)*100, "")</f>
        <v>12.5</v>
      </c>
      <c r="AF156" s="786">
        <f>IF(SUMIF(AF11:AF152, "&gt; 0", $I11:$I152) &gt; 0, SUMIF(AF11:AF152, "&gt; 0", $I11:$I152), "")</f>
        <v>1011</v>
      </c>
      <c r="AG156" s="787">
        <f>IF(AND(NOT(ISERROR((AF155/AF156)*100)), AF155/AF156 &lt;&gt; 0), (AF155/AF156)*100, "")</f>
        <v>11.968348170128586</v>
      </c>
      <c r="AH156" s="786">
        <f>IF(SUMIF(AH11:AH152, "&gt; 0", $I11:$I152) &gt; 0, SUMIF(AH11:AH152, "&gt; 0", $I11:$I152), "")</f>
        <v>856</v>
      </c>
      <c r="AI156" s="787">
        <f>IF(AND(NOT(ISERROR((AH155/AH156)*100)), AH155/AH156 &lt;&gt; 0), (AH155/AH156)*100, "")</f>
        <v>8.4112149532710276</v>
      </c>
      <c r="AJ156" s="786">
        <f>IF(SUMIF(AJ11:AJ152, "&gt; 0", $I11:$I152) &gt; 0, SUMIF(AJ11:AJ152, "&gt; 0", $I11:$I152), "")</f>
        <v>27</v>
      </c>
      <c r="AK156" s="787">
        <f>IF(AND(NOT(ISERROR((AJ155/AJ156)*100)), AJ155/AJ156 &lt;&gt; 0), (AJ155/AJ156)*100, "")</f>
        <v>7.4074074074074066</v>
      </c>
      <c r="AL156" s="786">
        <f>IF(SUMIF(AL11:AL152, "&gt; 0", $I11:$I152) &gt; 0, SUMIF(AL11:AL152, "&gt; 0", $I11:$I152), "")</f>
        <v>262</v>
      </c>
      <c r="AM156" s="787">
        <f>IF(AND(NOT(ISERROR((AL155/AL156)*100)), AL155/AL156 &lt;&gt; 0), (AL155/AL156)*100, "")</f>
        <v>3.0534351145038165</v>
      </c>
      <c r="AN156" s="786">
        <f>IF(SUMIF(AN11:AN152, "&gt; 0", $I11:$I152) &gt; 0, SUMIF(AN11:AN152, "&gt; 0", $I11:$I152), "")</f>
        <v>97</v>
      </c>
      <c r="AO156" s="787">
        <f>IF(AND(NOT(ISERROR((AN155/AN156)*100)), AN155/AN156 &lt;&gt; 0), (AN155/AN156)*100, "")</f>
        <v>6.1855670103092786</v>
      </c>
      <c r="AP156" s="786">
        <f>IF(SUMIF(AP11:AP152, "&gt; 0", $I11:$I152) &gt; 0, SUMIF(AP11:AP152, "&gt; 0", $I11:$I152), "")</f>
        <v>748</v>
      </c>
      <c r="AQ156" s="787">
        <f>IF(AND(NOT(ISERROR((AP155/AP156)*100)), AP155/AP156 &lt;&gt; 0), (AP155/AP156)*100, "")</f>
        <v>4.9465240641711237</v>
      </c>
      <c r="AR156" s="786">
        <f>IF(SUMIF(AR11:AR152, "&gt; 0", $I11:$I152) &gt; 0, SUMIF(AR11:AR152, "&gt; 0", $I11:$I152), "")</f>
        <v>61</v>
      </c>
      <c r="AS156" s="787">
        <f>IF(AND(NOT(ISERROR((AR155/AR156)*100)), AR155/AR156 &lt;&gt; 0), (AR155/AR156)*100, "")</f>
        <v>4.918032786885246</v>
      </c>
      <c r="AT156" s="786">
        <f>IF(SUMIF(AT11:AT152, "&gt; 0", $I11:$I152) &gt; 0, SUMIF(AT11:AT152, "&gt; 0", $I11:$I152), "")</f>
        <v>377</v>
      </c>
      <c r="AU156" s="787">
        <f>IF(AND(NOT(ISERROR((AT155/AT156)*100)), AT155/AT156 &lt;&gt; 0), (AT155/AT156)*100, "")</f>
        <v>3.7135278514588856</v>
      </c>
      <c r="AV156" s="786">
        <f>IF(SUMIF(AV11:AV152, "&gt; 0", $I11:$I152) &gt; 0, SUMIF(AV11:AV152, "&gt; 0", $I11:$I152), "")</f>
        <v>191</v>
      </c>
      <c r="AW156" s="787">
        <f>IF(AND(NOT(ISERROR((AV155/AV156)*100)), AV155/AV156 &lt;&gt; 0), (AV155/AV156)*100, "")</f>
        <v>1.5706806282722512</v>
      </c>
      <c r="AX156" s="786">
        <f>IF(SUMIF(AX11:AX152, "&gt; 0", $I11:$I152) &gt; 0, SUMIF(AX11:AX152, "&gt; 0", $I11:$I152), "")</f>
        <v>150</v>
      </c>
      <c r="AY156" s="787">
        <f>IF(AND(NOT(ISERROR((AX155/AX156)*100)), AX155/AX156 &lt;&gt; 0), (AX155/AX156)*100, "")</f>
        <v>2.666666666666667</v>
      </c>
      <c r="AZ156" s="786" t="str">
        <f>IF(SUMIF(AZ11:AZ152, "&gt; 0", $I11:$I152) &gt; 0, SUMIF(AZ11:AZ152, "&gt; 0", $I11:$I152), "")</f>
        <v/>
      </c>
      <c r="BA156" s="787"/>
    </row>
    <row r="157" spans="1:54" ht="18" customHeight="1" thickBot="1" x14ac:dyDescent="0.25">
      <c r="I157" s="354" t="s">
        <v>448</v>
      </c>
      <c r="J157" s="357"/>
      <c r="K157" s="358"/>
      <c r="L157" s="328" t="s">
        <v>237</v>
      </c>
      <c r="M157" s="330" t="s">
        <v>238</v>
      </c>
      <c r="N157" s="328" t="s">
        <v>237</v>
      </c>
      <c r="O157" s="330" t="s">
        <v>238</v>
      </c>
      <c r="P157" s="328" t="s">
        <v>237</v>
      </c>
      <c r="Q157" s="330" t="s">
        <v>238</v>
      </c>
      <c r="R157" s="328" t="s">
        <v>237</v>
      </c>
      <c r="S157" s="330" t="s">
        <v>238</v>
      </c>
      <c r="T157" s="328" t="s">
        <v>237</v>
      </c>
      <c r="U157" s="330" t="s">
        <v>238</v>
      </c>
      <c r="V157" s="328" t="s">
        <v>237</v>
      </c>
      <c r="W157" s="330" t="s">
        <v>238</v>
      </c>
      <c r="X157" s="328" t="s">
        <v>237</v>
      </c>
      <c r="Y157" s="330" t="s">
        <v>238</v>
      </c>
      <c r="Z157" s="328" t="s">
        <v>237</v>
      </c>
      <c r="AA157" s="330" t="s">
        <v>238</v>
      </c>
      <c r="AB157" s="328" t="s">
        <v>237</v>
      </c>
      <c r="AC157" s="330" t="s">
        <v>238</v>
      </c>
      <c r="AD157" s="328" t="s">
        <v>237</v>
      </c>
      <c r="AE157" s="330" t="s">
        <v>238</v>
      </c>
      <c r="AF157" s="328" t="s">
        <v>237</v>
      </c>
      <c r="AG157" s="330" t="s">
        <v>238</v>
      </c>
      <c r="AH157" s="369" t="s">
        <v>237</v>
      </c>
      <c r="AI157" s="331" t="s">
        <v>238</v>
      </c>
      <c r="AJ157" s="328" t="s">
        <v>237</v>
      </c>
      <c r="AK157" s="330" t="s">
        <v>238</v>
      </c>
      <c r="AL157" s="328" t="s">
        <v>237</v>
      </c>
      <c r="AM157" s="330" t="s">
        <v>238</v>
      </c>
      <c r="AN157" s="328" t="s">
        <v>237</v>
      </c>
      <c r="AO157" s="330" t="s">
        <v>238</v>
      </c>
      <c r="AP157" s="328" t="s">
        <v>237</v>
      </c>
      <c r="AQ157" s="330" t="s">
        <v>238</v>
      </c>
      <c r="AR157" s="328" t="s">
        <v>237</v>
      </c>
      <c r="AS157" s="330" t="s">
        <v>238</v>
      </c>
      <c r="AT157" s="328" t="s">
        <v>237</v>
      </c>
      <c r="AU157" s="330" t="s">
        <v>238</v>
      </c>
      <c r="AV157" s="328" t="s">
        <v>237</v>
      </c>
      <c r="AW157" s="330" t="s">
        <v>238</v>
      </c>
      <c r="AX157" s="328" t="s">
        <v>237</v>
      </c>
      <c r="AY157" s="330" t="s">
        <v>238</v>
      </c>
      <c r="AZ157" s="328" t="s">
        <v>237</v>
      </c>
      <c r="BA157" s="330" t="s">
        <v>238</v>
      </c>
    </row>
    <row r="158" spans="1:54" ht="18" customHeight="1" x14ac:dyDescent="0.2">
      <c r="F158" s="40" t="s">
        <v>243</v>
      </c>
      <c r="G158" s="43">
        <v>1</v>
      </c>
      <c r="I158" s="355"/>
      <c r="J158" s="359"/>
      <c r="K158" s="360"/>
      <c r="L158" s="328"/>
      <c r="M158" s="331"/>
      <c r="N158" s="328"/>
      <c r="O158" s="331"/>
      <c r="P158" s="328"/>
      <c r="Q158" s="331"/>
      <c r="R158" s="328"/>
      <c r="S158" s="331"/>
      <c r="T158" s="328"/>
      <c r="U158" s="331"/>
      <c r="V158" s="328"/>
      <c r="W158" s="331"/>
      <c r="X158" s="328"/>
      <c r="Y158" s="331"/>
      <c r="Z158" s="328"/>
      <c r="AA158" s="331"/>
      <c r="AB158" s="328"/>
      <c r="AC158" s="331"/>
      <c r="AD158" s="328"/>
      <c r="AE158" s="331"/>
      <c r="AF158" s="328"/>
      <c r="AG158" s="331"/>
      <c r="AH158" s="328"/>
      <c r="AI158" s="331"/>
      <c r="AJ158" s="328"/>
      <c r="AK158" s="331"/>
      <c r="AL158" s="328"/>
      <c r="AM158" s="331"/>
      <c r="AN158" s="328"/>
      <c r="AO158" s="331"/>
      <c r="AP158" s="328"/>
      <c r="AQ158" s="331"/>
      <c r="AR158" s="328"/>
      <c r="AS158" s="331"/>
      <c r="AT158" s="328"/>
      <c r="AU158" s="331"/>
      <c r="AV158" s="328"/>
      <c r="AW158" s="331"/>
      <c r="AX158" s="328"/>
      <c r="AY158" s="331"/>
      <c r="AZ158" s="328"/>
      <c r="BA158" s="331"/>
    </row>
    <row r="159" spans="1:54" ht="18" customHeight="1" x14ac:dyDescent="0.2">
      <c r="F159" s="41"/>
      <c r="G159" s="42"/>
      <c r="I159" s="355"/>
      <c r="J159" s="359"/>
      <c r="K159" s="360"/>
      <c r="L159" s="328"/>
      <c r="M159" s="331"/>
      <c r="N159" s="328"/>
      <c r="O159" s="331"/>
      <c r="P159" s="328"/>
      <c r="Q159" s="331"/>
      <c r="R159" s="328"/>
      <c r="S159" s="331"/>
      <c r="T159" s="328"/>
      <c r="U159" s="331"/>
      <c r="V159" s="328"/>
      <c r="W159" s="331"/>
      <c r="X159" s="328"/>
      <c r="Y159" s="331"/>
      <c r="Z159" s="328"/>
      <c r="AA159" s="331"/>
      <c r="AB159" s="328"/>
      <c r="AC159" s="331"/>
      <c r="AD159" s="328"/>
      <c r="AE159" s="331"/>
      <c r="AF159" s="328"/>
      <c r="AG159" s="331"/>
      <c r="AH159" s="328"/>
      <c r="AI159" s="331"/>
      <c r="AJ159" s="328"/>
      <c r="AK159" s="331"/>
      <c r="AL159" s="328"/>
      <c r="AM159" s="331"/>
      <c r="AN159" s="328"/>
      <c r="AO159" s="331"/>
      <c r="AP159" s="328"/>
      <c r="AQ159" s="331"/>
      <c r="AR159" s="328"/>
      <c r="AS159" s="331"/>
      <c r="AT159" s="328"/>
      <c r="AU159" s="331"/>
      <c r="AV159" s="328"/>
      <c r="AW159" s="331"/>
      <c r="AX159" s="328"/>
      <c r="AY159" s="331"/>
      <c r="AZ159" s="328"/>
      <c r="BA159" s="331"/>
    </row>
    <row r="160" spans="1:54" ht="18" customHeight="1" x14ac:dyDescent="0.2">
      <c r="F160" s="347" t="s">
        <v>244</v>
      </c>
      <c r="G160" s="348"/>
      <c r="I160" s="355"/>
      <c r="J160" s="359"/>
      <c r="K160" s="360"/>
      <c r="L160" s="328"/>
      <c r="M160" s="331"/>
      <c r="N160" s="328"/>
      <c r="O160" s="331"/>
      <c r="P160" s="328"/>
      <c r="Q160" s="331"/>
      <c r="R160" s="328"/>
      <c r="S160" s="331"/>
      <c r="T160" s="328"/>
      <c r="U160" s="331"/>
      <c r="V160" s="328"/>
      <c r="W160" s="331"/>
      <c r="X160" s="328"/>
      <c r="Y160" s="331"/>
      <c r="Z160" s="328"/>
      <c r="AA160" s="331"/>
      <c r="AB160" s="328"/>
      <c r="AC160" s="331"/>
      <c r="AD160" s="328"/>
      <c r="AE160" s="331"/>
      <c r="AF160" s="328"/>
      <c r="AG160" s="331"/>
      <c r="AH160" s="328"/>
      <c r="AI160" s="331"/>
      <c r="AJ160" s="328"/>
      <c r="AK160" s="331"/>
      <c r="AL160" s="328"/>
      <c r="AM160" s="331"/>
      <c r="AN160" s="328"/>
      <c r="AO160" s="331"/>
      <c r="AP160" s="328"/>
      <c r="AQ160" s="331"/>
      <c r="AR160" s="328"/>
      <c r="AS160" s="331"/>
      <c r="AT160" s="328"/>
      <c r="AU160" s="331"/>
      <c r="AV160" s="328"/>
      <c r="AW160" s="331"/>
      <c r="AX160" s="328"/>
      <c r="AY160" s="331"/>
      <c r="AZ160" s="328"/>
      <c r="BA160" s="331"/>
    </row>
    <row r="161" spans="6:53" ht="18" customHeight="1" x14ac:dyDescent="0.2">
      <c r="F161" s="347"/>
      <c r="G161" s="348"/>
      <c r="I161" s="355"/>
      <c r="J161" s="359"/>
      <c r="K161" s="360"/>
      <c r="L161" s="329"/>
      <c r="M161" s="331"/>
      <c r="N161" s="329"/>
      <c r="O161" s="331"/>
      <c r="P161" s="329"/>
      <c r="Q161" s="331"/>
      <c r="R161" s="329"/>
      <c r="S161" s="331"/>
      <c r="T161" s="329"/>
      <c r="U161" s="331"/>
      <c r="V161" s="329"/>
      <c r="W161" s="331"/>
      <c r="X161" s="329"/>
      <c r="Y161" s="331"/>
      <c r="Z161" s="329"/>
      <c r="AA161" s="331"/>
      <c r="AB161" s="329"/>
      <c r="AC161" s="331"/>
      <c r="AD161" s="329"/>
      <c r="AE161" s="331"/>
      <c r="AF161" s="329"/>
      <c r="AG161" s="331"/>
      <c r="AH161" s="329"/>
      <c r="AI161" s="331"/>
      <c r="AJ161" s="329"/>
      <c r="AK161" s="331"/>
      <c r="AL161" s="329"/>
      <c r="AM161" s="331"/>
      <c r="AN161" s="329"/>
      <c r="AO161" s="331"/>
      <c r="AP161" s="329"/>
      <c r="AQ161" s="331"/>
      <c r="AR161" s="329"/>
      <c r="AS161" s="331"/>
      <c r="AT161" s="329"/>
      <c r="AU161" s="331"/>
      <c r="AV161" s="329"/>
      <c r="AW161" s="331"/>
      <c r="AX161" s="329"/>
      <c r="AY161" s="331"/>
      <c r="AZ161" s="329"/>
      <c r="BA161" s="331"/>
    </row>
    <row r="162" spans="6:53" ht="18" customHeight="1" x14ac:dyDescent="0.2">
      <c r="F162" s="347"/>
      <c r="G162" s="348"/>
      <c r="I162" s="355"/>
      <c r="J162" s="359"/>
      <c r="K162" s="360"/>
      <c r="L162" s="353" t="s">
        <v>234</v>
      </c>
      <c r="M162" s="333"/>
      <c r="N162" s="351" t="s">
        <v>160</v>
      </c>
      <c r="O162" s="333"/>
      <c r="P162" s="353" t="s">
        <v>236</v>
      </c>
      <c r="Q162" s="333"/>
      <c r="R162" s="351" t="s">
        <v>171</v>
      </c>
      <c r="S162" s="333"/>
      <c r="T162" s="351" t="s">
        <v>164</v>
      </c>
      <c r="U162" s="333"/>
      <c r="V162" s="332" t="s">
        <v>207</v>
      </c>
      <c r="W162" s="333"/>
      <c r="X162" s="351" t="s">
        <v>172</v>
      </c>
      <c r="Y162" s="333"/>
      <c r="Z162" s="351" t="s">
        <v>170</v>
      </c>
      <c r="AA162" s="333"/>
      <c r="AB162" s="351" t="s">
        <v>173</v>
      </c>
      <c r="AC162" s="333"/>
      <c r="AD162" s="351" t="s">
        <v>161</v>
      </c>
      <c r="AE162" s="333"/>
      <c r="AF162" s="332" t="s">
        <v>371</v>
      </c>
      <c r="AG162" s="333"/>
      <c r="AH162" s="351" t="s">
        <v>157</v>
      </c>
      <c r="AI162" s="333"/>
      <c r="AJ162" s="353" t="s">
        <v>233</v>
      </c>
      <c r="AK162" s="333"/>
      <c r="AL162" s="351" t="s">
        <v>163</v>
      </c>
      <c r="AM162" s="333"/>
      <c r="AN162" s="351" t="s">
        <v>206</v>
      </c>
      <c r="AO162" s="333"/>
      <c r="AP162" s="351" t="s">
        <v>158</v>
      </c>
      <c r="AQ162" s="333"/>
      <c r="AR162" s="353" t="s">
        <v>235</v>
      </c>
      <c r="AS162" s="333"/>
      <c r="AT162" s="351" t="s">
        <v>159</v>
      </c>
      <c r="AU162" s="333"/>
      <c r="AV162" s="351" t="s">
        <v>205</v>
      </c>
      <c r="AW162" s="333"/>
      <c r="AX162" s="351" t="s">
        <v>204</v>
      </c>
      <c r="AY162" s="333"/>
      <c r="AZ162" s="351" t="s">
        <v>201</v>
      </c>
      <c r="BA162" s="333"/>
    </row>
    <row r="163" spans="6:53" ht="18" customHeight="1" x14ac:dyDescent="0.2">
      <c r="F163" s="347"/>
      <c r="G163" s="348"/>
      <c r="I163" s="355"/>
      <c r="J163" s="359"/>
      <c r="K163" s="360"/>
      <c r="L163" s="340"/>
      <c r="M163" s="335"/>
      <c r="N163" s="340"/>
      <c r="O163" s="335"/>
      <c r="P163" s="340"/>
      <c r="Q163" s="335"/>
      <c r="R163" s="340"/>
      <c r="S163" s="335"/>
      <c r="T163" s="340"/>
      <c r="U163" s="335"/>
      <c r="V163" s="334"/>
      <c r="W163" s="335"/>
      <c r="X163" s="340"/>
      <c r="Y163" s="335"/>
      <c r="Z163" s="340"/>
      <c r="AA163" s="335"/>
      <c r="AB163" s="340"/>
      <c r="AC163" s="335"/>
      <c r="AD163" s="340"/>
      <c r="AE163" s="335"/>
      <c r="AF163" s="334"/>
      <c r="AG163" s="335"/>
      <c r="AH163" s="340"/>
      <c r="AI163" s="335"/>
      <c r="AJ163" s="340"/>
      <c r="AK163" s="335"/>
      <c r="AL163" s="340"/>
      <c r="AM163" s="335"/>
      <c r="AN163" s="340"/>
      <c r="AO163" s="335"/>
      <c r="AP163" s="340"/>
      <c r="AQ163" s="335"/>
      <c r="AR163" s="340"/>
      <c r="AS163" s="335"/>
      <c r="AT163" s="340"/>
      <c r="AU163" s="335"/>
      <c r="AV163" s="340"/>
      <c r="AW163" s="335"/>
      <c r="AX163" s="340"/>
      <c r="AY163" s="335"/>
      <c r="AZ163" s="340"/>
      <c r="BA163" s="335"/>
    </row>
    <row r="164" spans="6:53" ht="18" customHeight="1" thickBot="1" x14ac:dyDescent="0.25">
      <c r="F164" s="347"/>
      <c r="G164" s="348"/>
      <c r="I164" s="355"/>
      <c r="J164" s="359"/>
      <c r="K164" s="360"/>
      <c r="L164" s="352"/>
      <c r="M164" s="337"/>
      <c r="N164" s="352"/>
      <c r="O164" s="337"/>
      <c r="P164" s="352"/>
      <c r="Q164" s="337"/>
      <c r="R164" s="352"/>
      <c r="S164" s="337"/>
      <c r="T164" s="352"/>
      <c r="U164" s="337"/>
      <c r="V164" s="336"/>
      <c r="W164" s="337"/>
      <c r="X164" s="352"/>
      <c r="Y164" s="337"/>
      <c r="Z164" s="352"/>
      <c r="AA164" s="337"/>
      <c r="AB164" s="352"/>
      <c r="AC164" s="337"/>
      <c r="AD164" s="352"/>
      <c r="AE164" s="337"/>
      <c r="AF164" s="336"/>
      <c r="AG164" s="337"/>
      <c r="AH164" s="352"/>
      <c r="AI164" s="337"/>
      <c r="AJ164" s="352"/>
      <c r="AK164" s="337"/>
      <c r="AL164" s="352"/>
      <c r="AM164" s="337"/>
      <c r="AN164" s="352"/>
      <c r="AO164" s="337"/>
      <c r="AP164" s="352"/>
      <c r="AQ164" s="337"/>
      <c r="AR164" s="352"/>
      <c r="AS164" s="337"/>
      <c r="AT164" s="352"/>
      <c r="AU164" s="337"/>
      <c r="AV164" s="352"/>
      <c r="AW164" s="337"/>
      <c r="AX164" s="352"/>
      <c r="AY164" s="337"/>
      <c r="AZ164" s="352"/>
      <c r="BA164" s="337"/>
    </row>
    <row r="165" spans="6:53" ht="20" customHeight="1" thickBot="1" x14ac:dyDescent="0.3">
      <c r="F165" s="349"/>
      <c r="G165" s="350"/>
      <c r="I165" s="356"/>
      <c r="J165" s="361"/>
      <c r="K165" s="362"/>
      <c r="L165" s="317" t="s">
        <v>162</v>
      </c>
      <c r="M165" s="318"/>
      <c r="N165" s="318"/>
      <c r="O165" s="318"/>
      <c r="P165" s="318"/>
      <c r="Q165" s="318"/>
      <c r="R165" s="318"/>
      <c r="S165" s="318"/>
      <c r="T165" s="318"/>
      <c r="U165" s="318"/>
      <c r="V165" s="318"/>
      <c r="W165" s="318"/>
      <c r="X165" s="318"/>
      <c r="Y165" s="318"/>
      <c r="Z165" s="318"/>
      <c r="AA165" s="318"/>
      <c r="AB165" s="318"/>
      <c r="AC165" s="318"/>
      <c r="AD165" s="318"/>
      <c r="AE165" s="318"/>
      <c r="AF165" s="318"/>
      <c r="AG165" s="318"/>
      <c r="AH165" s="318"/>
      <c r="AI165" s="318"/>
      <c r="AJ165" s="318"/>
      <c r="AK165" s="318"/>
      <c r="AL165" s="318"/>
      <c r="AM165" s="318"/>
      <c r="AN165" s="318"/>
      <c r="AO165" s="318"/>
      <c r="AP165" s="318"/>
      <c r="AQ165" s="318"/>
      <c r="AR165" s="318"/>
      <c r="AS165" s="318"/>
      <c r="AT165" s="318"/>
      <c r="AU165" s="318"/>
      <c r="AV165" s="318"/>
      <c r="AW165" s="318"/>
      <c r="AX165" s="318"/>
      <c r="AY165" s="318"/>
      <c r="AZ165" s="318"/>
      <c r="BA165" s="319"/>
    </row>
    <row r="166" spans="6:53" x14ac:dyDescent="0.2">
      <c r="I166" s="110" t="s">
        <v>456</v>
      </c>
    </row>
    <row r="167" spans="6:53" x14ac:dyDescent="0.2">
      <c r="I167" s="111"/>
    </row>
  </sheetData>
  <mergeCells count="140">
    <mergeCell ref="A7:A10"/>
    <mergeCell ref="L165:BA165"/>
    <mergeCell ref="AL162:AM164"/>
    <mergeCell ref="AJ162:AK164"/>
    <mergeCell ref="AB162:AC164"/>
    <mergeCell ref="R162:S164"/>
    <mergeCell ref="N162:O164"/>
    <mergeCell ref="AD162:AE164"/>
    <mergeCell ref="X162:Y164"/>
    <mergeCell ref="AR162:AS164"/>
    <mergeCell ref="AV162:AW164"/>
    <mergeCell ref="P162:Q164"/>
    <mergeCell ref="Z162:AA164"/>
    <mergeCell ref="AX162:AY164"/>
    <mergeCell ref="F160:G165"/>
    <mergeCell ref="AH162:AI164"/>
    <mergeCell ref="AN162:AO164"/>
    <mergeCell ref="AT162:AU164"/>
    <mergeCell ref="AP162:AQ164"/>
    <mergeCell ref="AZ162:BA164"/>
    <mergeCell ref="T162:U164"/>
    <mergeCell ref="L162:M164"/>
    <mergeCell ref="N157:N161"/>
    <mergeCell ref="O157:O161"/>
    <mergeCell ref="AD157:AD161"/>
    <mergeCell ref="AE157:AE161"/>
    <mergeCell ref="V157:V161"/>
    <mergeCell ref="W157:W161"/>
    <mergeCell ref="AJ157:AJ161"/>
    <mergeCell ref="AK157:AK161"/>
    <mergeCell ref="AB157:AB161"/>
    <mergeCell ref="AC157:AC161"/>
    <mergeCell ref="R157:R161"/>
    <mergeCell ref="S157:S161"/>
    <mergeCell ref="Z157:Z161"/>
    <mergeCell ref="AA157:AA161"/>
    <mergeCell ref="V162:W164"/>
    <mergeCell ref="AF162:AG164"/>
    <mergeCell ref="L157:L161"/>
    <mergeCell ref="M157:M161"/>
    <mergeCell ref="X157:X161"/>
    <mergeCell ref="Y157:Y161"/>
    <mergeCell ref="AT157:AT161"/>
    <mergeCell ref="AU157:AU161"/>
    <mergeCell ref="AP157:AP161"/>
    <mergeCell ref="AQ157:AQ161"/>
    <mergeCell ref="AZ157:AZ161"/>
    <mergeCell ref="AX157:AX161"/>
    <mergeCell ref="AY157:AY161"/>
    <mergeCell ref="AL157:AL161"/>
    <mergeCell ref="AM157:AM161"/>
    <mergeCell ref="AR157:AR161"/>
    <mergeCell ref="AS157:AS161"/>
    <mergeCell ref="AV157:AV161"/>
    <mergeCell ref="AW157:AW161"/>
    <mergeCell ref="P157:P161"/>
    <mergeCell ref="Q157:Q161"/>
    <mergeCell ref="AF157:AF161"/>
    <mergeCell ref="AG157:AG161"/>
    <mergeCell ref="T157:T161"/>
    <mergeCell ref="U157:U161"/>
    <mergeCell ref="BA157:BA161"/>
    <mergeCell ref="AF6:AF10"/>
    <mergeCell ref="AG6:AG10"/>
    <mergeCell ref="B7:B10"/>
    <mergeCell ref="C7:C10"/>
    <mergeCell ref="I157:I165"/>
    <mergeCell ref="J157:K165"/>
    <mergeCell ref="AH157:AH161"/>
    <mergeCell ref="AI157:AI161"/>
    <mergeCell ref="AN157:AN161"/>
    <mergeCell ref="AO157:AO161"/>
    <mergeCell ref="N6:N10"/>
    <mergeCell ref="O6:O10"/>
    <mergeCell ref="AD6:AD10"/>
    <mergeCell ref="AE6:AE10"/>
    <mergeCell ref="V6:V10"/>
    <mergeCell ref="W6:W10"/>
    <mergeCell ref="AJ6:AJ10"/>
    <mergeCell ref="AK6:AK10"/>
    <mergeCell ref="AB6:AB10"/>
    <mergeCell ref="AC6:AC10"/>
    <mergeCell ref="R6:R10"/>
    <mergeCell ref="S6:S10"/>
    <mergeCell ref="AX6:AX10"/>
    <mergeCell ref="AY6:AY10"/>
    <mergeCell ref="AL6:AL10"/>
    <mergeCell ref="AM6:AM10"/>
    <mergeCell ref="AR6:AR10"/>
    <mergeCell ref="AS6:AS10"/>
    <mergeCell ref="AV6:AV10"/>
    <mergeCell ref="AW6:AW10"/>
    <mergeCell ref="AU6:AU10"/>
    <mergeCell ref="P6:P10"/>
    <mergeCell ref="Q6:Q10"/>
    <mergeCell ref="T6:T10"/>
    <mergeCell ref="U6:U10"/>
    <mergeCell ref="L6:L10"/>
    <mergeCell ref="M6:M10"/>
    <mergeCell ref="X6:X10"/>
    <mergeCell ref="Y6:Y10"/>
    <mergeCell ref="AT6:AT10"/>
    <mergeCell ref="AP6:AP10"/>
    <mergeCell ref="AQ6:AQ10"/>
    <mergeCell ref="Z6:Z10"/>
    <mergeCell ref="AA6:AA10"/>
    <mergeCell ref="AZ6:AZ10"/>
    <mergeCell ref="BA6:BA10"/>
    <mergeCell ref="AF3:AG5"/>
    <mergeCell ref="E5:E7"/>
    <mergeCell ref="H6:H10"/>
    <mergeCell ref="I6:I10"/>
    <mergeCell ref="J6:J10"/>
    <mergeCell ref="K6:K10"/>
    <mergeCell ref="AH6:AH10"/>
    <mergeCell ref="AI6:AI10"/>
    <mergeCell ref="AN6:AN10"/>
    <mergeCell ref="AO6:AO10"/>
    <mergeCell ref="AJ3:AK5"/>
    <mergeCell ref="AB3:AC5"/>
    <mergeCell ref="R3:S5"/>
    <mergeCell ref="N3:O5"/>
    <mergeCell ref="AD3:AE5"/>
    <mergeCell ref="V3:W5"/>
    <mergeCell ref="AR3:AS5"/>
    <mergeCell ref="AV3:AW5"/>
    <mergeCell ref="P3:Q5"/>
    <mergeCell ref="Z3:AA5"/>
    <mergeCell ref="AX3:AY5"/>
    <mergeCell ref="AL3:AM5"/>
    <mergeCell ref="L2:BA2"/>
    <mergeCell ref="E3:E4"/>
    <mergeCell ref="AH3:AI5"/>
    <mergeCell ref="AN3:AO5"/>
    <mergeCell ref="AT3:AU5"/>
    <mergeCell ref="AP3:AQ5"/>
    <mergeCell ref="AZ3:BA5"/>
    <mergeCell ref="T3:U5"/>
    <mergeCell ref="L3:M5"/>
    <mergeCell ref="X3:Y5"/>
  </mergeCells>
  <pageMargins left="0.7" right="0.7" top="0.75" bottom="0.75" header="0.3" footer="0.3"/>
  <ignoredErrors>
    <ignoredError sqref="K53 J145:J149 J138:J143 J132:J134 J124:J125 J118:J122 J116 J111:J114 J107:J109 J105 J102 J100 J98 J95 J89:J93 J85:J87 J83 J80:J81 J77:J78 J58:J67 J54:J56 J44 J32:J36 J39:J40 J30 J17:J18 J127:J129 J74:J75 J46:J49 J14 J22:J28 J151:J152 J53 J69:J72 J1:J13 J73 J57 J153:J154 J29 J15:J16 J50:J52 J76 J130:J131 J19:J21 J31 J41:J43 J37:J38 J45 J68 J79 J82 J84 J88 J94 J96:J97 J99 J101 J103:J104 J106 J110 J115 J117 J123 J126 J135:J137 J144 J150" numberStoredAsText="1"/>
    <ignoredError sqref="M155:BA156" formula="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30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6.83203125" style="21" customWidth="1"/>
    <col min="55" max="16384" width="10.83203125" style="21"/>
  </cols>
  <sheetData>
    <row r="1" spans="1:54" ht="17" thickBot="1" x14ac:dyDescent="0.25"/>
    <row r="2" spans="1:54" ht="20" thickBot="1" x14ac:dyDescent="0.3">
      <c r="A2" s="47"/>
      <c r="B2" s="47"/>
      <c r="L2" s="314" t="s">
        <v>390</v>
      </c>
      <c r="M2" s="315"/>
      <c r="N2" s="315"/>
      <c r="O2" s="315"/>
      <c r="P2" s="315"/>
      <c r="Q2" s="315"/>
      <c r="R2" s="315"/>
      <c r="S2" s="315"/>
      <c r="T2" s="315"/>
      <c r="U2" s="315"/>
      <c r="V2" s="315"/>
      <c r="W2" s="315"/>
      <c r="X2" s="315"/>
      <c r="Y2" s="315"/>
      <c r="Z2" s="315"/>
      <c r="AA2" s="315"/>
      <c r="AB2" s="315"/>
      <c r="AC2" s="315"/>
      <c r="AD2" s="315"/>
      <c r="AE2" s="316"/>
      <c r="AF2" s="21"/>
      <c r="AG2" s="21"/>
      <c r="AH2" s="21"/>
      <c r="AI2" s="21"/>
      <c r="AJ2" s="21"/>
      <c r="AK2" s="21"/>
      <c r="AL2" s="21"/>
      <c r="AM2" s="21"/>
      <c r="AN2" s="21"/>
      <c r="AO2" s="21"/>
      <c r="AP2" s="21"/>
      <c r="AQ2" s="21"/>
      <c r="AR2" s="21"/>
      <c r="AS2" s="21"/>
      <c r="AT2" s="21"/>
      <c r="AU2" s="21"/>
      <c r="AV2" s="21"/>
      <c r="AW2" s="21"/>
      <c r="AX2" s="21"/>
      <c r="AY2" s="21"/>
      <c r="AZ2" s="21"/>
      <c r="BA2" s="21"/>
    </row>
    <row r="3" spans="1:54" ht="16" customHeight="1" x14ac:dyDescent="0.2">
      <c r="E3" s="374" t="s">
        <v>391</v>
      </c>
      <c r="L3" s="320" t="s">
        <v>234</v>
      </c>
      <c r="M3" s="339"/>
      <c r="N3" s="338" t="s">
        <v>160</v>
      </c>
      <c r="O3" s="339"/>
      <c r="P3" s="320" t="s">
        <v>236</v>
      </c>
      <c r="Q3" s="339"/>
      <c r="R3" s="338" t="s">
        <v>171</v>
      </c>
      <c r="S3" s="339"/>
      <c r="T3" s="338" t="s">
        <v>164</v>
      </c>
      <c r="U3" s="339"/>
      <c r="V3" s="343" t="s">
        <v>207</v>
      </c>
      <c r="W3" s="339"/>
      <c r="X3" s="338" t="s">
        <v>172</v>
      </c>
      <c r="Y3" s="339"/>
      <c r="Z3" s="338" t="s">
        <v>170</v>
      </c>
      <c r="AA3" s="339"/>
      <c r="AB3" s="338" t="s">
        <v>173</v>
      </c>
      <c r="AC3" s="339"/>
      <c r="AD3" s="338" t="s">
        <v>161</v>
      </c>
      <c r="AE3" s="339"/>
      <c r="AF3" s="21"/>
      <c r="AG3" s="21"/>
      <c r="AH3" s="21"/>
      <c r="AI3" s="21"/>
      <c r="AJ3" s="21"/>
      <c r="AK3" s="21"/>
      <c r="AL3" s="21"/>
      <c r="AM3" s="21"/>
      <c r="AN3" s="21"/>
      <c r="AO3" s="21"/>
      <c r="AP3" s="21"/>
      <c r="AQ3" s="21"/>
      <c r="AR3" s="21"/>
      <c r="AS3" s="21"/>
      <c r="AT3" s="21"/>
      <c r="AU3" s="21"/>
      <c r="AV3" s="21"/>
      <c r="AW3" s="21"/>
      <c r="AX3" s="21"/>
      <c r="AY3" s="21"/>
      <c r="AZ3" s="21"/>
      <c r="BA3" s="21"/>
    </row>
    <row r="4" spans="1:54" ht="20" customHeight="1" x14ac:dyDescent="0.2">
      <c r="C4" s="60"/>
      <c r="E4" s="375"/>
      <c r="L4" s="340"/>
      <c r="M4" s="335"/>
      <c r="N4" s="340"/>
      <c r="O4" s="335"/>
      <c r="P4" s="340"/>
      <c r="Q4" s="335"/>
      <c r="R4" s="340"/>
      <c r="S4" s="335"/>
      <c r="T4" s="340"/>
      <c r="U4" s="335"/>
      <c r="V4" s="334"/>
      <c r="W4" s="335"/>
      <c r="X4" s="340"/>
      <c r="Y4" s="335"/>
      <c r="Z4" s="340"/>
      <c r="AA4" s="335"/>
      <c r="AB4" s="340"/>
      <c r="AC4" s="335"/>
      <c r="AD4" s="340"/>
      <c r="AE4" s="335"/>
      <c r="AF4" s="21"/>
      <c r="AG4" s="21"/>
      <c r="AH4" s="21"/>
      <c r="AI4" s="21"/>
      <c r="AJ4" s="21"/>
      <c r="AK4" s="21"/>
      <c r="AL4" s="21"/>
      <c r="AM4" s="21"/>
      <c r="AN4" s="21"/>
      <c r="AO4" s="21"/>
      <c r="AP4" s="21"/>
      <c r="AQ4" s="21"/>
      <c r="AR4" s="21"/>
      <c r="AS4" s="21"/>
      <c r="AT4" s="21"/>
      <c r="AU4" s="21"/>
      <c r="AV4" s="21"/>
      <c r="AW4" s="21"/>
      <c r="AX4" s="21"/>
      <c r="AY4" s="21"/>
      <c r="AZ4" s="21"/>
      <c r="BA4" s="21"/>
    </row>
    <row r="5" spans="1:54" ht="20" customHeight="1" thickBot="1" x14ac:dyDescent="0.25">
      <c r="B5" s="46"/>
      <c r="C5" s="59"/>
      <c r="E5" s="372" t="s">
        <v>555</v>
      </c>
      <c r="J5" s="22"/>
      <c r="K5" s="22"/>
      <c r="L5" s="341"/>
      <c r="M5" s="342"/>
      <c r="N5" s="341"/>
      <c r="O5" s="342"/>
      <c r="P5" s="341"/>
      <c r="Q5" s="342"/>
      <c r="R5" s="341"/>
      <c r="S5" s="342"/>
      <c r="T5" s="341"/>
      <c r="U5" s="342"/>
      <c r="V5" s="344"/>
      <c r="W5" s="342"/>
      <c r="X5" s="341"/>
      <c r="Y5" s="342"/>
      <c r="Z5" s="341"/>
      <c r="AA5" s="342"/>
      <c r="AB5" s="341"/>
      <c r="AC5" s="342"/>
      <c r="AD5" s="341"/>
      <c r="AE5" s="342"/>
      <c r="AF5" s="21"/>
      <c r="AG5" s="21"/>
      <c r="AH5" s="21"/>
      <c r="AI5" s="21"/>
      <c r="AJ5" s="21"/>
      <c r="AK5" s="21"/>
      <c r="AL5" s="21"/>
      <c r="AM5" s="21"/>
      <c r="AN5" s="21"/>
      <c r="AO5" s="21"/>
      <c r="AP5" s="21"/>
      <c r="AQ5" s="21"/>
      <c r="AR5" s="21"/>
      <c r="AS5" s="21"/>
      <c r="AT5" s="21"/>
      <c r="AU5" s="21"/>
      <c r="AV5" s="21"/>
      <c r="AW5" s="21"/>
      <c r="AX5" s="21"/>
      <c r="AY5" s="21"/>
      <c r="AZ5" s="21"/>
      <c r="BA5" s="21"/>
    </row>
    <row r="6" spans="1:54" ht="20" customHeight="1" x14ac:dyDescent="0.2">
      <c r="B6" s="45"/>
      <c r="C6" s="58"/>
      <c r="E6" s="372"/>
      <c r="H6" s="370" t="s">
        <v>24</v>
      </c>
      <c r="I6" s="306" t="s">
        <v>322</v>
      </c>
      <c r="J6" s="376" t="s">
        <v>320</v>
      </c>
      <c r="K6" s="377" t="s">
        <v>321</v>
      </c>
      <c r="L6" s="366" t="s">
        <v>237</v>
      </c>
      <c r="M6" s="327" t="s">
        <v>238</v>
      </c>
      <c r="N6" s="365" t="s">
        <v>237</v>
      </c>
      <c r="O6" s="327" t="s">
        <v>238</v>
      </c>
      <c r="P6" s="365" t="s">
        <v>237</v>
      </c>
      <c r="Q6" s="327" t="s">
        <v>238</v>
      </c>
      <c r="R6" s="365" t="s">
        <v>237</v>
      </c>
      <c r="S6" s="327" t="s">
        <v>238</v>
      </c>
      <c r="T6" s="365" t="s">
        <v>237</v>
      </c>
      <c r="U6" s="327" t="s">
        <v>238</v>
      </c>
      <c r="V6" s="326" t="s">
        <v>237</v>
      </c>
      <c r="W6" s="327" t="s">
        <v>238</v>
      </c>
      <c r="X6" s="367" t="s">
        <v>237</v>
      </c>
      <c r="Y6" s="345" t="s">
        <v>238</v>
      </c>
      <c r="Z6" s="365" t="s">
        <v>237</v>
      </c>
      <c r="AA6" s="327" t="s">
        <v>238</v>
      </c>
      <c r="AB6" s="365" t="s">
        <v>237</v>
      </c>
      <c r="AC6" s="327" t="s">
        <v>238</v>
      </c>
      <c r="AD6" s="363" t="s">
        <v>237</v>
      </c>
      <c r="AE6" s="327" t="s">
        <v>238</v>
      </c>
      <c r="AF6" s="21"/>
      <c r="AG6" s="21"/>
      <c r="AH6" s="21"/>
      <c r="AI6" s="21"/>
      <c r="AJ6" s="21"/>
      <c r="AK6" s="21"/>
      <c r="AL6" s="21"/>
      <c r="AM6" s="21"/>
      <c r="AN6" s="21"/>
      <c r="AO6" s="21"/>
      <c r="AP6" s="21"/>
      <c r="AQ6" s="21"/>
      <c r="AR6" s="21"/>
      <c r="AS6" s="21"/>
      <c r="AT6" s="21"/>
      <c r="AU6" s="21"/>
      <c r="AV6" s="21"/>
      <c r="AW6" s="21"/>
      <c r="AX6" s="21"/>
      <c r="AY6" s="21"/>
      <c r="AZ6" s="21"/>
      <c r="BA6" s="21"/>
    </row>
    <row r="7" spans="1:54" ht="23" customHeight="1" thickBot="1" x14ac:dyDescent="0.25">
      <c r="A7" s="370" t="s">
        <v>597</v>
      </c>
      <c r="B7" s="370" t="s">
        <v>245</v>
      </c>
      <c r="C7" s="371" t="s">
        <v>479</v>
      </c>
      <c r="E7" s="373"/>
      <c r="H7" s="370"/>
      <c r="I7" s="293"/>
      <c r="J7" s="294"/>
      <c r="K7" s="295"/>
      <c r="L7" s="366"/>
      <c r="M7" s="327"/>
      <c r="N7" s="365"/>
      <c r="O7" s="327"/>
      <c r="P7" s="365"/>
      <c r="Q7" s="327"/>
      <c r="R7" s="365"/>
      <c r="S7" s="327"/>
      <c r="T7" s="365"/>
      <c r="U7" s="327"/>
      <c r="V7" s="326"/>
      <c r="W7" s="327"/>
      <c r="X7" s="368"/>
      <c r="Y7" s="346"/>
      <c r="Z7" s="365"/>
      <c r="AA7" s="327"/>
      <c r="AB7" s="365"/>
      <c r="AC7" s="327"/>
      <c r="AD7" s="364"/>
      <c r="AE7" s="327"/>
      <c r="AF7" s="21"/>
      <c r="AG7" s="21"/>
      <c r="AH7" s="21"/>
      <c r="AI7" s="21"/>
      <c r="AJ7" s="21"/>
      <c r="AK7" s="21"/>
      <c r="AL7" s="21"/>
      <c r="AM7" s="21"/>
      <c r="AN7" s="21"/>
      <c r="AO7" s="21"/>
      <c r="AP7" s="21"/>
      <c r="AQ7" s="21"/>
      <c r="AR7" s="21"/>
      <c r="AS7" s="21"/>
      <c r="AT7" s="21"/>
      <c r="AU7" s="21"/>
      <c r="AV7" s="21"/>
      <c r="AW7" s="21"/>
      <c r="AX7" s="21"/>
      <c r="AY7" s="21"/>
      <c r="AZ7" s="21"/>
      <c r="BA7" s="21"/>
    </row>
    <row r="8" spans="1:54" ht="23" customHeight="1" x14ac:dyDescent="0.2">
      <c r="A8" s="370"/>
      <c r="B8" s="370"/>
      <c r="C8" s="371"/>
      <c r="H8" s="370"/>
      <c r="I8" s="293"/>
      <c r="J8" s="294"/>
      <c r="K8" s="295"/>
      <c r="L8" s="366"/>
      <c r="M8" s="327"/>
      <c r="N8" s="365"/>
      <c r="O8" s="327"/>
      <c r="P8" s="365"/>
      <c r="Q8" s="327"/>
      <c r="R8" s="365"/>
      <c r="S8" s="327"/>
      <c r="T8" s="365"/>
      <c r="U8" s="327"/>
      <c r="V8" s="326"/>
      <c r="W8" s="327"/>
      <c r="X8" s="368"/>
      <c r="Y8" s="346"/>
      <c r="Z8" s="365"/>
      <c r="AA8" s="327"/>
      <c r="AB8" s="365"/>
      <c r="AC8" s="327"/>
      <c r="AD8" s="364"/>
      <c r="AE8" s="327"/>
      <c r="AF8" s="21"/>
      <c r="AG8" s="21"/>
      <c r="AH8" s="21"/>
      <c r="AI8" s="21"/>
      <c r="AJ8" s="21"/>
      <c r="AK8" s="21"/>
      <c r="AL8" s="21"/>
      <c r="AM8" s="21"/>
      <c r="AN8" s="21"/>
      <c r="AO8" s="21"/>
      <c r="AP8" s="21"/>
      <c r="AQ8" s="21"/>
      <c r="AR8" s="21"/>
      <c r="AS8" s="21"/>
      <c r="AT8" s="21"/>
      <c r="AU8" s="21"/>
      <c r="AV8" s="21"/>
      <c r="AW8" s="21"/>
      <c r="AX8" s="21"/>
      <c r="AY8" s="21"/>
      <c r="AZ8" s="21"/>
      <c r="BA8" s="21"/>
    </row>
    <row r="9" spans="1:54" ht="23" customHeight="1" x14ac:dyDescent="0.2">
      <c r="A9" s="370"/>
      <c r="B9" s="370"/>
      <c r="C9" s="371"/>
      <c r="H9" s="370"/>
      <c r="I9" s="293"/>
      <c r="J9" s="294"/>
      <c r="K9" s="295"/>
      <c r="L9" s="366"/>
      <c r="M9" s="327"/>
      <c r="N9" s="365"/>
      <c r="O9" s="327"/>
      <c r="P9" s="365"/>
      <c r="Q9" s="327"/>
      <c r="R9" s="365"/>
      <c r="S9" s="327"/>
      <c r="T9" s="365"/>
      <c r="U9" s="327"/>
      <c r="V9" s="326"/>
      <c r="W9" s="327"/>
      <c r="X9" s="368"/>
      <c r="Y9" s="346"/>
      <c r="Z9" s="365"/>
      <c r="AA9" s="327"/>
      <c r="AB9" s="365"/>
      <c r="AC9" s="327"/>
      <c r="AD9" s="364"/>
      <c r="AE9" s="327"/>
      <c r="AF9" s="21"/>
      <c r="AG9" s="21"/>
      <c r="AH9" s="21"/>
      <c r="AI9" s="21"/>
      <c r="AJ9" s="21"/>
      <c r="AK9" s="21"/>
      <c r="AL9" s="21"/>
      <c r="AM9" s="21"/>
      <c r="AN9" s="21"/>
      <c r="AO9" s="21"/>
      <c r="AP9" s="21"/>
      <c r="AQ9" s="21"/>
      <c r="AR9" s="21"/>
      <c r="AS9" s="21"/>
      <c r="AT9" s="21"/>
      <c r="AU9" s="21"/>
      <c r="AV9" s="21"/>
      <c r="AW9" s="21"/>
      <c r="AX9" s="21"/>
      <c r="AY9" s="21"/>
      <c r="AZ9" s="21"/>
      <c r="BA9" s="21"/>
    </row>
    <row r="10" spans="1:54" s="20" customFormat="1" ht="23" customHeight="1" thickBot="1" x14ac:dyDescent="0.25">
      <c r="A10" s="370"/>
      <c r="B10" s="370"/>
      <c r="C10" s="371"/>
      <c r="D10" s="706" t="s">
        <v>20</v>
      </c>
      <c r="E10" s="174" t="s">
        <v>21</v>
      </c>
      <c r="F10" s="174" t="s">
        <v>22</v>
      </c>
      <c r="G10" s="706" t="s">
        <v>23</v>
      </c>
      <c r="H10" s="370"/>
      <c r="I10" s="293"/>
      <c r="J10" s="294"/>
      <c r="K10" s="295"/>
      <c r="L10" s="367"/>
      <c r="M10" s="345"/>
      <c r="N10" s="363"/>
      <c r="O10" s="345"/>
      <c r="P10" s="363"/>
      <c r="Q10" s="345"/>
      <c r="R10" s="363"/>
      <c r="S10" s="345"/>
      <c r="T10" s="363"/>
      <c r="U10" s="345"/>
      <c r="V10" s="707"/>
      <c r="W10" s="345"/>
      <c r="X10" s="368"/>
      <c r="Y10" s="346"/>
      <c r="Z10" s="363"/>
      <c r="AA10" s="345"/>
      <c r="AB10" s="363"/>
      <c r="AC10" s="345"/>
      <c r="AD10" s="364"/>
      <c r="AE10" s="345"/>
      <c r="AF10" s="708" t="s">
        <v>25</v>
      </c>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row>
    <row r="11" spans="1:54" s="20" customFormat="1" ht="20" customHeight="1" x14ac:dyDescent="0.2">
      <c r="A11" s="717"/>
      <c r="B11" s="718"/>
      <c r="C11" s="262"/>
      <c r="D11" s="719" t="s">
        <v>85</v>
      </c>
      <c r="E11" s="720" t="s">
        <v>246</v>
      </c>
      <c r="F11" s="720" t="s">
        <v>247</v>
      </c>
      <c r="G11" s="719">
        <v>2015</v>
      </c>
      <c r="H11" s="286"/>
      <c r="I11" s="709">
        <v>40</v>
      </c>
      <c r="J11" s="710" t="s">
        <v>323</v>
      </c>
      <c r="K11" s="711" t="s">
        <v>324</v>
      </c>
      <c r="L11" s="712"/>
      <c r="M11" s="713" t="str">
        <f t="shared" ref="M11:M56" si="0">IF((ISERROR((L11/$I11)*100)), "", IF(AND(NOT(ISERROR((L11/$I11)*100)),((L11/$I11)*100) &lt;&gt; 0), (L11/$I11)*100, ""))</f>
        <v/>
      </c>
      <c r="N11" s="714"/>
      <c r="O11" s="713" t="str">
        <f t="shared" ref="O11:O56" si="1">IF((ISERROR((N11/$I11)*100)), "", IF(AND(NOT(ISERROR((N11/$I11)*100)),((N11/$I11)*100) &lt;&gt; 0), (N11/$I11)*100, ""))</f>
        <v/>
      </c>
      <c r="P11" s="714"/>
      <c r="Q11" s="713" t="str">
        <f t="shared" ref="Q11:Q56" si="2">IF((ISERROR((P11/$I11)*100)), "", IF(AND(NOT(ISERROR((P11/$I11)*100)),((P11/$I11)*100) &lt;&gt; 0), (P11/$I11)*100, ""))</f>
        <v/>
      </c>
      <c r="R11" s="714"/>
      <c r="S11" s="713" t="str">
        <f t="shared" ref="S11:S56" si="3">IF((ISERROR((R11/$I11)*100)), "", IF(AND(NOT(ISERROR((R11/$I11)*100)),((R11/$I11)*100) &lt;&gt; 0), (R11/$I11)*100, ""))</f>
        <v/>
      </c>
      <c r="T11" s="714"/>
      <c r="U11" s="713" t="str">
        <f t="shared" ref="U11:Y56" si="4">IF((ISERROR((T11/$I11)*100)), "", IF(AND(NOT(ISERROR((T11/$I11)*100)),((T11/$I11)*100) &lt;&gt; 0), (T11/$I11)*100, ""))</f>
        <v/>
      </c>
      <c r="V11" s="715"/>
      <c r="W11" s="716" t="str">
        <f t="shared" ref="W11:W56" si="5">IF((ISERROR((V11/$I11)*100)), "", IF(AND(NOT(ISERROR((V11/$I11)*100)),((V11/$I11)*100) &lt;&gt; 0), (V11/$I11)*100, ""))</f>
        <v/>
      </c>
      <c r="X11" s="712"/>
      <c r="Y11" s="713" t="str">
        <f>IF((ISERROR((X11/$I11)*100)), "", IF(AND(NOT(ISERROR((X11/$I11)*100)),((X11/$I11)*100) &lt;&gt; 0), (X11/$I11)*100, ""))</f>
        <v/>
      </c>
      <c r="Z11" s="714"/>
      <c r="AA11" s="713" t="str">
        <f>IF((ISERROR((Z11/$I11)*100)), "", IF(AND(NOT(ISERROR((Z11/$I11)*100)),((Z11/$I11)*100) &lt;&gt; 0), (Z11/$I11)*100, ""))</f>
        <v/>
      </c>
      <c r="AB11" s="714"/>
      <c r="AC11" s="713" t="str">
        <f>IF((ISERROR((AB11/$I11)*100)), "", IF(AND(NOT(ISERROR((AB11/$I11)*100)),((AB11/$I11)*100) &lt;&gt; 0), (AB11/$I11)*100, ""))</f>
        <v/>
      </c>
      <c r="AD11" s="714"/>
      <c r="AE11" s="713" t="str">
        <f>IF((ISERROR((AD11/$I11)*100)), "", IF(AND(NOT(ISERROR((AD11/$I11)*100)),((AD11/$I11)*100) &lt;&gt; 0), (AD11/$I11)*100, ""))</f>
        <v/>
      </c>
      <c r="AF11" s="47" t="s">
        <v>325</v>
      </c>
      <c r="AG11" s="174"/>
      <c r="AH11" s="174"/>
      <c r="AI11" s="174"/>
      <c r="AJ11" s="174"/>
      <c r="AK11" s="174"/>
      <c r="AL11" s="174"/>
      <c r="AM11" s="174"/>
      <c r="AN11" s="174"/>
      <c r="AO11" s="174"/>
      <c r="AP11" s="174"/>
      <c r="AQ11" s="174"/>
      <c r="AR11" s="174"/>
      <c r="AS11" s="174"/>
      <c r="AT11" s="174"/>
      <c r="AU11" s="174"/>
      <c r="AV11" s="174"/>
      <c r="AW11" s="174"/>
      <c r="AX11" s="174"/>
      <c r="AY11" s="174"/>
      <c r="AZ11" s="174"/>
      <c r="BA11" s="174"/>
      <c r="BB11" s="174"/>
    </row>
    <row r="12" spans="1:54" ht="20" customHeight="1" x14ac:dyDescent="0.2">
      <c r="A12" s="678"/>
      <c r="B12" s="721"/>
      <c r="C12" s="255"/>
      <c r="D12" s="722" t="s">
        <v>85</v>
      </c>
      <c r="E12" s="723" t="s">
        <v>26</v>
      </c>
      <c r="F12" s="723" t="s">
        <v>27</v>
      </c>
      <c r="G12" s="722">
        <v>2008</v>
      </c>
      <c r="H12" s="287">
        <v>165</v>
      </c>
      <c r="I12" s="81">
        <v>107</v>
      </c>
      <c r="J12" s="76" t="s">
        <v>165</v>
      </c>
      <c r="K12" s="77"/>
      <c r="L12" s="31"/>
      <c r="M12" s="34" t="str">
        <f t="shared" si="0"/>
        <v/>
      </c>
      <c r="N12" s="31"/>
      <c r="O12" s="34" t="str">
        <f t="shared" si="1"/>
        <v/>
      </c>
      <c r="P12" s="31"/>
      <c r="Q12" s="34" t="str">
        <f t="shared" si="2"/>
        <v/>
      </c>
      <c r="R12" s="31"/>
      <c r="S12" s="34" t="str">
        <f t="shared" si="3"/>
        <v/>
      </c>
      <c r="T12" s="31">
        <v>1</v>
      </c>
      <c r="U12" s="34">
        <f t="shared" si="4"/>
        <v>0.93457943925233633</v>
      </c>
      <c r="V12" s="56">
        <v>1</v>
      </c>
      <c r="W12" s="34">
        <f t="shared" si="5"/>
        <v>0.93457943925233633</v>
      </c>
      <c r="X12" s="31"/>
      <c r="Y12" s="34" t="str">
        <f t="shared" ref="Y12" si="6">IF((ISERROR((X12/$I12)*100)), "", IF(AND(NOT(ISERROR((X12/$I12)*100)),((X12/$I12)*100) &lt;&gt; 0), (X12/$I12)*100, ""))</f>
        <v/>
      </c>
      <c r="Z12" s="50"/>
      <c r="AA12" s="51" t="str">
        <f t="shared" ref="AA12" si="7">IF((ISERROR((Z12/$I12)*100)), "", IF(AND(NOT(ISERROR((Z12/$I12)*100)),((Z12/$I12)*100) &lt;&gt; 0), (Z12/$I12)*100, ""))</f>
        <v/>
      </c>
      <c r="AB12" s="50"/>
      <c r="AC12" s="51" t="str">
        <f t="shared" ref="AC12" si="8">IF((ISERROR((AB12/$I12)*100)), "", IF(AND(NOT(ISERROR((AB12/$I12)*100)),((AB12/$I12)*100) &lt;&gt; 0), (AB12/$I12)*100, ""))</f>
        <v/>
      </c>
      <c r="AD12" s="50"/>
      <c r="AE12" s="51" t="str">
        <f t="shared" ref="AE12" si="9">IF((ISERROR((AD12/$I12)*100)), "", IF(AND(NOT(ISERROR((AD12/$I12)*100)),((AD12/$I12)*100) &lt;&gt; 0), (AD12/$I12)*100, ""))</f>
        <v/>
      </c>
      <c r="AF12" s="21" t="s">
        <v>552</v>
      </c>
      <c r="AG12" s="21"/>
      <c r="AH12" s="21"/>
      <c r="AI12" s="21"/>
      <c r="AJ12" s="21"/>
      <c r="AK12" s="21"/>
      <c r="AL12" s="21"/>
      <c r="AM12" s="21"/>
      <c r="AN12" s="21"/>
      <c r="AO12" s="21"/>
      <c r="AP12" s="21"/>
      <c r="AQ12" s="21"/>
      <c r="AR12" s="21"/>
      <c r="AS12" s="21"/>
      <c r="AT12" s="21"/>
      <c r="AU12" s="21"/>
      <c r="AV12" s="21"/>
      <c r="AW12" s="21"/>
      <c r="AX12" s="21"/>
      <c r="AY12" s="21"/>
      <c r="AZ12" s="21"/>
      <c r="BA12" s="21"/>
    </row>
    <row r="13" spans="1:54" customFormat="1" ht="20" customHeight="1" x14ac:dyDescent="0.2">
      <c r="A13" s="679"/>
      <c r="B13" s="721"/>
      <c r="C13" s="253"/>
      <c r="D13" s="722" t="s">
        <v>85</v>
      </c>
      <c r="E13" s="723" t="s">
        <v>248</v>
      </c>
      <c r="F13" s="723" t="s">
        <v>249</v>
      </c>
      <c r="G13" s="722">
        <v>2016</v>
      </c>
      <c r="H13" s="724"/>
      <c r="I13" s="65">
        <v>12</v>
      </c>
      <c r="J13" s="61" t="s">
        <v>327</v>
      </c>
      <c r="K13" s="62"/>
      <c r="L13" s="31"/>
      <c r="M13" s="34" t="str">
        <f t="shared" si="0"/>
        <v/>
      </c>
      <c r="N13" s="31"/>
      <c r="O13" s="34" t="str">
        <f t="shared" si="1"/>
        <v/>
      </c>
      <c r="P13" s="31"/>
      <c r="Q13" s="34" t="str">
        <f t="shared" si="2"/>
        <v/>
      </c>
      <c r="R13" s="31"/>
      <c r="S13" s="34" t="str">
        <f t="shared" si="3"/>
        <v/>
      </c>
      <c r="T13" s="31"/>
      <c r="U13" s="34" t="str">
        <f t="shared" si="4"/>
        <v/>
      </c>
      <c r="V13" s="56"/>
      <c r="W13" s="34" t="str">
        <f t="shared" si="5"/>
        <v/>
      </c>
      <c r="X13" s="31"/>
      <c r="Y13" s="34" t="str">
        <f>IF((ISERROR((X13/$I13)*100)), "", IF(AND(NOT(ISERROR((X13/$I13)*100)),((X13/$I13)*100) &lt;&gt; 0), (X13/$I13)*100, ""))</f>
        <v/>
      </c>
      <c r="Z13" s="31"/>
      <c r="AA13" s="34" t="str">
        <f>IF((ISERROR((Z13/$I13)*100)), "", IF(AND(NOT(ISERROR((Z13/$I13)*100)),((Z13/$I13)*100) &lt;&gt; 0), (Z13/$I13)*100, ""))</f>
        <v/>
      </c>
      <c r="AB13" s="31"/>
      <c r="AC13" s="34" t="str">
        <f>IF((ISERROR((AB13/$I13)*100)), "", IF(AND(NOT(ISERROR((AB13/$I13)*100)),((AB13/$I13)*100) &lt;&gt; 0), (AB13/$I13)*100, ""))</f>
        <v/>
      </c>
      <c r="AD13" s="31"/>
      <c r="AE13" s="34" t="str">
        <f>IF((ISERROR((AD13/$I13)*100)), "", IF(AND(NOT(ISERROR((AD13/$I13)*100)),((AD13/$I13)*100) &lt;&gt; 0), (AD13/$I13)*100, ""))</f>
        <v/>
      </c>
      <c r="AF13" s="21" t="s">
        <v>328</v>
      </c>
    </row>
    <row r="14" spans="1:54" customFormat="1" ht="20" customHeight="1" x14ac:dyDescent="0.2">
      <c r="A14" s="679"/>
      <c r="B14" s="725"/>
      <c r="C14" s="255"/>
      <c r="D14" s="722" t="s">
        <v>85</v>
      </c>
      <c r="E14" s="723" t="s">
        <v>556</v>
      </c>
      <c r="F14" s="723" t="s">
        <v>557</v>
      </c>
      <c r="G14" s="722">
        <v>2012</v>
      </c>
      <c r="H14" s="724"/>
      <c r="I14" s="65">
        <v>70</v>
      </c>
      <c r="J14" s="61" t="s">
        <v>181</v>
      </c>
      <c r="K14" s="62" t="s">
        <v>190</v>
      </c>
      <c r="L14" s="31"/>
      <c r="M14" s="34"/>
      <c r="N14" s="31"/>
      <c r="O14" s="34"/>
      <c r="P14" s="31"/>
      <c r="Q14" s="34"/>
      <c r="R14" s="31"/>
      <c r="S14" s="34"/>
      <c r="T14" s="31">
        <v>9</v>
      </c>
      <c r="U14" s="34">
        <f t="shared" si="4"/>
        <v>12.857142857142856</v>
      </c>
      <c r="V14" s="56">
        <v>101</v>
      </c>
      <c r="W14" s="34">
        <f t="shared" si="4"/>
        <v>144.28571428571428</v>
      </c>
      <c r="X14" s="31">
        <v>8</v>
      </c>
      <c r="Y14" s="34">
        <f t="shared" si="4"/>
        <v>11.428571428571429</v>
      </c>
      <c r="Z14" s="31"/>
      <c r="AA14" s="34"/>
      <c r="AB14" s="31"/>
      <c r="AC14" s="34"/>
      <c r="AD14" s="31"/>
      <c r="AE14" s="34"/>
      <c r="AF14" s="21" t="s">
        <v>559</v>
      </c>
    </row>
    <row r="15" spans="1:54" customFormat="1" ht="20" customHeight="1" x14ac:dyDescent="0.2">
      <c r="A15" s="726"/>
      <c r="B15" s="721"/>
      <c r="C15" s="722"/>
      <c r="D15" s="722" t="s">
        <v>85</v>
      </c>
      <c r="E15" s="723" t="s">
        <v>595</v>
      </c>
      <c r="F15" s="723" t="s">
        <v>596</v>
      </c>
      <c r="G15" s="722">
        <v>1984</v>
      </c>
      <c r="H15" s="287"/>
      <c r="I15" s="701"/>
      <c r="J15" s="232" t="s">
        <v>210</v>
      </c>
      <c r="K15" s="250" t="s">
        <v>168</v>
      </c>
      <c r="L15" s="31"/>
      <c r="M15" s="34"/>
      <c r="N15" s="31"/>
      <c r="O15" s="34"/>
      <c r="P15" s="31"/>
      <c r="Q15" s="34"/>
      <c r="R15" s="31"/>
      <c r="S15" s="34"/>
      <c r="T15" s="31"/>
      <c r="U15" s="34"/>
      <c r="V15" s="56"/>
      <c r="W15" s="34"/>
      <c r="X15" s="31"/>
      <c r="Y15" s="34"/>
      <c r="Z15" s="31"/>
      <c r="AA15" s="34"/>
      <c r="AB15" s="31"/>
      <c r="AC15" s="34"/>
      <c r="AD15" s="31"/>
      <c r="AE15" s="34"/>
      <c r="AF15" s="21"/>
    </row>
    <row r="16" spans="1:54" customFormat="1" ht="20" customHeight="1" x14ac:dyDescent="0.2">
      <c r="A16" s="726"/>
      <c r="B16" s="721"/>
      <c r="C16" s="722"/>
      <c r="D16" s="722" t="s">
        <v>85</v>
      </c>
      <c r="E16" s="723" t="s">
        <v>598</v>
      </c>
      <c r="F16" s="723" t="s">
        <v>599</v>
      </c>
      <c r="G16" s="722">
        <v>2015</v>
      </c>
      <c r="H16" s="287"/>
      <c r="I16" s="701"/>
      <c r="J16" s="232" t="s">
        <v>600</v>
      </c>
      <c r="K16" s="250" t="s">
        <v>601</v>
      </c>
      <c r="L16" s="31"/>
      <c r="M16" s="34"/>
      <c r="N16" s="31"/>
      <c r="O16" s="34"/>
      <c r="P16" s="31"/>
      <c r="Q16" s="34"/>
      <c r="R16" s="31"/>
      <c r="S16" s="34"/>
      <c r="T16" s="31"/>
      <c r="U16" s="34"/>
      <c r="V16" s="56"/>
      <c r="W16" s="34"/>
      <c r="X16" s="31"/>
      <c r="Y16" s="34"/>
      <c r="Z16" s="31"/>
      <c r="AA16" s="34"/>
      <c r="AB16" s="31"/>
      <c r="AC16" s="34"/>
      <c r="AD16" s="31"/>
      <c r="AE16" s="34"/>
      <c r="AF16" s="21"/>
    </row>
    <row r="17" spans="1:53" customFormat="1" ht="20" customHeight="1" x14ac:dyDescent="0.2">
      <c r="A17" s="726"/>
      <c r="B17" s="721"/>
      <c r="C17" s="722"/>
      <c r="D17" s="722" t="s">
        <v>85</v>
      </c>
      <c r="E17" s="723" t="s">
        <v>602</v>
      </c>
      <c r="F17" s="723" t="s">
        <v>603</v>
      </c>
      <c r="G17" s="722">
        <v>2016</v>
      </c>
      <c r="H17" s="287"/>
      <c r="I17" s="703"/>
      <c r="J17" s="704" t="s">
        <v>184</v>
      </c>
      <c r="K17" s="705"/>
      <c r="L17" s="31"/>
      <c r="M17" s="34"/>
      <c r="N17" s="31"/>
      <c r="O17" s="34"/>
      <c r="P17" s="31"/>
      <c r="Q17" s="34"/>
      <c r="R17" s="31"/>
      <c r="S17" s="34"/>
      <c r="T17" s="31"/>
      <c r="U17" s="34"/>
      <c r="V17" s="56"/>
      <c r="W17" s="34"/>
      <c r="X17" s="31"/>
      <c r="Y17" s="34"/>
      <c r="Z17" s="31"/>
      <c r="AA17" s="34"/>
      <c r="AB17" s="31"/>
      <c r="AC17" s="34"/>
      <c r="AD17" s="31"/>
      <c r="AE17" s="34"/>
      <c r="AF17" s="21"/>
    </row>
    <row r="18" spans="1:53" customFormat="1" ht="20" customHeight="1" x14ac:dyDescent="0.2">
      <c r="A18" s="726"/>
      <c r="B18" s="721"/>
      <c r="C18" s="722"/>
      <c r="D18" s="722" t="s">
        <v>85</v>
      </c>
      <c r="E18" s="723" t="s">
        <v>604</v>
      </c>
      <c r="F18" s="723" t="s">
        <v>605</v>
      </c>
      <c r="G18" s="722">
        <v>2001</v>
      </c>
      <c r="H18" s="287"/>
      <c r="I18" s="703"/>
      <c r="J18" s="704" t="s">
        <v>213</v>
      </c>
      <c r="K18" s="705" t="s">
        <v>189</v>
      </c>
      <c r="L18" s="31"/>
      <c r="M18" s="34"/>
      <c r="N18" s="31"/>
      <c r="O18" s="34"/>
      <c r="P18" s="31"/>
      <c r="Q18" s="34"/>
      <c r="R18" s="31"/>
      <c r="S18" s="34"/>
      <c r="T18" s="31"/>
      <c r="U18" s="34"/>
      <c r="V18" s="56"/>
      <c r="W18" s="34"/>
      <c r="X18" s="31"/>
      <c r="Y18" s="34"/>
      <c r="Z18" s="31"/>
      <c r="AA18" s="34"/>
      <c r="AB18" s="31"/>
      <c r="AC18" s="34"/>
      <c r="AD18" s="31"/>
      <c r="AE18" s="34"/>
      <c r="AF18" s="21"/>
    </row>
    <row r="19" spans="1:53" ht="20" customHeight="1" x14ac:dyDescent="0.2">
      <c r="A19" s="678"/>
      <c r="B19" s="721"/>
      <c r="C19" s="255"/>
      <c r="D19" s="722" t="s">
        <v>85</v>
      </c>
      <c r="E19" s="723" t="s">
        <v>33</v>
      </c>
      <c r="F19" s="723" t="s">
        <v>34</v>
      </c>
      <c r="G19" s="722">
        <v>2003</v>
      </c>
      <c r="H19" s="287">
        <v>291</v>
      </c>
      <c r="I19" s="65">
        <v>14</v>
      </c>
      <c r="J19" s="61" t="s">
        <v>166</v>
      </c>
      <c r="K19" s="62"/>
      <c r="L19" s="31"/>
      <c r="M19" s="34" t="str">
        <f t="shared" si="0"/>
        <v/>
      </c>
      <c r="N19" s="31"/>
      <c r="O19" s="34" t="str">
        <f t="shared" si="1"/>
        <v/>
      </c>
      <c r="P19" s="31"/>
      <c r="Q19" s="34" t="str">
        <f t="shared" si="2"/>
        <v/>
      </c>
      <c r="R19" s="31"/>
      <c r="S19" s="34" t="str">
        <f t="shared" si="3"/>
        <v/>
      </c>
      <c r="T19" s="31">
        <v>2</v>
      </c>
      <c r="U19" s="34">
        <f t="shared" si="4"/>
        <v>14.285714285714285</v>
      </c>
      <c r="V19" s="56"/>
      <c r="W19" s="34" t="str">
        <f t="shared" si="5"/>
        <v/>
      </c>
      <c r="X19" s="31"/>
      <c r="Y19" s="34" t="str">
        <f t="shared" ref="Y19" si="10">IF((ISERROR((X19/$I19)*100)), "", IF(AND(NOT(ISERROR((X19/$I19)*100)),((X19/$I19)*100) &lt;&gt; 0), (X19/$I19)*100, ""))</f>
        <v/>
      </c>
      <c r="Z19" s="31"/>
      <c r="AA19" s="34" t="str">
        <f t="shared" ref="AA19" si="11">IF((ISERROR((Z19/$I19)*100)), "", IF(AND(NOT(ISERROR((Z19/$I19)*100)),((Z19/$I19)*100) &lt;&gt; 0), (Z19/$I19)*100, ""))</f>
        <v/>
      </c>
      <c r="AB19" s="31"/>
      <c r="AC19" s="34" t="str">
        <f t="shared" ref="AC19" si="12">IF((ISERROR((AB19/$I19)*100)), "", IF(AND(NOT(ISERROR((AB19/$I19)*100)),((AB19/$I19)*100) &lt;&gt; 0), (AB19/$I19)*100, ""))</f>
        <v/>
      </c>
      <c r="AD19" s="31"/>
      <c r="AE19" s="34" t="str">
        <f t="shared" ref="AE19" si="13">IF((ISERROR((AD19/$I19)*100)), "", IF(AND(NOT(ISERROR((AD19/$I19)*100)),((AD19/$I19)*100) &lt;&gt; 0), (AD19/$I19)*100, ""))</f>
        <v/>
      </c>
      <c r="AF19" s="21" t="s">
        <v>329</v>
      </c>
      <c r="AG19" s="21"/>
      <c r="AH19" s="21"/>
      <c r="AI19" s="21"/>
      <c r="AJ19" s="21"/>
      <c r="AK19" s="21"/>
      <c r="AL19" s="21"/>
      <c r="AM19" s="21"/>
      <c r="AN19" s="21"/>
      <c r="AO19" s="21"/>
      <c r="AP19" s="21"/>
      <c r="AQ19" s="21"/>
      <c r="AR19" s="21"/>
      <c r="AS19" s="21"/>
      <c r="AT19" s="21"/>
      <c r="AU19" s="21"/>
      <c r="AV19" s="21"/>
      <c r="AW19" s="21"/>
      <c r="AX19" s="21"/>
      <c r="AY19" s="21"/>
      <c r="AZ19" s="21"/>
      <c r="BA19" s="21"/>
    </row>
    <row r="20" spans="1:53" ht="20" customHeight="1" x14ac:dyDescent="0.2">
      <c r="A20" s="678"/>
      <c r="B20" s="725"/>
      <c r="C20" s="255"/>
      <c r="D20" s="722" t="s">
        <v>85</v>
      </c>
      <c r="E20" s="723" t="s">
        <v>250</v>
      </c>
      <c r="F20" s="723" t="s">
        <v>251</v>
      </c>
      <c r="G20" s="722">
        <v>2008</v>
      </c>
      <c r="H20" s="287"/>
      <c r="I20" s="65">
        <v>13</v>
      </c>
      <c r="J20" s="61" t="s">
        <v>217</v>
      </c>
      <c r="K20" s="62" t="s">
        <v>330</v>
      </c>
      <c r="L20" s="31"/>
      <c r="M20" s="34" t="str">
        <f t="shared" si="0"/>
        <v/>
      </c>
      <c r="N20" s="31"/>
      <c r="O20" s="34" t="str">
        <f t="shared" si="1"/>
        <v/>
      </c>
      <c r="P20" s="31"/>
      <c r="Q20" s="34" t="str">
        <f t="shared" si="2"/>
        <v/>
      </c>
      <c r="R20" s="31"/>
      <c r="S20" s="34" t="str">
        <f t="shared" si="3"/>
        <v/>
      </c>
      <c r="T20" s="31"/>
      <c r="U20" s="34" t="str">
        <f t="shared" si="4"/>
        <v/>
      </c>
      <c r="V20" s="56"/>
      <c r="W20" s="34" t="str">
        <f t="shared" si="5"/>
        <v/>
      </c>
      <c r="X20" s="31"/>
      <c r="Y20" s="34" t="str">
        <f>IF((ISERROR((X20/$I20)*100)), "", IF(AND(NOT(ISERROR((X20/$I20)*100)),((X20/$I20)*100) &lt;&gt; 0), (X20/$I20)*100, ""))</f>
        <v/>
      </c>
      <c r="Z20" s="31"/>
      <c r="AA20" s="34" t="str">
        <f>IF((ISERROR((Z20/$I20)*100)), "", IF(AND(NOT(ISERROR((Z20/$I20)*100)),((Z20/$I20)*100) &lt;&gt; 0), (Z20/$I20)*100, ""))</f>
        <v/>
      </c>
      <c r="AB20" s="31"/>
      <c r="AC20" s="34" t="str">
        <f>IF((ISERROR((AB20/$I20)*100)), "", IF(AND(NOT(ISERROR((AB20/$I20)*100)),((AB20/$I20)*100) &lt;&gt; 0), (AB20/$I20)*100, ""))</f>
        <v/>
      </c>
      <c r="AD20" s="31"/>
      <c r="AE20" s="34" t="str">
        <f>IF((ISERROR((AD20/$I20)*100)), "", IF(AND(NOT(ISERROR((AD20/$I20)*100)),((AD20/$I20)*100) &lt;&gt; 0), (AD20/$I20)*100, ""))</f>
        <v/>
      </c>
      <c r="AF20" s="21"/>
      <c r="AG20" s="21"/>
      <c r="AH20" s="21"/>
      <c r="AI20" s="21"/>
      <c r="AJ20" s="21"/>
      <c r="AK20" s="21"/>
      <c r="AL20" s="21"/>
      <c r="AM20" s="21"/>
      <c r="AN20" s="21"/>
      <c r="AO20" s="21"/>
      <c r="AP20" s="21"/>
      <c r="AQ20" s="21"/>
      <c r="AR20" s="21"/>
      <c r="AS20" s="21"/>
      <c r="AT20" s="21"/>
      <c r="AU20" s="21"/>
      <c r="AV20" s="21"/>
      <c r="AW20" s="21"/>
      <c r="AX20" s="21"/>
      <c r="AY20" s="21"/>
      <c r="AZ20" s="21"/>
      <c r="BA20" s="21"/>
    </row>
    <row r="21" spans="1:53" ht="20" customHeight="1" x14ac:dyDescent="0.2">
      <c r="A21" s="678"/>
      <c r="B21" s="721"/>
      <c r="C21" s="255"/>
      <c r="D21" s="722" t="s">
        <v>85</v>
      </c>
      <c r="E21" s="723" t="s">
        <v>36</v>
      </c>
      <c r="F21" s="723" t="s">
        <v>37</v>
      </c>
      <c r="G21" s="722">
        <v>2008</v>
      </c>
      <c r="H21" s="287">
        <v>40</v>
      </c>
      <c r="I21" s="65">
        <v>29</v>
      </c>
      <c r="J21" s="61" t="s">
        <v>175</v>
      </c>
      <c r="K21" s="62" t="s">
        <v>168</v>
      </c>
      <c r="L21" s="31"/>
      <c r="M21" s="34" t="str">
        <f t="shared" si="0"/>
        <v/>
      </c>
      <c r="N21" s="31"/>
      <c r="O21" s="34" t="str">
        <f t="shared" si="1"/>
        <v/>
      </c>
      <c r="P21" s="31"/>
      <c r="Q21" s="34" t="str">
        <f t="shared" si="2"/>
        <v/>
      </c>
      <c r="R21" s="31"/>
      <c r="S21" s="34" t="str">
        <f t="shared" si="3"/>
        <v/>
      </c>
      <c r="T21" s="31"/>
      <c r="U21" s="34" t="str">
        <f t="shared" si="4"/>
        <v/>
      </c>
      <c r="V21" s="56">
        <v>5</v>
      </c>
      <c r="W21" s="34">
        <f t="shared" si="5"/>
        <v>17.241379310344829</v>
      </c>
      <c r="X21" s="31"/>
      <c r="Y21" s="34" t="str">
        <f>IF((ISERROR((X21/$I21)*100)), "", IF(AND(NOT(ISERROR((X21/$I21)*100)),((X21/$I21)*100) &lt;&gt; 0), (X21/$I21)*100, ""))</f>
        <v/>
      </c>
      <c r="Z21" s="31"/>
      <c r="AA21" s="34" t="str">
        <f>IF((ISERROR((Z21/$I21)*100)), "", IF(AND(NOT(ISERROR((Z21/$I21)*100)),((Z21/$I21)*100) &lt;&gt; 0), (Z21/$I21)*100, ""))</f>
        <v/>
      </c>
      <c r="AB21" s="31">
        <v>5</v>
      </c>
      <c r="AC21" s="34">
        <f>IF((ISERROR((AB21/$I21)*100)), "", IF(AND(NOT(ISERROR((AB21/$I21)*100)),((AB21/$I21)*100) &lt;&gt; 0), (AB21/$I21)*100, ""))</f>
        <v>17.241379310344829</v>
      </c>
      <c r="AD21" s="31"/>
      <c r="AE21" s="34" t="str">
        <f>IF((ISERROR((AD21/$I21)*100)), "", IF(AND(NOT(ISERROR((AD21/$I21)*100)),((AD21/$I21)*100) &lt;&gt; 0), (AD21/$I21)*100, ""))</f>
        <v/>
      </c>
      <c r="AF21" s="21" t="s">
        <v>472</v>
      </c>
      <c r="AG21" s="21"/>
      <c r="AH21" s="21"/>
      <c r="AI21" s="21"/>
      <c r="AJ21" s="21"/>
      <c r="AK21" s="21"/>
      <c r="AL21" s="21"/>
      <c r="AM21" s="21"/>
      <c r="AN21" s="21"/>
      <c r="AO21" s="21"/>
      <c r="AP21" s="21"/>
      <c r="AQ21" s="21"/>
      <c r="AR21" s="21"/>
      <c r="AS21" s="21"/>
      <c r="AT21" s="21"/>
      <c r="AU21" s="21"/>
      <c r="AV21" s="21"/>
      <c r="AW21" s="21"/>
      <c r="AX21" s="21"/>
      <c r="AY21" s="21"/>
      <c r="AZ21" s="21"/>
      <c r="BA21" s="21"/>
    </row>
    <row r="22" spans="1:53" ht="20" customHeight="1" x14ac:dyDescent="0.2">
      <c r="A22" s="678"/>
      <c r="B22" s="725"/>
      <c r="C22" s="255"/>
      <c r="D22" s="722" t="s">
        <v>85</v>
      </c>
      <c r="E22" s="723" t="s">
        <v>41</v>
      </c>
      <c r="F22" s="723" t="s">
        <v>42</v>
      </c>
      <c r="G22" s="722">
        <v>2004</v>
      </c>
      <c r="H22" s="287">
        <v>79</v>
      </c>
      <c r="I22" s="65">
        <v>12</v>
      </c>
      <c r="J22" s="61" t="s">
        <v>167</v>
      </c>
      <c r="K22" s="62" t="s">
        <v>168</v>
      </c>
      <c r="L22" s="31"/>
      <c r="M22" s="34" t="str">
        <f t="shared" si="0"/>
        <v/>
      </c>
      <c r="N22" s="31"/>
      <c r="O22" s="34" t="str">
        <f t="shared" si="1"/>
        <v/>
      </c>
      <c r="P22" s="31"/>
      <c r="Q22" s="34" t="str">
        <f t="shared" si="2"/>
        <v/>
      </c>
      <c r="R22" s="31"/>
      <c r="S22" s="34" t="str">
        <f t="shared" si="3"/>
        <v/>
      </c>
      <c r="T22" s="31"/>
      <c r="U22" s="34" t="str">
        <f t="shared" si="4"/>
        <v/>
      </c>
      <c r="V22" s="56"/>
      <c r="W22" s="34" t="str">
        <f t="shared" si="5"/>
        <v/>
      </c>
      <c r="X22" s="31"/>
      <c r="Y22" s="34" t="str">
        <f>IF((ISERROR((X22/$I22)*100)), "", IF(AND(NOT(ISERROR((X22/$I22)*100)),((X22/$I22)*100) &lt;&gt; 0), (X22/$I22)*100, ""))</f>
        <v/>
      </c>
      <c r="Z22" s="31"/>
      <c r="AA22" s="34" t="str">
        <f>IF((ISERROR((Z22/$I22)*100)), "", IF(AND(NOT(ISERROR((Z22/$I22)*100)),((Z22/$I22)*100) &lt;&gt; 0), (Z22/$I22)*100, ""))</f>
        <v/>
      </c>
      <c r="AB22" s="31"/>
      <c r="AC22" s="34" t="str">
        <f>IF((ISERROR((AB22/$I22)*100)), "", IF(AND(NOT(ISERROR((AB22/$I22)*100)),((AB22/$I22)*100) &lt;&gt; 0), (AB22/$I22)*100, ""))</f>
        <v/>
      </c>
      <c r="AD22" s="31"/>
      <c r="AE22" s="34" t="str">
        <f>IF((ISERROR((AD22/$I22)*100)), "", IF(AND(NOT(ISERROR((AD22/$I22)*100)),((AD22/$I22)*100) &lt;&gt; 0), (AD22/$I22)*100, ""))</f>
        <v/>
      </c>
      <c r="AF22" s="21" t="s">
        <v>169</v>
      </c>
      <c r="AG22" s="21"/>
      <c r="AH22" s="21"/>
      <c r="AI22" s="21"/>
      <c r="AJ22" s="21"/>
      <c r="AK22" s="21"/>
      <c r="AL22" s="21"/>
      <c r="AM22" s="21"/>
      <c r="AN22" s="21"/>
      <c r="AO22" s="21"/>
      <c r="AP22" s="21"/>
      <c r="AQ22" s="21"/>
      <c r="AR22" s="21"/>
      <c r="AS22" s="21"/>
      <c r="AT22" s="21"/>
      <c r="AU22" s="21"/>
      <c r="AV22" s="21"/>
      <c r="AW22" s="21"/>
      <c r="AX22" s="21"/>
      <c r="AY22" s="21"/>
      <c r="AZ22" s="21"/>
      <c r="BA22" s="21"/>
    </row>
    <row r="23" spans="1:53" ht="20" customHeight="1" x14ac:dyDescent="0.2">
      <c r="A23" s="678"/>
      <c r="B23" s="725"/>
      <c r="C23" s="255"/>
      <c r="D23" s="722" t="s">
        <v>85</v>
      </c>
      <c r="E23" s="723" t="s">
        <v>43</v>
      </c>
      <c r="F23" s="723" t="s">
        <v>44</v>
      </c>
      <c r="G23" s="722">
        <v>1976</v>
      </c>
      <c r="H23" s="287">
        <v>179</v>
      </c>
      <c r="I23" s="65">
        <v>8</v>
      </c>
      <c r="J23" s="78" t="s">
        <v>331</v>
      </c>
      <c r="K23" s="62"/>
      <c r="L23" s="36">
        <v>2</v>
      </c>
      <c r="M23" s="37">
        <f t="shared" si="0"/>
        <v>25</v>
      </c>
      <c r="N23" s="31"/>
      <c r="O23" s="34" t="str">
        <f t="shared" si="1"/>
        <v/>
      </c>
      <c r="P23" s="36">
        <v>5</v>
      </c>
      <c r="Q23" s="37">
        <f t="shared" si="2"/>
        <v>62.5</v>
      </c>
      <c r="R23" s="36">
        <v>2</v>
      </c>
      <c r="S23" s="37">
        <f t="shared" si="3"/>
        <v>25</v>
      </c>
      <c r="T23" s="36">
        <v>1</v>
      </c>
      <c r="U23" s="37">
        <f t="shared" si="4"/>
        <v>12.5</v>
      </c>
      <c r="V23" s="56">
        <v>1</v>
      </c>
      <c r="W23" s="34">
        <f t="shared" si="5"/>
        <v>12.5</v>
      </c>
      <c r="X23" s="36">
        <v>1</v>
      </c>
      <c r="Y23" s="37">
        <f>IF((ISERROR((X23/$I23)*100)), "", IF(AND(NOT(ISERROR((X23/$I23)*100)),((X23/$I23)*100) &lt;&gt; 0), (X23/$I23)*100, ""))</f>
        <v>12.5</v>
      </c>
      <c r="Z23" s="36">
        <v>1</v>
      </c>
      <c r="AA23" s="37">
        <f>IF((ISERROR((Z23/$I23)*100)), "", IF(AND(NOT(ISERROR((Z23/$I23)*100)),((Z23/$I23)*100) &lt;&gt; 0), (Z23/$I23)*100, ""))</f>
        <v>12.5</v>
      </c>
      <c r="AB23" s="36">
        <v>1</v>
      </c>
      <c r="AC23" s="37">
        <f>IF((ISERROR((AB23/$I23)*100)), "", IF(AND(NOT(ISERROR((AB23/$I23)*100)),((AB23/$I23)*100) &lt;&gt; 0), (AB23/$I23)*100, ""))</f>
        <v>12.5</v>
      </c>
      <c r="AD23" s="31"/>
      <c r="AE23" s="34" t="str">
        <f>IF((ISERROR((AD23/$I23)*100)), "", IF(AND(NOT(ISERROR((AD23/$I23)*100)),((AD23/$I23)*100) &lt;&gt; 0), (AD23/$I23)*100, ""))</f>
        <v/>
      </c>
      <c r="AF23" s="21" t="s">
        <v>182</v>
      </c>
      <c r="AG23" s="21"/>
      <c r="AH23" s="21"/>
      <c r="AI23" s="21"/>
      <c r="AJ23" s="21"/>
      <c r="AK23" s="21"/>
      <c r="AL23" s="21"/>
      <c r="AM23" s="21"/>
      <c r="AN23" s="21"/>
      <c r="AO23" s="21"/>
      <c r="AP23" s="21"/>
      <c r="AQ23" s="21"/>
      <c r="AR23" s="21"/>
      <c r="AS23" s="21"/>
      <c r="AT23" s="21"/>
      <c r="AU23" s="21"/>
      <c r="AV23" s="21"/>
      <c r="AW23" s="21"/>
      <c r="AX23" s="21"/>
      <c r="AY23" s="21"/>
      <c r="AZ23" s="21"/>
      <c r="BA23" s="21"/>
    </row>
    <row r="24" spans="1:53" ht="20" customHeight="1" x14ac:dyDescent="0.2">
      <c r="A24" s="678"/>
      <c r="B24" s="725"/>
      <c r="C24" s="253"/>
      <c r="D24" s="722" t="s">
        <v>85</v>
      </c>
      <c r="E24" s="723" t="s">
        <v>152</v>
      </c>
      <c r="F24" s="723" t="s">
        <v>153</v>
      </c>
      <c r="G24" s="722">
        <v>2007</v>
      </c>
      <c r="H24" s="287"/>
      <c r="I24" s="65">
        <v>44</v>
      </c>
      <c r="J24" s="61"/>
      <c r="K24" s="62"/>
      <c r="L24" s="31"/>
      <c r="M24" s="34" t="str">
        <f t="shared" si="0"/>
        <v/>
      </c>
      <c r="N24" s="31"/>
      <c r="O24" s="34" t="str">
        <f t="shared" si="1"/>
        <v/>
      </c>
      <c r="P24" s="31"/>
      <c r="Q24" s="34" t="str">
        <f t="shared" si="2"/>
        <v/>
      </c>
      <c r="R24" s="31"/>
      <c r="S24" s="34" t="str">
        <f t="shared" si="3"/>
        <v/>
      </c>
      <c r="T24" s="31"/>
      <c r="U24" s="34" t="str">
        <f t="shared" si="4"/>
        <v/>
      </c>
      <c r="V24" s="56"/>
      <c r="W24" s="34" t="str">
        <f t="shared" si="5"/>
        <v/>
      </c>
      <c r="X24" s="31"/>
      <c r="Y24" s="34" t="str">
        <f t="shared" ref="Y24" si="14">IF((ISERROR((X24/$I24)*100)), "", IF(AND(NOT(ISERROR((X24/$I24)*100)),((X24/$I24)*100) &lt;&gt; 0), (X24/$I24)*100, ""))</f>
        <v/>
      </c>
      <c r="Z24" s="31"/>
      <c r="AA24" s="34" t="str">
        <f t="shared" ref="AA24" si="15">IF((ISERROR((Z24/$I24)*100)), "", IF(AND(NOT(ISERROR((Z24/$I24)*100)),((Z24/$I24)*100) &lt;&gt; 0), (Z24/$I24)*100, ""))</f>
        <v/>
      </c>
      <c r="AB24" s="31"/>
      <c r="AC24" s="34" t="str">
        <f t="shared" ref="AC24" si="16">IF((ISERROR((AB24/$I24)*100)), "", IF(AND(NOT(ISERROR((AB24/$I24)*100)),((AB24/$I24)*100) &lt;&gt; 0), (AB24/$I24)*100, ""))</f>
        <v/>
      </c>
      <c r="AD24" s="31"/>
      <c r="AE24" s="34" t="str">
        <f t="shared" ref="AE24" si="17">IF((ISERROR((AD24/$I24)*100)), "", IF(AND(NOT(ISERROR((AD24/$I24)*100)),((AD24/$I24)*100) &lt;&gt; 0), (AD24/$I24)*100, ""))</f>
        <v/>
      </c>
      <c r="AF24" s="21" t="s">
        <v>174</v>
      </c>
      <c r="AG24" s="21"/>
      <c r="AH24" s="21"/>
      <c r="AI24" s="21"/>
      <c r="AJ24" s="21"/>
      <c r="AK24" s="21"/>
      <c r="AL24" s="21"/>
      <c r="AM24" s="21"/>
      <c r="AN24" s="21"/>
      <c r="AO24" s="21"/>
      <c r="AP24" s="21"/>
      <c r="AQ24" s="21"/>
      <c r="AR24" s="21"/>
      <c r="AS24" s="21"/>
      <c r="AT24" s="21"/>
      <c r="AU24" s="21"/>
      <c r="AV24" s="21"/>
      <c r="AW24" s="21"/>
      <c r="AX24" s="21"/>
      <c r="AY24" s="21"/>
      <c r="AZ24" s="21"/>
      <c r="BA24" s="21"/>
    </row>
    <row r="25" spans="1:53" ht="20" customHeight="1" x14ac:dyDescent="0.2">
      <c r="A25" s="678"/>
      <c r="B25" s="725"/>
      <c r="C25" s="253"/>
      <c r="D25" s="722" t="s">
        <v>85</v>
      </c>
      <c r="E25" s="723" t="s">
        <v>252</v>
      </c>
      <c r="F25" s="723" t="s">
        <v>253</v>
      </c>
      <c r="G25" s="722">
        <v>2014</v>
      </c>
      <c r="H25" s="287"/>
      <c r="I25" s="65">
        <v>48</v>
      </c>
      <c r="J25" s="61" t="s">
        <v>213</v>
      </c>
      <c r="K25" s="62" t="s">
        <v>332</v>
      </c>
      <c r="L25" s="36"/>
      <c r="M25" s="37" t="str">
        <f t="shared" si="0"/>
        <v/>
      </c>
      <c r="N25" s="31"/>
      <c r="O25" s="34" t="str">
        <f t="shared" si="1"/>
        <v/>
      </c>
      <c r="P25" s="31"/>
      <c r="Q25" s="34" t="str">
        <f t="shared" si="2"/>
        <v/>
      </c>
      <c r="R25" s="31"/>
      <c r="S25" s="34" t="str">
        <f t="shared" si="3"/>
        <v/>
      </c>
      <c r="T25" s="31"/>
      <c r="U25" s="34" t="str">
        <f t="shared" si="4"/>
        <v/>
      </c>
      <c r="V25" s="56"/>
      <c r="W25" s="34" t="str">
        <f t="shared" si="5"/>
        <v/>
      </c>
      <c r="X25" s="31"/>
      <c r="Y25" s="34" t="str">
        <f>IF((ISERROR((X25/$I25)*100)), "", IF(AND(NOT(ISERROR((X25/$I25)*100)),((X25/$I25)*100) &lt;&gt; 0), (X25/$I25)*100, ""))</f>
        <v/>
      </c>
      <c r="Z25" s="31"/>
      <c r="AA25" s="34" t="str">
        <f>IF((ISERROR((Z25/$I25)*100)), "", IF(AND(NOT(ISERROR((Z25/$I25)*100)),((Z25/$I25)*100) &lt;&gt; 0), (Z25/$I25)*100, ""))</f>
        <v/>
      </c>
      <c r="AB25" s="31"/>
      <c r="AC25" s="34" t="str">
        <f>IF((ISERROR((AB25/$I25)*100)), "", IF(AND(NOT(ISERROR((AB25/$I25)*100)),((AB25/$I25)*100) &lt;&gt; 0), (AB25/$I25)*100, ""))</f>
        <v/>
      </c>
      <c r="AD25" s="31"/>
      <c r="AE25" s="34" t="str">
        <f>IF((ISERROR((AD25/$I25)*100)), "", IF(AND(NOT(ISERROR((AD25/$I25)*100)),((AD25/$I25)*100) &lt;&gt; 0), (AD25/$I25)*100, ""))</f>
        <v/>
      </c>
      <c r="AF25" s="21" t="s">
        <v>395</v>
      </c>
      <c r="AG25" s="21"/>
      <c r="AH25" s="21"/>
      <c r="AI25" s="21"/>
      <c r="AJ25" s="21"/>
      <c r="AK25" s="21"/>
      <c r="AL25" s="21"/>
      <c r="AM25" s="21"/>
      <c r="AN25" s="21"/>
      <c r="AO25" s="21"/>
      <c r="AP25" s="21"/>
      <c r="AQ25" s="21"/>
      <c r="AR25" s="21"/>
      <c r="AS25" s="21"/>
      <c r="AT25" s="21"/>
      <c r="AU25" s="21"/>
      <c r="AV25" s="21"/>
      <c r="AW25" s="21"/>
      <c r="AX25" s="21"/>
      <c r="AY25" s="21"/>
      <c r="AZ25" s="21"/>
      <c r="BA25" s="21"/>
    </row>
    <row r="26" spans="1:53" ht="20" customHeight="1" x14ac:dyDescent="0.2">
      <c r="A26" s="726"/>
      <c r="B26" s="721"/>
      <c r="C26" s="253"/>
      <c r="D26" s="722" t="s">
        <v>85</v>
      </c>
      <c r="E26" s="723" t="s">
        <v>612</v>
      </c>
      <c r="F26" s="723" t="s">
        <v>613</v>
      </c>
      <c r="G26" s="722">
        <v>2004</v>
      </c>
      <c r="H26" s="287"/>
      <c r="I26" s="701"/>
      <c r="J26" s="232" t="s">
        <v>614</v>
      </c>
      <c r="K26" s="250"/>
      <c r="L26" s="31"/>
      <c r="M26" s="34"/>
      <c r="N26" s="31"/>
      <c r="O26" s="34"/>
      <c r="P26" s="31"/>
      <c r="Q26" s="34"/>
      <c r="R26" s="31"/>
      <c r="S26" s="34"/>
      <c r="T26" s="31"/>
      <c r="U26" s="34"/>
      <c r="V26" s="56"/>
      <c r="W26" s="34"/>
      <c r="X26" s="31"/>
      <c r="Y26" s="34"/>
      <c r="Z26" s="31"/>
      <c r="AA26" s="34"/>
      <c r="AB26" s="31"/>
      <c r="AC26" s="34"/>
      <c r="AD26" s="31"/>
      <c r="AE26" s="34"/>
      <c r="AF26" s="21"/>
      <c r="AG26" s="21"/>
      <c r="AH26" s="21"/>
      <c r="AI26" s="21"/>
      <c r="AJ26" s="21"/>
      <c r="AK26" s="21"/>
      <c r="AL26" s="21"/>
      <c r="AM26" s="21"/>
      <c r="AN26" s="21"/>
      <c r="AO26" s="21"/>
      <c r="AP26" s="21"/>
      <c r="AQ26" s="21"/>
      <c r="AR26" s="21"/>
      <c r="AS26" s="21"/>
      <c r="AT26" s="21"/>
      <c r="AU26" s="21"/>
      <c r="AV26" s="21"/>
      <c r="AW26" s="21"/>
      <c r="AX26" s="21"/>
      <c r="AY26" s="21"/>
      <c r="AZ26" s="21"/>
      <c r="BA26" s="21"/>
    </row>
    <row r="27" spans="1:53" ht="20" customHeight="1" x14ac:dyDescent="0.2">
      <c r="A27" s="678"/>
      <c r="B27" s="725"/>
      <c r="C27" s="253"/>
      <c r="D27" s="722" t="s">
        <v>85</v>
      </c>
      <c r="E27" s="723" t="s">
        <v>256</v>
      </c>
      <c r="F27" s="723" t="s">
        <v>257</v>
      </c>
      <c r="G27" s="722">
        <v>2012</v>
      </c>
      <c r="H27" s="287"/>
      <c r="I27" s="65">
        <v>80</v>
      </c>
      <c r="J27" s="61" t="s">
        <v>213</v>
      </c>
      <c r="K27" s="62" t="s">
        <v>190</v>
      </c>
      <c r="L27" s="31"/>
      <c r="M27" s="34" t="str">
        <f t="shared" si="0"/>
        <v/>
      </c>
      <c r="N27" s="31"/>
      <c r="O27" s="34" t="str">
        <f t="shared" si="1"/>
        <v/>
      </c>
      <c r="P27" s="31"/>
      <c r="Q27" s="34" t="str">
        <f t="shared" si="2"/>
        <v/>
      </c>
      <c r="R27" s="31"/>
      <c r="S27" s="34" t="str">
        <f t="shared" si="3"/>
        <v/>
      </c>
      <c r="T27" s="31"/>
      <c r="U27" s="34" t="str">
        <f t="shared" si="4"/>
        <v/>
      </c>
      <c r="V27" s="56"/>
      <c r="W27" s="34" t="str">
        <f t="shared" si="5"/>
        <v/>
      </c>
      <c r="X27" s="31"/>
      <c r="Y27" s="34" t="str">
        <f>IF((ISERROR((X27/$I27)*100)), "", IF(AND(NOT(ISERROR((X27/$I27)*100)),((X27/$I27)*100) &lt;&gt; 0), (X27/$I27)*100, ""))</f>
        <v/>
      </c>
      <c r="Z27" s="31"/>
      <c r="AA27" s="34" t="str">
        <f>IF((ISERROR((Z27/$I27)*100)), "", IF(AND(NOT(ISERROR((Z27/$I27)*100)),((Z27/$I27)*100) &lt;&gt; 0), (Z27/$I27)*100, ""))</f>
        <v/>
      </c>
      <c r="AB27" s="31"/>
      <c r="AC27" s="34" t="str">
        <f>IF((ISERROR((AB27/$I27)*100)), "", IF(AND(NOT(ISERROR((AB27/$I27)*100)),((AB27/$I27)*100) &lt;&gt; 0), (AB27/$I27)*100, ""))</f>
        <v/>
      </c>
      <c r="AD27" s="31"/>
      <c r="AE27" s="34" t="str">
        <f>IF((ISERROR((AD27/$I27)*100)), "", IF(AND(NOT(ISERROR((AD27/$I27)*100)),((AD27/$I27)*100) &lt;&gt; 0), (AD27/$I27)*100, ""))</f>
        <v/>
      </c>
      <c r="AF27" s="21"/>
      <c r="AG27" s="21"/>
      <c r="AH27" s="21"/>
      <c r="AI27" s="21"/>
      <c r="AJ27" s="21"/>
      <c r="AK27" s="21"/>
      <c r="AL27" s="21"/>
      <c r="AM27" s="21"/>
      <c r="AN27" s="21"/>
      <c r="AO27" s="21"/>
      <c r="AP27" s="21"/>
      <c r="AQ27" s="21"/>
      <c r="AR27" s="21"/>
      <c r="AS27" s="21"/>
      <c r="AT27" s="21"/>
      <c r="AU27" s="21"/>
      <c r="AV27" s="21"/>
      <c r="AW27" s="21"/>
      <c r="AX27" s="21"/>
      <c r="AY27" s="21"/>
      <c r="AZ27" s="21"/>
      <c r="BA27" s="21"/>
    </row>
    <row r="28" spans="1:53" ht="20" customHeight="1" x14ac:dyDescent="0.2">
      <c r="A28" s="678"/>
      <c r="B28" s="725"/>
      <c r="C28" s="255"/>
      <c r="D28" s="722" t="s">
        <v>85</v>
      </c>
      <c r="E28" s="723" t="s">
        <v>258</v>
      </c>
      <c r="F28" s="723" t="s">
        <v>259</v>
      </c>
      <c r="G28" s="722">
        <v>2013</v>
      </c>
      <c r="H28" s="287"/>
      <c r="I28" s="65">
        <v>12</v>
      </c>
      <c r="J28" s="61" t="s">
        <v>213</v>
      </c>
      <c r="K28" s="62" t="s">
        <v>333</v>
      </c>
      <c r="L28" s="31"/>
      <c r="M28" s="34" t="str">
        <f t="shared" si="0"/>
        <v/>
      </c>
      <c r="N28" s="31"/>
      <c r="O28" s="34" t="str">
        <f t="shared" si="1"/>
        <v/>
      </c>
      <c r="P28" s="31"/>
      <c r="Q28" s="34" t="str">
        <f t="shared" si="2"/>
        <v/>
      </c>
      <c r="R28" s="31"/>
      <c r="S28" s="34" t="str">
        <f t="shared" si="3"/>
        <v/>
      </c>
      <c r="T28" s="36"/>
      <c r="U28" s="37" t="str">
        <f t="shared" si="4"/>
        <v/>
      </c>
      <c r="V28" s="38"/>
      <c r="W28" s="37" t="str">
        <f t="shared" si="5"/>
        <v/>
      </c>
      <c r="X28" s="31"/>
      <c r="Y28" s="34" t="str">
        <f>IF((ISERROR((X28/$I28)*100)), "", IF(AND(NOT(ISERROR((X28/$I28)*100)),((X28/$I28)*100) &lt;&gt; 0), (X28/$I28)*100, ""))</f>
        <v/>
      </c>
      <c r="Z28" s="31"/>
      <c r="AA28" s="34" t="str">
        <f>IF((ISERROR((Z28/$I28)*100)), "", IF(AND(NOT(ISERROR((Z28/$I28)*100)),((Z28/$I28)*100) &lt;&gt; 0), (Z28/$I28)*100, ""))</f>
        <v/>
      </c>
      <c r="AB28" s="31"/>
      <c r="AC28" s="34" t="str">
        <f>IF((ISERROR((AB28/$I28)*100)), "", IF(AND(NOT(ISERROR((AB28/$I28)*100)),((AB28/$I28)*100) &lt;&gt; 0), (AB28/$I28)*100, ""))</f>
        <v/>
      </c>
      <c r="AD28" s="31"/>
      <c r="AE28" s="34" t="str">
        <f>IF((ISERROR((AD28/$I28)*100)), "", IF(AND(NOT(ISERROR((AD28/$I28)*100)),((AD28/$I28)*100) &lt;&gt; 0), (AD28/$I28)*100, ""))</f>
        <v/>
      </c>
      <c r="AF28" s="21" t="s">
        <v>396</v>
      </c>
      <c r="AG28" s="21"/>
      <c r="AH28" s="21"/>
      <c r="AI28" s="21"/>
      <c r="AJ28" s="21"/>
      <c r="AK28" s="21"/>
      <c r="AL28" s="21"/>
      <c r="AM28" s="21"/>
      <c r="AN28" s="21"/>
      <c r="AO28" s="21"/>
      <c r="AP28" s="21"/>
      <c r="AQ28" s="21"/>
      <c r="AR28" s="21"/>
      <c r="AS28" s="21"/>
      <c r="AT28" s="21"/>
      <c r="AU28" s="21"/>
      <c r="AV28" s="21"/>
      <c r="AW28" s="21"/>
      <c r="AX28" s="21"/>
      <c r="AY28" s="21"/>
      <c r="AZ28" s="21"/>
      <c r="BA28" s="21"/>
    </row>
    <row r="29" spans="1:53" ht="20" customHeight="1" x14ac:dyDescent="0.2">
      <c r="A29" s="678"/>
      <c r="B29" s="721"/>
      <c r="C29" s="258"/>
      <c r="D29" s="722" t="s">
        <v>85</v>
      </c>
      <c r="E29" s="723" t="s">
        <v>45</v>
      </c>
      <c r="F29" s="723" t="s">
        <v>46</v>
      </c>
      <c r="G29" s="722">
        <v>1998</v>
      </c>
      <c r="H29" s="287">
        <v>96</v>
      </c>
      <c r="I29" s="65">
        <v>61</v>
      </c>
      <c r="J29" s="61" t="s">
        <v>175</v>
      </c>
      <c r="K29" s="62" t="s">
        <v>187</v>
      </c>
      <c r="L29" s="31"/>
      <c r="M29" s="34" t="str">
        <f t="shared" si="0"/>
        <v/>
      </c>
      <c r="N29" s="31"/>
      <c r="O29" s="34" t="str">
        <f t="shared" si="1"/>
        <v/>
      </c>
      <c r="P29" s="31"/>
      <c r="Q29" s="34" t="str">
        <f t="shared" si="2"/>
        <v/>
      </c>
      <c r="R29" s="31"/>
      <c r="S29" s="34" t="str">
        <f t="shared" si="3"/>
        <v/>
      </c>
      <c r="T29" s="31"/>
      <c r="U29" s="34" t="str">
        <f t="shared" si="4"/>
        <v/>
      </c>
      <c r="V29" s="56"/>
      <c r="W29" s="34" t="str">
        <f t="shared" si="5"/>
        <v/>
      </c>
      <c r="X29" s="31"/>
      <c r="Y29" s="34" t="str">
        <f t="shared" ref="Y29:Y30" si="18">IF((ISERROR((X29/$I29)*100)), "", IF(AND(NOT(ISERROR((X29/$I29)*100)),((X29/$I29)*100) &lt;&gt; 0), (X29/$I29)*100, ""))</f>
        <v/>
      </c>
      <c r="Z29" s="31"/>
      <c r="AA29" s="34" t="str">
        <f t="shared" ref="AA29:AA30" si="19">IF((ISERROR((Z29/$I29)*100)), "", IF(AND(NOT(ISERROR((Z29/$I29)*100)),((Z29/$I29)*100) &lt;&gt; 0), (Z29/$I29)*100, ""))</f>
        <v/>
      </c>
      <c r="AB29" s="31"/>
      <c r="AC29" s="34" t="str">
        <f t="shared" ref="AC29:AC30" si="20">IF((ISERROR((AB29/$I29)*100)), "", IF(AND(NOT(ISERROR((AB29/$I29)*100)),((AB29/$I29)*100) &lt;&gt; 0), (AB29/$I29)*100, ""))</f>
        <v/>
      </c>
      <c r="AD29" s="31"/>
      <c r="AE29" s="34" t="str">
        <f t="shared" ref="AE29:AE30" si="21">IF((ISERROR((AD29/$I29)*100)), "", IF(AND(NOT(ISERROR((AD29/$I29)*100)),((AD29/$I29)*100) &lt;&gt; 0), (AD29/$I29)*100, ""))</f>
        <v/>
      </c>
      <c r="AF29" s="21" t="s">
        <v>176</v>
      </c>
      <c r="AG29" s="21"/>
      <c r="AH29" s="21"/>
      <c r="AI29" s="21"/>
      <c r="AJ29" s="21"/>
      <c r="AK29" s="21"/>
      <c r="AL29" s="21"/>
      <c r="AM29" s="21"/>
      <c r="AN29" s="21"/>
      <c r="AO29" s="21"/>
      <c r="AP29" s="21"/>
      <c r="AQ29" s="21"/>
      <c r="AR29" s="21"/>
      <c r="AS29" s="21"/>
      <c r="AT29" s="21"/>
      <c r="AU29" s="21"/>
      <c r="AV29" s="21"/>
      <c r="AW29" s="21"/>
      <c r="AX29" s="21"/>
      <c r="AY29" s="21"/>
      <c r="AZ29" s="21"/>
      <c r="BA29" s="21"/>
    </row>
    <row r="30" spans="1:53" ht="20" customHeight="1" x14ac:dyDescent="0.2">
      <c r="A30" s="678"/>
      <c r="B30" s="725"/>
      <c r="C30" s="255"/>
      <c r="D30" s="722" t="s">
        <v>85</v>
      </c>
      <c r="E30" s="723" t="s">
        <v>260</v>
      </c>
      <c r="F30" s="723" t="s">
        <v>261</v>
      </c>
      <c r="G30" s="722">
        <v>2000</v>
      </c>
      <c r="H30" s="287"/>
      <c r="I30" s="65">
        <v>9</v>
      </c>
      <c r="J30" s="61" t="s">
        <v>217</v>
      </c>
      <c r="K30" s="62" t="s">
        <v>168</v>
      </c>
      <c r="L30" s="31"/>
      <c r="M30" s="34" t="str">
        <f t="shared" si="0"/>
        <v/>
      </c>
      <c r="N30" s="31"/>
      <c r="O30" s="34" t="str">
        <f t="shared" si="1"/>
        <v/>
      </c>
      <c r="P30" s="31">
        <v>1</v>
      </c>
      <c r="Q30" s="34">
        <f t="shared" si="2"/>
        <v>11.111111111111111</v>
      </c>
      <c r="R30" s="31"/>
      <c r="S30" s="34" t="str">
        <f t="shared" si="3"/>
        <v/>
      </c>
      <c r="T30" s="31">
        <v>1</v>
      </c>
      <c r="U30" s="34">
        <f t="shared" si="4"/>
        <v>11.111111111111111</v>
      </c>
      <c r="V30" s="56">
        <v>1</v>
      </c>
      <c r="W30" s="34">
        <f t="shared" si="5"/>
        <v>11.111111111111111</v>
      </c>
      <c r="X30" s="31"/>
      <c r="Y30" s="34" t="str">
        <f t="shared" si="18"/>
        <v/>
      </c>
      <c r="Z30" s="31"/>
      <c r="AA30" s="34" t="str">
        <f t="shared" si="19"/>
        <v/>
      </c>
      <c r="AB30" s="31"/>
      <c r="AC30" s="34" t="str">
        <f t="shared" si="20"/>
        <v/>
      </c>
      <c r="AD30" s="31"/>
      <c r="AE30" s="34" t="str">
        <f t="shared" si="21"/>
        <v/>
      </c>
      <c r="AF30" s="21" t="s">
        <v>334</v>
      </c>
      <c r="AG30" s="21"/>
      <c r="AH30" s="21"/>
      <c r="AI30" s="21"/>
      <c r="AJ30" s="21"/>
      <c r="AK30" s="21"/>
      <c r="AL30" s="21"/>
      <c r="AM30" s="21"/>
      <c r="AN30" s="21"/>
      <c r="AO30" s="21"/>
      <c r="AP30" s="21"/>
      <c r="AQ30" s="21"/>
      <c r="AR30" s="21"/>
      <c r="AS30" s="21"/>
      <c r="AT30" s="21"/>
      <c r="AU30" s="21"/>
      <c r="AV30" s="21"/>
      <c r="AW30" s="21"/>
      <c r="AX30" s="21"/>
      <c r="AY30" s="21"/>
      <c r="AZ30" s="21"/>
      <c r="BA30" s="21"/>
    </row>
    <row r="31" spans="1:53" ht="20" customHeight="1" x14ac:dyDescent="0.2">
      <c r="A31" s="678"/>
      <c r="B31" s="725"/>
      <c r="C31" s="253"/>
      <c r="D31" s="722" t="s">
        <v>85</v>
      </c>
      <c r="E31" s="723" t="s">
        <v>262</v>
      </c>
      <c r="F31" s="723" t="s">
        <v>263</v>
      </c>
      <c r="G31" s="722">
        <v>2003</v>
      </c>
      <c r="H31" s="287"/>
      <c r="I31" s="65">
        <v>10</v>
      </c>
      <c r="J31" s="61" t="s">
        <v>184</v>
      </c>
      <c r="K31" s="62" t="s">
        <v>189</v>
      </c>
      <c r="L31" s="31"/>
      <c r="M31" s="34" t="str">
        <f t="shared" si="0"/>
        <v/>
      </c>
      <c r="N31" s="31"/>
      <c r="O31" s="34" t="str">
        <f t="shared" si="1"/>
        <v/>
      </c>
      <c r="P31" s="31"/>
      <c r="Q31" s="34" t="str">
        <f t="shared" si="2"/>
        <v/>
      </c>
      <c r="R31" s="31"/>
      <c r="S31" s="34" t="str">
        <f t="shared" si="3"/>
        <v/>
      </c>
      <c r="T31" s="31"/>
      <c r="U31" s="34" t="str">
        <f t="shared" si="4"/>
        <v/>
      </c>
      <c r="V31" s="56"/>
      <c r="W31" s="34" t="str">
        <f t="shared" si="5"/>
        <v/>
      </c>
      <c r="X31" s="31"/>
      <c r="Y31" s="34" t="str">
        <f t="shared" ref="Y31" si="22">IF((ISERROR((X31/$I31)*100)), "", IF(AND(NOT(ISERROR((X31/$I31)*100)),((X31/$I31)*100) &lt;&gt; 0), (X31/$I31)*100, ""))</f>
        <v/>
      </c>
      <c r="Z31" s="31"/>
      <c r="AA31" s="34" t="str">
        <f t="shared" ref="AA31" si="23">IF((ISERROR((Z31/$I31)*100)), "", IF(AND(NOT(ISERROR((Z31/$I31)*100)),((Z31/$I31)*100) &lt;&gt; 0), (Z31/$I31)*100, ""))</f>
        <v/>
      </c>
      <c r="AB31" s="31"/>
      <c r="AC31" s="34" t="str">
        <f t="shared" ref="AC31" si="24">IF((ISERROR((AB31/$I31)*100)), "", IF(AND(NOT(ISERROR((AB31/$I31)*100)),((AB31/$I31)*100) &lt;&gt; 0), (AB31/$I31)*100, ""))</f>
        <v/>
      </c>
      <c r="AD31" s="31"/>
      <c r="AE31" s="34" t="str">
        <f t="shared" ref="AE31" si="25">IF((ISERROR((AD31/$I31)*100)), "", IF(AND(NOT(ISERROR((AD31/$I31)*100)),((AD31/$I31)*100) &lt;&gt; 0), (AD31/$I31)*100, ""))</f>
        <v/>
      </c>
      <c r="AF31" s="21" t="s">
        <v>199</v>
      </c>
      <c r="AG31" s="21"/>
      <c r="AH31" s="21"/>
      <c r="AI31" s="21"/>
      <c r="AJ31" s="21"/>
      <c r="AK31" s="21"/>
      <c r="AL31" s="21"/>
      <c r="AM31" s="21"/>
      <c r="AN31" s="21"/>
      <c r="AO31" s="21"/>
      <c r="AP31" s="21"/>
      <c r="AQ31" s="21"/>
      <c r="AR31" s="21"/>
      <c r="AS31" s="21"/>
      <c r="AT31" s="21"/>
      <c r="AU31" s="21"/>
      <c r="AV31" s="21"/>
      <c r="AW31" s="21"/>
      <c r="AX31" s="21"/>
      <c r="AY31" s="21"/>
      <c r="AZ31" s="21"/>
      <c r="BA31" s="21"/>
    </row>
    <row r="32" spans="1:53" ht="20" customHeight="1" x14ac:dyDescent="0.2">
      <c r="A32" s="726"/>
      <c r="B32" s="721"/>
      <c r="C32" s="722"/>
      <c r="D32" s="722" t="s">
        <v>85</v>
      </c>
      <c r="E32" s="723" t="s">
        <v>618</v>
      </c>
      <c r="F32" s="723" t="s">
        <v>619</v>
      </c>
      <c r="G32" s="722">
        <v>2011</v>
      </c>
      <c r="H32" s="287"/>
      <c r="I32" s="65">
        <v>80</v>
      </c>
      <c r="J32" s="61" t="s">
        <v>620</v>
      </c>
      <c r="K32" s="62" t="s">
        <v>621</v>
      </c>
      <c r="L32" s="31"/>
      <c r="M32" s="34"/>
      <c r="N32" s="31"/>
      <c r="O32" s="34"/>
      <c r="P32" s="31"/>
      <c r="Q32" s="34"/>
      <c r="R32" s="31"/>
      <c r="S32" s="34"/>
      <c r="T32" s="31"/>
      <c r="U32" s="34"/>
      <c r="V32" s="56"/>
      <c r="W32" s="34"/>
      <c r="X32" s="31"/>
      <c r="Y32" s="34"/>
      <c r="Z32" s="31"/>
      <c r="AA32" s="34"/>
      <c r="AB32" s="31"/>
      <c r="AC32" s="34"/>
      <c r="AD32" s="31"/>
      <c r="AE32" s="34"/>
      <c r="AF32" s="21"/>
      <c r="AG32" s="21"/>
      <c r="AH32" s="21"/>
      <c r="AI32" s="21"/>
      <c r="AJ32" s="21"/>
      <c r="AK32" s="21"/>
      <c r="AL32" s="21"/>
      <c r="AM32" s="21"/>
      <c r="AN32" s="21"/>
      <c r="AO32" s="21"/>
      <c r="AP32" s="21"/>
      <c r="AQ32" s="21"/>
      <c r="AR32" s="21"/>
      <c r="AS32" s="21"/>
      <c r="AT32" s="21"/>
      <c r="AU32" s="21"/>
      <c r="AV32" s="21"/>
      <c r="AW32" s="21"/>
      <c r="AX32" s="21"/>
      <c r="AY32" s="21"/>
      <c r="AZ32" s="21"/>
      <c r="BA32" s="21"/>
    </row>
    <row r="33" spans="1:53" ht="20" customHeight="1" x14ac:dyDescent="0.2">
      <c r="A33" s="726"/>
      <c r="B33" s="721"/>
      <c r="C33" s="722"/>
      <c r="D33" s="722" t="s">
        <v>85</v>
      </c>
      <c r="E33" s="723" t="s">
        <v>622</v>
      </c>
      <c r="F33" s="723" t="s">
        <v>705</v>
      </c>
      <c r="G33" s="722">
        <v>2012</v>
      </c>
      <c r="H33" s="287"/>
      <c r="I33" s="65"/>
      <c r="J33" s="61" t="s">
        <v>213</v>
      </c>
      <c r="K33" s="62" t="s">
        <v>192</v>
      </c>
      <c r="L33" s="31"/>
      <c r="M33" s="34"/>
      <c r="N33" s="31"/>
      <c r="O33" s="34"/>
      <c r="P33" s="31"/>
      <c r="Q33" s="34"/>
      <c r="R33" s="31"/>
      <c r="S33" s="34"/>
      <c r="T33" s="31"/>
      <c r="U33" s="34"/>
      <c r="V33" s="56"/>
      <c r="W33" s="34"/>
      <c r="X33" s="31"/>
      <c r="Y33" s="34"/>
      <c r="Z33" s="31"/>
      <c r="AA33" s="34"/>
      <c r="AB33" s="31"/>
      <c r="AC33" s="34"/>
      <c r="AD33" s="31"/>
      <c r="AE33" s="34"/>
      <c r="AF33" s="21"/>
      <c r="AG33" s="21"/>
      <c r="AH33" s="21"/>
      <c r="AI33" s="21"/>
      <c r="AJ33" s="21"/>
      <c r="AK33" s="21"/>
      <c r="AL33" s="21"/>
      <c r="AM33" s="21"/>
      <c r="AN33" s="21"/>
      <c r="AO33" s="21"/>
      <c r="AP33" s="21"/>
      <c r="AQ33" s="21"/>
      <c r="AR33" s="21"/>
      <c r="AS33" s="21"/>
      <c r="AT33" s="21"/>
      <c r="AU33" s="21"/>
      <c r="AV33" s="21"/>
      <c r="AW33" s="21"/>
      <c r="AX33" s="21"/>
      <c r="AY33" s="21"/>
      <c r="AZ33" s="21"/>
      <c r="BA33" s="21"/>
    </row>
    <row r="34" spans="1:53" ht="20" customHeight="1" x14ac:dyDescent="0.2">
      <c r="A34" s="678"/>
      <c r="B34" s="725"/>
      <c r="C34" s="255"/>
      <c r="D34" s="722" t="s">
        <v>85</v>
      </c>
      <c r="E34" s="723" t="s">
        <v>397</v>
      </c>
      <c r="F34" s="723" t="s">
        <v>398</v>
      </c>
      <c r="G34" s="722">
        <v>2013</v>
      </c>
      <c r="H34" s="287"/>
      <c r="I34" s="65">
        <v>38</v>
      </c>
      <c r="J34" s="61" t="s">
        <v>399</v>
      </c>
      <c r="K34" s="62" t="s">
        <v>168</v>
      </c>
      <c r="L34" s="31"/>
      <c r="M34" s="34" t="str">
        <f t="shared" si="0"/>
        <v/>
      </c>
      <c r="N34" s="31"/>
      <c r="O34" s="34" t="str">
        <f t="shared" si="1"/>
        <v/>
      </c>
      <c r="P34" s="31"/>
      <c r="Q34" s="34" t="str">
        <f t="shared" si="2"/>
        <v/>
      </c>
      <c r="R34" s="31"/>
      <c r="S34" s="34" t="str">
        <f t="shared" si="3"/>
        <v/>
      </c>
      <c r="T34" s="31"/>
      <c r="U34" s="34" t="str">
        <f t="shared" si="4"/>
        <v/>
      </c>
      <c r="V34" s="31"/>
      <c r="W34" s="34" t="str">
        <f t="shared" si="5"/>
        <v/>
      </c>
      <c r="X34" s="31"/>
      <c r="Y34" s="34" t="str">
        <f>IF((ISERROR((X34/$I34)*100)), "", IF(AND(NOT(ISERROR((X34/$I34)*100)),((X34/$I34)*100) &lt;&gt; 0), (X34/$I34)*100, ""))</f>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21" t="s">
        <v>407</v>
      </c>
      <c r="AG34" s="21"/>
      <c r="AH34" s="21"/>
      <c r="AI34" s="21"/>
      <c r="AJ34" s="21"/>
      <c r="AK34" s="21"/>
      <c r="AL34" s="21"/>
      <c r="AM34" s="21"/>
      <c r="AN34" s="21"/>
      <c r="AO34" s="21"/>
      <c r="AP34" s="21"/>
      <c r="AQ34" s="21"/>
      <c r="AR34" s="21"/>
      <c r="AS34" s="21"/>
      <c r="AT34" s="21"/>
      <c r="AU34" s="21"/>
      <c r="AV34" s="21"/>
      <c r="AW34" s="21"/>
      <c r="AX34" s="21"/>
      <c r="AY34" s="21"/>
      <c r="AZ34" s="21"/>
      <c r="BA34" s="21"/>
    </row>
    <row r="35" spans="1:53" ht="20" customHeight="1" x14ac:dyDescent="0.2">
      <c r="A35" s="726"/>
      <c r="B35" s="721"/>
      <c r="C35" s="722"/>
      <c r="D35" s="722" t="s">
        <v>85</v>
      </c>
      <c r="E35" s="723" t="s">
        <v>623</v>
      </c>
      <c r="F35" s="723" t="s">
        <v>624</v>
      </c>
      <c r="G35" s="722">
        <v>2000</v>
      </c>
      <c r="H35" s="287"/>
      <c r="I35" s="65">
        <v>12</v>
      </c>
      <c r="J35" s="61" t="s">
        <v>625</v>
      </c>
      <c r="K35" s="62"/>
      <c r="L35" s="31"/>
      <c r="M35" s="34"/>
      <c r="N35" s="31"/>
      <c r="O35" s="34"/>
      <c r="P35" s="31"/>
      <c r="Q35" s="34"/>
      <c r="R35" s="31"/>
      <c r="S35" s="34"/>
      <c r="T35" s="31"/>
      <c r="U35" s="34"/>
      <c r="V35" s="56"/>
      <c r="W35" s="34"/>
      <c r="X35" s="31"/>
      <c r="Y35" s="34"/>
      <c r="Z35" s="31"/>
      <c r="AA35" s="34"/>
      <c r="AB35" s="31"/>
      <c r="AC35" s="34"/>
      <c r="AD35" s="31"/>
      <c r="AE35" s="34"/>
      <c r="AF35" s="21"/>
      <c r="AG35" s="21"/>
      <c r="AH35" s="21"/>
      <c r="AI35" s="21"/>
      <c r="AJ35" s="21"/>
      <c r="AK35" s="21"/>
      <c r="AL35" s="21"/>
      <c r="AM35" s="21"/>
      <c r="AN35" s="21"/>
      <c r="AO35" s="21"/>
      <c r="AP35" s="21"/>
      <c r="AQ35" s="21"/>
      <c r="AR35" s="21"/>
      <c r="AS35" s="21"/>
      <c r="AT35" s="21"/>
      <c r="AU35" s="21"/>
      <c r="AV35" s="21"/>
      <c r="AW35" s="21"/>
      <c r="AX35" s="21"/>
      <c r="AY35" s="21"/>
      <c r="AZ35" s="21"/>
      <c r="BA35" s="21"/>
    </row>
    <row r="36" spans="1:53" ht="20" customHeight="1" x14ac:dyDescent="0.2">
      <c r="A36" s="678"/>
      <c r="B36" s="725"/>
      <c r="C36" s="253"/>
      <c r="D36" s="722" t="s">
        <v>85</v>
      </c>
      <c r="E36" s="723" t="s">
        <v>52</v>
      </c>
      <c r="F36" s="723" t="s">
        <v>53</v>
      </c>
      <c r="G36" s="722">
        <v>2001</v>
      </c>
      <c r="H36" s="287">
        <v>118</v>
      </c>
      <c r="I36" s="65">
        <v>20</v>
      </c>
      <c r="J36" s="61" t="s">
        <v>175</v>
      </c>
      <c r="K36" s="62" t="s">
        <v>191</v>
      </c>
      <c r="L36" s="31"/>
      <c r="M36" s="34" t="str">
        <f t="shared" si="0"/>
        <v/>
      </c>
      <c r="N36" s="31"/>
      <c r="O36" s="34" t="str">
        <f t="shared" si="1"/>
        <v/>
      </c>
      <c r="P36" s="31"/>
      <c r="Q36" s="34" t="str">
        <f t="shared" si="2"/>
        <v/>
      </c>
      <c r="R36" s="31"/>
      <c r="S36" s="34" t="str">
        <f t="shared" si="3"/>
        <v/>
      </c>
      <c r="T36" s="31"/>
      <c r="U36" s="34" t="str">
        <f t="shared" si="4"/>
        <v/>
      </c>
      <c r="V36" s="56"/>
      <c r="W36" s="34" t="str">
        <f t="shared" si="5"/>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IF((ISERROR((AD36/$I36)*100)), "", IF(AND(NOT(ISERROR((AD36/$I36)*100)),((AD36/$I36)*100) &lt;&gt; 0), (AD36/$I36)*100, ""))</f>
        <v/>
      </c>
      <c r="AF36" s="21" t="s">
        <v>179</v>
      </c>
      <c r="AG36" s="21"/>
      <c r="AH36" s="21"/>
      <c r="AI36" s="21"/>
      <c r="AJ36" s="21"/>
      <c r="AK36" s="21"/>
      <c r="AL36" s="21"/>
      <c r="AM36" s="21"/>
      <c r="AN36" s="21"/>
      <c r="AO36" s="21"/>
      <c r="AP36" s="21"/>
      <c r="AQ36" s="21"/>
      <c r="AR36" s="21"/>
      <c r="AS36" s="21"/>
      <c r="AT36" s="21"/>
      <c r="AU36" s="21"/>
      <c r="AV36" s="21"/>
      <c r="AW36" s="21"/>
      <c r="AX36" s="21"/>
      <c r="AY36" s="21"/>
      <c r="AZ36" s="21"/>
      <c r="BA36" s="21"/>
    </row>
    <row r="37" spans="1:53" ht="20" customHeight="1" x14ac:dyDescent="0.2">
      <c r="A37" s="726"/>
      <c r="B37" s="721"/>
      <c r="C37" s="255"/>
      <c r="D37" s="722" t="s">
        <v>85</v>
      </c>
      <c r="E37" s="723" t="s">
        <v>628</v>
      </c>
      <c r="F37" s="723" t="s">
        <v>629</v>
      </c>
      <c r="G37" s="722">
        <v>1993</v>
      </c>
      <c r="H37" s="287"/>
      <c r="I37" s="701"/>
      <c r="J37" s="232" t="s">
        <v>627</v>
      </c>
      <c r="K37" s="250" t="s">
        <v>626</v>
      </c>
      <c r="L37" s="31"/>
      <c r="M37" s="34"/>
      <c r="N37" s="31"/>
      <c r="O37" s="34"/>
      <c r="P37" s="31"/>
      <c r="Q37" s="34"/>
      <c r="R37" s="31"/>
      <c r="S37" s="34"/>
      <c r="T37" s="31"/>
      <c r="U37" s="34"/>
      <c r="V37" s="56"/>
      <c r="W37" s="34"/>
      <c r="X37" s="31"/>
      <c r="Y37" s="34"/>
      <c r="Z37" s="31"/>
      <c r="AA37" s="34"/>
      <c r="AB37" s="31"/>
      <c r="AC37" s="34"/>
      <c r="AD37" s="31"/>
      <c r="AE37" s="34"/>
      <c r="AF37" s="21"/>
      <c r="AG37" s="21"/>
      <c r="AH37" s="21"/>
      <c r="AI37" s="21"/>
      <c r="AJ37" s="21"/>
      <c r="AK37" s="21"/>
      <c r="AL37" s="21"/>
      <c r="AM37" s="21"/>
      <c r="AN37" s="21"/>
      <c r="AO37" s="21"/>
      <c r="AP37" s="21"/>
      <c r="AQ37" s="21"/>
      <c r="AR37" s="21"/>
      <c r="AS37" s="21"/>
      <c r="AT37" s="21"/>
      <c r="AU37" s="21"/>
      <c r="AV37" s="21"/>
      <c r="AW37" s="21"/>
      <c r="AX37" s="21"/>
      <c r="AY37" s="21"/>
      <c r="AZ37" s="21"/>
      <c r="BA37" s="21"/>
    </row>
    <row r="38" spans="1:53" ht="20" customHeight="1" x14ac:dyDescent="0.2">
      <c r="A38" s="678"/>
      <c r="B38" s="725"/>
      <c r="C38" s="255"/>
      <c r="D38" s="722" t="s">
        <v>85</v>
      </c>
      <c r="E38" s="723" t="s">
        <v>264</v>
      </c>
      <c r="F38" s="723" t="s">
        <v>265</v>
      </c>
      <c r="G38" s="722">
        <v>1994</v>
      </c>
      <c r="H38" s="287"/>
      <c r="I38" s="65">
        <v>20</v>
      </c>
      <c r="J38" s="61" t="s">
        <v>335</v>
      </c>
      <c r="K38" s="62"/>
      <c r="L38" s="31"/>
      <c r="M38" s="34" t="str">
        <f t="shared" si="0"/>
        <v/>
      </c>
      <c r="N38" s="31"/>
      <c r="O38" s="34" t="str">
        <f t="shared" si="1"/>
        <v/>
      </c>
      <c r="P38" s="31"/>
      <c r="Q38" s="34" t="str">
        <f t="shared" si="2"/>
        <v/>
      </c>
      <c r="R38" s="31"/>
      <c r="S38" s="34" t="str">
        <f t="shared" si="3"/>
        <v/>
      </c>
      <c r="T38" s="36"/>
      <c r="U38" s="37" t="str">
        <f t="shared" si="4"/>
        <v/>
      </c>
      <c r="V38" s="38"/>
      <c r="W38" s="37" t="str">
        <f t="shared" si="5"/>
        <v/>
      </c>
      <c r="X38" s="36"/>
      <c r="Y38" s="37" t="str">
        <f>IF((ISERROR((X38/$I38)*100)), "", IF(AND(NOT(ISERROR((X38/$I38)*100)),((X38/$I38)*100) &lt;&gt; 0), (X38/$I38)*100, ""))</f>
        <v/>
      </c>
      <c r="Z38" s="31"/>
      <c r="AA38" s="34" t="str">
        <f>IF((ISERROR((Z38/$I38)*100)), "", IF(AND(NOT(ISERROR((Z38/$I38)*100)),((Z38/$I38)*100) &lt;&gt; 0), (Z38/$I38)*100, ""))</f>
        <v/>
      </c>
      <c r="AB38" s="31"/>
      <c r="AC38" s="34" t="str">
        <f>IF((ISERROR((AB38/$I38)*100)), "", IF(AND(NOT(ISERROR((AB38/$I38)*100)),((AB38/$I38)*100) &lt;&gt; 0), (AB38/$I38)*100, ""))</f>
        <v/>
      </c>
      <c r="AD38" s="31"/>
      <c r="AE38" s="34" t="str">
        <f>IF((ISERROR((AD38/$I38)*100)), "", IF(AND(NOT(ISERROR((AD38/$I38)*100)),((AD38/$I38)*100) &lt;&gt; 0), (AD38/$I38)*100, ""))</f>
        <v/>
      </c>
      <c r="AF38" s="21" t="s">
        <v>400</v>
      </c>
      <c r="AG38" s="21"/>
      <c r="AH38" s="21"/>
      <c r="AI38" s="21"/>
      <c r="AJ38" s="21"/>
      <c r="AK38" s="21"/>
      <c r="AL38" s="21"/>
      <c r="AM38" s="21"/>
      <c r="AN38" s="21"/>
      <c r="AO38" s="21"/>
      <c r="AP38" s="21"/>
      <c r="AQ38" s="21"/>
      <c r="AR38" s="21"/>
      <c r="AS38" s="21"/>
      <c r="AT38" s="21"/>
      <c r="AU38" s="21"/>
      <c r="AV38" s="21"/>
      <c r="AW38" s="21"/>
      <c r="AX38" s="21"/>
      <c r="AY38" s="21"/>
      <c r="AZ38" s="21"/>
      <c r="BA38" s="21"/>
    </row>
    <row r="39" spans="1:53" ht="20" customHeight="1" x14ac:dyDescent="0.2">
      <c r="A39" s="726"/>
      <c r="B39" s="721"/>
      <c r="C39" s="255"/>
      <c r="D39" s="722" t="s">
        <v>85</v>
      </c>
      <c r="E39" s="723" t="s">
        <v>630</v>
      </c>
      <c r="F39" s="723" t="s">
        <v>631</v>
      </c>
      <c r="G39" s="722">
        <v>2013</v>
      </c>
      <c r="H39" s="287"/>
      <c r="I39" s="701">
        <v>30</v>
      </c>
      <c r="J39" s="232" t="s">
        <v>213</v>
      </c>
      <c r="K39" s="250" t="s">
        <v>632</v>
      </c>
      <c r="L39" s="31"/>
      <c r="M39" s="34"/>
      <c r="N39" s="31"/>
      <c r="O39" s="34"/>
      <c r="P39" s="31"/>
      <c r="Q39" s="34"/>
      <c r="R39" s="31"/>
      <c r="S39" s="34"/>
      <c r="T39" s="31"/>
      <c r="U39" s="34"/>
      <c r="V39" s="56"/>
      <c r="W39" s="34"/>
      <c r="X39" s="31"/>
      <c r="Y39" s="34"/>
      <c r="Z39" s="31"/>
      <c r="AA39" s="34"/>
      <c r="AB39" s="31"/>
      <c r="AC39" s="34"/>
      <c r="AD39" s="31"/>
      <c r="AE39" s="34"/>
      <c r="AF39" s="21"/>
      <c r="AG39" s="21"/>
      <c r="AH39" s="21"/>
      <c r="AI39" s="21"/>
      <c r="AJ39" s="21"/>
      <c r="AK39" s="21"/>
      <c r="AL39" s="21"/>
      <c r="AM39" s="21"/>
      <c r="AN39" s="21"/>
      <c r="AO39" s="21"/>
      <c r="AP39" s="21"/>
      <c r="AQ39" s="21"/>
      <c r="AR39" s="21"/>
      <c r="AS39" s="21"/>
      <c r="AT39" s="21"/>
      <c r="AU39" s="21"/>
      <c r="AV39" s="21"/>
      <c r="AW39" s="21"/>
      <c r="AX39" s="21"/>
      <c r="AY39" s="21"/>
      <c r="AZ39" s="21"/>
      <c r="BA39" s="21"/>
    </row>
    <row r="40" spans="1:53" ht="20" customHeight="1" x14ac:dyDescent="0.2">
      <c r="A40" s="678"/>
      <c r="B40" s="725"/>
      <c r="C40" s="253"/>
      <c r="D40" s="722" t="s">
        <v>85</v>
      </c>
      <c r="E40" s="723" t="s">
        <v>336</v>
      </c>
      <c r="F40" s="723" t="s">
        <v>337</v>
      </c>
      <c r="G40" s="722">
        <v>2008</v>
      </c>
      <c r="H40" s="287"/>
      <c r="I40" s="65">
        <v>16</v>
      </c>
      <c r="J40" s="61" t="s">
        <v>175</v>
      </c>
      <c r="K40" s="62" t="s">
        <v>338</v>
      </c>
      <c r="L40" s="31"/>
      <c r="M40" s="34" t="str">
        <f t="shared" si="0"/>
        <v/>
      </c>
      <c r="N40" s="31"/>
      <c r="O40" s="34" t="str">
        <f t="shared" si="1"/>
        <v/>
      </c>
      <c r="P40" s="31"/>
      <c r="Q40" s="34" t="str">
        <f t="shared" si="2"/>
        <v/>
      </c>
      <c r="R40" s="31"/>
      <c r="S40" s="34" t="str">
        <f t="shared" si="3"/>
        <v/>
      </c>
      <c r="T40" s="31"/>
      <c r="U40" s="34" t="str">
        <f t="shared" si="4"/>
        <v/>
      </c>
      <c r="V40" s="56"/>
      <c r="W40" s="34" t="str">
        <f t="shared" si="5"/>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IF((ISERROR((AD40/$I40)*100)), "", IF(AND(NOT(ISERROR((AD40/$I40)*100)),((AD40/$I40)*100) &lt;&gt; 0), (AD40/$I40)*100, ""))</f>
        <v/>
      </c>
      <c r="AF40" s="21" t="s">
        <v>408</v>
      </c>
      <c r="AG40" s="21"/>
      <c r="AH40" s="21"/>
      <c r="AI40" s="21"/>
      <c r="AJ40" s="21"/>
      <c r="AK40" s="21"/>
      <c r="AL40" s="21"/>
      <c r="AM40" s="21"/>
      <c r="AN40" s="21"/>
      <c r="AO40" s="21"/>
      <c r="AP40" s="21"/>
      <c r="AQ40" s="21"/>
      <c r="AR40" s="21"/>
      <c r="AS40" s="21"/>
      <c r="AT40" s="21"/>
      <c r="AU40" s="21"/>
      <c r="AV40" s="21"/>
      <c r="AW40" s="21"/>
      <c r="AX40" s="21"/>
      <c r="AY40" s="21"/>
      <c r="AZ40" s="21"/>
      <c r="BA40" s="21"/>
    </row>
    <row r="41" spans="1:53" ht="20" customHeight="1" x14ac:dyDescent="0.2">
      <c r="A41" s="678"/>
      <c r="B41" s="725"/>
      <c r="C41" s="255"/>
      <c r="D41" s="722" t="s">
        <v>85</v>
      </c>
      <c r="E41" s="723" t="s">
        <v>54</v>
      </c>
      <c r="F41" s="723" t="s">
        <v>55</v>
      </c>
      <c r="G41" s="722">
        <v>1996</v>
      </c>
      <c r="H41" s="287">
        <v>82</v>
      </c>
      <c r="I41" s="65">
        <v>15</v>
      </c>
      <c r="J41" s="61" t="s">
        <v>175</v>
      </c>
      <c r="K41" s="62" t="s">
        <v>177</v>
      </c>
      <c r="L41" s="31">
        <v>1</v>
      </c>
      <c r="M41" s="34">
        <f t="shared" si="0"/>
        <v>6.666666666666667</v>
      </c>
      <c r="N41" s="31"/>
      <c r="O41" s="34" t="str">
        <f t="shared" si="1"/>
        <v/>
      </c>
      <c r="P41" s="31"/>
      <c r="Q41" s="34" t="str">
        <f t="shared" si="2"/>
        <v/>
      </c>
      <c r="R41" s="31"/>
      <c r="S41" s="34" t="str">
        <f t="shared" si="3"/>
        <v/>
      </c>
      <c r="T41" s="31"/>
      <c r="U41" s="34" t="str">
        <f t="shared" si="4"/>
        <v/>
      </c>
      <c r="V41" s="56">
        <v>1</v>
      </c>
      <c r="W41" s="34">
        <f t="shared" si="5"/>
        <v>6.666666666666667</v>
      </c>
      <c r="X41" s="31"/>
      <c r="Y41" s="34" t="str">
        <f>IF((ISERROR((X41/$I41)*100)), "", IF(AND(NOT(ISERROR((X41/$I41)*100)),((X41/$I41)*100) &lt;&gt; 0), (X41/$I41)*100, ""))</f>
        <v/>
      </c>
      <c r="Z41" s="31"/>
      <c r="AA41" s="34" t="str">
        <f>IF((ISERROR((Z41/$I41)*100)), "", IF(AND(NOT(ISERROR((Z41/$I41)*100)),((Z41/$I41)*100) &lt;&gt; 0), (Z41/$I41)*100, ""))</f>
        <v/>
      </c>
      <c r="AB41" s="31"/>
      <c r="AC41" s="34" t="str">
        <f>IF((ISERROR((AB41/$I41)*100)), "", IF(AND(NOT(ISERROR((AB41/$I41)*100)),((AB41/$I41)*100) &lt;&gt; 0), (AB41/$I41)*100, ""))</f>
        <v/>
      </c>
      <c r="AD41" s="31"/>
      <c r="AE41" s="34" t="str">
        <f>IF((ISERROR((AD41/$I41)*100)), "", IF(AND(NOT(ISERROR((AD41/$I41)*100)),((AD41/$I41)*100) &lt;&gt; 0), (AD41/$I41)*100, ""))</f>
        <v/>
      </c>
      <c r="AF41" s="21" t="s">
        <v>339</v>
      </c>
      <c r="AG41" s="21"/>
      <c r="AH41" s="21"/>
      <c r="AI41" s="21"/>
      <c r="AJ41" s="21"/>
      <c r="AK41" s="21"/>
      <c r="AL41" s="21"/>
      <c r="AM41" s="21"/>
      <c r="AN41" s="21"/>
      <c r="AO41" s="21"/>
      <c r="AP41" s="21"/>
      <c r="AQ41" s="21"/>
      <c r="AR41" s="21"/>
      <c r="AS41" s="21"/>
      <c r="AT41" s="21"/>
      <c r="AU41" s="21"/>
      <c r="AV41" s="21"/>
      <c r="AW41" s="21"/>
      <c r="AX41" s="21"/>
      <c r="AY41" s="21"/>
      <c r="AZ41" s="21"/>
      <c r="BA41" s="21"/>
    </row>
    <row r="42" spans="1:53" ht="20" customHeight="1" x14ac:dyDescent="0.2">
      <c r="A42" s="678"/>
      <c r="B42" s="725"/>
      <c r="C42" s="253"/>
      <c r="D42" s="722" t="s">
        <v>85</v>
      </c>
      <c r="E42" s="723" t="s">
        <v>266</v>
      </c>
      <c r="F42" s="723" t="s">
        <v>267</v>
      </c>
      <c r="G42" s="722">
        <v>2016</v>
      </c>
      <c r="H42" s="287"/>
      <c r="I42" s="65">
        <v>49</v>
      </c>
      <c r="J42" s="61" t="s">
        <v>340</v>
      </c>
      <c r="K42" s="62" t="s">
        <v>192</v>
      </c>
      <c r="L42" s="31"/>
      <c r="M42" s="34" t="str">
        <f t="shared" si="0"/>
        <v/>
      </c>
      <c r="N42" s="31"/>
      <c r="O42" s="34" t="str">
        <f t="shared" si="1"/>
        <v/>
      </c>
      <c r="P42" s="31"/>
      <c r="Q42" s="34" t="str">
        <f t="shared" si="2"/>
        <v/>
      </c>
      <c r="R42" s="31"/>
      <c r="S42" s="34" t="str">
        <f t="shared" si="3"/>
        <v/>
      </c>
      <c r="T42" s="31"/>
      <c r="U42" s="34" t="str">
        <f t="shared" si="4"/>
        <v/>
      </c>
      <c r="V42" s="56"/>
      <c r="W42" s="34" t="str">
        <f t="shared" si="5"/>
        <v/>
      </c>
      <c r="X42" s="31"/>
      <c r="Y42" s="34" t="str">
        <f t="shared" ref="Y42:Y50" si="26">IF((ISERROR((X42/$I42)*100)), "", IF(AND(NOT(ISERROR((X42/$I42)*100)),((X42/$I42)*100) &lt;&gt; 0), (X42/$I42)*100, ""))</f>
        <v/>
      </c>
      <c r="Z42" s="31"/>
      <c r="AA42" s="34" t="str">
        <f t="shared" ref="AA42:AA50" si="27">IF((ISERROR((Z42/$I42)*100)), "", IF(AND(NOT(ISERROR((Z42/$I42)*100)),((Z42/$I42)*100) &lt;&gt; 0), (Z42/$I42)*100, ""))</f>
        <v/>
      </c>
      <c r="AB42" s="31"/>
      <c r="AC42" s="34" t="str">
        <f t="shared" ref="AC42:AC50" si="28">IF((ISERROR((AB42/$I42)*100)), "", IF(AND(NOT(ISERROR((AB42/$I42)*100)),((AB42/$I42)*100) &lt;&gt; 0), (AB42/$I42)*100, ""))</f>
        <v/>
      </c>
      <c r="AD42" s="31"/>
      <c r="AE42" s="34" t="str">
        <f t="shared" ref="AE42:AE50" si="29">IF((ISERROR((AD42/$I42)*100)), "", IF(AND(NOT(ISERROR((AD42/$I42)*100)),((AD42/$I42)*100) &lt;&gt; 0), (AD42/$I42)*100, ""))</f>
        <v/>
      </c>
      <c r="AF42" s="21" t="s">
        <v>341</v>
      </c>
      <c r="AG42" s="21"/>
      <c r="AH42" s="21"/>
      <c r="AI42" s="21"/>
      <c r="AJ42" s="21"/>
      <c r="AK42" s="21"/>
      <c r="AL42" s="21"/>
      <c r="AM42" s="21"/>
      <c r="AN42" s="21"/>
      <c r="AO42" s="21"/>
      <c r="AP42" s="21"/>
      <c r="AQ42" s="21"/>
      <c r="AR42" s="21"/>
      <c r="AS42" s="21"/>
      <c r="AT42" s="21"/>
      <c r="AU42" s="21"/>
      <c r="AV42" s="21"/>
      <c r="AW42" s="21"/>
      <c r="AX42" s="21"/>
      <c r="AY42" s="21"/>
      <c r="AZ42" s="21"/>
      <c r="BA42" s="21"/>
    </row>
    <row r="43" spans="1:53" ht="20" customHeight="1" x14ac:dyDescent="0.2">
      <c r="A43" s="678"/>
      <c r="B43" s="721"/>
      <c r="C43" s="253"/>
      <c r="D43" s="722" t="s">
        <v>85</v>
      </c>
      <c r="E43" s="723" t="s">
        <v>86</v>
      </c>
      <c r="F43" s="723" t="s">
        <v>56</v>
      </c>
      <c r="G43" s="722">
        <v>2014</v>
      </c>
      <c r="H43" s="287">
        <v>41</v>
      </c>
      <c r="I43" s="65">
        <v>20</v>
      </c>
      <c r="J43" s="61" t="s">
        <v>178</v>
      </c>
      <c r="K43" s="62"/>
      <c r="L43" s="31"/>
      <c r="M43" s="34" t="str">
        <f t="shared" si="0"/>
        <v/>
      </c>
      <c r="N43" s="31"/>
      <c r="O43" s="34" t="str">
        <f t="shared" si="1"/>
        <v/>
      </c>
      <c r="P43" s="31"/>
      <c r="Q43" s="34" t="str">
        <f t="shared" si="2"/>
        <v/>
      </c>
      <c r="R43" s="31"/>
      <c r="S43" s="34" t="str">
        <f t="shared" si="3"/>
        <v/>
      </c>
      <c r="T43" s="36"/>
      <c r="U43" s="37" t="str">
        <f t="shared" si="4"/>
        <v/>
      </c>
      <c r="V43" s="56"/>
      <c r="W43" s="34" t="str">
        <f t="shared" si="5"/>
        <v/>
      </c>
      <c r="X43" s="31"/>
      <c r="Y43" s="34" t="str">
        <f t="shared" si="26"/>
        <v/>
      </c>
      <c r="Z43" s="31"/>
      <c r="AA43" s="34" t="str">
        <f t="shared" si="27"/>
        <v/>
      </c>
      <c r="AB43" s="31"/>
      <c r="AC43" s="34" t="str">
        <f t="shared" si="28"/>
        <v/>
      </c>
      <c r="AD43" s="31"/>
      <c r="AE43" s="34" t="str">
        <f t="shared" si="29"/>
        <v/>
      </c>
      <c r="AF43" s="21" t="s">
        <v>342</v>
      </c>
      <c r="AG43" s="21"/>
      <c r="AH43" s="21"/>
      <c r="AI43" s="21"/>
      <c r="AJ43" s="21"/>
      <c r="AK43" s="21"/>
      <c r="AL43" s="21"/>
      <c r="AM43" s="21"/>
      <c r="AN43" s="21"/>
      <c r="AO43" s="21"/>
      <c r="AP43" s="21"/>
      <c r="AQ43" s="21"/>
      <c r="AR43" s="21"/>
      <c r="AS43" s="21"/>
      <c r="AT43" s="21"/>
      <c r="AU43" s="21"/>
      <c r="AV43" s="21"/>
      <c r="AW43" s="21"/>
      <c r="AX43" s="21"/>
      <c r="AY43" s="21"/>
      <c r="AZ43" s="21"/>
      <c r="BA43" s="21"/>
    </row>
    <row r="44" spans="1:53" ht="20" customHeight="1" x14ac:dyDescent="0.2">
      <c r="A44" s="680"/>
      <c r="B44" s="721"/>
      <c r="C44" s="255"/>
      <c r="D44" s="722" t="s">
        <v>85</v>
      </c>
      <c r="E44" s="723" t="s">
        <v>633</v>
      </c>
      <c r="F44" s="723" t="s">
        <v>514</v>
      </c>
      <c r="G44" s="722">
        <v>1995</v>
      </c>
      <c r="H44" s="287"/>
      <c r="I44" s="701">
        <v>12</v>
      </c>
      <c r="J44" s="232" t="s">
        <v>210</v>
      </c>
      <c r="K44" s="250" t="s">
        <v>209</v>
      </c>
      <c r="L44" s="31"/>
      <c r="M44" s="34"/>
      <c r="N44" s="31"/>
      <c r="O44" s="34"/>
      <c r="P44" s="31"/>
      <c r="Q44" s="34"/>
      <c r="R44" s="31"/>
      <c r="S44" s="34"/>
      <c r="T44" s="31"/>
      <c r="U44" s="34"/>
      <c r="V44" s="56"/>
      <c r="W44" s="34"/>
      <c r="X44" s="31"/>
      <c r="Y44" s="34"/>
      <c r="Z44" s="31"/>
      <c r="AA44" s="34"/>
      <c r="AB44" s="31"/>
      <c r="AC44" s="34"/>
      <c r="AD44" s="31"/>
      <c r="AE44" s="34"/>
      <c r="AF44" s="21"/>
      <c r="AG44" s="21"/>
      <c r="AH44" s="21"/>
      <c r="AI44" s="21"/>
      <c r="AJ44" s="21"/>
      <c r="AK44" s="21"/>
      <c r="AL44" s="21"/>
      <c r="AM44" s="21"/>
      <c r="AN44" s="21"/>
      <c r="AO44" s="21"/>
      <c r="AP44" s="21"/>
      <c r="AQ44" s="21"/>
      <c r="AR44" s="21"/>
      <c r="AS44" s="21"/>
      <c r="AT44" s="21"/>
      <c r="AU44" s="21"/>
      <c r="AV44" s="21"/>
      <c r="AW44" s="21"/>
      <c r="AX44" s="21"/>
      <c r="AY44" s="21"/>
      <c r="AZ44" s="21"/>
      <c r="BA44" s="21"/>
    </row>
    <row r="45" spans="1:53" ht="20" customHeight="1" x14ac:dyDescent="0.2">
      <c r="A45" s="680"/>
      <c r="B45" s="725"/>
      <c r="C45" s="255"/>
      <c r="D45" s="722" t="s">
        <v>85</v>
      </c>
      <c r="E45" s="723" t="s">
        <v>634</v>
      </c>
      <c r="F45" s="723" t="s">
        <v>514</v>
      </c>
      <c r="G45" s="722">
        <v>1999</v>
      </c>
      <c r="H45" s="287"/>
      <c r="I45" s="703">
        <v>34</v>
      </c>
      <c r="J45" s="704" t="s">
        <v>210</v>
      </c>
      <c r="K45" s="705" t="s">
        <v>636</v>
      </c>
      <c r="L45" s="31"/>
      <c r="M45" s="34"/>
      <c r="N45" s="31"/>
      <c r="O45" s="34"/>
      <c r="P45" s="31"/>
      <c r="Q45" s="34"/>
      <c r="R45" s="31"/>
      <c r="S45" s="34"/>
      <c r="T45" s="31"/>
      <c r="U45" s="34"/>
      <c r="V45" s="56"/>
      <c r="W45" s="34"/>
      <c r="X45" s="31"/>
      <c r="Y45" s="34"/>
      <c r="Z45" s="31"/>
      <c r="AA45" s="34"/>
      <c r="AB45" s="31"/>
      <c r="AC45" s="34"/>
      <c r="AD45" s="31"/>
      <c r="AE45" s="34"/>
      <c r="AF45" s="21"/>
      <c r="AG45" s="21"/>
      <c r="AH45" s="21"/>
      <c r="AI45" s="21"/>
      <c r="AJ45" s="21"/>
      <c r="AK45" s="21"/>
      <c r="AL45" s="21"/>
      <c r="AM45" s="21"/>
      <c r="AN45" s="21"/>
      <c r="AO45" s="21"/>
      <c r="AP45" s="21"/>
      <c r="AQ45" s="21"/>
      <c r="AR45" s="21"/>
      <c r="AS45" s="21"/>
      <c r="AT45" s="21"/>
      <c r="AU45" s="21"/>
      <c r="AV45" s="21"/>
      <c r="AW45" s="21"/>
      <c r="AX45" s="21"/>
      <c r="AY45" s="21"/>
      <c r="AZ45" s="21"/>
      <c r="BA45" s="21"/>
    </row>
    <row r="46" spans="1:53" ht="20" customHeight="1" x14ac:dyDescent="0.2">
      <c r="A46" s="680"/>
      <c r="B46" s="725"/>
      <c r="C46" s="255"/>
      <c r="D46" s="722" t="s">
        <v>85</v>
      </c>
      <c r="E46" s="723" t="s">
        <v>635</v>
      </c>
      <c r="F46" s="723" t="s">
        <v>514</v>
      </c>
      <c r="G46" s="722">
        <v>2011</v>
      </c>
      <c r="H46" s="287"/>
      <c r="I46" s="703">
        <v>36</v>
      </c>
      <c r="J46" s="704" t="s">
        <v>210</v>
      </c>
      <c r="K46" s="705" t="s">
        <v>637</v>
      </c>
      <c r="L46" s="31"/>
      <c r="M46" s="34"/>
      <c r="N46" s="31"/>
      <c r="O46" s="34"/>
      <c r="P46" s="31"/>
      <c r="Q46" s="34"/>
      <c r="R46" s="31"/>
      <c r="S46" s="34"/>
      <c r="T46" s="31"/>
      <c r="U46" s="34"/>
      <c r="V46" s="56"/>
      <c r="W46" s="34"/>
      <c r="X46" s="31"/>
      <c r="Y46" s="34"/>
      <c r="Z46" s="31"/>
      <c r="AA46" s="34"/>
      <c r="AB46" s="31"/>
      <c r="AC46" s="34"/>
      <c r="AD46" s="31"/>
      <c r="AE46" s="34"/>
      <c r="AF46" s="21"/>
      <c r="AG46" s="21"/>
      <c r="AH46" s="21"/>
      <c r="AI46" s="21"/>
      <c r="AJ46" s="21"/>
      <c r="AK46" s="21"/>
      <c r="AL46" s="21"/>
      <c r="AM46" s="21"/>
      <c r="AN46" s="21"/>
      <c r="AO46" s="21"/>
      <c r="AP46" s="21"/>
      <c r="AQ46" s="21"/>
      <c r="AR46" s="21"/>
      <c r="AS46" s="21"/>
      <c r="AT46" s="21"/>
      <c r="AU46" s="21"/>
      <c r="AV46" s="21"/>
      <c r="AW46" s="21"/>
      <c r="AX46" s="21"/>
      <c r="AY46" s="21"/>
      <c r="AZ46" s="21"/>
      <c r="BA46" s="21"/>
    </row>
    <row r="47" spans="1:53" ht="20" customHeight="1" x14ac:dyDescent="0.2">
      <c r="A47" s="678"/>
      <c r="B47" s="721"/>
      <c r="C47" s="258"/>
      <c r="D47" s="722" t="s">
        <v>85</v>
      </c>
      <c r="E47" s="723" t="s">
        <v>57</v>
      </c>
      <c r="F47" s="723" t="s">
        <v>58</v>
      </c>
      <c r="G47" s="722">
        <v>2006</v>
      </c>
      <c r="H47" s="287">
        <v>132</v>
      </c>
      <c r="I47" s="65">
        <v>7</v>
      </c>
      <c r="J47" s="61" t="s">
        <v>175</v>
      </c>
      <c r="K47" s="62" t="s">
        <v>168</v>
      </c>
      <c r="L47" s="31"/>
      <c r="M47" s="34" t="str">
        <f t="shared" si="0"/>
        <v/>
      </c>
      <c r="N47" s="31"/>
      <c r="O47" s="34" t="str">
        <f t="shared" si="1"/>
        <v/>
      </c>
      <c r="P47" s="31"/>
      <c r="Q47" s="34" t="str">
        <f t="shared" si="2"/>
        <v/>
      </c>
      <c r="R47" s="31"/>
      <c r="S47" s="34" t="str">
        <f t="shared" si="3"/>
        <v/>
      </c>
      <c r="T47" s="31"/>
      <c r="U47" s="34" t="str">
        <f t="shared" si="4"/>
        <v/>
      </c>
      <c r="V47" s="56"/>
      <c r="W47" s="34" t="str">
        <f t="shared" si="5"/>
        <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21" t="s">
        <v>473</v>
      </c>
      <c r="AG47" s="21"/>
      <c r="AH47" s="21"/>
      <c r="AI47" s="21"/>
      <c r="AJ47" s="21"/>
      <c r="AK47" s="21"/>
      <c r="AL47" s="21"/>
      <c r="AM47" s="21"/>
      <c r="AN47" s="21"/>
      <c r="AO47" s="21"/>
      <c r="AP47" s="21"/>
      <c r="AQ47" s="21"/>
      <c r="AR47" s="21"/>
      <c r="AS47" s="21"/>
      <c r="AT47" s="21"/>
      <c r="AU47" s="21"/>
      <c r="AV47" s="21"/>
      <c r="AW47" s="21"/>
      <c r="AX47" s="21"/>
      <c r="AY47" s="21"/>
      <c r="AZ47" s="21"/>
      <c r="BA47" s="21"/>
    </row>
    <row r="48" spans="1:53" ht="20" customHeight="1" x14ac:dyDescent="0.2">
      <c r="A48" s="678"/>
      <c r="B48" s="725"/>
      <c r="C48" s="253"/>
      <c r="D48" s="722" t="s">
        <v>85</v>
      </c>
      <c r="E48" s="723" t="s">
        <v>59</v>
      </c>
      <c r="F48" s="723" t="s">
        <v>60</v>
      </c>
      <c r="G48" s="722">
        <v>2009</v>
      </c>
      <c r="H48" s="287">
        <v>49</v>
      </c>
      <c r="I48" s="65">
        <v>22</v>
      </c>
      <c r="J48" s="61" t="s">
        <v>175</v>
      </c>
      <c r="K48" s="62" t="s">
        <v>188</v>
      </c>
      <c r="L48" s="31"/>
      <c r="M48" s="34" t="str">
        <f t="shared" si="0"/>
        <v/>
      </c>
      <c r="N48" s="31"/>
      <c r="O48" s="34" t="str">
        <f t="shared" si="1"/>
        <v/>
      </c>
      <c r="P48" s="31"/>
      <c r="Q48" s="34" t="str">
        <f t="shared" si="2"/>
        <v/>
      </c>
      <c r="R48" s="31"/>
      <c r="S48" s="34" t="str">
        <f t="shared" si="3"/>
        <v/>
      </c>
      <c r="T48" s="31"/>
      <c r="U48" s="34" t="str">
        <f t="shared" si="4"/>
        <v/>
      </c>
      <c r="V48" s="56"/>
      <c r="W48" s="34" t="str">
        <f t="shared" si="5"/>
        <v/>
      </c>
      <c r="X48" s="31"/>
      <c r="Y48" s="34" t="str">
        <f>IF((ISERROR((X48/$I48)*100)), "", IF(AND(NOT(ISERROR((X48/$I48)*100)),((X48/$I48)*100) &lt;&gt; 0), (X48/$I48)*100, ""))</f>
        <v/>
      </c>
      <c r="Z48" s="31"/>
      <c r="AA48" s="34" t="str">
        <f>IF((ISERROR((Z48/$I48)*100)), "", IF(AND(NOT(ISERROR((Z48/$I48)*100)),((Z48/$I48)*100) &lt;&gt; 0), (Z48/$I48)*100, ""))</f>
        <v/>
      </c>
      <c r="AB48" s="31"/>
      <c r="AC48" s="34" t="str">
        <f>IF((ISERROR((AB48/$I48)*100)), "", IF(AND(NOT(ISERROR((AB48/$I48)*100)),((AB48/$I48)*100) &lt;&gt; 0), (AB48/$I48)*100, ""))</f>
        <v/>
      </c>
      <c r="AD48" s="31"/>
      <c r="AE48" s="34" t="str">
        <f>IF((ISERROR((AD48/$I48)*100)), "", IF(AND(NOT(ISERROR((AD48/$I48)*100)),((AD48/$I48)*100) &lt;&gt; 0), (AD48/$I48)*100, ""))</f>
        <v/>
      </c>
      <c r="AF48" s="21" t="s">
        <v>401</v>
      </c>
      <c r="AG48" s="21"/>
      <c r="AH48" s="21"/>
      <c r="AI48" s="21"/>
      <c r="AJ48" s="21"/>
      <c r="AK48" s="21"/>
      <c r="AL48" s="21"/>
      <c r="AM48" s="21"/>
      <c r="AN48" s="21"/>
      <c r="AO48" s="21"/>
      <c r="AP48" s="21"/>
      <c r="AQ48" s="21"/>
      <c r="AR48" s="21"/>
      <c r="AS48" s="21"/>
      <c r="AT48" s="21"/>
      <c r="AU48" s="21"/>
      <c r="AV48" s="21"/>
      <c r="AW48" s="21"/>
      <c r="AX48" s="21"/>
      <c r="AY48" s="21"/>
      <c r="AZ48" s="21"/>
      <c r="BA48" s="21"/>
    </row>
    <row r="49" spans="1:53" ht="20" customHeight="1" x14ac:dyDescent="0.2">
      <c r="A49" s="678"/>
      <c r="B49" s="721"/>
      <c r="C49" s="253"/>
      <c r="D49" s="722" t="s">
        <v>85</v>
      </c>
      <c r="E49" s="723" t="s">
        <v>61</v>
      </c>
      <c r="F49" s="723" t="s">
        <v>62</v>
      </c>
      <c r="G49" s="722">
        <v>2006</v>
      </c>
      <c r="H49" s="287">
        <v>144</v>
      </c>
      <c r="I49" s="65">
        <v>25</v>
      </c>
      <c r="J49" s="61"/>
      <c r="K49" s="62" t="s">
        <v>189</v>
      </c>
      <c r="L49" s="31"/>
      <c r="M49" s="34" t="str">
        <f t="shared" si="0"/>
        <v/>
      </c>
      <c r="N49" s="31"/>
      <c r="O49" s="34" t="str">
        <f t="shared" si="1"/>
        <v/>
      </c>
      <c r="P49" s="31"/>
      <c r="Q49" s="34" t="str">
        <f t="shared" si="2"/>
        <v/>
      </c>
      <c r="R49" s="31"/>
      <c r="S49" s="34" t="str">
        <f t="shared" si="3"/>
        <v/>
      </c>
      <c r="T49" s="31"/>
      <c r="U49" s="34" t="str">
        <f t="shared" si="4"/>
        <v/>
      </c>
      <c r="V49" s="56"/>
      <c r="W49" s="34" t="str">
        <f t="shared" si="5"/>
        <v/>
      </c>
      <c r="X49" s="31"/>
      <c r="Y49" s="34" t="str">
        <f t="shared" si="26"/>
        <v/>
      </c>
      <c r="Z49" s="31"/>
      <c r="AA49" s="34" t="str">
        <f t="shared" si="27"/>
        <v/>
      </c>
      <c r="AB49" s="31"/>
      <c r="AC49" s="34" t="str">
        <f t="shared" si="28"/>
        <v/>
      </c>
      <c r="AD49" s="31"/>
      <c r="AE49" s="34" t="str">
        <f t="shared" si="29"/>
        <v/>
      </c>
      <c r="AF49" s="21" t="s">
        <v>180</v>
      </c>
      <c r="AG49" s="21"/>
      <c r="AH49" s="21"/>
      <c r="AI49" s="21"/>
      <c r="AJ49" s="21"/>
      <c r="AK49" s="21"/>
      <c r="AL49" s="21"/>
      <c r="AM49" s="21"/>
      <c r="AN49" s="21"/>
      <c r="AO49" s="21"/>
      <c r="AP49" s="21"/>
      <c r="AQ49" s="21"/>
      <c r="AR49" s="21"/>
      <c r="AS49" s="21"/>
      <c r="AT49" s="21"/>
      <c r="AU49" s="21"/>
      <c r="AV49" s="21"/>
      <c r="AW49" s="21"/>
      <c r="AX49" s="21"/>
      <c r="AY49" s="21"/>
      <c r="AZ49" s="21"/>
      <c r="BA49" s="21"/>
    </row>
    <row r="50" spans="1:53" ht="20" customHeight="1" x14ac:dyDescent="0.2">
      <c r="A50" s="678"/>
      <c r="B50" s="721"/>
      <c r="C50" s="722"/>
      <c r="D50" s="722"/>
      <c r="E50" s="723" t="s">
        <v>268</v>
      </c>
      <c r="F50" s="723" t="s">
        <v>269</v>
      </c>
      <c r="G50" s="722">
        <v>2004</v>
      </c>
      <c r="H50" s="287"/>
      <c r="I50" s="65"/>
      <c r="J50" s="61"/>
      <c r="K50" s="62"/>
      <c r="L50" s="31"/>
      <c r="M50" s="34" t="str">
        <f t="shared" si="0"/>
        <v/>
      </c>
      <c r="N50" s="31"/>
      <c r="O50" s="34" t="str">
        <f t="shared" si="1"/>
        <v/>
      </c>
      <c r="P50" s="31"/>
      <c r="Q50" s="34" t="str">
        <f t="shared" si="2"/>
        <v/>
      </c>
      <c r="R50" s="31"/>
      <c r="S50" s="34" t="str">
        <f t="shared" si="3"/>
        <v/>
      </c>
      <c r="T50" s="31"/>
      <c r="U50" s="34" t="str">
        <f t="shared" si="4"/>
        <v/>
      </c>
      <c r="V50" s="56"/>
      <c r="W50" s="34" t="str">
        <f t="shared" si="5"/>
        <v/>
      </c>
      <c r="X50" s="31"/>
      <c r="Y50" s="34" t="str">
        <f t="shared" si="26"/>
        <v/>
      </c>
      <c r="Z50" s="31"/>
      <c r="AA50" s="34" t="str">
        <f t="shared" si="27"/>
        <v/>
      </c>
      <c r="AB50" s="31"/>
      <c r="AC50" s="34" t="str">
        <f t="shared" si="28"/>
        <v/>
      </c>
      <c r="AD50" s="31"/>
      <c r="AE50" s="34" t="str">
        <f t="shared" si="29"/>
        <v/>
      </c>
      <c r="AF50" s="21"/>
      <c r="AG50" s="21"/>
      <c r="AH50" s="21"/>
      <c r="AI50" s="21"/>
      <c r="AJ50" s="21"/>
      <c r="AK50" s="21"/>
      <c r="AL50" s="21"/>
      <c r="AM50" s="21"/>
      <c r="AN50" s="21"/>
      <c r="AO50" s="21"/>
      <c r="AP50" s="21"/>
      <c r="AQ50" s="21"/>
      <c r="AR50" s="21"/>
      <c r="AS50" s="21"/>
      <c r="AT50" s="21"/>
      <c r="AU50" s="21"/>
      <c r="AV50" s="21"/>
      <c r="AW50" s="21"/>
      <c r="AX50" s="21"/>
      <c r="AY50" s="21"/>
      <c r="AZ50" s="21"/>
      <c r="BA50" s="21"/>
    </row>
    <row r="51" spans="1:53" ht="20" customHeight="1" x14ac:dyDescent="0.2">
      <c r="A51" s="680"/>
      <c r="B51" s="725"/>
      <c r="C51" s="253"/>
      <c r="D51" s="722" t="s">
        <v>85</v>
      </c>
      <c r="E51" s="723" t="s">
        <v>517</v>
      </c>
      <c r="F51" s="723" t="s">
        <v>638</v>
      </c>
      <c r="G51" s="722">
        <v>2012</v>
      </c>
      <c r="H51" s="287"/>
      <c r="I51" s="701">
        <v>18</v>
      </c>
      <c r="J51" s="232" t="s">
        <v>519</v>
      </c>
      <c r="K51" s="250"/>
      <c r="L51" s="31"/>
      <c r="M51" s="34"/>
      <c r="N51" s="31"/>
      <c r="O51" s="34"/>
      <c r="P51" s="31"/>
      <c r="Q51" s="34"/>
      <c r="R51" s="31"/>
      <c r="S51" s="34"/>
      <c r="T51" s="31"/>
      <c r="U51" s="34"/>
      <c r="V51" s="56"/>
      <c r="W51" s="34"/>
      <c r="X51" s="31"/>
      <c r="Y51" s="34"/>
      <c r="Z51" s="31"/>
      <c r="AA51" s="34"/>
      <c r="AB51" s="31"/>
      <c r="AC51" s="34"/>
      <c r="AD51" s="31"/>
      <c r="AE51" s="34"/>
      <c r="AF51" s="21"/>
      <c r="AG51" s="21"/>
      <c r="AH51" s="21"/>
      <c r="AI51" s="21"/>
      <c r="AJ51" s="21"/>
      <c r="AK51" s="21"/>
      <c r="AL51" s="21"/>
      <c r="AM51" s="21"/>
      <c r="AN51" s="21"/>
      <c r="AO51" s="21"/>
      <c r="AP51" s="21"/>
      <c r="AQ51" s="21"/>
      <c r="AR51" s="21"/>
      <c r="AS51" s="21"/>
      <c r="AT51" s="21"/>
      <c r="AU51" s="21"/>
      <c r="AV51" s="21"/>
      <c r="AW51" s="21"/>
      <c r="AX51" s="21"/>
      <c r="AY51" s="21"/>
      <c r="AZ51" s="21"/>
      <c r="BA51" s="21"/>
    </row>
    <row r="52" spans="1:53" ht="20" customHeight="1" x14ac:dyDescent="0.2">
      <c r="A52" s="678"/>
      <c r="B52" s="725"/>
      <c r="C52" s="255"/>
      <c r="D52" s="722" t="s">
        <v>85</v>
      </c>
      <c r="E52" s="723" t="s">
        <v>270</v>
      </c>
      <c r="F52" s="723" t="s">
        <v>271</v>
      </c>
      <c r="G52" s="722">
        <v>2014</v>
      </c>
      <c r="H52" s="287"/>
      <c r="I52" s="65">
        <v>39</v>
      </c>
      <c r="J52" s="61" t="s">
        <v>402</v>
      </c>
      <c r="K52" s="62" t="s">
        <v>338</v>
      </c>
      <c r="L52" s="31">
        <v>22</v>
      </c>
      <c r="M52" s="34">
        <f t="shared" si="0"/>
        <v>56.410256410256409</v>
      </c>
      <c r="N52" s="31"/>
      <c r="O52" s="34" t="str">
        <f t="shared" si="1"/>
        <v/>
      </c>
      <c r="P52" s="31"/>
      <c r="Q52" s="34" t="str">
        <f t="shared" si="2"/>
        <v/>
      </c>
      <c r="R52" s="31"/>
      <c r="S52" s="34" t="str">
        <f t="shared" si="3"/>
        <v/>
      </c>
      <c r="T52" s="31">
        <v>22</v>
      </c>
      <c r="U52" s="34">
        <f t="shared" si="4"/>
        <v>56.410256410256409</v>
      </c>
      <c r="V52" s="56"/>
      <c r="W52" s="34" t="str">
        <f t="shared" si="5"/>
        <v/>
      </c>
      <c r="X52" s="31">
        <v>23</v>
      </c>
      <c r="Y52" s="34">
        <f t="shared" ref="Y52:Y57" si="30">IF((ISERROR((X52/$I52)*100)), "", IF(AND(NOT(ISERROR((X52/$I52)*100)),((X52/$I52)*100) &lt;&gt; 0), (X52/$I52)*100, ""))</f>
        <v>58.974358974358978</v>
      </c>
      <c r="Z52" s="31"/>
      <c r="AA52" s="34" t="str">
        <f t="shared" ref="AA52:AA57" si="31">IF((ISERROR((Z52/$I52)*100)), "", IF(AND(NOT(ISERROR((Z52/$I52)*100)),((Z52/$I52)*100) &lt;&gt; 0), (Z52/$I52)*100, ""))</f>
        <v/>
      </c>
      <c r="AB52" s="31"/>
      <c r="AC52" s="34" t="str">
        <f t="shared" ref="AC52:AC57" si="32">IF((ISERROR((AB52/$I52)*100)), "", IF(AND(NOT(ISERROR((AB52/$I52)*100)),((AB52/$I52)*100) &lt;&gt; 0), (AB52/$I52)*100, ""))</f>
        <v/>
      </c>
      <c r="AD52" s="31"/>
      <c r="AE52" s="34" t="str">
        <f t="shared" ref="AE52:AE57" si="33">IF((ISERROR((AD52/$I52)*100)), "", IF(AND(NOT(ISERROR((AD52/$I52)*100)),((AD52/$I52)*100) &lt;&gt; 0), (AD52/$I52)*100, ""))</f>
        <v/>
      </c>
      <c r="AF52" s="21" t="s">
        <v>344</v>
      </c>
      <c r="AG52" s="21"/>
      <c r="AH52" s="21"/>
      <c r="AI52" s="21"/>
      <c r="AJ52" s="21"/>
      <c r="AK52" s="21"/>
      <c r="AL52" s="21"/>
      <c r="AM52" s="21"/>
      <c r="AN52" s="21"/>
      <c r="AO52" s="21"/>
      <c r="AP52" s="21"/>
      <c r="AQ52" s="21"/>
      <c r="AR52" s="21"/>
      <c r="AS52" s="21"/>
      <c r="AT52" s="21"/>
      <c r="AU52" s="21"/>
      <c r="AV52" s="21"/>
      <c r="AW52" s="21"/>
      <c r="AX52" s="21"/>
      <c r="AY52" s="21"/>
      <c r="AZ52" s="21"/>
      <c r="BA52" s="21"/>
    </row>
    <row r="53" spans="1:53" ht="20" customHeight="1" x14ac:dyDescent="0.2">
      <c r="A53" s="678"/>
      <c r="B53" s="725"/>
      <c r="C53" s="722"/>
      <c r="D53" s="722" t="s">
        <v>85</v>
      </c>
      <c r="E53" s="723" t="s">
        <v>272</v>
      </c>
      <c r="F53" s="723" t="s">
        <v>273</v>
      </c>
      <c r="G53" s="722">
        <v>2015</v>
      </c>
      <c r="H53" s="287"/>
      <c r="I53" s="65">
        <v>8</v>
      </c>
      <c r="J53" s="61" t="s">
        <v>213</v>
      </c>
      <c r="K53" s="62" t="s">
        <v>345</v>
      </c>
      <c r="L53" s="31"/>
      <c r="M53" s="34" t="str">
        <f t="shared" si="0"/>
        <v/>
      </c>
      <c r="N53" s="31"/>
      <c r="O53" s="34" t="str">
        <f t="shared" si="1"/>
        <v/>
      </c>
      <c r="P53" s="31"/>
      <c r="Q53" s="34" t="str">
        <f t="shared" si="2"/>
        <v/>
      </c>
      <c r="R53" s="31"/>
      <c r="S53" s="34" t="str">
        <f t="shared" si="3"/>
        <v/>
      </c>
      <c r="T53" s="31">
        <v>2</v>
      </c>
      <c r="U53" s="34">
        <f t="shared" si="4"/>
        <v>25</v>
      </c>
      <c r="V53" s="56"/>
      <c r="W53" s="34" t="str">
        <f t="shared" si="5"/>
        <v/>
      </c>
      <c r="X53" s="31"/>
      <c r="Y53" s="34" t="str">
        <f t="shared" si="30"/>
        <v/>
      </c>
      <c r="Z53" s="31"/>
      <c r="AA53" s="34" t="str">
        <f t="shared" si="31"/>
        <v/>
      </c>
      <c r="AB53" s="31"/>
      <c r="AC53" s="34" t="str">
        <f t="shared" si="32"/>
        <v/>
      </c>
      <c r="AD53" s="31"/>
      <c r="AE53" s="34" t="str">
        <f t="shared" si="33"/>
        <v/>
      </c>
      <c r="AF53" s="21" t="s">
        <v>403</v>
      </c>
      <c r="AG53" s="21"/>
      <c r="AH53" s="21"/>
      <c r="AI53" s="21"/>
      <c r="AJ53" s="21"/>
      <c r="AK53" s="21"/>
      <c r="AL53" s="21"/>
      <c r="AM53" s="21"/>
      <c r="AN53" s="21"/>
      <c r="AO53" s="21"/>
      <c r="AP53" s="21"/>
      <c r="AQ53" s="21"/>
      <c r="AR53" s="21"/>
      <c r="AS53" s="21"/>
      <c r="AT53" s="21"/>
      <c r="AU53" s="21"/>
      <c r="AV53" s="21"/>
      <c r="AW53" s="21"/>
      <c r="AX53" s="21"/>
      <c r="AY53" s="21"/>
      <c r="AZ53" s="21"/>
      <c r="BA53" s="21"/>
    </row>
    <row r="54" spans="1:53" ht="20" customHeight="1" x14ac:dyDescent="0.2">
      <c r="A54" s="678"/>
      <c r="B54" s="721"/>
      <c r="C54" s="255"/>
      <c r="D54" s="722" t="s">
        <v>85</v>
      </c>
      <c r="E54" s="723" t="s">
        <v>274</v>
      </c>
      <c r="F54" s="723" t="s">
        <v>275</v>
      </c>
      <c r="G54" s="722">
        <v>2001</v>
      </c>
      <c r="H54" s="287"/>
      <c r="I54" s="65">
        <v>9</v>
      </c>
      <c r="J54" s="61"/>
      <c r="K54" s="62" t="s">
        <v>346</v>
      </c>
      <c r="L54" s="31"/>
      <c r="M54" s="34" t="str">
        <f t="shared" si="0"/>
        <v/>
      </c>
      <c r="N54" s="31"/>
      <c r="O54" s="34" t="str">
        <f t="shared" si="1"/>
        <v/>
      </c>
      <c r="P54" s="31"/>
      <c r="Q54" s="34" t="str">
        <f t="shared" si="2"/>
        <v/>
      </c>
      <c r="R54" s="31"/>
      <c r="S54" s="34" t="str">
        <f t="shared" si="3"/>
        <v/>
      </c>
      <c r="T54" s="31"/>
      <c r="U54" s="34" t="str">
        <f t="shared" si="4"/>
        <v/>
      </c>
      <c r="V54" s="38"/>
      <c r="W54" s="37" t="str">
        <f t="shared" si="5"/>
        <v/>
      </c>
      <c r="X54" s="31"/>
      <c r="Y54" s="34" t="str">
        <f t="shared" si="30"/>
        <v/>
      </c>
      <c r="Z54" s="31"/>
      <c r="AA54" s="34" t="str">
        <f t="shared" si="31"/>
        <v/>
      </c>
      <c r="AB54" s="31"/>
      <c r="AC54" s="34" t="str">
        <f t="shared" si="32"/>
        <v/>
      </c>
      <c r="AD54" s="31"/>
      <c r="AE54" s="34" t="str">
        <f t="shared" si="33"/>
        <v/>
      </c>
      <c r="AF54" s="21" t="s">
        <v>347</v>
      </c>
      <c r="AG54" s="21"/>
      <c r="AH54" s="21"/>
      <c r="AI54" s="21"/>
      <c r="AJ54" s="21"/>
      <c r="AK54" s="21"/>
      <c r="AL54" s="21"/>
      <c r="AM54" s="21"/>
      <c r="AN54" s="21"/>
      <c r="AO54" s="21"/>
      <c r="AP54" s="21"/>
      <c r="AQ54" s="21"/>
      <c r="AR54" s="21"/>
      <c r="AS54" s="21"/>
      <c r="AT54" s="21"/>
      <c r="AU54" s="21"/>
      <c r="AV54" s="21"/>
      <c r="AW54" s="21"/>
      <c r="AX54" s="21"/>
      <c r="AY54" s="21"/>
      <c r="AZ54" s="21"/>
      <c r="BA54" s="21"/>
    </row>
    <row r="55" spans="1:53" ht="20" customHeight="1" x14ac:dyDescent="0.2">
      <c r="A55" s="678"/>
      <c r="B55" s="725"/>
      <c r="C55" s="255"/>
      <c r="D55" s="722" t="s">
        <v>85</v>
      </c>
      <c r="E55" s="723" t="s">
        <v>63</v>
      </c>
      <c r="F55" s="723" t="s">
        <v>64</v>
      </c>
      <c r="G55" s="722">
        <v>2012</v>
      </c>
      <c r="H55" s="287">
        <v>83</v>
      </c>
      <c r="I55" s="65">
        <v>70</v>
      </c>
      <c r="J55" s="61" t="s">
        <v>181</v>
      </c>
      <c r="K55" s="62" t="s">
        <v>190</v>
      </c>
      <c r="L55" s="31"/>
      <c r="M55" s="34" t="str">
        <f t="shared" si="0"/>
        <v/>
      </c>
      <c r="N55" s="31"/>
      <c r="O55" s="34" t="str">
        <f t="shared" si="1"/>
        <v/>
      </c>
      <c r="P55" s="31"/>
      <c r="Q55" s="34" t="str">
        <f t="shared" si="2"/>
        <v/>
      </c>
      <c r="R55" s="31"/>
      <c r="S55" s="34" t="str">
        <f t="shared" si="3"/>
        <v/>
      </c>
      <c r="T55" s="31">
        <v>9</v>
      </c>
      <c r="U55" s="34">
        <f t="shared" si="4"/>
        <v>12.857142857142856</v>
      </c>
      <c r="V55" s="56">
        <v>31</v>
      </c>
      <c r="W55" s="34">
        <f t="shared" si="5"/>
        <v>44.285714285714285</v>
      </c>
      <c r="X55" s="31">
        <v>8</v>
      </c>
      <c r="Y55" s="34">
        <f t="shared" si="30"/>
        <v>11.428571428571429</v>
      </c>
      <c r="Z55" s="31"/>
      <c r="AA55" s="34" t="str">
        <f t="shared" si="31"/>
        <v/>
      </c>
      <c r="AB55" s="31"/>
      <c r="AC55" s="34" t="str">
        <f t="shared" si="32"/>
        <v/>
      </c>
      <c r="AD55" s="31"/>
      <c r="AE55" s="34" t="str">
        <f t="shared" si="33"/>
        <v/>
      </c>
      <c r="AF55" s="21" t="s">
        <v>409</v>
      </c>
      <c r="AG55" s="21"/>
      <c r="AH55" s="21"/>
      <c r="AI55" s="21"/>
      <c r="AJ55" s="21"/>
      <c r="AK55" s="21"/>
      <c r="AL55" s="21"/>
      <c r="AM55" s="21"/>
      <c r="AN55" s="21"/>
      <c r="AO55" s="21"/>
      <c r="AP55" s="21"/>
      <c r="AQ55" s="21"/>
      <c r="AR55" s="21"/>
      <c r="AS55" s="21"/>
      <c r="AT55" s="21"/>
      <c r="AU55" s="21"/>
      <c r="AV55" s="21"/>
      <c r="AW55" s="21"/>
      <c r="AX55" s="21"/>
      <c r="AY55" s="21"/>
      <c r="AZ55" s="21"/>
      <c r="BA55" s="21"/>
    </row>
    <row r="56" spans="1:53" ht="20" customHeight="1" x14ac:dyDescent="0.2">
      <c r="A56" s="678"/>
      <c r="B56" s="725"/>
      <c r="C56" s="258"/>
      <c r="D56" s="722" t="s">
        <v>85</v>
      </c>
      <c r="E56" s="723" t="s">
        <v>69</v>
      </c>
      <c r="F56" s="723" t="s">
        <v>70</v>
      </c>
      <c r="G56" s="722">
        <v>2004</v>
      </c>
      <c r="H56" s="287">
        <v>61</v>
      </c>
      <c r="I56" s="65">
        <v>15</v>
      </c>
      <c r="J56" s="61" t="s">
        <v>183</v>
      </c>
      <c r="K56" s="62" t="s">
        <v>191</v>
      </c>
      <c r="L56" s="31"/>
      <c r="M56" s="34" t="str">
        <f t="shared" si="0"/>
        <v/>
      </c>
      <c r="N56" s="31"/>
      <c r="O56" s="34" t="str">
        <f t="shared" si="1"/>
        <v/>
      </c>
      <c r="P56" s="31"/>
      <c r="Q56" s="34" t="str">
        <f t="shared" si="2"/>
        <v/>
      </c>
      <c r="R56" s="31"/>
      <c r="S56" s="34" t="str">
        <f t="shared" si="3"/>
        <v/>
      </c>
      <c r="T56" s="31"/>
      <c r="U56" s="34" t="str">
        <f t="shared" si="4"/>
        <v/>
      </c>
      <c r="V56" s="56">
        <v>13</v>
      </c>
      <c r="W56" s="34">
        <f t="shared" si="5"/>
        <v>86.666666666666671</v>
      </c>
      <c r="X56" s="31"/>
      <c r="Y56" s="34" t="str">
        <f t="shared" si="30"/>
        <v/>
      </c>
      <c r="Z56" s="31"/>
      <c r="AA56" s="34" t="str">
        <f t="shared" si="31"/>
        <v/>
      </c>
      <c r="AB56" s="31"/>
      <c r="AC56" s="34" t="str">
        <f t="shared" si="32"/>
        <v/>
      </c>
      <c r="AD56" s="31"/>
      <c r="AE56" s="34" t="str">
        <f t="shared" si="33"/>
        <v/>
      </c>
      <c r="AF56" s="21" t="s">
        <v>410</v>
      </c>
      <c r="AG56" s="21"/>
      <c r="AH56" s="21"/>
      <c r="AI56" s="21"/>
      <c r="AJ56" s="21"/>
      <c r="AK56" s="21"/>
      <c r="AL56" s="21"/>
      <c r="AM56" s="21"/>
      <c r="AN56" s="21"/>
      <c r="AO56" s="21"/>
      <c r="AP56" s="21"/>
      <c r="AQ56" s="21"/>
      <c r="AR56" s="21"/>
      <c r="AS56" s="21"/>
      <c r="AT56" s="21"/>
      <c r="AU56" s="21"/>
      <c r="AV56" s="21"/>
      <c r="AW56" s="21"/>
      <c r="AX56" s="21"/>
      <c r="AY56" s="21"/>
      <c r="AZ56" s="21"/>
      <c r="BA56" s="21"/>
    </row>
    <row r="57" spans="1:53" ht="20" customHeight="1" x14ac:dyDescent="0.2">
      <c r="A57" s="678"/>
      <c r="B57" s="725"/>
      <c r="C57" s="253"/>
      <c r="D57" s="727" t="s">
        <v>85</v>
      </c>
      <c r="E57" s="728" t="s">
        <v>71</v>
      </c>
      <c r="F57" s="728" t="s">
        <v>70</v>
      </c>
      <c r="G57" s="727">
        <v>2004</v>
      </c>
      <c r="H57" s="729">
        <v>45</v>
      </c>
      <c r="I57" s="65">
        <v>15</v>
      </c>
      <c r="J57" s="61" t="s">
        <v>183</v>
      </c>
      <c r="K57" s="62" t="s">
        <v>191</v>
      </c>
      <c r="L57" s="31"/>
      <c r="M57" s="34" t="str">
        <f t="shared" ref="M57:M104" si="34">IF((ISERROR((L57/$I57)*100)), "", IF(AND(NOT(ISERROR((L57/$I57)*100)),((L57/$I57)*100) &lt;&gt; 0), (L57/$I57)*100, ""))</f>
        <v/>
      </c>
      <c r="N57" s="31"/>
      <c r="O57" s="34" t="str">
        <f t="shared" ref="O57:O104" si="35">IF((ISERROR((N57/$I57)*100)), "", IF(AND(NOT(ISERROR((N57/$I57)*100)),((N57/$I57)*100) &lt;&gt; 0), (N57/$I57)*100, ""))</f>
        <v/>
      </c>
      <c r="P57" s="31"/>
      <c r="Q57" s="34" t="str">
        <f t="shared" ref="Q57:Q104" si="36">IF((ISERROR((P57/$I57)*100)), "", IF(AND(NOT(ISERROR((P57/$I57)*100)),((P57/$I57)*100) &lt;&gt; 0), (P57/$I57)*100, ""))</f>
        <v/>
      </c>
      <c r="R57" s="31"/>
      <c r="S57" s="34" t="str">
        <f t="shared" ref="S57:S104" si="37">IF((ISERROR((R57/$I57)*100)), "", IF(AND(NOT(ISERROR((R57/$I57)*100)),((R57/$I57)*100) &lt;&gt; 0), (R57/$I57)*100, ""))</f>
        <v/>
      </c>
      <c r="T57" s="31"/>
      <c r="U57" s="34" t="str">
        <f t="shared" ref="U57:U104" si="38">IF((ISERROR((T57/$I57)*100)), "", IF(AND(NOT(ISERROR((T57/$I57)*100)),((T57/$I57)*100) &lt;&gt; 0), (T57/$I57)*100, ""))</f>
        <v/>
      </c>
      <c r="V57" s="56"/>
      <c r="W57" s="34" t="str">
        <f t="shared" ref="W57:W91" si="39">IF((ISERROR((V57/$I57)*100)), "", IF(AND(NOT(ISERROR((V57/$I57)*100)),((V57/$I57)*100) &lt;&gt; 0), (V57/$I57)*100, ""))</f>
        <v/>
      </c>
      <c r="X57" s="31"/>
      <c r="Y57" s="34" t="str">
        <f t="shared" si="30"/>
        <v/>
      </c>
      <c r="Z57" s="31"/>
      <c r="AA57" s="34" t="str">
        <f t="shared" si="31"/>
        <v/>
      </c>
      <c r="AB57" s="31"/>
      <c r="AC57" s="34" t="str">
        <f t="shared" si="32"/>
        <v/>
      </c>
      <c r="AD57" s="31"/>
      <c r="AE57" s="34" t="str">
        <f t="shared" si="33"/>
        <v/>
      </c>
      <c r="AF57" s="21" t="s">
        <v>411</v>
      </c>
      <c r="AG57" s="21"/>
      <c r="AH57" s="21"/>
      <c r="AI57" s="21"/>
      <c r="AJ57" s="21"/>
      <c r="AK57" s="21"/>
      <c r="AL57" s="21"/>
      <c r="AM57" s="21"/>
      <c r="AN57" s="21"/>
      <c r="AO57" s="21"/>
      <c r="AP57" s="21"/>
      <c r="AQ57" s="21"/>
      <c r="AR57" s="21"/>
      <c r="AS57" s="21"/>
      <c r="AT57" s="21"/>
      <c r="AU57" s="21"/>
      <c r="AV57" s="21"/>
      <c r="AW57" s="21"/>
      <c r="AX57" s="21"/>
      <c r="AY57" s="21"/>
      <c r="AZ57" s="21"/>
      <c r="BA57" s="21"/>
    </row>
    <row r="58" spans="1:53" ht="20" customHeight="1" x14ac:dyDescent="0.2">
      <c r="A58" s="678"/>
      <c r="B58" s="725"/>
      <c r="C58" s="255"/>
      <c r="D58" s="722"/>
      <c r="E58" s="723" t="s">
        <v>276</v>
      </c>
      <c r="F58" s="723" t="s">
        <v>279</v>
      </c>
      <c r="G58" s="722">
        <v>2008</v>
      </c>
      <c r="H58" s="287"/>
      <c r="I58" s="65"/>
      <c r="J58" s="61"/>
      <c r="K58" s="62" t="s">
        <v>348</v>
      </c>
      <c r="L58" s="31"/>
      <c r="M58" s="34" t="str">
        <f t="shared" si="34"/>
        <v/>
      </c>
      <c r="N58" s="31"/>
      <c r="O58" s="34" t="str">
        <f t="shared" si="35"/>
        <v/>
      </c>
      <c r="P58" s="31"/>
      <c r="Q58" s="34" t="str">
        <f t="shared" si="36"/>
        <v/>
      </c>
      <c r="R58" s="31"/>
      <c r="S58" s="34" t="str">
        <f t="shared" si="37"/>
        <v/>
      </c>
      <c r="T58" s="31">
        <v>2</v>
      </c>
      <c r="U58" s="34" t="str">
        <f t="shared" si="38"/>
        <v/>
      </c>
      <c r="V58" s="56"/>
      <c r="W58" s="34" t="str">
        <f t="shared" si="39"/>
        <v/>
      </c>
      <c r="X58" s="31"/>
      <c r="Y58" s="34" t="str">
        <f t="shared" ref="Y58" si="40">IF((ISERROR((X58/$I58)*100)), "", IF(AND(NOT(ISERROR((X58/$I58)*100)),((X58/$I58)*100) &lt;&gt; 0), (X58/$I58)*100, ""))</f>
        <v/>
      </c>
      <c r="Z58" s="31"/>
      <c r="AA58" s="34" t="str">
        <f t="shared" ref="AA58" si="41">IF((ISERROR((Z58/$I58)*100)), "", IF(AND(NOT(ISERROR((Z58/$I58)*100)),((Z58/$I58)*100) &lt;&gt; 0), (Z58/$I58)*100, ""))</f>
        <v/>
      </c>
      <c r="AB58" s="31"/>
      <c r="AC58" s="34" t="str">
        <f t="shared" ref="AC58" si="42">IF((ISERROR((AB58/$I58)*100)), "", IF(AND(NOT(ISERROR((AB58/$I58)*100)),((AB58/$I58)*100) &lt;&gt; 0), (AB58/$I58)*100, ""))</f>
        <v/>
      </c>
      <c r="AD58" s="31"/>
      <c r="AE58" s="34" t="str">
        <f t="shared" ref="AE58" si="43">IF((ISERROR((AD58/$I58)*100)), "", IF(AND(NOT(ISERROR((AD58/$I58)*100)),((AD58/$I58)*100) &lt;&gt; 0), (AD58/$I58)*100, ""))</f>
        <v/>
      </c>
      <c r="AF58" s="21"/>
      <c r="AG58" s="21"/>
      <c r="AH58" s="21"/>
      <c r="AI58" s="21"/>
      <c r="AJ58" s="21"/>
      <c r="AK58" s="21"/>
      <c r="AL58" s="21"/>
      <c r="AM58" s="21"/>
      <c r="AN58" s="21"/>
      <c r="AO58" s="21"/>
      <c r="AP58" s="21"/>
      <c r="AQ58" s="21"/>
      <c r="AR58" s="21"/>
      <c r="AS58" s="21"/>
      <c r="AT58" s="21"/>
      <c r="AU58" s="21"/>
      <c r="AV58" s="21"/>
      <c r="AW58" s="21"/>
      <c r="AX58" s="21"/>
      <c r="AY58" s="21"/>
      <c r="AZ58" s="21"/>
      <c r="BA58" s="21"/>
    </row>
    <row r="59" spans="1:53" ht="20" customHeight="1" x14ac:dyDescent="0.2">
      <c r="A59" s="678"/>
      <c r="B59" s="725"/>
      <c r="C59" s="253"/>
      <c r="D59" s="722" t="s">
        <v>85</v>
      </c>
      <c r="E59" s="723" t="s">
        <v>277</v>
      </c>
      <c r="F59" s="723" t="s">
        <v>278</v>
      </c>
      <c r="G59" s="722">
        <v>2013</v>
      </c>
      <c r="H59" s="287"/>
      <c r="I59" s="65">
        <v>23</v>
      </c>
      <c r="J59" s="61"/>
      <c r="K59" s="62"/>
      <c r="L59" s="31"/>
      <c r="M59" s="34" t="str">
        <f t="shared" si="34"/>
        <v/>
      </c>
      <c r="N59" s="31"/>
      <c r="O59" s="34" t="str">
        <f t="shared" si="35"/>
        <v/>
      </c>
      <c r="P59" s="31"/>
      <c r="Q59" s="34" t="str">
        <f t="shared" si="36"/>
        <v/>
      </c>
      <c r="R59" s="31"/>
      <c r="S59" s="34" t="str">
        <f t="shared" si="37"/>
        <v/>
      </c>
      <c r="T59" s="31"/>
      <c r="U59" s="34" t="str">
        <f t="shared" si="38"/>
        <v/>
      </c>
      <c r="V59" s="56"/>
      <c r="W59" s="34" t="str">
        <f t="shared" si="39"/>
        <v/>
      </c>
      <c r="X59" s="31"/>
      <c r="Y59" s="34" t="str">
        <f>IF((ISERROR((X59/$I59)*100)), "", IF(AND(NOT(ISERROR((X59/$I59)*100)),((X59/$I59)*100) &lt;&gt; 0), (X59/$I59)*100, ""))</f>
        <v/>
      </c>
      <c r="Z59" s="31"/>
      <c r="AA59" s="34" t="str">
        <f>IF((ISERROR((Z59/$I59)*100)), "", IF(AND(NOT(ISERROR((Z59/$I59)*100)),((Z59/$I59)*100) &lt;&gt; 0), (Z59/$I59)*100, ""))</f>
        <v/>
      </c>
      <c r="AB59" s="31"/>
      <c r="AC59" s="34" t="str">
        <f>IF((ISERROR((AB59/$I59)*100)), "", IF(AND(NOT(ISERROR((AB59/$I59)*100)),((AB59/$I59)*100) &lt;&gt; 0), (AB59/$I59)*100, ""))</f>
        <v/>
      </c>
      <c r="AD59" s="31"/>
      <c r="AE59" s="34" t="str">
        <f>IF((ISERROR((AD59/$I59)*100)), "", IF(AND(NOT(ISERROR((AD59/$I59)*100)),((AD59/$I59)*100) &lt;&gt; 0), (AD59/$I59)*100, ""))</f>
        <v/>
      </c>
      <c r="AF59" s="21" t="s">
        <v>412</v>
      </c>
      <c r="AG59" s="21"/>
      <c r="AH59" s="21"/>
      <c r="AI59" s="21"/>
      <c r="AJ59" s="21"/>
      <c r="AK59" s="21"/>
      <c r="AL59" s="21"/>
      <c r="AM59" s="21"/>
      <c r="AN59" s="21"/>
      <c r="AO59" s="21"/>
      <c r="AP59" s="21"/>
      <c r="AQ59" s="21"/>
      <c r="AR59" s="21"/>
      <c r="AS59" s="21"/>
      <c r="AT59" s="21"/>
      <c r="AU59" s="21"/>
      <c r="AV59" s="21"/>
      <c r="AW59" s="21"/>
      <c r="AX59" s="21"/>
      <c r="AY59" s="21"/>
      <c r="AZ59" s="21"/>
      <c r="BA59" s="21"/>
    </row>
    <row r="60" spans="1:53" ht="20" customHeight="1" x14ac:dyDescent="0.2">
      <c r="A60" s="680"/>
      <c r="B60" s="721"/>
      <c r="C60" s="253"/>
      <c r="D60" s="722" t="s">
        <v>85</v>
      </c>
      <c r="E60" s="723" t="s">
        <v>639</v>
      </c>
      <c r="F60" s="723" t="s">
        <v>640</v>
      </c>
      <c r="G60" s="722">
        <v>2005</v>
      </c>
      <c r="H60" s="287"/>
      <c r="I60" s="701">
        <v>8</v>
      </c>
      <c r="J60" s="232" t="s">
        <v>641</v>
      </c>
      <c r="K60" s="250"/>
      <c r="L60" s="31"/>
      <c r="M60" s="34"/>
      <c r="N60" s="31"/>
      <c r="O60" s="34"/>
      <c r="P60" s="31"/>
      <c r="Q60" s="34"/>
      <c r="R60" s="31"/>
      <c r="S60" s="34"/>
      <c r="T60" s="31"/>
      <c r="U60" s="34"/>
      <c r="V60" s="56"/>
      <c r="W60" s="34"/>
      <c r="X60" s="31"/>
      <c r="Y60" s="34"/>
      <c r="Z60" s="31"/>
      <c r="AA60" s="34"/>
      <c r="AB60" s="31"/>
      <c r="AC60" s="34"/>
      <c r="AD60" s="31"/>
      <c r="AE60" s="34"/>
      <c r="AF60" s="21"/>
      <c r="AG60" s="21"/>
      <c r="AH60" s="21"/>
      <c r="AI60" s="21"/>
      <c r="AJ60" s="21"/>
      <c r="AK60" s="21"/>
      <c r="AL60" s="21"/>
      <c r="AM60" s="21"/>
      <c r="AN60" s="21"/>
      <c r="AO60" s="21"/>
      <c r="AP60" s="21"/>
      <c r="AQ60" s="21"/>
      <c r="AR60" s="21"/>
      <c r="AS60" s="21"/>
      <c r="AT60" s="21"/>
      <c r="AU60" s="21"/>
      <c r="AV60" s="21"/>
      <c r="AW60" s="21"/>
      <c r="AX60" s="21"/>
      <c r="AY60" s="21"/>
      <c r="AZ60" s="21"/>
      <c r="BA60" s="21"/>
    </row>
    <row r="61" spans="1:53" ht="20" customHeight="1" x14ac:dyDescent="0.2">
      <c r="A61" s="678"/>
      <c r="B61" s="721"/>
      <c r="C61" s="722"/>
      <c r="D61" s="727" t="s">
        <v>85</v>
      </c>
      <c r="E61" s="728" t="s">
        <v>349</v>
      </c>
      <c r="F61" s="728" t="s">
        <v>72</v>
      </c>
      <c r="G61" s="727">
        <v>2014</v>
      </c>
      <c r="H61" s="729">
        <v>23</v>
      </c>
      <c r="I61" s="65">
        <v>28</v>
      </c>
      <c r="J61" s="61" t="s">
        <v>184</v>
      </c>
      <c r="K61" s="62" t="s">
        <v>192</v>
      </c>
      <c r="L61" s="31"/>
      <c r="M61" s="34" t="str">
        <f t="shared" si="34"/>
        <v/>
      </c>
      <c r="N61" s="31"/>
      <c r="O61" s="34" t="str">
        <f t="shared" si="35"/>
        <v/>
      </c>
      <c r="P61" s="31"/>
      <c r="Q61" s="34" t="str">
        <f t="shared" si="36"/>
        <v/>
      </c>
      <c r="R61" s="31"/>
      <c r="S61" s="34" t="str">
        <f t="shared" si="37"/>
        <v/>
      </c>
      <c r="T61" s="31"/>
      <c r="U61" s="34" t="str">
        <f t="shared" si="38"/>
        <v/>
      </c>
      <c r="V61" s="56"/>
      <c r="W61" s="34" t="str">
        <f t="shared" si="39"/>
        <v/>
      </c>
      <c r="X61" s="31"/>
      <c r="Y61" s="34" t="str">
        <f>IF((ISERROR((X61/$I61)*100)), "", IF(AND(NOT(ISERROR((X61/$I61)*100)),((X61/$I61)*100) &lt;&gt; 0), (X61/$I61)*100, ""))</f>
        <v/>
      </c>
      <c r="Z61" s="31"/>
      <c r="AA61" s="34" t="str">
        <f>IF((ISERROR((Z61/$I61)*100)), "", IF(AND(NOT(ISERROR((Z61/$I61)*100)),((Z61/$I61)*100) &lt;&gt; 0), (Z61/$I61)*100, ""))</f>
        <v/>
      </c>
      <c r="AB61" s="31"/>
      <c r="AC61" s="34" t="str">
        <f>IF((ISERROR((AB61/$I61)*100)), "", IF(AND(NOT(ISERROR((AB61/$I61)*100)),((AB61/$I61)*100) &lt;&gt; 0), (AB61/$I61)*100, ""))</f>
        <v/>
      </c>
      <c r="AD61" s="31"/>
      <c r="AE61" s="34" t="str">
        <f>IF((ISERROR((AD61/$I61)*100)), "", IF(AND(NOT(ISERROR((AD61/$I61)*100)),((AD61/$I61)*100) &lt;&gt; 0), (AD61/$I61)*100, ""))</f>
        <v/>
      </c>
      <c r="AF61" s="21" t="s">
        <v>413</v>
      </c>
      <c r="AG61" s="21"/>
      <c r="AH61" s="21"/>
      <c r="AI61" s="21"/>
      <c r="AJ61" s="21"/>
      <c r="AK61" s="21"/>
      <c r="AL61" s="21"/>
      <c r="AM61" s="21"/>
      <c r="AN61" s="21"/>
      <c r="AO61" s="21"/>
      <c r="AP61" s="21"/>
      <c r="AQ61" s="21"/>
      <c r="AR61" s="21"/>
      <c r="AS61" s="21"/>
      <c r="AT61" s="21"/>
      <c r="AU61" s="21"/>
      <c r="AV61" s="21"/>
      <c r="AW61" s="21"/>
      <c r="AX61" s="21"/>
      <c r="AY61" s="21"/>
      <c r="AZ61" s="21"/>
      <c r="BA61" s="21"/>
    </row>
    <row r="62" spans="1:53" ht="20" customHeight="1" x14ac:dyDescent="0.2">
      <c r="A62" s="678"/>
      <c r="B62" s="725"/>
      <c r="C62" s="255"/>
      <c r="D62" s="722" t="s">
        <v>85</v>
      </c>
      <c r="E62" s="723" t="s">
        <v>280</v>
      </c>
      <c r="F62" s="723" t="s">
        <v>281</v>
      </c>
      <c r="G62" s="722">
        <v>2014</v>
      </c>
      <c r="H62" s="287"/>
      <c r="I62" s="65">
        <v>28</v>
      </c>
      <c r="J62" s="61" t="s">
        <v>184</v>
      </c>
      <c r="K62" s="62" t="s">
        <v>192</v>
      </c>
      <c r="L62" s="31"/>
      <c r="M62" s="34" t="str">
        <f t="shared" si="34"/>
        <v/>
      </c>
      <c r="N62" s="31"/>
      <c r="O62" s="34" t="str">
        <f t="shared" si="35"/>
        <v/>
      </c>
      <c r="P62" s="31"/>
      <c r="Q62" s="34" t="str">
        <f t="shared" si="36"/>
        <v/>
      </c>
      <c r="R62" s="31"/>
      <c r="S62" s="34" t="str">
        <f t="shared" si="37"/>
        <v/>
      </c>
      <c r="T62" s="31"/>
      <c r="U62" s="34" t="str">
        <f t="shared" si="38"/>
        <v/>
      </c>
      <c r="V62" s="56">
        <v>3</v>
      </c>
      <c r="W62" s="34">
        <f t="shared" si="39"/>
        <v>10.714285714285714</v>
      </c>
      <c r="X62" s="31"/>
      <c r="Y62" s="34" t="str">
        <f>IF((ISERROR((X62/$I62)*100)), "", IF(AND(NOT(ISERROR((X62/$I62)*100)),((X62/$I62)*100) &lt;&gt; 0), (X62/$I62)*100, ""))</f>
        <v/>
      </c>
      <c r="Z62" s="31"/>
      <c r="AA62" s="34" t="str">
        <f>IF((ISERROR((Z62/$I62)*100)), "", IF(AND(NOT(ISERROR((Z62/$I62)*100)),((Z62/$I62)*100) &lt;&gt; 0), (Z62/$I62)*100, ""))</f>
        <v/>
      </c>
      <c r="AB62" s="31"/>
      <c r="AC62" s="34" t="str">
        <f>IF((ISERROR((AB62/$I62)*100)), "", IF(AND(NOT(ISERROR((AB62/$I62)*100)),((AB62/$I62)*100) &lt;&gt; 0), (AB62/$I62)*100, ""))</f>
        <v/>
      </c>
      <c r="AD62" s="31"/>
      <c r="AE62" s="34" t="str">
        <f>IF((ISERROR((AD62/$I62)*100)), "", IF(AND(NOT(ISERROR((AD62/$I62)*100)),((AD62/$I62)*100) &lt;&gt; 0), (AD62/$I62)*100, ""))</f>
        <v/>
      </c>
      <c r="AF62" s="21" t="s">
        <v>350</v>
      </c>
      <c r="AG62" s="21"/>
      <c r="AH62" s="21"/>
      <c r="AI62" s="21"/>
      <c r="AJ62" s="21"/>
      <c r="AK62" s="21"/>
      <c r="AL62" s="21"/>
      <c r="AM62" s="21"/>
      <c r="AN62" s="21"/>
      <c r="AO62" s="21"/>
      <c r="AP62" s="21"/>
      <c r="AQ62" s="21"/>
      <c r="AR62" s="21"/>
      <c r="AS62" s="21"/>
      <c r="AT62" s="21"/>
      <c r="AU62" s="21"/>
      <c r="AV62" s="21"/>
      <c r="AW62" s="21"/>
      <c r="AX62" s="21"/>
      <c r="AY62" s="21"/>
      <c r="AZ62" s="21"/>
      <c r="BA62" s="21"/>
    </row>
    <row r="63" spans="1:53" ht="20" customHeight="1" x14ac:dyDescent="0.2">
      <c r="A63" s="678"/>
      <c r="B63" s="725"/>
      <c r="C63" s="255"/>
      <c r="D63" s="722" t="s">
        <v>476</v>
      </c>
      <c r="E63" s="723" t="s">
        <v>77</v>
      </c>
      <c r="F63" s="723" t="s">
        <v>78</v>
      </c>
      <c r="G63" s="722">
        <v>2009</v>
      </c>
      <c r="H63" s="287">
        <v>134</v>
      </c>
      <c r="I63" s="65">
        <v>94</v>
      </c>
      <c r="J63" s="61" t="s">
        <v>474</v>
      </c>
      <c r="K63" s="62" t="s">
        <v>475</v>
      </c>
      <c r="L63" s="31">
        <v>3</v>
      </c>
      <c r="M63" s="34">
        <f t="shared" si="34"/>
        <v>3.1914893617021276</v>
      </c>
      <c r="N63" s="31"/>
      <c r="O63" s="34" t="str">
        <f t="shared" si="35"/>
        <v/>
      </c>
      <c r="P63" s="31"/>
      <c r="Q63" s="34" t="str">
        <f t="shared" si="36"/>
        <v/>
      </c>
      <c r="R63" s="31"/>
      <c r="S63" s="34" t="str">
        <f t="shared" si="37"/>
        <v/>
      </c>
      <c r="T63" s="31">
        <v>2</v>
      </c>
      <c r="U63" s="34">
        <f t="shared" si="38"/>
        <v>2.1276595744680851</v>
      </c>
      <c r="V63" s="56">
        <v>8</v>
      </c>
      <c r="W63" s="34">
        <f t="shared" si="39"/>
        <v>8.5106382978723403</v>
      </c>
      <c r="X63" s="31">
        <v>1</v>
      </c>
      <c r="Y63" s="34">
        <f t="shared" ref="Y63:Y73" si="44">IF((ISERROR((X63/$I63)*100)), "", IF(AND(NOT(ISERROR((X63/$I63)*100)),((X63/$I63)*100) &lt;&gt; 0), (X63/$I63)*100, ""))</f>
        <v>1.0638297872340425</v>
      </c>
      <c r="Z63" s="31"/>
      <c r="AA63" s="34" t="str">
        <f t="shared" ref="AA63:AA73" si="45">IF((ISERROR((Z63/$I63)*100)), "", IF(AND(NOT(ISERROR((Z63/$I63)*100)),((Z63/$I63)*100) &lt;&gt; 0), (Z63/$I63)*100, ""))</f>
        <v/>
      </c>
      <c r="AB63" s="31"/>
      <c r="AC63" s="34" t="str">
        <f t="shared" ref="AC63:AC73" si="46">IF((ISERROR((AB63/$I63)*100)), "", IF(AND(NOT(ISERROR((AB63/$I63)*100)),((AB63/$I63)*100) &lt;&gt; 0), (AB63/$I63)*100, ""))</f>
        <v/>
      </c>
      <c r="AD63" s="31"/>
      <c r="AE63" s="34" t="str">
        <f t="shared" ref="AE63:AE73" si="47">IF((ISERROR((AD63/$I63)*100)), "", IF(AND(NOT(ISERROR((AD63/$I63)*100)),((AD63/$I63)*100) &lt;&gt; 0), (AD63/$I63)*100, ""))</f>
        <v/>
      </c>
      <c r="AF63" s="21" t="s">
        <v>477</v>
      </c>
      <c r="AG63" s="21"/>
      <c r="AH63" s="21"/>
      <c r="AI63" s="21"/>
      <c r="AJ63" s="21"/>
      <c r="AK63" s="21"/>
      <c r="AL63" s="21"/>
      <c r="AM63" s="21"/>
      <c r="AN63" s="21"/>
      <c r="AO63" s="21"/>
      <c r="AP63" s="21"/>
      <c r="AQ63" s="21"/>
      <c r="AR63" s="21"/>
      <c r="AS63" s="21"/>
      <c r="AT63" s="21"/>
      <c r="AU63" s="21"/>
      <c r="AV63" s="21"/>
      <c r="AW63" s="21"/>
      <c r="AX63" s="21"/>
      <c r="AY63" s="21"/>
      <c r="AZ63" s="21"/>
      <c r="BA63" s="21"/>
    </row>
    <row r="64" spans="1:53" ht="20" customHeight="1" x14ac:dyDescent="0.2">
      <c r="A64" s="678"/>
      <c r="B64" s="725"/>
      <c r="C64" s="253"/>
      <c r="D64" s="722" t="s">
        <v>85</v>
      </c>
      <c r="E64" s="723" t="s">
        <v>282</v>
      </c>
      <c r="F64" s="723" t="s">
        <v>283</v>
      </c>
      <c r="G64" s="722">
        <v>2015</v>
      </c>
      <c r="H64" s="287"/>
      <c r="I64" s="65">
        <v>10</v>
      </c>
      <c r="J64" s="61" t="s">
        <v>340</v>
      </c>
      <c r="K64" s="62" t="s">
        <v>351</v>
      </c>
      <c r="L64" s="31"/>
      <c r="M64" s="34" t="str">
        <f t="shared" si="34"/>
        <v/>
      </c>
      <c r="N64" s="31"/>
      <c r="O64" s="34" t="str">
        <f t="shared" si="35"/>
        <v/>
      </c>
      <c r="P64" s="31"/>
      <c r="Q64" s="34" t="str">
        <f t="shared" si="36"/>
        <v/>
      </c>
      <c r="R64" s="31"/>
      <c r="S64" s="34" t="str">
        <f t="shared" si="37"/>
        <v/>
      </c>
      <c r="T64" s="31"/>
      <c r="U64" s="34" t="str">
        <f t="shared" si="38"/>
        <v/>
      </c>
      <c r="V64" s="56"/>
      <c r="W64" s="34" t="str">
        <f t="shared" si="39"/>
        <v/>
      </c>
      <c r="X64" s="31"/>
      <c r="Y64" s="34" t="str">
        <f>IF((ISERROR((X64/$I64)*100)), "", IF(AND(NOT(ISERROR((X64/$I64)*100)),((X64/$I64)*100) &lt;&gt; 0), (X64/$I64)*100, ""))</f>
        <v/>
      </c>
      <c r="Z64" s="31"/>
      <c r="AA64" s="34" t="str">
        <f>IF((ISERROR((Z64/$I64)*100)), "", IF(AND(NOT(ISERROR((Z64/$I64)*100)),((Z64/$I64)*100) &lt;&gt; 0), (Z64/$I64)*100, ""))</f>
        <v/>
      </c>
      <c r="AB64" s="31"/>
      <c r="AC64" s="34" t="str">
        <f>IF((ISERROR((AB64/$I64)*100)), "", IF(AND(NOT(ISERROR((AB64/$I64)*100)),((AB64/$I64)*100) &lt;&gt; 0), (AB64/$I64)*100, ""))</f>
        <v/>
      </c>
      <c r="AD64" s="31"/>
      <c r="AE64" s="34" t="str">
        <f>IF((ISERROR((AD64/$I64)*100)), "", IF(AND(NOT(ISERROR((AD64/$I64)*100)),((AD64/$I64)*100) &lt;&gt; 0), (AD64/$I64)*100, ""))</f>
        <v/>
      </c>
      <c r="AF64" s="21"/>
      <c r="AG64" s="21"/>
      <c r="AH64" s="21"/>
      <c r="AI64" s="21"/>
      <c r="AJ64" s="21"/>
      <c r="AK64" s="21"/>
      <c r="AL64" s="21"/>
      <c r="AM64" s="21"/>
      <c r="AN64" s="21"/>
      <c r="AO64" s="21"/>
      <c r="AP64" s="21"/>
      <c r="AQ64" s="21"/>
      <c r="AR64" s="21"/>
      <c r="AS64" s="21"/>
      <c r="AT64" s="21"/>
      <c r="AU64" s="21"/>
      <c r="AV64" s="21"/>
      <c r="AW64" s="21"/>
      <c r="AX64" s="21"/>
      <c r="AY64" s="21"/>
      <c r="AZ64" s="21"/>
      <c r="BA64" s="21"/>
    </row>
    <row r="65" spans="1:53" ht="20" customHeight="1" x14ac:dyDescent="0.2">
      <c r="A65" s="678"/>
      <c r="B65" s="725"/>
      <c r="C65" s="255"/>
      <c r="D65" s="722" t="s">
        <v>85</v>
      </c>
      <c r="E65" s="723" t="s">
        <v>79</v>
      </c>
      <c r="F65" s="723" t="s">
        <v>80</v>
      </c>
      <c r="G65" s="722">
        <v>2015</v>
      </c>
      <c r="H65" s="287">
        <v>10</v>
      </c>
      <c r="I65" s="65">
        <v>11</v>
      </c>
      <c r="J65" s="61" t="s">
        <v>194</v>
      </c>
      <c r="K65" s="62" t="s">
        <v>168</v>
      </c>
      <c r="L65" s="31"/>
      <c r="M65" s="34" t="str">
        <f t="shared" si="34"/>
        <v/>
      </c>
      <c r="N65" s="31"/>
      <c r="O65" s="34" t="str">
        <f t="shared" si="35"/>
        <v/>
      </c>
      <c r="P65" s="31"/>
      <c r="Q65" s="34" t="str">
        <f t="shared" si="36"/>
        <v/>
      </c>
      <c r="R65" s="31"/>
      <c r="S65" s="34" t="str">
        <f t="shared" si="37"/>
        <v/>
      </c>
      <c r="T65" s="31"/>
      <c r="U65" s="34" t="str">
        <f t="shared" si="38"/>
        <v/>
      </c>
      <c r="V65" s="56"/>
      <c r="W65" s="34" t="str">
        <f t="shared" si="39"/>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21" t="s">
        <v>193</v>
      </c>
      <c r="AG65" s="21"/>
      <c r="AH65" s="21"/>
      <c r="AI65" s="21"/>
      <c r="AJ65" s="21"/>
      <c r="AK65" s="21"/>
      <c r="AL65" s="21"/>
      <c r="AM65" s="21"/>
      <c r="AN65" s="21"/>
      <c r="AO65" s="21"/>
      <c r="AP65" s="21"/>
      <c r="AQ65" s="21"/>
      <c r="AR65" s="21"/>
      <c r="AS65" s="21"/>
      <c r="AT65" s="21"/>
      <c r="AU65" s="21"/>
      <c r="AV65" s="21"/>
      <c r="AW65" s="21"/>
      <c r="AX65" s="21"/>
      <c r="AY65" s="21"/>
      <c r="AZ65" s="21"/>
      <c r="BA65" s="21"/>
    </row>
    <row r="66" spans="1:53" ht="20" customHeight="1" x14ac:dyDescent="0.2">
      <c r="A66" s="678"/>
      <c r="B66" s="725"/>
      <c r="C66" s="255"/>
      <c r="D66" s="722" t="s">
        <v>85</v>
      </c>
      <c r="E66" s="723" t="s">
        <v>526</v>
      </c>
      <c r="F66" s="723" t="s">
        <v>564</v>
      </c>
      <c r="G66" s="722">
        <v>1998</v>
      </c>
      <c r="H66" s="287"/>
      <c r="I66" s="65">
        <v>22</v>
      </c>
      <c r="J66" s="61" t="s">
        <v>184</v>
      </c>
      <c r="K66" s="62" t="s">
        <v>346</v>
      </c>
      <c r="L66" s="31"/>
      <c r="M66" s="34"/>
      <c r="N66" s="31"/>
      <c r="O66" s="34"/>
      <c r="P66" s="31"/>
      <c r="Q66" s="34"/>
      <c r="R66" s="31"/>
      <c r="S66" s="34"/>
      <c r="T66" s="31">
        <v>1</v>
      </c>
      <c r="U66" s="34">
        <f t="shared" si="38"/>
        <v>4.5454545454545459</v>
      </c>
      <c r="V66" s="56"/>
      <c r="W66" s="34"/>
      <c r="X66" s="31"/>
      <c r="Y66" s="34"/>
      <c r="Z66" s="31"/>
      <c r="AA66" s="34"/>
      <c r="AB66" s="31"/>
      <c r="AC66" s="34"/>
      <c r="AD66" s="31"/>
      <c r="AE66" s="34"/>
      <c r="AF66" s="21"/>
      <c r="AG66" s="21"/>
      <c r="AH66" s="21"/>
      <c r="AI66" s="21"/>
      <c r="AJ66" s="21"/>
      <c r="AK66" s="21"/>
      <c r="AL66" s="21"/>
      <c r="AM66" s="21"/>
      <c r="AN66" s="21"/>
      <c r="AO66" s="21"/>
      <c r="AP66" s="21"/>
      <c r="AQ66" s="21"/>
      <c r="AR66" s="21"/>
      <c r="AS66" s="21"/>
      <c r="AT66" s="21"/>
      <c r="AU66" s="21"/>
      <c r="AV66" s="21"/>
      <c r="AW66" s="21"/>
      <c r="AX66" s="21"/>
      <c r="AY66" s="21"/>
      <c r="AZ66" s="21"/>
      <c r="BA66" s="21"/>
    </row>
    <row r="67" spans="1:53" ht="20" customHeight="1" x14ac:dyDescent="0.2">
      <c r="A67" s="678"/>
      <c r="B67" s="721"/>
      <c r="C67" s="253"/>
      <c r="D67" s="722" t="s">
        <v>85</v>
      </c>
      <c r="E67" s="723" t="s">
        <v>81</v>
      </c>
      <c r="F67" s="723" t="s">
        <v>82</v>
      </c>
      <c r="G67" s="722">
        <v>1994</v>
      </c>
      <c r="H67" s="287">
        <v>292</v>
      </c>
      <c r="I67" s="65">
        <v>15</v>
      </c>
      <c r="J67" s="61" t="s">
        <v>195</v>
      </c>
      <c r="K67" s="62"/>
      <c r="L67" s="31"/>
      <c r="M67" s="34" t="str">
        <f t="shared" si="34"/>
        <v/>
      </c>
      <c r="N67" s="31"/>
      <c r="O67" s="34" t="str">
        <f t="shared" si="35"/>
        <v/>
      </c>
      <c r="P67" s="31"/>
      <c r="Q67" s="34" t="str">
        <f t="shared" si="36"/>
        <v/>
      </c>
      <c r="R67" s="31"/>
      <c r="S67" s="34" t="str">
        <f t="shared" si="37"/>
        <v/>
      </c>
      <c r="T67" s="31"/>
      <c r="U67" s="34" t="str">
        <f t="shared" si="38"/>
        <v/>
      </c>
      <c r="V67" s="56"/>
      <c r="W67" s="34" t="str">
        <f t="shared" si="39"/>
        <v/>
      </c>
      <c r="X67" s="31"/>
      <c r="Y67" s="34" t="str">
        <f t="shared" si="44"/>
        <v/>
      </c>
      <c r="Z67" s="31"/>
      <c r="AA67" s="34" t="str">
        <f t="shared" si="45"/>
        <v/>
      </c>
      <c r="AB67" s="31"/>
      <c r="AC67" s="34" t="str">
        <f t="shared" si="46"/>
        <v/>
      </c>
      <c r="AD67" s="31"/>
      <c r="AE67" s="34" t="str">
        <f t="shared" si="47"/>
        <v/>
      </c>
      <c r="AF67" s="21" t="s">
        <v>196</v>
      </c>
      <c r="AG67" s="21"/>
      <c r="AH67" s="21"/>
      <c r="AI67" s="21"/>
      <c r="AJ67" s="21"/>
      <c r="AK67" s="21"/>
      <c r="AL67" s="21"/>
      <c r="AM67" s="21"/>
      <c r="AN67" s="21"/>
      <c r="AO67" s="21"/>
      <c r="AP67" s="21"/>
      <c r="AQ67" s="21"/>
      <c r="AR67" s="21"/>
      <c r="AS67" s="21"/>
      <c r="AT67" s="21"/>
      <c r="AU67" s="21"/>
      <c r="AV67" s="21"/>
      <c r="AW67" s="21"/>
      <c r="AX67" s="21"/>
      <c r="AY67" s="21"/>
      <c r="AZ67" s="21"/>
      <c r="BA67" s="21"/>
    </row>
    <row r="68" spans="1:53" ht="20" customHeight="1" x14ac:dyDescent="0.2">
      <c r="A68" s="678"/>
      <c r="B68" s="725"/>
      <c r="C68" s="255"/>
      <c r="D68" s="722" t="s">
        <v>85</v>
      </c>
      <c r="E68" s="723" t="s">
        <v>83</v>
      </c>
      <c r="F68" s="723" t="s">
        <v>84</v>
      </c>
      <c r="G68" s="722">
        <v>2000</v>
      </c>
      <c r="H68" s="287">
        <v>146</v>
      </c>
      <c r="I68" s="65">
        <v>42</v>
      </c>
      <c r="J68" s="61" t="s">
        <v>352</v>
      </c>
      <c r="K68" s="62"/>
      <c r="L68" s="31"/>
      <c r="M68" s="34" t="str">
        <f t="shared" si="34"/>
        <v/>
      </c>
      <c r="N68" s="31"/>
      <c r="O68" s="34" t="str">
        <f t="shared" si="35"/>
        <v/>
      </c>
      <c r="P68" s="31"/>
      <c r="Q68" s="34" t="str">
        <f t="shared" si="36"/>
        <v/>
      </c>
      <c r="R68" s="31"/>
      <c r="S68" s="34" t="str">
        <f t="shared" si="37"/>
        <v/>
      </c>
      <c r="T68" s="31">
        <v>1</v>
      </c>
      <c r="U68" s="34">
        <f t="shared" si="38"/>
        <v>2.3809523809523809</v>
      </c>
      <c r="V68" s="56"/>
      <c r="W68" s="34" t="str">
        <f t="shared" si="39"/>
        <v/>
      </c>
      <c r="X68" s="31"/>
      <c r="Y68" s="34" t="str">
        <f t="shared" si="44"/>
        <v/>
      </c>
      <c r="Z68" s="31"/>
      <c r="AA68" s="34" t="str">
        <f t="shared" si="45"/>
        <v/>
      </c>
      <c r="AB68" s="31"/>
      <c r="AC68" s="34" t="str">
        <f t="shared" si="46"/>
        <v/>
      </c>
      <c r="AD68" s="31"/>
      <c r="AE68" s="34" t="str">
        <f t="shared" si="47"/>
        <v/>
      </c>
      <c r="AF68" s="21" t="s">
        <v>478</v>
      </c>
      <c r="AG68" s="21"/>
      <c r="AH68" s="21"/>
      <c r="AI68" s="21"/>
      <c r="AJ68" s="21"/>
      <c r="AK68" s="21"/>
      <c r="AL68" s="21"/>
      <c r="AM68" s="21"/>
      <c r="AN68" s="21"/>
      <c r="AO68" s="21"/>
      <c r="AP68" s="21"/>
      <c r="AQ68" s="21"/>
      <c r="AR68" s="21"/>
      <c r="AS68" s="21"/>
      <c r="AT68" s="21"/>
      <c r="AU68" s="21"/>
      <c r="AV68" s="21"/>
      <c r="AW68" s="21"/>
      <c r="AX68" s="21"/>
      <c r="AY68" s="21"/>
      <c r="AZ68" s="21"/>
      <c r="BA68" s="21"/>
    </row>
    <row r="69" spans="1:53" ht="20" customHeight="1" x14ac:dyDescent="0.2">
      <c r="A69" s="680"/>
      <c r="B69" s="721"/>
      <c r="C69" s="253"/>
      <c r="D69" s="722"/>
      <c r="E69" s="723" t="s">
        <v>643</v>
      </c>
      <c r="F69" s="723" t="s">
        <v>704</v>
      </c>
      <c r="G69" s="722">
        <v>2001</v>
      </c>
      <c r="H69" s="287"/>
      <c r="I69" s="65">
        <v>1</v>
      </c>
      <c r="J69" s="61"/>
      <c r="K69" s="62" t="s">
        <v>644</v>
      </c>
      <c r="L69" s="31"/>
      <c r="M69" s="34"/>
      <c r="N69" s="31"/>
      <c r="O69" s="34"/>
      <c r="P69" s="31"/>
      <c r="Q69" s="34"/>
      <c r="R69" s="31"/>
      <c r="S69" s="34"/>
      <c r="T69" s="31"/>
      <c r="U69" s="34"/>
      <c r="V69" s="56"/>
      <c r="W69" s="34"/>
      <c r="X69" s="31"/>
      <c r="Y69" s="34"/>
      <c r="Z69" s="31"/>
      <c r="AA69" s="34"/>
      <c r="AB69" s="31"/>
      <c r="AC69" s="34"/>
      <c r="AD69" s="31"/>
      <c r="AE69" s="34"/>
      <c r="AF69" s="21"/>
      <c r="AG69" s="21"/>
      <c r="AH69" s="21"/>
      <c r="AI69" s="21"/>
      <c r="AJ69" s="21"/>
      <c r="AK69" s="21"/>
      <c r="AL69" s="21"/>
      <c r="AM69" s="21"/>
      <c r="AN69" s="21"/>
      <c r="AO69" s="21"/>
      <c r="AP69" s="21"/>
      <c r="AQ69" s="21"/>
      <c r="AR69" s="21"/>
      <c r="AS69" s="21"/>
      <c r="AT69" s="21"/>
      <c r="AU69" s="21"/>
      <c r="AV69" s="21"/>
      <c r="AW69" s="21"/>
      <c r="AX69" s="21"/>
      <c r="AY69" s="21"/>
      <c r="AZ69" s="21"/>
      <c r="BA69" s="21"/>
    </row>
    <row r="70" spans="1:53" ht="20" customHeight="1" x14ac:dyDescent="0.2">
      <c r="A70" s="678"/>
      <c r="B70" s="721"/>
      <c r="C70" s="253"/>
      <c r="D70" s="727" t="s">
        <v>35</v>
      </c>
      <c r="E70" s="728" t="s">
        <v>87</v>
      </c>
      <c r="F70" s="728" t="s">
        <v>88</v>
      </c>
      <c r="G70" s="727">
        <v>1996</v>
      </c>
      <c r="H70" s="729">
        <v>187</v>
      </c>
      <c r="I70" s="65">
        <v>100</v>
      </c>
      <c r="J70" s="61" t="s">
        <v>197</v>
      </c>
      <c r="K70" s="62"/>
      <c r="L70" s="31"/>
      <c r="M70" s="34" t="str">
        <f t="shared" si="34"/>
        <v/>
      </c>
      <c r="N70" s="31"/>
      <c r="O70" s="34" t="str">
        <f t="shared" si="35"/>
        <v/>
      </c>
      <c r="P70" s="31"/>
      <c r="Q70" s="34" t="str">
        <f t="shared" si="36"/>
        <v/>
      </c>
      <c r="R70" s="31"/>
      <c r="S70" s="34" t="str">
        <f t="shared" si="37"/>
        <v/>
      </c>
      <c r="T70" s="31"/>
      <c r="U70" s="34" t="str">
        <f t="shared" si="38"/>
        <v/>
      </c>
      <c r="V70" s="56"/>
      <c r="W70" s="34" t="str">
        <f t="shared" si="39"/>
        <v/>
      </c>
      <c r="X70" s="31"/>
      <c r="Y70" s="34" t="str">
        <f t="shared" si="44"/>
        <v/>
      </c>
      <c r="Z70" s="31"/>
      <c r="AA70" s="34" t="str">
        <f t="shared" si="45"/>
        <v/>
      </c>
      <c r="AB70" s="31"/>
      <c r="AC70" s="34" t="str">
        <f t="shared" si="46"/>
        <v/>
      </c>
      <c r="AD70" s="31"/>
      <c r="AE70" s="34" t="str">
        <f t="shared" si="47"/>
        <v/>
      </c>
      <c r="AF70" s="21" t="s">
        <v>198</v>
      </c>
      <c r="AG70" s="21"/>
      <c r="AH70" s="21"/>
      <c r="AI70" s="21"/>
      <c r="AJ70" s="21"/>
      <c r="AK70" s="21"/>
      <c r="AL70" s="21"/>
      <c r="AM70" s="21"/>
      <c r="AN70" s="21"/>
      <c r="AO70" s="21"/>
      <c r="AP70" s="21"/>
      <c r="AQ70" s="21"/>
      <c r="AR70" s="21"/>
      <c r="AS70" s="21"/>
      <c r="AT70" s="21"/>
      <c r="AU70" s="21"/>
      <c r="AV70" s="21"/>
      <c r="AW70" s="21"/>
      <c r="AX70" s="21"/>
      <c r="AY70" s="21"/>
      <c r="AZ70" s="21"/>
      <c r="BA70" s="21"/>
    </row>
    <row r="71" spans="1:53" ht="20" customHeight="1" x14ac:dyDescent="0.2">
      <c r="A71" s="678"/>
      <c r="B71" s="721"/>
      <c r="C71" s="253"/>
      <c r="D71" s="722" t="s">
        <v>85</v>
      </c>
      <c r="E71" s="723" t="s">
        <v>89</v>
      </c>
      <c r="F71" s="723" t="s">
        <v>90</v>
      </c>
      <c r="G71" s="722">
        <v>2000</v>
      </c>
      <c r="H71" s="287">
        <v>79</v>
      </c>
      <c r="I71" s="65">
        <v>10</v>
      </c>
      <c r="J71" s="61" t="s">
        <v>167</v>
      </c>
      <c r="K71" s="62"/>
      <c r="L71" s="31"/>
      <c r="M71" s="34" t="str">
        <f t="shared" si="34"/>
        <v/>
      </c>
      <c r="N71" s="31"/>
      <c r="O71" s="34" t="str">
        <f t="shared" si="35"/>
        <v/>
      </c>
      <c r="P71" s="31"/>
      <c r="Q71" s="34" t="str">
        <f t="shared" si="36"/>
        <v/>
      </c>
      <c r="R71" s="31"/>
      <c r="S71" s="34" t="str">
        <f t="shared" si="37"/>
        <v/>
      </c>
      <c r="T71" s="31"/>
      <c r="U71" s="34" t="str">
        <f t="shared" si="38"/>
        <v/>
      </c>
      <c r="V71" s="56"/>
      <c r="W71" s="34" t="str">
        <f t="shared" si="39"/>
        <v/>
      </c>
      <c r="X71" s="31"/>
      <c r="Y71" s="34" t="str">
        <f t="shared" si="44"/>
        <v/>
      </c>
      <c r="Z71" s="31"/>
      <c r="AA71" s="34" t="str">
        <f t="shared" si="45"/>
        <v/>
      </c>
      <c r="AB71" s="31"/>
      <c r="AC71" s="34" t="str">
        <f t="shared" si="46"/>
        <v/>
      </c>
      <c r="AD71" s="31"/>
      <c r="AE71" s="34" t="str">
        <f t="shared" si="47"/>
        <v/>
      </c>
      <c r="AF71" s="21" t="s">
        <v>199</v>
      </c>
      <c r="AG71" s="21"/>
      <c r="AH71" s="21"/>
      <c r="AI71" s="21"/>
      <c r="AJ71" s="21"/>
      <c r="AK71" s="21"/>
      <c r="AL71" s="21"/>
      <c r="AM71" s="21"/>
      <c r="AN71" s="21"/>
      <c r="AO71" s="21"/>
      <c r="AP71" s="21"/>
      <c r="AQ71" s="21"/>
      <c r="AR71" s="21"/>
      <c r="AS71" s="21"/>
      <c r="AT71" s="21"/>
      <c r="AU71" s="21"/>
      <c r="AV71" s="21"/>
      <c r="AW71" s="21"/>
      <c r="AX71" s="21"/>
      <c r="AY71" s="21"/>
      <c r="AZ71" s="21"/>
      <c r="BA71" s="21"/>
    </row>
    <row r="72" spans="1:53" ht="20" customHeight="1" x14ac:dyDescent="0.2">
      <c r="A72" s="680"/>
      <c r="B72" s="725"/>
      <c r="C72" s="255"/>
      <c r="D72" s="722" t="s">
        <v>85</v>
      </c>
      <c r="E72" s="723" t="s">
        <v>528</v>
      </c>
      <c r="F72" s="723" t="s">
        <v>529</v>
      </c>
      <c r="G72" s="722">
        <v>2000</v>
      </c>
      <c r="H72" s="287"/>
      <c r="I72" s="701">
        <v>19</v>
      </c>
      <c r="J72" s="232" t="s">
        <v>340</v>
      </c>
      <c r="K72" s="250" t="s">
        <v>333</v>
      </c>
      <c r="L72" s="31"/>
      <c r="M72" s="34"/>
      <c r="N72" s="31"/>
      <c r="O72" s="34"/>
      <c r="P72" s="31"/>
      <c r="Q72" s="34"/>
      <c r="R72" s="31"/>
      <c r="S72" s="34"/>
      <c r="T72" s="31"/>
      <c r="U72" s="34"/>
      <c r="V72" s="56"/>
      <c r="W72" s="34"/>
      <c r="X72" s="31"/>
      <c r="Y72" s="34"/>
      <c r="Z72" s="31"/>
      <c r="AA72" s="34"/>
      <c r="AB72" s="31"/>
      <c r="AC72" s="34"/>
      <c r="AD72" s="31"/>
      <c r="AE72" s="34"/>
      <c r="AF72" s="21"/>
      <c r="AG72" s="21"/>
      <c r="AH72" s="21"/>
      <c r="AI72" s="21"/>
      <c r="AJ72" s="21"/>
      <c r="AK72" s="21"/>
      <c r="AL72" s="21"/>
      <c r="AM72" s="21"/>
      <c r="AN72" s="21"/>
      <c r="AO72" s="21"/>
      <c r="AP72" s="21"/>
      <c r="AQ72" s="21"/>
      <c r="AR72" s="21"/>
      <c r="AS72" s="21"/>
      <c r="AT72" s="21"/>
      <c r="AU72" s="21"/>
      <c r="AV72" s="21"/>
      <c r="AW72" s="21"/>
      <c r="AX72" s="21"/>
      <c r="AY72" s="21"/>
      <c r="AZ72" s="21"/>
      <c r="BA72" s="21"/>
    </row>
    <row r="73" spans="1:53" ht="20" customHeight="1" x14ac:dyDescent="0.2">
      <c r="A73" s="678"/>
      <c r="B73" s="725"/>
      <c r="C73" s="255"/>
      <c r="D73" s="722"/>
      <c r="E73" s="723" t="s">
        <v>284</v>
      </c>
      <c r="F73" s="723" t="s">
        <v>285</v>
      </c>
      <c r="G73" s="722">
        <v>2005</v>
      </c>
      <c r="H73" s="287"/>
      <c r="I73" s="65">
        <v>13</v>
      </c>
      <c r="J73" s="61" t="s">
        <v>353</v>
      </c>
      <c r="K73" s="62"/>
      <c r="L73" s="31"/>
      <c r="M73" s="34" t="str">
        <f t="shared" si="34"/>
        <v/>
      </c>
      <c r="N73" s="31">
        <v>3</v>
      </c>
      <c r="O73" s="34">
        <f t="shared" si="35"/>
        <v>23.076923076923077</v>
      </c>
      <c r="P73" s="31"/>
      <c r="Q73" s="34" t="str">
        <f t="shared" si="36"/>
        <v/>
      </c>
      <c r="R73" s="31"/>
      <c r="S73" s="34" t="str">
        <f t="shared" si="37"/>
        <v/>
      </c>
      <c r="T73" s="31"/>
      <c r="U73" s="34" t="str">
        <f t="shared" si="38"/>
        <v/>
      </c>
      <c r="V73" s="56">
        <v>1</v>
      </c>
      <c r="W73" s="34">
        <f t="shared" si="39"/>
        <v>7.6923076923076925</v>
      </c>
      <c r="X73" s="31"/>
      <c r="Y73" s="34" t="str">
        <f t="shared" si="44"/>
        <v/>
      </c>
      <c r="Z73" s="31"/>
      <c r="AA73" s="34" t="str">
        <f t="shared" si="45"/>
        <v/>
      </c>
      <c r="AB73" s="31"/>
      <c r="AC73" s="34" t="str">
        <f t="shared" si="46"/>
        <v/>
      </c>
      <c r="AD73" s="31"/>
      <c r="AE73" s="34" t="str">
        <f t="shared" si="47"/>
        <v/>
      </c>
      <c r="AF73" s="21" t="s">
        <v>354</v>
      </c>
      <c r="AG73" s="21"/>
      <c r="AH73" s="21"/>
      <c r="AI73" s="21"/>
      <c r="AJ73" s="21"/>
      <c r="AK73" s="21"/>
      <c r="AL73" s="21"/>
      <c r="AM73" s="21"/>
      <c r="AN73" s="21"/>
      <c r="AO73" s="21"/>
      <c r="AP73" s="21"/>
      <c r="AQ73" s="21"/>
      <c r="AR73" s="21"/>
      <c r="AS73" s="21"/>
      <c r="AT73" s="21"/>
      <c r="AU73" s="21"/>
      <c r="AV73" s="21"/>
      <c r="AW73" s="21"/>
      <c r="AX73" s="21"/>
      <c r="AY73" s="21"/>
      <c r="AZ73" s="21"/>
      <c r="BA73" s="21"/>
    </row>
    <row r="74" spans="1:53" ht="20" customHeight="1" x14ac:dyDescent="0.2">
      <c r="A74" s="680"/>
      <c r="B74" s="721"/>
      <c r="C74" s="722"/>
      <c r="D74" s="722" t="s">
        <v>85</v>
      </c>
      <c r="E74" s="723" t="s">
        <v>646</v>
      </c>
      <c r="F74" s="723" t="s">
        <v>647</v>
      </c>
      <c r="G74" s="722">
        <v>1998</v>
      </c>
      <c r="H74" s="287"/>
      <c r="I74" s="701">
        <v>18</v>
      </c>
      <c r="J74" s="232" t="s">
        <v>217</v>
      </c>
      <c r="K74" s="250"/>
      <c r="L74" s="31"/>
      <c r="M74" s="34"/>
      <c r="N74" s="31"/>
      <c r="O74" s="34"/>
      <c r="P74" s="31"/>
      <c r="Q74" s="34"/>
      <c r="R74" s="31"/>
      <c r="S74" s="34"/>
      <c r="T74" s="31"/>
      <c r="U74" s="34"/>
      <c r="V74" s="56"/>
      <c r="W74" s="34"/>
      <c r="X74" s="31"/>
      <c r="Y74" s="34"/>
      <c r="Z74" s="31"/>
      <c r="AA74" s="34"/>
      <c r="AB74" s="31"/>
      <c r="AC74" s="34"/>
      <c r="AD74" s="31"/>
      <c r="AE74" s="34"/>
      <c r="AF74" s="21"/>
      <c r="AG74" s="21"/>
      <c r="AH74" s="21"/>
      <c r="AI74" s="21"/>
      <c r="AJ74" s="21"/>
      <c r="AK74" s="21"/>
      <c r="AL74" s="21"/>
      <c r="AM74" s="21"/>
      <c r="AN74" s="21"/>
      <c r="AO74" s="21"/>
      <c r="AP74" s="21"/>
      <c r="AQ74" s="21"/>
      <c r="AR74" s="21"/>
      <c r="AS74" s="21"/>
      <c r="AT74" s="21"/>
      <c r="AU74" s="21"/>
      <c r="AV74" s="21"/>
      <c r="AW74" s="21"/>
      <c r="AX74" s="21"/>
      <c r="AY74" s="21"/>
      <c r="AZ74" s="21"/>
      <c r="BA74" s="21"/>
    </row>
    <row r="75" spans="1:53" ht="20" customHeight="1" x14ac:dyDescent="0.2">
      <c r="A75" s="678"/>
      <c r="B75" s="725"/>
      <c r="C75" s="253"/>
      <c r="D75" s="722" t="s">
        <v>85</v>
      </c>
      <c r="E75" s="723" t="s">
        <v>91</v>
      </c>
      <c r="F75" s="723" t="s">
        <v>92</v>
      </c>
      <c r="G75" s="722">
        <v>2001</v>
      </c>
      <c r="H75" s="287">
        <v>170</v>
      </c>
      <c r="I75" s="65">
        <v>20</v>
      </c>
      <c r="J75" s="61" t="s">
        <v>175</v>
      </c>
      <c r="K75" s="62" t="s">
        <v>168</v>
      </c>
      <c r="L75" s="31"/>
      <c r="M75" s="34" t="str">
        <f t="shared" si="34"/>
        <v/>
      </c>
      <c r="N75" s="31"/>
      <c r="O75" s="34" t="str">
        <f t="shared" si="35"/>
        <v/>
      </c>
      <c r="P75" s="31"/>
      <c r="Q75" s="34" t="str">
        <f t="shared" si="36"/>
        <v/>
      </c>
      <c r="R75" s="31"/>
      <c r="S75" s="34" t="str">
        <f t="shared" si="37"/>
        <v/>
      </c>
      <c r="T75" s="31"/>
      <c r="U75" s="34" t="str">
        <f t="shared" si="38"/>
        <v/>
      </c>
      <c r="V75" s="56"/>
      <c r="W75" s="34" t="str">
        <f t="shared" si="39"/>
        <v/>
      </c>
      <c r="X75" s="31"/>
      <c r="Y75" s="34" t="str">
        <f>IF((ISERROR((X75/$I75)*100)), "", IF(AND(NOT(ISERROR((X75/$I75)*100)),((X75/$I75)*100) &lt;&gt; 0), (X75/$I75)*100, ""))</f>
        <v/>
      </c>
      <c r="Z75" s="31"/>
      <c r="AA75" s="34" t="str">
        <f>IF((ISERROR((Z75/$I75)*100)), "", IF(AND(NOT(ISERROR((Z75/$I75)*100)),((Z75/$I75)*100) &lt;&gt; 0), (Z75/$I75)*100, ""))</f>
        <v/>
      </c>
      <c r="AB75" s="31"/>
      <c r="AC75" s="34" t="str">
        <f>IF((ISERROR((AB75/$I75)*100)), "", IF(AND(NOT(ISERROR((AB75/$I75)*100)),((AB75/$I75)*100) &lt;&gt; 0), (AB75/$I75)*100, ""))</f>
        <v/>
      </c>
      <c r="AD75" s="31"/>
      <c r="AE75" s="34" t="str">
        <f>IF((ISERROR((AD75/$I75)*100)), "", IF(AND(NOT(ISERROR((AD75/$I75)*100)),((AD75/$I75)*100) &lt;&gt; 0), (AD75/$I75)*100, ""))</f>
        <v/>
      </c>
      <c r="AF75" s="21" t="s">
        <v>180</v>
      </c>
      <c r="AG75" s="21"/>
      <c r="AH75" s="21"/>
      <c r="AI75" s="21"/>
      <c r="AJ75" s="21"/>
      <c r="AK75" s="21"/>
      <c r="AL75" s="21"/>
      <c r="AM75" s="21"/>
      <c r="AN75" s="21"/>
      <c r="AO75" s="21"/>
      <c r="AP75" s="21"/>
      <c r="AQ75" s="21"/>
      <c r="AR75" s="21"/>
      <c r="AS75" s="21"/>
      <c r="AT75" s="21"/>
      <c r="AU75" s="21"/>
      <c r="AV75" s="21"/>
      <c r="AW75" s="21"/>
      <c r="AX75" s="21"/>
      <c r="AY75" s="21"/>
      <c r="AZ75" s="21"/>
      <c r="BA75" s="21"/>
    </row>
    <row r="76" spans="1:53" ht="20" customHeight="1" x14ac:dyDescent="0.2">
      <c r="A76" s="678"/>
      <c r="B76" s="725"/>
      <c r="C76" s="253"/>
      <c r="D76" s="722" t="s">
        <v>85</v>
      </c>
      <c r="E76" s="723" t="s">
        <v>286</v>
      </c>
      <c r="F76" s="723" t="s">
        <v>287</v>
      </c>
      <c r="G76" s="722">
        <v>2009</v>
      </c>
      <c r="H76" s="287"/>
      <c r="I76" s="65">
        <v>20</v>
      </c>
      <c r="J76" s="61" t="s">
        <v>213</v>
      </c>
      <c r="K76" s="62" t="s">
        <v>190</v>
      </c>
      <c r="L76" s="31"/>
      <c r="M76" s="34" t="str">
        <f t="shared" si="34"/>
        <v/>
      </c>
      <c r="N76" s="31"/>
      <c r="O76" s="34" t="str">
        <f t="shared" si="35"/>
        <v/>
      </c>
      <c r="P76" s="31"/>
      <c r="Q76" s="34" t="str">
        <f t="shared" si="36"/>
        <v/>
      </c>
      <c r="R76" s="31"/>
      <c r="S76" s="34" t="str">
        <f t="shared" si="37"/>
        <v/>
      </c>
      <c r="T76" s="31"/>
      <c r="U76" s="34" t="str">
        <f t="shared" si="38"/>
        <v/>
      </c>
      <c r="V76" s="56"/>
      <c r="W76" s="34" t="str">
        <f t="shared" si="39"/>
        <v/>
      </c>
      <c r="X76" s="31"/>
      <c r="Y76" s="34" t="str">
        <f>IF((ISERROR((X76/$I76)*100)), "", IF(AND(NOT(ISERROR((X76/$I76)*100)),((X76/$I76)*100) &lt;&gt; 0), (X76/$I76)*100, ""))</f>
        <v/>
      </c>
      <c r="Z76" s="31"/>
      <c r="AA76" s="34" t="str">
        <f>IF((ISERROR((Z76/$I76)*100)), "", IF(AND(NOT(ISERROR((Z76/$I76)*100)),((Z76/$I76)*100) &lt;&gt; 0), (Z76/$I76)*100, ""))</f>
        <v/>
      </c>
      <c r="AB76" s="31"/>
      <c r="AC76" s="34" t="str">
        <f>IF((ISERROR((AB76/$I76)*100)), "", IF(AND(NOT(ISERROR((AB76/$I76)*100)),((AB76/$I76)*100) &lt;&gt; 0), (AB76/$I76)*100, ""))</f>
        <v/>
      </c>
      <c r="AD76" s="31"/>
      <c r="AE76" s="34" t="str">
        <f>IF((ISERROR((AD76/$I76)*100)), "", IF(AND(NOT(ISERROR((AD76/$I76)*100)),((AD76/$I76)*100) &lt;&gt; 0), (AD76/$I76)*100, ""))</f>
        <v/>
      </c>
      <c r="AF76" s="21" t="s">
        <v>355</v>
      </c>
      <c r="AG76" s="21"/>
      <c r="AH76" s="21"/>
      <c r="AI76" s="21"/>
      <c r="AJ76" s="21"/>
      <c r="AK76" s="21"/>
      <c r="AL76" s="21"/>
      <c r="AM76" s="21"/>
      <c r="AN76" s="21"/>
      <c r="AO76" s="21"/>
      <c r="AP76" s="21"/>
      <c r="AQ76" s="21"/>
      <c r="AR76" s="21"/>
      <c r="AS76" s="21"/>
      <c r="AT76" s="21"/>
      <c r="AU76" s="21"/>
      <c r="AV76" s="21"/>
      <c r="AW76" s="21"/>
      <c r="AX76" s="21"/>
      <c r="AY76" s="21"/>
      <c r="AZ76" s="21"/>
      <c r="BA76" s="21"/>
    </row>
    <row r="77" spans="1:53" ht="20" customHeight="1" x14ac:dyDescent="0.2">
      <c r="A77" s="678"/>
      <c r="B77" s="725"/>
      <c r="C77" s="722"/>
      <c r="D77" s="722" t="s">
        <v>85</v>
      </c>
      <c r="E77" s="723" t="s">
        <v>288</v>
      </c>
      <c r="F77" s="723" t="s">
        <v>289</v>
      </c>
      <c r="G77" s="722">
        <v>2006</v>
      </c>
      <c r="H77" s="287"/>
      <c r="I77" s="65">
        <v>10</v>
      </c>
      <c r="J77" s="61" t="s">
        <v>356</v>
      </c>
      <c r="K77" s="62" t="s">
        <v>168</v>
      </c>
      <c r="L77" s="31"/>
      <c r="M77" s="34" t="str">
        <f t="shared" si="34"/>
        <v/>
      </c>
      <c r="N77" s="31"/>
      <c r="O77" s="34" t="str">
        <f t="shared" si="35"/>
        <v/>
      </c>
      <c r="P77" s="31"/>
      <c r="Q77" s="34" t="str">
        <f t="shared" si="36"/>
        <v/>
      </c>
      <c r="R77" s="31"/>
      <c r="S77" s="34" t="str">
        <f t="shared" si="37"/>
        <v/>
      </c>
      <c r="T77" s="36"/>
      <c r="U77" s="37" t="str">
        <f t="shared" si="38"/>
        <v/>
      </c>
      <c r="V77" s="56"/>
      <c r="W77" s="34" t="str">
        <f t="shared" si="39"/>
        <v/>
      </c>
      <c r="X77" s="31"/>
      <c r="Y77" s="34" t="str">
        <f>IF((ISERROR((X77/$I77)*100)), "", IF(AND(NOT(ISERROR((X77/$I77)*100)),((X77/$I77)*100) &lt;&gt; 0), (X77/$I77)*100, ""))</f>
        <v/>
      </c>
      <c r="Z77" s="31"/>
      <c r="AA77" s="34" t="str">
        <f>IF((ISERROR((Z77/$I77)*100)), "", IF(AND(NOT(ISERROR((Z77/$I77)*100)),((Z77/$I77)*100) &lt;&gt; 0), (Z77/$I77)*100, ""))</f>
        <v/>
      </c>
      <c r="AB77" s="31"/>
      <c r="AC77" s="34" t="str">
        <f>IF((ISERROR((AB77/$I77)*100)), "", IF(AND(NOT(ISERROR((AB77/$I77)*100)),((AB77/$I77)*100) &lt;&gt; 0), (AB77/$I77)*100, ""))</f>
        <v/>
      </c>
      <c r="AD77" s="31"/>
      <c r="AE77" s="34" t="str">
        <f>IF((ISERROR((AD77/$I77)*100)), "", IF(AND(NOT(ISERROR((AD77/$I77)*100)),((AD77/$I77)*100) &lt;&gt; 0), (AD77/$I77)*100, ""))</f>
        <v/>
      </c>
      <c r="AF77" s="21" t="s">
        <v>357</v>
      </c>
      <c r="AG77" s="21"/>
      <c r="AH77" s="21"/>
      <c r="AI77" s="21"/>
      <c r="AJ77" s="21"/>
      <c r="AK77" s="21"/>
      <c r="AL77" s="21"/>
      <c r="AM77" s="21"/>
      <c r="AN77" s="21"/>
      <c r="AO77" s="21"/>
      <c r="AP77" s="21"/>
      <c r="AQ77" s="21"/>
      <c r="AR77" s="21"/>
      <c r="AS77" s="21"/>
      <c r="AT77" s="21"/>
      <c r="AU77" s="21"/>
      <c r="AV77" s="21"/>
      <c r="AW77" s="21"/>
      <c r="AX77" s="21"/>
      <c r="AY77" s="21"/>
      <c r="AZ77" s="21"/>
      <c r="BA77" s="21"/>
    </row>
    <row r="78" spans="1:53" ht="20" customHeight="1" x14ac:dyDescent="0.2">
      <c r="A78" s="680"/>
      <c r="B78" s="725"/>
      <c r="C78" s="253"/>
      <c r="D78" s="722" t="s">
        <v>85</v>
      </c>
      <c r="E78" s="723" t="s">
        <v>531</v>
      </c>
      <c r="F78" s="723" t="s">
        <v>532</v>
      </c>
      <c r="G78" s="722">
        <v>2010</v>
      </c>
      <c r="H78" s="287"/>
      <c r="I78" s="701">
        <v>8</v>
      </c>
      <c r="J78" s="232" t="s">
        <v>213</v>
      </c>
      <c r="K78" s="250" t="s">
        <v>168</v>
      </c>
      <c r="L78" s="31"/>
      <c r="M78" s="34"/>
      <c r="N78" s="31"/>
      <c r="O78" s="34"/>
      <c r="P78" s="31"/>
      <c r="Q78" s="34"/>
      <c r="R78" s="31"/>
      <c r="S78" s="34"/>
      <c r="T78" s="31"/>
      <c r="U78" s="34"/>
      <c r="V78" s="56"/>
      <c r="W78" s="34"/>
      <c r="X78" s="31"/>
      <c r="Y78" s="34"/>
      <c r="Z78" s="31"/>
      <c r="AA78" s="34"/>
      <c r="AB78" s="31"/>
      <c r="AC78" s="34"/>
      <c r="AD78" s="31"/>
      <c r="AE78" s="34"/>
      <c r="AF78" s="21"/>
      <c r="AG78" s="21"/>
      <c r="AH78" s="21"/>
      <c r="AI78" s="21"/>
      <c r="AJ78" s="21"/>
      <c r="AK78" s="21"/>
      <c r="AL78" s="21"/>
      <c r="AM78" s="21"/>
      <c r="AN78" s="21"/>
      <c r="AO78" s="21"/>
      <c r="AP78" s="21"/>
      <c r="AQ78" s="21"/>
      <c r="AR78" s="21"/>
      <c r="AS78" s="21"/>
      <c r="AT78" s="21"/>
      <c r="AU78" s="21"/>
      <c r="AV78" s="21"/>
      <c r="AW78" s="21"/>
      <c r="AX78" s="21"/>
      <c r="AY78" s="21"/>
      <c r="AZ78" s="21"/>
      <c r="BA78" s="21"/>
    </row>
    <row r="79" spans="1:53" ht="20" customHeight="1" x14ac:dyDescent="0.2">
      <c r="A79" s="678"/>
      <c r="B79" s="721"/>
      <c r="C79" s="722"/>
      <c r="D79" s="722" t="s">
        <v>85</v>
      </c>
      <c r="E79" s="723" t="s">
        <v>292</v>
      </c>
      <c r="F79" s="723" t="s">
        <v>293</v>
      </c>
      <c r="G79" s="722">
        <v>2016</v>
      </c>
      <c r="H79" s="287"/>
      <c r="I79" s="65">
        <v>25</v>
      </c>
      <c r="J79" s="61" t="s">
        <v>213</v>
      </c>
      <c r="K79" s="62" t="s">
        <v>191</v>
      </c>
      <c r="L79" s="31"/>
      <c r="M79" s="34" t="str">
        <f t="shared" si="34"/>
        <v/>
      </c>
      <c r="N79" s="31"/>
      <c r="O79" s="34" t="str">
        <f t="shared" si="35"/>
        <v/>
      </c>
      <c r="P79" s="31"/>
      <c r="Q79" s="34" t="str">
        <f t="shared" si="36"/>
        <v/>
      </c>
      <c r="R79" s="31"/>
      <c r="S79" s="34" t="str">
        <f t="shared" si="37"/>
        <v/>
      </c>
      <c r="T79" s="31"/>
      <c r="U79" s="34" t="str">
        <f t="shared" si="38"/>
        <v/>
      </c>
      <c r="V79" s="56"/>
      <c r="W79" s="34" t="str">
        <f t="shared" si="39"/>
        <v/>
      </c>
      <c r="X79" s="31"/>
      <c r="Y79" s="34" t="str">
        <f>IF((ISERROR((X79/$I79)*100)), "", IF(AND(NOT(ISERROR((X79/$I79)*100)),((X79/$I79)*100) &lt;&gt; 0), (X79/$I79)*100, ""))</f>
        <v/>
      </c>
      <c r="Z79" s="31"/>
      <c r="AA79" s="34" t="str">
        <f>IF((ISERROR((Z79/$I79)*100)), "", IF(AND(NOT(ISERROR((Z79/$I79)*100)),((Z79/$I79)*100) &lt;&gt; 0), (Z79/$I79)*100, ""))</f>
        <v/>
      </c>
      <c r="AB79" s="31"/>
      <c r="AC79" s="34" t="str">
        <f>IF((ISERROR((AB79/$I79)*100)), "", IF(AND(NOT(ISERROR((AB79/$I79)*100)),((AB79/$I79)*100) &lt;&gt; 0), (AB79/$I79)*100, ""))</f>
        <v/>
      </c>
      <c r="AD79" s="31"/>
      <c r="AE79" s="34" t="str">
        <f>IF((ISERROR((AD79/$I79)*100)), "", IF(AND(NOT(ISERROR((AD79/$I79)*100)),((AD79/$I79)*100) &lt;&gt; 0), (AD79/$I79)*100, ""))</f>
        <v/>
      </c>
      <c r="AF79" s="21"/>
      <c r="AG79" s="21"/>
      <c r="AH79" s="21"/>
      <c r="AI79" s="21"/>
      <c r="AJ79" s="21"/>
      <c r="AK79" s="21"/>
      <c r="AL79" s="21"/>
      <c r="AM79" s="21"/>
      <c r="AN79" s="21"/>
      <c r="AO79" s="21"/>
      <c r="AP79" s="21"/>
      <c r="AQ79" s="21"/>
      <c r="AR79" s="21"/>
      <c r="AS79" s="21"/>
      <c r="AT79" s="21"/>
      <c r="AU79" s="21"/>
      <c r="AV79" s="21"/>
      <c r="AW79" s="21"/>
      <c r="AX79" s="21"/>
      <c r="AY79" s="21"/>
      <c r="AZ79" s="21"/>
      <c r="BA79" s="21"/>
    </row>
    <row r="80" spans="1:53" ht="20" customHeight="1" x14ac:dyDescent="0.2">
      <c r="A80" s="678"/>
      <c r="B80" s="725"/>
      <c r="C80" s="255"/>
      <c r="D80" s="722" t="s">
        <v>85</v>
      </c>
      <c r="E80" s="723" t="s">
        <v>290</v>
      </c>
      <c r="F80" s="723" t="s">
        <v>291</v>
      </c>
      <c r="G80" s="722">
        <v>2011</v>
      </c>
      <c r="H80" s="287"/>
      <c r="I80" s="65">
        <v>244</v>
      </c>
      <c r="J80" s="61" t="s">
        <v>210</v>
      </c>
      <c r="K80" s="62" t="s">
        <v>189</v>
      </c>
      <c r="L80" s="31"/>
      <c r="M80" s="34" t="str">
        <f t="shared" si="34"/>
        <v/>
      </c>
      <c r="N80" s="31"/>
      <c r="O80" s="34" t="str">
        <f t="shared" si="35"/>
        <v/>
      </c>
      <c r="P80" s="31"/>
      <c r="Q80" s="34" t="str">
        <f t="shared" si="36"/>
        <v/>
      </c>
      <c r="R80" s="31"/>
      <c r="S80" s="34" t="str">
        <f t="shared" si="37"/>
        <v/>
      </c>
      <c r="T80" s="31"/>
      <c r="U80" s="34" t="str">
        <f t="shared" si="38"/>
        <v/>
      </c>
      <c r="V80" s="56"/>
      <c r="W80" s="34" t="str">
        <f t="shared" si="39"/>
        <v/>
      </c>
      <c r="X80" s="31"/>
      <c r="Y80" s="34" t="str">
        <f t="shared" ref="Y80" si="48">IF((ISERROR((X80/$I80)*100)), "", IF(AND(NOT(ISERROR((X80/$I80)*100)),((X80/$I80)*100) &lt;&gt; 0), (X80/$I80)*100, ""))</f>
        <v/>
      </c>
      <c r="Z80" s="31"/>
      <c r="AA80" s="34" t="str">
        <f t="shared" ref="AA80" si="49">IF((ISERROR((Z80/$I80)*100)), "", IF(AND(NOT(ISERROR((Z80/$I80)*100)),((Z80/$I80)*100) &lt;&gt; 0), (Z80/$I80)*100, ""))</f>
        <v/>
      </c>
      <c r="AB80" s="31"/>
      <c r="AC80" s="34" t="str">
        <f t="shared" ref="AC80" si="50">IF((ISERROR((AB80/$I80)*100)), "", IF(AND(NOT(ISERROR((AB80/$I80)*100)),((AB80/$I80)*100) &lt;&gt; 0), (AB80/$I80)*100, ""))</f>
        <v/>
      </c>
      <c r="AD80" s="31"/>
      <c r="AE80" s="34" t="str">
        <f t="shared" ref="AE80" si="51">IF((ISERROR((AD80/$I80)*100)), "", IF(AND(NOT(ISERROR((AD80/$I80)*100)),((AD80/$I80)*100) &lt;&gt; 0), (AD80/$I80)*100, ""))</f>
        <v/>
      </c>
      <c r="AF80" s="21"/>
      <c r="AG80" s="21"/>
      <c r="AH80" s="21"/>
      <c r="AI80" s="21"/>
      <c r="AJ80" s="21"/>
      <c r="AK80" s="21"/>
      <c r="AL80" s="21"/>
      <c r="AM80" s="21"/>
      <c r="AN80" s="21"/>
      <c r="AO80" s="21"/>
      <c r="AP80" s="21"/>
      <c r="AQ80" s="21"/>
      <c r="AR80" s="21"/>
      <c r="AS80" s="21"/>
      <c r="AT80" s="21"/>
      <c r="AU80" s="21"/>
      <c r="AV80" s="21"/>
      <c r="AW80" s="21"/>
      <c r="AX80" s="21"/>
      <c r="AY80" s="21"/>
      <c r="AZ80" s="21"/>
      <c r="BA80" s="21"/>
    </row>
    <row r="81" spans="1:53" ht="20" customHeight="1" x14ac:dyDescent="0.2">
      <c r="A81" s="680"/>
      <c r="B81" s="721"/>
      <c r="C81" s="722"/>
      <c r="D81" s="722" t="s">
        <v>85</v>
      </c>
      <c r="E81" s="723" t="s">
        <v>650</v>
      </c>
      <c r="F81" s="723" t="s">
        <v>651</v>
      </c>
      <c r="G81" s="722">
        <v>2003</v>
      </c>
      <c r="H81" s="287"/>
      <c r="I81" s="701"/>
      <c r="J81" s="232" t="s">
        <v>210</v>
      </c>
      <c r="K81" s="250" t="s">
        <v>209</v>
      </c>
      <c r="L81" s="31"/>
      <c r="M81" s="34"/>
      <c r="N81" s="31"/>
      <c r="O81" s="34"/>
      <c r="P81" s="31"/>
      <c r="Q81" s="34"/>
      <c r="R81" s="31"/>
      <c r="S81" s="34"/>
      <c r="T81" s="31"/>
      <c r="U81" s="34"/>
      <c r="V81" s="56"/>
      <c r="W81" s="34"/>
      <c r="X81" s="31"/>
      <c r="Y81" s="34"/>
      <c r="Z81" s="31"/>
      <c r="AA81" s="34"/>
      <c r="AB81" s="31"/>
      <c r="AC81" s="34"/>
      <c r="AD81" s="31"/>
      <c r="AE81" s="34"/>
      <c r="AF81" s="21"/>
      <c r="AG81" s="21"/>
      <c r="AH81" s="21"/>
      <c r="AI81" s="21"/>
      <c r="AJ81" s="21"/>
      <c r="AK81" s="21"/>
      <c r="AL81" s="21"/>
      <c r="AM81" s="21"/>
      <c r="AN81" s="21"/>
      <c r="AO81" s="21"/>
      <c r="AP81" s="21"/>
      <c r="AQ81" s="21"/>
      <c r="AR81" s="21"/>
      <c r="AS81" s="21"/>
      <c r="AT81" s="21"/>
      <c r="AU81" s="21"/>
      <c r="AV81" s="21"/>
      <c r="AW81" s="21"/>
      <c r="AX81" s="21"/>
      <c r="AY81" s="21"/>
      <c r="AZ81" s="21"/>
      <c r="BA81" s="21"/>
    </row>
    <row r="82" spans="1:53" ht="20" customHeight="1" x14ac:dyDescent="0.2">
      <c r="A82" s="678"/>
      <c r="B82" s="725"/>
      <c r="C82" s="255"/>
      <c r="D82" s="722" t="s">
        <v>85</v>
      </c>
      <c r="E82" s="723" t="s">
        <v>99</v>
      </c>
      <c r="F82" s="723" t="s">
        <v>100</v>
      </c>
      <c r="G82" s="722">
        <v>2002</v>
      </c>
      <c r="H82" s="287">
        <v>103</v>
      </c>
      <c r="I82" s="65">
        <v>8</v>
      </c>
      <c r="J82" s="61"/>
      <c r="K82" s="62"/>
      <c r="L82" s="31"/>
      <c r="M82" s="34" t="str">
        <f t="shared" si="34"/>
        <v/>
      </c>
      <c r="N82" s="31"/>
      <c r="O82" s="34" t="str">
        <f t="shared" si="35"/>
        <v/>
      </c>
      <c r="P82" s="31"/>
      <c r="Q82" s="34" t="str">
        <f t="shared" si="36"/>
        <v/>
      </c>
      <c r="R82" s="31"/>
      <c r="S82" s="34" t="str">
        <f t="shared" si="37"/>
        <v/>
      </c>
      <c r="T82" s="31"/>
      <c r="U82" s="34" t="str">
        <f t="shared" si="38"/>
        <v/>
      </c>
      <c r="V82" s="56">
        <v>2</v>
      </c>
      <c r="W82" s="34">
        <f t="shared" si="39"/>
        <v>25</v>
      </c>
      <c r="X82" s="31"/>
      <c r="Y82" s="34" t="str">
        <f>IF((ISERROR((X82/$I82)*100)), "", IF(AND(NOT(ISERROR((X82/$I82)*100)),((X82/$I82)*100) &lt;&gt; 0), (X82/$I82)*100, ""))</f>
        <v/>
      </c>
      <c r="Z82" s="31"/>
      <c r="AA82" s="34" t="str">
        <f>IF((ISERROR((Z82/$I82)*100)), "", IF(AND(NOT(ISERROR((Z82/$I82)*100)),((Z82/$I82)*100) &lt;&gt; 0), (Z82/$I82)*100, ""))</f>
        <v/>
      </c>
      <c r="AB82" s="31"/>
      <c r="AC82" s="34" t="str">
        <f>IF((ISERROR((AB82/$I82)*100)), "", IF(AND(NOT(ISERROR((AB82/$I82)*100)),((AB82/$I82)*100) &lt;&gt; 0), (AB82/$I82)*100, ""))</f>
        <v/>
      </c>
      <c r="AD82" s="31"/>
      <c r="AE82" s="34" t="str">
        <f>IF((ISERROR((AD82/$I82)*100)), "", IF(AND(NOT(ISERROR((AD82/$I82)*100)),((AD82/$I82)*100) &lt;&gt; 0), (AD82/$I82)*100, ""))</f>
        <v/>
      </c>
      <c r="AF82" s="21" t="s">
        <v>200</v>
      </c>
      <c r="AG82" s="21"/>
      <c r="AH82" s="21"/>
      <c r="AI82" s="21"/>
      <c r="AJ82" s="21"/>
      <c r="AK82" s="21"/>
      <c r="AL82" s="21"/>
      <c r="AM82" s="21"/>
      <c r="AN82" s="21"/>
      <c r="AO82" s="21"/>
      <c r="AP82" s="21"/>
      <c r="AQ82" s="21"/>
      <c r="AR82" s="21"/>
      <c r="AS82" s="21"/>
      <c r="AT82" s="21"/>
      <c r="AU82" s="21"/>
      <c r="AV82" s="21"/>
      <c r="AW82" s="21"/>
      <c r="AX82" s="21"/>
      <c r="AY82" s="21"/>
      <c r="AZ82" s="21"/>
      <c r="BA82" s="21"/>
    </row>
    <row r="83" spans="1:53" ht="20" customHeight="1" x14ac:dyDescent="0.2">
      <c r="A83" s="680"/>
      <c r="B83" s="721"/>
      <c r="C83" s="722"/>
      <c r="D83" s="722" t="s">
        <v>85</v>
      </c>
      <c r="E83" s="723" t="s">
        <v>652</v>
      </c>
      <c r="F83" s="723" t="s">
        <v>653</v>
      </c>
      <c r="G83" s="722">
        <v>1991</v>
      </c>
      <c r="H83" s="287"/>
      <c r="I83" s="65">
        <v>13</v>
      </c>
      <c r="J83" s="61" t="s">
        <v>655</v>
      </c>
      <c r="K83" s="62" t="s">
        <v>191</v>
      </c>
      <c r="L83" s="31"/>
      <c r="M83" s="34"/>
      <c r="N83" s="31"/>
      <c r="O83" s="34"/>
      <c r="P83" s="31"/>
      <c r="Q83" s="34"/>
      <c r="R83" s="31"/>
      <c r="S83" s="34"/>
      <c r="T83" s="31"/>
      <c r="U83" s="34"/>
      <c r="V83" s="56"/>
      <c r="W83" s="34"/>
      <c r="X83" s="31"/>
      <c r="Y83" s="34"/>
      <c r="Z83" s="31"/>
      <c r="AA83" s="34"/>
      <c r="AB83" s="31"/>
      <c r="AC83" s="34"/>
      <c r="AD83" s="31"/>
      <c r="AE83" s="34"/>
      <c r="AF83" s="21"/>
      <c r="AG83" s="21"/>
      <c r="AH83" s="21"/>
      <c r="AI83" s="21"/>
      <c r="AJ83" s="21"/>
      <c r="AK83" s="21"/>
      <c r="AL83" s="21"/>
      <c r="AM83" s="21"/>
      <c r="AN83" s="21"/>
      <c r="AO83" s="21"/>
      <c r="AP83" s="21"/>
      <c r="AQ83" s="21"/>
      <c r="AR83" s="21"/>
      <c r="AS83" s="21"/>
      <c r="AT83" s="21"/>
      <c r="AU83" s="21"/>
      <c r="AV83" s="21"/>
      <c r="AW83" s="21"/>
      <c r="AX83" s="21"/>
      <c r="AY83" s="21"/>
      <c r="AZ83" s="21"/>
      <c r="BA83" s="21"/>
    </row>
    <row r="84" spans="1:53" ht="20" customHeight="1" x14ac:dyDescent="0.2">
      <c r="A84" s="680"/>
      <c r="B84" s="725"/>
      <c r="C84" s="253"/>
      <c r="D84" s="722" t="s">
        <v>85</v>
      </c>
      <c r="E84" s="723" t="s">
        <v>533</v>
      </c>
      <c r="F84" s="723" t="s">
        <v>654</v>
      </c>
      <c r="G84" s="722">
        <v>1998</v>
      </c>
      <c r="H84" s="287"/>
      <c r="I84" s="65">
        <v>9</v>
      </c>
      <c r="J84" s="61" t="s">
        <v>535</v>
      </c>
      <c r="K84" s="62" t="s">
        <v>168</v>
      </c>
      <c r="L84" s="31"/>
      <c r="M84" s="34"/>
      <c r="N84" s="31"/>
      <c r="O84" s="34"/>
      <c r="P84" s="31"/>
      <c r="Q84" s="34"/>
      <c r="R84" s="31"/>
      <c r="S84" s="34"/>
      <c r="T84" s="31"/>
      <c r="U84" s="34"/>
      <c r="V84" s="56"/>
      <c r="W84" s="34"/>
      <c r="X84" s="31"/>
      <c r="Y84" s="34"/>
      <c r="Z84" s="31"/>
      <c r="AA84" s="34"/>
      <c r="AB84" s="31"/>
      <c r="AC84" s="34"/>
      <c r="AD84" s="31"/>
      <c r="AE84" s="34"/>
      <c r="AF84" s="21"/>
      <c r="AG84" s="21"/>
      <c r="AH84" s="21"/>
      <c r="AI84" s="21"/>
      <c r="AJ84" s="21"/>
      <c r="AK84" s="21"/>
      <c r="AL84" s="21"/>
      <c r="AM84" s="21"/>
      <c r="AN84" s="21"/>
      <c r="AO84" s="21"/>
      <c r="AP84" s="21"/>
      <c r="AQ84" s="21"/>
      <c r="AR84" s="21"/>
      <c r="AS84" s="21"/>
      <c r="AT84" s="21"/>
      <c r="AU84" s="21"/>
      <c r="AV84" s="21"/>
      <c r="AW84" s="21"/>
      <c r="AX84" s="21"/>
      <c r="AY84" s="21"/>
      <c r="AZ84" s="21"/>
      <c r="BA84" s="21"/>
    </row>
    <row r="85" spans="1:53" ht="20" customHeight="1" x14ac:dyDescent="0.2">
      <c r="A85" s="680"/>
      <c r="B85" s="721"/>
      <c r="C85" s="722"/>
      <c r="D85" s="722" t="s">
        <v>85</v>
      </c>
      <c r="E85" s="723" t="s">
        <v>656</v>
      </c>
      <c r="F85" s="723" t="s">
        <v>657</v>
      </c>
      <c r="G85" s="722">
        <v>2007</v>
      </c>
      <c r="H85" s="757"/>
      <c r="I85" s="701"/>
      <c r="J85" s="232" t="s">
        <v>213</v>
      </c>
      <c r="K85" s="250" t="s">
        <v>168</v>
      </c>
      <c r="L85" s="31"/>
      <c r="M85" s="34"/>
      <c r="N85" s="31"/>
      <c r="O85" s="34"/>
      <c r="P85" s="31"/>
      <c r="Q85" s="34"/>
      <c r="R85" s="31"/>
      <c r="S85" s="34"/>
      <c r="T85" s="31"/>
      <c r="U85" s="34"/>
      <c r="V85" s="56"/>
      <c r="W85" s="34"/>
      <c r="X85" s="31"/>
      <c r="Y85" s="34"/>
      <c r="Z85" s="31"/>
      <c r="AA85" s="34"/>
      <c r="AB85" s="31"/>
      <c r="AC85" s="34"/>
      <c r="AD85" s="31"/>
      <c r="AE85" s="34"/>
      <c r="AF85" s="21"/>
      <c r="AG85" s="21"/>
      <c r="AH85" s="21"/>
      <c r="AI85" s="21"/>
      <c r="AJ85" s="21"/>
      <c r="AK85" s="21"/>
      <c r="AL85" s="21"/>
      <c r="AM85" s="21"/>
      <c r="AN85" s="21"/>
      <c r="AO85" s="21"/>
      <c r="AP85" s="21"/>
      <c r="AQ85" s="21"/>
      <c r="AR85" s="21"/>
      <c r="AS85" s="21"/>
      <c r="AT85" s="21"/>
      <c r="AU85" s="21"/>
      <c r="AV85" s="21"/>
      <c r="AW85" s="21"/>
      <c r="AX85" s="21"/>
      <c r="AY85" s="21"/>
      <c r="AZ85" s="21"/>
      <c r="BA85" s="21"/>
    </row>
    <row r="86" spans="1:53" ht="20" customHeight="1" x14ac:dyDescent="0.2">
      <c r="A86" s="678"/>
      <c r="B86" s="725"/>
      <c r="C86" s="253"/>
      <c r="D86" s="722"/>
      <c r="E86" s="723" t="s">
        <v>294</v>
      </c>
      <c r="F86" s="723" t="s">
        <v>295</v>
      </c>
      <c r="G86" s="722">
        <v>2013</v>
      </c>
      <c r="H86" s="287"/>
      <c r="I86" s="65">
        <v>18</v>
      </c>
      <c r="J86" s="61"/>
      <c r="K86" s="62"/>
      <c r="L86" s="31"/>
      <c r="M86" s="34" t="str">
        <f t="shared" si="34"/>
        <v/>
      </c>
      <c r="N86" s="31"/>
      <c r="O86" s="34" t="str">
        <f t="shared" si="35"/>
        <v/>
      </c>
      <c r="P86" s="31"/>
      <c r="Q86" s="34" t="str">
        <f t="shared" si="36"/>
        <v/>
      </c>
      <c r="R86" s="31"/>
      <c r="S86" s="34" t="str">
        <f t="shared" si="37"/>
        <v/>
      </c>
      <c r="T86" s="31"/>
      <c r="U86" s="34" t="str">
        <f t="shared" si="38"/>
        <v/>
      </c>
      <c r="V86" s="56"/>
      <c r="W86" s="34" t="str">
        <f t="shared" si="39"/>
        <v/>
      </c>
      <c r="X86" s="31"/>
      <c r="Y86" s="34" t="str">
        <f t="shared" ref="Y86:Y104" si="52">IF((ISERROR((X86/$I86)*100)), "", IF(AND(NOT(ISERROR((X86/$I86)*100)),((X86/$I86)*100) &lt;&gt; 0), (X86/$I86)*100, ""))</f>
        <v/>
      </c>
      <c r="Z86" s="31"/>
      <c r="AA86" s="34" t="str">
        <f t="shared" ref="AA86:AA104" si="53">IF((ISERROR((Z86/$I86)*100)), "", IF(AND(NOT(ISERROR((Z86/$I86)*100)),((Z86/$I86)*100) &lt;&gt; 0), (Z86/$I86)*100, ""))</f>
        <v/>
      </c>
      <c r="AB86" s="31"/>
      <c r="AC86" s="34" t="str">
        <f t="shared" ref="AC86:AC104" si="54">IF((ISERROR((AB86/$I86)*100)), "", IF(AND(NOT(ISERROR((AB86/$I86)*100)),((AB86/$I86)*100) &lt;&gt; 0), (AB86/$I86)*100, ""))</f>
        <v/>
      </c>
      <c r="AD86" s="31"/>
      <c r="AE86" s="34" t="str">
        <f t="shared" ref="AE86:AE104" si="55">IF((ISERROR((AD86/$I86)*100)), "", IF(AND(NOT(ISERROR((AD86/$I86)*100)),((AD86/$I86)*100) &lt;&gt; 0), (AD86/$I86)*100, ""))</f>
        <v/>
      </c>
      <c r="AF86" s="21" t="s">
        <v>358</v>
      </c>
      <c r="AG86" s="21"/>
      <c r="AH86" s="21"/>
      <c r="AI86" s="21"/>
      <c r="AJ86" s="21"/>
      <c r="AK86" s="21"/>
      <c r="AL86" s="21"/>
      <c r="AM86" s="21"/>
      <c r="AN86" s="21"/>
      <c r="AO86" s="21"/>
      <c r="AP86" s="21"/>
      <c r="AQ86" s="21"/>
      <c r="AR86" s="21"/>
      <c r="AS86" s="21"/>
      <c r="AT86" s="21"/>
      <c r="AU86" s="21"/>
      <c r="AV86" s="21"/>
      <c r="AW86" s="21"/>
      <c r="AX86" s="21"/>
      <c r="AY86" s="21"/>
      <c r="AZ86" s="21"/>
      <c r="BA86" s="21"/>
    </row>
    <row r="87" spans="1:53" ht="20" customHeight="1" x14ac:dyDescent="0.2">
      <c r="A87" s="680"/>
      <c r="B87" s="721"/>
      <c r="C87" s="722"/>
      <c r="D87" s="722" t="s">
        <v>85</v>
      </c>
      <c r="E87" s="723" t="s">
        <v>658</v>
      </c>
      <c r="F87" s="723" t="s">
        <v>659</v>
      </c>
      <c r="G87" s="722">
        <v>2012</v>
      </c>
      <c r="H87" s="287"/>
      <c r="I87" s="701">
        <v>11</v>
      </c>
      <c r="J87" s="232"/>
      <c r="K87" s="250" t="s">
        <v>660</v>
      </c>
      <c r="L87" s="31"/>
      <c r="M87" s="34"/>
      <c r="N87" s="31"/>
      <c r="O87" s="34"/>
      <c r="P87" s="31"/>
      <c r="Q87" s="34"/>
      <c r="R87" s="31"/>
      <c r="S87" s="34"/>
      <c r="T87" s="31"/>
      <c r="U87" s="34"/>
      <c r="V87" s="56"/>
      <c r="W87" s="34"/>
      <c r="X87" s="31"/>
      <c r="Y87" s="34"/>
      <c r="Z87" s="31"/>
      <c r="AA87" s="34"/>
      <c r="AB87" s="31"/>
      <c r="AC87" s="34"/>
      <c r="AD87" s="31"/>
      <c r="AE87" s="34"/>
      <c r="AF87" s="21"/>
      <c r="AG87" s="21"/>
      <c r="AH87" s="21"/>
      <c r="AI87" s="21"/>
      <c r="AJ87" s="21"/>
      <c r="AK87" s="21"/>
      <c r="AL87" s="21"/>
      <c r="AM87" s="21"/>
      <c r="AN87" s="21"/>
      <c r="AO87" s="21"/>
      <c r="AP87" s="21"/>
      <c r="AQ87" s="21"/>
      <c r="AR87" s="21"/>
      <c r="AS87" s="21"/>
      <c r="AT87" s="21"/>
      <c r="AU87" s="21"/>
      <c r="AV87" s="21"/>
      <c r="AW87" s="21"/>
      <c r="AX87" s="21"/>
      <c r="AY87" s="21"/>
      <c r="AZ87" s="21"/>
      <c r="BA87" s="21"/>
    </row>
    <row r="88" spans="1:53" ht="20" customHeight="1" x14ac:dyDescent="0.2">
      <c r="A88" s="678"/>
      <c r="B88" s="725"/>
      <c r="C88" s="253"/>
      <c r="D88" s="722" t="s">
        <v>85</v>
      </c>
      <c r="E88" s="723" t="s">
        <v>296</v>
      </c>
      <c r="F88" s="723" t="s">
        <v>297</v>
      </c>
      <c r="G88" s="722">
        <v>2015</v>
      </c>
      <c r="H88" s="287"/>
      <c r="I88" s="65">
        <v>41</v>
      </c>
      <c r="J88" s="61" t="s">
        <v>184</v>
      </c>
      <c r="K88" s="62"/>
      <c r="L88" s="31"/>
      <c r="M88" s="34" t="str">
        <f t="shared" si="34"/>
        <v/>
      </c>
      <c r="N88" s="31"/>
      <c r="O88" s="34" t="str">
        <f t="shared" si="35"/>
        <v/>
      </c>
      <c r="P88" s="31"/>
      <c r="Q88" s="34" t="str">
        <f t="shared" si="36"/>
        <v/>
      </c>
      <c r="R88" s="31"/>
      <c r="S88" s="34" t="str">
        <f t="shared" si="37"/>
        <v/>
      </c>
      <c r="T88" s="31"/>
      <c r="U88" s="34" t="str">
        <f t="shared" si="38"/>
        <v/>
      </c>
      <c r="V88" s="56"/>
      <c r="W88" s="34" t="str">
        <f t="shared" si="39"/>
        <v/>
      </c>
      <c r="X88" s="31"/>
      <c r="Y88" s="34" t="str">
        <f>IF((ISERROR((X88/$I88)*100)), "", IF(AND(NOT(ISERROR((X88/$I88)*100)),((X88/$I88)*100) &lt;&gt; 0), (X88/$I88)*100, ""))</f>
        <v/>
      </c>
      <c r="Z88" s="31"/>
      <c r="AA88" s="34" t="str">
        <f>IF((ISERROR((Z88/$I88)*100)), "", IF(AND(NOT(ISERROR((Z88/$I88)*100)),((Z88/$I88)*100) &lt;&gt; 0), (Z88/$I88)*100, ""))</f>
        <v/>
      </c>
      <c r="AB88" s="31"/>
      <c r="AC88" s="34" t="str">
        <f>IF((ISERROR((AB88/$I88)*100)), "", IF(AND(NOT(ISERROR((AB88/$I88)*100)),((AB88/$I88)*100) &lt;&gt; 0), (AB88/$I88)*100, ""))</f>
        <v/>
      </c>
      <c r="AD88" s="31"/>
      <c r="AE88" s="34" t="str">
        <f>IF((ISERROR((AD88/$I88)*100)), "", IF(AND(NOT(ISERROR((AD88/$I88)*100)),((AD88/$I88)*100) &lt;&gt; 0), (AD88/$I88)*100, ""))</f>
        <v/>
      </c>
      <c r="AF88" s="21" t="s">
        <v>359</v>
      </c>
      <c r="AG88" s="21"/>
      <c r="AH88" s="21"/>
      <c r="AI88" s="21"/>
      <c r="AJ88" s="21"/>
      <c r="AK88" s="21"/>
      <c r="AL88" s="21"/>
      <c r="AM88" s="21"/>
      <c r="AN88" s="21"/>
      <c r="AO88" s="21"/>
      <c r="AP88" s="21"/>
      <c r="AQ88" s="21"/>
      <c r="AR88" s="21"/>
      <c r="AS88" s="21"/>
      <c r="AT88" s="21"/>
      <c r="AU88" s="21"/>
      <c r="AV88" s="21"/>
      <c r="AW88" s="21"/>
      <c r="AX88" s="21"/>
      <c r="AY88" s="21"/>
      <c r="AZ88" s="21"/>
      <c r="BA88" s="21"/>
    </row>
    <row r="89" spans="1:53" ht="20" customHeight="1" x14ac:dyDescent="0.2">
      <c r="A89" s="680"/>
      <c r="B89" s="721"/>
      <c r="C89" s="722"/>
      <c r="D89" s="722"/>
      <c r="E89" s="723" t="s">
        <v>661</v>
      </c>
      <c r="F89" s="723" t="s">
        <v>662</v>
      </c>
      <c r="G89" s="722">
        <v>1999</v>
      </c>
      <c r="H89" s="287"/>
      <c r="I89" s="65">
        <v>2</v>
      </c>
      <c r="J89" s="61" t="s">
        <v>664</v>
      </c>
      <c r="K89" s="62" t="s">
        <v>663</v>
      </c>
      <c r="L89" s="31"/>
      <c r="M89" s="34"/>
      <c r="N89" s="31"/>
      <c r="O89" s="34"/>
      <c r="P89" s="31"/>
      <c r="Q89" s="34"/>
      <c r="R89" s="31"/>
      <c r="S89" s="34"/>
      <c r="T89" s="31"/>
      <c r="U89" s="34"/>
      <c r="V89" s="56"/>
      <c r="W89" s="34"/>
      <c r="X89" s="31"/>
      <c r="Y89" s="34"/>
      <c r="Z89" s="31"/>
      <c r="AA89" s="34"/>
      <c r="AB89" s="31"/>
      <c r="AC89" s="34"/>
      <c r="AD89" s="31"/>
      <c r="AE89" s="34"/>
      <c r="AF89" s="21"/>
      <c r="AG89" s="21"/>
      <c r="AH89" s="21"/>
      <c r="AI89" s="21"/>
      <c r="AJ89" s="21"/>
      <c r="AK89" s="21"/>
      <c r="AL89" s="21"/>
      <c r="AM89" s="21"/>
      <c r="AN89" s="21"/>
      <c r="AO89" s="21"/>
      <c r="AP89" s="21"/>
      <c r="AQ89" s="21"/>
      <c r="AR89" s="21"/>
      <c r="AS89" s="21"/>
      <c r="AT89" s="21"/>
      <c r="AU89" s="21"/>
      <c r="AV89" s="21"/>
      <c r="AW89" s="21"/>
      <c r="AX89" s="21"/>
      <c r="AY89" s="21"/>
      <c r="AZ89" s="21"/>
      <c r="BA89" s="21"/>
    </row>
    <row r="90" spans="1:53" ht="20" customHeight="1" x14ac:dyDescent="0.2">
      <c r="A90" s="680"/>
      <c r="B90" s="725"/>
      <c r="C90" s="255"/>
      <c r="D90" s="722" t="s">
        <v>85</v>
      </c>
      <c r="E90" s="723" t="s">
        <v>665</v>
      </c>
      <c r="F90" s="723" t="s">
        <v>666</v>
      </c>
      <c r="G90" s="722">
        <v>2012</v>
      </c>
      <c r="H90" s="287"/>
      <c r="I90" s="65">
        <v>26</v>
      </c>
      <c r="J90" s="61" t="s">
        <v>220</v>
      </c>
      <c r="K90" s="62" t="s">
        <v>667</v>
      </c>
      <c r="L90" s="31"/>
      <c r="M90" s="34"/>
      <c r="N90" s="31"/>
      <c r="O90" s="34"/>
      <c r="P90" s="31"/>
      <c r="Q90" s="34"/>
      <c r="R90" s="31"/>
      <c r="S90" s="34"/>
      <c r="T90" s="31"/>
      <c r="U90" s="34"/>
      <c r="V90" s="56"/>
      <c r="W90" s="34"/>
      <c r="X90" s="31"/>
      <c r="Y90" s="34"/>
      <c r="Z90" s="31"/>
      <c r="AA90" s="34"/>
      <c r="AB90" s="31"/>
      <c r="AC90" s="34"/>
      <c r="AD90" s="31"/>
      <c r="AE90" s="34"/>
      <c r="AF90" s="21"/>
      <c r="AG90" s="21"/>
      <c r="AH90" s="21"/>
      <c r="AI90" s="21"/>
      <c r="AJ90" s="21"/>
      <c r="AK90" s="21"/>
      <c r="AL90" s="21"/>
      <c r="AM90" s="21"/>
      <c r="AN90" s="21"/>
      <c r="AO90" s="21"/>
      <c r="AP90" s="21"/>
      <c r="AQ90" s="21"/>
      <c r="AR90" s="21"/>
      <c r="AS90" s="21"/>
      <c r="AT90" s="21"/>
      <c r="AU90" s="21"/>
      <c r="AV90" s="21"/>
      <c r="AW90" s="21"/>
      <c r="AX90" s="21"/>
      <c r="AY90" s="21"/>
      <c r="AZ90" s="21"/>
      <c r="BA90" s="21"/>
    </row>
    <row r="91" spans="1:53" ht="20" customHeight="1" x14ac:dyDescent="0.2">
      <c r="A91" s="678"/>
      <c r="B91" s="725"/>
      <c r="C91" s="255"/>
      <c r="D91" s="722" t="s">
        <v>85</v>
      </c>
      <c r="E91" s="723" t="s">
        <v>103</v>
      </c>
      <c r="F91" s="723" t="s">
        <v>104</v>
      </c>
      <c r="G91" s="722">
        <v>1996</v>
      </c>
      <c r="H91" s="287">
        <v>12</v>
      </c>
      <c r="I91" s="65">
        <v>97</v>
      </c>
      <c r="J91" s="61" t="s">
        <v>202</v>
      </c>
      <c r="K91" s="62" t="s">
        <v>203</v>
      </c>
      <c r="L91" s="31"/>
      <c r="M91" s="34" t="str">
        <f t="shared" si="34"/>
        <v/>
      </c>
      <c r="N91" s="31"/>
      <c r="O91" s="34" t="str">
        <f t="shared" si="35"/>
        <v/>
      </c>
      <c r="P91" s="31"/>
      <c r="Q91" s="34" t="str">
        <f t="shared" si="36"/>
        <v/>
      </c>
      <c r="R91" s="31"/>
      <c r="S91" s="34" t="str">
        <f t="shared" si="37"/>
        <v/>
      </c>
      <c r="T91" s="31"/>
      <c r="U91" s="34" t="str">
        <f t="shared" si="38"/>
        <v/>
      </c>
      <c r="V91" s="56">
        <v>16</v>
      </c>
      <c r="W91" s="34">
        <f t="shared" si="39"/>
        <v>16.494845360824741</v>
      </c>
      <c r="X91" s="31"/>
      <c r="Y91" s="34" t="str">
        <f t="shared" si="52"/>
        <v/>
      </c>
      <c r="Z91" s="31"/>
      <c r="AA91" s="34" t="str">
        <f t="shared" si="53"/>
        <v/>
      </c>
      <c r="AB91" s="31"/>
      <c r="AC91" s="34" t="str">
        <f t="shared" si="54"/>
        <v/>
      </c>
      <c r="AD91" s="31"/>
      <c r="AE91" s="34" t="str">
        <f t="shared" si="55"/>
        <v/>
      </c>
      <c r="AF91" s="21" t="s">
        <v>382</v>
      </c>
      <c r="AG91" s="21"/>
      <c r="AH91" s="21"/>
      <c r="AI91" s="21"/>
      <c r="AJ91" s="21"/>
      <c r="AK91" s="21"/>
      <c r="AL91" s="21"/>
      <c r="AM91" s="21"/>
      <c r="AN91" s="21"/>
      <c r="AO91" s="21"/>
      <c r="AP91" s="21"/>
      <c r="AQ91" s="21"/>
      <c r="AR91" s="21"/>
      <c r="AS91" s="21"/>
      <c r="AT91" s="21"/>
      <c r="AU91" s="21"/>
      <c r="AV91" s="21"/>
      <c r="AW91" s="21"/>
      <c r="AX91" s="21"/>
      <c r="AY91" s="21"/>
      <c r="AZ91" s="21"/>
      <c r="BA91" s="21"/>
    </row>
    <row r="92" spans="1:53" ht="20" customHeight="1" x14ac:dyDescent="0.2">
      <c r="A92" s="680"/>
      <c r="B92" s="725"/>
      <c r="C92" s="722"/>
      <c r="D92" s="722" t="s">
        <v>85</v>
      </c>
      <c r="E92" s="723" t="s">
        <v>668</v>
      </c>
      <c r="F92" s="723" t="s">
        <v>669</v>
      </c>
      <c r="G92" s="722">
        <v>1998</v>
      </c>
      <c r="H92" s="287"/>
      <c r="I92" s="65">
        <v>25</v>
      </c>
      <c r="J92" s="61" t="s">
        <v>175</v>
      </c>
      <c r="K92" s="62" t="s">
        <v>191</v>
      </c>
      <c r="L92" s="31"/>
      <c r="M92" s="34"/>
      <c r="N92" s="31"/>
      <c r="O92" s="34"/>
      <c r="P92" s="31"/>
      <c r="Q92" s="34"/>
      <c r="R92" s="31"/>
      <c r="S92" s="34"/>
      <c r="T92" s="31"/>
      <c r="U92" s="34"/>
      <c r="V92" s="56"/>
      <c r="W92" s="34"/>
      <c r="X92" s="31"/>
      <c r="Y92" s="34"/>
      <c r="Z92" s="31"/>
      <c r="AA92" s="34"/>
      <c r="AB92" s="31"/>
      <c r="AC92" s="34"/>
      <c r="AD92" s="31"/>
      <c r="AE92" s="34"/>
      <c r="AF92" s="21"/>
      <c r="AG92" s="21"/>
      <c r="AH92" s="21"/>
      <c r="AI92" s="21"/>
      <c r="AJ92" s="21"/>
      <c r="AK92" s="21"/>
      <c r="AL92" s="21"/>
      <c r="AM92" s="21"/>
      <c r="AN92" s="21"/>
      <c r="AO92" s="21"/>
      <c r="AP92" s="21"/>
      <c r="AQ92" s="21"/>
      <c r="AR92" s="21"/>
      <c r="AS92" s="21"/>
      <c r="AT92" s="21"/>
      <c r="AU92" s="21"/>
      <c r="AV92" s="21"/>
      <c r="AW92" s="21"/>
      <c r="AX92" s="21"/>
      <c r="AY92" s="21"/>
      <c r="AZ92" s="21"/>
      <c r="BA92" s="21"/>
    </row>
    <row r="93" spans="1:53" ht="20" customHeight="1" x14ac:dyDescent="0.2">
      <c r="A93" s="678"/>
      <c r="B93" s="725"/>
      <c r="C93" s="253"/>
      <c r="D93" s="722" t="s">
        <v>85</v>
      </c>
      <c r="E93" s="723" t="s">
        <v>298</v>
      </c>
      <c r="F93" s="723" t="s">
        <v>299</v>
      </c>
      <c r="G93" s="722">
        <v>2009</v>
      </c>
      <c r="H93" s="287"/>
      <c r="I93" s="65">
        <v>68</v>
      </c>
      <c r="J93" s="61" t="s">
        <v>213</v>
      </c>
      <c r="K93" s="62" t="s">
        <v>360</v>
      </c>
      <c r="L93" s="31"/>
      <c r="M93" s="34" t="str">
        <f t="shared" si="34"/>
        <v/>
      </c>
      <c r="N93" s="31"/>
      <c r="O93" s="34" t="str">
        <f t="shared" si="35"/>
        <v/>
      </c>
      <c r="P93" s="31"/>
      <c r="Q93" s="34" t="str">
        <f t="shared" si="36"/>
        <v/>
      </c>
      <c r="R93" s="31"/>
      <c r="S93" s="34" t="str">
        <f t="shared" si="37"/>
        <v/>
      </c>
      <c r="T93" s="31"/>
      <c r="U93" s="34" t="str">
        <f t="shared" si="38"/>
        <v/>
      </c>
      <c r="V93" s="56"/>
      <c r="W93" s="34"/>
      <c r="X93" s="31"/>
      <c r="Y93" s="34" t="str">
        <f>IF((ISERROR((X93/$I93)*100)), "", IF(AND(NOT(ISERROR((X93/$I93)*100)),((X93/$I93)*100) &lt;&gt; 0), (X93/$I93)*100, ""))</f>
        <v/>
      </c>
      <c r="Z93" s="31"/>
      <c r="AA93" s="34" t="str">
        <f>IF((ISERROR((Z93/$I93)*100)), "", IF(AND(NOT(ISERROR((Z93/$I93)*100)),((Z93/$I93)*100) &lt;&gt; 0), (Z93/$I93)*100, ""))</f>
        <v/>
      </c>
      <c r="AB93" s="31"/>
      <c r="AC93" s="34" t="str">
        <f>IF((ISERROR((AB93/$I93)*100)), "", IF(AND(NOT(ISERROR((AB93/$I93)*100)),((AB93/$I93)*100) &lt;&gt; 0), (AB93/$I93)*100, ""))</f>
        <v/>
      </c>
      <c r="AD93" s="31"/>
      <c r="AE93" s="34" t="str">
        <f>IF((ISERROR((AD93/$I93)*100)), "", IF(AND(NOT(ISERROR((AD93/$I93)*100)),((AD93/$I93)*100) &lt;&gt; 0), (AD93/$I93)*100, ""))</f>
        <v/>
      </c>
      <c r="AF93" s="21" t="s">
        <v>414</v>
      </c>
      <c r="AG93" s="21"/>
      <c r="AH93" s="21"/>
      <c r="AI93" s="21"/>
      <c r="AJ93" s="21"/>
      <c r="AK93" s="21"/>
      <c r="AL93" s="21"/>
      <c r="AM93" s="21"/>
      <c r="AN93" s="21"/>
      <c r="AO93" s="21"/>
      <c r="AP93" s="21"/>
      <c r="AQ93" s="21"/>
      <c r="AR93" s="21"/>
      <c r="AS93" s="21"/>
      <c r="AT93" s="21"/>
      <c r="AU93" s="21"/>
      <c r="AV93" s="21"/>
      <c r="AW93" s="21"/>
      <c r="AX93" s="21"/>
      <c r="AY93" s="21"/>
      <c r="AZ93" s="21"/>
      <c r="BA93" s="21"/>
    </row>
    <row r="94" spans="1:53" ht="20" customHeight="1" x14ac:dyDescent="0.2">
      <c r="A94" s="678"/>
      <c r="B94" s="721"/>
      <c r="C94" s="722"/>
      <c r="D94" s="722" t="s">
        <v>85</v>
      </c>
      <c r="E94" s="723" t="s">
        <v>105</v>
      </c>
      <c r="F94" s="723" t="s">
        <v>106</v>
      </c>
      <c r="G94" s="722">
        <v>1989</v>
      </c>
      <c r="H94" s="287">
        <v>27</v>
      </c>
      <c r="I94" s="65"/>
      <c r="J94" s="61" t="s">
        <v>208</v>
      </c>
      <c r="K94" s="62" t="s">
        <v>177</v>
      </c>
      <c r="L94" s="31"/>
      <c r="M94" s="34" t="str">
        <f t="shared" si="34"/>
        <v/>
      </c>
      <c r="N94" s="31"/>
      <c r="O94" s="34" t="str">
        <f t="shared" si="35"/>
        <v/>
      </c>
      <c r="P94" s="31"/>
      <c r="Q94" s="34" t="str">
        <f t="shared" si="36"/>
        <v/>
      </c>
      <c r="R94" s="31"/>
      <c r="S94" s="34" t="str">
        <f t="shared" si="37"/>
        <v/>
      </c>
      <c r="T94" s="31"/>
      <c r="U94" s="34" t="str">
        <f t="shared" si="38"/>
        <v/>
      </c>
      <c r="V94" s="56"/>
      <c r="W94" s="34" t="str">
        <f t="shared" ref="W94:W117" si="56">IF((ISERROR((V94/$I94)*100)), "", IF(AND(NOT(ISERROR((V94/$I94)*100)),((V94/$I94)*100) &lt;&gt; 0), (V94/$I94)*100, ""))</f>
        <v/>
      </c>
      <c r="X94" s="36"/>
      <c r="Y94" s="37" t="str">
        <f>IF((ISERROR((X94/$I94)*100)), "", IF(AND(NOT(ISERROR((X94/$I94)*100)),((X94/$I94)*100) &lt;&gt; 0), (X94/$I94)*100, ""))</f>
        <v/>
      </c>
      <c r="Z94" s="31"/>
      <c r="AA94" s="34" t="str">
        <f>IF((ISERROR((Z94/$I94)*100)), "", IF(AND(NOT(ISERROR((Z94/$I94)*100)),((Z94/$I94)*100) &lt;&gt; 0), (Z94/$I94)*100, ""))</f>
        <v/>
      </c>
      <c r="AB94" s="31"/>
      <c r="AC94" s="34" t="str">
        <f>IF((ISERROR((AB94/$I94)*100)), "", IF(AND(NOT(ISERROR((AB94/$I94)*100)),((AB94/$I94)*100) &lt;&gt; 0), (AB94/$I94)*100, ""))</f>
        <v/>
      </c>
      <c r="AD94" s="31"/>
      <c r="AE94" s="34" t="str">
        <f>IF((ISERROR((AD94/$I94)*100)), "", IF(AND(NOT(ISERROR((AD94/$I94)*100)),((AD94/$I94)*100) &lt;&gt; 0), (AD94/$I94)*100, ""))</f>
        <v/>
      </c>
      <c r="AF94" s="21"/>
      <c r="AG94" s="21"/>
      <c r="AH94" s="21"/>
      <c r="AI94" s="21"/>
      <c r="AJ94" s="21"/>
      <c r="AK94" s="21"/>
      <c r="AL94" s="21"/>
      <c r="AM94" s="21"/>
      <c r="AN94" s="21"/>
      <c r="AO94" s="21"/>
      <c r="AP94" s="21"/>
      <c r="AQ94" s="21"/>
      <c r="AR94" s="21"/>
      <c r="AS94" s="21"/>
      <c r="AT94" s="21"/>
      <c r="AU94" s="21"/>
      <c r="AV94" s="21"/>
      <c r="AW94" s="21"/>
      <c r="AX94" s="21"/>
      <c r="AY94" s="21"/>
      <c r="AZ94" s="21"/>
      <c r="BA94" s="21"/>
    </row>
    <row r="95" spans="1:53" ht="20" customHeight="1" x14ac:dyDescent="0.2">
      <c r="A95" s="678"/>
      <c r="B95" s="721"/>
      <c r="C95" s="253"/>
      <c r="D95" s="722" t="s">
        <v>85</v>
      </c>
      <c r="E95" s="723" t="s">
        <v>300</v>
      </c>
      <c r="F95" s="723" t="s">
        <v>301</v>
      </c>
      <c r="G95" s="722">
        <v>2011</v>
      </c>
      <c r="H95" s="287"/>
      <c r="I95" s="65"/>
      <c r="J95" s="61"/>
      <c r="K95" s="62"/>
      <c r="L95" s="31"/>
      <c r="M95" s="34" t="str">
        <f t="shared" si="34"/>
        <v/>
      </c>
      <c r="N95" s="31"/>
      <c r="O95" s="34" t="str">
        <f t="shared" si="35"/>
        <v/>
      </c>
      <c r="P95" s="31"/>
      <c r="Q95" s="34" t="str">
        <f t="shared" si="36"/>
        <v/>
      </c>
      <c r="R95" s="31"/>
      <c r="S95" s="34" t="str">
        <f t="shared" si="37"/>
        <v/>
      </c>
      <c r="T95" s="31"/>
      <c r="U95" s="34" t="str">
        <f t="shared" si="38"/>
        <v/>
      </c>
      <c r="V95" s="56"/>
      <c r="W95" s="34" t="str">
        <f t="shared" si="56"/>
        <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IF((ISERROR((AD95/$I95)*100)), "", IF(AND(NOT(ISERROR((AD95/$I95)*100)),((AD95/$I95)*100) &lt;&gt; 0), (AD95/$I95)*100, ""))</f>
        <v/>
      </c>
      <c r="AF95" s="21" t="s">
        <v>361</v>
      </c>
      <c r="AG95" s="21"/>
      <c r="AH95" s="21"/>
      <c r="AI95" s="21"/>
      <c r="AJ95" s="21"/>
      <c r="AK95" s="21"/>
      <c r="AL95" s="21"/>
      <c r="AM95" s="21"/>
      <c r="AN95" s="21"/>
      <c r="AO95" s="21"/>
      <c r="AP95" s="21"/>
      <c r="AQ95" s="21"/>
      <c r="AR95" s="21"/>
      <c r="AS95" s="21"/>
      <c r="AT95" s="21"/>
      <c r="AU95" s="21"/>
      <c r="AV95" s="21"/>
      <c r="AW95" s="21"/>
      <c r="AX95" s="21"/>
      <c r="AY95" s="21"/>
      <c r="AZ95" s="21"/>
      <c r="BA95" s="21"/>
    </row>
    <row r="96" spans="1:53" ht="20" customHeight="1" x14ac:dyDescent="0.2">
      <c r="A96" s="680"/>
      <c r="B96" s="721"/>
      <c r="C96" s="722"/>
      <c r="D96" s="722" t="s">
        <v>85</v>
      </c>
      <c r="E96" s="723" t="s">
        <v>670</v>
      </c>
      <c r="F96" s="723" t="s">
        <v>671</v>
      </c>
      <c r="G96" s="722">
        <v>2003</v>
      </c>
      <c r="H96" s="287"/>
      <c r="I96" s="65"/>
      <c r="J96" s="61" t="s">
        <v>672</v>
      </c>
      <c r="K96" s="62" t="s">
        <v>177</v>
      </c>
      <c r="L96" s="31"/>
      <c r="M96" s="34"/>
      <c r="N96" s="31"/>
      <c r="O96" s="34"/>
      <c r="P96" s="31"/>
      <c r="Q96" s="34"/>
      <c r="R96" s="31"/>
      <c r="S96" s="34"/>
      <c r="T96" s="31"/>
      <c r="U96" s="34"/>
      <c r="V96" s="56"/>
      <c r="W96" s="34"/>
      <c r="X96" s="31"/>
      <c r="Y96" s="34"/>
      <c r="Z96" s="31"/>
      <c r="AA96" s="34"/>
      <c r="AB96" s="31"/>
      <c r="AC96" s="34"/>
      <c r="AD96" s="31"/>
      <c r="AE96" s="34"/>
      <c r="AF96" s="21"/>
      <c r="AG96" s="21"/>
      <c r="AH96" s="21"/>
      <c r="AI96" s="21"/>
      <c r="AJ96" s="21"/>
      <c r="AK96" s="21"/>
      <c r="AL96" s="21"/>
      <c r="AM96" s="21"/>
      <c r="AN96" s="21"/>
      <c r="AO96" s="21"/>
      <c r="AP96" s="21"/>
      <c r="AQ96" s="21"/>
      <c r="AR96" s="21"/>
      <c r="AS96" s="21"/>
      <c r="AT96" s="21"/>
      <c r="AU96" s="21"/>
      <c r="AV96" s="21"/>
      <c r="AW96" s="21"/>
      <c r="AX96" s="21"/>
      <c r="AY96" s="21"/>
      <c r="AZ96" s="21"/>
      <c r="BA96" s="21"/>
    </row>
    <row r="97" spans="1:53" ht="20" customHeight="1" x14ac:dyDescent="0.2">
      <c r="A97" s="678"/>
      <c r="B97" s="721"/>
      <c r="C97" s="255"/>
      <c r="D97" s="722" t="s">
        <v>85</v>
      </c>
      <c r="E97" s="723" t="s">
        <v>302</v>
      </c>
      <c r="F97" s="723" t="s">
        <v>303</v>
      </c>
      <c r="G97" s="722">
        <v>1977</v>
      </c>
      <c r="H97" s="287"/>
      <c r="I97" s="65">
        <v>5</v>
      </c>
      <c r="J97" s="61" t="s">
        <v>362</v>
      </c>
      <c r="K97" s="62"/>
      <c r="L97" s="31"/>
      <c r="M97" s="34" t="str">
        <f t="shared" si="34"/>
        <v/>
      </c>
      <c r="N97" s="31"/>
      <c r="O97" s="34" t="str">
        <f t="shared" si="35"/>
        <v/>
      </c>
      <c r="P97" s="31"/>
      <c r="Q97" s="34" t="str">
        <f t="shared" si="36"/>
        <v/>
      </c>
      <c r="R97" s="31"/>
      <c r="S97" s="34" t="str">
        <f t="shared" si="37"/>
        <v/>
      </c>
      <c r="T97" s="31">
        <v>5</v>
      </c>
      <c r="U97" s="34">
        <f t="shared" si="38"/>
        <v>100</v>
      </c>
      <c r="V97" s="56"/>
      <c r="W97" s="34" t="str">
        <f t="shared" si="56"/>
        <v/>
      </c>
      <c r="X97" s="31"/>
      <c r="Y97" s="34" t="str">
        <f t="shared" si="52"/>
        <v/>
      </c>
      <c r="Z97" s="31"/>
      <c r="AA97" s="34" t="str">
        <f t="shared" si="53"/>
        <v/>
      </c>
      <c r="AB97" s="31"/>
      <c r="AC97" s="34" t="str">
        <f t="shared" si="54"/>
        <v/>
      </c>
      <c r="AD97" s="31"/>
      <c r="AE97" s="34" t="str">
        <f t="shared" si="55"/>
        <v/>
      </c>
      <c r="AF97" s="21" t="s">
        <v>363</v>
      </c>
      <c r="AG97" s="21"/>
      <c r="AH97" s="21"/>
      <c r="AI97" s="21"/>
      <c r="AJ97" s="21"/>
      <c r="AK97" s="21"/>
      <c r="AL97" s="21"/>
      <c r="AM97" s="21"/>
      <c r="AN97" s="21"/>
      <c r="AO97" s="21"/>
      <c r="AP97" s="21"/>
      <c r="AQ97" s="21"/>
      <c r="AR97" s="21"/>
      <c r="AS97" s="21"/>
      <c r="AT97" s="21"/>
      <c r="AU97" s="21"/>
      <c r="AV97" s="21"/>
      <c r="AW97" s="21"/>
      <c r="AX97" s="21"/>
      <c r="AY97" s="21"/>
      <c r="AZ97" s="21"/>
      <c r="BA97" s="21"/>
    </row>
    <row r="98" spans="1:53" ht="20" customHeight="1" x14ac:dyDescent="0.2">
      <c r="A98" s="678"/>
      <c r="B98" s="725"/>
      <c r="C98" s="255"/>
      <c r="D98" s="722" t="s">
        <v>85</v>
      </c>
      <c r="E98" s="723" t="s">
        <v>107</v>
      </c>
      <c r="F98" s="723" t="s">
        <v>108</v>
      </c>
      <c r="G98" s="722">
        <v>2008</v>
      </c>
      <c r="H98" s="287">
        <v>54</v>
      </c>
      <c r="I98" s="65">
        <v>12</v>
      </c>
      <c r="J98" s="61" t="s">
        <v>167</v>
      </c>
      <c r="K98" s="62" t="s">
        <v>209</v>
      </c>
      <c r="L98" s="31"/>
      <c r="M98" s="34" t="str">
        <f t="shared" si="34"/>
        <v/>
      </c>
      <c r="N98" s="31"/>
      <c r="O98" s="34" t="str">
        <f t="shared" si="35"/>
        <v/>
      </c>
      <c r="P98" s="31"/>
      <c r="Q98" s="34" t="str">
        <f t="shared" si="36"/>
        <v/>
      </c>
      <c r="R98" s="31"/>
      <c r="S98" s="34" t="str">
        <f t="shared" si="37"/>
        <v/>
      </c>
      <c r="T98" s="31"/>
      <c r="U98" s="34" t="str">
        <f t="shared" si="38"/>
        <v/>
      </c>
      <c r="V98" s="56"/>
      <c r="W98" s="34" t="str">
        <f t="shared" si="56"/>
        <v/>
      </c>
      <c r="X98" s="31"/>
      <c r="Y98" s="34" t="str">
        <f>IF((ISERROR((X98/$I98)*100)), "", IF(AND(NOT(ISERROR((X98/$I98)*100)),((X98/$I98)*100) &lt;&gt; 0), (X98/$I98)*100, ""))</f>
        <v/>
      </c>
      <c r="Z98" s="31"/>
      <c r="AA98" s="34" t="str">
        <f>IF((ISERROR((Z98/$I98)*100)), "", IF(AND(NOT(ISERROR((Z98/$I98)*100)),((Z98/$I98)*100) &lt;&gt; 0), (Z98/$I98)*100, ""))</f>
        <v/>
      </c>
      <c r="AB98" s="31"/>
      <c r="AC98" s="34" t="str">
        <f>IF((ISERROR((AB98/$I98)*100)), "", IF(AND(NOT(ISERROR((AB98/$I98)*100)),((AB98/$I98)*100) &lt;&gt; 0), (AB98/$I98)*100, ""))</f>
        <v/>
      </c>
      <c r="AD98" s="31"/>
      <c r="AE98" s="34" t="str">
        <f>IF((ISERROR((AD98/$I98)*100)), "", IF(AND(NOT(ISERROR((AD98/$I98)*100)),((AD98/$I98)*100) &lt;&gt; 0), (AD98/$I98)*100, ""))</f>
        <v/>
      </c>
      <c r="AF98" s="21" t="s">
        <v>415</v>
      </c>
      <c r="AG98" s="21"/>
      <c r="AH98" s="21"/>
      <c r="AI98" s="21"/>
      <c r="AJ98" s="21"/>
      <c r="AK98" s="21"/>
      <c r="AL98" s="21"/>
      <c r="AM98" s="21"/>
      <c r="AN98" s="21"/>
      <c r="AO98" s="21"/>
      <c r="AP98" s="21"/>
      <c r="AQ98" s="21"/>
      <c r="AR98" s="21"/>
      <c r="AS98" s="21"/>
      <c r="AT98" s="21"/>
      <c r="AU98" s="21"/>
      <c r="AV98" s="21"/>
      <c r="AW98" s="21"/>
      <c r="AX98" s="21"/>
      <c r="AY98" s="21"/>
      <c r="AZ98" s="21"/>
      <c r="BA98" s="21"/>
    </row>
    <row r="99" spans="1:53" ht="20" customHeight="1" x14ac:dyDescent="0.2">
      <c r="A99" s="678"/>
      <c r="B99" s="725"/>
      <c r="C99" s="253"/>
      <c r="D99" s="722" t="s">
        <v>85</v>
      </c>
      <c r="E99" s="723" t="s">
        <v>109</v>
      </c>
      <c r="F99" s="723" t="s">
        <v>110</v>
      </c>
      <c r="G99" s="722">
        <v>1999</v>
      </c>
      <c r="H99" s="287">
        <v>76</v>
      </c>
      <c r="I99" s="65">
        <v>7</v>
      </c>
      <c r="J99" s="61" t="s">
        <v>175</v>
      </c>
      <c r="K99" s="62" t="s">
        <v>191</v>
      </c>
      <c r="L99" s="31"/>
      <c r="M99" s="34" t="str">
        <f t="shared" si="34"/>
        <v/>
      </c>
      <c r="N99" s="31"/>
      <c r="O99" s="34" t="str">
        <f t="shared" si="35"/>
        <v/>
      </c>
      <c r="P99" s="31"/>
      <c r="Q99" s="34" t="str">
        <f t="shared" si="36"/>
        <v/>
      </c>
      <c r="R99" s="31"/>
      <c r="S99" s="34" t="str">
        <f t="shared" si="37"/>
        <v/>
      </c>
      <c r="T99" s="31"/>
      <c r="U99" s="34" t="str">
        <f t="shared" si="38"/>
        <v/>
      </c>
      <c r="V99" s="56"/>
      <c r="W99" s="34" t="str">
        <f t="shared" si="56"/>
        <v/>
      </c>
      <c r="X99" s="31"/>
      <c r="Y99" s="34" t="str">
        <f>IF((ISERROR((X99/$I99)*100)), "", IF(AND(NOT(ISERROR((X99/$I99)*100)),((X99/$I99)*100) &lt;&gt; 0), (X99/$I99)*100, ""))</f>
        <v/>
      </c>
      <c r="Z99" s="31"/>
      <c r="AA99" s="34" t="str">
        <f>IF((ISERROR((Z99/$I99)*100)), "", IF(AND(NOT(ISERROR((Z99/$I99)*100)),((Z99/$I99)*100) &lt;&gt; 0), (Z99/$I99)*100, ""))</f>
        <v/>
      </c>
      <c r="AB99" s="31"/>
      <c r="AC99" s="34" t="str">
        <f>IF((ISERROR((AB99/$I99)*100)), "", IF(AND(NOT(ISERROR((AB99/$I99)*100)),((AB99/$I99)*100) &lt;&gt; 0), (AB99/$I99)*100, ""))</f>
        <v/>
      </c>
      <c r="AD99" s="31"/>
      <c r="AE99" s="34" t="str">
        <f>IF((ISERROR((AD99/$I99)*100)), "", IF(AND(NOT(ISERROR((AD99/$I99)*100)),((AD99/$I99)*100) &lt;&gt; 0), (AD99/$I99)*100, ""))</f>
        <v/>
      </c>
      <c r="AF99" s="21" t="s">
        <v>180</v>
      </c>
      <c r="AG99" s="21"/>
      <c r="AH99" s="21"/>
      <c r="AI99" s="21"/>
      <c r="AJ99" s="21"/>
      <c r="AK99" s="21"/>
      <c r="AL99" s="21"/>
      <c r="AM99" s="21"/>
      <c r="AN99" s="21"/>
      <c r="AO99" s="21"/>
      <c r="AP99" s="21"/>
      <c r="AQ99" s="21"/>
      <c r="AR99" s="21"/>
      <c r="AS99" s="21"/>
      <c r="AT99" s="21"/>
      <c r="AU99" s="21"/>
      <c r="AV99" s="21"/>
      <c r="AW99" s="21"/>
      <c r="AX99" s="21"/>
      <c r="AY99" s="21"/>
      <c r="AZ99" s="21"/>
      <c r="BA99" s="21"/>
    </row>
    <row r="100" spans="1:53" ht="20" customHeight="1" x14ac:dyDescent="0.2">
      <c r="A100" s="678"/>
      <c r="B100" s="721"/>
      <c r="C100" s="253"/>
      <c r="D100" s="722" t="s">
        <v>85</v>
      </c>
      <c r="E100" s="723" t="s">
        <v>111</v>
      </c>
      <c r="F100" s="723" t="s">
        <v>112</v>
      </c>
      <c r="G100" s="722">
        <v>2008</v>
      </c>
      <c r="H100" s="287">
        <v>101</v>
      </c>
      <c r="I100" s="65">
        <v>16</v>
      </c>
      <c r="J100" s="61" t="s">
        <v>210</v>
      </c>
      <c r="K100" s="62"/>
      <c r="L100" s="31"/>
      <c r="M100" s="34" t="str">
        <f t="shared" si="34"/>
        <v/>
      </c>
      <c r="N100" s="31"/>
      <c r="O100" s="34" t="str">
        <f t="shared" si="35"/>
        <v/>
      </c>
      <c r="P100" s="31"/>
      <c r="Q100" s="34" t="str">
        <f t="shared" si="36"/>
        <v/>
      </c>
      <c r="R100" s="31"/>
      <c r="S100" s="34" t="str">
        <f t="shared" si="37"/>
        <v/>
      </c>
      <c r="T100" s="31"/>
      <c r="U100" s="34" t="str">
        <f t="shared" si="38"/>
        <v/>
      </c>
      <c r="V100" s="56"/>
      <c r="W100" s="34" t="str">
        <f t="shared" si="56"/>
        <v/>
      </c>
      <c r="X100" s="31"/>
      <c r="Y100" s="34" t="str">
        <f>IF((ISERROR((X100/$I100)*100)), "", IF(AND(NOT(ISERROR((X100/$I100)*100)),((X100/$I100)*100) &lt;&gt; 0), (X100/$I100)*100, ""))</f>
        <v/>
      </c>
      <c r="Z100" s="31"/>
      <c r="AA100" s="34" t="str">
        <f>IF((ISERROR((Z100/$I100)*100)), "", IF(AND(NOT(ISERROR((Z100/$I100)*100)),((Z100/$I100)*100) &lt;&gt; 0), (Z100/$I100)*100, ""))</f>
        <v/>
      </c>
      <c r="AB100" s="31"/>
      <c r="AC100" s="34" t="str">
        <f>IF((ISERROR((AB100/$I100)*100)), "", IF(AND(NOT(ISERROR((AB100/$I100)*100)),((AB100/$I100)*100) &lt;&gt; 0), (AB100/$I100)*100, ""))</f>
        <v/>
      </c>
      <c r="AD100" s="31"/>
      <c r="AE100" s="34" t="str">
        <f>IF((ISERROR((AD100/$I100)*100)), "", IF(AND(NOT(ISERROR((AD100/$I100)*100)),((AD100/$I100)*100) &lt;&gt; 0), (AD100/$I100)*100, ""))</f>
        <v/>
      </c>
      <c r="AF100" s="21" t="s">
        <v>383</v>
      </c>
      <c r="AG100" s="21"/>
      <c r="AH100" s="21"/>
      <c r="AI100" s="21"/>
      <c r="AJ100" s="21"/>
      <c r="AK100" s="21"/>
      <c r="AL100" s="21"/>
      <c r="AM100" s="21"/>
      <c r="AN100" s="21"/>
      <c r="AO100" s="21"/>
      <c r="AP100" s="21"/>
      <c r="AQ100" s="21"/>
      <c r="AR100" s="21"/>
      <c r="AS100" s="21"/>
      <c r="AT100" s="21"/>
      <c r="AU100" s="21"/>
      <c r="AV100" s="21"/>
      <c r="AW100" s="21"/>
      <c r="AX100" s="21"/>
      <c r="AY100" s="21"/>
      <c r="AZ100" s="21"/>
      <c r="BA100" s="21"/>
    </row>
    <row r="101" spans="1:53" ht="20" customHeight="1" x14ac:dyDescent="0.2">
      <c r="A101" s="680"/>
      <c r="B101" s="721"/>
      <c r="C101" s="722"/>
      <c r="D101" s="722" t="s">
        <v>85</v>
      </c>
      <c r="E101" s="723" t="s">
        <v>673</v>
      </c>
      <c r="F101" s="723" t="s">
        <v>674</v>
      </c>
      <c r="G101" s="722">
        <v>2003</v>
      </c>
      <c r="H101" s="287"/>
      <c r="I101" s="65">
        <v>15</v>
      </c>
      <c r="J101" s="61" t="s">
        <v>213</v>
      </c>
      <c r="K101" s="62" t="s">
        <v>675</v>
      </c>
      <c r="L101" s="31"/>
      <c r="M101" s="34"/>
      <c r="N101" s="31"/>
      <c r="O101" s="34"/>
      <c r="P101" s="31"/>
      <c r="Q101" s="34"/>
      <c r="R101" s="31"/>
      <c r="S101" s="34"/>
      <c r="T101" s="31"/>
      <c r="U101" s="34"/>
      <c r="V101" s="56"/>
      <c r="W101" s="34"/>
      <c r="X101" s="31"/>
      <c r="Y101" s="34"/>
      <c r="Z101" s="31"/>
      <c r="AA101" s="34"/>
      <c r="AB101" s="31"/>
      <c r="AC101" s="34"/>
      <c r="AD101" s="31"/>
      <c r="AE101" s="34"/>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row>
    <row r="102" spans="1:53" ht="20" customHeight="1" x14ac:dyDescent="0.2">
      <c r="A102" s="678"/>
      <c r="B102" s="725"/>
      <c r="C102" s="255"/>
      <c r="D102" s="722" t="s">
        <v>85</v>
      </c>
      <c r="E102" s="723" t="s">
        <v>113</v>
      </c>
      <c r="F102" s="723" t="s">
        <v>114</v>
      </c>
      <c r="G102" s="722">
        <v>1997</v>
      </c>
      <c r="H102" s="287">
        <v>127</v>
      </c>
      <c r="I102" s="65">
        <v>8</v>
      </c>
      <c r="J102" s="61" t="s">
        <v>211</v>
      </c>
      <c r="K102" s="62" t="s">
        <v>212</v>
      </c>
      <c r="L102" s="31"/>
      <c r="M102" s="34" t="str">
        <f t="shared" si="34"/>
        <v/>
      </c>
      <c r="N102" s="31"/>
      <c r="O102" s="34" t="str">
        <f t="shared" si="35"/>
        <v/>
      </c>
      <c r="P102" s="31"/>
      <c r="Q102" s="34" t="str">
        <f t="shared" si="36"/>
        <v/>
      </c>
      <c r="R102" s="31"/>
      <c r="S102" s="34" t="str">
        <f t="shared" si="37"/>
        <v/>
      </c>
      <c r="T102" s="31"/>
      <c r="U102" s="34" t="str">
        <f t="shared" si="38"/>
        <v/>
      </c>
      <c r="V102" s="56">
        <v>1</v>
      </c>
      <c r="W102" s="34">
        <f t="shared" si="56"/>
        <v>12.5</v>
      </c>
      <c r="X102" s="31"/>
      <c r="Y102" s="34" t="str">
        <f t="shared" si="52"/>
        <v/>
      </c>
      <c r="Z102" s="31"/>
      <c r="AA102" s="34" t="str">
        <f t="shared" si="53"/>
        <v/>
      </c>
      <c r="AB102" s="31"/>
      <c r="AC102" s="34" t="str">
        <f t="shared" si="54"/>
        <v/>
      </c>
      <c r="AD102" s="31">
        <v>1</v>
      </c>
      <c r="AE102" s="34">
        <f t="shared" si="55"/>
        <v>12.5</v>
      </c>
      <c r="AF102" s="21" t="s">
        <v>384</v>
      </c>
      <c r="AG102" s="21"/>
      <c r="AH102" s="21"/>
      <c r="AI102" s="21"/>
      <c r="AJ102" s="21"/>
      <c r="AK102" s="21"/>
      <c r="AL102" s="21"/>
      <c r="AM102" s="21"/>
      <c r="AN102" s="21"/>
      <c r="AO102" s="21"/>
      <c r="AP102" s="21"/>
      <c r="AQ102" s="21"/>
      <c r="AR102" s="21"/>
      <c r="AS102" s="21"/>
      <c r="AT102" s="21"/>
      <c r="AU102" s="21"/>
      <c r="AV102" s="21"/>
      <c r="AW102" s="21"/>
      <c r="AX102" s="21"/>
      <c r="AY102" s="21"/>
      <c r="AZ102" s="21"/>
      <c r="BA102" s="21"/>
    </row>
    <row r="103" spans="1:53" ht="20" customHeight="1" x14ac:dyDescent="0.2">
      <c r="A103" s="680"/>
      <c r="B103" s="721"/>
      <c r="C103" s="722"/>
      <c r="D103" s="722" t="s">
        <v>85</v>
      </c>
      <c r="E103" s="723" t="s">
        <v>677</v>
      </c>
      <c r="F103" s="723" t="s">
        <v>678</v>
      </c>
      <c r="G103" s="722"/>
      <c r="H103" s="287"/>
      <c r="I103" s="65"/>
      <c r="J103" s="61" t="s">
        <v>340</v>
      </c>
      <c r="K103" s="62" t="s">
        <v>168</v>
      </c>
      <c r="L103" s="31"/>
      <c r="M103" s="34"/>
      <c r="N103" s="31"/>
      <c r="O103" s="34"/>
      <c r="P103" s="31"/>
      <c r="Q103" s="34"/>
      <c r="R103" s="31"/>
      <c r="S103" s="34"/>
      <c r="T103" s="31"/>
      <c r="U103" s="34"/>
      <c r="V103" s="56"/>
      <c r="W103" s="34"/>
      <c r="X103" s="31"/>
      <c r="Y103" s="34"/>
      <c r="Z103" s="31"/>
      <c r="AA103" s="34"/>
      <c r="AB103" s="31"/>
      <c r="AC103" s="34"/>
      <c r="AD103" s="31"/>
      <c r="AE103" s="34"/>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row>
    <row r="104" spans="1:53" ht="20" customHeight="1" x14ac:dyDescent="0.2">
      <c r="A104" s="678"/>
      <c r="B104" s="725"/>
      <c r="C104" s="722"/>
      <c r="D104" s="722" t="s">
        <v>85</v>
      </c>
      <c r="E104" s="723" t="s">
        <v>115</v>
      </c>
      <c r="F104" s="723" t="s">
        <v>116</v>
      </c>
      <c r="G104" s="722">
        <v>2001</v>
      </c>
      <c r="H104" s="287">
        <v>143</v>
      </c>
      <c r="I104" s="65">
        <v>6</v>
      </c>
      <c r="J104" s="61" t="s">
        <v>213</v>
      </c>
      <c r="K104" s="62" t="s">
        <v>192</v>
      </c>
      <c r="L104" s="31"/>
      <c r="M104" s="34" t="str">
        <f t="shared" si="34"/>
        <v/>
      </c>
      <c r="N104" s="31"/>
      <c r="O104" s="34" t="str">
        <f t="shared" si="35"/>
        <v/>
      </c>
      <c r="P104" s="31"/>
      <c r="Q104" s="34" t="str">
        <f t="shared" si="36"/>
        <v/>
      </c>
      <c r="R104" s="31"/>
      <c r="S104" s="34" t="str">
        <f t="shared" si="37"/>
        <v/>
      </c>
      <c r="T104" s="31"/>
      <c r="U104" s="34" t="str">
        <f t="shared" si="38"/>
        <v/>
      </c>
      <c r="V104" s="56"/>
      <c r="W104" s="34" t="str">
        <f t="shared" si="56"/>
        <v/>
      </c>
      <c r="X104" s="31"/>
      <c r="Y104" s="34" t="str">
        <f t="shared" si="52"/>
        <v/>
      </c>
      <c r="Z104" s="31"/>
      <c r="AA104" s="34" t="str">
        <f t="shared" si="53"/>
        <v/>
      </c>
      <c r="AB104" s="31"/>
      <c r="AC104" s="34" t="str">
        <f t="shared" si="54"/>
        <v/>
      </c>
      <c r="AD104" s="31"/>
      <c r="AE104" s="34" t="str">
        <f t="shared" si="55"/>
        <v/>
      </c>
      <c r="AF104" s="21" t="s">
        <v>214</v>
      </c>
      <c r="AG104" s="21"/>
      <c r="AH104" s="21"/>
      <c r="AI104" s="21"/>
      <c r="AJ104" s="21"/>
      <c r="AK104" s="21"/>
      <c r="AL104" s="21"/>
      <c r="AM104" s="21"/>
      <c r="AN104" s="21"/>
      <c r="AO104" s="21"/>
      <c r="AP104" s="21"/>
      <c r="AQ104" s="21"/>
      <c r="AR104" s="21"/>
      <c r="AS104" s="21"/>
      <c r="AT104" s="21"/>
      <c r="AU104" s="21"/>
      <c r="AV104" s="21"/>
      <c r="AW104" s="21"/>
      <c r="AX104" s="21"/>
      <c r="AY104" s="21"/>
      <c r="AZ104" s="21"/>
      <c r="BA104" s="21"/>
    </row>
    <row r="105" spans="1:53" ht="20" customHeight="1" x14ac:dyDescent="0.2">
      <c r="A105" s="678"/>
      <c r="B105" s="725"/>
      <c r="C105" s="255"/>
      <c r="D105" s="722" t="s">
        <v>85</v>
      </c>
      <c r="E105" s="723" t="s">
        <v>119</v>
      </c>
      <c r="F105" s="723" t="s">
        <v>120</v>
      </c>
      <c r="G105" s="722">
        <v>2003</v>
      </c>
      <c r="H105" s="287">
        <v>45</v>
      </c>
      <c r="I105" s="65">
        <v>16</v>
      </c>
      <c r="J105" s="61" t="s">
        <v>175</v>
      </c>
      <c r="K105" s="62" t="s">
        <v>416</v>
      </c>
      <c r="L105" s="31"/>
      <c r="M105" s="34" t="str">
        <f t="shared" ref="M105:M117" si="57">IF((ISERROR((L105/$I105)*100)), "", IF(AND(NOT(ISERROR((L105/$I105)*100)),((L105/$I105)*100) &lt;&gt; 0), (L105/$I105)*100, ""))</f>
        <v/>
      </c>
      <c r="N105" s="31"/>
      <c r="O105" s="34" t="str">
        <f t="shared" ref="O105:O117" si="58">IF((ISERROR((N105/$I105)*100)), "", IF(AND(NOT(ISERROR((N105/$I105)*100)),((N105/$I105)*100) &lt;&gt; 0), (N105/$I105)*100, ""))</f>
        <v/>
      </c>
      <c r="P105" s="31"/>
      <c r="Q105" s="34" t="str">
        <f t="shared" ref="Q105:Q117" si="59">IF((ISERROR((P105/$I105)*100)), "", IF(AND(NOT(ISERROR((P105/$I105)*100)),((P105/$I105)*100) &lt;&gt; 0), (P105/$I105)*100, ""))</f>
        <v/>
      </c>
      <c r="R105" s="31"/>
      <c r="S105" s="34" t="str">
        <f t="shared" ref="S105:S117" si="60">IF((ISERROR((R105/$I105)*100)), "", IF(AND(NOT(ISERROR((R105/$I105)*100)),((R105/$I105)*100) &lt;&gt; 0), (R105/$I105)*100, ""))</f>
        <v/>
      </c>
      <c r="T105" s="36"/>
      <c r="U105" s="37" t="str">
        <f t="shared" ref="U105:U117" si="61">IF((ISERROR((T105/$I105)*100)), "", IF(AND(NOT(ISERROR((T105/$I105)*100)),((T105/$I105)*100) &lt;&gt; 0), (T105/$I105)*100, ""))</f>
        <v/>
      </c>
      <c r="V105" s="36"/>
      <c r="W105" s="37" t="str">
        <f t="shared" si="56"/>
        <v/>
      </c>
      <c r="X105" s="31"/>
      <c r="Y105" s="34" t="str">
        <f>IF((ISERROR((X105/$I105)*100)), "", IF(AND(NOT(ISERROR((X105/$I105)*100)),((X105/$I105)*100) &lt;&gt; 0), (X105/$I105)*100, ""))</f>
        <v/>
      </c>
      <c r="Z105" s="31"/>
      <c r="AA105" s="34" t="str">
        <f>IF((ISERROR((Z105/$I105)*100)), "", IF(AND(NOT(ISERROR((Z105/$I105)*100)),((Z105/$I105)*100) &lt;&gt; 0), (Z105/$I105)*100, ""))</f>
        <v/>
      </c>
      <c r="AB105" s="31"/>
      <c r="AC105" s="34" t="str">
        <f>IF((ISERROR((AB105/$I105)*100)), "", IF(AND(NOT(ISERROR((AB105/$I105)*100)),((AB105/$I105)*100) &lt;&gt; 0), (AB105/$I105)*100, ""))</f>
        <v/>
      </c>
      <c r="AD105" s="31"/>
      <c r="AE105" s="34" t="str">
        <f>IF((ISERROR((AD105/$I105)*100)), "", IF(AND(NOT(ISERROR((AD105/$I105)*100)),((AD105/$I105)*100) &lt;&gt; 0), (AD105/$I105)*100, ""))</f>
        <v/>
      </c>
      <c r="AF105" s="21" t="s">
        <v>404</v>
      </c>
      <c r="AG105" s="21"/>
      <c r="AH105" s="21"/>
      <c r="AI105" s="21"/>
      <c r="AJ105" s="21"/>
      <c r="AK105" s="21"/>
      <c r="AL105" s="21"/>
      <c r="AM105" s="21"/>
      <c r="AN105" s="21"/>
      <c r="AO105" s="21"/>
      <c r="AP105" s="21"/>
      <c r="AQ105" s="21"/>
      <c r="AR105" s="21"/>
      <c r="AS105" s="21"/>
      <c r="AT105" s="21"/>
      <c r="AU105" s="21"/>
      <c r="AV105" s="21"/>
      <c r="AW105" s="21"/>
      <c r="AX105" s="21"/>
      <c r="AY105" s="21"/>
      <c r="AZ105" s="21"/>
      <c r="BA105" s="21"/>
    </row>
    <row r="106" spans="1:53" ht="20" customHeight="1" x14ac:dyDescent="0.2">
      <c r="A106" s="678"/>
      <c r="B106" s="725"/>
      <c r="C106" s="253"/>
      <c r="D106" s="722" t="s">
        <v>85</v>
      </c>
      <c r="E106" s="723" t="s">
        <v>121</v>
      </c>
      <c r="F106" s="723" t="s">
        <v>122</v>
      </c>
      <c r="G106" s="722">
        <v>2002</v>
      </c>
      <c r="H106" s="287">
        <v>73</v>
      </c>
      <c r="I106" s="65">
        <v>49</v>
      </c>
      <c r="J106" s="61" t="s">
        <v>197</v>
      </c>
      <c r="K106" s="62"/>
      <c r="L106" s="31"/>
      <c r="M106" s="34" t="str">
        <f t="shared" si="57"/>
        <v/>
      </c>
      <c r="N106" s="31"/>
      <c r="O106" s="34" t="str">
        <f t="shared" si="58"/>
        <v/>
      </c>
      <c r="P106" s="31"/>
      <c r="Q106" s="34" t="str">
        <f t="shared" si="59"/>
        <v/>
      </c>
      <c r="R106" s="31"/>
      <c r="S106" s="34" t="str">
        <f t="shared" si="60"/>
        <v/>
      </c>
      <c r="T106" s="31"/>
      <c r="U106" s="34" t="str">
        <f t="shared" si="61"/>
        <v/>
      </c>
      <c r="V106" s="56"/>
      <c r="W106" s="34" t="str">
        <f t="shared" si="56"/>
        <v/>
      </c>
      <c r="X106" s="31"/>
      <c r="Y106" s="34" t="str">
        <f t="shared" ref="Y106:Y112" si="62">IF((ISERROR((X106/$I106)*100)), "", IF(AND(NOT(ISERROR((X106/$I106)*100)),((X106/$I106)*100) &lt;&gt; 0), (X106/$I106)*100, ""))</f>
        <v/>
      </c>
      <c r="Z106" s="31"/>
      <c r="AA106" s="34" t="str">
        <f t="shared" ref="AA106:AA112" si="63">IF((ISERROR((Z106/$I106)*100)), "", IF(AND(NOT(ISERROR((Z106/$I106)*100)),((Z106/$I106)*100) &lt;&gt; 0), (Z106/$I106)*100, ""))</f>
        <v/>
      </c>
      <c r="AB106" s="31"/>
      <c r="AC106" s="34" t="str">
        <f t="shared" ref="AC106:AC112" si="64">IF((ISERROR((AB106/$I106)*100)), "", IF(AND(NOT(ISERROR((AB106/$I106)*100)),((AB106/$I106)*100) &lt;&gt; 0), (AB106/$I106)*100, ""))</f>
        <v/>
      </c>
      <c r="AD106" s="31"/>
      <c r="AE106" s="34" t="str">
        <f t="shared" ref="AE106:AE112" si="65">IF((ISERROR((AD106/$I106)*100)), "", IF(AND(NOT(ISERROR((AD106/$I106)*100)),((AD106/$I106)*100) &lt;&gt; 0), (AD106/$I106)*100, ""))</f>
        <v/>
      </c>
      <c r="AF106" s="21" t="s">
        <v>180</v>
      </c>
      <c r="AG106" s="21"/>
      <c r="AH106" s="21"/>
      <c r="AI106" s="21"/>
      <c r="AJ106" s="21"/>
      <c r="AK106" s="21"/>
      <c r="AL106" s="21"/>
      <c r="AM106" s="21"/>
      <c r="AN106" s="21"/>
      <c r="AO106" s="21"/>
      <c r="AP106" s="21"/>
      <c r="AQ106" s="21"/>
      <c r="AR106" s="21"/>
      <c r="AS106" s="21"/>
      <c r="AT106" s="21"/>
      <c r="AU106" s="21"/>
      <c r="AV106" s="21"/>
      <c r="AW106" s="21"/>
      <c r="AX106" s="21"/>
      <c r="AY106" s="21"/>
      <c r="AZ106" s="21"/>
      <c r="BA106" s="21"/>
    </row>
    <row r="107" spans="1:53" ht="20" customHeight="1" x14ac:dyDescent="0.2">
      <c r="A107" s="678"/>
      <c r="B107" s="725"/>
      <c r="C107" s="255"/>
      <c r="D107" s="722" t="s">
        <v>85</v>
      </c>
      <c r="E107" s="723" t="s">
        <v>304</v>
      </c>
      <c r="F107" s="723" t="s">
        <v>305</v>
      </c>
      <c r="G107" s="722">
        <v>2015</v>
      </c>
      <c r="H107" s="287"/>
      <c r="I107" s="65">
        <v>5</v>
      </c>
      <c r="J107" s="61" t="s">
        <v>210</v>
      </c>
      <c r="K107" s="62" t="s">
        <v>187</v>
      </c>
      <c r="L107" s="31"/>
      <c r="M107" s="34" t="str">
        <f t="shared" si="57"/>
        <v/>
      </c>
      <c r="N107" s="31"/>
      <c r="O107" s="34" t="str">
        <f t="shared" si="58"/>
        <v/>
      </c>
      <c r="P107" s="31"/>
      <c r="Q107" s="34" t="str">
        <f t="shared" si="59"/>
        <v/>
      </c>
      <c r="R107" s="31"/>
      <c r="S107" s="34" t="str">
        <f t="shared" si="60"/>
        <v/>
      </c>
      <c r="T107" s="31"/>
      <c r="U107" s="34" t="str">
        <f t="shared" si="61"/>
        <v/>
      </c>
      <c r="V107" s="56"/>
      <c r="W107" s="34" t="str">
        <f t="shared" si="56"/>
        <v/>
      </c>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IF((ISERROR((AD107/$I107)*100)), "", IF(AND(NOT(ISERROR((AD107/$I107)*100)),((AD107/$I107)*100) &lt;&gt; 0), (AD107/$I107)*100, ""))</f>
        <v/>
      </c>
      <c r="AF107" s="21" t="s">
        <v>417</v>
      </c>
      <c r="AG107" s="21"/>
      <c r="AH107" s="21"/>
      <c r="AI107" s="21"/>
      <c r="AJ107" s="21"/>
      <c r="AK107" s="21"/>
      <c r="AL107" s="21"/>
      <c r="AM107" s="21"/>
      <c r="AN107" s="21"/>
      <c r="AO107" s="21"/>
      <c r="AP107" s="21"/>
      <c r="AQ107" s="21"/>
      <c r="AR107" s="21"/>
      <c r="AS107" s="21"/>
      <c r="AT107" s="21"/>
      <c r="AU107" s="21"/>
      <c r="AV107" s="21"/>
      <c r="AW107" s="21"/>
      <c r="AX107" s="21"/>
      <c r="AY107" s="21"/>
      <c r="AZ107" s="21"/>
      <c r="BA107" s="21"/>
    </row>
    <row r="108" spans="1:53" ht="20" customHeight="1" x14ac:dyDescent="0.2">
      <c r="A108" s="680"/>
      <c r="B108" s="721"/>
      <c r="C108" s="722"/>
      <c r="D108" s="722" t="s">
        <v>85</v>
      </c>
      <c r="E108" s="723" t="s">
        <v>679</v>
      </c>
      <c r="F108" s="723" t="s">
        <v>680</v>
      </c>
      <c r="G108" s="722">
        <v>1991</v>
      </c>
      <c r="H108" s="287"/>
      <c r="I108" s="65"/>
      <c r="J108" s="61" t="s">
        <v>175</v>
      </c>
      <c r="K108" s="62" t="s">
        <v>209</v>
      </c>
      <c r="L108" s="31"/>
      <c r="M108" s="34"/>
      <c r="N108" s="31"/>
      <c r="O108" s="34"/>
      <c r="P108" s="31"/>
      <c r="Q108" s="34"/>
      <c r="R108" s="31"/>
      <c r="S108" s="34"/>
      <c r="T108" s="31"/>
      <c r="U108" s="34"/>
      <c r="V108" s="56"/>
      <c r="W108" s="34"/>
      <c r="X108" s="31"/>
      <c r="Y108" s="34"/>
      <c r="Z108" s="31"/>
      <c r="AA108" s="34"/>
      <c r="AB108" s="31"/>
      <c r="AC108" s="34"/>
      <c r="AD108" s="31"/>
      <c r="AE108" s="34"/>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row>
    <row r="109" spans="1:53" ht="20" customHeight="1" x14ac:dyDescent="0.2">
      <c r="A109" s="678"/>
      <c r="B109" s="725"/>
      <c r="C109" s="253"/>
      <c r="D109" s="722" t="s">
        <v>85</v>
      </c>
      <c r="E109" s="723" t="s">
        <v>306</v>
      </c>
      <c r="F109" s="723" t="s">
        <v>307</v>
      </c>
      <c r="G109" s="722">
        <v>2008</v>
      </c>
      <c r="H109" s="287"/>
      <c r="I109" s="65">
        <v>86</v>
      </c>
      <c r="J109" s="61" t="s">
        <v>175</v>
      </c>
      <c r="K109" s="62"/>
      <c r="L109" s="31"/>
      <c r="M109" s="34" t="str">
        <f t="shared" si="57"/>
        <v/>
      </c>
      <c r="N109" s="31"/>
      <c r="O109" s="34" t="str">
        <f t="shared" si="58"/>
        <v/>
      </c>
      <c r="P109" s="31"/>
      <c r="Q109" s="34" t="str">
        <f t="shared" si="59"/>
        <v/>
      </c>
      <c r="R109" s="31"/>
      <c r="S109" s="34" t="str">
        <f t="shared" si="60"/>
        <v/>
      </c>
      <c r="T109" s="31"/>
      <c r="U109" s="34" t="str">
        <f t="shared" si="61"/>
        <v/>
      </c>
      <c r="V109" s="56"/>
      <c r="W109" s="34" t="str">
        <f t="shared" si="56"/>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IF((ISERROR((AD109/$I109)*100)), "", IF(AND(NOT(ISERROR((AD109/$I109)*100)),((AD109/$I109)*100) &lt;&gt; 0), (AD109/$I109)*100, ""))</f>
        <v/>
      </c>
      <c r="AF109" s="21" t="s">
        <v>364</v>
      </c>
      <c r="AG109" s="21"/>
      <c r="AH109" s="21"/>
      <c r="AI109" s="21"/>
      <c r="AJ109" s="21"/>
      <c r="AK109" s="21"/>
      <c r="AL109" s="21"/>
      <c r="AM109" s="21"/>
      <c r="AN109" s="21"/>
      <c r="AO109" s="21"/>
      <c r="AP109" s="21"/>
      <c r="AQ109" s="21"/>
      <c r="AR109" s="21"/>
      <c r="AS109" s="21"/>
      <c r="AT109" s="21"/>
      <c r="AU109" s="21"/>
      <c r="AV109" s="21"/>
      <c r="AW109" s="21"/>
      <c r="AX109" s="21"/>
      <c r="AY109" s="21"/>
      <c r="AZ109" s="21"/>
      <c r="BA109" s="21"/>
    </row>
    <row r="110" spans="1:53" ht="20" customHeight="1" x14ac:dyDescent="0.2">
      <c r="A110" s="678"/>
      <c r="B110" s="725"/>
      <c r="C110" s="253"/>
      <c r="D110" s="722" t="s">
        <v>85</v>
      </c>
      <c r="E110" s="723" t="s">
        <v>308</v>
      </c>
      <c r="F110" s="723" t="s">
        <v>309</v>
      </c>
      <c r="G110" s="722">
        <v>2012</v>
      </c>
      <c r="H110" s="287"/>
      <c r="I110" s="65"/>
      <c r="J110" s="61" t="s">
        <v>365</v>
      </c>
      <c r="K110" s="62" t="s">
        <v>209</v>
      </c>
      <c r="L110" s="31"/>
      <c r="M110" s="34" t="str">
        <f t="shared" si="57"/>
        <v/>
      </c>
      <c r="N110" s="31"/>
      <c r="O110" s="34" t="str">
        <f t="shared" si="58"/>
        <v/>
      </c>
      <c r="P110" s="31"/>
      <c r="Q110" s="34" t="str">
        <f t="shared" si="59"/>
        <v/>
      </c>
      <c r="R110" s="31"/>
      <c r="S110" s="34" t="str">
        <f t="shared" si="60"/>
        <v/>
      </c>
      <c r="T110" s="31"/>
      <c r="U110" s="34" t="str">
        <f t="shared" si="61"/>
        <v/>
      </c>
      <c r="V110" s="56"/>
      <c r="W110" s="34" t="str">
        <f t="shared" si="56"/>
        <v/>
      </c>
      <c r="X110" s="31"/>
      <c r="Y110" s="34" t="str">
        <f>IF((ISERROR((X110/$I110)*100)), "", IF(AND(NOT(ISERROR((X110/$I110)*100)),((X110/$I110)*100) &lt;&gt; 0), (X110/$I110)*100, ""))</f>
        <v/>
      </c>
      <c r="Z110" s="31"/>
      <c r="AA110" s="34" t="str">
        <f>IF((ISERROR((Z110/$I110)*100)), "", IF(AND(NOT(ISERROR((Z110/$I110)*100)),((Z110/$I110)*100) &lt;&gt; 0), (Z110/$I110)*100, ""))</f>
        <v/>
      </c>
      <c r="AB110" s="31"/>
      <c r="AC110" s="34" t="str">
        <f>IF((ISERROR((AB110/$I110)*100)), "", IF(AND(NOT(ISERROR((AB110/$I110)*100)),((AB110/$I110)*100) &lt;&gt; 0), (AB110/$I110)*100, ""))</f>
        <v/>
      </c>
      <c r="AD110" s="31"/>
      <c r="AE110" s="34" t="str">
        <f>IF((ISERROR((AD110/$I110)*100)), "", IF(AND(NOT(ISERROR((AD110/$I110)*100)),((AD110/$I110)*100) &lt;&gt; 0), (AD110/$I110)*100, ""))</f>
        <v/>
      </c>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row>
    <row r="111" spans="1:53" ht="20" customHeight="1" x14ac:dyDescent="0.2">
      <c r="A111" s="680"/>
      <c r="B111" s="721"/>
      <c r="C111" s="722"/>
      <c r="D111" s="722" t="s">
        <v>85</v>
      </c>
      <c r="E111" s="723" t="s">
        <v>681</v>
      </c>
      <c r="F111" s="723" t="s">
        <v>682</v>
      </c>
      <c r="G111" s="722">
        <v>2012</v>
      </c>
      <c r="H111" s="287"/>
      <c r="I111" s="65"/>
      <c r="J111" s="61" t="s">
        <v>213</v>
      </c>
      <c r="K111" s="62" t="s">
        <v>332</v>
      </c>
      <c r="L111" s="31"/>
      <c r="M111" s="34"/>
      <c r="N111" s="31"/>
      <c r="O111" s="34"/>
      <c r="P111" s="31"/>
      <c r="Q111" s="34"/>
      <c r="R111" s="31"/>
      <c r="S111" s="34"/>
      <c r="T111" s="31"/>
      <c r="U111" s="34"/>
      <c r="V111" s="56"/>
      <c r="W111" s="34"/>
      <c r="X111" s="31"/>
      <c r="Y111" s="34"/>
      <c r="Z111" s="31"/>
      <c r="AA111" s="34"/>
      <c r="AB111" s="31"/>
      <c r="AC111" s="34"/>
      <c r="AD111" s="31"/>
      <c r="AE111" s="34"/>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row>
    <row r="112" spans="1:53" ht="20" customHeight="1" x14ac:dyDescent="0.2">
      <c r="A112" s="678"/>
      <c r="B112" s="721"/>
      <c r="C112" s="722"/>
      <c r="D112" s="727" t="s">
        <v>35</v>
      </c>
      <c r="E112" s="728" t="s">
        <v>123</v>
      </c>
      <c r="F112" s="728" t="s">
        <v>124</v>
      </c>
      <c r="G112" s="727">
        <v>2007</v>
      </c>
      <c r="H112" s="729">
        <v>60</v>
      </c>
      <c r="I112" s="65"/>
      <c r="J112" s="61"/>
      <c r="K112" s="62"/>
      <c r="L112" s="31"/>
      <c r="M112" s="34" t="str">
        <f t="shared" si="57"/>
        <v/>
      </c>
      <c r="N112" s="31"/>
      <c r="O112" s="34" t="str">
        <f t="shared" si="58"/>
        <v/>
      </c>
      <c r="P112" s="31"/>
      <c r="Q112" s="34" t="str">
        <f t="shared" si="59"/>
        <v/>
      </c>
      <c r="R112" s="31"/>
      <c r="S112" s="34" t="str">
        <f t="shared" si="60"/>
        <v/>
      </c>
      <c r="T112" s="31"/>
      <c r="U112" s="34" t="str">
        <f t="shared" si="61"/>
        <v/>
      </c>
      <c r="V112" s="56"/>
      <c r="W112" s="34" t="str">
        <f t="shared" si="56"/>
        <v/>
      </c>
      <c r="X112" s="31"/>
      <c r="Y112" s="34" t="str">
        <f t="shared" si="62"/>
        <v/>
      </c>
      <c r="Z112" s="31"/>
      <c r="AA112" s="34" t="str">
        <f t="shared" si="63"/>
        <v/>
      </c>
      <c r="AB112" s="31"/>
      <c r="AC112" s="34" t="str">
        <f t="shared" si="64"/>
        <v/>
      </c>
      <c r="AD112" s="31"/>
      <c r="AE112" s="34" t="str">
        <f t="shared" si="65"/>
        <v/>
      </c>
      <c r="AF112" s="21" t="s">
        <v>386</v>
      </c>
      <c r="AG112" s="21"/>
      <c r="AH112" s="21"/>
      <c r="AI112" s="21"/>
      <c r="AJ112" s="21"/>
      <c r="AK112" s="21"/>
      <c r="AL112" s="21"/>
      <c r="AM112" s="21"/>
      <c r="AN112" s="21"/>
      <c r="AO112" s="21"/>
      <c r="AP112" s="21"/>
      <c r="AQ112" s="21"/>
      <c r="AR112" s="21"/>
      <c r="AS112" s="21"/>
      <c r="AT112" s="21"/>
      <c r="AU112" s="21"/>
      <c r="AV112" s="21"/>
      <c r="AW112" s="21"/>
      <c r="AX112" s="21"/>
      <c r="AY112" s="21"/>
      <c r="AZ112" s="21"/>
      <c r="BA112" s="21"/>
    </row>
    <row r="113" spans="1:53" ht="20" customHeight="1" x14ac:dyDescent="0.2">
      <c r="A113" s="678"/>
      <c r="B113" s="721"/>
      <c r="C113" s="722"/>
      <c r="D113" s="722" t="s">
        <v>85</v>
      </c>
      <c r="E113" s="723" t="s">
        <v>127</v>
      </c>
      <c r="F113" s="723" t="s">
        <v>128</v>
      </c>
      <c r="G113" s="722">
        <v>2000</v>
      </c>
      <c r="H113" s="287">
        <v>252</v>
      </c>
      <c r="I113" s="65">
        <v>30</v>
      </c>
      <c r="J113" s="61" t="s">
        <v>217</v>
      </c>
      <c r="K113" s="62" t="s">
        <v>168</v>
      </c>
      <c r="L113" s="31"/>
      <c r="M113" s="34" t="str">
        <f t="shared" si="57"/>
        <v/>
      </c>
      <c r="N113" s="31"/>
      <c r="O113" s="34" t="str">
        <f t="shared" si="58"/>
        <v/>
      </c>
      <c r="P113" s="31"/>
      <c r="Q113" s="34" t="str">
        <f t="shared" si="59"/>
        <v/>
      </c>
      <c r="R113" s="31"/>
      <c r="S113" s="34" t="str">
        <f t="shared" si="60"/>
        <v/>
      </c>
      <c r="T113" s="31"/>
      <c r="U113" s="34" t="str">
        <f t="shared" si="61"/>
        <v/>
      </c>
      <c r="V113" s="56"/>
      <c r="W113" s="34" t="str">
        <f t="shared" si="56"/>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IF((ISERROR((AD113/$I113)*100)), "", IF(AND(NOT(ISERROR((AD113/$I113)*100)),((AD113/$I113)*100) &lt;&gt; 0), (AD113/$I113)*100, ""))</f>
        <v/>
      </c>
      <c r="AF113" s="21" t="s">
        <v>418</v>
      </c>
      <c r="AG113" s="21"/>
      <c r="AH113" s="21"/>
      <c r="AI113" s="21"/>
      <c r="AJ113" s="21"/>
      <c r="AK113" s="21"/>
      <c r="AL113" s="21"/>
      <c r="AM113" s="21"/>
      <c r="AN113" s="21"/>
      <c r="AO113" s="21"/>
      <c r="AP113" s="21"/>
      <c r="AQ113" s="21"/>
      <c r="AR113" s="21"/>
      <c r="AS113" s="21"/>
      <c r="AT113" s="21"/>
      <c r="AU113" s="21"/>
      <c r="AV113" s="21"/>
      <c r="AW113" s="21"/>
      <c r="AX113" s="21"/>
      <c r="AY113" s="21"/>
      <c r="AZ113" s="21"/>
      <c r="BA113" s="21"/>
    </row>
    <row r="114" spans="1:53" ht="20" customHeight="1" x14ac:dyDescent="0.2">
      <c r="A114" s="680"/>
      <c r="B114" s="721"/>
      <c r="C114" s="722"/>
      <c r="D114" s="722" t="s">
        <v>85</v>
      </c>
      <c r="E114" s="723" t="s">
        <v>683</v>
      </c>
      <c r="F114" s="723" t="s">
        <v>684</v>
      </c>
      <c r="G114" s="722">
        <v>2004</v>
      </c>
      <c r="H114" s="287"/>
      <c r="I114" s="65"/>
      <c r="J114" s="61" t="s">
        <v>213</v>
      </c>
      <c r="K114" s="62" t="s">
        <v>192</v>
      </c>
      <c r="L114" s="31"/>
      <c r="M114" s="34"/>
      <c r="N114" s="31"/>
      <c r="O114" s="34"/>
      <c r="P114" s="31"/>
      <c r="Q114" s="34"/>
      <c r="R114" s="31"/>
      <c r="S114" s="34"/>
      <c r="T114" s="31"/>
      <c r="U114" s="34"/>
      <c r="V114" s="56"/>
      <c r="W114" s="34"/>
      <c r="X114" s="31"/>
      <c r="Y114" s="34"/>
      <c r="Z114" s="31"/>
      <c r="AA114" s="34"/>
      <c r="AB114" s="31"/>
      <c r="AC114" s="34"/>
      <c r="AD114" s="31"/>
      <c r="AE114" s="34"/>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row>
    <row r="115" spans="1:53" ht="20" customHeight="1" x14ac:dyDescent="0.2">
      <c r="A115" s="678"/>
      <c r="B115" s="725"/>
      <c r="C115" s="253"/>
      <c r="D115" s="722" t="s">
        <v>85</v>
      </c>
      <c r="E115" s="723" t="s">
        <v>568</v>
      </c>
      <c r="F115" s="723" t="s">
        <v>569</v>
      </c>
      <c r="G115" s="722">
        <v>2010</v>
      </c>
      <c r="H115" s="287"/>
      <c r="I115" s="65">
        <v>15</v>
      </c>
      <c r="J115" s="61" t="s">
        <v>184</v>
      </c>
      <c r="K115" s="62" t="s">
        <v>168</v>
      </c>
      <c r="L115" s="31"/>
      <c r="M115" s="34"/>
      <c r="N115" s="31"/>
      <c r="O115" s="34"/>
      <c r="P115" s="31"/>
      <c r="Q115" s="34"/>
      <c r="R115" s="31"/>
      <c r="S115" s="34"/>
      <c r="T115" s="31"/>
      <c r="U115" s="34"/>
      <c r="V115" s="56"/>
      <c r="W115" s="34"/>
      <c r="X115" s="31"/>
      <c r="Y115" s="34"/>
      <c r="Z115" s="31"/>
      <c r="AA115" s="34"/>
      <c r="AB115" s="31"/>
      <c r="AC115" s="34"/>
      <c r="AD115" s="31"/>
      <c r="AE115" s="34"/>
      <c r="AF115" s="21" t="s">
        <v>570</v>
      </c>
      <c r="AG115" s="21"/>
      <c r="AH115" s="21"/>
      <c r="AI115" s="21"/>
      <c r="AJ115" s="21"/>
      <c r="AK115" s="21"/>
      <c r="AL115" s="21"/>
      <c r="AM115" s="21"/>
      <c r="AN115" s="21"/>
      <c r="AO115" s="21"/>
      <c r="AP115" s="21"/>
      <c r="AQ115" s="21"/>
      <c r="AR115" s="21"/>
      <c r="AS115" s="21"/>
      <c r="AT115" s="21"/>
      <c r="AU115" s="21"/>
      <c r="AV115" s="21"/>
      <c r="AW115" s="21"/>
      <c r="AX115" s="21"/>
      <c r="AY115" s="21"/>
      <c r="AZ115" s="21"/>
      <c r="BA115" s="21"/>
    </row>
    <row r="116" spans="1:53" ht="20" customHeight="1" x14ac:dyDescent="0.2">
      <c r="A116" s="678"/>
      <c r="B116" s="725"/>
      <c r="C116" s="255"/>
      <c r="D116" s="722" t="s">
        <v>85</v>
      </c>
      <c r="E116" s="723" t="s">
        <v>131</v>
      </c>
      <c r="F116" s="723" t="s">
        <v>132</v>
      </c>
      <c r="G116" s="722">
        <v>1998</v>
      </c>
      <c r="H116" s="287">
        <v>213</v>
      </c>
      <c r="I116" s="65">
        <v>6</v>
      </c>
      <c r="J116" s="61" t="s">
        <v>175</v>
      </c>
      <c r="K116" s="62"/>
      <c r="L116" s="31"/>
      <c r="M116" s="34" t="str">
        <f t="shared" si="57"/>
        <v/>
      </c>
      <c r="N116" s="36">
        <v>4</v>
      </c>
      <c r="O116" s="37">
        <f t="shared" si="58"/>
        <v>66.666666666666657</v>
      </c>
      <c r="P116" s="31"/>
      <c r="Q116" s="34" t="str">
        <f t="shared" si="59"/>
        <v/>
      </c>
      <c r="R116" s="31"/>
      <c r="S116" s="34" t="str">
        <f t="shared" si="60"/>
        <v/>
      </c>
      <c r="T116" s="31"/>
      <c r="U116" s="34" t="str">
        <f t="shared" si="61"/>
        <v/>
      </c>
      <c r="V116" s="56"/>
      <c r="W116" s="34" t="str">
        <f t="shared" si="56"/>
        <v/>
      </c>
      <c r="X116" s="31"/>
      <c r="Y116" s="34" t="str">
        <f t="shared" ref="Y116:Y123" si="66">IF((ISERROR((X116/$I116)*100)), "", IF(AND(NOT(ISERROR((X116/$I116)*100)),((X116/$I116)*100) &lt;&gt; 0), (X116/$I116)*100, ""))</f>
        <v/>
      </c>
      <c r="Z116" s="31"/>
      <c r="AA116" s="34" t="str">
        <f t="shared" ref="AA116:AA123" si="67">IF((ISERROR((Z116/$I116)*100)), "", IF(AND(NOT(ISERROR((Z116/$I116)*100)),((Z116/$I116)*100) &lt;&gt; 0), (Z116/$I116)*100, ""))</f>
        <v/>
      </c>
      <c r="AB116" s="31"/>
      <c r="AC116" s="34" t="str">
        <f t="shared" ref="AC116:AC123" si="68">IF((ISERROR((AB116/$I116)*100)), "", IF(AND(NOT(ISERROR((AB116/$I116)*100)),((AB116/$I116)*100) &lt;&gt; 0), (AB116/$I116)*100, ""))</f>
        <v/>
      </c>
      <c r="AD116" s="31"/>
      <c r="AE116" s="34" t="str">
        <f t="shared" ref="AE116:AE123" si="69">IF((ISERROR((AD116/$I116)*100)), "", IF(AND(NOT(ISERROR((AD116/$I116)*100)),((AD116/$I116)*100) &lt;&gt; 0), (AD116/$I116)*100, ""))</f>
        <v/>
      </c>
      <c r="AF116" s="21" t="s">
        <v>218</v>
      </c>
      <c r="AG116" s="21"/>
      <c r="AH116" s="21"/>
      <c r="AI116" s="21"/>
      <c r="AJ116" s="21"/>
      <c r="AK116" s="21"/>
      <c r="AL116" s="21"/>
      <c r="AM116" s="21"/>
      <c r="AN116" s="21"/>
      <c r="AO116" s="21"/>
      <c r="AP116" s="21"/>
      <c r="AQ116" s="21"/>
      <c r="AR116" s="21"/>
      <c r="AS116" s="21"/>
      <c r="AT116" s="21"/>
      <c r="AU116" s="21"/>
      <c r="AV116" s="21"/>
      <c r="AW116" s="21"/>
      <c r="AX116" s="21"/>
      <c r="AY116" s="21"/>
      <c r="AZ116" s="21"/>
      <c r="BA116" s="21"/>
    </row>
    <row r="117" spans="1:53" ht="20" customHeight="1" x14ac:dyDescent="0.2">
      <c r="A117" s="678"/>
      <c r="B117" s="725"/>
      <c r="C117" s="255"/>
      <c r="D117" s="722" t="s">
        <v>85</v>
      </c>
      <c r="E117" s="723" t="s">
        <v>133</v>
      </c>
      <c r="F117" s="723" t="s">
        <v>134</v>
      </c>
      <c r="G117" s="722">
        <v>2001</v>
      </c>
      <c r="H117" s="287">
        <v>192</v>
      </c>
      <c r="I117" s="65">
        <v>19</v>
      </c>
      <c r="J117" s="61" t="s">
        <v>175</v>
      </c>
      <c r="K117" s="62" t="s">
        <v>168</v>
      </c>
      <c r="L117" s="31"/>
      <c r="M117" s="34" t="str">
        <f t="shared" si="57"/>
        <v/>
      </c>
      <c r="N117" s="36">
        <v>1</v>
      </c>
      <c r="O117" s="37">
        <f t="shared" si="58"/>
        <v>5.2631578947368416</v>
      </c>
      <c r="P117" s="31"/>
      <c r="Q117" s="34" t="str">
        <f t="shared" si="59"/>
        <v/>
      </c>
      <c r="R117" s="31"/>
      <c r="S117" s="34" t="str">
        <f t="shared" si="60"/>
        <v/>
      </c>
      <c r="T117" s="31"/>
      <c r="U117" s="34" t="str">
        <f t="shared" si="61"/>
        <v/>
      </c>
      <c r="V117" s="56"/>
      <c r="W117" s="34" t="str">
        <f t="shared" si="56"/>
        <v/>
      </c>
      <c r="X117" s="31"/>
      <c r="Y117" s="34" t="str">
        <f>IF((ISERROR((X117/$I117)*100)), "", IF(AND(NOT(ISERROR((X117/$I117)*100)),((X117/$I117)*100) &lt;&gt; 0), (X117/$I117)*100, ""))</f>
        <v/>
      </c>
      <c r="Z117" s="31"/>
      <c r="AA117" s="34" t="str">
        <f>IF((ISERROR((Z117/$I117)*100)), "", IF(AND(NOT(ISERROR((Z117/$I117)*100)),((Z117/$I117)*100) &lt;&gt; 0), (Z117/$I117)*100, ""))</f>
        <v/>
      </c>
      <c r="AB117" s="31"/>
      <c r="AC117" s="34" t="str">
        <f>IF((ISERROR((AB117/$I117)*100)), "", IF(AND(NOT(ISERROR((AB117/$I117)*100)),((AB117/$I117)*100) &lt;&gt; 0), (AB117/$I117)*100, ""))</f>
        <v/>
      </c>
      <c r="AD117" s="31"/>
      <c r="AE117" s="34" t="str">
        <f>IF((ISERROR((AD117/$I117)*100)), "", IF(AND(NOT(ISERROR((AD117/$I117)*100)),((AD117/$I117)*100) &lt;&gt; 0), (AD117/$I117)*100, ""))</f>
        <v/>
      </c>
      <c r="AF117" s="21" t="s">
        <v>387</v>
      </c>
      <c r="AG117" s="21"/>
      <c r="AH117" s="21"/>
      <c r="AI117" s="21"/>
      <c r="AJ117" s="21"/>
      <c r="AK117" s="21"/>
      <c r="AL117" s="21"/>
      <c r="AM117" s="21"/>
      <c r="AN117" s="21"/>
      <c r="AO117" s="21"/>
      <c r="AP117" s="21"/>
      <c r="AQ117" s="21"/>
      <c r="AR117" s="21"/>
      <c r="AS117" s="21"/>
      <c r="AT117" s="21"/>
      <c r="AU117" s="21"/>
      <c r="AV117" s="21"/>
      <c r="AW117" s="21"/>
      <c r="AX117" s="21"/>
      <c r="AY117" s="21"/>
      <c r="AZ117" s="21"/>
      <c r="BA117" s="21"/>
    </row>
    <row r="118" spans="1:53" ht="20" customHeight="1" x14ac:dyDescent="0.2">
      <c r="A118" s="680"/>
      <c r="B118" s="721"/>
      <c r="C118" s="722"/>
      <c r="D118" s="722" t="s">
        <v>85</v>
      </c>
      <c r="E118" s="723" t="s">
        <v>685</v>
      </c>
      <c r="F118" s="723" t="s">
        <v>686</v>
      </c>
      <c r="G118" s="722">
        <v>2003</v>
      </c>
      <c r="H118" s="287"/>
      <c r="I118" s="65"/>
      <c r="J118" s="61" t="s">
        <v>175</v>
      </c>
      <c r="K118" s="62" t="s">
        <v>168</v>
      </c>
      <c r="L118" s="31"/>
      <c r="M118" s="34"/>
      <c r="N118" s="31"/>
      <c r="O118" s="34"/>
      <c r="P118" s="31"/>
      <c r="Q118" s="34"/>
      <c r="R118" s="31"/>
      <c r="S118" s="34"/>
      <c r="T118" s="31"/>
      <c r="U118" s="34"/>
      <c r="V118" s="56"/>
      <c r="W118" s="34"/>
      <c r="X118" s="31"/>
      <c r="Y118" s="34"/>
      <c r="Z118" s="31"/>
      <c r="AA118" s="34"/>
      <c r="AB118" s="31"/>
      <c r="AC118" s="34"/>
      <c r="AD118" s="31"/>
      <c r="AE118" s="34"/>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row>
    <row r="119" spans="1:53" ht="20" customHeight="1" x14ac:dyDescent="0.2">
      <c r="A119" s="680"/>
      <c r="B119" s="721"/>
      <c r="C119" s="722"/>
      <c r="D119" s="722" t="s">
        <v>85</v>
      </c>
      <c r="E119" s="723" t="s">
        <v>687</v>
      </c>
      <c r="F119" s="723" t="s">
        <v>688</v>
      </c>
      <c r="G119" s="722">
        <v>2006</v>
      </c>
      <c r="H119" s="287"/>
      <c r="I119" s="65"/>
      <c r="J119" s="61" t="s">
        <v>664</v>
      </c>
      <c r="K119" s="62" t="s">
        <v>189</v>
      </c>
      <c r="L119" s="31"/>
      <c r="M119" s="34"/>
      <c r="N119" s="31"/>
      <c r="O119" s="34"/>
      <c r="P119" s="31"/>
      <c r="Q119" s="34"/>
      <c r="R119" s="31"/>
      <c r="S119" s="34"/>
      <c r="T119" s="31"/>
      <c r="U119" s="34"/>
      <c r="V119" s="56"/>
      <c r="W119" s="34"/>
      <c r="X119" s="31"/>
      <c r="Y119" s="34"/>
      <c r="Z119" s="31"/>
      <c r="AA119" s="34"/>
      <c r="AB119" s="31"/>
      <c r="AC119" s="34"/>
      <c r="AD119" s="31"/>
      <c r="AE119" s="34"/>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row>
    <row r="120" spans="1:53" ht="20" customHeight="1" x14ac:dyDescent="0.2">
      <c r="A120" s="680"/>
      <c r="B120" s="721"/>
      <c r="C120" s="722"/>
      <c r="D120" s="722" t="s">
        <v>85</v>
      </c>
      <c r="E120" s="723" t="s">
        <v>689</v>
      </c>
      <c r="F120" s="723" t="s">
        <v>690</v>
      </c>
      <c r="G120" s="722">
        <v>2003</v>
      </c>
      <c r="H120" s="287"/>
      <c r="I120" s="65"/>
      <c r="J120" s="61"/>
      <c r="K120" s="62"/>
      <c r="L120" s="31"/>
      <c r="M120" s="34"/>
      <c r="N120" s="31"/>
      <c r="O120" s="34"/>
      <c r="P120" s="31"/>
      <c r="Q120" s="34"/>
      <c r="R120" s="31"/>
      <c r="S120" s="34"/>
      <c r="T120" s="31"/>
      <c r="U120" s="34"/>
      <c r="V120" s="56"/>
      <c r="W120" s="34"/>
      <c r="X120" s="31"/>
      <c r="Y120" s="34"/>
      <c r="Z120" s="31"/>
      <c r="AA120" s="34"/>
      <c r="AB120" s="31"/>
      <c r="AC120" s="34"/>
      <c r="AD120" s="31"/>
      <c r="AE120" s="34"/>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row>
    <row r="121" spans="1:53" ht="20" customHeight="1" x14ac:dyDescent="0.2">
      <c r="A121" s="678"/>
      <c r="B121" s="721"/>
      <c r="C121" s="255"/>
      <c r="D121" s="722"/>
      <c r="E121" s="723" t="s">
        <v>151</v>
      </c>
      <c r="F121" s="723" t="s">
        <v>419</v>
      </c>
      <c r="G121" s="722">
        <v>1999</v>
      </c>
      <c r="H121" s="287"/>
      <c r="I121" s="65">
        <v>30</v>
      </c>
      <c r="J121" s="61" t="s">
        <v>420</v>
      </c>
      <c r="K121" s="62" t="s">
        <v>219</v>
      </c>
      <c r="L121" s="31"/>
      <c r="M121" s="34"/>
      <c r="N121" s="31"/>
      <c r="O121" s="34"/>
      <c r="P121" s="31"/>
      <c r="Q121" s="34"/>
      <c r="R121" s="31"/>
      <c r="S121" s="34"/>
      <c r="T121" s="31"/>
      <c r="U121" s="34"/>
      <c r="V121" s="56"/>
      <c r="W121" s="34"/>
      <c r="X121" s="31"/>
      <c r="Y121" s="34"/>
      <c r="Z121" s="31"/>
      <c r="AA121" s="34"/>
      <c r="AB121" s="31"/>
      <c r="AC121" s="34"/>
      <c r="AD121" s="31"/>
      <c r="AE121" s="34"/>
      <c r="AF121" s="21" t="s">
        <v>388</v>
      </c>
      <c r="AG121" s="21"/>
      <c r="AH121" s="21"/>
      <c r="AI121" s="21"/>
      <c r="AJ121" s="21"/>
      <c r="AK121" s="21"/>
      <c r="AL121" s="21"/>
      <c r="AM121" s="21"/>
      <c r="AN121" s="21"/>
      <c r="AO121" s="21"/>
      <c r="AP121" s="21"/>
      <c r="AQ121" s="21"/>
      <c r="AR121" s="21"/>
      <c r="AS121" s="21"/>
      <c r="AT121" s="21"/>
      <c r="AU121" s="21"/>
      <c r="AV121" s="21"/>
      <c r="AW121" s="21"/>
      <c r="AX121" s="21"/>
      <c r="AY121" s="21"/>
      <c r="AZ121" s="21"/>
      <c r="BA121" s="21"/>
    </row>
    <row r="122" spans="1:53" ht="20" customHeight="1" x14ac:dyDescent="0.2">
      <c r="A122" s="678"/>
      <c r="B122" s="725"/>
      <c r="C122" s="255"/>
      <c r="D122" s="722" t="s">
        <v>85</v>
      </c>
      <c r="E122" s="723" t="s">
        <v>135</v>
      </c>
      <c r="F122" s="723" t="s">
        <v>136</v>
      </c>
      <c r="G122" s="722">
        <v>2007</v>
      </c>
      <c r="H122" s="287">
        <v>240</v>
      </c>
      <c r="I122" s="65">
        <v>53</v>
      </c>
      <c r="J122" s="61" t="s">
        <v>220</v>
      </c>
      <c r="K122" s="62" t="s">
        <v>168</v>
      </c>
      <c r="L122" s="31">
        <v>1</v>
      </c>
      <c r="M122" s="34">
        <f t="shared" ref="M122:M134" si="70">IF((ISERROR((L122/$I122)*100)), "", IF(AND(NOT(ISERROR((L122/$I122)*100)),((L122/$I122)*100) &lt;&gt; 0), (L122/$I122)*100, ""))</f>
        <v>1.8867924528301887</v>
      </c>
      <c r="N122" s="31"/>
      <c r="O122" s="34" t="str">
        <f t="shared" ref="O122:O134" si="71">IF((ISERROR((N122/$I122)*100)), "", IF(AND(NOT(ISERROR((N122/$I122)*100)),((N122/$I122)*100) &lt;&gt; 0), (N122/$I122)*100, ""))</f>
        <v/>
      </c>
      <c r="P122" s="31"/>
      <c r="Q122" s="34" t="str">
        <f t="shared" ref="Q122:Q134" si="72">IF((ISERROR((P122/$I122)*100)), "", IF(AND(NOT(ISERROR((P122/$I122)*100)),((P122/$I122)*100) &lt;&gt; 0), (P122/$I122)*100, ""))</f>
        <v/>
      </c>
      <c r="R122" s="31"/>
      <c r="S122" s="34" t="str">
        <f t="shared" ref="S122:S134" si="73">IF((ISERROR((R122/$I122)*100)), "", IF(AND(NOT(ISERROR((R122/$I122)*100)),((R122/$I122)*100) &lt;&gt; 0), (R122/$I122)*100, ""))</f>
        <v/>
      </c>
      <c r="T122" s="31"/>
      <c r="U122" s="34" t="str">
        <f t="shared" ref="U122:U134" si="74">IF((ISERROR((T122/$I122)*100)), "", IF(AND(NOT(ISERROR((T122/$I122)*100)),((T122/$I122)*100) &lt;&gt; 0), (T122/$I122)*100, ""))</f>
        <v/>
      </c>
      <c r="V122" s="56">
        <v>7</v>
      </c>
      <c r="W122" s="34">
        <f t="shared" ref="W122:W134" si="75">IF((ISERROR((V122/$I122)*100)), "", IF(AND(NOT(ISERROR((V122/$I122)*100)),((V122/$I122)*100) &lt;&gt; 0), (V122/$I122)*100, ""))</f>
        <v>13.20754716981132</v>
      </c>
      <c r="X122" s="31"/>
      <c r="Y122" s="34" t="str">
        <f>IF((ISERROR((X122/$I122)*100)), "", IF(AND(NOT(ISERROR((X122/$I122)*100)),((X122/$I122)*100) &lt;&gt; 0), (X122/$I122)*100, ""))</f>
        <v/>
      </c>
      <c r="Z122" s="31"/>
      <c r="AA122" s="34" t="str">
        <f>IF((ISERROR((Z122/$I122)*100)), "", IF(AND(NOT(ISERROR((Z122/$I122)*100)),((Z122/$I122)*100) &lt;&gt; 0), (Z122/$I122)*100, ""))</f>
        <v/>
      </c>
      <c r="AB122" s="31"/>
      <c r="AC122" s="34" t="str">
        <f>IF((ISERROR((AB122/$I122)*100)), "", IF(AND(NOT(ISERROR((AB122/$I122)*100)),((AB122/$I122)*100) &lt;&gt; 0), (AB122/$I122)*100, ""))</f>
        <v/>
      </c>
      <c r="AD122" s="31"/>
      <c r="AE122" s="34" t="str">
        <f>IF((ISERROR((AD122/$I122)*100)), "", IF(AND(NOT(ISERROR((AD122/$I122)*100)),((AD122/$I122)*100) &lt;&gt; 0), (AD122/$I122)*100, ""))</f>
        <v/>
      </c>
      <c r="AF122" s="21" t="s">
        <v>586</v>
      </c>
      <c r="AG122" s="21"/>
      <c r="AH122" s="21"/>
      <c r="AI122" s="21"/>
      <c r="AJ122" s="21"/>
      <c r="AK122" s="21"/>
      <c r="AL122" s="21"/>
      <c r="AM122" s="21"/>
      <c r="AN122" s="21"/>
      <c r="AO122" s="21"/>
      <c r="AP122" s="21"/>
      <c r="AQ122" s="21"/>
      <c r="AR122" s="21"/>
      <c r="AS122" s="21"/>
      <c r="AT122" s="21"/>
      <c r="AU122" s="21"/>
      <c r="AV122" s="21"/>
      <c r="AW122" s="21"/>
      <c r="AX122" s="21"/>
      <c r="AY122" s="21"/>
      <c r="AZ122" s="21"/>
      <c r="BA122" s="21"/>
    </row>
    <row r="123" spans="1:53" ht="20" customHeight="1" x14ac:dyDescent="0.2">
      <c r="A123" s="678"/>
      <c r="B123" s="725"/>
      <c r="C123" s="255"/>
      <c r="D123" s="722" t="s">
        <v>85</v>
      </c>
      <c r="E123" s="723" t="s">
        <v>137</v>
      </c>
      <c r="F123" s="723" t="s">
        <v>138</v>
      </c>
      <c r="G123" s="722">
        <v>2011</v>
      </c>
      <c r="H123" s="287">
        <v>42</v>
      </c>
      <c r="I123" s="65">
        <v>51</v>
      </c>
      <c r="J123" s="61" t="s">
        <v>221</v>
      </c>
      <c r="K123" s="62" t="s">
        <v>222</v>
      </c>
      <c r="L123" s="31"/>
      <c r="M123" s="34" t="str">
        <f t="shared" si="70"/>
        <v/>
      </c>
      <c r="N123" s="31"/>
      <c r="O123" s="34" t="str">
        <f t="shared" si="71"/>
        <v/>
      </c>
      <c r="P123" s="31"/>
      <c r="Q123" s="34" t="str">
        <f t="shared" si="72"/>
        <v/>
      </c>
      <c r="R123" s="31"/>
      <c r="S123" s="34" t="str">
        <f t="shared" si="73"/>
        <v/>
      </c>
      <c r="T123" s="31"/>
      <c r="U123" s="34" t="str">
        <f t="shared" si="74"/>
        <v/>
      </c>
      <c r="V123" s="38">
        <v>4</v>
      </c>
      <c r="W123" s="37">
        <f t="shared" si="75"/>
        <v>7.8431372549019605</v>
      </c>
      <c r="X123" s="31"/>
      <c r="Y123" s="34" t="str">
        <f t="shared" si="66"/>
        <v/>
      </c>
      <c r="Z123" s="31"/>
      <c r="AA123" s="34" t="str">
        <f t="shared" si="67"/>
        <v/>
      </c>
      <c r="AB123" s="31"/>
      <c r="AC123" s="34" t="str">
        <f t="shared" si="68"/>
        <v/>
      </c>
      <c r="AD123" s="36" t="s">
        <v>223</v>
      </c>
      <c r="AE123" s="37" t="str">
        <f t="shared" si="69"/>
        <v/>
      </c>
      <c r="AF123" s="21" t="s">
        <v>389</v>
      </c>
      <c r="AG123" s="21"/>
      <c r="AH123" s="21"/>
      <c r="AI123" s="21"/>
      <c r="AJ123" s="21"/>
      <c r="AK123" s="21"/>
      <c r="AL123" s="21"/>
      <c r="AM123" s="21"/>
      <c r="AN123" s="21"/>
      <c r="AO123" s="21"/>
      <c r="AP123" s="21"/>
      <c r="AQ123" s="21"/>
      <c r="AR123" s="21"/>
      <c r="AS123" s="21"/>
      <c r="AT123" s="21"/>
      <c r="AU123" s="21"/>
      <c r="AV123" s="21"/>
      <c r="AW123" s="21"/>
      <c r="AX123" s="21"/>
      <c r="AY123" s="21"/>
      <c r="AZ123" s="21"/>
      <c r="BA123" s="21"/>
    </row>
    <row r="124" spans="1:53" ht="20" customHeight="1" x14ac:dyDescent="0.2">
      <c r="A124" s="678"/>
      <c r="B124" s="725"/>
      <c r="C124" s="255"/>
      <c r="D124" s="722" t="s">
        <v>85</v>
      </c>
      <c r="E124" s="723" t="s">
        <v>310</v>
      </c>
      <c r="F124" s="723" t="s">
        <v>311</v>
      </c>
      <c r="G124" s="722">
        <v>2010</v>
      </c>
      <c r="H124" s="287"/>
      <c r="I124" s="65">
        <v>53</v>
      </c>
      <c r="J124" s="78" t="s">
        <v>366</v>
      </c>
      <c r="K124" s="62" t="s">
        <v>405</v>
      </c>
      <c r="L124" s="31"/>
      <c r="M124" s="34" t="str">
        <f t="shared" si="70"/>
        <v/>
      </c>
      <c r="N124" s="31"/>
      <c r="O124" s="34" t="str">
        <f t="shared" si="71"/>
        <v/>
      </c>
      <c r="P124" s="31"/>
      <c r="Q124" s="34" t="str">
        <f t="shared" si="72"/>
        <v/>
      </c>
      <c r="R124" s="31"/>
      <c r="S124" s="34" t="str">
        <f t="shared" si="73"/>
        <v/>
      </c>
      <c r="T124" s="31">
        <v>15</v>
      </c>
      <c r="U124" s="34">
        <f t="shared" si="74"/>
        <v>28.30188679245283</v>
      </c>
      <c r="V124" s="56">
        <v>15</v>
      </c>
      <c r="W124" s="34">
        <f t="shared" si="75"/>
        <v>28.30188679245283</v>
      </c>
      <c r="X124" s="31"/>
      <c r="Y124" s="34" t="str">
        <f>IF((ISERROR((X124/$I124)*100)), "", IF(AND(NOT(ISERROR((X124/$I124)*100)),((X124/$I124)*100) &lt;&gt; 0), (X124/$I124)*100, ""))</f>
        <v/>
      </c>
      <c r="Z124" s="31"/>
      <c r="AA124" s="34" t="str">
        <f>IF((ISERROR((Z124/$I124)*100)), "", IF(AND(NOT(ISERROR((Z124/$I124)*100)),((Z124/$I124)*100) &lt;&gt; 0), (Z124/$I124)*100, ""))</f>
        <v/>
      </c>
      <c r="AB124" s="31"/>
      <c r="AC124" s="34" t="str">
        <f>IF((ISERROR((AB124/$I124)*100)), "", IF(AND(NOT(ISERROR((AB124/$I124)*100)),((AB124/$I124)*100) &lt;&gt; 0), (AB124/$I124)*100, ""))</f>
        <v/>
      </c>
      <c r="AD124" s="31"/>
      <c r="AE124" s="34" t="str">
        <f>IF((ISERROR((AD124/$I124)*100)), "", IF(AND(NOT(ISERROR((AD124/$I124)*100)),((AD124/$I124)*100) &lt;&gt; 0), (AD124/$I124)*100, ""))</f>
        <v/>
      </c>
      <c r="AF124" s="21" t="s">
        <v>367</v>
      </c>
      <c r="AG124" s="21"/>
      <c r="AH124" s="21"/>
      <c r="AI124" s="21"/>
      <c r="AJ124" s="21"/>
      <c r="AK124" s="21"/>
      <c r="AL124" s="21"/>
      <c r="AM124" s="21"/>
      <c r="AN124" s="21"/>
      <c r="AO124" s="21"/>
      <c r="AP124" s="21"/>
      <c r="AQ124" s="21"/>
      <c r="AR124" s="21"/>
      <c r="AS124" s="21"/>
      <c r="AT124" s="21"/>
      <c r="AU124" s="21"/>
      <c r="AV124" s="21"/>
      <c r="AW124" s="21"/>
      <c r="AX124" s="21"/>
      <c r="AY124" s="21"/>
      <c r="AZ124" s="21"/>
      <c r="BA124" s="21"/>
    </row>
    <row r="125" spans="1:53" ht="20" customHeight="1" x14ac:dyDescent="0.2">
      <c r="A125" s="678"/>
      <c r="B125" s="725"/>
      <c r="C125" s="255"/>
      <c r="D125" s="722" t="s">
        <v>85</v>
      </c>
      <c r="E125" s="723" t="s">
        <v>312</v>
      </c>
      <c r="F125" s="723" t="s">
        <v>313</v>
      </c>
      <c r="G125" s="722">
        <v>2014</v>
      </c>
      <c r="H125" s="287"/>
      <c r="I125" s="65">
        <v>39</v>
      </c>
      <c r="J125" s="61" t="s">
        <v>210</v>
      </c>
      <c r="K125" s="62" t="s">
        <v>368</v>
      </c>
      <c r="L125" s="31"/>
      <c r="M125" s="34" t="str">
        <f t="shared" si="70"/>
        <v/>
      </c>
      <c r="N125" s="31"/>
      <c r="O125" s="34" t="str">
        <f t="shared" si="71"/>
        <v/>
      </c>
      <c r="P125" s="31"/>
      <c r="Q125" s="34" t="str">
        <f t="shared" si="72"/>
        <v/>
      </c>
      <c r="R125" s="31"/>
      <c r="S125" s="34" t="str">
        <f t="shared" si="73"/>
        <v/>
      </c>
      <c r="T125" s="31">
        <v>1</v>
      </c>
      <c r="U125" s="34">
        <f t="shared" si="74"/>
        <v>2.5641025641025639</v>
      </c>
      <c r="V125" s="56">
        <v>6</v>
      </c>
      <c r="W125" s="34">
        <f t="shared" si="75"/>
        <v>15.384615384615385</v>
      </c>
      <c r="X125" s="31">
        <v>2</v>
      </c>
      <c r="Y125" s="34">
        <f>IF((ISERROR((X125/$I125)*100)), "", IF(AND(NOT(ISERROR((X125/$I125)*100)),((X125/$I125)*100) &lt;&gt; 0), (X125/$I125)*100, ""))</f>
        <v>5.1282051282051277</v>
      </c>
      <c r="Z125" s="31"/>
      <c r="AA125" s="34" t="str">
        <f>IF((ISERROR((Z125/$I125)*100)), "", IF(AND(NOT(ISERROR((Z125/$I125)*100)),((Z125/$I125)*100) &lt;&gt; 0), (Z125/$I125)*100, ""))</f>
        <v/>
      </c>
      <c r="AB125" s="31"/>
      <c r="AC125" s="34"/>
      <c r="AD125" s="31"/>
      <c r="AE125" s="34" t="str">
        <f>IF((ISERROR((AD125/$I125)*100)), "", IF(AND(NOT(ISERROR((AD125/$I125)*100)),((AD125/$I125)*100) &lt;&gt; 0), (AD125/$I125)*100, ""))</f>
        <v/>
      </c>
      <c r="AF125" s="21" t="s">
        <v>406</v>
      </c>
      <c r="AG125" s="21"/>
      <c r="AH125" s="21"/>
      <c r="AI125" s="21"/>
      <c r="AJ125" s="21"/>
      <c r="AK125" s="21"/>
      <c r="AL125" s="21"/>
      <c r="AM125" s="21"/>
      <c r="AN125" s="21"/>
      <c r="AO125" s="21"/>
      <c r="AP125" s="21"/>
      <c r="AQ125" s="21"/>
      <c r="AR125" s="21"/>
      <c r="AS125" s="21"/>
      <c r="AT125" s="21"/>
      <c r="AU125" s="21"/>
      <c r="AV125" s="21"/>
      <c r="AW125" s="21"/>
      <c r="AX125" s="21"/>
      <c r="AY125" s="21"/>
      <c r="AZ125" s="21"/>
      <c r="BA125" s="21"/>
    </row>
    <row r="126" spans="1:53" ht="20" customHeight="1" x14ac:dyDescent="0.2">
      <c r="A126" s="678"/>
      <c r="B126" s="725"/>
      <c r="C126" s="255"/>
      <c r="D126" s="722" t="s">
        <v>85</v>
      </c>
      <c r="E126" s="723" t="s">
        <v>314</v>
      </c>
      <c r="F126" s="723" t="s">
        <v>315</v>
      </c>
      <c r="G126" s="722">
        <v>2010</v>
      </c>
      <c r="H126" s="287"/>
      <c r="I126" s="65">
        <v>789</v>
      </c>
      <c r="J126" s="61" t="s">
        <v>210</v>
      </c>
      <c r="K126" s="62" t="s">
        <v>370</v>
      </c>
      <c r="L126" s="31"/>
      <c r="M126" s="34" t="str">
        <f t="shared" si="70"/>
        <v/>
      </c>
      <c r="N126" s="31"/>
      <c r="O126" s="34" t="str">
        <f t="shared" si="71"/>
        <v/>
      </c>
      <c r="P126" s="31"/>
      <c r="Q126" s="34" t="str">
        <f t="shared" si="72"/>
        <v/>
      </c>
      <c r="R126" s="31"/>
      <c r="S126" s="34" t="str">
        <f t="shared" si="73"/>
        <v/>
      </c>
      <c r="T126" s="31"/>
      <c r="U126" s="34" t="str">
        <f t="shared" si="74"/>
        <v/>
      </c>
      <c r="V126" s="56"/>
      <c r="W126" s="34" t="str">
        <f t="shared" si="75"/>
        <v/>
      </c>
      <c r="X126" s="31"/>
      <c r="Y126" s="34" t="str">
        <f>IF((ISERROR((X126/$I126)*100)), "", IF(AND(NOT(ISERROR((X126/$I126)*100)),((X126/$I126)*100) &lt;&gt; 0), (X126/$I126)*100, ""))</f>
        <v/>
      </c>
      <c r="Z126" s="31"/>
      <c r="AA126" s="34" t="str">
        <f>IF((ISERROR((Z126/$I126)*100)), "", IF(AND(NOT(ISERROR((Z126/$I126)*100)),((Z126/$I126)*100) &lt;&gt; 0), (Z126/$I126)*100, ""))</f>
        <v/>
      </c>
      <c r="AB126" s="31"/>
      <c r="AC126" s="34" t="str">
        <f>IF((ISERROR((AB126/$I126)*100)), "", IF(AND(NOT(ISERROR((AB126/$I126)*100)),((AB126/$I126)*100) &lt;&gt; 0), (AB126/$I126)*100, ""))</f>
        <v/>
      </c>
      <c r="AD126" s="31"/>
      <c r="AE126" s="34" t="str">
        <f>IF((ISERROR((AD126/$I126)*100)), "", IF(AND(NOT(ISERROR((AD126/$I126)*100)),((AD126/$I126)*100) &lt;&gt; 0), (AD126/$I126)*100, ""))</f>
        <v/>
      </c>
      <c r="AF126" s="21" t="s">
        <v>369</v>
      </c>
      <c r="AG126" s="21"/>
      <c r="AH126" s="21"/>
      <c r="AI126" s="21"/>
      <c r="AJ126" s="21"/>
      <c r="AK126" s="21"/>
      <c r="AL126" s="21"/>
      <c r="AM126" s="21"/>
      <c r="AN126" s="21"/>
      <c r="AO126" s="21"/>
      <c r="AP126" s="21"/>
      <c r="AQ126" s="21"/>
      <c r="AR126" s="21"/>
      <c r="AS126" s="21"/>
      <c r="AT126" s="21"/>
      <c r="AU126" s="21"/>
      <c r="AV126" s="21"/>
      <c r="AW126" s="21"/>
      <c r="AX126" s="21"/>
      <c r="AY126" s="21"/>
      <c r="AZ126" s="21"/>
      <c r="BA126" s="21"/>
    </row>
    <row r="127" spans="1:53" ht="20" customHeight="1" x14ac:dyDescent="0.2">
      <c r="A127" s="680"/>
      <c r="B127" s="721"/>
      <c r="C127" s="722"/>
      <c r="D127" s="722" t="s">
        <v>85</v>
      </c>
      <c r="E127" s="723" t="s">
        <v>694</v>
      </c>
      <c r="F127" s="723" t="s">
        <v>695</v>
      </c>
      <c r="G127" s="722">
        <v>2007</v>
      </c>
      <c r="H127" s="287"/>
      <c r="I127" s="65">
        <v>171</v>
      </c>
      <c r="J127" s="61"/>
      <c r="K127" s="62" t="s">
        <v>209</v>
      </c>
      <c r="L127" s="31"/>
      <c r="M127" s="34"/>
      <c r="N127" s="31"/>
      <c r="O127" s="34"/>
      <c r="P127" s="31"/>
      <c r="Q127" s="34"/>
      <c r="R127" s="31"/>
      <c r="S127" s="34"/>
      <c r="T127" s="31"/>
      <c r="U127" s="34"/>
      <c r="V127" s="56"/>
      <c r="W127" s="34"/>
      <c r="X127" s="31"/>
      <c r="Y127" s="34"/>
      <c r="Z127" s="31"/>
      <c r="AA127" s="34"/>
      <c r="AB127" s="31"/>
      <c r="AC127" s="34"/>
      <c r="AD127" s="31"/>
      <c r="AE127" s="34"/>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row>
    <row r="128" spans="1:53" ht="20" customHeight="1" x14ac:dyDescent="0.2">
      <c r="A128" s="678"/>
      <c r="B128" s="725"/>
      <c r="C128" s="253"/>
      <c r="D128" s="730" t="s">
        <v>374</v>
      </c>
      <c r="E128" s="723" t="s">
        <v>316</v>
      </c>
      <c r="F128" s="723" t="s">
        <v>317</v>
      </c>
      <c r="G128" s="722">
        <v>2016</v>
      </c>
      <c r="H128" s="287"/>
      <c r="I128" s="65">
        <v>16</v>
      </c>
      <c r="J128" s="61" t="s">
        <v>372</v>
      </c>
      <c r="K128" s="79" t="s">
        <v>373</v>
      </c>
      <c r="L128" s="31"/>
      <c r="M128" s="34" t="str">
        <f t="shared" si="70"/>
        <v/>
      </c>
      <c r="N128" s="31"/>
      <c r="O128" s="34" t="str">
        <f t="shared" si="71"/>
        <v/>
      </c>
      <c r="P128" s="31"/>
      <c r="Q128" s="34" t="str">
        <f t="shared" si="72"/>
        <v/>
      </c>
      <c r="R128" s="31"/>
      <c r="S128" s="34" t="str">
        <f t="shared" si="73"/>
        <v/>
      </c>
      <c r="T128" s="31"/>
      <c r="U128" s="34" t="str">
        <f t="shared" si="74"/>
        <v/>
      </c>
      <c r="V128" s="56"/>
      <c r="W128" s="34" t="str">
        <f t="shared" si="75"/>
        <v/>
      </c>
      <c r="X128" s="31"/>
      <c r="Y128" s="34" t="str">
        <f t="shared" ref="Y128:Y130" si="76">IF((ISERROR((X128/$I128)*100)), "", IF(AND(NOT(ISERROR((X128/$I128)*100)),((X128/$I128)*100) &lt;&gt; 0), (X128/$I128)*100, ""))</f>
        <v/>
      </c>
      <c r="Z128" s="31"/>
      <c r="AA128" s="34" t="str">
        <f t="shared" ref="AA128:AA130" si="77">IF((ISERROR((Z128/$I128)*100)), "", IF(AND(NOT(ISERROR((Z128/$I128)*100)),((Z128/$I128)*100) &lt;&gt; 0), (Z128/$I128)*100, ""))</f>
        <v/>
      </c>
      <c r="AB128" s="31"/>
      <c r="AC128" s="34" t="str">
        <f t="shared" ref="AC128:AC130" si="78">IF((ISERROR((AB128/$I128)*100)), "", IF(AND(NOT(ISERROR((AB128/$I128)*100)),((AB128/$I128)*100) &lt;&gt; 0), (AB128/$I128)*100, ""))</f>
        <v/>
      </c>
      <c r="AD128" s="31"/>
      <c r="AE128" s="34" t="str">
        <f t="shared" ref="AE128:AE130" si="79">IF((ISERROR((AD128/$I128)*100)), "", IF(AND(NOT(ISERROR((AD128/$I128)*100)),((AD128/$I128)*100) &lt;&gt; 0), (AD128/$I128)*100, ""))</f>
        <v/>
      </c>
      <c r="AF128" s="21" t="s">
        <v>375</v>
      </c>
      <c r="AG128" s="21"/>
      <c r="AH128" s="21"/>
      <c r="AI128" s="21"/>
      <c r="AJ128" s="21"/>
      <c r="AK128" s="21"/>
      <c r="AL128" s="21"/>
      <c r="AM128" s="21"/>
      <c r="AN128" s="21"/>
      <c r="AO128" s="21"/>
      <c r="AP128" s="21"/>
      <c r="AQ128" s="21"/>
      <c r="AR128" s="21"/>
      <c r="AS128" s="21"/>
      <c r="AT128" s="21"/>
      <c r="AU128" s="21"/>
      <c r="AV128" s="21"/>
      <c r="AW128" s="21"/>
      <c r="AX128" s="21"/>
      <c r="AY128" s="21"/>
      <c r="AZ128" s="21"/>
      <c r="BA128" s="21"/>
    </row>
    <row r="129" spans="1:53" ht="20" customHeight="1" x14ac:dyDescent="0.2">
      <c r="A129" s="678"/>
      <c r="B129" s="725"/>
      <c r="C129" s="255"/>
      <c r="D129" s="731" t="s">
        <v>376</v>
      </c>
      <c r="E129" s="728" t="s">
        <v>139</v>
      </c>
      <c r="F129" s="728" t="s">
        <v>140</v>
      </c>
      <c r="G129" s="727">
        <v>2005</v>
      </c>
      <c r="H129" s="729">
        <v>21</v>
      </c>
      <c r="I129" s="65"/>
      <c r="J129" s="61" t="s">
        <v>224</v>
      </c>
      <c r="K129" s="62"/>
      <c r="L129" s="31"/>
      <c r="M129" s="34" t="str">
        <f t="shared" si="70"/>
        <v/>
      </c>
      <c r="N129" s="36">
        <v>5</v>
      </c>
      <c r="O129" s="37" t="str">
        <f t="shared" si="71"/>
        <v/>
      </c>
      <c r="P129" s="31"/>
      <c r="Q129" s="34" t="str">
        <f t="shared" si="72"/>
        <v/>
      </c>
      <c r="R129" s="31"/>
      <c r="S129" s="34" t="str">
        <f t="shared" si="73"/>
        <v/>
      </c>
      <c r="T129" s="31"/>
      <c r="U129" s="34" t="str">
        <f t="shared" si="74"/>
        <v/>
      </c>
      <c r="V129" s="38">
        <v>16</v>
      </c>
      <c r="W129" s="37" t="str">
        <f t="shared" si="75"/>
        <v/>
      </c>
      <c r="X129" s="31"/>
      <c r="Y129" s="34" t="str">
        <f t="shared" si="76"/>
        <v/>
      </c>
      <c r="Z129" s="31"/>
      <c r="AA129" s="34" t="str">
        <f t="shared" si="77"/>
        <v/>
      </c>
      <c r="AB129" s="31"/>
      <c r="AC129" s="34" t="str">
        <f t="shared" si="78"/>
        <v/>
      </c>
      <c r="AD129" s="31"/>
      <c r="AE129" s="34" t="str">
        <f t="shared" si="79"/>
        <v/>
      </c>
      <c r="AF129" s="21" t="s">
        <v>225</v>
      </c>
      <c r="AG129" s="21"/>
      <c r="AH129" s="21"/>
      <c r="AI129" s="21"/>
      <c r="AJ129" s="21"/>
      <c r="AK129" s="21"/>
      <c r="AL129" s="21"/>
      <c r="AM129" s="21"/>
      <c r="AN129" s="21"/>
      <c r="AO129" s="21"/>
      <c r="AP129" s="21"/>
      <c r="AQ129" s="21"/>
      <c r="AR129" s="21"/>
      <c r="AS129" s="21"/>
      <c r="AT129" s="21"/>
      <c r="AU129" s="21"/>
      <c r="AV129" s="21"/>
      <c r="AW129" s="21"/>
      <c r="AX129" s="21"/>
      <c r="AY129" s="21"/>
      <c r="AZ129" s="21"/>
      <c r="BA129" s="21"/>
    </row>
    <row r="130" spans="1:53" ht="20" customHeight="1" x14ac:dyDescent="0.2">
      <c r="A130" s="678"/>
      <c r="B130" s="721"/>
      <c r="C130" s="722"/>
      <c r="D130" s="722" t="s">
        <v>35</v>
      </c>
      <c r="E130" s="723" t="s">
        <v>141</v>
      </c>
      <c r="F130" s="723" t="s">
        <v>142</v>
      </c>
      <c r="G130" s="722">
        <v>2015</v>
      </c>
      <c r="H130" s="287">
        <v>1</v>
      </c>
      <c r="I130" s="65">
        <v>119</v>
      </c>
      <c r="J130" s="61"/>
      <c r="K130" s="62"/>
      <c r="L130" s="31"/>
      <c r="M130" s="34" t="str">
        <f t="shared" si="70"/>
        <v/>
      </c>
      <c r="N130" s="31"/>
      <c r="O130" s="34" t="str">
        <f t="shared" si="71"/>
        <v/>
      </c>
      <c r="P130" s="31"/>
      <c r="Q130" s="34" t="str">
        <f t="shared" si="72"/>
        <v/>
      </c>
      <c r="R130" s="31"/>
      <c r="S130" s="34" t="str">
        <f t="shared" si="73"/>
        <v/>
      </c>
      <c r="T130" s="31"/>
      <c r="U130" s="34" t="str">
        <f t="shared" si="74"/>
        <v/>
      </c>
      <c r="V130" s="56"/>
      <c r="W130" s="34" t="str">
        <f t="shared" si="75"/>
        <v/>
      </c>
      <c r="X130" s="31"/>
      <c r="Y130" s="34" t="str">
        <f t="shared" si="76"/>
        <v/>
      </c>
      <c r="Z130" s="31"/>
      <c r="AA130" s="34" t="str">
        <f t="shared" si="77"/>
        <v/>
      </c>
      <c r="AB130" s="31"/>
      <c r="AC130" s="34" t="str">
        <f t="shared" si="78"/>
        <v/>
      </c>
      <c r="AD130" s="31"/>
      <c r="AE130" s="34" t="str">
        <f t="shared" si="79"/>
        <v/>
      </c>
      <c r="AF130" s="21" t="s">
        <v>226</v>
      </c>
      <c r="AG130" s="21"/>
      <c r="AH130" s="21"/>
      <c r="AI130" s="21"/>
      <c r="AJ130" s="21"/>
      <c r="AK130" s="21"/>
      <c r="AL130" s="21"/>
      <c r="AM130" s="21"/>
      <c r="AN130" s="21"/>
      <c r="AO130" s="21"/>
      <c r="AP130" s="21"/>
      <c r="AQ130" s="21"/>
      <c r="AR130" s="21"/>
      <c r="AS130" s="21"/>
      <c r="AT130" s="21"/>
      <c r="AU130" s="21"/>
      <c r="AV130" s="21"/>
      <c r="AW130" s="21"/>
      <c r="AX130" s="21"/>
      <c r="AY130" s="21"/>
      <c r="AZ130" s="21"/>
      <c r="BA130" s="21"/>
    </row>
    <row r="131" spans="1:53" ht="20" customHeight="1" x14ac:dyDescent="0.2">
      <c r="A131" s="678"/>
      <c r="B131" s="725"/>
      <c r="C131" s="253"/>
      <c r="D131" s="722" t="s">
        <v>85</v>
      </c>
      <c r="E131" s="723" t="s">
        <v>143</v>
      </c>
      <c r="F131" s="723" t="s">
        <v>144</v>
      </c>
      <c r="G131" s="722">
        <v>2008</v>
      </c>
      <c r="H131" s="287">
        <v>156</v>
      </c>
      <c r="I131" s="65">
        <v>50</v>
      </c>
      <c r="J131" s="61" t="s">
        <v>175</v>
      </c>
      <c r="K131" s="62"/>
      <c r="L131" s="31"/>
      <c r="M131" s="34" t="str">
        <f t="shared" si="70"/>
        <v/>
      </c>
      <c r="N131" s="31"/>
      <c r="O131" s="34" t="str">
        <f t="shared" si="71"/>
        <v/>
      </c>
      <c r="P131" s="31"/>
      <c r="Q131" s="34" t="str">
        <f t="shared" si="72"/>
        <v/>
      </c>
      <c r="R131" s="31"/>
      <c r="S131" s="34" t="str">
        <f t="shared" si="73"/>
        <v/>
      </c>
      <c r="T131" s="31"/>
      <c r="U131" s="34" t="str">
        <f t="shared" si="74"/>
        <v/>
      </c>
      <c r="V131" s="56"/>
      <c r="W131" s="34" t="str">
        <f t="shared" si="75"/>
        <v/>
      </c>
      <c r="X131" s="31"/>
      <c r="Y131" s="34" t="str">
        <f>IF((ISERROR((X131/$I131)*100)), "", IF(AND(NOT(ISERROR((X131/$I131)*100)),((X131/$I131)*100) &lt;&gt; 0), (X131/$I131)*100, ""))</f>
        <v/>
      </c>
      <c r="Z131" s="31"/>
      <c r="AA131" s="34" t="str">
        <f>IF((ISERROR((Z131/$I131)*100)), "", IF(AND(NOT(ISERROR((Z131/$I131)*100)),((Z131/$I131)*100) &lt;&gt; 0), (Z131/$I131)*100, ""))</f>
        <v/>
      </c>
      <c r="AB131" s="31"/>
      <c r="AC131" s="34" t="str">
        <f>IF((ISERROR((AB131/$I131)*100)), "", IF(AND(NOT(ISERROR((AB131/$I131)*100)),((AB131/$I131)*100) &lt;&gt; 0), (AB131/$I131)*100, ""))</f>
        <v/>
      </c>
      <c r="AD131" s="31"/>
      <c r="AE131" s="34" t="str">
        <f>IF((ISERROR((AD131/$I131)*100)), "", IF(AND(NOT(ISERROR((AD131/$I131)*100)),((AD131/$I131)*100) &lt;&gt; 0), (AD131/$I131)*100, ""))</f>
        <v/>
      </c>
      <c r="AF131" s="21" t="s">
        <v>588</v>
      </c>
      <c r="AG131" s="21"/>
      <c r="AH131" s="21"/>
      <c r="AI131" s="21"/>
      <c r="AJ131" s="21"/>
      <c r="AK131" s="21"/>
      <c r="AL131" s="21"/>
      <c r="AM131" s="21"/>
      <c r="AN131" s="21"/>
      <c r="AO131" s="21"/>
      <c r="AP131" s="21"/>
      <c r="AQ131" s="21"/>
      <c r="AR131" s="21"/>
      <c r="AS131" s="21"/>
      <c r="AT131" s="21"/>
      <c r="AU131" s="21"/>
      <c r="AV131" s="21"/>
      <c r="AW131" s="21"/>
      <c r="AX131" s="21"/>
      <c r="AY131" s="21"/>
      <c r="AZ131" s="21"/>
      <c r="BA131" s="21"/>
    </row>
    <row r="132" spans="1:53" ht="20" customHeight="1" x14ac:dyDescent="0.2">
      <c r="A132" s="680"/>
      <c r="B132" s="721"/>
      <c r="C132" s="722"/>
      <c r="D132" s="722" t="s">
        <v>85</v>
      </c>
      <c r="E132" s="723" t="s">
        <v>696</v>
      </c>
      <c r="F132" s="723" t="s">
        <v>697</v>
      </c>
      <c r="G132" s="722">
        <v>2006</v>
      </c>
      <c r="H132" s="287"/>
      <c r="I132" s="65">
        <v>27</v>
      </c>
      <c r="J132" s="61" t="s">
        <v>175</v>
      </c>
      <c r="K132" s="62" t="s">
        <v>702</v>
      </c>
      <c r="L132" s="53"/>
      <c r="M132" s="54"/>
      <c r="N132" s="53"/>
      <c r="O132" s="54"/>
      <c r="P132" s="53"/>
      <c r="Q132" s="54"/>
      <c r="R132" s="53"/>
      <c r="S132" s="54"/>
      <c r="T132" s="53"/>
      <c r="U132" s="54"/>
      <c r="V132" s="55"/>
      <c r="W132" s="54"/>
      <c r="X132" s="53"/>
      <c r="Y132" s="54"/>
      <c r="Z132" s="53"/>
      <c r="AA132" s="54"/>
      <c r="AB132" s="53"/>
      <c r="AC132" s="54"/>
      <c r="AD132" s="53"/>
      <c r="AE132" s="54"/>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row>
    <row r="133" spans="1:53" ht="20" customHeight="1" x14ac:dyDescent="0.2">
      <c r="A133" s="678"/>
      <c r="B133" s="725"/>
      <c r="C133" s="253"/>
      <c r="D133" s="722" t="s">
        <v>85</v>
      </c>
      <c r="E133" s="723" t="s">
        <v>318</v>
      </c>
      <c r="F133" s="723" t="s">
        <v>319</v>
      </c>
      <c r="G133" s="722">
        <v>2009</v>
      </c>
      <c r="H133" s="287"/>
      <c r="I133" s="65">
        <v>12</v>
      </c>
      <c r="J133" s="61" t="s">
        <v>213</v>
      </c>
      <c r="K133" s="62" t="s">
        <v>191</v>
      </c>
      <c r="L133" s="53"/>
      <c r="M133" s="54" t="str">
        <f t="shared" si="70"/>
        <v/>
      </c>
      <c r="N133" s="53"/>
      <c r="O133" s="54" t="str">
        <f t="shared" si="71"/>
        <v/>
      </c>
      <c r="P133" s="53"/>
      <c r="Q133" s="54" t="str">
        <f t="shared" si="72"/>
        <v/>
      </c>
      <c r="R133" s="53"/>
      <c r="S133" s="54" t="str">
        <f t="shared" si="73"/>
        <v/>
      </c>
      <c r="T133" s="53"/>
      <c r="U133" s="54" t="str">
        <f t="shared" si="74"/>
        <v/>
      </c>
      <c r="V133" s="55"/>
      <c r="W133" s="54" t="str">
        <f t="shared" si="75"/>
        <v/>
      </c>
      <c r="X133" s="53"/>
      <c r="Y133" s="54" t="str">
        <f>IF((ISERROR((X133/$I133)*100)), "", IF(AND(NOT(ISERROR((X133/$I133)*100)),((X133/$I133)*100) &lt;&gt; 0), (X133/$I133)*100, ""))</f>
        <v/>
      </c>
      <c r="Z133" s="53"/>
      <c r="AA133" s="54" t="str">
        <f>IF((ISERROR((Z133/$I133)*100)), "", IF(AND(NOT(ISERROR((Z133/$I133)*100)),((Z133/$I133)*100) &lt;&gt; 0), (Z133/$I133)*100, ""))</f>
        <v/>
      </c>
      <c r="AB133" s="53"/>
      <c r="AC133" s="54" t="str">
        <f>IF((ISERROR((AB133/$I133)*100)), "", IF(AND(NOT(ISERROR((AB133/$I133)*100)),((AB133/$I133)*100) &lt;&gt; 0), (AB133/$I133)*100, ""))</f>
        <v/>
      </c>
      <c r="AD133" s="53"/>
      <c r="AE133" s="54" t="str">
        <f>IF((ISERROR((AD133/$I133)*100)), "", IF(AND(NOT(ISERROR((AD133/$I133)*100)),((AD133/$I133)*100) &lt;&gt; 0), (AD133/$I133)*100, ""))</f>
        <v/>
      </c>
      <c r="AF133" s="21" t="s">
        <v>179</v>
      </c>
      <c r="AG133" s="21"/>
      <c r="AH133" s="21"/>
      <c r="AI133" s="21"/>
      <c r="AJ133" s="21"/>
      <c r="AK133" s="21"/>
      <c r="AL133" s="21"/>
      <c r="AM133" s="21"/>
      <c r="AN133" s="21"/>
      <c r="AO133" s="21"/>
      <c r="AP133" s="21"/>
      <c r="AQ133" s="21"/>
      <c r="AR133" s="21"/>
      <c r="AS133" s="21"/>
      <c r="AT133" s="21"/>
      <c r="AU133" s="21"/>
      <c r="AV133" s="21"/>
      <c r="AW133" s="21"/>
      <c r="AX133" s="21"/>
      <c r="AY133" s="21"/>
      <c r="AZ133" s="21"/>
      <c r="BA133" s="21"/>
    </row>
    <row r="134" spans="1:53" ht="20" customHeight="1" x14ac:dyDescent="0.2">
      <c r="A134" s="678"/>
      <c r="B134" s="725"/>
      <c r="C134" s="253"/>
      <c r="D134" s="722" t="s">
        <v>85</v>
      </c>
      <c r="E134" s="723" t="s">
        <v>147</v>
      </c>
      <c r="F134" s="723" t="s">
        <v>148</v>
      </c>
      <c r="G134" s="722">
        <v>2011</v>
      </c>
      <c r="H134" s="287">
        <v>112</v>
      </c>
      <c r="I134" s="65">
        <v>17</v>
      </c>
      <c r="J134" s="61" t="s">
        <v>217</v>
      </c>
      <c r="K134" s="62" t="s">
        <v>192</v>
      </c>
      <c r="L134" s="53"/>
      <c r="M134" s="54" t="str">
        <f t="shared" si="70"/>
        <v/>
      </c>
      <c r="N134" s="53"/>
      <c r="O134" s="54" t="str">
        <f t="shared" si="71"/>
        <v/>
      </c>
      <c r="P134" s="53"/>
      <c r="Q134" s="54" t="str">
        <f t="shared" si="72"/>
        <v/>
      </c>
      <c r="R134" s="53"/>
      <c r="S134" s="54" t="str">
        <f t="shared" si="73"/>
        <v/>
      </c>
      <c r="T134" s="53"/>
      <c r="U134" s="54" t="str">
        <f t="shared" si="74"/>
        <v/>
      </c>
      <c r="V134" s="55"/>
      <c r="W134" s="54" t="str">
        <f t="shared" si="75"/>
        <v/>
      </c>
      <c r="X134" s="53"/>
      <c r="Y134" s="54" t="str">
        <f>IF((ISERROR((X134/$I134)*100)), "", IF(AND(NOT(ISERROR((X134/$I134)*100)),((X134/$I134)*100) &lt;&gt; 0), (X134/$I134)*100, ""))</f>
        <v/>
      </c>
      <c r="Z134" s="53"/>
      <c r="AA134" s="54" t="str">
        <f>IF((ISERROR((Z134/$I134)*100)), "", IF(AND(NOT(ISERROR((Z134/$I134)*100)),((Z134/$I134)*100) &lt;&gt; 0), (Z134/$I134)*100, ""))</f>
        <v/>
      </c>
      <c r="AB134" s="53"/>
      <c r="AC134" s="54" t="str">
        <f>IF((ISERROR((AB134/$I134)*100)), "", IF(AND(NOT(ISERROR((AB134/$I134)*100)),((AB134/$I134)*100) &lt;&gt; 0), (AB134/$I134)*100, ""))</f>
        <v/>
      </c>
      <c r="AD134" s="53"/>
      <c r="AE134" s="54" t="str">
        <f>IF((ISERROR((AD134/$I134)*100)), "", IF(AND(NOT(ISERROR((AD134/$I134)*100)),((AD134/$I134)*100) &lt;&gt; 0), (AD134/$I134)*100, ""))</f>
        <v/>
      </c>
      <c r="AF134" s="21" t="s">
        <v>589</v>
      </c>
      <c r="AG134" s="21"/>
      <c r="AH134" s="21"/>
      <c r="AI134" s="21"/>
      <c r="AJ134" s="21"/>
      <c r="AK134" s="21"/>
      <c r="AL134" s="21"/>
      <c r="AM134" s="21"/>
      <c r="AN134" s="21"/>
      <c r="AO134" s="21"/>
      <c r="AP134" s="21"/>
      <c r="AQ134" s="21"/>
      <c r="AR134" s="21"/>
      <c r="AS134" s="21"/>
      <c r="AT134" s="21"/>
      <c r="AU134" s="21"/>
      <c r="AV134" s="21"/>
      <c r="AW134" s="21"/>
      <c r="AX134" s="21"/>
      <c r="AY134" s="21"/>
      <c r="AZ134" s="21"/>
      <c r="BA134" s="21"/>
    </row>
    <row r="135" spans="1:53" ht="20" customHeight="1" x14ac:dyDescent="0.2">
      <c r="A135" s="680"/>
      <c r="B135" s="721"/>
      <c r="C135" s="722"/>
      <c r="D135" s="722" t="s">
        <v>85</v>
      </c>
      <c r="E135" s="723" t="s">
        <v>698</v>
      </c>
      <c r="F135" s="723" t="s">
        <v>701</v>
      </c>
      <c r="G135" s="722">
        <v>1998</v>
      </c>
      <c r="H135" s="287"/>
      <c r="I135" s="65">
        <v>15</v>
      </c>
      <c r="J135" s="61" t="s">
        <v>175</v>
      </c>
      <c r="K135" s="62" t="s">
        <v>333</v>
      </c>
      <c r="L135" s="53"/>
      <c r="M135" s="54"/>
      <c r="N135" s="53"/>
      <c r="O135" s="54"/>
      <c r="P135" s="53"/>
      <c r="Q135" s="54"/>
      <c r="R135" s="53"/>
      <c r="S135" s="54"/>
      <c r="T135" s="53"/>
      <c r="U135" s="54"/>
      <c r="V135" s="55"/>
      <c r="W135" s="54"/>
      <c r="X135" s="53"/>
      <c r="Y135" s="54"/>
      <c r="Z135" s="53"/>
      <c r="AA135" s="54"/>
      <c r="AB135" s="53"/>
      <c r="AC135" s="54"/>
      <c r="AD135" s="53"/>
      <c r="AE135" s="54"/>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row>
    <row r="136" spans="1:53" ht="20" customHeight="1" thickBot="1" x14ac:dyDescent="0.25">
      <c r="A136" s="681"/>
      <c r="B136" s="759"/>
      <c r="C136" s="734"/>
      <c r="D136" s="734" t="s">
        <v>85</v>
      </c>
      <c r="E136" s="735" t="s">
        <v>699</v>
      </c>
      <c r="F136" s="735" t="s">
        <v>700</v>
      </c>
      <c r="G136" s="734">
        <v>1999</v>
      </c>
      <c r="H136" s="760"/>
      <c r="I136" s="66">
        <v>13</v>
      </c>
      <c r="J136" s="63" t="s">
        <v>703</v>
      </c>
      <c r="K136" s="64" t="s">
        <v>626</v>
      </c>
      <c r="L136" s="32"/>
      <c r="M136" s="35"/>
      <c r="N136" s="32"/>
      <c r="O136" s="35"/>
      <c r="P136" s="32"/>
      <c r="Q136" s="35"/>
      <c r="R136" s="32"/>
      <c r="S136" s="35"/>
      <c r="T136" s="32"/>
      <c r="U136" s="35"/>
      <c r="V136" s="33"/>
      <c r="W136" s="35"/>
      <c r="X136" s="32"/>
      <c r="Y136" s="35"/>
      <c r="Z136" s="32"/>
      <c r="AA136" s="35"/>
      <c r="AB136" s="32"/>
      <c r="AC136" s="35"/>
      <c r="AD136" s="32"/>
      <c r="AE136" s="35"/>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row>
    <row r="137" spans="1:53" s="774" customFormat="1" ht="20" customHeight="1" x14ac:dyDescent="0.2">
      <c r="D137" s="775"/>
      <c r="G137" s="776"/>
      <c r="H137" s="777" t="s">
        <v>240</v>
      </c>
      <c r="I137" s="778">
        <f>SUM(I11:I136)</f>
        <v>4016</v>
      </c>
      <c r="J137" s="779" t="s">
        <v>447</v>
      </c>
      <c r="K137" s="780" t="s">
        <v>453</v>
      </c>
      <c r="L137" s="781">
        <f>IF((SUM(L11:L134)&lt;&gt;0), SUMIF($I11:$I134, "&gt;0", L11:L134), "")</f>
        <v>29</v>
      </c>
      <c r="M137" s="782">
        <f>IF(ISERROR((L137/$I137)*100), "", IF(((L137/$I137)*100) &lt;&gt; 0, (L137/$I137)*100, ""))</f>
        <v>0.72211155378486047</v>
      </c>
      <c r="N137" s="781">
        <f>IF((SUM(N11:N134)&lt;&gt;0), SUMIF($I11:$I134, "&gt;0", N11:N134), "")</f>
        <v>8</v>
      </c>
      <c r="O137" s="782">
        <f>IF(ISERROR((N137/$I137)*100), "", IF(((N137/$I137)*100) &lt;&gt; 0, (N137/$I137)*100, ""))</f>
        <v>0.19920318725099601</v>
      </c>
      <c r="P137" s="781">
        <f>IF((SUM(P11:P134)&lt;&gt;0), SUMIF($I11:$I134, "&gt;0", P11:P134), "")</f>
        <v>6</v>
      </c>
      <c r="Q137" s="782">
        <f>IF(ISERROR((P137/$I137)*100), "", IF(((P137/$I137)*100) &lt;&gt; 0, (P137/$I137)*100, ""))</f>
        <v>0.14940239043824702</v>
      </c>
      <c r="R137" s="781">
        <f>IF((SUM(R11:R134)&lt;&gt;0), SUMIF($I11:$I134, "&gt;0", R11:R134), "")</f>
        <v>2</v>
      </c>
      <c r="S137" s="782">
        <f>IF(ISERROR((R137/$I137)*100), "", IF(((R137/$I137)*100) &lt;&gt; 0, (R137/$I137)*100, ""))</f>
        <v>4.9800796812749001E-2</v>
      </c>
      <c r="T137" s="781">
        <f>IF((SUM(T11:T134)&lt;&gt;0), SUMIF($I11:$I134, "&gt;0", T11:T134), "")</f>
        <v>72</v>
      </c>
      <c r="U137" s="782">
        <f>IF(ISERROR((T137/$I137)*100), "", IF(((T137/$I137)*100) &lt;&gt; 0, (T137/$I137)*100, ""))</f>
        <v>1.7928286852589643</v>
      </c>
      <c r="V137" s="781">
        <f>IF((SUM(V11:V134)&lt;&gt;0), SUMIF($I11:$I134, "&gt;0", V11:V134), "")</f>
        <v>217</v>
      </c>
      <c r="W137" s="782">
        <f>IF(ISERROR((V137/$I137)*100), "", IF(((V137/$I137)*100) &lt;&gt; 0, (V137/$I137)*100, ""))</f>
        <v>5.4033864541832672</v>
      </c>
      <c r="X137" s="781">
        <f>IF((SUM(X11:X134)&lt;&gt;0), SUMIF($I11:$I134, "&gt;0", X11:X134), "")</f>
        <v>43</v>
      </c>
      <c r="Y137" s="782">
        <f>IF(ISERROR((X137/$I137)*100), "", IF(((X137/$I137)*100) &lt;&gt; 0, (X137/$I137)*100, ""))</f>
        <v>1.0707171314741035</v>
      </c>
      <c r="Z137" s="781">
        <f>IF((SUM(Z11:Z134)&lt;&gt;0), SUMIF($I11:$I134, "&gt;0", Z11:Z134), "")</f>
        <v>1</v>
      </c>
      <c r="AA137" s="782">
        <f>IF(ISERROR((Z137/$I137)*100), "", IF(((Z137/$I137)*100) &lt;&gt; 0, (Z137/$I137)*100, ""))</f>
        <v>2.4900398406374501E-2</v>
      </c>
      <c r="AB137" s="781">
        <f>IF((SUM(AB11:AB134)&lt;&gt;0), SUMIF($I11:$I134, "&gt;0", AB11:AB134), "")</f>
        <v>6</v>
      </c>
      <c r="AC137" s="782">
        <f>IF(ISERROR((AB137/$I137)*100), "", IF(((AB137/$I137)*100) &lt;&gt; 0, (AB137/$I137)*100, ""))</f>
        <v>0.14940239043824702</v>
      </c>
      <c r="AD137" s="781">
        <f>IF((SUM(AD11:AD134)&lt;&gt;0), SUMIF($I11:$I134, "&gt;0", AD11:AD134), "")</f>
        <v>1</v>
      </c>
      <c r="AE137" s="782">
        <f>IF(ISERROR((AD137/$I137)*100), "", IF(((AD137/$I137)*100) &lt;&gt; 0, (AD137/$I137)*100, ""))</f>
        <v>2.4900398406374501E-2</v>
      </c>
    </row>
    <row r="138" spans="1:53" s="774" customFormat="1" ht="20" customHeight="1" x14ac:dyDescent="0.2">
      <c r="D138" s="775"/>
      <c r="G138" s="776"/>
      <c r="H138" s="777" t="s">
        <v>241</v>
      </c>
      <c r="I138" s="783" t="s">
        <v>239</v>
      </c>
      <c r="J138" s="784" t="s">
        <v>454</v>
      </c>
      <c r="K138" s="785" t="s">
        <v>455</v>
      </c>
      <c r="L138" s="786">
        <f>IF(SUMIF(L11:L134, "&gt; 0", $I11:$I134) &gt; 0, SUMIF(L11:L134, "&gt; 0", $I11:$I134), "")</f>
        <v>209</v>
      </c>
      <c r="M138" s="787">
        <f>(L137/L138)*100</f>
        <v>13.875598086124402</v>
      </c>
      <c r="N138" s="786">
        <f>IF(SUMIF(N11:N134, "&gt; 0", $I11:$I134) &gt; 0, SUMIF(N11:N134, "&gt; 0", $I11:$I134), "")</f>
        <v>38</v>
      </c>
      <c r="O138" s="787">
        <f>(N137/N138)*100</f>
        <v>21.052631578947366</v>
      </c>
      <c r="P138" s="786">
        <f>IF(SUMIF(P11:P134, "&gt; 0", $I11:$I134) &gt; 0, SUMIF(P11:P134, "&gt; 0", $I11:$I134), "")</f>
        <v>17</v>
      </c>
      <c r="Q138" s="787">
        <f>(P137/P138)*100</f>
        <v>35.294117647058826</v>
      </c>
      <c r="R138" s="786">
        <f>IF(SUMIF(R11:R134, "&gt; 0", $I11:$I134) &gt; 0, SUMIF(R11:R134, "&gt; 0", $I11:$I134), "")</f>
        <v>8</v>
      </c>
      <c r="S138" s="787">
        <f>(R137/R138)*100</f>
        <v>25</v>
      </c>
      <c r="T138" s="786">
        <f>IF(SUMIF(T11:T134, "&gt; 0", $I11:$I134) &gt; 0, SUMIF(T11:T134, "&gt; 0", $I11:$I134), "")</f>
        <v>580</v>
      </c>
      <c r="U138" s="787">
        <f>(T137/T138)*100</f>
        <v>12.413793103448276</v>
      </c>
      <c r="V138" s="786">
        <f>IF(SUMIF(V11:V134, "&gt; 0", $I11:$I134) &gt; 0, SUMIF(V11:V134, "&gt; 0", $I11:$I134), "")</f>
        <v>767</v>
      </c>
      <c r="W138" s="787">
        <f>(V137/V138)*100</f>
        <v>28.292046936114733</v>
      </c>
      <c r="X138" s="786">
        <f>IF(SUMIF(X11:X134, "&gt; 0", $I11:$I134) &gt; 0, SUMIF(X11:X134, "&gt; 0", $I11:$I134), "")</f>
        <v>320</v>
      </c>
      <c r="Y138" s="787">
        <f>(X137/X138)*100</f>
        <v>13.4375</v>
      </c>
      <c r="Z138" s="786">
        <f>IF(SUMIF(Z11:Z134, "&gt; 0", $I11:$I134) &gt; 0, SUMIF(Z11:Z134, "&gt; 0", $I11:$I134), "")</f>
        <v>8</v>
      </c>
      <c r="AA138" s="787">
        <f>(Z137/Z138)*100</f>
        <v>12.5</v>
      </c>
      <c r="AB138" s="786">
        <f>IF(SUMIF(AB11:AB134, "&gt; 0", $I11:$I134) &gt; 0, SUMIF(AB11:AB134, "&gt; 0", $I11:$I134), "")</f>
        <v>37</v>
      </c>
      <c r="AC138" s="787">
        <f>(AB137/AB138)*100</f>
        <v>16.216216216216218</v>
      </c>
      <c r="AD138" s="786">
        <f>IF(SUMIF(AD11:AD134, "&gt; 0", $I11:$I134) &gt; 0, SUMIF(AD11:AD134, "&gt; 0", $I11:$I134), "")</f>
        <v>8</v>
      </c>
      <c r="AE138" s="787">
        <f>(AD137/AD138)*100</f>
        <v>12.5</v>
      </c>
    </row>
    <row r="139" spans="1:53" ht="18" customHeight="1" thickBot="1" x14ac:dyDescent="0.25">
      <c r="I139" s="354" t="s">
        <v>448</v>
      </c>
      <c r="J139" s="357"/>
      <c r="K139" s="358"/>
      <c r="L139" s="328" t="s">
        <v>237</v>
      </c>
      <c r="M139" s="330" t="s">
        <v>238</v>
      </c>
      <c r="N139" s="328" t="s">
        <v>237</v>
      </c>
      <c r="O139" s="330" t="s">
        <v>238</v>
      </c>
      <c r="P139" s="328" t="s">
        <v>237</v>
      </c>
      <c r="Q139" s="330" t="s">
        <v>238</v>
      </c>
      <c r="R139" s="328" t="s">
        <v>237</v>
      </c>
      <c r="S139" s="330" t="s">
        <v>238</v>
      </c>
      <c r="T139" s="328" t="s">
        <v>237</v>
      </c>
      <c r="U139" s="330" t="s">
        <v>238</v>
      </c>
      <c r="V139" s="328" t="s">
        <v>237</v>
      </c>
      <c r="W139" s="330" t="s">
        <v>238</v>
      </c>
      <c r="X139" s="329" t="s">
        <v>237</v>
      </c>
      <c r="Y139" s="330" t="s">
        <v>238</v>
      </c>
      <c r="Z139" s="328" t="s">
        <v>237</v>
      </c>
      <c r="AA139" s="330" t="s">
        <v>238</v>
      </c>
      <c r="AB139" s="328" t="s">
        <v>237</v>
      </c>
      <c r="AC139" s="330" t="s">
        <v>238</v>
      </c>
      <c r="AD139" s="328" t="s">
        <v>237</v>
      </c>
      <c r="AE139" s="330" t="s">
        <v>238</v>
      </c>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row>
    <row r="140" spans="1:53" ht="18" customHeight="1" x14ac:dyDescent="0.2">
      <c r="F140" s="40" t="s">
        <v>243</v>
      </c>
      <c r="G140" s="43">
        <v>1</v>
      </c>
      <c r="I140" s="355"/>
      <c r="J140" s="359"/>
      <c r="K140" s="360"/>
      <c r="L140" s="328"/>
      <c r="M140" s="331"/>
      <c r="N140" s="328"/>
      <c r="O140" s="331"/>
      <c r="P140" s="328"/>
      <c r="Q140" s="331"/>
      <c r="R140" s="328"/>
      <c r="S140" s="331"/>
      <c r="T140" s="328"/>
      <c r="U140" s="331"/>
      <c r="V140" s="328"/>
      <c r="W140" s="331"/>
      <c r="X140" s="386"/>
      <c r="Y140" s="331"/>
      <c r="Z140" s="328"/>
      <c r="AA140" s="331"/>
      <c r="AB140" s="328"/>
      <c r="AC140" s="331"/>
      <c r="AD140" s="328"/>
      <c r="AE140" s="33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row>
    <row r="141" spans="1:53" ht="18" customHeight="1" x14ac:dyDescent="0.2">
      <c r="F141" s="41"/>
      <c r="G141" s="42"/>
      <c r="I141" s="355"/>
      <c r="J141" s="359"/>
      <c r="K141" s="360"/>
      <c r="L141" s="328"/>
      <c r="M141" s="331"/>
      <c r="N141" s="328"/>
      <c r="O141" s="331"/>
      <c r="P141" s="328"/>
      <c r="Q141" s="331"/>
      <c r="R141" s="328"/>
      <c r="S141" s="331"/>
      <c r="T141" s="328"/>
      <c r="U141" s="331"/>
      <c r="V141" s="328"/>
      <c r="W141" s="331"/>
      <c r="X141" s="386"/>
      <c r="Y141" s="331"/>
      <c r="Z141" s="328"/>
      <c r="AA141" s="331"/>
      <c r="AB141" s="328"/>
      <c r="AC141" s="331"/>
      <c r="AD141" s="328"/>
      <c r="AE141" s="33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row>
    <row r="142" spans="1:53" ht="18" customHeight="1" x14ac:dyDescent="0.2">
      <c r="F142" s="347" t="s">
        <v>244</v>
      </c>
      <c r="G142" s="348"/>
      <c r="I142" s="355"/>
      <c r="J142" s="359"/>
      <c r="K142" s="360"/>
      <c r="L142" s="328"/>
      <c r="M142" s="331"/>
      <c r="N142" s="328"/>
      <c r="O142" s="331"/>
      <c r="P142" s="328"/>
      <c r="Q142" s="331"/>
      <c r="R142" s="328"/>
      <c r="S142" s="331"/>
      <c r="T142" s="328"/>
      <c r="U142" s="331"/>
      <c r="V142" s="328"/>
      <c r="W142" s="331"/>
      <c r="X142" s="386"/>
      <c r="Y142" s="331"/>
      <c r="Z142" s="328"/>
      <c r="AA142" s="331"/>
      <c r="AB142" s="328"/>
      <c r="AC142" s="331"/>
      <c r="AD142" s="328"/>
      <c r="AE142" s="33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row>
    <row r="143" spans="1:53" ht="18" customHeight="1" x14ac:dyDescent="0.2">
      <c r="F143" s="347"/>
      <c r="G143" s="348"/>
      <c r="I143" s="355"/>
      <c r="J143" s="359"/>
      <c r="K143" s="360"/>
      <c r="L143" s="329"/>
      <c r="M143" s="331"/>
      <c r="N143" s="329"/>
      <c r="O143" s="331"/>
      <c r="P143" s="329"/>
      <c r="Q143" s="331"/>
      <c r="R143" s="329"/>
      <c r="S143" s="331"/>
      <c r="T143" s="329"/>
      <c r="U143" s="331"/>
      <c r="V143" s="329"/>
      <c r="W143" s="331"/>
      <c r="X143" s="369"/>
      <c r="Y143" s="387"/>
      <c r="Z143" s="329"/>
      <c r="AA143" s="331"/>
      <c r="AB143" s="329"/>
      <c r="AC143" s="331"/>
      <c r="AD143" s="329"/>
      <c r="AE143" s="33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row>
    <row r="144" spans="1:53" ht="18" customHeight="1" x14ac:dyDescent="0.2">
      <c r="F144" s="347"/>
      <c r="G144" s="348"/>
      <c r="I144" s="355"/>
      <c r="J144" s="359"/>
      <c r="K144" s="360"/>
      <c r="L144" s="353" t="s">
        <v>234</v>
      </c>
      <c r="M144" s="333"/>
      <c r="N144" s="351" t="s">
        <v>160</v>
      </c>
      <c r="O144" s="333"/>
      <c r="P144" s="353" t="s">
        <v>236</v>
      </c>
      <c r="Q144" s="333"/>
      <c r="R144" s="351" t="s">
        <v>171</v>
      </c>
      <c r="S144" s="333"/>
      <c r="T144" s="351" t="s">
        <v>164</v>
      </c>
      <c r="U144" s="333"/>
      <c r="V144" s="332" t="s">
        <v>207</v>
      </c>
      <c r="W144" s="333"/>
      <c r="X144" s="351" t="s">
        <v>172</v>
      </c>
      <c r="Y144" s="333"/>
      <c r="Z144" s="351" t="s">
        <v>170</v>
      </c>
      <c r="AA144" s="333"/>
      <c r="AB144" s="351" t="s">
        <v>173</v>
      </c>
      <c r="AC144" s="333"/>
      <c r="AD144" s="351" t="s">
        <v>161</v>
      </c>
      <c r="AE144" s="333"/>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row>
    <row r="145" spans="1:53" ht="18" customHeight="1" x14ac:dyDescent="0.2">
      <c r="F145" s="347"/>
      <c r="G145" s="348"/>
      <c r="I145" s="355"/>
      <c r="J145" s="359"/>
      <c r="K145" s="360"/>
      <c r="L145" s="340"/>
      <c r="M145" s="335"/>
      <c r="N145" s="340"/>
      <c r="O145" s="335"/>
      <c r="P145" s="340"/>
      <c r="Q145" s="335"/>
      <c r="R145" s="340"/>
      <c r="S145" s="335"/>
      <c r="T145" s="340"/>
      <c r="U145" s="335"/>
      <c r="V145" s="334"/>
      <c r="W145" s="335"/>
      <c r="X145" s="340"/>
      <c r="Y145" s="335"/>
      <c r="Z145" s="340"/>
      <c r="AA145" s="335"/>
      <c r="AB145" s="340"/>
      <c r="AC145" s="335"/>
      <c r="AD145" s="340"/>
      <c r="AE145" s="335"/>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row>
    <row r="146" spans="1:53" ht="18" customHeight="1" thickBot="1" x14ac:dyDescent="0.25">
      <c r="F146" s="347"/>
      <c r="G146" s="348"/>
      <c r="I146" s="355"/>
      <c r="J146" s="359"/>
      <c r="K146" s="360"/>
      <c r="L146" s="352"/>
      <c r="M146" s="337"/>
      <c r="N146" s="352"/>
      <c r="O146" s="337"/>
      <c r="P146" s="352"/>
      <c r="Q146" s="337"/>
      <c r="R146" s="352"/>
      <c r="S146" s="337"/>
      <c r="T146" s="352"/>
      <c r="U146" s="337"/>
      <c r="V146" s="336"/>
      <c r="W146" s="337"/>
      <c r="X146" s="352"/>
      <c r="Y146" s="337"/>
      <c r="Z146" s="352"/>
      <c r="AA146" s="337"/>
      <c r="AB146" s="352"/>
      <c r="AC146" s="337"/>
      <c r="AD146" s="352"/>
      <c r="AE146" s="337"/>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row>
    <row r="147" spans="1:53" ht="20" customHeight="1" thickBot="1" x14ac:dyDescent="0.3">
      <c r="F147" s="349"/>
      <c r="G147" s="350"/>
      <c r="I147" s="356"/>
      <c r="J147" s="361"/>
      <c r="K147" s="362"/>
      <c r="L147" s="317" t="s">
        <v>390</v>
      </c>
      <c r="M147" s="318"/>
      <c r="N147" s="318"/>
      <c r="O147" s="318"/>
      <c r="P147" s="318"/>
      <c r="Q147" s="318"/>
      <c r="R147" s="318"/>
      <c r="S147" s="318"/>
      <c r="T147" s="318"/>
      <c r="U147" s="318"/>
      <c r="V147" s="318"/>
      <c r="W147" s="318"/>
      <c r="X147" s="318"/>
      <c r="Y147" s="318"/>
      <c r="Z147" s="318"/>
      <c r="AA147" s="318"/>
      <c r="AB147" s="318"/>
      <c r="AC147" s="318"/>
      <c r="AD147" s="318"/>
      <c r="AE147" s="319"/>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row>
    <row r="148" spans="1:53" x14ac:dyDescent="0.2">
      <c r="I148" s="110" t="s">
        <v>459</v>
      </c>
    </row>
    <row r="149" spans="1:53" x14ac:dyDescent="0.2">
      <c r="I149" s="111" t="s">
        <v>458</v>
      </c>
    </row>
    <row r="150" spans="1:53" x14ac:dyDescent="0.2">
      <c r="I150" s="111" t="s">
        <v>457</v>
      </c>
    </row>
    <row r="152" spans="1:53" ht="17" thickBot="1" x14ac:dyDescent="0.25"/>
    <row r="153" spans="1:53" ht="20" thickBot="1" x14ac:dyDescent="0.3">
      <c r="L153" s="314" t="s">
        <v>393</v>
      </c>
      <c r="M153" s="315"/>
      <c r="N153" s="315"/>
      <c r="O153" s="315"/>
      <c r="P153" s="315"/>
      <c r="Q153" s="315"/>
      <c r="R153" s="315"/>
      <c r="S153" s="315"/>
      <c r="T153" s="315"/>
      <c r="U153" s="315"/>
      <c r="V153" s="315"/>
      <c r="W153" s="315"/>
      <c r="X153" s="315"/>
      <c r="Y153" s="315"/>
      <c r="Z153" s="315"/>
      <c r="AA153" s="315"/>
      <c r="AB153" s="315"/>
      <c r="AC153" s="315"/>
      <c r="AD153" s="315"/>
      <c r="AE153" s="315"/>
      <c r="AF153" s="315"/>
      <c r="AG153" s="316"/>
    </row>
    <row r="154" spans="1:53" ht="16" customHeight="1" x14ac:dyDescent="0.2">
      <c r="E154" s="374" t="s">
        <v>392</v>
      </c>
      <c r="L154" s="320" t="s">
        <v>371</v>
      </c>
      <c r="M154" s="321"/>
      <c r="N154" s="338" t="s">
        <v>157</v>
      </c>
      <c r="O154" s="339"/>
      <c r="P154" s="320" t="s">
        <v>233</v>
      </c>
      <c r="Q154" s="339"/>
      <c r="R154" s="338" t="s">
        <v>163</v>
      </c>
      <c r="S154" s="339"/>
      <c r="T154" s="338" t="s">
        <v>206</v>
      </c>
      <c r="U154" s="339"/>
      <c r="V154" s="338" t="s">
        <v>158</v>
      </c>
      <c r="W154" s="339"/>
      <c r="X154" s="320" t="s">
        <v>235</v>
      </c>
      <c r="Y154" s="339"/>
      <c r="Z154" s="338" t="s">
        <v>159</v>
      </c>
      <c r="AA154" s="339"/>
      <c r="AB154" s="338" t="s">
        <v>205</v>
      </c>
      <c r="AC154" s="339"/>
      <c r="AD154" s="338" t="s">
        <v>204</v>
      </c>
      <c r="AE154" s="339"/>
      <c r="AF154" s="338" t="s">
        <v>201</v>
      </c>
      <c r="AG154" s="339"/>
      <c r="AH154" s="21"/>
      <c r="AI154" s="21"/>
      <c r="AJ154" s="21"/>
      <c r="AK154" s="21"/>
      <c r="AL154" s="21"/>
      <c r="AM154" s="21"/>
      <c r="AN154" s="21"/>
      <c r="AO154" s="21"/>
      <c r="AP154" s="21"/>
      <c r="AQ154" s="21"/>
      <c r="AR154" s="21"/>
      <c r="AS154" s="21"/>
      <c r="AT154" s="21"/>
      <c r="AU154" s="21"/>
      <c r="AV154" s="21"/>
      <c r="AW154" s="21"/>
      <c r="AX154" s="21"/>
      <c r="AY154" s="21"/>
      <c r="AZ154" s="21"/>
      <c r="BA154" s="21"/>
    </row>
    <row r="155" spans="1:53" ht="20" customHeight="1" x14ac:dyDescent="0.2">
      <c r="C155" s="60"/>
      <c r="E155" s="375"/>
      <c r="L155" s="322"/>
      <c r="M155" s="323"/>
      <c r="N155" s="340"/>
      <c r="O155" s="335"/>
      <c r="P155" s="340"/>
      <c r="Q155" s="335"/>
      <c r="R155" s="340"/>
      <c r="S155" s="335"/>
      <c r="T155" s="340"/>
      <c r="U155" s="335"/>
      <c r="V155" s="340"/>
      <c r="W155" s="335"/>
      <c r="X155" s="340"/>
      <c r="Y155" s="335"/>
      <c r="Z155" s="340"/>
      <c r="AA155" s="335"/>
      <c r="AB155" s="340"/>
      <c r="AC155" s="335"/>
      <c r="AD155" s="340"/>
      <c r="AE155" s="335"/>
      <c r="AF155" s="340"/>
      <c r="AG155" s="335"/>
      <c r="AH155" s="21"/>
      <c r="AI155" s="21"/>
      <c r="AJ155" s="21"/>
      <c r="AK155" s="21"/>
      <c r="AL155" s="21"/>
      <c r="AM155" s="21"/>
      <c r="AN155" s="21"/>
      <c r="AO155" s="21"/>
      <c r="AP155" s="21"/>
      <c r="AQ155" s="21"/>
      <c r="AR155" s="21"/>
      <c r="AS155" s="21"/>
      <c r="AT155" s="21"/>
      <c r="AU155" s="21"/>
      <c r="AV155" s="21"/>
      <c r="AW155" s="21"/>
      <c r="AX155" s="21"/>
      <c r="AY155" s="21"/>
      <c r="AZ155" s="21"/>
      <c r="BA155" s="21"/>
    </row>
    <row r="156" spans="1:53" ht="20" customHeight="1" thickBot="1" x14ac:dyDescent="0.25">
      <c r="B156" s="46"/>
      <c r="C156" s="59"/>
      <c r="E156" s="372" t="s">
        <v>242</v>
      </c>
      <c r="J156" s="22"/>
      <c r="K156" s="22"/>
      <c r="L156" s="324"/>
      <c r="M156" s="325"/>
      <c r="N156" s="341"/>
      <c r="O156" s="342"/>
      <c r="P156" s="341"/>
      <c r="Q156" s="342"/>
      <c r="R156" s="341"/>
      <c r="S156" s="342"/>
      <c r="T156" s="341"/>
      <c r="U156" s="342"/>
      <c r="V156" s="341"/>
      <c r="W156" s="342"/>
      <c r="X156" s="341"/>
      <c r="Y156" s="342"/>
      <c r="Z156" s="341"/>
      <c r="AA156" s="342"/>
      <c r="AB156" s="341"/>
      <c r="AC156" s="342"/>
      <c r="AD156" s="341"/>
      <c r="AE156" s="342"/>
      <c r="AF156" s="341"/>
      <c r="AG156" s="342"/>
      <c r="AH156" s="21"/>
      <c r="AI156" s="21"/>
      <c r="AJ156" s="21"/>
      <c r="AK156" s="21"/>
      <c r="AL156" s="21"/>
      <c r="AM156" s="21"/>
      <c r="AN156" s="21"/>
      <c r="AO156" s="21"/>
      <c r="AP156" s="21"/>
      <c r="AQ156" s="21"/>
      <c r="AR156" s="21"/>
      <c r="AS156" s="21"/>
      <c r="AT156" s="21"/>
      <c r="AU156" s="21"/>
      <c r="AV156" s="21"/>
      <c r="AW156" s="21"/>
      <c r="AX156" s="21"/>
      <c r="AY156" s="21"/>
      <c r="AZ156" s="21"/>
      <c r="BA156" s="21"/>
    </row>
    <row r="157" spans="1:53" ht="20" customHeight="1" x14ac:dyDescent="0.2">
      <c r="A157" s="702"/>
      <c r="B157" s="45"/>
      <c r="C157" s="58"/>
      <c r="E157" s="372"/>
      <c r="H157" s="370" t="s">
        <v>24</v>
      </c>
      <c r="I157" s="306" t="s">
        <v>322</v>
      </c>
      <c r="J157" s="376" t="s">
        <v>320</v>
      </c>
      <c r="K157" s="671" t="s">
        <v>321</v>
      </c>
      <c r="L157" s="365" t="s">
        <v>237</v>
      </c>
      <c r="M157" s="327" t="s">
        <v>238</v>
      </c>
      <c r="N157" s="363" t="s">
        <v>237</v>
      </c>
      <c r="O157" s="345" t="s">
        <v>238</v>
      </c>
      <c r="P157" s="366" t="s">
        <v>237</v>
      </c>
      <c r="Q157" s="327" t="s">
        <v>238</v>
      </c>
      <c r="R157" s="365" t="s">
        <v>237</v>
      </c>
      <c r="S157" s="327" t="s">
        <v>238</v>
      </c>
      <c r="T157" s="365" t="s">
        <v>237</v>
      </c>
      <c r="U157" s="327" t="s">
        <v>238</v>
      </c>
      <c r="V157" s="365" t="s">
        <v>237</v>
      </c>
      <c r="W157" s="327" t="s">
        <v>238</v>
      </c>
      <c r="X157" s="366" t="s">
        <v>237</v>
      </c>
      <c r="Y157" s="327" t="s">
        <v>238</v>
      </c>
      <c r="Z157" s="365" t="s">
        <v>237</v>
      </c>
      <c r="AA157" s="327" t="s">
        <v>238</v>
      </c>
      <c r="AB157" s="365" t="s">
        <v>237</v>
      </c>
      <c r="AC157" s="327" t="s">
        <v>238</v>
      </c>
      <c r="AD157" s="365" t="s">
        <v>237</v>
      </c>
      <c r="AE157" s="327" t="s">
        <v>238</v>
      </c>
      <c r="AF157" s="365" t="s">
        <v>237</v>
      </c>
      <c r="AG157" s="327" t="s">
        <v>238</v>
      </c>
      <c r="AH157" s="21"/>
      <c r="AI157" s="21"/>
      <c r="AJ157" s="21"/>
      <c r="AK157" s="21"/>
      <c r="AL157" s="21"/>
      <c r="AM157" s="21"/>
      <c r="AN157" s="21"/>
      <c r="AO157" s="21"/>
      <c r="AP157" s="21"/>
      <c r="AQ157" s="21"/>
      <c r="AR157" s="21"/>
      <c r="AS157" s="21"/>
      <c r="AT157" s="21"/>
      <c r="AU157" s="21"/>
      <c r="AV157" s="21"/>
      <c r="AW157" s="21"/>
      <c r="AX157" s="21"/>
      <c r="AY157" s="21"/>
      <c r="AZ157" s="21"/>
      <c r="BA157" s="21"/>
    </row>
    <row r="158" spans="1:53" ht="20" customHeight="1" thickBot="1" x14ac:dyDescent="0.25">
      <c r="A158" s="370" t="s">
        <v>597</v>
      </c>
      <c r="B158" s="370" t="s">
        <v>245</v>
      </c>
      <c r="C158" s="371" t="s">
        <v>326</v>
      </c>
      <c r="E158" s="373"/>
      <c r="H158" s="370"/>
      <c r="I158" s="293"/>
      <c r="J158" s="294"/>
      <c r="K158" s="672"/>
      <c r="L158" s="365"/>
      <c r="M158" s="327"/>
      <c r="N158" s="364"/>
      <c r="O158" s="346"/>
      <c r="P158" s="365"/>
      <c r="Q158" s="327"/>
      <c r="R158" s="365"/>
      <c r="S158" s="327"/>
      <c r="T158" s="365"/>
      <c r="U158" s="327"/>
      <c r="V158" s="365"/>
      <c r="W158" s="327"/>
      <c r="X158" s="366"/>
      <c r="Y158" s="327"/>
      <c r="Z158" s="365"/>
      <c r="AA158" s="327"/>
      <c r="AB158" s="365"/>
      <c r="AC158" s="327"/>
      <c r="AD158" s="365"/>
      <c r="AE158" s="327"/>
      <c r="AF158" s="365"/>
      <c r="AG158" s="327"/>
      <c r="AH158" s="21"/>
      <c r="AI158" s="21"/>
      <c r="AJ158" s="21"/>
      <c r="AK158" s="21"/>
      <c r="AL158" s="21"/>
      <c r="AM158" s="21"/>
      <c r="AN158" s="21"/>
      <c r="AO158" s="21"/>
      <c r="AP158" s="21"/>
      <c r="AQ158" s="21"/>
      <c r="AR158" s="21"/>
      <c r="AS158" s="21"/>
      <c r="AT158" s="21"/>
      <c r="AU158" s="21"/>
      <c r="AV158" s="21"/>
      <c r="AW158" s="21"/>
      <c r="AX158" s="21"/>
      <c r="AY158" s="21"/>
      <c r="AZ158" s="21"/>
      <c r="BA158" s="21"/>
    </row>
    <row r="159" spans="1:53" ht="20" customHeight="1" x14ac:dyDescent="0.2">
      <c r="A159" s="370"/>
      <c r="B159" s="370"/>
      <c r="C159" s="371"/>
      <c r="H159" s="370"/>
      <c r="I159" s="293"/>
      <c r="J159" s="294"/>
      <c r="K159" s="672"/>
      <c r="L159" s="365"/>
      <c r="M159" s="327"/>
      <c r="N159" s="364"/>
      <c r="O159" s="346"/>
      <c r="P159" s="365"/>
      <c r="Q159" s="327"/>
      <c r="R159" s="365"/>
      <c r="S159" s="327"/>
      <c r="T159" s="365"/>
      <c r="U159" s="327"/>
      <c r="V159" s="365"/>
      <c r="W159" s="327"/>
      <c r="X159" s="366"/>
      <c r="Y159" s="327"/>
      <c r="Z159" s="365"/>
      <c r="AA159" s="327"/>
      <c r="AB159" s="365"/>
      <c r="AC159" s="327"/>
      <c r="AD159" s="365"/>
      <c r="AE159" s="327"/>
      <c r="AF159" s="365"/>
      <c r="AG159" s="327"/>
      <c r="AH159" s="21"/>
      <c r="AI159" s="21"/>
      <c r="AJ159" s="21"/>
      <c r="AK159" s="21"/>
      <c r="AL159" s="21"/>
      <c r="AM159" s="21"/>
      <c r="AN159" s="21"/>
      <c r="AO159" s="21"/>
      <c r="AP159" s="21"/>
      <c r="AQ159" s="21"/>
      <c r="AR159" s="21"/>
      <c r="AS159" s="21"/>
      <c r="AT159" s="21"/>
      <c r="AU159" s="21"/>
      <c r="AV159" s="21"/>
      <c r="AW159" s="21"/>
      <c r="AX159" s="21"/>
      <c r="AY159" s="21"/>
      <c r="AZ159" s="21"/>
      <c r="BA159" s="21"/>
    </row>
    <row r="160" spans="1:53" ht="20" customHeight="1" x14ac:dyDescent="0.2">
      <c r="A160" s="370"/>
      <c r="B160" s="370"/>
      <c r="C160" s="371"/>
      <c r="H160" s="370"/>
      <c r="I160" s="293"/>
      <c r="J160" s="294"/>
      <c r="K160" s="672"/>
      <c r="L160" s="365"/>
      <c r="M160" s="327"/>
      <c r="N160" s="364"/>
      <c r="O160" s="346"/>
      <c r="P160" s="365"/>
      <c r="Q160" s="327"/>
      <c r="R160" s="365"/>
      <c r="S160" s="327"/>
      <c r="T160" s="365"/>
      <c r="U160" s="327"/>
      <c r="V160" s="365"/>
      <c r="W160" s="327"/>
      <c r="X160" s="366"/>
      <c r="Y160" s="327"/>
      <c r="Z160" s="365"/>
      <c r="AA160" s="327"/>
      <c r="AB160" s="365"/>
      <c r="AC160" s="327"/>
      <c r="AD160" s="365"/>
      <c r="AE160" s="327"/>
      <c r="AF160" s="365"/>
      <c r="AG160" s="327"/>
      <c r="AH160" s="21"/>
      <c r="AI160" s="21"/>
      <c r="AJ160" s="21"/>
      <c r="AK160" s="21"/>
      <c r="AL160" s="21"/>
      <c r="AM160" s="21"/>
      <c r="AN160" s="21"/>
      <c r="AO160" s="21"/>
      <c r="AP160" s="21"/>
      <c r="AQ160" s="21"/>
      <c r="AR160" s="21"/>
      <c r="AS160" s="21"/>
      <c r="AT160" s="21"/>
      <c r="AU160" s="21"/>
      <c r="AV160" s="21"/>
      <c r="AW160" s="21"/>
      <c r="AX160" s="21"/>
      <c r="AY160" s="21"/>
      <c r="AZ160" s="21"/>
      <c r="BA160" s="21"/>
    </row>
    <row r="161" spans="1:54" ht="20" customHeight="1" thickBot="1" x14ac:dyDescent="0.25">
      <c r="A161" s="370"/>
      <c r="B161" s="370"/>
      <c r="C161" s="371"/>
      <c r="D161" s="706" t="s">
        <v>20</v>
      </c>
      <c r="E161" s="174" t="s">
        <v>21</v>
      </c>
      <c r="F161" s="174" t="s">
        <v>22</v>
      </c>
      <c r="G161" s="706" t="s">
        <v>23</v>
      </c>
      <c r="H161" s="370"/>
      <c r="I161" s="293"/>
      <c r="J161" s="294"/>
      <c r="K161" s="672"/>
      <c r="L161" s="363"/>
      <c r="M161" s="345"/>
      <c r="N161" s="364"/>
      <c r="O161" s="346"/>
      <c r="P161" s="363"/>
      <c r="Q161" s="345"/>
      <c r="R161" s="363"/>
      <c r="S161" s="345"/>
      <c r="T161" s="363"/>
      <c r="U161" s="345"/>
      <c r="V161" s="363"/>
      <c r="W161" s="345"/>
      <c r="X161" s="367"/>
      <c r="Y161" s="345"/>
      <c r="Z161" s="363"/>
      <c r="AA161" s="345"/>
      <c r="AB161" s="363"/>
      <c r="AC161" s="345"/>
      <c r="AD161" s="363"/>
      <c r="AE161" s="345"/>
      <c r="AF161" s="363"/>
      <c r="AG161" s="345"/>
      <c r="AH161" s="708" t="s">
        <v>25</v>
      </c>
      <c r="AI161" s="47"/>
      <c r="AJ161" s="47"/>
      <c r="AK161" s="47"/>
      <c r="AL161" s="47"/>
      <c r="AM161" s="47"/>
      <c r="AN161" s="47"/>
      <c r="AO161" s="47"/>
      <c r="AP161" s="47"/>
      <c r="AQ161" s="47"/>
      <c r="AR161" s="47"/>
      <c r="AS161" s="47"/>
      <c r="AT161" s="47"/>
      <c r="AU161" s="47"/>
      <c r="AV161" s="47"/>
      <c r="AW161" s="47"/>
      <c r="AX161" s="47"/>
      <c r="AY161" s="47"/>
      <c r="AZ161" s="47"/>
      <c r="BA161" s="47"/>
      <c r="BB161" s="47"/>
    </row>
    <row r="162" spans="1:54" ht="20" customHeight="1" x14ac:dyDescent="0.2">
      <c r="A162" s="809"/>
      <c r="B162" s="718"/>
      <c r="C162" s="262"/>
      <c r="D162" s="719" t="s">
        <v>85</v>
      </c>
      <c r="E162" s="720" t="s">
        <v>246</v>
      </c>
      <c r="F162" s="720" t="s">
        <v>247</v>
      </c>
      <c r="G162" s="719">
        <v>2015</v>
      </c>
      <c r="H162" s="286"/>
      <c r="I162" s="709">
        <v>40</v>
      </c>
      <c r="J162" s="710" t="s">
        <v>323</v>
      </c>
      <c r="K162" s="825" t="s">
        <v>324</v>
      </c>
      <c r="L162" s="826"/>
      <c r="M162" s="716" t="str">
        <f t="shared" ref="M162:M207" si="80">IF((ISERROR((L162/$I162)*100)), "", IF(AND(NOT(ISERROR((L162/$I162)*100)),((L162/$I162)*100) &lt;&gt; 0), (L162/$I162)*100, ""))</f>
        <v/>
      </c>
      <c r="N162" s="714"/>
      <c r="O162" s="713" t="str">
        <f t="shared" ref="O162:O207" si="81">IF((ISERROR((N162/$I162)*100)), "", IF(AND(NOT(ISERROR((N162/$I162)*100)),((N162/$I162)*100) &lt;&gt; 0), (N162/$I162)*100, ""))</f>
        <v/>
      </c>
      <c r="P162" s="714"/>
      <c r="Q162" s="713" t="str">
        <f t="shared" ref="Q162:Q207" si="82">IF((ISERROR((P162/$I162)*100)), "", IF(AND(NOT(ISERROR((P162/$I162)*100)),((P162/$I162)*100) &lt;&gt; 0), (P162/$I162)*100, ""))</f>
        <v/>
      </c>
      <c r="R162" s="714"/>
      <c r="S162" s="713" t="str">
        <f t="shared" ref="S162:S207" si="83">IF((ISERROR((R162/$I162)*100)), "", IF(AND(NOT(ISERROR((R162/$I162)*100)),((R162/$I162)*100) &lt;&gt; 0), (R162/$I162)*100, ""))</f>
        <v/>
      </c>
      <c r="T162" s="714"/>
      <c r="U162" s="713" t="str">
        <f t="shared" ref="U162:U207" si="84">IF((ISERROR((T162/$I162)*100)), "", IF(AND(NOT(ISERROR((T162/$I162)*100)),((T162/$I162)*100) &lt;&gt; 0), (T162/$I162)*100, ""))</f>
        <v/>
      </c>
      <c r="V162" s="714"/>
      <c r="W162" s="713" t="str">
        <f t="shared" ref="W162:W207" si="85">IF((ISERROR((V162/$I162)*100)), "", IF(AND(NOT(ISERROR((V162/$I162)*100)),((V162/$I162)*100) &lt;&gt; 0), (V162/$I162)*100, ""))</f>
        <v/>
      </c>
      <c r="X162" s="712"/>
      <c r="Y162" s="713" t="str">
        <f>IF((ISERROR((X162/$I162)*100)), "", IF(AND(NOT(ISERROR((X162/$I162)*100)),((X162/$I162)*100) &lt;&gt; 0), (X162/$I162)*100, ""))</f>
        <v/>
      </c>
      <c r="Z162" s="714"/>
      <c r="AA162" s="713" t="str">
        <f t="shared" ref="AA162" si="86">IF((ISERROR((Z162/$I162)*100)), "", IF(AND(NOT(ISERROR((Z162/$I162)*100)),((Z162/$I162)*100) &lt;&gt; 0), (Z162/$I162)*100, ""))</f>
        <v/>
      </c>
      <c r="AB162" s="714"/>
      <c r="AC162" s="713" t="str">
        <f t="shared" ref="AC162:AC255" si="87">IF((ISERROR((AB162/$I162)*100)), "", IF(AND(NOT(ISERROR((AB162/$I162)*100)),((AB162/$I162)*100) &lt;&gt; 0), (AB162/$I162)*100, ""))</f>
        <v/>
      </c>
      <c r="AD162" s="714"/>
      <c r="AE162" s="713" t="str">
        <f t="shared" ref="AE162:AE255" si="88">IF((ISERROR((AD162/$I162)*100)), "", IF(AND(NOT(ISERROR((AD162/$I162)*100)),((AD162/$I162)*100) &lt;&gt; 0), (AD162/$I162)*100, ""))</f>
        <v/>
      </c>
      <c r="AF162" s="714"/>
      <c r="AG162" s="713" t="str">
        <f t="shared" ref="AG162:AG255" si="89">IF((ISERROR((AF162/$I162)*100)), "", IF(AND(NOT(ISERROR((AF162/$I162)*100)),((AF162/$I162)*100) &lt;&gt; 0), (AF162/$I162)*100, ""))</f>
        <v/>
      </c>
      <c r="AH162" s="47" t="s">
        <v>325</v>
      </c>
      <c r="AI162" s="21"/>
      <c r="AJ162" s="21"/>
      <c r="AK162" s="21"/>
      <c r="AL162" s="21"/>
      <c r="AM162" s="21"/>
      <c r="AN162" s="21"/>
      <c r="AO162" s="21"/>
      <c r="AP162" s="21"/>
      <c r="AQ162" s="21"/>
      <c r="AR162" s="21"/>
      <c r="AS162" s="21"/>
      <c r="AT162" s="21"/>
      <c r="AU162" s="21"/>
      <c r="AV162" s="21"/>
      <c r="AW162" s="21"/>
      <c r="AX162" s="21"/>
      <c r="AY162" s="21"/>
      <c r="AZ162" s="21"/>
      <c r="BA162" s="21"/>
    </row>
    <row r="163" spans="1:54" ht="20" customHeight="1" x14ac:dyDescent="0.2">
      <c r="A163" s="678"/>
      <c r="B163" s="721"/>
      <c r="C163" s="255"/>
      <c r="D163" s="722" t="s">
        <v>85</v>
      </c>
      <c r="E163" s="723" t="s">
        <v>26</v>
      </c>
      <c r="F163" s="723" t="s">
        <v>27</v>
      </c>
      <c r="G163" s="722">
        <v>2008</v>
      </c>
      <c r="H163" s="287">
        <v>165</v>
      </c>
      <c r="I163" s="81">
        <v>107</v>
      </c>
      <c r="J163" s="76" t="s">
        <v>165</v>
      </c>
      <c r="K163" s="49"/>
      <c r="L163" s="72"/>
      <c r="M163" s="34" t="str">
        <f t="shared" si="80"/>
        <v/>
      </c>
      <c r="N163" s="31"/>
      <c r="O163" s="34" t="str">
        <f t="shared" si="81"/>
        <v/>
      </c>
      <c r="P163" s="31"/>
      <c r="Q163" s="34" t="str">
        <f t="shared" si="82"/>
        <v/>
      </c>
      <c r="R163" s="31">
        <v>1</v>
      </c>
      <c r="S163" s="34">
        <f t="shared" si="83"/>
        <v>0.93457943925233633</v>
      </c>
      <c r="T163" s="31"/>
      <c r="U163" s="34" t="str">
        <f t="shared" si="84"/>
        <v/>
      </c>
      <c r="V163" s="50"/>
      <c r="W163" s="51" t="str">
        <f t="shared" si="85"/>
        <v/>
      </c>
      <c r="X163" s="50"/>
      <c r="Y163" s="51" t="str">
        <f t="shared" ref="Y163" si="90">IF((ISERROR((X163/$I163)*100)), "", IF(AND(NOT(ISERROR((X163/$I163)*100)),((X163/$I163)*100) &lt;&gt; 0), (X163/$I163)*100, ""))</f>
        <v/>
      </c>
      <c r="Z163" s="50"/>
      <c r="AA163" s="51" t="str">
        <f t="shared" ref="AA163:AA165" si="91">IF((ISERROR((Z163/$I163)*100)), "", IF(AND(NOT(ISERROR((Z163/$I163)*100)),((Z163/$I163)*100) &lt;&gt; 0), (Z163/$I163)*100, ""))</f>
        <v/>
      </c>
      <c r="AB163" s="50"/>
      <c r="AC163" s="51" t="str">
        <f t="shared" si="87"/>
        <v/>
      </c>
      <c r="AD163" s="50"/>
      <c r="AE163" s="51" t="str">
        <f t="shared" si="88"/>
        <v/>
      </c>
      <c r="AF163" s="50"/>
      <c r="AG163" s="51" t="str">
        <f t="shared" si="89"/>
        <v/>
      </c>
      <c r="AH163" s="21" t="s">
        <v>552</v>
      </c>
      <c r="AI163" s="21"/>
      <c r="AJ163" s="21"/>
      <c r="AK163" s="21"/>
      <c r="AL163" s="21"/>
      <c r="AM163" s="21"/>
      <c r="AN163" s="21"/>
      <c r="AO163" s="21"/>
      <c r="AP163" s="21"/>
      <c r="AQ163" s="21"/>
      <c r="AR163" s="21"/>
      <c r="AS163" s="21"/>
      <c r="AT163" s="21"/>
      <c r="AU163" s="21"/>
      <c r="AV163" s="21"/>
      <c r="AW163" s="21"/>
      <c r="AX163" s="21"/>
      <c r="AY163" s="21"/>
      <c r="AZ163" s="21"/>
      <c r="BA163" s="21"/>
    </row>
    <row r="164" spans="1:54" ht="20" customHeight="1" x14ac:dyDescent="0.2">
      <c r="A164" s="678"/>
      <c r="B164" s="721"/>
      <c r="C164" s="253"/>
      <c r="D164" s="722" t="s">
        <v>85</v>
      </c>
      <c r="E164" s="723" t="s">
        <v>248</v>
      </c>
      <c r="F164" s="723" t="s">
        <v>249</v>
      </c>
      <c r="G164" s="722">
        <v>2016</v>
      </c>
      <c r="H164" s="724"/>
      <c r="I164" s="65">
        <v>12</v>
      </c>
      <c r="J164" s="61" t="s">
        <v>327</v>
      </c>
      <c r="K164" s="30"/>
      <c r="L164" s="73"/>
      <c r="M164" s="34" t="str">
        <f t="shared" si="80"/>
        <v/>
      </c>
      <c r="N164" s="31"/>
      <c r="O164" s="34" t="str">
        <f t="shared" si="81"/>
        <v/>
      </c>
      <c r="P164" s="31"/>
      <c r="Q164" s="34" t="str">
        <f t="shared" si="82"/>
        <v/>
      </c>
      <c r="R164" s="31"/>
      <c r="S164" s="34" t="str">
        <f t="shared" si="83"/>
        <v/>
      </c>
      <c r="T164" s="31"/>
      <c r="U164" s="34" t="str">
        <f t="shared" si="84"/>
        <v/>
      </c>
      <c r="V164" s="31"/>
      <c r="W164" s="34" t="str">
        <f t="shared" si="85"/>
        <v/>
      </c>
      <c r="X164" s="31"/>
      <c r="Y164" s="34" t="str">
        <f>IF((ISERROR((X164/$I164)*100)), "", IF(AND(NOT(ISERROR((X164/$I164)*100)),((X164/$I164)*100) &lt;&gt; 0), (X164/$I164)*100, ""))</f>
        <v/>
      </c>
      <c r="Z164" s="31"/>
      <c r="AA164" s="34" t="str">
        <f t="shared" si="91"/>
        <v/>
      </c>
      <c r="AB164" s="31"/>
      <c r="AC164" s="34" t="str">
        <f t="shared" si="87"/>
        <v/>
      </c>
      <c r="AD164" s="31"/>
      <c r="AE164" s="34" t="str">
        <f t="shared" si="88"/>
        <v/>
      </c>
      <c r="AF164" s="31"/>
      <c r="AG164" s="34" t="str">
        <f t="shared" si="89"/>
        <v/>
      </c>
      <c r="AH164" s="21" t="s">
        <v>328</v>
      </c>
      <c r="AI164" s="21"/>
      <c r="AJ164" s="21"/>
      <c r="AK164" s="21"/>
      <c r="AL164" s="21"/>
      <c r="AM164" s="21"/>
      <c r="AN164" s="21"/>
      <c r="AO164" s="21"/>
      <c r="AP164" s="21"/>
      <c r="AQ164" s="21"/>
      <c r="AR164" s="21"/>
      <c r="AS164" s="21"/>
      <c r="AT164" s="21"/>
      <c r="AU164" s="21"/>
      <c r="AV164" s="21"/>
      <c r="AW164" s="21"/>
      <c r="AX164" s="21"/>
      <c r="AY164" s="21"/>
      <c r="AZ164" s="21"/>
      <c r="BA164" s="21"/>
    </row>
    <row r="165" spans="1:54" ht="20" customHeight="1" x14ac:dyDescent="0.2">
      <c r="A165" s="678"/>
      <c r="B165" s="810"/>
      <c r="C165" s="811"/>
      <c r="D165" s="722" t="s">
        <v>85</v>
      </c>
      <c r="E165" s="723" t="s">
        <v>556</v>
      </c>
      <c r="F165" s="723" t="s">
        <v>557</v>
      </c>
      <c r="G165" s="722">
        <v>2012</v>
      </c>
      <c r="H165" s="812"/>
      <c r="I165" s="231">
        <v>70</v>
      </c>
      <c r="J165" s="232" t="s">
        <v>181</v>
      </c>
      <c r="K165" s="250" t="s">
        <v>190</v>
      </c>
      <c r="L165" s="73">
        <v>31</v>
      </c>
      <c r="M165" s="34">
        <f t="shared" si="80"/>
        <v>44.285714285714285</v>
      </c>
      <c r="N165" s="31">
        <v>10</v>
      </c>
      <c r="O165" s="34">
        <f t="shared" si="81"/>
        <v>14.285714285714285</v>
      </c>
      <c r="P165" s="31"/>
      <c r="Q165" s="34"/>
      <c r="R165" s="31"/>
      <c r="S165" s="34"/>
      <c r="T165" s="31"/>
      <c r="U165" s="34"/>
      <c r="V165" s="31">
        <v>1</v>
      </c>
      <c r="W165" s="34">
        <f t="shared" si="85"/>
        <v>1.4285714285714286</v>
      </c>
      <c r="X165" s="31"/>
      <c r="Y165" s="34"/>
      <c r="Z165" s="31">
        <v>3</v>
      </c>
      <c r="AA165" s="34">
        <f t="shared" si="91"/>
        <v>4.2857142857142856</v>
      </c>
      <c r="AB165" s="31"/>
      <c r="AC165" s="34"/>
      <c r="AD165" s="31"/>
      <c r="AE165" s="34"/>
      <c r="AF165" s="31"/>
      <c r="AG165" s="34"/>
      <c r="AH165" s="21" t="s">
        <v>559</v>
      </c>
      <c r="AI165" s="21"/>
      <c r="AJ165" s="21"/>
      <c r="AK165" s="21"/>
      <c r="AL165" s="21"/>
      <c r="AM165" s="21"/>
      <c r="AN165" s="21"/>
      <c r="AO165" s="21"/>
      <c r="AP165" s="21"/>
      <c r="AQ165" s="21"/>
      <c r="AR165" s="21"/>
      <c r="AS165" s="21"/>
      <c r="AT165" s="21"/>
      <c r="AU165" s="21"/>
      <c r="AV165" s="21"/>
      <c r="AW165" s="21"/>
      <c r="AX165" s="21"/>
      <c r="AY165" s="21"/>
      <c r="AZ165" s="21"/>
      <c r="BA165" s="21"/>
    </row>
    <row r="166" spans="1:54" ht="20" customHeight="1" x14ac:dyDescent="0.2">
      <c r="A166" s="680"/>
      <c r="B166" s="721"/>
      <c r="C166" s="722"/>
      <c r="D166" s="722" t="s">
        <v>85</v>
      </c>
      <c r="E166" s="723" t="s">
        <v>595</v>
      </c>
      <c r="F166" s="723" t="s">
        <v>596</v>
      </c>
      <c r="G166" s="722">
        <v>1984</v>
      </c>
      <c r="H166" s="287"/>
      <c r="I166" s="701"/>
      <c r="J166" s="232" t="s">
        <v>210</v>
      </c>
      <c r="K166" s="250" t="s">
        <v>168</v>
      </c>
      <c r="L166" s="73"/>
      <c r="M166" s="34"/>
      <c r="N166" s="31"/>
      <c r="O166" s="34"/>
      <c r="P166" s="31"/>
      <c r="Q166" s="34"/>
      <c r="R166" s="31"/>
      <c r="S166" s="34"/>
      <c r="T166" s="31"/>
      <c r="U166" s="34"/>
      <c r="V166" s="31"/>
      <c r="W166" s="34"/>
      <c r="X166" s="31"/>
      <c r="Y166" s="34"/>
      <c r="Z166" s="31"/>
      <c r="AA166" s="34"/>
      <c r="AB166" s="31"/>
      <c r="AC166" s="34"/>
      <c r="AD166" s="31"/>
      <c r="AE166" s="34"/>
      <c r="AF166" s="31"/>
      <c r="AG166" s="34"/>
      <c r="AH166" s="21"/>
      <c r="AI166" s="21"/>
      <c r="AJ166" s="21"/>
      <c r="AK166" s="21"/>
      <c r="AL166" s="21"/>
      <c r="AM166" s="21"/>
      <c r="AN166" s="21"/>
      <c r="AO166" s="21"/>
      <c r="AP166" s="21"/>
      <c r="AQ166" s="21"/>
      <c r="AR166" s="21"/>
      <c r="AS166" s="21"/>
      <c r="AT166" s="21"/>
      <c r="AU166" s="21"/>
      <c r="AV166" s="21"/>
      <c r="AW166" s="21"/>
      <c r="AX166" s="21"/>
      <c r="AY166" s="21"/>
      <c r="AZ166" s="21"/>
      <c r="BA166" s="21"/>
    </row>
    <row r="167" spans="1:54" ht="20" customHeight="1" x14ac:dyDescent="0.2">
      <c r="A167" s="680"/>
      <c r="B167" s="721"/>
      <c r="C167" s="722"/>
      <c r="D167" s="722" t="s">
        <v>85</v>
      </c>
      <c r="E167" s="723" t="s">
        <v>598</v>
      </c>
      <c r="F167" s="723" t="s">
        <v>599</v>
      </c>
      <c r="G167" s="722">
        <v>2015</v>
      </c>
      <c r="H167" s="287"/>
      <c r="I167" s="701"/>
      <c r="J167" s="232" t="s">
        <v>600</v>
      </c>
      <c r="K167" s="250" t="s">
        <v>601</v>
      </c>
      <c r="L167" s="73"/>
      <c r="M167" s="34"/>
      <c r="N167" s="31"/>
      <c r="O167" s="34"/>
      <c r="P167" s="31"/>
      <c r="Q167" s="34"/>
      <c r="R167" s="31"/>
      <c r="S167" s="34"/>
      <c r="T167" s="31"/>
      <c r="U167" s="34"/>
      <c r="V167" s="31"/>
      <c r="W167" s="34"/>
      <c r="X167" s="31"/>
      <c r="Y167" s="34"/>
      <c r="Z167" s="31"/>
      <c r="AA167" s="34"/>
      <c r="AB167" s="31"/>
      <c r="AC167" s="34"/>
      <c r="AD167" s="31"/>
      <c r="AE167" s="34"/>
      <c r="AF167" s="31"/>
      <c r="AG167" s="34"/>
      <c r="AH167" s="21"/>
      <c r="AI167" s="21"/>
      <c r="AJ167" s="21"/>
      <c r="AK167" s="21"/>
      <c r="AL167" s="21"/>
      <c r="AM167" s="21"/>
      <c r="AN167" s="21"/>
      <c r="AO167" s="21"/>
      <c r="AP167" s="21"/>
      <c r="AQ167" s="21"/>
      <c r="AR167" s="21"/>
      <c r="AS167" s="21"/>
      <c r="AT167" s="21"/>
      <c r="AU167" s="21"/>
      <c r="AV167" s="21"/>
      <c r="AW167" s="21"/>
      <c r="AX167" s="21"/>
      <c r="AY167" s="21"/>
      <c r="AZ167" s="21"/>
      <c r="BA167" s="21"/>
    </row>
    <row r="168" spans="1:54" ht="20" customHeight="1" x14ac:dyDescent="0.2">
      <c r="A168" s="680"/>
      <c r="B168" s="721"/>
      <c r="C168" s="722"/>
      <c r="D168" s="722" t="s">
        <v>85</v>
      </c>
      <c r="E168" s="723" t="s">
        <v>602</v>
      </c>
      <c r="F168" s="723" t="s">
        <v>603</v>
      </c>
      <c r="G168" s="722">
        <v>2016</v>
      </c>
      <c r="H168" s="287"/>
      <c r="I168" s="703"/>
      <c r="J168" s="704" t="s">
        <v>184</v>
      </c>
      <c r="K168" s="705"/>
      <c r="L168" s="73"/>
      <c r="M168" s="34"/>
      <c r="N168" s="31"/>
      <c r="O168" s="34"/>
      <c r="P168" s="31"/>
      <c r="Q168" s="34"/>
      <c r="R168" s="31"/>
      <c r="S168" s="34"/>
      <c r="T168" s="31"/>
      <c r="U168" s="34"/>
      <c r="V168" s="31"/>
      <c r="W168" s="34"/>
      <c r="X168" s="31"/>
      <c r="Y168" s="34"/>
      <c r="Z168" s="31"/>
      <c r="AA168" s="34"/>
      <c r="AB168" s="31"/>
      <c r="AC168" s="34"/>
      <c r="AD168" s="31"/>
      <c r="AE168" s="34"/>
      <c r="AF168" s="31"/>
      <c r="AG168" s="34"/>
      <c r="AH168" s="21"/>
      <c r="AI168" s="21"/>
      <c r="AJ168" s="21"/>
      <c r="AK168" s="21"/>
      <c r="AL168" s="21"/>
      <c r="AM168" s="21"/>
      <c r="AN168" s="21"/>
      <c r="AO168" s="21"/>
      <c r="AP168" s="21"/>
      <c r="AQ168" s="21"/>
      <c r="AR168" s="21"/>
      <c r="AS168" s="21"/>
      <c r="AT168" s="21"/>
      <c r="AU168" s="21"/>
      <c r="AV168" s="21"/>
      <c r="AW168" s="21"/>
      <c r="AX168" s="21"/>
      <c r="AY168" s="21"/>
      <c r="AZ168" s="21"/>
      <c r="BA168" s="21"/>
    </row>
    <row r="169" spans="1:54" ht="20" customHeight="1" x14ac:dyDescent="0.2">
      <c r="A169" s="680"/>
      <c r="B169" s="721"/>
      <c r="C169" s="722"/>
      <c r="D169" s="722" t="s">
        <v>85</v>
      </c>
      <c r="E169" s="723" t="s">
        <v>604</v>
      </c>
      <c r="F169" s="723" t="s">
        <v>605</v>
      </c>
      <c r="G169" s="722">
        <v>2001</v>
      </c>
      <c r="H169" s="287"/>
      <c r="I169" s="703"/>
      <c r="J169" s="704" t="s">
        <v>213</v>
      </c>
      <c r="K169" s="705" t="s">
        <v>189</v>
      </c>
      <c r="L169" s="73"/>
      <c r="M169" s="34"/>
      <c r="N169" s="31"/>
      <c r="O169" s="34"/>
      <c r="P169" s="31"/>
      <c r="Q169" s="34"/>
      <c r="R169" s="31"/>
      <c r="S169" s="34"/>
      <c r="T169" s="31"/>
      <c r="U169" s="34"/>
      <c r="V169" s="31"/>
      <c r="W169" s="34"/>
      <c r="X169" s="31"/>
      <c r="Y169" s="34"/>
      <c r="Z169" s="31"/>
      <c r="AA169" s="34"/>
      <c r="AB169" s="31"/>
      <c r="AC169" s="34"/>
      <c r="AD169" s="31"/>
      <c r="AE169" s="34"/>
      <c r="AF169" s="31"/>
      <c r="AG169" s="34"/>
      <c r="AH169" s="21"/>
      <c r="AI169" s="21"/>
      <c r="AJ169" s="21"/>
      <c r="AK169" s="21"/>
      <c r="AL169" s="21"/>
      <c r="AM169" s="21"/>
      <c r="AN169" s="21"/>
      <c r="AO169" s="21"/>
      <c r="AP169" s="21"/>
      <c r="AQ169" s="21"/>
      <c r="AR169" s="21"/>
      <c r="AS169" s="21"/>
      <c r="AT169" s="21"/>
      <c r="AU169" s="21"/>
      <c r="AV169" s="21"/>
      <c r="AW169" s="21"/>
      <c r="AX169" s="21"/>
      <c r="AY169" s="21"/>
      <c r="AZ169" s="21"/>
      <c r="BA169" s="21"/>
    </row>
    <row r="170" spans="1:54" ht="20" customHeight="1" x14ac:dyDescent="0.2">
      <c r="A170" s="678"/>
      <c r="B170" s="721"/>
      <c r="C170" s="255"/>
      <c r="D170" s="722" t="s">
        <v>85</v>
      </c>
      <c r="E170" s="723" t="s">
        <v>33</v>
      </c>
      <c r="F170" s="723" t="s">
        <v>34</v>
      </c>
      <c r="G170" s="722">
        <v>2003</v>
      </c>
      <c r="H170" s="287">
        <v>291</v>
      </c>
      <c r="I170" s="65">
        <v>14</v>
      </c>
      <c r="J170" s="61" t="s">
        <v>166</v>
      </c>
      <c r="K170" s="30"/>
      <c r="L170" s="73"/>
      <c r="M170" s="34" t="str">
        <f t="shared" si="80"/>
        <v/>
      </c>
      <c r="N170" s="31">
        <v>2</v>
      </c>
      <c r="O170" s="34">
        <f t="shared" si="81"/>
        <v>14.285714285714285</v>
      </c>
      <c r="P170" s="31"/>
      <c r="Q170" s="34" t="str">
        <f t="shared" si="82"/>
        <v/>
      </c>
      <c r="R170" s="31"/>
      <c r="S170" s="34" t="str">
        <f t="shared" si="83"/>
        <v/>
      </c>
      <c r="T170" s="31"/>
      <c r="U170" s="34" t="str">
        <f t="shared" si="84"/>
        <v/>
      </c>
      <c r="V170" s="31"/>
      <c r="W170" s="34" t="str">
        <f t="shared" si="85"/>
        <v/>
      </c>
      <c r="X170" s="31">
        <v>1</v>
      </c>
      <c r="Y170" s="34">
        <f t="shared" ref="Y170" si="92">IF((ISERROR((X170/$I170)*100)), "", IF(AND(NOT(ISERROR((X170/$I170)*100)),((X170/$I170)*100) &lt;&gt; 0), (X170/$I170)*100, ""))</f>
        <v>7.1428571428571423</v>
      </c>
      <c r="Z170" s="31"/>
      <c r="AA170" s="34" t="str">
        <f t="shared" ref="AA170:AA189" si="93">IF((ISERROR((Z170/$I170)*100)), "", IF(AND(NOT(ISERROR((Z170/$I170)*100)),((Z170/$I170)*100) &lt;&gt; 0), (Z170/$I170)*100, ""))</f>
        <v/>
      </c>
      <c r="AB170" s="31"/>
      <c r="AC170" s="34" t="str">
        <f t="shared" si="87"/>
        <v/>
      </c>
      <c r="AD170" s="31"/>
      <c r="AE170" s="34" t="str">
        <f t="shared" si="88"/>
        <v/>
      </c>
      <c r="AF170" s="31"/>
      <c r="AG170" s="34" t="str">
        <f t="shared" si="89"/>
        <v/>
      </c>
      <c r="AH170" s="21" t="s">
        <v>329</v>
      </c>
      <c r="AI170" s="21"/>
      <c r="AJ170" s="21"/>
      <c r="AK170" s="21"/>
      <c r="AL170" s="21"/>
      <c r="AM170" s="21"/>
      <c r="AN170" s="21"/>
      <c r="AO170" s="21"/>
      <c r="AP170" s="21"/>
      <c r="AQ170" s="21"/>
      <c r="AR170" s="21"/>
      <c r="AS170" s="21"/>
      <c r="AT170" s="21"/>
      <c r="AU170" s="21"/>
      <c r="AV170" s="21"/>
      <c r="AW170" s="21"/>
      <c r="AX170" s="21"/>
      <c r="AY170" s="21"/>
      <c r="AZ170" s="21"/>
      <c r="BA170" s="21"/>
    </row>
    <row r="171" spans="1:54" ht="20" customHeight="1" x14ac:dyDescent="0.2">
      <c r="A171" s="678"/>
      <c r="B171" s="725"/>
      <c r="C171" s="255"/>
      <c r="D171" s="722" t="s">
        <v>85</v>
      </c>
      <c r="E171" s="723" t="s">
        <v>250</v>
      </c>
      <c r="F171" s="723" t="s">
        <v>251</v>
      </c>
      <c r="G171" s="722">
        <v>2008</v>
      </c>
      <c r="H171" s="287"/>
      <c r="I171" s="65">
        <v>13</v>
      </c>
      <c r="J171" s="61" t="s">
        <v>217</v>
      </c>
      <c r="K171" s="30" t="s">
        <v>330</v>
      </c>
      <c r="L171" s="73"/>
      <c r="M171" s="34" t="str">
        <f t="shared" si="80"/>
        <v/>
      </c>
      <c r="N171" s="31">
        <v>1</v>
      </c>
      <c r="O171" s="34">
        <f t="shared" si="81"/>
        <v>7.6923076923076925</v>
      </c>
      <c r="P171" s="31"/>
      <c r="Q171" s="34" t="str">
        <f t="shared" si="82"/>
        <v/>
      </c>
      <c r="R171" s="31"/>
      <c r="S171" s="34" t="str">
        <f t="shared" si="83"/>
        <v/>
      </c>
      <c r="T171" s="31"/>
      <c r="U171" s="34" t="str">
        <f t="shared" si="84"/>
        <v/>
      </c>
      <c r="V171" s="31"/>
      <c r="W171" s="34" t="str">
        <f t="shared" si="85"/>
        <v/>
      </c>
      <c r="X171" s="31"/>
      <c r="Y171" s="34" t="str">
        <f>IF((ISERROR((X171/$I171)*100)), "", IF(AND(NOT(ISERROR((X171/$I171)*100)),((X171/$I171)*100) &lt;&gt; 0), (X171/$I171)*100, ""))</f>
        <v/>
      </c>
      <c r="Z171" s="31"/>
      <c r="AA171" s="34" t="str">
        <f t="shared" si="93"/>
        <v/>
      </c>
      <c r="AB171" s="31"/>
      <c r="AC171" s="34" t="str">
        <f t="shared" si="87"/>
        <v/>
      </c>
      <c r="AD171" s="31"/>
      <c r="AE171" s="34" t="str">
        <f t="shared" si="88"/>
        <v/>
      </c>
      <c r="AF171" s="31"/>
      <c r="AG171" s="34" t="str">
        <f t="shared" si="89"/>
        <v/>
      </c>
      <c r="AH171" s="21"/>
      <c r="AI171" s="21"/>
      <c r="AJ171" s="21"/>
      <c r="AK171" s="21"/>
      <c r="AL171" s="21"/>
      <c r="AM171" s="21"/>
      <c r="AN171" s="21"/>
      <c r="AO171" s="21"/>
      <c r="AP171" s="21"/>
      <c r="AQ171" s="21"/>
      <c r="AR171" s="21"/>
      <c r="AS171" s="21"/>
      <c r="AT171" s="21"/>
      <c r="AU171" s="21"/>
      <c r="AV171" s="21"/>
      <c r="AW171" s="21"/>
      <c r="AX171" s="21"/>
      <c r="AY171" s="21"/>
      <c r="AZ171" s="21"/>
      <c r="BA171" s="21"/>
    </row>
    <row r="172" spans="1:54" ht="20" customHeight="1" x14ac:dyDescent="0.2">
      <c r="A172" s="678"/>
      <c r="B172" s="721"/>
      <c r="C172" s="255"/>
      <c r="D172" s="722" t="s">
        <v>85</v>
      </c>
      <c r="E172" s="723" t="s">
        <v>36</v>
      </c>
      <c r="F172" s="723" t="s">
        <v>37</v>
      </c>
      <c r="G172" s="722">
        <v>2008</v>
      </c>
      <c r="H172" s="287">
        <v>40</v>
      </c>
      <c r="I172" s="65">
        <v>29</v>
      </c>
      <c r="J172" s="61" t="s">
        <v>175</v>
      </c>
      <c r="K172" s="30" t="s">
        <v>168</v>
      </c>
      <c r="L172" s="73"/>
      <c r="M172" s="34" t="str">
        <f t="shared" si="80"/>
        <v/>
      </c>
      <c r="N172" s="31"/>
      <c r="O172" s="34" t="str">
        <f t="shared" si="81"/>
        <v/>
      </c>
      <c r="P172" s="31"/>
      <c r="Q172" s="34" t="str">
        <f t="shared" si="82"/>
        <v/>
      </c>
      <c r="R172" s="31"/>
      <c r="S172" s="34" t="str">
        <f t="shared" si="83"/>
        <v/>
      </c>
      <c r="T172" s="31"/>
      <c r="U172" s="34" t="str">
        <f t="shared" si="84"/>
        <v/>
      </c>
      <c r="V172" s="31"/>
      <c r="W172" s="34" t="str">
        <f t="shared" si="85"/>
        <v/>
      </c>
      <c r="X172" s="31"/>
      <c r="Y172" s="34" t="str">
        <f>IF((ISERROR((X172/$I172)*100)), "", IF(AND(NOT(ISERROR((X172/$I172)*100)),((X172/$I172)*100) &lt;&gt; 0), (X172/$I172)*100, ""))</f>
        <v/>
      </c>
      <c r="Z172" s="31"/>
      <c r="AA172" s="34" t="str">
        <f t="shared" si="93"/>
        <v/>
      </c>
      <c r="AB172" s="31"/>
      <c r="AC172" s="34" t="str">
        <f t="shared" si="87"/>
        <v/>
      </c>
      <c r="AD172" s="31"/>
      <c r="AE172" s="34" t="str">
        <f t="shared" si="88"/>
        <v/>
      </c>
      <c r="AF172" s="31"/>
      <c r="AG172" s="34" t="str">
        <f t="shared" si="89"/>
        <v/>
      </c>
      <c r="AH172" s="21" t="s">
        <v>472</v>
      </c>
      <c r="AI172" s="21"/>
      <c r="AJ172" s="21"/>
      <c r="AK172" s="21"/>
      <c r="AL172" s="21"/>
      <c r="AM172" s="21"/>
      <c r="AN172" s="21"/>
      <c r="AO172" s="21"/>
      <c r="AP172" s="21"/>
      <c r="AQ172" s="21"/>
      <c r="AR172" s="21"/>
      <c r="AS172" s="21"/>
      <c r="AT172" s="21"/>
      <c r="AU172" s="21"/>
      <c r="AV172" s="21"/>
      <c r="AW172" s="21"/>
      <c r="AX172" s="21"/>
      <c r="AY172" s="21"/>
      <c r="AZ172" s="21"/>
      <c r="BA172" s="21"/>
    </row>
    <row r="173" spans="1:54" ht="20" customHeight="1" x14ac:dyDescent="0.2">
      <c r="A173" s="678"/>
      <c r="B173" s="725"/>
      <c r="C173" s="255"/>
      <c r="D173" s="722" t="s">
        <v>85</v>
      </c>
      <c r="E173" s="723" t="s">
        <v>41</v>
      </c>
      <c r="F173" s="723" t="s">
        <v>42</v>
      </c>
      <c r="G173" s="722">
        <v>2004</v>
      </c>
      <c r="H173" s="287">
        <v>79</v>
      </c>
      <c r="I173" s="65">
        <v>12</v>
      </c>
      <c r="J173" s="61" t="s">
        <v>167</v>
      </c>
      <c r="K173" s="30" t="s">
        <v>168</v>
      </c>
      <c r="L173" s="73"/>
      <c r="M173" s="34" t="str">
        <f t="shared" si="80"/>
        <v/>
      </c>
      <c r="N173" s="31">
        <v>5</v>
      </c>
      <c r="O173" s="34">
        <f t="shared" si="81"/>
        <v>41.666666666666671</v>
      </c>
      <c r="P173" s="31"/>
      <c r="Q173" s="34" t="str">
        <f t="shared" si="82"/>
        <v/>
      </c>
      <c r="R173" s="31"/>
      <c r="S173" s="34" t="str">
        <f t="shared" si="83"/>
        <v/>
      </c>
      <c r="T173" s="31"/>
      <c r="U173" s="34" t="str">
        <f t="shared" si="84"/>
        <v/>
      </c>
      <c r="V173" s="31"/>
      <c r="W173" s="34" t="str">
        <f t="shared" si="85"/>
        <v/>
      </c>
      <c r="X173" s="31"/>
      <c r="Y173" s="34" t="str">
        <f>IF((ISERROR((X173/$I173)*100)), "", IF(AND(NOT(ISERROR((X173/$I173)*100)),((X173/$I173)*100) &lt;&gt; 0), (X173/$I173)*100, ""))</f>
        <v/>
      </c>
      <c r="Z173" s="31"/>
      <c r="AA173" s="34" t="str">
        <f t="shared" si="93"/>
        <v/>
      </c>
      <c r="AB173" s="31"/>
      <c r="AC173" s="34" t="str">
        <f t="shared" si="87"/>
        <v/>
      </c>
      <c r="AD173" s="31"/>
      <c r="AE173" s="34" t="str">
        <f t="shared" si="88"/>
        <v/>
      </c>
      <c r="AF173" s="31"/>
      <c r="AG173" s="34" t="str">
        <f t="shared" si="89"/>
        <v/>
      </c>
      <c r="AH173" s="21" t="s">
        <v>169</v>
      </c>
      <c r="AI173" s="21"/>
      <c r="AJ173" s="21"/>
      <c r="AK173" s="21"/>
      <c r="AL173" s="21"/>
      <c r="AM173" s="21"/>
      <c r="AN173" s="21"/>
      <c r="AO173" s="21"/>
      <c r="AP173" s="21"/>
      <c r="AQ173" s="21"/>
      <c r="AR173" s="21"/>
      <c r="AS173" s="21"/>
      <c r="AT173" s="21"/>
      <c r="AU173" s="21"/>
      <c r="AV173" s="21"/>
      <c r="AW173" s="21"/>
      <c r="AX173" s="21"/>
      <c r="AY173" s="21"/>
      <c r="AZ173" s="21"/>
      <c r="BA173" s="21"/>
    </row>
    <row r="174" spans="1:54" ht="20" customHeight="1" x14ac:dyDescent="0.2">
      <c r="A174" s="678"/>
      <c r="B174" s="725"/>
      <c r="C174" s="255"/>
      <c r="D174" s="722" t="s">
        <v>85</v>
      </c>
      <c r="E174" s="723" t="s">
        <v>43</v>
      </c>
      <c r="F174" s="723" t="s">
        <v>44</v>
      </c>
      <c r="G174" s="722">
        <v>1976</v>
      </c>
      <c r="H174" s="287">
        <v>179</v>
      </c>
      <c r="I174" s="65">
        <v>8</v>
      </c>
      <c r="J174" s="78" t="s">
        <v>331</v>
      </c>
      <c r="K174" s="30"/>
      <c r="L174" s="73"/>
      <c r="M174" s="34" t="str">
        <f t="shared" si="80"/>
        <v/>
      </c>
      <c r="N174" s="31"/>
      <c r="O174" s="34" t="str">
        <f t="shared" si="81"/>
        <v/>
      </c>
      <c r="P174" s="31"/>
      <c r="Q174" s="34" t="str">
        <f t="shared" si="82"/>
        <v/>
      </c>
      <c r="R174" s="36">
        <v>1</v>
      </c>
      <c r="S174" s="37">
        <f t="shared" si="83"/>
        <v>12.5</v>
      </c>
      <c r="T174" s="31"/>
      <c r="U174" s="34" t="str">
        <f t="shared" si="84"/>
        <v/>
      </c>
      <c r="V174" s="31"/>
      <c r="W174" s="34" t="str">
        <f t="shared" si="85"/>
        <v/>
      </c>
      <c r="X174" s="36">
        <v>1</v>
      </c>
      <c r="Y174" s="37">
        <f>IF((ISERROR((X174/$I174)*100)), "", IF(AND(NOT(ISERROR((X174/$I174)*100)),((X174/$I174)*100) &lt;&gt; 0), (X174/$I174)*100, ""))</f>
        <v>12.5</v>
      </c>
      <c r="Z174" s="31"/>
      <c r="AA174" s="34" t="str">
        <f t="shared" si="93"/>
        <v/>
      </c>
      <c r="AB174" s="36"/>
      <c r="AC174" s="37" t="str">
        <f t="shared" si="87"/>
        <v/>
      </c>
      <c r="AD174" s="36"/>
      <c r="AE174" s="37" t="str">
        <f t="shared" si="88"/>
        <v/>
      </c>
      <c r="AF174" s="31"/>
      <c r="AG174" s="34" t="str">
        <f t="shared" si="89"/>
        <v/>
      </c>
      <c r="AH174" s="21" t="s">
        <v>182</v>
      </c>
      <c r="AI174" s="21"/>
      <c r="AJ174" s="21"/>
      <c r="AK174" s="21"/>
      <c r="AL174" s="21"/>
      <c r="AM174" s="21"/>
      <c r="AN174" s="21"/>
      <c r="AO174" s="21"/>
      <c r="AP174" s="21"/>
      <c r="AQ174" s="21"/>
      <c r="AR174" s="21"/>
      <c r="AS174" s="21"/>
      <c r="AT174" s="21"/>
      <c r="AU174" s="21"/>
      <c r="AV174" s="21"/>
      <c r="AW174" s="21"/>
      <c r="AX174" s="21"/>
      <c r="AY174" s="21"/>
      <c r="AZ174" s="21"/>
      <c r="BA174" s="21"/>
    </row>
    <row r="175" spans="1:54" ht="20" customHeight="1" x14ac:dyDescent="0.2">
      <c r="A175" s="678"/>
      <c r="B175" s="725"/>
      <c r="C175" s="258"/>
      <c r="D175" s="722" t="s">
        <v>85</v>
      </c>
      <c r="E175" s="723" t="s">
        <v>152</v>
      </c>
      <c r="F175" s="723" t="s">
        <v>153</v>
      </c>
      <c r="G175" s="722">
        <v>2007</v>
      </c>
      <c r="H175" s="287"/>
      <c r="I175" s="65">
        <v>44</v>
      </c>
      <c r="J175" s="61" t="s">
        <v>561</v>
      </c>
      <c r="K175" s="62" t="s">
        <v>560</v>
      </c>
      <c r="L175" s="73"/>
      <c r="M175" s="34" t="str">
        <f t="shared" si="80"/>
        <v/>
      </c>
      <c r="N175" s="31"/>
      <c r="O175" s="34" t="str">
        <f t="shared" si="81"/>
        <v/>
      </c>
      <c r="P175" s="31"/>
      <c r="Q175" s="34" t="str">
        <f t="shared" si="82"/>
        <v/>
      </c>
      <c r="R175" s="31"/>
      <c r="S175" s="34" t="str">
        <f t="shared" si="83"/>
        <v/>
      </c>
      <c r="T175" s="31"/>
      <c r="U175" s="34" t="str">
        <f t="shared" si="84"/>
        <v/>
      </c>
      <c r="V175" s="31"/>
      <c r="W175" s="34" t="str">
        <f t="shared" si="85"/>
        <v/>
      </c>
      <c r="X175" s="31"/>
      <c r="Y175" s="34" t="str">
        <f t="shared" ref="Y175:Y182" si="94">IF((ISERROR((X175/$I175)*100)), "", IF(AND(NOT(ISERROR((X175/$I175)*100)),((X175/$I175)*100) &lt;&gt; 0), (X175/$I175)*100, ""))</f>
        <v/>
      </c>
      <c r="Z175" s="31"/>
      <c r="AA175" s="34" t="str">
        <f t="shared" si="93"/>
        <v/>
      </c>
      <c r="AB175" s="31"/>
      <c r="AC175" s="34" t="str">
        <f t="shared" si="87"/>
        <v/>
      </c>
      <c r="AD175" s="31"/>
      <c r="AE175" s="34" t="str">
        <f t="shared" si="88"/>
        <v/>
      </c>
      <c r="AF175" s="31"/>
      <c r="AG175" s="34" t="str">
        <f t="shared" si="89"/>
        <v/>
      </c>
      <c r="AH175" s="21" t="s">
        <v>563</v>
      </c>
      <c r="AI175" s="21"/>
      <c r="AJ175" s="21"/>
      <c r="AK175" s="21"/>
      <c r="AL175" s="21"/>
      <c r="AM175" s="21"/>
      <c r="AN175" s="21"/>
      <c r="AO175" s="21"/>
      <c r="AP175" s="21"/>
      <c r="AQ175" s="21"/>
      <c r="AR175" s="21"/>
      <c r="AS175" s="21"/>
      <c r="AT175" s="21"/>
      <c r="AU175" s="21"/>
      <c r="AV175" s="21"/>
      <c r="AW175" s="21"/>
      <c r="AX175" s="21"/>
      <c r="AY175" s="21"/>
      <c r="AZ175" s="21"/>
      <c r="BA175" s="21"/>
    </row>
    <row r="176" spans="1:54" ht="20" customHeight="1" x14ac:dyDescent="0.2">
      <c r="A176" s="678"/>
      <c r="B176" s="725"/>
      <c r="C176" s="253"/>
      <c r="D176" s="722" t="s">
        <v>85</v>
      </c>
      <c r="E176" s="723" t="s">
        <v>252</v>
      </c>
      <c r="F176" s="723" t="s">
        <v>253</v>
      </c>
      <c r="G176" s="722">
        <v>2014</v>
      </c>
      <c r="H176" s="287"/>
      <c r="I176" s="65">
        <v>48</v>
      </c>
      <c r="J176" s="61" t="s">
        <v>213</v>
      </c>
      <c r="K176" s="30" t="s">
        <v>332</v>
      </c>
      <c r="L176" s="73"/>
      <c r="M176" s="34" t="str">
        <f t="shared" si="80"/>
        <v/>
      </c>
      <c r="N176" s="36"/>
      <c r="O176" s="37" t="str">
        <f t="shared" si="81"/>
        <v/>
      </c>
      <c r="P176" s="31"/>
      <c r="Q176" s="34" t="str">
        <f t="shared" si="82"/>
        <v/>
      </c>
      <c r="R176" s="31"/>
      <c r="S176" s="34" t="str">
        <f t="shared" si="83"/>
        <v/>
      </c>
      <c r="T176" s="31"/>
      <c r="U176" s="34" t="str">
        <f t="shared" si="84"/>
        <v/>
      </c>
      <c r="V176" s="31"/>
      <c r="W176" s="34" t="str">
        <f t="shared" si="85"/>
        <v/>
      </c>
      <c r="X176" s="31"/>
      <c r="Y176" s="34" t="str">
        <f>IF((ISERROR((X176/$I176)*100)), "", IF(AND(NOT(ISERROR((X176/$I176)*100)),((X176/$I176)*100) &lt;&gt; 0), (X176/$I176)*100, ""))</f>
        <v/>
      </c>
      <c r="Z176" s="31"/>
      <c r="AA176" s="34" t="str">
        <f t="shared" si="93"/>
        <v/>
      </c>
      <c r="AB176" s="31"/>
      <c r="AC176" s="34" t="str">
        <f t="shared" si="87"/>
        <v/>
      </c>
      <c r="AD176" s="31"/>
      <c r="AE176" s="34" t="str">
        <f t="shared" si="88"/>
        <v/>
      </c>
      <c r="AF176" s="31"/>
      <c r="AG176" s="34" t="str">
        <f t="shared" si="89"/>
        <v/>
      </c>
      <c r="AH176" s="21" t="s">
        <v>395</v>
      </c>
      <c r="AI176" s="21"/>
      <c r="AJ176" s="21"/>
      <c r="AK176" s="21"/>
      <c r="AL176" s="21"/>
      <c r="AM176" s="21"/>
      <c r="AN176" s="21"/>
      <c r="AO176" s="21"/>
      <c r="AP176" s="21"/>
      <c r="AQ176" s="21"/>
      <c r="AR176" s="21"/>
      <c r="AS176" s="21"/>
      <c r="AT176" s="21"/>
      <c r="AU176" s="21"/>
      <c r="AV176" s="21"/>
      <c r="AW176" s="21"/>
      <c r="AX176" s="21"/>
      <c r="AY176" s="21"/>
      <c r="AZ176" s="21"/>
      <c r="BA176" s="21"/>
    </row>
    <row r="177" spans="1:53" ht="20" customHeight="1" x14ac:dyDescent="0.2">
      <c r="A177" s="680"/>
      <c r="B177" s="721"/>
      <c r="C177" s="253"/>
      <c r="D177" s="722" t="s">
        <v>85</v>
      </c>
      <c r="E177" s="723" t="s">
        <v>612</v>
      </c>
      <c r="F177" s="723" t="s">
        <v>613</v>
      </c>
      <c r="G177" s="722">
        <v>2004</v>
      </c>
      <c r="H177" s="287"/>
      <c r="I177" s="701"/>
      <c r="J177" s="232" t="s">
        <v>614</v>
      </c>
      <c r="K177" s="250"/>
      <c r="L177" s="73"/>
      <c r="M177" s="34"/>
      <c r="N177" s="31"/>
      <c r="O177" s="34"/>
      <c r="P177" s="31"/>
      <c r="Q177" s="34"/>
      <c r="R177" s="31"/>
      <c r="S177" s="34"/>
      <c r="T177" s="31"/>
      <c r="U177" s="34"/>
      <c r="V177" s="31"/>
      <c r="W177" s="34"/>
      <c r="X177" s="31"/>
      <c r="Y177" s="34"/>
      <c r="Z177" s="31"/>
      <c r="AA177" s="34"/>
      <c r="AB177" s="31"/>
      <c r="AC177" s="34"/>
      <c r="AD177" s="31"/>
      <c r="AE177" s="34"/>
      <c r="AF177" s="31"/>
      <c r="AG177" s="34"/>
      <c r="AH177" s="21"/>
      <c r="AI177" s="21"/>
      <c r="AJ177" s="21"/>
      <c r="AK177" s="21"/>
      <c r="AL177" s="21"/>
      <c r="AM177" s="21"/>
      <c r="AN177" s="21"/>
      <c r="AO177" s="21"/>
      <c r="AP177" s="21"/>
      <c r="AQ177" s="21"/>
      <c r="AR177" s="21"/>
      <c r="AS177" s="21"/>
      <c r="AT177" s="21"/>
      <c r="AU177" s="21"/>
      <c r="AV177" s="21"/>
      <c r="AW177" s="21"/>
      <c r="AX177" s="21"/>
      <c r="AY177" s="21"/>
      <c r="AZ177" s="21"/>
      <c r="BA177" s="21"/>
    </row>
    <row r="178" spans="1:53" ht="20" customHeight="1" x14ac:dyDescent="0.2">
      <c r="A178" s="678"/>
      <c r="B178" s="725"/>
      <c r="C178" s="253"/>
      <c r="D178" s="722" t="s">
        <v>85</v>
      </c>
      <c r="E178" s="723" t="s">
        <v>256</v>
      </c>
      <c r="F178" s="723" t="s">
        <v>257</v>
      </c>
      <c r="G178" s="722">
        <v>2012</v>
      </c>
      <c r="H178" s="287"/>
      <c r="I178" s="65">
        <v>80</v>
      </c>
      <c r="J178" s="61" t="s">
        <v>213</v>
      </c>
      <c r="K178" s="30" t="s">
        <v>190</v>
      </c>
      <c r="L178" s="73"/>
      <c r="M178" s="34" t="str">
        <f t="shared" si="80"/>
        <v/>
      </c>
      <c r="N178" s="31"/>
      <c r="O178" s="34" t="str">
        <f t="shared" si="81"/>
        <v/>
      </c>
      <c r="P178" s="31"/>
      <c r="Q178" s="34" t="str">
        <f t="shared" si="82"/>
        <v/>
      </c>
      <c r="R178" s="31"/>
      <c r="S178" s="34" t="str">
        <f t="shared" si="83"/>
        <v/>
      </c>
      <c r="T178" s="31"/>
      <c r="U178" s="34" t="str">
        <f t="shared" si="84"/>
        <v/>
      </c>
      <c r="V178" s="31"/>
      <c r="W178" s="34" t="str">
        <f t="shared" si="85"/>
        <v/>
      </c>
      <c r="X178" s="31"/>
      <c r="Y178" s="34" t="str">
        <f>IF((ISERROR((X178/$I178)*100)), "", IF(AND(NOT(ISERROR((X178/$I178)*100)),((X178/$I178)*100) &lt;&gt; 0), (X178/$I178)*100, ""))</f>
        <v/>
      </c>
      <c r="Z178" s="31"/>
      <c r="AA178" s="34" t="str">
        <f t="shared" si="93"/>
        <v/>
      </c>
      <c r="AB178" s="31"/>
      <c r="AC178" s="34" t="str">
        <f t="shared" si="87"/>
        <v/>
      </c>
      <c r="AD178" s="31"/>
      <c r="AE178" s="34" t="str">
        <f t="shared" si="88"/>
        <v/>
      </c>
      <c r="AF178" s="31"/>
      <c r="AG178" s="34" t="str">
        <f t="shared" si="89"/>
        <v/>
      </c>
      <c r="AH178" s="21"/>
      <c r="AI178" s="21"/>
      <c r="AJ178" s="21"/>
      <c r="AK178" s="21"/>
      <c r="AL178" s="21"/>
      <c r="AM178" s="21"/>
      <c r="AN178" s="21"/>
      <c r="AO178" s="21"/>
      <c r="AP178" s="21"/>
      <c r="AQ178" s="21"/>
      <c r="AR178" s="21"/>
      <c r="AS178" s="21"/>
      <c r="AT178" s="21"/>
      <c r="AU178" s="21"/>
      <c r="AV178" s="21"/>
      <c r="AW178" s="21"/>
      <c r="AX178" s="21"/>
      <c r="AY178" s="21"/>
      <c r="AZ178" s="21"/>
      <c r="BA178" s="21"/>
    </row>
    <row r="179" spans="1:53" ht="20" customHeight="1" x14ac:dyDescent="0.2">
      <c r="A179" s="678"/>
      <c r="B179" s="725"/>
      <c r="C179" s="255"/>
      <c r="D179" s="722" t="s">
        <v>85</v>
      </c>
      <c r="E179" s="723" t="s">
        <v>258</v>
      </c>
      <c r="F179" s="723" t="s">
        <v>259</v>
      </c>
      <c r="G179" s="722">
        <v>2013</v>
      </c>
      <c r="H179" s="287"/>
      <c r="I179" s="65">
        <v>12</v>
      </c>
      <c r="J179" s="61" t="s">
        <v>213</v>
      </c>
      <c r="K179" s="30" t="s">
        <v>333</v>
      </c>
      <c r="L179" s="73"/>
      <c r="M179" s="34" t="str">
        <f t="shared" si="80"/>
        <v/>
      </c>
      <c r="N179" s="31"/>
      <c r="O179" s="34" t="str">
        <f t="shared" si="81"/>
        <v/>
      </c>
      <c r="P179" s="31"/>
      <c r="Q179" s="34" t="str">
        <f t="shared" si="82"/>
        <v/>
      </c>
      <c r="R179" s="31"/>
      <c r="S179" s="34" t="str">
        <f t="shared" si="83"/>
        <v/>
      </c>
      <c r="T179" s="31"/>
      <c r="U179" s="34" t="str">
        <f t="shared" si="84"/>
        <v/>
      </c>
      <c r="V179" s="31"/>
      <c r="W179" s="34" t="str">
        <f t="shared" si="85"/>
        <v/>
      </c>
      <c r="X179" s="31"/>
      <c r="Y179" s="34" t="str">
        <f>IF((ISERROR((X179/$I179)*100)), "", IF(AND(NOT(ISERROR((X179/$I179)*100)),((X179/$I179)*100) &lt;&gt; 0), (X179/$I179)*100, ""))</f>
        <v/>
      </c>
      <c r="Z179" s="31"/>
      <c r="AA179" s="34" t="str">
        <f t="shared" si="93"/>
        <v/>
      </c>
      <c r="AB179" s="31"/>
      <c r="AC179" s="34" t="str">
        <f t="shared" si="87"/>
        <v/>
      </c>
      <c r="AD179" s="31"/>
      <c r="AE179" s="34" t="str">
        <f t="shared" si="88"/>
        <v/>
      </c>
      <c r="AF179" s="31"/>
      <c r="AG179" s="34" t="str">
        <f t="shared" si="89"/>
        <v/>
      </c>
      <c r="AH179" s="21" t="s">
        <v>396</v>
      </c>
      <c r="AI179" s="21"/>
      <c r="AJ179" s="21"/>
      <c r="AK179" s="21"/>
      <c r="AL179" s="21"/>
      <c r="AM179" s="21"/>
      <c r="AN179" s="21"/>
      <c r="AO179" s="21"/>
      <c r="AP179" s="21"/>
      <c r="AQ179" s="21"/>
      <c r="AR179" s="21"/>
      <c r="AS179" s="21"/>
      <c r="AT179" s="21"/>
      <c r="AU179" s="21"/>
      <c r="AV179" s="21"/>
      <c r="AW179" s="21"/>
      <c r="AX179" s="21"/>
      <c r="AY179" s="21"/>
      <c r="AZ179" s="21"/>
      <c r="BA179" s="21"/>
    </row>
    <row r="180" spans="1:53" ht="20" customHeight="1" x14ac:dyDescent="0.2">
      <c r="A180" s="678"/>
      <c r="B180" s="721"/>
      <c r="C180" s="258"/>
      <c r="D180" s="722" t="s">
        <v>85</v>
      </c>
      <c r="E180" s="723" t="s">
        <v>45</v>
      </c>
      <c r="F180" s="723" t="s">
        <v>46</v>
      </c>
      <c r="G180" s="722">
        <v>1998</v>
      </c>
      <c r="H180" s="287">
        <v>96</v>
      </c>
      <c r="I180" s="65">
        <v>61</v>
      </c>
      <c r="J180" s="61" t="s">
        <v>175</v>
      </c>
      <c r="K180" s="30" t="s">
        <v>187</v>
      </c>
      <c r="L180" s="73"/>
      <c r="M180" s="34" t="str">
        <f t="shared" si="80"/>
        <v/>
      </c>
      <c r="N180" s="31"/>
      <c r="O180" s="34" t="str">
        <f t="shared" si="81"/>
        <v/>
      </c>
      <c r="P180" s="31"/>
      <c r="Q180" s="34" t="str">
        <f t="shared" si="82"/>
        <v/>
      </c>
      <c r="R180" s="31"/>
      <c r="S180" s="34" t="str">
        <f t="shared" si="83"/>
        <v/>
      </c>
      <c r="T180" s="31"/>
      <c r="U180" s="34" t="str">
        <f t="shared" si="84"/>
        <v/>
      </c>
      <c r="V180" s="31"/>
      <c r="W180" s="34" t="str">
        <f t="shared" si="85"/>
        <v/>
      </c>
      <c r="X180" s="31"/>
      <c r="Y180" s="34" t="str">
        <f t="shared" si="94"/>
        <v/>
      </c>
      <c r="Z180" s="31"/>
      <c r="AA180" s="34" t="str">
        <f t="shared" si="93"/>
        <v/>
      </c>
      <c r="AB180" s="31"/>
      <c r="AC180" s="34" t="str">
        <f t="shared" si="87"/>
        <v/>
      </c>
      <c r="AD180" s="31"/>
      <c r="AE180" s="34" t="str">
        <f t="shared" si="88"/>
        <v/>
      </c>
      <c r="AF180" s="31"/>
      <c r="AG180" s="34" t="str">
        <f t="shared" si="89"/>
        <v/>
      </c>
      <c r="AH180" s="21" t="s">
        <v>176</v>
      </c>
      <c r="AI180" s="21"/>
      <c r="AJ180" s="21"/>
      <c r="AK180" s="21"/>
      <c r="AL180" s="21"/>
      <c r="AM180" s="21"/>
      <c r="AN180" s="21"/>
      <c r="AO180" s="21"/>
      <c r="AP180" s="21"/>
      <c r="AQ180" s="21"/>
      <c r="AR180" s="21"/>
      <c r="AS180" s="21"/>
      <c r="AT180" s="21"/>
      <c r="AU180" s="21"/>
      <c r="AV180" s="21"/>
      <c r="AW180" s="21"/>
      <c r="AX180" s="21"/>
      <c r="AY180" s="21"/>
      <c r="AZ180" s="21"/>
      <c r="BA180" s="21"/>
    </row>
    <row r="181" spans="1:53" ht="20" customHeight="1" x14ac:dyDescent="0.2">
      <c r="A181" s="678"/>
      <c r="B181" s="725"/>
      <c r="C181" s="255"/>
      <c r="D181" s="722" t="s">
        <v>85</v>
      </c>
      <c r="E181" s="723" t="s">
        <v>260</v>
      </c>
      <c r="F181" s="723" t="s">
        <v>261</v>
      </c>
      <c r="G181" s="722">
        <v>2000</v>
      </c>
      <c r="H181" s="287"/>
      <c r="I181" s="65">
        <v>9</v>
      </c>
      <c r="J181" s="61" t="s">
        <v>217</v>
      </c>
      <c r="K181" s="30" t="s">
        <v>168</v>
      </c>
      <c r="L181" s="73"/>
      <c r="M181" s="34" t="str">
        <f t="shared" si="80"/>
        <v/>
      </c>
      <c r="N181" s="31"/>
      <c r="O181" s="34" t="str">
        <f t="shared" si="81"/>
        <v/>
      </c>
      <c r="P181" s="31"/>
      <c r="Q181" s="34" t="str">
        <f t="shared" si="82"/>
        <v/>
      </c>
      <c r="R181" s="31"/>
      <c r="S181" s="34" t="str">
        <f t="shared" si="83"/>
        <v/>
      </c>
      <c r="T181" s="31"/>
      <c r="U181" s="34" t="str">
        <f t="shared" si="84"/>
        <v/>
      </c>
      <c r="V181" s="31"/>
      <c r="W181" s="34" t="str">
        <f t="shared" si="85"/>
        <v/>
      </c>
      <c r="X181" s="31"/>
      <c r="Y181" s="34" t="str">
        <f t="shared" si="94"/>
        <v/>
      </c>
      <c r="Z181" s="31"/>
      <c r="AA181" s="34" t="str">
        <f t="shared" si="93"/>
        <v/>
      </c>
      <c r="AB181" s="31"/>
      <c r="AC181" s="34" t="str">
        <f t="shared" si="87"/>
        <v/>
      </c>
      <c r="AD181" s="31"/>
      <c r="AE181" s="34" t="str">
        <f t="shared" si="88"/>
        <v/>
      </c>
      <c r="AF181" s="31"/>
      <c r="AG181" s="34" t="str">
        <f t="shared" si="89"/>
        <v/>
      </c>
      <c r="AH181" s="21" t="s">
        <v>334</v>
      </c>
      <c r="AI181" s="21"/>
      <c r="AJ181" s="21"/>
      <c r="AK181" s="21"/>
      <c r="AL181" s="21"/>
      <c r="AM181" s="21"/>
      <c r="AN181" s="21"/>
      <c r="AO181" s="21"/>
      <c r="AP181" s="21"/>
      <c r="AQ181" s="21"/>
      <c r="AR181" s="21"/>
      <c r="AS181" s="21"/>
      <c r="AT181" s="21"/>
      <c r="AU181" s="21"/>
      <c r="AV181" s="21"/>
      <c r="AW181" s="21"/>
      <c r="AX181" s="21"/>
      <c r="AY181" s="21"/>
      <c r="AZ181" s="21"/>
      <c r="BA181" s="21"/>
    </row>
    <row r="182" spans="1:53" ht="20" customHeight="1" x14ac:dyDescent="0.2">
      <c r="A182" s="678"/>
      <c r="B182" s="725"/>
      <c r="C182" s="253"/>
      <c r="D182" s="722" t="s">
        <v>85</v>
      </c>
      <c r="E182" s="723" t="s">
        <v>262</v>
      </c>
      <c r="F182" s="723" t="s">
        <v>263</v>
      </c>
      <c r="G182" s="722">
        <v>2003</v>
      </c>
      <c r="H182" s="287"/>
      <c r="I182" s="65">
        <v>10</v>
      </c>
      <c r="J182" s="61" t="s">
        <v>184</v>
      </c>
      <c r="K182" s="30" t="s">
        <v>189</v>
      </c>
      <c r="L182" s="73"/>
      <c r="M182" s="34" t="str">
        <f t="shared" si="80"/>
        <v/>
      </c>
      <c r="N182" s="31"/>
      <c r="O182" s="34" t="str">
        <f t="shared" si="81"/>
        <v/>
      </c>
      <c r="P182" s="31"/>
      <c r="Q182" s="34" t="str">
        <f t="shared" si="82"/>
        <v/>
      </c>
      <c r="R182" s="31"/>
      <c r="S182" s="34" t="str">
        <f t="shared" si="83"/>
        <v/>
      </c>
      <c r="T182" s="31"/>
      <c r="U182" s="34" t="str">
        <f t="shared" si="84"/>
        <v/>
      </c>
      <c r="V182" s="31"/>
      <c r="W182" s="34" t="str">
        <f t="shared" si="85"/>
        <v/>
      </c>
      <c r="X182" s="31"/>
      <c r="Y182" s="34" t="str">
        <f t="shared" si="94"/>
        <v/>
      </c>
      <c r="Z182" s="31"/>
      <c r="AA182" s="34" t="str">
        <f t="shared" si="93"/>
        <v/>
      </c>
      <c r="AB182" s="31"/>
      <c r="AC182" s="34" t="str">
        <f t="shared" si="87"/>
        <v/>
      </c>
      <c r="AD182" s="31"/>
      <c r="AE182" s="34" t="str">
        <f t="shared" si="88"/>
        <v/>
      </c>
      <c r="AF182" s="31"/>
      <c r="AG182" s="34" t="str">
        <f t="shared" si="89"/>
        <v/>
      </c>
      <c r="AH182" s="21" t="s">
        <v>199</v>
      </c>
      <c r="AI182" s="21"/>
      <c r="AJ182" s="21"/>
      <c r="AK182" s="21"/>
      <c r="AL182" s="21"/>
      <c r="AM182" s="21"/>
      <c r="AN182" s="21"/>
      <c r="AO182" s="21"/>
      <c r="AP182" s="21"/>
      <c r="AQ182" s="21"/>
      <c r="AR182" s="21"/>
      <c r="AS182" s="21"/>
      <c r="AT182" s="21"/>
      <c r="AU182" s="21"/>
      <c r="AV182" s="21"/>
      <c r="AW182" s="21"/>
      <c r="AX182" s="21"/>
      <c r="AY182" s="21"/>
      <c r="AZ182" s="21"/>
      <c r="BA182" s="21"/>
    </row>
    <row r="183" spans="1:53" ht="20" customHeight="1" x14ac:dyDescent="0.2">
      <c r="A183" s="680"/>
      <c r="B183" s="721"/>
      <c r="C183" s="722"/>
      <c r="D183" s="722" t="s">
        <v>85</v>
      </c>
      <c r="E183" s="723" t="s">
        <v>618</v>
      </c>
      <c r="F183" s="723" t="s">
        <v>619</v>
      </c>
      <c r="G183" s="722">
        <v>2011</v>
      </c>
      <c r="H183" s="287"/>
      <c r="I183" s="701">
        <v>80</v>
      </c>
      <c r="J183" s="232" t="s">
        <v>620</v>
      </c>
      <c r="K183" s="250" t="s">
        <v>621</v>
      </c>
      <c r="L183" s="73"/>
      <c r="M183" s="34"/>
      <c r="N183" s="31"/>
      <c r="O183" s="34"/>
      <c r="P183" s="31"/>
      <c r="Q183" s="34"/>
      <c r="R183" s="31"/>
      <c r="S183" s="34"/>
      <c r="T183" s="31"/>
      <c r="U183" s="34"/>
      <c r="V183" s="31"/>
      <c r="W183" s="34"/>
      <c r="X183" s="31"/>
      <c r="Y183" s="34"/>
      <c r="Z183" s="31"/>
      <c r="AA183" s="34"/>
      <c r="AB183" s="31"/>
      <c r="AC183" s="34"/>
      <c r="AD183" s="31"/>
      <c r="AE183" s="34"/>
      <c r="AF183" s="31"/>
      <c r="AG183" s="34"/>
      <c r="AH183" s="21"/>
      <c r="AI183" s="21"/>
      <c r="AJ183" s="21"/>
      <c r="AK183" s="21"/>
      <c r="AL183" s="21"/>
      <c r="AM183" s="21"/>
      <c r="AN183" s="21"/>
      <c r="AO183" s="21"/>
      <c r="AP183" s="21"/>
      <c r="AQ183" s="21"/>
      <c r="AR183" s="21"/>
      <c r="AS183" s="21"/>
      <c r="AT183" s="21"/>
      <c r="AU183" s="21"/>
      <c r="AV183" s="21"/>
      <c r="AW183" s="21"/>
      <c r="AX183" s="21"/>
      <c r="AY183" s="21"/>
      <c r="AZ183" s="21"/>
      <c r="BA183" s="21"/>
    </row>
    <row r="184" spans="1:53" ht="20" customHeight="1" x14ac:dyDescent="0.2">
      <c r="A184" s="680"/>
      <c r="B184" s="721"/>
      <c r="C184" s="722"/>
      <c r="D184" s="722" t="s">
        <v>85</v>
      </c>
      <c r="E184" s="723" t="s">
        <v>622</v>
      </c>
      <c r="F184" s="723" t="s">
        <v>705</v>
      </c>
      <c r="G184" s="722">
        <v>2012</v>
      </c>
      <c r="H184" s="287"/>
      <c r="I184" s="703"/>
      <c r="J184" s="704" t="s">
        <v>213</v>
      </c>
      <c r="K184" s="705" t="s">
        <v>192</v>
      </c>
      <c r="L184" s="73"/>
      <c r="M184" s="34"/>
      <c r="N184" s="31"/>
      <c r="O184" s="34"/>
      <c r="P184" s="31"/>
      <c r="Q184" s="34"/>
      <c r="R184" s="31"/>
      <c r="S184" s="34"/>
      <c r="T184" s="31"/>
      <c r="U184" s="34"/>
      <c r="V184" s="31"/>
      <c r="W184" s="34"/>
      <c r="X184" s="31"/>
      <c r="Y184" s="34"/>
      <c r="Z184" s="31"/>
      <c r="AA184" s="34"/>
      <c r="AB184" s="31"/>
      <c r="AC184" s="34"/>
      <c r="AD184" s="31"/>
      <c r="AE184" s="34"/>
      <c r="AF184" s="31"/>
      <c r="AG184" s="34"/>
      <c r="AH184" s="21"/>
      <c r="AI184" s="21"/>
      <c r="AJ184" s="21"/>
      <c r="AK184" s="21"/>
      <c r="AL184" s="21"/>
      <c r="AM184" s="21"/>
      <c r="AN184" s="21"/>
      <c r="AO184" s="21"/>
      <c r="AP184" s="21"/>
      <c r="AQ184" s="21"/>
      <c r="AR184" s="21"/>
      <c r="AS184" s="21"/>
      <c r="AT184" s="21"/>
      <c r="AU184" s="21"/>
      <c r="AV184" s="21"/>
      <c r="AW184" s="21"/>
      <c r="AX184" s="21"/>
      <c r="AY184" s="21"/>
      <c r="AZ184" s="21"/>
      <c r="BA184" s="21"/>
    </row>
    <row r="185" spans="1:53" ht="20" customHeight="1" x14ac:dyDescent="0.2">
      <c r="A185" s="678"/>
      <c r="B185" s="725"/>
      <c r="C185" s="255"/>
      <c r="D185" s="722" t="s">
        <v>85</v>
      </c>
      <c r="E185" s="723" t="s">
        <v>397</v>
      </c>
      <c r="F185" s="723" t="s">
        <v>398</v>
      </c>
      <c r="G185" s="722">
        <v>2013</v>
      </c>
      <c r="H185" s="287"/>
      <c r="I185" s="65">
        <v>38</v>
      </c>
      <c r="J185" s="61" t="s">
        <v>399</v>
      </c>
      <c r="K185" s="30" t="s">
        <v>168</v>
      </c>
      <c r="L185" s="73">
        <v>37</v>
      </c>
      <c r="M185" s="34">
        <f t="shared" si="80"/>
        <v>97.368421052631575</v>
      </c>
      <c r="N185" s="31"/>
      <c r="O185" s="34" t="str">
        <f t="shared" si="81"/>
        <v/>
      </c>
      <c r="P185" s="31"/>
      <c r="Q185" s="34" t="str">
        <f t="shared" si="82"/>
        <v/>
      </c>
      <c r="R185" s="31"/>
      <c r="S185" s="34" t="str">
        <f t="shared" si="83"/>
        <v/>
      </c>
      <c r="T185" s="31"/>
      <c r="U185" s="34" t="str">
        <f t="shared" si="84"/>
        <v/>
      </c>
      <c r="V185" s="31"/>
      <c r="W185" s="34" t="str">
        <f t="shared" si="85"/>
        <v/>
      </c>
      <c r="X185" s="31"/>
      <c r="Y185" s="34" t="str">
        <f>IF((ISERROR((X185/$I185)*100)), "", IF(AND(NOT(ISERROR((X185/$I185)*100)),((X185/$I185)*100) &lt;&gt; 0), (X185/$I185)*100, ""))</f>
        <v/>
      </c>
      <c r="Z185" s="31"/>
      <c r="AA185" s="34" t="str">
        <f t="shared" si="93"/>
        <v/>
      </c>
      <c r="AB185" s="31"/>
      <c r="AC185" s="34" t="str">
        <f t="shared" si="87"/>
        <v/>
      </c>
      <c r="AD185" s="31"/>
      <c r="AE185" s="34" t="str">
        <f t="shared" si="88"/>
        <v/>
      </c>
      <c r="AF185" s="31"/>
      <c r="AG185" s="34" t="str">
        <f t="shared" si="89"/>
        <v/>
      </c>
      <c r="AH185" s="21" t="s">
        <v>407</v>
      </c>
      <c r="AI185" s="21"/>
      <c r="AJ185" s="21"/>
      <c r="AK185" s="21"/>
      <c r="AL185" s="21"/>
      <c r="AM185" s="21"/>
      <c r="AN185" s="21"/>
      <c r="AO185" s="21"/>
      <c r="AP185" s="21"/>
      <c r="AQ185" s="21"/>
      <c r="AR185" s="21"/>
      <c r="AS185" s="21"/>
      <c r="AT185" s="21"/>
      <c r="AU185" s="21"/>
      <c r="AV185" s="21"/>
      <c r="AW185" s="21"/>
      <c r="AX185" s="21"/>
      <c r="AY185" s="21"/>
      <c r="AZ185" s="21"/>
      <c r="BA185" s="21"/>
    </row>
    <row r="186" spans="1:53" ht="20" customHeight="1" x14ac:dyDescent="0.2">
      <c r="A186" s="680"/>
      <c r="B186" s="721"/>
      <c r="C186" s="722"/>
      <c r="D186" s="722" t="s">
        <v>85</v>
      </c>
      <c r="E186" s="723" t="s">
        <v>623</v>
      </c>
      <c r="F186" s="723" t="s">
        <v>624</v>
      </c>
      <c r="G186" s="722">
        <v>2000</v>
      </c>
      <c r="H186" s="287"/>
      <c r="I186" s="65">
        <v>12</v>
      </c>
      <c r="J186" s="61" t="s">
        <v>625</v>
      </c>
      <c r="K186" s="62"/>
      <c r="L186" s="73"/>
      <c r="M186" s="34"/>
      <c r="N186" s="31"/>
      <c r="O186" s="34"/>
      <c r="P186" s="31"/>
      <c r="Q186" s="34"/>
      <c r="R186" s="31"/>
      <c r="S186" s="34"/>
      <c r="T186" s="31"/>
      <c r="U186" s="34"/>
      <c r="V186" s="31"/>
      <c r="W186" s="34"/>
      <c r="X186" s="31"/>
      <c r="Y186" s="34"/>
      <c r="Z186" s="31"/>
      <c r="AA186" s="34"/>
      <c r="AB186" s="31"/>
      <c r="AC186" s="34"/>
      <c r="AD186" s="31"/>
      <c r="AE186" s="34"/>
      <c r="AF186" s="31"/>
      <c r="AG186" s="34"/>
      <c r="AH186" s="21"/>
      <c r="AI186" s="21"/>
      <c r="AJ186" s="21"/>
      <c r="AK186" s="21"/>
      <c r="AL186" s="21"/>
      <c r="AM186" s="21"/>
      <c r="AN186" s="21"/>
      <c r="AO186" s="21"/>
      <c r="AP186" s="21"/>
      <c r="AQ186" s="21"/>
      <c r="AR186" s="21"/>
      <c r="AS186" s="21"/>
      <c r="AT186" s="21"/>
      <c r="AU186" s="21"/>
      <c r="AV186" s="21"/>
      <c r="AW186" s="21"/>
      <c r="AX186" s="21"/>
      <c r="AY186" s="21"/>
      <c r="AZ186" s="21"/>
      <c r="BA186" s="21"/>
    </row>
    <row r="187" spans="1:53" ht="20" customHeight="1" x14ac:dyDescent="0.2">
      <c r="A187" s="678"/>
      <c r="B187" s="725"/>
      <c r="C187" s="253"/>
      <c r="D187" s="722" t="s">
        <v>85</v>
      </c>
      <c r="E187" s="723" t="s">
        <v>52</v>
      </c>
      <c r="F187" s="723" t="s">
        <v>53</v>
      </c>
      <c r="G187" s="722">
        <v>2001</v>
      </c>
      <c r="H187" s="287">
        <v>118</v>
      </c>
      <c r="I187" s="65">
        <v>20</v>
      </c>
      <c r="J187" s="61" t="s">
        <v>175</v>
      </c>
      <c r="K187" s="30" t="s">
        <v>187</v>
      </c>
      <c r="L187" s="73"/>
      <c r="M187" s="34" t="str">
        <f t="shared" si="80"/>
        <v/>
      </c>
      <c r="N187" s="31"/>
      <c r="O187" s="34" t="str">
        <f t="shared" si="81"/>
        <v/>
      </c>
      <c r="P187" s="31"/>
      <c r="Q187" s="34" t="str">
        <f t="shared" si="82"/>
        <v/>
      </c>
      <c r="R187" s="31"/>
      <c r="S187" s="34" t="str">
        <f t="shared" si="83"/>
        <v/>
      </c>
      <c r="T187" s="31"/>
      <c r="U187" s="34" t="str">
        <f t="shared" si="84"/>
        <v/>
      </c>
      <c r="V187" s="31"/>
      <c r="W187" s="34" t="str">
        <f t="shared" si="85"/>
        <v/>
      </c>
      <c r="X187" s="31"/>
      <c r="Y187" s="34" t="str">
        <f>IF((ISERROR((X187/$I187)*100)), "", IF(AND(NOT(ISERROR((X187/$I187)*100)),((X187/$I187)*100) &lt;&gt; 0), (X187/$I187)*100, ""))</f>
        <v/>
      </c>
      <c r="Z187" s="31"/>
      <c r="AA187" s="34" t="str">
        <f t="shared" si="93"/>
        <v/>
      </c>
      <c r="AB187" s="31"/>
      <c r="AC187" s="34" t="str">
        <f t="shared" si="87"/>
        <v/>
      </c>
      <c r="AD187" s="31"/>
      <c r="AE187" s="34" t="str">
        <f t="shared" si="88"/>
        <v/>
      </c>
      <c r="AF187" s="31"/>
      <c r="AG187" s="34" t="str">
        <f t="shared" si="89"/>
        <v/>
      </c>
      <c r="AH187" s="21" t="s">
        <v>179</v>
      </c>
      <c r="AI187" s="21"/>
      <c r="AJ187" s="21"/>
      <c r="AK187" s="21"/>
      <c r="AL187" s="21"/>
      <c r="AM187" s="21"/>
      <c r="AN187" s="21"/>
      <c r="AO187" s="21"/>
      <c r="AP187" s="21"/>
      <c r="AQ187" s="21"/>
      <c r="AR187" s="21"/>
      <c r="AS187" s="21"/>
      <c r="AT187" s="21"/>
      <c r="AU187" s="21"/>
      <c r="AV187" s="21"/>
      <c r="AW187" s="21"/>
      <c r="AX187" s="21"/>
      <c r="AY187" s="21"/>
      <c r="AZ187" s="21"/>
      <c r="BA187" s="21"/>
    </row>
    <row r="188" spans="1:53" ht="20" customHeight="1" x14ac:dyDescent="0.2">
      <c r="A188" s="680"/>
      <c r="B188" s="721"/>
      <c r="C188" s="255"/>
      <c r="D188" s="722" t="s">
        <v>85</v>
      </c>
      <c r="E188" s="723" t="s">
        <v>628</v>
      </c>
      <c r="F188" s="723" t="s">
        <v>629</v>
      </c>
      <c r="G188" s="722">
        <v>1993</v>
      </c>
      <c r="H188" s="287"/>
      <c r="I188" s="701"/>
      <c r="J188" s="232" t="s">
        <v>627</v>
      </c>
      <c r="K188" s="250" t="s">
        <v>626</v>
      </c>
      <c r="L188" s="73"/>
      <c r="M188" s="34"/>
      <c r="N188" s="31"/>
      <c r="O188" s="34"/>
      <c r="P188" s="31"/>
      <c r="Q188" s="34"/>
      <c r="R188" s="31"/>
      <c r="S188" s="34"/>
      <c r="T188" s="31"/>
      <c r="U188" s="34"/>
      <c r="V188" s="31"/>
      <c r="W188" s="34"/>
      <c r="X188" s="31"/>
      <c r="Y188" s="34"/>
      <c r="Z188" s="31"/>
      <c r="AA188" s="34"/>
      <c r="AB188" s="31"/>
      <c r="AC188" s="34"/>
      <c r="AD188" s="31"/>
      <c r="AE188" s="34"/>
      <c r="AF188" s="31"/>
      <c r="AG188" s="34"/>
      <c r="AH188" s="21"/>
      <c r="AI188" s="21"/>
      <c r="AJ188" s="21"/>
      <c r="AK188" s="21"/>
      <c r="AL188" s="21"/>
      <c r="AM188" s="21"/>
      <c r="AN188" s="21"/>
      <c r="AO188" s="21"/>
      <c r="AP188" s="21"/>
      <c r="AQ188" s="21"/>
      <c r="AR188" s="21"/>
      <c r="AS188" s="21"/>
      <c r="AT188" s="21"/>
      <c r="AU188" s="21"/>
      <c r="AV188" s="21"/>
      <c r="AW188" s="21"/>
      <c r="AX188" s="21"/>
      <c r="AY188" s="21"/>
      <c r="AZ188" s="21"/>
      <c r="BA188" s="21"/>
    </row>
    <row r="189" spans="1:53" ht="20" customHeight="1" x14ac:dyDescent="0.2">
      <c r="A189" s="678"/>
      <c r="B189" s="725"/>
      <c r="C189" s="255"/>
      <c r="D189" s="722" t="s">
        <v>85</v>
      </c>
      <c r="E189" s="723" t="s">
        <v>264</v>
      </c>
      <c r="F189" s="723" t="s">
        <v>265</v>
      </c>
      <c r="G189" s="722">
        <v>1994</v>
      </c>
      <c r="H189" s="287"/>
      <c r="I189" s="65">
        <v>20</v>
      </c>
      <c r="J189" s="61" t="s">
        <v>335</v>
      </c>
      <c r="K189" s="30"/>
      <c r="L189" s="73"/>
      <c r="M189" s="34" t="str">
        <f t="shared" si="80"/>
        <v/>
      </c>
      <c r="N189" s="31"/>
      <c r="O189" s="34" t="str">
        <f t="shared" si="81"/>
        <v/>
      </c>
      <c r="P189" s="31"/>
      <c r="Q189" s="34" t="str">
        <f t="shared" si="82"/>
        <v/>
      </c>
      <c r="R189" s="31"/>
      <c r="S189" s="34" t="str">
        <f t="shared" si="83"/>
        <v/>
      </c>
      <c r="T189" s="31"/>
      <c r="U189" s="34" t="str">
        <f t="shared" si="84"/>
        <v/>
      </c>
      <c r="V189" s="31"/>
      <c r="W189" s="34" t="str">
        <f t="shared" si="85"/>
        <v/>
      </c>
      <c r="X189" s="31"/>
      <c r="Y189" s="34" t="str">
        <f>IF((ISERROR((X189/$I189)*100)), "", IF(AND(NOT(ISERROR((X189/$I189)*100)),((X189/$I189)*100) &lt;&gt; 0), (X189/$I189)*100, ""))</f>
        <v/>
      </c>
      <c r="Z189" s="31"/>
      <c r="AA189" s="34" t="str">
        <f t="shared" si="93"/>
        <v/>
      </c>
      <c r="AB189" s="31"/>
      <c r="AC189" s="34" t="str">
        <f t="shared" si="87"/>
        <v/>
      </c>
      <c r="AD189" s="31"/>
      <c r="AE189" s="34" t="str">
        <f t="shared" si="88"/>
        <v/>
      </c>
      <c r="AF189" s="31"/>
      <c r="AG189" s="34" t="str">
        <f t="shared" si="89"/>
        <v/>
      </c>
      <c r="AH189" s="21" t="s">
        <v>400</v>
      </c>
      <c r="AI189" s="21"/>
      <c r="AJ189" s="21"/>
      <c r="AK189" s="21"/>
      <c r="AL189" s="21"/>
      <c r="AM189" s="21"/>
      <c r="AN189" s="21"/>
      <c r="AO189" s="21"/>
      <c r="AP189" s="21"/>
      <c r="AQ189" s="21"/>
      <c r="AR189" s="21"/>
      <c r="AS189" s="21"/>
      <c r="AT189" s="21"/>
      <c r="AU189" s="21"/>
      <c r="AV189" s="21"/>
      <c r="AW189" s="21"/>
      <c r="AX189" s="21"/>
      <c r="AY189" s="21"/>
      <c r="AZ189" s="21"/>
      <c r="BA189" s="21"/>
    </row>
    <row r="190" spans="1:53" ht="20" customHeight="1" x14ac:dyDescent="0.2">
      <c r="A190" s="680"/>
      <c r="B190" s="721"/>
      <c r="C190" s="255"/>
      <c r="D190" s="722" t="s">
        <v>85</v>
      </c>
      <c r="E190" s="723" t="s">
        <v>630</v>
      </c>
      <c r="F190" s="723" t="s">
        <v>631</v>
      </c>
      <c r="G190" s="722">
        <v>2013</v>
      </c>
      <c r="H190" s="287"/>
      <c r="I190" s="701">
        <v>30</v>
      </c>
      <c r="J190" s="232" t="s">
        <v>213</v>
      </c>
      <c r="K190" s="250" t="s">
        <v>632</v>
      </c>
      <c r="L190" s="73"/>
      <c r="M190" s="34"/>
      <c r="N190" s="31"/>
      <c r="O190" s="34"/>
      <c r="P190" s="31"/>
      <c r="Q190" s="34"/>
      <c r="R190" s="31"/>
      <c r="S190" s="34"/>
      <c r="T190" s="31"/>
      <c r="U190" s="34"/>
      <c r="V190" s="31"/>
      <c r="W190" s="34"/>
      <c r="X190" s="31"/>
      <c r="Y190" s="34"/>
      <c r="Z190" s="31"/>
      <c r="AA190" s="34"/>
      <c r="AB190" s="31"/>
      <c r="AC190" s="34"/>
      <c r="AD190" s="31"/>
      <c r="AE190" s="34"/>
      <c r="AF190" s="31"/>
      <c r="AG190" s="34"/>
      <c r="AH190" s="21"/>
      <c r="AI190" s="21"/>
      <c r="AJ190" s="21"/>
      <c r="AK190" s="21"/>
      <c r="AL190" s="21"/>
      <c r="AM190" s="21"/>
      <c r="AN190" s="21"/>
      <c r="AO190" s="21"/>
      <c r="AP190" s="21"/>
      <c r="AQ190" s="21"/>
      <c r="AR190" s="21"/>
      <c r="AS190" s="21"/>
      <c r="AT190" s="21"/>
      <c r="AU190" s="21"/>
      <c r="AV190" s="21"/>
      <c r="AW190" s="21"/>
      <c r="AX190" s="21"/>
      <c r="AY190" s="21"/>
      <c r="AZ190" s="21"/>
      <c r="BA190" s="21"/>
    </row>
    <row r="191" spans="1:53" ht="20" customHeight="1" x14ac:dyDescent="0.2">
      <c r="A191" s="678"/>
      <c r="B191" s="725"/>
      <c r="C191" s="253"/>
      <c r="D191" s="722" t="s">
        <v>85</v>
      </c>
      <c r="E191" s="723" t="s">
        <v>336</v>
      </c>
      <c r="F191" s="723" t="s">
        <v>337</v>
      </c>
      <c r="G191" s="722">
        <v>2008</v>
      </c>
      <c r="H191" s="287"/>
      <c r="I191" s="65">
        <v>16</v>
      </c>
      <c r="J191" s="61" t="s">
        <v>175</v>
      </c>
      <c r="K191" s="30" t="s">
        <v>338</v>
      </c>
      <c r="L191" s="73"/>
      <c r="M191" s="34" t="str">
        <f t="shared" si="80"/>
        <v/>
      </c>
      <c r="N191" s="31"/>
      <c r="O191" s="34" t="str">
        <f t="shared" si="81"/>
        <v/>
      </c>
      <c r="P191" s="31"/>
      <c r="Q191" s="34" t="str">
        <f t="shared" si="82"/>
        <v/>
      </c>
      <c r="R191" s="31"/>
      <c r="S191" s="34" t="str">
        <f t="shared" si="83"/>
        <v/>
      </c>
      <c r="T191" s="31"/>
      <c r="U191" s="34" t="str">
        <f t="shared" si="84"/>
        <v/>
      </c>
      <c r="V191" s="31"/>
      <c r="W191" s="34" t="str">
        <f t="shared" si="85"/>
        <v/>
      </c>
      <c r="X191" s="31"/>
      <c r="Y191" s="34" t="str">
        <f>IF((ISERROR((X191/$I191)*100)), "", IF(AND(NOT(ISERROR((X191/$I191)*100)),((X191/$I191)*100) &lt;&gt; 0), (X191/$I191)*100, ""))</f>
        <v/>
      </c>
      <c r="Z191" s="31"/>
      <c r="AA191" s="34" t="str">
        <f t="shared" ref="AA191:AA210" si="95">IF((ISERROR((Z191/$I191)*100)), "", IF(AND(NOT(ISERROR((Z191/$I191)*100)),((Z191/$I191)*100) &lt;&gt; 0), (Z191/$I191)*100, ""))</f>
        <v/>
      </c>
      <c r="AB191" s="31"/>
      <c r="AC191" s="34" t="str">
        <f t="shared" si="87"/>
        <v/>
      </c>
      <c r="AD191" s="31"/>
      <c r="AE191" s="34" t="str">
        <f t="shared" si="88"/>
        <v/>
      </c>
      <c r="AF191" s="31"/>
      <c r="AG191" s="34" t="str">
        <f t="shared" si="89"/>
        <v/>
      </c>
      <c r="AH191" s="21" t="s">
        <v>408</v>
      </c>
      <c r="AI191" s="21"/>
      <c r="AJ191" s="21"/>
      <c r="AK191" s="21"/>
      <c r="AL191" s="21"/>
      <c r="AM191" s="21"/>
      <c r="AN191" s="21"/>
      <c r="AO191" s="21"/>
      <c r="AP191" s="21"/>
      <c r="AQ191" s="21"/>
      <c r="AR191" s="21"/>
      <c r="AS191" s="21"/>
      <c r="AT191" s="21"/>
      <c r="AU191" s="21"/>
      <c r="AV191" s="21"/>
      <c r="AW191" s="21"/>
      <c r="AX191" s="21"/>
      <c r="AY191" s="21"/>
      <c r="AZ191" s="21"/>
      <c r="BA191" s="21"/>
    </row>
    <row r="192" spans="1:53" ht="20" customHeight="1" x14ac:dyDescent="0.2">
      <c r="A192" s="678"/>
      <c r="B192" s="725"/>
      <c r="C192" s="255"/>
      <c r="D192" s="722" t="s">
        <v>85</v>
      </c>
      <c r="E192" s="723" t="s">
        <v>54</v>
      </c>
      <c r="F192" s="723" t="s">
        <v>55</v>
      </c>
      <c r="G192" s="722">
        <v>1996</v>
      </c>
      <c r="H192" s="287">
        <v>82</v>
      </c>
      <c r="I192" s="65">
        <v>15</v>
      </c>
      <c r="J192" s="61" t="s">
        <v>175</v>
      </c>
      <c r="K192" s="30" t="s">
        <v>177</v>
      </c>
      <c r="L192" s="73"/>
      <c r="M192" s="34" t="str">
        <f t="shared" si="80"/>
        <v/>
      </c>
      <c r="N192" s="31">
        <v>3</v>
      </c>
      <c r="O192" s="34">
        <f t="shared" si="81"/>
        <v>20</v>
      </c>
      <c r="P192" s="31">
        <v>1</v>
      </c>
      <c r="Q192" s="34">
        <f t="shared" si="82"/>
        <v>6.666666666666667</v>
      </c>
      <c r="R192" s="31"/>
      <c r="S192" s="34" t="str">
        <f t="shared" si="83"/>
        <v/>
      </c>
      <c r="T192" s="31"/>
      <c r="U192" s="34" t="str">
        <f t="shared" si="84"/>
        <v/>
      </c>
      <c r="V192" s="31"/>
      <c r="W192" s="34" t="str">
        <f t="shared" si="85"/>
        <v/>
      </c>
      <c r="X192" s="31"/>
      <c r="Y192" s="34" t="str">
        <f>IF((ISERROR((X192/$I192)*100)), "", IF(AND(NOT(ISERROR((X192/$I192)*100)),((X192/$I192)*100) &lt;&gt; 0), (X192/$I192)*100, ""))</f>
        <v/>
      </c>
      <c r="Z192" s="31"/>
      <c r="AA192" s="34" t="str">
        <f t="shared" si="95"/>
        <v/>
      </c>
      <c r="AB192" s="31"/>
      <c r="AC192" s="34" t="str">
        <f t="shared" si="87"/>
        <v/>
      </c>
      <c r="AD192" s="31"/>
      <c r="AE192" s="34" t="str">
        <f t="shared" si="88"/>
        <v/>
      </c>
      <c r="AF192" s="31"/>
      <c r="AG192" s="34" t="str">
        <f t="shared" si="89"/>
        <v/>
      </c>
      <c r="AH192" s="21" t="s">
        <v>339</v>
      </c>
      <c r="AI192" s="21"/>
      <c r="AJ192" s="21"/>
      <c r="AK192" s="21"/>
      <c r="AL192" s="21"/>
      <c r="AM192" s="21"/>
      <c r="AN192" s="21"/>
      <c r="AO192" s="21"/>
      <c r="AP192" s="21"/>
      <c r="AQ192" s="21"/>
      <c r="AR192" s="21"/>
      <c r="AS192" s="21"/>
      <c r="AT192" s="21"/>
      <c r="AU192" s="21"/>
      <c r="AV192" s="21"/>
      <c r="AW192" s="21"/>
      <c r="AX192" s="21"/>
      <c r="AY192" s="21"/>
      <c r="AZ192" s="21"/>
      <c r="BA192" s="21"/>
    </row>
    <row r="193" spans="1:53" ht="20" customHeight="1" x14ac:dyDescent="0.2">
      <c r="A193" s="678"/>
      <c r="B193" s="725"/>
      <c r="C193" s="253"/>
      <c r="D193" s="722" t="s">
        <v>85</v>
      </c>
      <c r="E193" s="723" t="s">
        <v>266</v>
      </c>
      <c r="F193" s="723" t="s">
        <v>267</v>
      </c>
      <c r="G193" s="722">
        <v>2016</v>
      </c>
      <c r="H193" s="287"/>
      <c r="I193" s="65">
        <v>49</v>
      </c>
      <c r="J193" s="61" t="s">
        <v>340</v>
      </c>
      <c r="K193" s="30" t="s">
        <v>192</v>
      </c>
      <c r="L193" s="73"/>
      <c r="M193" s="34" t="str">
        <f t="shared" si="80"/>
        <v/>
      </c>
      <c r="N193" s="31"/>
      <c r="O193" s="34" t="str">
        <f t="shared" si="81"/>
        <v/>
      </c>
      <c r="P193" s="31"/>
      <c r="Q193" s="34" t="str">
        <f t="shared" si="82"/>
        <v/>
      </c>
      <c r="R193" s="31"/>
      <c r="S193" s="34" t="str">
        <f t="shared" si="83"/>
        <v/>
      </c>
      <c r="T193" s="31"/>
      <c r="U193" s="34" t="str">
        <f t="shared" si="84"/>
        <v/>
      </c>
      <c r="V193" s="31"/>
      <c r="W193" s="34" t="str">
        <f t="shared" si="85"/>
        <v/>
      </c>
      <c r="X193" s="31"/>
      <c r="Y193" s="34" t="str">
        <f t="shared" ref="Y193:Y201" si="96">IF((ISERROR((X193/$I193)*100)), "", IF(AND(NOT(ISERROR((X193/$I193)*100)),((X193/$I193)*100) &lt;&gt; 0), (X193/$I193)*100, ""))</f>
        <v/>
      </c>
      <c r="Z193" s="31"/>
      <c r="AA193" s="34" t="str">
        <f t="shared" si="95"/>
        <v/>
      </c>
      <c r="AB193" s="31"/>
      <c r="AC193" s="34" t="str">
        <f t="shared" si="87"/>
        <v/>
      </c>
      <c r="AD193" s="31"/>
      <c r="AE193" s="34" t="str">
        <f t="shared" si="88"/>
        <v/>
      </c>
      <c r="AF193" s="31"/>
      <c r="AG193" s="34" t="str">
        <f t="shared" si="89"/>
        <v/>
      </c>
      <c r="AH193" s="21" t="s">
        <v>341</v>
      </c>
      <c r="AI193" s="21"/>
      <c r="AJ193" s="21"/>
      <c r="AK193" s="21"/>
      <c r="AL193" s="21"/>
      <c r="AM193" s="21"/>
      <c r="AN193" s="21"/>
      <c r="AO193" s="21"/>
      <c r="AP193" s="21"/>
      <c r="AQ193" s="21"/>
      <c r="AR193" s="21"/>
      <c r="AS193" s="21"/>
      <c r="AT193" s="21"/>
      <c r="AU193" s="21"/>
      <c r="AV193" s="21"/>
      <c r="AW193" s="21"/>
      <c r="AX193" s="21"/>
      <c r="AY193" s="21"/>
      <c r="AZ193" s="21"/>
      <c r="BA193" s="21"/>
    </row>
    <row r="194" spans="1:53" ht="20" customHeight="1" x14ac:dyDescent="0.2">
      <c r="A194" s="678"/>
      <c r="B194" s="721"/>
      <c r="C194" s="253"/>
      <c r="D194" s="722" t="s">
        <v>85</v>
      </c>
      <c r="E194" s="723" t="s">
        <v>86</v>
      </c>
      <c r="F194" s="723" t="s">
        <v>56</v>
      </c>
      <c r="G194" s="722">
        <v>2014</v>
      </c>
      <c r="H194" s="287">
        <v>41</v>
      </c>
      <c r="I194" s="65">
        <v>20</v>
      </c>
      <c r="J194" s="61" t="s">
        <v>178</v>
      </c>
      <c r="K194" s="30"/>
      <c r="L194" s="73"/>
      <c r="M194" s="34" t="str">
        <f t="shared" si="80"/>
        <v/>
      </c>
      <c r="N194" s="31"/>
      <c r="O194" s="34" t="str">
        <f t="shared" si="81"/>
        <v/>
      </c>
      <c r="P194" s="31"/>
      <c r="Q194" s="34" t="str">
        <f t="shared" si="82"/>
        <v/>
      </c>
      <c r="R194" s="31"/>
      <c r="S194" s="34" t="str">
        <f t="shared" si="83"/>
        <v/>
      </c>
      <c r="T194" s="31"/>
      <c r="U194" s="34" t="str">
        <f t="shared" si="84"/>
        <v/>
      </c>
      <c r="V194" s="31"/>
      <c r="W194" s="34" t="str">
        <f t="shared" si="85"/>
        <v/>
      </c>
      <c r="X194" s="31"/>
      <c r="Y194" s="34" t="str">
        <f t="shared" si="96"/>
        <v/>
      </c>
      <c r="Z194" s="31"/>
      <c r="AA194" s="34" t="str">
        <f t="shared" si="95"/>
        <v/>
      </c>
      <c r="AB194" s="31"/>
      <c r="AC194" s="34" t="str">
        <f t="shared" si="87"/>
        <v/>
      </c>
      <c r="AD194" s="31"/>
      <c r="AE194" s="34" t="str">
        <f t="shared" si="88"/>
        <v/>
      </c>
      <c r="AF194" s="31"/>
      <c r="AG194" s="34" t="str">
        <f t="shared" si="89"/>
        <v/>
      </c>
      <c r="AH194" s="21" t="s">
        <v>342</v>
      </c>
      <c r="AI194" s="21"/>
      <c r="AJ194" s="21"/>
      <c r="AK194" s="21"/>
      <c r="AL194" s="21"/>
      <c r="AM194" s="21"/>
      <c r="AN194" s="21"/>
      <c r="AO194" s="21"/>
      <c r="AP194" s="21"/>
      <c r="AQ194" s="21"/>
      <c r="AR194" s="21"/>
      <c r="AS194" s="21"/>
      <c r="AT194" s="21"/>
      <c r="AU194" s="21"/>
      <c r="AV194" s="21"/>
      <c r="AW194" s="21"/>
      <c r="AX194" s="21"/>
      <c r="AY194" s="21"/>
      <c r="AZ194" s="21"/>
      <c r="BA194" s="21"/>
    </row>
    <row r="195" spans="1:53" ht="20" customHeight="1" x14ac:dyDescent="0.2">
      <c r="A195" s="680"/>
      <c r="B195" s="721"/>
      <c r="C195" s="255"/>
      <c r="D195" s="722" t="s">
        <v>85</v>
      </c>
      <c r="E195" s="723" t="s">
        <v>633</v>
      </c>
      <c r="F195" s="723" t="s">
        <v>514</v>
      </c>
      <c r="G195" s="722">
        <v>1995</v>
      </c>
      <c r="H195" s="287"/>
      <c r="I195" s="701">
        <v>12</v>
      </c>
      <c r="J195" s="232" t="s">
        <v>210</v>
      </c>
      <c r="K195" s="250" t="s">
        <v>209</v>
      </c>
      <c r="L195" s="73"/>
      <c r="M195" s="34"/>
      <c r="N195" s="31"/>
      <c r="O195" s="34"/>
      <c r="P195" s="31"/>
      <c r="Q195" s="34"/>
      <c r="R195" s="31"/>
      <c r="S195" s="34"/>
      <c r="T195" s="31"/>
      <c r="U195" s="34"/>
      <c r="V195" s="31"/>
      <c r="W195" s="34"/>
      <c r="X195" s="31"/>
      <c r="Y195" s="34"/>
      <c r="Z195" s="31"/>
      <c r="AA195" s="34"/>
      <c r="AB195" s="31"/>
      <c r="AC195" s="34"/>
      <c r="AD195" s="31"/>
      <c r="AE195" s="34"/>
      <c r="AF195" s="31"/>
      <c r="AG195" s="34"/>
      <c r="AH195" s="21"/>
      <c r="AI195" s="21"/>
      <c r="AJ195" s="21"/>
      <c r="AK195" s="21"/>
      <c r="AL195" s="21"/>
      <c r="AM195" s="21"/>
      <c r="AN195" s="21"/>
      <c r="AO195" s="21"/>
      <c r="AP195" s="21"/>
      <c r="AQ195" s="21"/>
      <c r="AR195" s="21"/>
      <c r="AS195" s="21"/>
      <c r="AT195" s="21"/>
      <c r="AU195" s="21"/>
      <c r="AV195" s="21"/>
      <c r="AW195" s="21"/>
      <c r="AX195" s="21"/>
      <c r="AY195" s="21"/>
      <c r="AZ195" s="21"/>
      <c r="BA195" s="21"/>
    </row>
    <row r="196" spans="1:53" ht="20" customHeight="1" x14ac:dyDescent="0.2">
      <c r="A196" s="680"/>
      <c r="B196" s="725"/>
      <c r="C196" s="255"/>
      <c r="D196" s="722" t="s">
        <v>85</v>
      </c>
      <c r="E196" s="723" t="s">
        <v>634</v>
      </c>
      <c r="F196" s="723" t="s">
        <v>514</v>
      </c>
      <c r="G196" s="722">
        <v>1999</v>
      </c>
      <c r="H196" s="287"/>
      <c r="I196" s="703">
        <v>34</v>
      </c>
      <c r="J196" s="704" t="s">
        <v>210</v>
      </c>
      <c r="K196" s="705" t="s">
        <v>636</v>
      </c>
      <c r="L196" s="73"/>
      <c r="M196" s="34"/>
      <c r="N196" s="31"/>
      <c r="O196" s="34"/>
      <c r="P196" s="31"/>
      <c r="Q196" s="34"/>
      <c r="R196" s="31"/>
      <c r="S196" s="34"/>
      <c r="T196" s="31"/>
      <c r="U196" s="34"/>
      <c r="V196" s="31"/>
      <c r="W196" s="34"/>
      <c r="X196" s="31"/>
      <c r="Y196" s="34"/>
      <c r="Z196" s="31"/>
      <c r="AA196" s="34"/>
      <c r="AB196" s="31"/>
      <c r="AC196" s="34"/>
      <c r="AD196" s="31"/>
      <c r="AE196" s="34"/>
      <c r="AF196" s="31"/>
      <c r="AG196" s="34"/>
      <c r="AH196" s="21"/>
      <c r="AI196" s="21"/>
      <c r="AJ196" s="21"/>
      <c r="AK196" s="21"/>
      <c r="AL196" s="21"/>
      <c r="AM196" s="21"/>
      <c r="AN196" s="21"/>
      <c r="AO196" s="21"/>
      <c r="AP196" s="21"/>
      <c r="AQ196" s="21"/>
      <c r="AR196" s="21"/>
      <c r="AS196" s="21"/>
      <c r="AT196" s="21"/>
      <c r="AU196" s="21"/>
      <c r="AV196" s="21"/>
      <c r="AW196" s="21"/>
      <c r="AX196" s="21"/>
      <c r="AY196" s="21"/>
      <c r="AZ196" s="21"/>
      <c r="BA196" s="21"/>
    </row>
    <row r="197" spans="1:53" ht="20" customHeight="1" x14ac:dyDescent="0.2">
      <c r="A197" s="680"/>
      <c r="B197" s="725"/>
      <c r="C197" s="255"/>
      <c r="D197" s="722" t="s">
        <v>85</v>
      </c>
      <c r="E197" s="723" t="s">
        <v>635</v>
      </c>
      <c r="F197" s="723" t="s">
        <v>514</v>
      </c>
      <c r="G197" s="722">
        <v>2011</v>
      </c>
      <c r="H197" s="287"/>
      <c r="I197" s="703">
        <v>36</v>
      </c>
      <c r="J197" s="704" t="s">
        <v>210</v>
      </c>
      <c r="K197" s="705" t="s">
        <v>637</v>
      </c>
      <c r="L197" s="73"/>
      <c r="M197" s="34"/>
      <c r="N197" s="31"/>
      <c r="O197" s="34"/>
      <c r="P197" s="31"/>
      <c r="Q197" s="34"/>
      <c r="R197" s="31"/>
      <c r="S197" s="34"/>
      <c r="T197" s="31"/>
      <c r="U197" s="34"/>
      <c r="V197" s="31"/>
      <c r="W197" s="34"/>
      <c r="X197" s="31"/>
      <c r="Y197" s="34"/>
      <c r="Z197" s="31"/>
      <c r="AA197" s="34"/>
      <c r="AB197" s="31"/>
      <c r="AC197" s="34"/>
      <c r="AD197" s="31"/>
      <c r="AE197" s="34"/>
      <c r="AF197" s="31"/>
      <c r="AG197" s="34"/>
      <c r="AH197" s="21"/>
      <c r="AI197" s="21"/>
      <c r="AJ197" s="21"/>
      <c r="AK197" s="21"/>
      <c r="AL197" s="21"/>
      <c r="AM197" s="21"/>
      <c r="AN197" s="21"/>
      <c r="AO197" s="21"/>
      <c r="AP197" s="21"/>
      <c r="AQ197" s="21"/>
      <c r="AR197" s="21"/>
      <c r="AS197" s="21"/>
      <c r="AT197" s="21"/>
      <c r="AU197" s="21"/>
      <c r="AV197" s="21"/>
      <c r="AW197" s="21"/>
      <c r="AX197" s="21"/>
      <c r="AY197" s="21"/>
      <c r="AZ197" s="21"/>
      <c r="BA197" s="21"/>
    </row>
    <row r="198" spans="1:53" ht="20" customHeight="1" x14ac:dyDescent="0.2">
      <c r="A198" s="678"/>
      <c r="B198" s="721"/>
      <c r="C198" s="258"/>
      <c r="D198" s="722" t="s">
        <v>85</v>
      </c>
      <c r="E198" s="723" t="s">
        <v>57</v>
      </c>
      <c r="F198" s="723" t="s">
        <v>58</v>
      </c>
      <c r="G198" s="722">
        <v>2006</v>
      </c>
      <c r="H198" s="287">
        <v>132</v>
      </c>
      <c r="I198" s="65">
        <v>7</v>
      </c>
      <c r="J198" s="61" t="s">
        <v>175</v>
      </c>
      <c r="K198" s="62" t="s">
        <v>168</v>
      </c>
      <c r="L198" s="73"/>
      <c r="M198" s="34" t="str">
        <f t="shared" si="80"/>
        <v/>
      </c>
      <c r="N198" s="31"/>
      <c r="O198" s="34" t="str">
        <f t="shared" si="81"/>
        <v/>
      </c>
      <c r="P198" s="31"/>
      <c r="Q198" s="34" t="str">
        <f t="shared" si="82"/>
        <v/>
      </c>
      <c r="R198" s="31"/>
      <c r="S198" s="34" t="str">
        <f t="shared" si="83"/>
        <v/>
      </c>
      <c r="T198" s="31"/>
      <c r="U198" s="34" t="str">
        <f t="shared" si="84"/>
        <v/>
      </c>
      <c r="V198" s="31"/>
      <c r="W198" s="34" t="str">
        <f t="shared" si="85"/>
        <v/>
      </c>
      <c r="X198" s="31"/>
      <c r="Y198" s="34" t="str">
        <f>IF((ISERROR((X198/$I198)*100)), "", IF(AND(NOT(ISERROR((X198/$I198)*100)),((X198/$I198)*100) &lt;&gt; 0), (X198/$I198)*100, ""))</f>
        <v/>
      </c>
      <c r="Z198" s="31"/>
      <c r="AA198" s="34" t="str">
        <f t="shared" si="95"/>
        <v/>
      </c>
      <c r="AB198" s="31"/>
      <c r="AC198" s="34" t="str">
        <f t="shared" si="87"/>
        <v/>
      </c>
      <c r="AD198" s="31"/>
      <c r="AE198" s="34" t="str">
        <f t="shared" si="88"/>
        <v/>
      </c>
      <c r="AF198" s="31"/>
      <c r="AG198" s="34" t="str">
        <f t="shared" si="89"/>
        <v/>
      </c>
      <c r="AH198" s="21" t="s">
        <v>343</v>
      </c>
      <c r="AI198" s="21"/>
      <c r="AJ198" s="21"/>
      <c r="AK198" s="21"/>
      <c r="AL198" s="21"/>
      <c r="AM198" s="21"/>
      <c r="AN198" s="21"/>
      <c r="AO198" s="21"/>
      <c r="AP198" s="21"/>
      <c r="AQ198" s="21"/>
      <c r="AR198" s="21"/>
      <c r="AS198" s="21"/>
      <c r="AT198" s="21"/>
      <c r="AU198" s="21"/>
      <c r="AV198" s="21"/>
      <c r="AW198" s="21"/>
      <c r="AX198" s="21"/>
      <c r="AY198" s="21"/>
      <c r="AZ198" s="21"/>
      <c r="BA198" s="21"/>
    </row>
    <row r="199" spans="1:53" ht="20" customHeight="1" x14ac:dyDescent="0.2">
      <c r="A199" s="678"/>
      <c r="B199" s="725"/>
      <c r="C199" s="253"/>
      <c r="D199" s="722" t="s">
        <v>85</v>
      </c>
      <c r="E199" s="723" t="s">
        <v>59</v>
      </c>
      <c r="F199" s="723" t="s">
        <v>60</v>
      </c>
      <c r="G199" s="722">
        <v>2009</v>
      </c>
      <c r="H199" s="287">
        <v>49</v>
      </c>
      <c r="I199" s="65">
        <v>22</v>
      </c>
      <c r="J199" s="61" t="s">
        <v>175</v>
      </c>
      <c r="K199" s="30" t="s">
        <v>188</v>
      </c>
      <c r="L199" s="73"/>
      <c r="M199" s="34" t="str">
        <f t="shared" si="80"/>
        <v/>
      </c>
      <c r="N199" s="31"/>
      <c r="O199" s="34" t="str">
        <f t="shared" si="81"/>
        <v/>
      </c>
      <c r="P199" s="31"/>
      <c r="Q199" s="34" t="str">
        <f t="shared" si="82"/>
        <v/>
      </c>
      <c r="R199" s="31"/>
      <c r="S199" s="34" t="str">
        <f t="shared" si="83"/>
        <v/>
      </c>
      <c r="T199" s="31"/>
      <c r="U199" s="34" t="str">
        <f t="shared" si="84"/>
        <v/>
      </c>
      <c r="V199" s="31"/>
      <c r="W199" s="34" t="str">
        <f t="shared" si="85"/>
        <v/>
      </c>
      <c r="X199" s="31"/>
      <c r="Y199" s="34" t="str">
        <f>IF((ISERROR((X199/$I199)*100)), "", IF(AND(NOT(ISERROR((X199/$I199)*100)),((X199/$I199)*100) &lt;&gt; 0), (X199/$I199)*100, ""))</f>
        <v/>
      </c>
      <c r="Z199" s="31"/>
      <c r="AA199" s="34" t="str">
        <f t="shared" si="95"/>
        <v/>
      </c>
      <c r="AB199" s="31"/>
      <c r="AC199" s="34" t="str">
        <f t="shared" si="87"/>
        <v/>
      </c>
      <c r="AD199" s="31"/>
      <c r="AE199" s="34" t="str">
        <f t="shared" si="88"/>
        <v/>
      </c>
      <c r="AF199" s="31"/>
      <c r="AG199" s="34" t="str">
        <f t="shared" si="89"/>
        <v/>
      </c>
      <c r="AH199" s="21" t="s">
        <v>401</v>
      </c>
      <c r="AI199" s="21"/>
      <c r="AJ199" s="21"/>
      <c r="AK199" s="21"/>
      <c r="AL199" s="21"/>
      <c r="AM199" s="21"/>
      <c r="AN199" s="21"/>
      <c r="AO199" s="21"/>
      <c r="AP199" s="21"/>
      <c r="AQ199" s="21"/>
      <c r="AR199" s="21"/>
      <c r="AS199" s="21"/>
      <c r="AT199" s="21"/>
      <c r="AU199" s="21"/>
      <c r="AV199" s="21"/>
      <c r="AW199" s="21"/>
      <c r="AX199" s="21"/>
      <c r="AY199" s="21"/>
      <c r="AZ199" s="21"/>
      <c r="BA199" s="21"/>
    </row>
    <row r="200" spans="1:53" ht="20" customHeight="1" x14ac:dyDescent="0.2">
      <c r="A200" s="678"/>
      <c r="B200" s="721"/>
      <c r="C200" s="253"/>
      <c r="D200" s="722" t="s">
        <v>85</v>
      </c>
      <c r="E200" s="723" t="s">
        <v>61</v>
      </c>
      <c r="F200" s="723" t="s">
        <v>62</v>
      </c>
      <c r="G200" s="722">
        <v>2006</v>
      </c>
      <c r="H200" s="287">
        <v>144</v>
      </c>
      <c r="I200" s="65">
        <v>25</v>
      </c>
      <c r="J200" s="61"/>
      <c r="K200" s="30" t="s">
        <v>189</v>
      </c>
      <c r="L200" s="73"/>
      <c r="M200" s="34" t="str">
        <f t="shared" si="80"/>
        <v/>
      </c>
      <c r="N200" s="31"/>
      <c r="O200" s="34" t="str">
        <f t="shared" si="81"/>
        <v/>
      </c>
      <c r="P200" s="31"/>
      <c r="Q200" s="34" t="str">
        <f t="shared" si="82"/>
        <v/>
      </c>
      <c r="R200" s="31"/>
      <c r="S200" s="34" t="str">
        <f t="shared" si="83"/>
        <v/>
      </c>
      <c r="T200" s="31"/>
      <c r="U200" s="34" t="str">
        <f t="shared" si="84"/>
        <v/>
      </c>
      <c r="V200" s="31"/>
      <c r="W200" s="34" t="str">
        <f t="shared" si="85"/>
        <v/>
      </c>
      <c r="X200" s="31"/>
      <c r="Y200" s="34" t="str">
        <f t="shared" si="96"/>
        <v/>
      </c>
      <c r="Z200" s="31"/>
      <c r="AA200" s="34" t="str">
        <f t="shared" si="95"/>
        <v/>
      </c>
      <c r="AB200" s="31"/>
      <c r="AC200" s="34" t="str">
        <f t="shared" si="87"/>
        <v/>
      </c>
      <c r="AD200" s="31"/>
      <c r="AE200" s="34" t="str">
        <f t="shared" si="88"/>
        <v/>
      </c>
      <c r="AF200" s="31"/>
      <c r="AG200" s="34" t="str">
        <f t="shared" si="89"/>
        <v/>
      </c>
      <c r="AH200" s="21" t="s">
        <v>180</v>
      </c>
      <c r="AI200" s="21"/>
      <c r="AJ200" s="21"/>
      <c r="AK200" s="21"/>
      <c r="AL200" s="21"/>
      <c r="AM200" s="21"/>
      <c r="AN200" s="21"/>
      <c r="AO200" s="21"/>
      <c r="AP200" s="21"/>
      <c r="AQ200" s="21"/>
      <c r="AR200" s="21"/>
      <c r="AS200" s="21"/>
      <c r="AT200" s="21"/>
      <c r="AU200" s="21"/>
      <c r="AV200" s="21"/>
      <c r="AW200" s="21"/>
      <c r="AX200" s="21"/>
      <c r="AY200" s="21"/>
      <c r="AZ200" s="21"/>
      <c r="BA200" s="21"/>
    </row>
    <row r="201" spans="1:53" ht="20" customHeight="1" x14ac:dyDescent="0.2">
      <c r="A201" s="678"/>
      <c r="B201" s="721"/>
      <c r="C201" s="722"/>
      <c r="D201" s="722"/>
      <c r="E201" s="723" t="s">
        <v>268</v>
      </c>
      <c r="F201" s="723" t="s">
        <v>269</v>
      </c>
      <c r="G201" s="722">
        <v>2004</v>
      </c>
      <c r="H201" s="287"/>
      <c r="I201" s="65"/>
      <c r="J201" s="61"/>
      <c r="K201" s="30"/>
      <c r="L201" s="73"/>
      <c r="M201" s="34" t="str">
        <f t="shared" si="80"/>
        <v/>
      </c>
      <c r="N201" s="31"/>
      <c r="O201" s="34" t="str">
        <f t="shared" si="81"/>
        <v/>
      </c>
      <c r="P201" s="31"/>
      <c r="Q201" s="34" t="str">
        <f t="shared" si="82"/>
        <v/>
      </c>
      <c r="R201" s="31"/>
      <c r="S201" s="34" t="str">
        <f t="shared" si="83"/>
        <v/>
      </c>
      <c r="T201" s="31"/>
      <c r="U201" s="34" t="str">
        <f t="shared" si="84"/>
        <v/>
      </c>
      <c r="V201" s="31"/>
      <c r="W201" s="34" t="str">
        <f t="shared" si="85"/>
        <v/>
      </c>
      <c r="X201" s="31"/>
      <c r="Y201" s="34" t="str">
        <f t="shared" si="96"/>
        <v/>
      </c>
      <c r="Z201" s="31"/>
      <c r="AA201" s="34" t="str">
        <f t="shared" si="95"/>
        <v/>
      </c>
      <c r="AB201" s="31"/>
      <c r="AC201" s="34" t="str">
        <f t="shared" si="87"/>
        <v/>
      </c>
      <c r="AD201" s="31"/>
      <c r="AE201" s="34" t="str">
        <f t="shared" si="88"/>
        <v/>
      </c>
      <c r="AF201" s="31"/>
      <c r="AG201" s="34" t="str">
        <f t="shared" si="89"/>
        <v/>
      </c>
      <c r="AH201" s="21"/>
      <c r="AI201" s="21"/>
      <c r="AJ201" s="21"/>
      <c r="AK201" s="21"/>
      <c r="AL201" s="21"/>
      <c r="AM201" s="21"/>
      <c r="AN201" s="21"/>
      <c r="AO201" s="21"/>
      <c r="AP201" s="21"/>
      <c r="AQ201" s="21"/>
      <c r="AR201" s="21"/>
      <c r="AS201" s="21"/>
      <c r="AT201" s="21"/>
      <c r="AU201" s="21"/>
      <c r="AV201" s="21"/>
      <c r="AW201" s="21"/>
      <c r="AX201" s="21"/>
      <c r="AY201" s="21"/>
      <c r="AZ201" s="21"/>
      <c r="BA201" s="21"/>
    </row>
    <row r="202" spans="1:53" ht="20" customHeight="1" x14ac:dyDescent="0.2">
      <c r="A202" s="680"/>
      <c r="B202" s="725"/>
      <c r="C202" s="253"/>
      <c r="D202" s="722" t="s">
        <v>85</v>
      </c>
      <c r="E202" s="723" t="s">
        <v>517</v>
      </c>
      <c r="F202" s="723" t="s">
        <v>638</v>
      </c>
      <c r="G202" s="722">
        <v>2012</v>
      </c>
      <c r="H202" s="287"/>
      <c r="I202" s="701">
        <v>18</v>
      </c>
      <c r="J202" s="232" t="s">
        <v>519</v>
      </c>
      <c r="K202" s="250"/>
      <c r="L202" s="73"/>
      <c r="M202" s="34"/>
      <c r="N202" s="31"/>
      <c r="O202" s="34"/>
      <c r="P202" s="31"/>
      <c r="Q202" s="34"/>
      <c r="R202" s="31"/>
      <c r="S202" s="34"/>
      <c r="T202" s="31"/>
      <c r="U202" s="34"/>
      <c r="V202" s="31"/>
      <c r="W202" s="34"/>
      <c r="X202" s="31"/>
      <c r="Y202" s="34"/>
      <c r="Z202" s="31"/>
      <c r="AA202" s="34"/>
      <c r="AB202" s="31"/>
      <c r="AC202" s="34"/>
      <c r="AD202" s="31"/>
      <c r="AE202" s="34"/>
      <c r="AF202" s="31"/>
      <c r="AG202" s="34"/>
      <c r="AH202" s="21"/>
      <c r="AI202" s="21"/>
      <c r="AJ202" s="21"/>
      <c r="AK202" s="21"/>
      <c r="AL202" s="21"/>
      <c r="AM202" s="21"/>
      <c r="AN202" s="21"/>
      <c r="AO202" s="21"/>
      <c r="AP202" s="21"/>
      <c r="AQ202" s="21"/>
      <c r="AR202" s="21"/>
      <c r="AS202" s="21"/>
      <c r="AT202" s="21"/>
      <c r="AU202" s="21"/>
      <c r="AV202" s="21"/>
      <c r="AW202" s="21"/>
      <c r="AX202" s="21"/>
      <c r="AY202" s="21"/>
      <c r="AZ202" s="21"/>
      <c r="BA202" s="21"/>
    </row>
    <row r="203" spans="1:53" ht="20" customHeight="1" x14ac:dyDescent="0.2">
      <c r="A203" s="678"/>
      <c r="B203" s="725"/>
      <c r="C203" s="255"/>
      <c r="D203" s="722" t="s">
        <v>85</v>
      </c>
      <c r="E203" s="723" t="s">
        <v>270</v>
      </c>
      <c r="F203" s="723" t="s">
        <v>271</v>
      </c>
      <c r="G203" s="722">
        <v>2014</v>
      </c>
      <c r="H203" s="287"/>
      <c r="I203" s="65">
        <v>39</v>
      </c>
      <c r="J203" s="61" t="s">
        <v>402</v>
      </c>
      <c r="K203" s="30" t="s">
        <v>338</v>
      </c>
      <c r="L203" s="73"/>
      <c r="M203" s="34" t="str">
        <f t="shared" si="80"/>
        <v/>
      </c>
      <c r="N203" s="31"/>
      <c r="O203" s="34" t="str">
        <f t="shared" si="81"/>
        <v/>
      </c>
      <c r="P203" s="31"/>
      <c r="Q203" s="34" t="str">
        <f t="shared" si="82"/>
        <v/>
      </c>
      <c r="R203" s="31"/>
      <c r="S203" s="34" t="str">
        <f t="shared" si="83"/>
        <v/>
      </c>
      <c r="T203" s="31"/>
      <c r="U203" s="34" t="str">
        <f t="shared" si="84"/>
        <v/>
      </c>
      <c r="V203" s="31">
        <v>8</v>
      </c>
      <c r="W203" s="34">
        <f t="shared" si="85"/>
        <v>20.512820512820511</v>
      </c>
      <c r="X203" s="31"/>
      <c r="Y203" s="34" t="str">
        <f t="shared" ref="Y203:Y208" si="97">IF((ISERROR((X203/$I203)*100)), "", IF(AND(NOT(ISERROR((X203/$I203)*100)),((X203/$I203)*100) &lt;&gt; 0), (X203/$I203)*100, ""))</f>
        <v/>
      </c>
      <c r="Z203" s="31">
        <v>3</v>
      </c>
      <c r="AA203" s="34">
        <f t="shared" si="95"/>
        <v>7.6923076923076925</v>
      </c>
      <c r="AB203" s="31"/>
      <c r="AC203" s="34" t="str">
        <f t="shared" si="87"/>
        <v/>
      </c>
      <c r="AD203" s="31"/>
      <c r="AE203" s="34" t="str">
        <f t="shared" si="88"/>
        <v/>
      </c>
      <c r="AF203" s="31"/>
      <c r="AG203" s="34" t="str">
        <f t="shared" si="89"/>
        <v/>
      </c>
      <c r="AH203" s="21" t="s">
        <v>344</v>
      </c>
      <c r="AI203" s="21"/>
      <c r="AJ203" s="21"/>
      <c r="AK203" s="21"/>
      <c r="AL203" s="21"/>
      <c r="AM203" s="21"/>
      <c r="AN203" s="21"/>
      <c r="AO203" s="21"/>
      <c r="AP203" s="21"/>
      <c r="AQ203" s="21"/>
      <c r="AR203" s="21"/>
      <c r="AS203" s="21"/>
      <c r="AT203" s="21"/>
      <c r="AU203" s="21"/>
      <c r="AV203" s="21"/>
      <c r="AW203" s="21"/>
      <c r="AX203" s="21"/>
      <c r="AY203" s="21"/>
      <c r="AZ203" s="21"/>
      <c r="BA203" s="21"/>
    </row>
    <row r="204" spans="1:53" ht="20" customHeight="1" x14ac:dyDescent="0.2">
      <c r="A204" s="678"/>
      <c r="B204" s="725"/>
      <c r="C204" s="722"/>
      <c r="D204" s="722" t="s">
        <v>85</v>
      </c>
      <c r="E204" s="723" t="s">
        <v>272</v>
      </c>
      <c r="F204" s="723" t="s">
        <v>273</v>
      </c>
      <c r="G204" s="722">
        <v>2015</v>
      </c>
      <c r="H204" s="287"/>
      <c r="I204" s="65">
        <v>8</v>
      </c>
      <c r="J204" s="61" t="s">
        <v>213</v>
      </c>
      <c r="K204" s="30" t="s">
        <v>345</v>
      </c>
      <c r="L204" s="73"/>
      <c r="M204" s="34" t="str">
        <f t="shared" si="80"/>
        <v/>
      </c>
      <c r="N204" s="31"/>
      <c r="O204" s="34" t="str">
        <f t="shared" si="81"/>
        <v/>
      </c>
      <c r="P204" s="31"/>
      <c r="Q204" s="34" t="str">
        <f t="shared" si="82"/>
        <v/>
      </c>
      <c r="R204" s="31"/>
      <c r="S204" s="34" t="str">
        <f t="shared" si="83"/>
        <v/>
      </c>
      <c r="T204" s="31"/>
      <c r="U204" s="34" t="str">
        <f t="shared" si="84"/>
        <v/>
      </c>
      <c r="V204" s="31"/>
      <c r="W204" s="34" t="str">
        <f t="shared" si="85"/>
        <v/>
      </c>
      <c r="X204" s="31"/>
      <c r="Y204" s="34" t="str">
        <f t="shared" si="97"/>
        <v/>
      </c>
      <c r="Z204" s="31"/>
      <c r="AA204" s="34" t="str">
        <f t="shared" si="95"/>
        <v/>
      </c>
      <c r="AB204" s="31"/>
      <c r="AC204" s="34" t="str">
        <f t="shared" si="87"/>
        <v/>
      </c>
      <c r="AD204" s="31"/>
      <c r="AE204" s="34" t="str">
        <f t="shared" si="88"/>
        <v/>
      </c>
      <c r="AF204" s="31"/>
      <c r="AG204" s="34" t="str">
        <f t="shared" si="89"/>
        <v/>
      </c>
      <c r="AH204" s="21" t="s">
        <v>403</v>
      </c>
      <c r="AI204" s="21"/>
      <c r="AJ204" s="21"/>
      <c r="AK204" s="21"/>
      <c r="AL204" s="21"/>
      <c r="AM204" s="21"/>
      <c r="AN204" s="21"/>
      <c r="AO204" s="21"/>
      <c r="AP204" s="21"/>
      <c r="AQ204" s="21"/>
      <c r="AR204" s="21"/>
      <c r="AS204" s="21"/>
      <c r="AT204" s="21"/>
      <c r="AU204" s="21"/>
      <c r="AV204" s="21"/>
      <c r="AW204" s="21"/>
      <c r="AX204" s="21"/>
      <c r="AY204" s="21"/>
      <c r="AZ204" s="21"/>
      <c r="BA204" s="21"/>
    </row>
    <row r="205" spans="1:53" ht="20" customHeight="1" x14ac:dyDescent="0.2">
      <c r="A205" s="678"/>
      <c r="B205" s="721"/>
      <c r="C205" s="255"/>
      <c r="D205" s="722" t="s">
        <v>85</v>
      </c>
      <c r="E205" s="723" t="s">
        <v>274</v>
      </c>
      <c r="F205" s="723" t="s">
        <v>275</v>
      </c>
      <c r="G205" s="722">
        <v>2001</v>
      </c>
      <c r="H205" s="287"/>
      <c r="I205" s="65">
        <v>9</v>
      </c>
      <c r="J205" s="61"/>
      <c r="K205" s="30" t="s">
        <v>346</v>
      </c>
      <c r="L205" s="73"/>
      <c r="M205" s="34" t="str">
        <f t="shared" si="80"/>
        <v/>
      </c>
      <c r="N205" s="31"/>
      <c r="O205" s="34" t="str">
        <f t="shared" si="81"/>
        <v/>
      </c>
      <c r="P205" s="31"/>
      <c r="Q205" s="34" t="str">
        <f t="shared" si="82"/>
        <v/>
      </c>
      <c r="R205" s="31"/>
      <c r="S205" s="34" t="str">
        <f t="shared" si="83"/>
        <v/>
      </c>
      <c r="T205" s="31"/>
      <c r="U205" s="34" t="str">
        <f t="shared" si="84"/>
        <v/>
      </c>
      <c r="V205" s="31"/>
      <c r="W205" s="34" t="str">
        <f t="shared" si="85"/>
        <v/>
      </c>
      <c r="X205" s="31"/>
      <c r="Y205" s="34" t="str">
        <f t="shared" si="97"/>
        <v/>
      </c>
      <c r="Z205" s="31"/>
      <c r="AA205" s="34" t="str">
        <f t="shared" si="95"/>
        <v/>
      </c>
      <c r="AB205" s="31"/>
      <c r="AC205" s="34" t="str">
        <f t="shared" si="87"/>
        <v/>
      </c>
      <c r="AD205" s="31"/>
      <c r="AE205" s="34" t="str">
        <f t="shared" si="88"/>
        <v/>
      </c>
      <c r="AF205" s="31"/>
      <c r="AG205" s="34" t="str">
        <f t="shared" si="89"/>
        <v/>
      </c>
      <c r="AH205" s="21" t="s">
        <v>347</v>
      </c>
      <c r="AI205" s="21"/>
      <c r="AJ205" s="21"/>
      <c r="AK205" s="21"/>
      <c r="AL205" s="21"/>
      <c r="AM205" s="21"/>
      <c r="AN205" s="21"/>
      <c r="AO205" s="21"/>
      <c r="AP205" s="21"/>
      <c r="AQ205" s="21"/>
      <c r="AR205" s="21"/>
      <c r="AS205" s="21"/>
      <c r="AT205" s="21"/>
      <c r="AU205" s="21"/>
      <c r="AV205" s="21"/>
      <c r="AW205" s="21"/>
      <c r="AX205" s="21"/>
      <c r="AY205" s="21"/>
      <c r="AZ205" s="21"/>
      <c r="BA205" s="21"/>
    </row>
    <row r="206" spans="1:53" ht="20" customHeight="1" x14ac:dyDescent="0.2">
      <c r="A206" s="678"/>
      <c r="B206" s="725"/>
      <c r="C206" s="255"/>
      <c r="D206" s="722" t="s">
        <v>85</v>
      </c>
      <c r="E206" s="723" t="s">
        <v>63</v>
      </c>
      <c r="F206" s="723" t="s">
        <v>64</v>
      </c>
      <c r="G206" s="722">
        <v>2012</v>
      </c>
      <c r="H206" s="287">
        <v>83</v>
      </c>
      <c r="I206" s="65">
        <v>70</v>
      </c>
      <c r="J206" s="61" t="s">
        <v>181</v>
      </c>
      <c r="K206" s="30" t="s">
        <v>190</v>
      </c>
      <c r="L206" s="73">
        <v>1</v>
      </c>
      <c r="M206" s="34">
        <f t="shared" si="80"/>
        <v>1.4285714285714286</v>
      </c>
      <c r="N206" s="31">
        <v>10</v>
      </c>
      <c r="O206" s="34">
        <f t="shared" si="81"/>
        <v>14.285714285714285</v>
      </c>
      <c r="P206" s="31"/>
      <c r="Q206" s="34" t="str">
        <f t="shared" si="82"/>
        <v/>
      </c>
      <c r="R206" s="31"/>
      <c r="S206" s="34" t="str">
        <f t="shared" si="83"/>
        <v/>
      </c>
      <c r="T206" s="31"/>
      <c r="U206" s="34" t="str">
        <f t="shared" si="84"/>
        <v/>
      </c>
      <c r="V206" s="31">
        <v>1</v>
      </c>
      <c r="W206" s="34">
        <f t="shared" si="85"/>
        <v>1.4285714285714286</v>
      </c>
      <c r="X206" s="31"/>
      <c r="Y206" s="34" t="str">
        <f t="shared" si="97"/>
        <v/>
      </c>
      <c r="Z206" s="31">
        <v>3</v>
      </c>
      <c r="AA206" s="34">
        <f t="shared" si="95"/>
        <v>4.2857142857142856</v>
      </c>
      <c r="AB206" s="31"/>
      <c r="AC206" s="34" t="str">
        <f t="shared" si="87"/>
        <v/>
      </c>
      <c r="AD206" s="31"/>
      <c r="AE206" s="34" t="str">
        <f t="shared" si="88"/>
        <v/>
      </c>
      <c r="AF206" s="31"/>
      <c r="AG206" s="34" t="str">
        <f t="shared" si="89"/>
        <v/>
      </c>
      <c r="AH206" s="21" t="s">
        <v>409</v>
      </c>
      <c r="AI206" s="21"/>
      <c r="AJ206" s="21"/>
      <c r="AK206" s="21"/>
      <c r="AL206" s="21"/>
      <c r="AM206" s="21"/>
      <c r="AN206" s="21"/>
      <c r="AO206" s="21"/>
      <c r="AP206" s="21"/>
      <c r="AQ206" s="21"/>
      <c r="AR206" s="21"/>
      <c r="AS206" s="21"/>
      <c r="AT206" s="21"/>
      <c r="AU206" s="21"/>
      <c r="AV206" s="21"/>
      <c r="AW206" s="21"/>
      <c r="AX206" s="21"/>
      <c r="AY206" s="21"/>
      <c r="AZ206" s="21"/>
      <c r="BA206" s="21"/>
    </row>
    <row r="207" spans="1:53" ht="20" customHeight="1" x14ac:dyDescent="0.2">
      <c r="A207" s="678"/>
      <c r="B207" s="725"/>
      <c r="C207" s="258"/>
      <c r="D207" s="722" t="s">
        <v>85</v>
      </c>
      <c r="E207" s="723" t="s">
        <v>69</v>
      </c>
      <c r="F207" s="723" t="s">
        <v>70</v>
      </c>
      <c r="G207" s="722">
        <v>2004</v>
      </c>
      <c r="H207" s="287">
        <v>61</v>
      </c>
      <c r="I207" s="65">
        <v>15</v>
      </c>
      <c r="J207" s="61" t="s">
        <v>183</v>
      </c>
      <c r="K207" s="30" t="s">
        <v>191</v>
      </c>
      <c r="L207" s="73"/>
      <c r="M207" s="34" t="str">
        <f t="shared" si="80"/>
        <v/>
      </c>
      <c r="N207" s="31"/>
      <c r="O207" s="34" t="str">
        <f t="shared" si="81"/>
        <v/>
      </c>
      <c r="P207" s="31"/>
      <c r="Q207" s="34" t="str">
        <f t="shared" si="82"/>
        <v/>
      </c>
      <c r="R207" s="31"/>
      <c r="S207" s="34" t="str">
        <f t="shared" si="83"/>
        <v/>
      </c>
      <c r="T207" s="31"/>
      <c r="U207" s="34" t="str">
        <f t="shared" si="84"/>
        <v/>
      </c>
      <c r="V207" s="31"/>
      <c r="W207" s="34" t="str">
        <f t="shared" si="85"/>
        <v/>
      </c>
      <c r="X207" s="31"/>
      <c r="Y207" s="34" t="str">
        <f t="shared" si="97"/>
        <v/>
      </c>
      <c r="Z207" s="31"/>
      <c r="AA207" s="34" t="str">
        <f t="shared" si="95"/>
        <v/>
      </c>
      <c r="AB207" s="31"/>
      <c r="AC207" s="34" t="str">
        <f t="shared" si="87"/>
        <v/>
      </c>
      <c r="AD207" s="31"/>
      <c r="AE207" s="34" t="str">
        <f t="shared" si="88"/>
        <v/>
      </c>
      <c r="AF207" s="31"/>
      <c r="AG207" s="34" t="str">
        <f t="shared" si="89"/>
        <v/>
      </c>
      <c r="AH207" s="21" t="s">
        <v>410</v>
      </c>
      <c r="AI207" s="21"/>
      <c r="AJ207" s="21"/>
      <c r="AK207" s="21"/>
      <c r="AL207" s="21"/>
      <c r="AM207" s="21"/>
      <c r="AN207" s="21"/>
      <c r="AO207" s="21"/>
      <c r="AP207" s="21"/>
      <c r="AQ207" s="21"/>
      <c r="AR207" s="21"/>
      <c r="AS207" s="21"/>
      <c r="AT207" s="21"/>
      <c r="AU207" s="21"/>
      <c r="AV207" s="21"/>
      <c r="AW207" s="21"/>
      <c r="AX207" s="21"/>
      <c r="AY207" s="21"/>
      <c r="AZ207" s="21"/>
      <c r="BA207" s="21"/>
    </row>
    <row r="208" spans="1:53" ht="20" customHeight="1" x14ac:dyDescent="0.2">
      <c r="A208" s="678"/>
      <c r="B208" s="725"/>
      <c r="C208" s="253"/>
      <c r="D208" s="722" t="s">
        <v>85</v>
      </c>
      <c r="E208" s="723" t="s">
        <v>71</v>
      </c>
      <c r="F208" s="723" t="s">
        <v>70</v>
      </c>
      <c r="G208" s="722">
        <v>2004</v>
      </c>
      <c r="H208" s="287">
        <v>45</v>
      </c>
      <c r="I208" s="65">
        <v>15</v>
      </c>
      <c r="J208" s="61" t="s">
        <v>183</v>
      </c>
      <c r="K208" s="30" t="s">
        <v>191</v>
      </c>
      <c r="L208" s="73"/>
      <c r="M208" s="34" t="str">
        <f t="shared" ref="M208:M255" si="98">IF((ISERROR((L208/$I208)*100)), "", IF(AND(NOT(ISERROR((L208/$I208)*100)),((L208/$I208)*100) &lt;&gt; 0), (L208/$I208)*100, ""))</f>
        <v/>
      </c>
      <c r="N208" s="31"/>
      <c r="O208" s="34" t="str">
        <f t="shared" ref="O208:O255" si="99">IF((ISERROR((N208/$I208)*100)), "", IF(AND(NOT(ISERROR((N208/$I208)*100)),((N208/$I208)*100) &lt;&gt; 0), (N208/$I208)*100, ""))</f>
        <v/>
      </c>
      <c r="P208" s="31"/>
      <c r="Q208" s="34" t="str">
        <f t="shared" ref="Q208:Q255" si="100">IF((ISERROR((P208/$I208)*100)), "", IF(AND(NOT(ISERROR((P208/$I208)*100)),((P208/$I208)*100) &lt;&gt; 0), (P208/$I208)*100, ""))</f>
        <v/>
      </c>
      <c r="R208" s="31"/>
      <c r="S208" s="34" t="str">
        <f t="shared" ref="S208:S255" si="101">IF((ISERROR((R208/$I208)*100)), "", IF(AND(NOT(ISERROR((R208/$I208)*100)),((R208/$I208)*100) &lt;&gt; 0), (R208/$I208)*100, ""))</f>
        <v/>
      </c>
      <c r="T208" s="31"/>
      <c r="U208" s="34" t="str">
        <f t="shared" ref="U208:U255" si="102">IF((ISERROR((T208/$I208)*100)), "", IF(AND(NOT(ISERROR((T208/$I208)*100)),((T208/$I208)*100) &lt;&gt; 0), (T208/$I208)*100, ""))</f>
        <v/>
      </c>
      <c r="V208" s="31"/>
      <c r="W208" s="34" t="str">
        <f t="shared" ref="W208:W255" si="103">IF((ISERROR((V208/$I208)*100)), "", IF(AND(NOT(ISERROR((V208/$I208)*100)),((V208/$I208)*100) &lt;&gt; 0), (V208/$I208)*100, ""))</f>
        <v/>
      </c>
      <c r="X208" s="31"/>
      <c r="Y208" s="34" t="str">
        <f t="shared" si="97"/>
        <v/>
      </c>
      <c r="Z208" s="31"/>
      <c r="AA208" s="34" t="str">
        <f t="shared" si="95"/>
        <v/>
      </c>
      <c r="AB208" s="31"/>
      <c r="AC208" s="34" t="str">
        <f t="shared" si="87"/>
        <v/>
      </c>
      <c r="AD208" s="31"/>
      <c r="AE208" s="34" t="str">
        <f t="shared" si="88"/>
        <v/>
      </c>
      <c r="AF208" s="31"/>
      <c r="AG208" s="34" t="str">
        <f t="shared" si="89"/>
        <v/>
      </c>
      <c r="AH208" s="21" t="s">
        <v>411</v>
      </c>
      <c r="AI208" s="21"/>
      <c r="AJ208" s="21"/>
      <c r="AK208" s="21"/>
      <c r="AL208" s="21"/>
      <c r="AM208" s="21"/>
      <c r="AN208" s="21"/>
      <c r="AO208" s="21"/>
      <c r="AP208" s="21"/>
      <c r="AQ208" s="21"/>
      <c r="AR208" s="21"/>
      <c r="AS208" s="21"/>
      <c r="AT208" s="21"/>
      <c r="AU208" s="21"/>
      <c r="AV208" s="21"/>
      <c r="AW208" s="21"/>
      <c r="AX208" s="21"/>
      <c r="AY208" s="21"/>
      <c r="AZ208" s="21"/>
      <c r="BA208" s="21"/>
    </row>
    <row r="209" spans="1:53" ht="20" customHeight="1" x14ac:dyDescent="0.2">
      <c r="A209" s="678"/>
      <c r="B209" s="725"/>
      <c r="C209" s="255"/>
      <c r="D209" s="722"/>
      <c r="E209" s="723" t="s">
        <v>276</v>
      </c>
      <c r="F209" s="723" t="s">
        <v>279</v>
      </c>
      <c r="G209" s="722">
        <v>2008</v>
      </c>
      <c r="H209" s="287"/>
      <c r="I209" s="65"/>
      <c r="J209" s="61"/>
      <c r="K209" s="30" t="s">
        <v>348</v>
      </c>
      <c r="L209" s="73"/>
      <c r="M209" s="34" t="str">
        <f t="shared" si="98"/>
        <v/>
      </c>
      <c r="N209" s="31"/>
      <c r="O209" s="34" t="str">
        <f t="shared" si="99"/>
        <v/>
      </c>
      <c r="P209" s="31"/>
      <c r="Q209" s="34" t="str">
        <f t="shared" si="100"/>
        <v/>
      </c>
      <c r="R209" s="31"/>
      <c r="S209" s="34" t="str">
        <f t="shared" si="101"/>
        <v/>
      </c>
      <c r="T209" s="31"/>
      <c r="U209" s="34" t="str">
        <f t="shared" si="102"/>
        <v/>
      </c>
      <c r="V209" s="31"/>
      <c r="W209" s="34" t="str">
        <f t="shared" si="103"/>
        <v/>
      </c>
      <c r="X209" s="31"/>
      <c r="Y209" s="34" t="str">
        <f t="shared" ref="Y209" si="104">IF((ISERROR((X209/$I209)*100)), "", IF(AND(NOT(ISERROR((X209/$I209)*100)),((X209/$I209)*100) &lt;&gt; 0), (X209/$I209)*100, ""))</f>
        <v/>
      </c>
      <c r="Z209" s="31"/>
      <c r="AA209" s="34" t="str">
        <f t="shared" si="95"/>
        <v/>
      </c>
      <c r="AB209" s="31"/>
      <c r="AC209" s="34" t="str">
        <f t="shared" si="87"/>
        <v/>
      </c>
      <c r="AD209" s="31"/>
      <c r="AE209" s="34" t="str">
        <f t="shared" si="88"/>
        <v/>
      </c>
      <c r="AF209" s="31"/>
      <c r="AG209" s="34" t="str">
        <f t="shared" si="89"/>
        <v/>
      </c>
      <c r="AH209" s="21"/>
      <c r="AI209" s="21"/>
      <c r="AJ209" s="21"/>
      <c r="AK209" s="21"/>
      <c r="AL209" s="21"/>
      <c r="AM209" s="21"/>
      <c r="AN209" s="21"/>
      <c r="AO209" s="21"/>
      <c r="AP209" s="21"/>
      <c r="AQ209" s="21"/>
      <c r="AR209" s="21"/>
      <c r="AS209" s="21"/>
      <c r="AT209" s="21"/>
      <c r="AU209" s="21"/>
      <c r="AV209" s="21"/>
      <c r="AW209" s="21"/>
      <c r="AX209" s="21"/>
      <c r="AY209" s="21"/>
      <c r="AZ209" s="21"/>
      <c r="BA209" s="21"/>
    </row>
    <row r="210" spans="1:53" ht="20" customHeight="1" x14ac:dyDescent="0.2">
      <c r="A210" s="678"/>
      <c r="B210" s="725"/>
      <c r="C210" s="253"/>
      <c r="D210" s="722" t="s">
        <v>85</v>
      </c>
      <c r="E210" s="723" t="s">
        <v>277</v>
      </c>
      <c r="F210" s="723" t="s">
        <v>278</v>
      </c>
      <c r="G210" s="722">
        <v>2013</v>
      </c>
      <c r="H210" s="287"/>
      <c r="I210" s="65">
        <v>23</v>
      </c>
      <c r="J210" s="61"/>
      <c r="K210" s="30"/>
      <c r="L210" s="73"/>
      <c r="M210" s="34" t="str">
        <f t="shared" si="98"/>
        <v/>
      </c>
      <c r="N210" s="31"/>
      <c r="O210" s="34" t="str">
        <f t="shared" si="99"/>
        <v/>
      </c>
      <c r="P210" s="31"/>
      <c r="Q210" s="34" t="str">
        <f t="shared" si="100"/>
        <v/>
      </c>
      <c r="R210" s="31"/>
      <c r="S210" s="34" t="str">
        <f t="shared" si="101"/>
        <v/>
      </c>
      <c r="T210" s="31"/>
      <c r="U210" s="34" t="str">
        <f t="shared" si="102"/>
        <v/>
      </c>
      <c r="V210" s="31"/>
      <c r="W210" s="34" t="str">
        <f t="shared" si="103"/>
        <v/>
      </c>
      <c r="X210" s="31"/>
      <c r="Y210" s="34" t="str">
        <f>IF((ISERROR((X210/$I210)*100)), "", IF(AND(NOT(ISERROR((X210/$I210)*100)),((X210/$I210)*100) &lt;&gt; 0), (X210/$I210)*100, ""))</f>
        <v/>
      </c>
      <c r="Z210" s="31"/>
      <c r="AA210" s="34" t="str">
        <f t="shared" si="95"/>
        <v/>
      </c>
      <c r="AB210" s="31"/>
      <c r="AC210" s="34" t="str">
        <f t="shared" si="87"/>
        <v/>
      </c>
      <c r="AD210" s="31"/>
      <c r="AE210" s="34" t="str">
        <f t="shared" si="88"/>
        <v/>
      </c>
      <c r="AF210" s="31"/>
      <c r="AG210" s="34" t="str">
        <f t="shared" si="89"/>
        <v/>
      </c>
      <c r="AH210" s="21" t="s">
        <v>412</v>
      </c>
      <c r="AI210" s="21"/>
      <c r="AJ210" s="21"/>
      <c r="AK210" s="21"/>
      <c r="AL210" s="21"/>
      <c r="AM210" s="21"/>
      <c r="AN210" s="21"/>
      <c r="AO210" s="21"/>
      <c r="AP210" s="21"/>
      <c r="AQ210" s="21"/>
      <c r="AR210" s="21"/>
      <c r="AS210" s="21"/>
      <c r="AT210" s="21"/>
      <c r="AU210" s="21"/>
      <c r="AV210" s="21"/>
      <c r="AW210" s="21"/>
      <c r="AX210" s="21"/>
      <c r="AY210" s="21"/>
      <c r="AZ210" s="21"/>
      <c r="BA210" s="21"/>
    </row>
    <row r="211" spans="1:53" ht="20" customHeight="1" x14ac:dyDescent="0.2">
      <c r="A211" s="680"/>
      <c r="B211" s="721"/>
      <c r="C211" s="253"/>
      <c r="D211" s="722" t="s">
        <v>85</v>
      </c>
      <c r="E211" s="723" t="s">
        <v>639</v>
      </c>
      <c r="F211" s="723" t="s">
        <v>640</v>
      </c>
      <c r="G211" s="722">
        <v>2005</v>
      </c>
      <c r="H211" s="287"/>
      <c r="I211" s="701">
        <v>8</v>
      </c>
      <c r="J211" s="232" t="s">
        <v>641</v>
      </c>
      <c r="K211" s="250"/>
      <c r="L211" s="73"/>
      <c r="M211" s="34"/>
      <c r="N211" s="31"/>
      <c r="O211" s="34"/>
      <c r="P211" s="31"/>
      <c r="Q211" s="34"/>
      <c r="R211" s="31"/>
      <c r="S211" s="34"/>
      <c r="T211" s="31"/>
      <c r="U211" s="34"/>
      <c r="V211" s="31"/>
      <c r="W211" s="34"/>
      <c r="X211" s="31"/>
      <c r="Y211" s="34"/>
      <c r="Z211" s="31"/>
      <c r="AA211" s="34"/>
      <c r="AB211" s="31"/>
      <c r="AC211" s="34"/>
      <c r="AD211" s="31"/>
      <c r="AE211" s="34"/>
      <c r="AF211" s="31"/>
      <c r="AG211" s="34"/>
      <c r="AH211" s="21"/>
      <c r="AI211" s="21"/>
      <c r="AJ211" s="21"/>
      <c r="AK211" s="21"/>
      <c r="AL211" s="21"/>
      <c r="AM211" s="21"/>
      <c r="AN211" s="21"/>
      <c r="AO211" s="21"/>
      <c r="AP211" s="21"/>
      <c r="AQ211" s="21"/>
      <c r="AR211" s="21"/>
      <c r="AS211" s="21"/>
      <c r="AT211" s="21"/>
      <c r="AU211" s="21"/>
      <c r="AV211" s="21"/>
      <c r="AW211" s="21"/>
      <c r="AX211" s="21"/>
      <c r="AY211" s="21"/>
      <c r="AZ211" s="21"/>
      <c r="BA211" s="21"/>
    </row>
    <row r="212" spans="1:53" ht="20" customHeight="1" x14ac:dyDescent="0.2">
      <c r="A212" s="678"/>
      <c r="B212" s="721"/>
      <c r="C212" s="722"/>
      <c r="D212" s="722" t="s">
        <v>85</v>
      </c>
      <c r="E212" s="723" t="s">
        <v>349</v>
      </c>
      <c r="F212" s="723" t="s">
        <v>72</v>
      </c>
      <c r="G212" s="722">
        <v>2014</v>
      </c>
      <c r="H212" s="287">
        <v>23</v>
      </c>
      <c r="I212" s="65">
        <v>28</v>
      </c>
      <c r="J212" s="61" t="s">
        <v>184</v>
      </c>
      <c r="K212" s="30" t="s">
        <v>192</v>
      </c>
      <c r="L212" s="73"/>
      <c r="M212" s="34" t="str">
        <f t="shared" si="98"/>
        <v/>
      </c>
      <c r="N212" s="31"/>
      <c r="O212" s="34" t="str">
        <f t="shared" si="99"/>
        <v/>
      </c>
      <c r="P212" s="31"/>
      <c r="Q212" s="34" t="str">
        <f t="shared" si="100"/>
        <v/>
      </c>
      <c r="R212" s="31"/>
      <c r="S212" s="34" t="str">
        <f t="shared" si="101"/>
        <v/>
      </c>
      <c r="T212" s="31"/>
      <c r="U212" s="34" t="str">
        <f t="shared" si="102"/>
        <v/>
      </c>
      <c r="V212" s="31"/>
      <c r="W212" s="34" t="str">
        <f t="shared" si="103"/>
        <v/>
      </c>
      <c r="X212" s="31"/>
      <c r="Y212" s="34" t="str">
        <f>IF((ISERROR((X212/$I212)*100)), "", IF(AND(NOT(ISERROR((X212/$I212)*100)),((X212/$I212)*100) &lt;&gt; 0), (X212/$I212)*100, ""))</f>
        <v/>
      </c>
      <c r="Z212" s="31"/>
      <c r="AA212" s="34" t="str">
        <f t="shared" ref="AA212:AA213" si="105">IF((ISERROR((Z212/$I212)*100)), "", IF(AND(NOT(ISERROR((Z212/$I212)*100)),((Z212/$I212)*100) &lt;&gt; 0), (Z212/$I212)*100, ""))</f>
        <v/>
      </c>
      <c r="AB212" s="31"/>
      <c r="AC212" s="34" t="str">
        <f t="shared" si="87"/>
        <v/>
      </c>
      <c r="AD212" s="31"/>
      <c r="AE212" s="34" t="str">
        <f t="shared" si="88"/>
        <v/>
      </c>
      <c r="AF212" s="31"/>
      <c r="AG212" s="34" t="str">
        <f t="shared" si="89"/>
        <v/>
      </c>
      <c r="AH212" s="21" t="s">
        <v>413</v>
      </c>
      <c r="AI212" s="21"/>
      <c r="AJ212" s="21"/>
      <c r="AK212" s="21"/>
      <c r="AL212" s="21"/>
      <c r="AM212" s="21"/>
      <c r="AN212" s="21"/>
      <c r="AO212" s="21"/>
      <c r="AP212" s="21"/>
      <c r="AQ212" s="21"/>
      <c r="AR212" s="21"/>
      <c r="AS212" s="21"/>
      <c r="AT212" s="21"/>
      <c r="AU212" s="21"/>
      <c r="AV212" s="21"/>
      <c r="AW212" s="21"/>
      <c r="AX212" s="21"/>
      <c r="AY212" s="21"/>
      <c r="AZ212" s="21"/>
      <c r="BA212" s="21"/>
    </row>
    <row r="213" spans="1:53" ht="20" customHeight="1" x14ac:dyDescent="0.2">
      <c r="A213" s="678"/>
      <c r="B213" s="725"/>
      <c r="C213" s="255"/>
      <c r="D213" s="722" t="s">
        <v>85</v>
      </c>
      <c r="E213" s="723" t="s">
        <v>280</v>
      </c>
      <c r="F213" s="723" t="s">
        <v>281</v>
      </c>
      <c r="G213" s="722">
        <v>2014</v>
      </c>
      <c r="H213" s="287"/>
      <c r="I213" s="65">
        <v>28</v>
      </c>
      <c r="J213" s="61" t="s">
        <v>184</v>
      </c>
      <c r="K213" s="30" t="s">
        <v>192</v>
      </c>
      <c r="L213" s="73">
        <v>5</v>
      </c>
      <c r="M213" s="34">
        <f t="shared" si="98"/>
        <v>17.857142857142858</v>
      </c>
      <c r="N213" s="31">
        <v>3</v>
      </c>
      <c r="O213" s="34">
        <f t="shared" si="99"/>
        <v>10.714285714285714</v>
      </c>
      <c r="P213" s="31"/>
      <c r="Q213" s="34" t="str">
        <f t="shared" si="100"/>
        <v/>
      </c>
      <c r="R213" s="31"/>
      <c r="S213" s="34" t="str">
        <f t="shared" si="101"/>
        <v/>
      </c>
      <c r="T213" s="31"/>
      <c r="U213" s="34" t="str">
        <f t="shared" si="102"/>
        <v/>
      </c>
      <c r="V213" s="31">
        <v>4</v>
      </c>
      <c r="W213" s="34">
        <f t="shared" si="103"/>
        <v>14.285714285714285</v>
      </c>
      <c r="X213" s="31"/>
      <c r="Y213" s="34" t="str">
        <f>IF((ISERROR((X213/$I213)*100)), "", IF(AND(NOT(ISERROR((X213/$I213)*100)),((X213/$I213)*100) &lt;&gt; 0), (X213/$I213)*100, ""))</f>
        <v/>
      </c>
      <c r="Z213" s="31"/>
      <c r="AA213" s="34" t="str">
        <f t="shared" si="105"/>
        <v/>
      </c>
      <c r="AB213" s="31"/>
      <c r="AC213" s="34" t="str">
        <f t="shared" si="87"/>
        <v/>
      </c>
      <c r="AD213" s="31"/>
      <c r="AE213" s="34" t="str">
        <f t="shared" si="88"/>
        <v/>
      </c>
      <c r="AF213" s="31"/>
      <c r="AG213" s="34" t="str">
        <f t="shared" si="89"/>
        <v/>
      </c>
      <c r="AH213" s="21" t="s">
        <v>350</v>
      </c>
      <c r="AI213" s="21"/>
      <c r="AJ213" s="21"/>
      <c r="AK213" s="21"/>
      <c r="AL213" s="21"/>
      <c r="AM213" s="21"/>
      <c r="AN213" s="21"/>
      <c r="AO213" s="21"/>
      <c r="AP213" s="21"/>
      <c r="AQ213" s="21"/>
      <c r="AR213" s="21"/>
      <c r="AS213" s="21"/>
      <c r="AT213" s="21"/>
      <c r="AU213" s="21"/>
      <c r="AV213" s="21"/>
      <c r="AW213" s="21"/>
      <c r="AX213" s="21"/>
      <c r="AY213" s="21"/>
      <c r="AZ213" s="21"/>
      <c r="BA213" s="21"/>
    </row>
    <row r="214" spans="1:53" ht="20" customHeight="1" x14ac:dyDescent="0.2">
      <c r="A214" s="678"/>
      <c r="B214" s="725"/>
      <c r="C214" s="255"/>
      <c r="D214" s="722" t="s">
        <v>476</v>
      </c>
      <c r="E214" s="723" t="s">
        <v>77</v>
      </c>
      <c r="F214" s="723" t="s">
        <v>78</v>
      </c>
      <c r="G214" s="722">
        <v>2009</v>
      </c>
      <c r="H214" s="287">
        <v>134</v>
      </c>
      <c r="I214" s="65">
        <v>94</v>
      </c>
      <c r="J214" s="61" t="s">
        <v>474</v>
      </c>
      <c r="K214" s="62" t="s">
        <v>475</v>
      </c>
      <c r="L214" s="73"/>
      <c r="M214" s="34" t="str">
        <f t="shared" si="98"/>
        <v/>
      </c>
      <c r="N214" s="31">
        <v>2</v>
      </c>
      <c r="O214" s="34">
        <f t="shared" si="99"/>
        <v>2.1276595744680851</v>
      </c>
      <c r="P214" s="31"/>
      <c r="Q214" s="34" t="str">
        <f t="shared" si="100"/>
        <v/>
      </c>
      <c r="R214" s="31">
        <v>3</v>
      </c>
      <c r="S214" s="34">
        <f t="shared" si="101"/>
        <v>3.1914893617021276</v>
      </c>
      <c r="T214" s="31"/>
      <c r="U214" s="34" t="str">
        <f t="shared" si="102"/>
        <v/>
      </c>
      <c r="V214" s="31">
        <v>4</v>
      </c>
      <c r="W214" s="34">
        <f t="shared" si="103"/>
        <v>4.2553191489361701</v>
      </c>
      <c r="X214" s="31"/>
      <c r="Y214" s="34" t="str">
        <f t="shared" ref="Y214:Y224" si="106">IF((ISERROR((X214/$I214)*100)), "", IF(AND(NOT(ISERROR((X214/$I214)*100)),((X214/$I214)*100) &lt;&gt; 0), (X214/$I214)*100, ""))</f>
        <v/>
      </c>
      <c r="Z214" s="31">
        <v>2</v>
      </c>
      <c r="AA214" s="34">
        <f t="shared" ref="AA214:AA230" si="107">IF((ISERROR((Z214/$I214)*100)), "", IF(AND(NOT(ISERROR((Z214/$I214)*100)),((Z214/$I214)*100) &lt;&gt; 0), (Z214/$I214)*100, ""))</f>
        <v>2.1276595744680851</v>
      </c>
      <c r="AB214" s="31">
        <v>2</v>
      </c>
      <c r="AC214" s="34">
        <f t="shared" si="87"/>
        <v>2.1276595744680851</v>
      </c>
      <c r="AD214" s="31"/>
      <c r="AE214" s="34" t="str">
        <f t="shared" si="88"/>
        <v/>
      </c>
      <c r="AF214" s="31"/>
      <c r="AG214" s="34" t="str">
        <f t="shared" si="89"/>
        <v/>
      </c>
      <c r="AH214" s="21" t="s">
        <v>477</v>
      </c>
      <c r="AI214" s="21"/>
      <c r="AJ214" s="21"/>
      <c r="AK214" s="21"/>
      <c r="AL214" s="21"/>
      <c r="AM214" s="21"/>
      <c r="AN214" s="21"/>
      <c r="AO214" s="21"/>
      <c r="AP214" s="21"/>
      <c r="AQ214" s="21"/>
      <c r="AR214" s="21"/>
      <c r="AS214" s="21"/>
      <c r="AT214" s="21"/>
      <c r="AU214" s="21"/>
      <c r="AV214" s="21"/>
      <c r="AW214" s="21"/>
      <c r="AX214" s="21"/>
      <c r="AY214" s="21"/>
      <c r="AZ214" s="21"/>
      <c r="BA214" s="21"/>
    </row>
    <row r="215" spans="1:53" ht="20" customHeight="1" x14ac:dyDescent="0.2">
      <c r="A215" s="678"/>
      <c r="B215" s="725"/>
      <c r="C215" s="253"/>
      <c r="D215" s="722" t="s">
        <v>85</v>
      </c>
      <c r="E215" s="723" t="s">
        <v>282</v>
      </c>
      <c r="F215" s="723" t="s">
        <v>283</v>
      </c>
      <c r="G215" s="722">
        <v>2015</v>
      </c>
      <c r="H215" s="287"/>
      <c r="I215" s="65">
        <v>10</v>
      </c>
      <c r="J215" s="61" t="s">
        <v>340</v>
      </c>
      <c r="K215" s="30" t="s">
        <v>351</v>
      </c>
      <c r="L215" s="73"/>
      <c r="M215" s="34" t="str">
        <f t="shared" si="98"/>
        <v/>
      </c>
      <c r="N215" s="31"/>
      <c r="O215" s="34" t="str">
        <f t="shared" si="99"/>
        <v/>
      </c>
      <c r="P215" s="31"/>
      <c r="Q215" s="34" t="str">
        <f t="shared" si="100"/>
        <v/>
      </c>
      <c r="R215" s="31"/>
      <c r="S215" s="34" t="str">
        <f t="shared" si="101"/>
        <v/>
      </c>
      <c r="T215" s="31"/>
      <c r="U215" s="34" t="str">
        <f t="shared" si="102"/>
        <v/>
      </c>
      <c r="V215" s="31"/>
      <c r="W215" s="34" t="str">
        <f t="shared" si="103"/>
        <v/>
      </c>
      <c r="X215" s="31"/>
      <c r="Y215" s="34" t="str">
        <f>IF((ISERROR((X215/$I215)*100)), "", IF(AND(NOT(ISERROR((X215/$I215)*100)),((X215/$I215)*100) &lt;&gt; 0), (X215/$I215)*100, ""))</f>
        <v/>
      </c>
      <c r="Z215" s="31"/>
      <c r="AA215" s="34" t="str">
        <f t="shared" si="107"/>
        <v/>
      </c>
      <c r="AB215" s="31"/>
      <c r="AC215" s="34" t="str">
        <f t="shared" si="87"/>
        <v/>
      </c>
      <c r="AD215" s="31"/>
      <c r="AE215" s="34" t="str">
        <f t="shared" si="88"/>
        <v/>
      </c>
      <c r="AF215" s="31"/>
      <c r="AG215" s="34" t="str">
        <f t="shared" si="89"/>
        <v/>
      </c>
      <c r="AH215" s="21"/>
      <c r="AI215" s="21"/>
      <c r="AJ215" s="21"/>
      <c r="AK215" s="21"/>
      <c r="AL215" s="21"/>
      <c r="AM215" s="21"/>
      <c r="AN215" s="21"/>
      <c r="AO215" s="21"/>
      <c r="AP215" s="21"/>
      <c r="AQ215" s="21"/>
      <c r="AR215" s="21"/>
      <c r="AS215" s="21"/>
      <c r="AT215" s="21"/>
      <c r="AU215" s="21"/>
      <c r="AV215" s="21"/>
      <c r="AW215" s="21"/>
      <c r="AX215" s="21"/>
      <c r="AY215" s="21"/>
      <c r="AZ215" s="21"/>
      <c r="BA215" s="21"/>
    </row>
    <row r="216" spans="1:53" ht="20" customHeight="1" x14ac:dyDescent="0.2">
      <c r="A216" s="678"/>
      <c r="B216" s="725"/>
      <c r="C216" s="255"/>
      <c r="D216" s="722" t="s">
        <v>85</v>
      </c>
      <c r="E216" s="723" t="s">
        <v>79</v>
      </c>
      <c r="F216" s="723" t="s">
        <v>80</v>
      </c>
      <c r="G216" s="722">
        <v>2015</v>
      </c>
      <c r="H216" s="287">
        <v>10</v>
      </c>
      <c r="I216" s="65">
        <v>11</v>
      </c>
      <c r="J216" s="61" t="s">
        <v>194</v>
      </c>
      <c r="K216" s="30" t="s">
        <v>168</v>
      </c>
      <c r="L216" s="73">
        <v>3</v>
      </c>
      <c r="M216" s="34">
        <f t="shared" si="98"/>
        <v>27.27272727272727</v>
      </c>
      <c r="N216" s="36">
        <v>1</v>
      </c>
      <c r="O216" s="37">
        <f t="shared" si="99"/>
        <v>9.0909090909090917</v>
      </c>
      <c r="P216" s="31"/>
      <c r="Q216" s="34" t="str">
        <f t="shared" si="100"/>
        <v/>
      </c>
      <c r="R216" s="31"/>
      <c r="S216" s="34" t="str">
        <f t="shared" si="101"/>
        <v/>
      </c>
      <c r="T216" s="31"/>
      <c r="U216" s="34" t="str">
        <f t="shared" si="102"/>
        <v/>
      </c>
      <c r="V216" s="31"/>
      <c r="W216" s="34" t="str">
        <f t="shared" si="103"/>
        <v/>
      </c>
      <c r="X216" s="31"/>
      <c r="Y216" s="34" t="str">
        <f>IF((ISERROR((X216/$I216)*100)), "", IF(AND(NOT(ISERROR((X216/$I216)*100)),((X216/$I216)*100) &lt;&gt; 0), (X216/$I216)*100, ""))</f>
        <v/>
      </c>
      <c r="Z216" s="31"/>
      <c r="AA216" s="34" t="str">
        <f t="shared" si="107"/>
        <v/>
      </c>
      <c r="AB216" s="31"/>
      <c r="AC216" s="34" t="str">
        <f t="shared" si="87"/>
        <v/>
      </c>
      <c r="AD216" s="31"/>
      <c r="AE216" s="34" t="str">
        <f t="shared" si="88"/>
        <v/>
      </c>
      <c r="AF216" s="31"/>
      <c r="AG216" s="34" t="str">
        <f t="shared" si="89"/>
        <v/>
      </c>
      <c r="AH216" s="21" t="s">
        <v>193</v>
      </c>
      <c r="AI216" s="21"/>
      <c r="AJ216" s="21"/>
      <c r="AK216" s="21"/>
      <c r="AL216" s="21"/>
      <c r="AM216" s="21"/>
      <c r="AN216" s="21"/>
      <c r="AO216" s="21"/>
      <c r="AP216" s="21"/>
      <c r="AQ216" s="21"/>
      <c r="AR216" s="21"/>
      <c r="AS216" s="21"/>
      <c r="AT216" s="21"/>
      <c r="AU216" s="21"/>
      <c r="AV216" s="21"/>
      <c r="AW216" s="21"/>
      <c r="AX216" s="21"/>
      <c r="AY216" s="21"/>
      <c r="AZ216" s="21"/>
      <c r="BA216" s="21"/>
    </row>
    <row r="217" spans="1:53" ht="20" customHeight="1" x14ac:dyDescent="0.2">
      <c r="A217" s="678"/>
      <c r="B217" s="725"/>
      <c r="C217" s="255"/>
      <c r="D217" s="722" t="s">
        <v>85</v>
      </c>
      <c r="E217" s="723" t="s">
        <v>526</v>
      </c>
      <c r="F217" s="723" t="s">
        <v>527</v>
      </c>
      <c r="G217" s="722">
        <v>1998</v>
      </c>
      <c r="H217" s="287"/>
      <c r="I217" s="65">
        <v>22</v>
      </c>
      <c r="J217" s="61" t="s">
        <v>184</v>
      </c>
      <c r="K217" s="83" t="s">
        <v>346</v>
      </c>
      <c r="L217" s="73"/>
      <c r="M217" s="34"/>
      <c r="N217" s="31"/>
      <c r="O217" s="34"/>
      <c r="P217" s="31"/>
      <c r="Q217" s="34"/>
      <c r="R217" s="31"/>
      <c r="S217" s="34"/>
      <c r="T217" s="31"/>
      <c r="U217" s="34"/>
      <c r="V217" s="31"/>
      <c r="W217" s="34"/>
      <c r="X217" s="31"/>
      <c r="Y217" s="34"/>
      <c r="Z217" s="31"/>
      <c r="AA217" s="34"/>
      <c r="AB217" s="31"/>
      <c r="AC217" s="34"/>
      <c r="AD217" s="31"/>
      <c r="AE217" s="34"/>
      <c r="AF217" s="31"/>
      <c r="AG217" s="34"/>
      <c r="AH217" s="21"/>
      <c r="AI217" s="21"/>
      <c r="AJ217" s="21"/>
      <c r="AK217" s="21"/>
      <c r="AL217" s="21"/>
      <c r="AM217" s="21"/>
      <c r="AN217" s="21"/>
      <c r="AO217" s="21"/>
      <c r="AP217" s="21"/>
      <c r="AQ217" s="21"/>
      <c r="AR217" s="21"/>
      <c r="AS217" s="21"/>
      <c r="AT217" s="21"/>
      <c r="AU217" s="21"/>
      <c r="AV217" s="21"/>
      <c r="AW217" s="21"/>
      <c r="AX217" s="21"/>
      <c r="AY217" s="21"/>
      <c r="AZ217" s="21"/>
      <c r="BA217" s="21"/>
    </row>
    <row r="218" spans="1:53" ht="20" customHeight="1" x14ac:dyDescent="0.2">
      <c r="A218" s="678"/>
      <c r="B218" s="721"/>
      <c r="C218" s="253"/>
      <c r="D218" s="722" t="s">
        <v>85</v>
      </c>
      <c r="E218" s="723" t="s">
        <v>81</v>
      </c>
      <c r="F218" s="723" t="s">
        <v>82</v>
      </c>
      <c r="G218" s="722">
        <v>1994</v>
      </c>
      <c r="H218" s="287">
        <v>292</v>
      </c>
      <c r="I218" s="65">
        <v>15</v>
      </c>
      <c r="J218" s="61" t="s">
        <v>195</v>
      </c>
      <c r="K218" s="30"/>
      <c r="L218" s="73"/>
      <c r="M218" s="34" t="str">
        <f t="shared" si="98"/>
        <v/>
      </c>
      <c r="N218" s="31"/>
      <c r="O218" s="34" t="str">
        <f t="shared" si="99"/>
        <v/>
      </c>
      <c r="P218" s="31"/>
      <c r="Q218" s="34" t="str">
        <f t="shared" si="100"/>
        <v/>
      </c>
      <c r="R218" s="31"/>
      <c r="S218" s="34" t="str">
        <f t="shared" si="101"/>
        <v/>
      </c>
      <c r="T218" s="31"/>
      <c r="U218" s="34" t="str">
        <f t="shared" si="102"/>
        <v/>
      </c>
      <c r="V218" s="31"/>
      <c r="W218" s="34" t="str">
        <f t="shared" si="103"/>
        <v/>
      </c>
      <c r="X218" s="31"/>
      <c r="Y218" s="34" t="str">
        <f t="shared" si="106"/>
        <v/>
      </c>
      <c r="Z218" s="31"/>
      <c r="AA218" s="34" t="str">
        <f t="shared" si="107"/>
        <v/>
      </c>
      <c r="AB218" s="31"/>
      <c r="AC218" s="34" t="str">
        <f t="shared" si="87"/>
        <v/>
      </c>
      <c r="AD218" s="31"/>
      <c r="AE218" s="34" t="str">
        <f t="shared" si="88"/>
        <v/>
      </c>
      <c r="AF218" s="31"/>
      <c r="AG218" s="34" t="str">
        <f t="shared" si="89"/>
        <v/>
      </c>
      <c r="AH218" s="21" t="s">
        <v>196</v>
      </c>
      <c r="AI218" s="21"/>
      <c r="AJ218" s="21"/>
      <c r="AK218" s="21"/>
      <c r="AL218" s="21"/>
      <c r="AM218" s="21"/>
      <c r="AN218" s="21"/>
      <c r="AO218" s="21"/>
      <c r="AP218" s="21"/>
      <c r="AQ218" s="21"/>
      <c r="AR218" s="21"/>
      <c r="AS218" s="21"/>
      <c r="AT218" s="21"/>
      <c r="AU218" s="21"/>
      <c r="AV218" s="21"/>
      <c r="AW218" s="21"/>
      <c r="AX218" s="21"/>
      <c r="AY218" s="21"/>
      <c r="AZ218" s="21"/>
      <c r="BA218" s="21"/>
    </row>
    <row r="219" spans="1:53" ht="20" customHeight="1" x14ac:dyDescent="0.2">
      <c r="A219" s="678"/>
      <c r="B219" s="725"/>
      <c r="C219" s="255"/>
      <c r="D219" s="722" t="s">
        <v>85</v>
      </c>
      <c r="E219" s="723" t="s">
        <v>83</v>
      </c>
      <c r="F219" s="723" t="s">
        <v>84</v>
      </c>
      <c r="G219" s="722">
        <v>2000</v>
      </c>
      <c r="H219" s="287">
        <v>146</v>
      </c>
      <c r="I219" s="65">
        <v>42</v>
      </c>
      <c r="J219" s="61" t="s">
        <v>352</v>
      </c>
      <c r="K219" s="30"/>
      <c r="L219" s="73"/>
      <c r="M219" s="34" t="str">
        <f t="shared" si="98"/>
        <v/>
      </c>
      <c r="N219" s="31"/>
      <c r="O219" s="34" t="str">
        <f t="shared" si="99"/>
        <v/>
      </c>
      <c r="P219" s="31"/>
      <c r="Q219" s="34" t="str">
        <f t="shared" si="100"/>
        <v/>
      </c>
      <c r="R219" s="31"/>
      <c r="S219" s="34" t="str">
        <f t="shared" si="101"/>
        <v/>
      </c>
      <c r="T219" s="31"/>
      <c r="U219" s="34" t="str">
        <f t="shared" si="102"/>
        <v/>
      </c>
      <c r="V219" s="31"/>
      <c r="W219" s="34" t="str">
        <f t="shared" si="103"/>
        <v/>
      </c>
      <c r="X219" s="31"/>
      <c r="Y219" s="34" t="str">
        <f t="shared" si="106"/>
        <v/>
      </c>
      <c r="Z219" s="31"/>
      <c r="AA219" s="34" t="str">
        <f t="shared" si="107"/>
        <v/>
      </c>
      <c r="AB219" s="31"/>
      <c r="AC219" s="34" t="str">
        <f t="shared" si="87"/>
        <v/>
      </c>
      <c r="AD219" s="31"/>
      <c r="AE219" s="34" t="str">
        <f t="shared" si="88"/>
        <v/>
      </c>
      <c r="AF219" s="31"/>
      <c r="AG219" s="34" t="str">
        <f t="shared" si="89"/>
        <v/>
      </c>
      <c r="AH219" s="21" t="s">
        <v>478</v>
      </c>
      <c r="AI219" s="21"/>
      <c r="AJ219" s="21"/>
      <c r="AK219" s="21"/>
      <c r="AL219" s="21"/>
      <c r="AM219" s="21"/>
      <c r="AN219" s="21"/>
      <c r="AO219" s="21"/>
      <c r="AP219" s="21"/>
      <c r="AQ219" s="21"/>
      <c r="AR219" s="21"/>
      <c r="AS219" s="21"/>
      <c r="AT219" s="21"/>
      <c r="AU219" s="21"/>
      <c r="AV219" s="21"/>
      <c r="AW219" s="21"/>
      <c r="AX219" s="21"/>
      <c r="AY219" s="21"/>
      <c r="AZ219" s="21"/>
      <c r="BA219" s="21"/>
    </row>
    <row r="220" spans="1:53" ht="20" customHeight="1" x14ac:dyDescent="0.2">
      <c r="A220" s="680"/>
      <c r="B220" s="721"/>
      <c r="C220" s="253"/>
      <c r="D220" s="722"/>
      <c r="E220" s="723" t="s">
        <v>643</v>
      </c>
      <c r="F220" s="723" t="s">
        <v>704</v>
      </c>
      <c r="G220" s="722">
        <v>2001</v>
      </c>
      <c r="H220" s="287"/>
      <c r="I220" s="65">
        <v>1</v>
      </c>
      <c r="J220" s="61"/>
      <c r="K220" s="62" t="s">
        <v>644</v>
      </c>
      <c r="L220" s="73"/>
      <c r="M220" s="34"/>
      <c r="N220" s="31"/>
      <c r="O220" s="34"/>
      <c r="P220" s="31"/>
      <c r="Q220" s="34"/>
      <c r="R220" s="31"/>
      <c r="S220" s="34"/>
      <c r="T220" s="31"/>
      <c r="U220" s="34"/>
      <c r="V220" s="31"/>
      <c r="W220" s="34"/>
      <c r="X220" s="31"/>
      <c r="Y220" s="34"/>
      <c r="Z220" s="31"/>
      <c r="AA220" s="34"/>
      <c r="AB220" s="31"/>
      <c r="AC220" s="34"/>
      <c r="AD220" s="31"/>
      <c r="AE220" s="34"/>
      <c r="AF220" s="31"/>
      <c r="AG220" s="34"/>
      <c r="AH220" s="21"/>
      <c r="AI220" s="21"/>
      <c r="AJ220" s="21"/>
      <c r="AK220" s="21"/>
      <c r="AL220" s="21"/>
      <c r="AM220" s="21"/>
      <c r="AN220" s="21"/>
      <c r="AO220" s="21"/>
      <c r="AP220" s="21"/>
      <c r="AQ220" s="21"/>
      <c r="AR220" s="21"/>
      <c r="AS220" s="21"/>
      <c r="AT220" s="21"/>
      <c r="AU220" s="21"/>
      <c r="AV220" s="21"/>
      <c r="AW220" s="21"/>
      <c r="AX220" s="21"/>
      <c r="AY220" s="21"/>
      <c r="AZ220" s="21"/>
      <c r="BA220" s="21"/>
    </row>
    <row r="221" spans="1:53" ht="20" customHeight="1" x14ac:dyDescent="0.2">
      <c r="A221" s="678"/>
      <c r="B221" s="721"/>
      <c r="C221" s="253"/>
      <c r="D221" s="727" t="s">
        <v>35</v>
      </c>
      <c r="E221" s="728" t="s">
        <v>87</v>
      </c>
      <c r="F221" s="728" t="s">
        <v>88</v>
      </c>
      <c r="G221" s="727">
        <v>1996</v>
      </c>
      <c r="H221" s="729">
        <v>187</v>
      </c>
      <c r="I221" s="65">
        <v>100</v>
      </c>
      <c r="J221" s="61" t="s">
        <v>197</v>
      </c>
      <c r="K221" s="30"/>
      <c r="L221" s="73"/>
      <c r="M221" s="34" t="str">
        <f t="shared" si="98"/>
        <v/>
      </c>
      <c r="N221" s="31"/>
      <c r="O221" s="34" t="str">
        <f t="shared" si="99"/>
        <v/>
      </c>
      <c r="P221" s="31"/>
      <c r="Q221" s="34" t="str">
        <f t="shared" si="100"/>
        <v/>
      </c>
      <c r="R221" s="31"/>
      <c r="S221" s="34" t="str">
        <f t="shared" si="101"/>
        <v/>
      </c>
      <c r="T221" s="31"/>
      <c r="U221" s="34" t="str">
        <f t="shared" si="102"/>
        <v/>
      </c>
      <c r="V221" s="31"/>
      <c r="W221" s="34" t="str">
        <f t="shared" si="103"/>
        <v/>
      </c>
      <c r="X221" s="31"/>
      <c r="Y221" s="34" t="str">
        <f t="shared" si="106"/>
        <v/>
      </c>
      <c r="Z221" s="31"/>
      <c r="AA221" s="34" t="str">
        <f t="shared" si="107"/>
        <v/>
      </c>
      <c r="AB221" s="31"/>
      <c r="AC221" s="34" t="str">
        <f t="shared" si="87"/>
        <v/>
      </c>
      <c r="AD221" s="31"/>
      <c r="AE221" s="34" t="str">
        <f t="shared" si="88"/>
        <v/>
      </c>
      <c r="AF221" s="31"/>
      <c r="AG221" s="34" t="str">
        <f t="shared" si="89"/>
        <v/>
      </c>
      <c r="AH221" s="21" t="s">
        <v>198</v>
      </c>
      <c r="AI221" s="21"/>
      <c r="AJ221" s="21"/>
      <c r="AK221" s="21"/>
      <c r="AL221" s="21"/>
      <c r="AM221" s="21"/>
      <c r="AN221" s="21"/>
      <c r="AO221" s="21"/>
      <c r="AP221" s="21"/>
      <c r="AQ221" s="21"/>
      <c r="AR221" s="21"/>
      <c r="AS221" s="21"/>
      <c r="AT221" s="21"/>
      <c r="AU221" s="21"/>
      <c r="AV221" s="21"/>
      <c r="AW221" s="21"/>
      <c r="AX221" s="21"/>
      <c r="AY221" s="21"/>
      <c r="AZ221" s="21"/>
      <c r="BA221" s="21"/>
    </row>
    <row r="222" spans="1:53" ht="20" customHeight="1" x14ac:dyDescent="0.2">
      <c r="A222" s="678"/>
      <c r="B222" s="721"/>
      <c r="C222" s="253"/>
      <c r="D222" s="722" t="s">
        <v>85</v>
      </c>
      <c r="E222" s="723" t="s">
        <v>89</v>
      </c>
      <c r="F222" s="723" t="s">
        <v>90</v>
      </c>
      <c r="G222" s="722">
        <v>2000</v>
      </c>
      <c r="H222" s="287">
        <v>79</v>
      </c>
      <c r="I222" s="65">
        <v>10</v>
      </c>
      <c r="J222" s="61" t="s">
        <v>167</v>
      </c>
      <c r="K222" s="30"/>
      <c r="L222" s="73"/>
      <c r="M222" s="34" t="str">
        <f t="shared" si="98"/>
        <v/>
      </c>
      <c r="N222" s="31"/>
      <c r="O222" s="34" t="str">
        <f t="shared" si="99"/>
        <v/>
      </c>
      <c r="P222" s="31"/>
      <c r="Q222" s="34" t="str">
        <f t="shared" si="100"/>
        <v/>
      </c>
      <c r="R222" s="31"/>
      <c r="S222" s="34" t="str">
        <f t="shared" si="101"/>
        <v/>
      </c>
      <c r="T222" s="31"/>
      <c r="U222" s="34" t="str">
        <f t="shared" si="102"/>
        <v/>
      </c>
      <c r="V222" s="31"/>
      <c r="W222" s="34" t="str">
        <f t="shared" si="103"/>
        <v/>
      </c>
      <c r="X222" s="31"/>
      <c r="Y222" s="34" t="str">
        <f t="shared" si="106"/>
        <v/>
      </c>
      <c r="Z222" s="31"/>
      <c r="AA222" s="34" t="str">
        <f t="shared" si="107"/>
        <v/>
      </c>
      <c r="AB222" s="31"/>
      <c r="AC222" s="34" t="str">
        <f t="shared" si="87"/>
        <v/>
      </c>
      <c r="AD222" s="31"/>
      <c r="AE222" s="34" t="str">
        <f t="shared" si="88"/>
        <v/>
      </c>
      <c r="AF222" s="31"/>
      <c r="AG222" s="34" t="str">
        <f t="shared" si="89"/>
        <v/>
      </c>
      <c r="AH222" s="21" t="s">
        <v>199</v>
      </c>
      <c r="AI222" s="21"/>
      <c r="AJ222" s="21"/>
      <c r="AK222" s="21"/>
      <c r="AL222" s="21"/>
      <c r="AM222" s="21"/>
      <c r="AN222" s="21"/>
      <c r="AO222" s="21"/>
      <c r="AP222" s="21"/>
      <c r="AQ222" s="21"/>
      <c r="AR222" s="21"/>
      <c r="AS222" s="21"/>
      <c r="AT222" s="21"/>
      <c r="AU222" s="21"/>
      <c r="AV222" s="21"/>
      <c r="AW222" s="21"/>
      <c r="AX222" s="21"/>
      <c r="AY222" s="21"/>
      <c r="AZ222" s="21"/>
      <c r="BA222" s="21"/>
    </row>
    <row r="223" spans="1:53" ht="20" customHeight="1" x14ac:dyDescent="0.2">
      <c r="A223" s="680"/>
      <c r="B223" s="725"/>
      <c r="C223" s="255"/>
      <c r="D223" s="722" t="s">
        <v>85</v>
      </c>
      <c r="E223" s="723" t="s">
        <v>528</v>
      </c>
      <c r="F223" s="723" t="s">
        <v>529</v>
      </c>
      <c r="G223" s="722">
        <v>2000</v>
      </c>
      <c r="H223" s="287"/>
      <c r="I223" s="701">
        <v>19</v>
      </c>
      <c r="J223" s="232" t="s">
        <v>340</v>
      </c>
      <c r="K223" s="250" t="s">
        <v>333</v>
      </c>
      <c r="L223" s="73"/>
      <c r="M223" s="34"/>
      <c r="N223" s="31"/>
      <c r="O223" s="34"/>
      <c r="P223" s="31"/>
      <c r="Q223" s="34"/>
      <c r="R223" s="31"/>
      <c r="S223" s="34"/>
      <c r="T223" s="31"/>
      <c r="U223" s="34"/>
      <c r="V223" s="31"/>
      <c r="W223" s="34"/>
      <c r="X223" s="31"/>
      <c r="Y223" s="34"/>
      <c r="Z223" s="31"/>
      <c r="AA223" s="34"/>
      <c r="AB223" s="31"/>
      <c r="AC223" s="34"/>
      <c r="AD223" s="31"/>
      <c r="AE223" s="34"/>
      <c r="AF223" s="31"/>
      <c r="AG223" s="34"/>
      <c r="AH223" s="21"/>
      <c r="AI223" s="21"/>
      <c r="AJ223" s="21"/>
      <c r="AK223" s="21"/>
      <c r="AL223" s="21"/>
      <c r="AM223" s="21"/>
      <c r="AN223" s="21"/>
      <c r="AO223" s="21"/>
      <c r="AP223" s="21"/>
      <c r="AQ223" s="21"/>
      <c r="AR223" s="21"/>
      <c r="AS223" s="21"/>
      <c r="AT223" s="21"/>
      <c r="AU223" s="21"/>
      <c r="AV223" s="21"/>
      <c r="AW223" s="21"/>
      <c r="AX223" s="21"/>
      <c r="AY223" s="21"/>
      <c r="AZ223" s="21"/>
      <c r="BA223" s="21"/>
    </row>
    <row r="224" spans="1:53" ht="20" customHeight="1" x14ac:dyDescent="0.2">
      <c r="A224" s="678"/>
      <c r="B224" s="725"/>
      <c r="C224" s="255"/>
      <c r="D224" s="722"/>
      <c r="E224" s="723" t="s">
        <v>284</v>
      </c>
      <c r="F224" s="723" t="s">
        <v>285</v>
      </c>
      <c r="G224" s="722">
        <v>2005</v>
      </c>
      <c r="H224" s="287"/>
      <c r="I224" s="65">
        <v>13</v>
      </c>
      <c r="J224" s="61" t="s">
        <v>353</v>
      </c>
      <c r="K224" s="30"/>
      <c r="L224" s="73"/>
      <c r="M224" s="34" t="str">
        <f t="shared" si="98"/>
        <v/>
      </c>
      <c r="N224" s="31"/>
      <c r="O224" s="34" t="str">
        <f t="shared" si="99"/>
        <v/>
      </c>
      <c r="P224" s="31"/>
      <c r="Q224" s="34" t="str">
        <f t="shared" si="100"/>
        <v/>
      </c>
      <c r="R224" s="31"/>
      <c r="S224" s="34" t="str">
        <f t="shared" si="101"/>
        <v/>
      </c>
      <c r="T224" s="31"/>
      <c r="U224" s="34" t="str">
        <f t="shared" si="102"/>
        <v/>
      </c>
      <c r="V224" s="31"/>
      <c r="W224" s="34" t="str">
        <f t="shared" si="103"/>
        <v/>
      </c>
      <c r="X224" s="31"/>
      <c r="Y224" s="34" t="str">
        <f t="shared" si="106"/>
        <v/>
      </c>
      <c r="Z224" s="31"/>
      <c r="AA224" s="34" t="str">
        <f t="shared" si="107"/>
        <v/>
      </c>
      <c r="AB224" s="31"/>
      <c r="AC224" s="34" t="str">
        <f t="shared" si="87"/>
        <v/>
      </c>
      <c r="AD224" s="31"/>
      <c r="AE224" s="34" t="str">
        <f t="shared" si="88"/>
        <v/>
      </c>
      <c r="AF224" s="31"/>
      <c r="AG224" s="34" t="str">
        <f t="shared" si="89"/>
        <v/>
      </c>
      <c r="AH224" s="21" t="s">
        <v>354</v>
      </c>
      <c r="AI224" s="21"/>
      <c r="AJ224" s="21"/>
      <c r="AK224" s="21"/>
      <c r="AL224" s="21"/>
      <c r="AM224" s="21"/>
      <c r="AN224" s="21"/>
      <c r="AO224" s="21"/>
      <c r="AP224" s="21"/>
      <c r="AQ224" s="21"/>
      <c r="AR224" s="21"/>
      <c r="AS224" s="21"/>
      <c r="AT224" s="21"/>
      <c r="AU224" s="21"/>
      <c r="AV224" s="21"/>
      <c r="AW224" s="21"/>
      <c r="AX224" s="21"/>
      <c r="AY224" s="21"/>
      <c r="AZ224" s="21"/>
      <c r="BA224" s="21"/>
    </row>
    <row r="225" spans="1:53" ht="20" customHeight="1" x14ac:dyDescent="0.2">
      <c r="A225" s="680"/>
      <c r="B225" s="721"/>
      <c r="C225" s="722"/>
      <c r="D225" s="722" t="s">
        <v>85</v>
      </c>
      <c r="E225" s="723" t="s">
        <v>646</v>
      </c>
      <c r="F225" s="723" t="s">
        <v>647</v>
      </c>
      <c r="G225" s="722">
        <v>1998</v>
      </c>
      <c r="H225" s="287"/>
      <c r="I225" s="701">
        <v>18</v>
      </c>
      <c r="J225" s="232" t="s">
        <v>217</v>
      </c>
      <c r="K225" s="250"/>
      <c r="L225" s="73"/>
      <c r="M225" s="34"/>
      <c r="N225" s="31"/>
      <c r="O225" s="34"/>
      <c r="P225" s="31"/>
      <c r="Q225" s="34"/>
      <c r="R225" s="31"/>
      <c r="S225" s="34"/>
      <c r="T225" s="31"/>
      <c r="U225" s="34"/>
      <c r="V225" s="31"/>
      <c r="W225" s="34"/>
      <c r="X225" s="31"/>
      <c r="Y225" s="34"/>
      <c r="Z225" s="31"/>
      <c r="AA225" s="34"/>
      <c r="AB225" s="31"/>
      <c r="AC225" s="34"/>
      <c r="AD225" s="31"/>
      <c r="AE225" s="34"/>
      <c r="AF225" s="31"/>
      <c r="AG225" s="34"/>
      <c r="AH225" s="21"/>
      <c r="AI225" s="21"/>
      <c r="AJ225" s="21"/>
      <c r="AK225" s="21"/>
      <c r="AL225" s="21"/>
      <c r="AM225" s="21"/>
      <c r="AN225" s="21"/>
      <c r="AO225" s="21"/>
      <c r="AP225" s="21"/>
      <c r="AQ225" s="21"/>
      <c r="AR225" s="21"/>
      <c r="AS225" s="21"/>
      <c r="AT225" s="21"/>
      <c r="AU225" s="21"/>
      <c r="AV225" s="21"/>
      <c r="AW225" s="21"/>
      <c r="AX225" s="21"/>
      <c r="AY225" s="21"/>
      <c r="AZ225" s="21"/>
      <c r="BA225" s="21"/>
    </row>
    <row r="226" spans="1:53" ht="20" customHeight="1" x14ac:dyDescent="0.2">
      <c r="A226" s="678"/>
      <c r="B226" s="725"/>
      <c r="C226" s="253"/>
      <c r="D226" s="722" t="s">
        <v>85</v>
      </c>
      <c r="E226" s="723" t="s">
        <v>91</v>
      </c>
      <c r="F226" s="723" t="s">
        <v>92</v>
      </c>
      <c r="G226" s="722">
        <v>2001</v>
      </c>
      <c r="H226" s="287">
        <v>170</v>
      </c>
      <c r="I226" s="65">
        <v>20</v>
      </c>
      <c r="J226" s="61" t="s">
        <v>175</v>
      </c>
      <c r="K226" s="30" t="s">
        <v>168</v>
      </c>
      <c r="L226" s="73"/>
      <c r="M226" s="34" t="str">
        <f t="shared" si="98"/>
        <v/>
      </c>
      <c r="N226" s="31"/>
      <c r="O226" s="34" t="str">
        <f t="shared" si="99"/>
        <v/>
      </c>
      <c r="P226" s="31"/>
      <c r="Q226" s="34" t="str">
        <f t="shared" si="100"/>
        <v/>
      </c>
      <c r="R226" s="31"/>
      <c r="S226" s="34" t="str">
        <f t="shared" si="101"/>
        <v/>
      </c>
      <c r="T226" s="31"/>
      <c r="U226" s="34" t="str">
        <f t="shared" si="102"/>
        <v/>
      </c>
      <c r="V226" s="31"/>
      <c r="W226" s="34" t="str">
        <f t="shared" si="103"/>
        <v/>
      </c>
      <c r="X226" s="31"/>
      <c r="Y226" s="34" t="str">
        <f>IF((ISERROR((X226/$I226)*100)), "", IF(AND(NOT(ISERROR((X226/$I226)*100)),((X226/$I226)*100) &lt;&gt; 0), (X226/$I226)*100, ""))</f>
        <v/>
      </c>
      <c r="Z226" s="31"/>
      <c r="AA226" s="34" t="str">
        <f t="shared" si="107"/>
        <v/>
      </c>
      <c r="AB226" s="31"/>
      <c r="AC226" s="34" t="str">
        <f t="shared" si="87"/>
        <v/>
      </c>
      <c r="AD226" s="31"/>
      <c r="AE226" s="34" t="str">
        <f t="shared" si="88"/>
        <v/>
      </c>
      <c r="AF226" s="31"/>
      <c r="AG226" s="34" t="str">
        <f t="shared" si="89"/>
        <v/>
      </c>
      <c r="AH226" s="21" t="s">
        <v>180</v>
      </c>
      <c r="AI226" s="21"/>
      <c r="AJ226" s="21"/>
      <c r="AK226" s="21"/>
      <c r="AL226" s="21"/>
      <c r="AM226" s="21"/>
      <c r="AN226" s="21"/>
      <c r="AO226" s="21"/>
      <c r="AP226" s="21"/>
      <c r="AQ226" s="21"/>
      <c r="AR226" s="21"/>
      <c r="AS226" s="21"/>
      <c r="AT226" s="21"/>
      <c r="AU226" s="21"/>
      <c r="AV226" s="21"/>
      <c r="AW226" s="21"/>
      <c r="AX226" s="21"/>
      <c r="AY226" s="21"/>
      <c r="AZ226" s="21"/>
      <c r="BA226" s="21"/>
    </row>
    <row r="227" spans="1:53" ht="20" customHeight="1" x14ac:dyDescent="0.2">
      <c r="A227" s="678"/>
      <c r="B227" s="725"/>
      <c r="C227" s="253"/>
      <c r="D227" s="722" t="s">
        <v>85</v>
      </c>
      <c r="E227" s="723" t="s">
        <v>286</v>
      </c>
      <c r="F227" s="723" t="s">
        <v>287</v>
      </c>
      <c r="G227" s="722">
        <v>2009</v>
      </c>
      <c r="H227" s="287"/>
      <c r="I227" s="65">
        <v>20</v>
      </c>
      <c r="J227" s="61" t="s">
        <v>213</v>
      </c>
      <c r="K227" s="30" t="s">
        <v>190</v>
      </c>
      <c r="L227" s="73"/>
      <c r="M227" s="34" t="str">
        <f t="shared" si="98"/>
        <v/>
      </c>
      <c r="N227" s="31"/>
      <c r="O227" s="34" t="str">
        <f t="shared" si="99"/>
        <v/>
      </c>
      <c r="P227" s="31"/>
      <c r="Q227" s="34" t="str">
        <f t="shared" si="100"/>
        <v/>
      </c>
      <c r="R227" s="31"/>
      <c r="S227" s="34" t="str">
        <f t="shared" si="101"/>
        <v/>
      </c>
      <c r="T227" s="31"/>
      <c r="U227" s="34" t="str">
        <f t="shared" si="102"/>
        <v/>
      </c>
      <c r="V227" s="31"/>
      <c r="W227" s="34" t="str">
        <f t="shared" si="103"/>
        <v/>
      </c>
      <c r="X227" s="31"/>
      <c r="Y227" s="34" t="str">
        <f>IF((ISERROR((X227/$I227)*100)), "", IF(AND(NOT(ISERROR((X227/$I227)*100)),((X227/$I227)*100) &lt;&gt; 0), (X227/$I227)*100, ""))</f>
        <v/>
      </c>
      <c r="Z227" s="31"/>
      <c r="AA227" s="34" t="str">
        <f t="shared" si="107"/>
        <v/>
      </c>
      <c r="AB227" s="31"/>
      <c r="AC227" s="34" t="str">
        <f t="shared" si="87"/>
        <v/>
      </c>
      <c r="AD227" s="31"/>
      <c r="AE227" s="34" t="str">
        <f t="shared" si="88"/>
        <v/>
      </c>
      <c r="AF227" s="31"/>
      <c r="AG227" s="34" t="str">
        <f t="shared" si="89"/>
        <v/>
      </c>
      <c r="AH227" s="21" t="s">
        <v>355</v>
      </c>
      <c r="AI227" s="21"/>
      <c r="AJ227" s="21"/>
      <c r="AK227" s="21"/>
      <c r="AL227" s="21"/>
      <c r="AM227" s="21"/>
      <c r="AN227" s="21"/>
      <c r="AO227" s="21"/>
      <c r="AP227" s="21"/>
      <c r="AQ227" s="21"/>
      <c r="AR227" s="21"/>
      <c r="AS227" s="21"/>
      <c r="AT227" s="21"/>
      <c r="AU227" s="21"/>
      <c r="AV227" s="21"/>
      <c r="AW227" s="21"/>
      <c r="AX227" s="21"/>
      <c r="AY227" s="21"/>
      <c r="AZ227" s="21"/>
      <c r="BA227" s="21"/>
    </row>
    <row r="228" spans="1:53" ht="20" customHeight="1" x14ac:dyDescent="0.2">
      <c r="A228" s="678"/>
      <c r="B228" s="725"/>
      <c r="C228" s="722"/>
      <c r="D228" s="722" t="s">
        <v>85</v>
      </c>
      <c r="E228" s="723" t="s">
        <v>288</v>
      </c>
      <c r="F228" s="723" t="s">
        <v>289</v>
      </c>
      <c r="G228" s="722">
        <v>2006</v>
      </c>
      <c r="H228" s="287"/>
      <c r="I228" s="65">
        <v>10</v>
      </c>
      <c r="J228" s="61" t="s">
        <v>356</v>
      </c>
      <c r="K228" s="30" t="s">
        <v>168</v>
      </c>
      <c r="L228" s="73"/>
      <c r="M228" s="34" t="str">
        <f t="shared" si="98"/>
        <v/>
      </c>
      <c r="N228" s="31"/>
      <c r="O228" s="34" t="str">
        <f t="shared" si="99"/>
        <v/>
      </c>
      <c r="P228" s="31"/>
      <c r="Q228" s="34" t="str">
        <f t="shared" si="100"/>
        <v/>
      </c>
      <c r="R228" s="31"/>
      <c r="S228" s="34" t="str">
        <f t="shared" si="101"/>
        <v/>
      </c>
      <c r="T228" s="31"/>
      <c r="U228" s="34" t="str">
        <f t="shared" si="102"/>
        <v/>
      </c>
      <c r="V228" s="31"/>
      <c r="W228" s="34" t="str">
        <f t="shared" si="103"/>
        <v/>
      </c>
      <c r="X228" s="31"/>
      <c r="Y228" s="34" t="str">
        <f>IF((ISERROR((X228/$I228)*100)), "", IF(AND(NOT(ISERROR((X228/$I228)*100)),((X228/$I228)*100) &lt;&gt; 0), (X228/$I228)*100, ""))</f>
        <v/>
      </c>
      <c r="Z228" s="31"/>
      <c r="AA228" s="34" t="str">
        <f t="shared" si="107"/>
        <v/>
      </c>
      <c r="AB228" s="31"/>
      <c r="AC228" s="34" t="str">
        <f t="shared" si="87"/>
        <v/>
      </c>
      <c r="AD228" s="31"/>
      <c r="AE228" s="34" t="str">
        <f t="shared" si="88"/>
        <v/>
      </c>
      <c r="AF228" s="31"/>
      <c r="AG228" s="34" t="str">
        <f t="shared" si="89"/>
        <v/>
      </c>
      <c r="AH228" s="21" t="s">
        <v>357</v>
      </c>
      <c r="AI228" s="21"/>
      <c r="AJ228" s="21"/>
      <c r="AK228" s="21"/>
      <c r="AL228" s="21"/>
      <c r="AM228" s="21"/>
      <c r="AN228" s="21"/>
      <c r="AO228" s="21"/>
      <c r="AP228" s="21"/>
      <c r="AQ228" s="21"/>
      <c r="AR228" s="21"/>
      <c r="AS228" s="21"/>
      <c r="AT228" s="21"/>
      <c r="AU228" s="21"/>
      <c r="AV228" s="21"/>
      <c r="AW228" s="21"/>
      <c r="AX228" s="21"/>
      <c r="AY228" s="21"/>
      <c r="AZ228" s="21"/>
      <c r="BA228" s="21"/>
    </row>
    <row r="229" spans="1:53" ht="20" customHeight="1" x14ac:dyDescent="0.2">
      <c r="A229" s="680"/>
      <c r="B229" s="725"/>
      <c r="C229" s="253"/>
      <c r="D229" s="722" t="s">
        <v>85</v>
      </c>
      <c r="E229" s="723" t="s">
        <v>531</v>
      </c>
      <c r="F229" s="723" t="s">
        <v>532</v>
      </c>
      <c r="G229" s="722">
        <v>2010</v>
      </c>
      <c r="H229" s="287"/>
      <c r="I229" s="701">
        <v>8</v>
      </c>
      <c r="J229" s="232" t="s">
        <v>213</v>
      </c>
      <c r="K229" s="250" t="s">
        <v>168</v>
      </c>
      <c r="L229" s="73"/>
      <c r="M229" s="34"/>
      <c r="N229" s="31"/>
      <c r="O229" s="34"/>
      <c r="P229" s="31"/>
      <c r="Q229" s="34"/>
      <c r="R229" s="31"/>
      <c r="S229" s="34"/>
      <c r="T229" s="31"/>
      <c r="U229" s="34"/>
      <c r="V229" s="31"/>
      <c r="W229" s="34"/>
      <c r="X229" s="31"/>
      <c r="Y229" s="34"/>
      <c r="Z229" s="31"/>
      <c r="AA229" s="34"/>
      <c r="AB229" s="31"/>
      <c r="AC229" s="34"/>
      <c r="AD229" s="31"/>
      <c r="AE229" s="34"/>
      <c r="AF229" s="31"/>
      <c r="AG229" s="34"/>
      <c r="AH229" s="21"/>
      <c r="AI229" s="21"/>
      <c r="AJ229" s="21"/>
      <c r="AK229" s="21"/>
      <c r="AL229" s="21"/>
      <c r="AM229" s="21"/>
      <c r="AN229" s="21"/>
      <c r="AO229" s="21"/>
      <c r="AP229" s="21"/>
      <c r="AQ229" s="21"/>
      <c r="AR229" s="21"/>
      <c r="AS229" s="21"/>
      <c r="AT229" s="21"/>
      <c r="AU229" s="21"/>
      <c r="AV229" s="21"/>
      <c r="AW229" s="21"/>
      <c r="AX229" s="21"/>
      <c r="AY229" s="21"/>
      <c r="AZ229" s="21"/>
      <c r="BA229" s="21"/>
    </row>
    <row r="230" spans="1:53" ht="20" customHeight="1" x14ac:dyDescent="0.2">
      <c r="A230" s="678"/>
      <c r="B230" s="721"/>
      <c r="C230" s="722"/>
      <c r="D230" s="722" t="s">
        <v>85</v>
      </c>
      <c r="E230" s="723" t="s">
        <v>292</v>
      </c>
      <c r="F230" s="723" t="s">
        <v>293</v>
      </c>
      <c r="G230" s="722">
        <v>2016</v>
      </c>
      <c r="H230" s="287"/>
      <c r="I230" s="65">
        <v>25</v>
      </c>
      <c r="J230" s="61" t="s">
        <v>213</v>
      </c>
      <c r="K230" s="30" t="s">
        <v>191</v>
      </c>
      <c r="L230" s="73"/>
      <c r="M230" s="34" t="str">
        <f t="shared" si="98"/>
        <v/>
      </c>
      <c r="N230" s="31"/>
      <c r="O230" s="34" t="str">
        <f t="shared" si="99"/>
        <v/>
      </c>
      <c r="P230" s="31"/>
      <c r="Q230" s="34" t="str">
        <f t="shared" si="100"/>
        <v/>
      </c>
      <c r="R230" s="31"/>
      <c r="S230" s="34" t="str">
        <f t="shared" si="101"/>
        <v/>
      </c>
      <c r="T230" s="31"/>
      <c r="U230" s="34" t="str">
        <f t="shared" si="102"/>
        <v/>
      </c>
      <c r="V230" s="31"/>
      <c r="W230" s="34" t="str">
        <f t="shared" si="103"/>
        <v/>
      </c>
      <c r="X230" s="31"/>
      <c r="Y230" s="34" t="str">
        <f>IF((ISERROR((X230/$I230)*100)), "", IF(AND(NOT(ISERROR((X230/$I230)*100)),((X230/$I230)*100) &lt;&gt; 0), (X230/$I230)*100, ""))</f>
        <v/>
      </c>
      <c r="Z230" s="31"/>
      <c r="AA230" s="34" t="str">
        <f t="shared" si="107"/>
        <v/>
      </c>
      <c r="AB230" s="31"/>
      <c r="AC230" s="34" t="str">
        <f t="shared" si="87"/>
        <v/>
      </c>
      <c r="AD230" s="31"/>
      <c r="AE230" s="34" t="str">
        <f t="shared" si="88"/>
        <v/>
      </c>
      <c r="AF230" s="31"/>
      <c r="AG230" s="34" t="str">
        <f t="shared" si="89"/>
        <v/>
      </c>
      <c r="AH230" s="21"/>
      <c r="AI230" s="21"/>
      <c r="AJ230" s="21"/>
      <c r="AK230" s="21"/>
      <c r="AL230" s="21"/>
      <c r="AM230" s="21"/>
      <c r="AN230" s="21"/>
      <c r="AO230" s="21"/>
      <c r="AP230" s="21"/>
      <c r="AQ230" s="21"/>
      <c r="AR230" s="21"/>
      <c r="AS230" s="21"/>
      <c r="AT230" s="21"/>
      <c r="AU230" s="21"/>
      <c r="AV230" s="21"/>
      <c r="AW230" s="21"/>
      <c r="AX230" s="21"/>
      <c r="AY230" s="21"/>
      <c r="AZ230" s="21"/>
      <c r="BA230" s="21"/>
    </row>
    <row r="231" spans="1:53" ht="20" customHeight="1" x14ac:dyDescent="0.2">
      <c r="A231" s="678"/>
      <c r="B231" s="725"/>
      <c r="C231" s="255"/>
      <c r="D231" s="722" t="s">
        <v>85</v>
      </c>
      <c r="E231" s="723" t="s">
        <v>290</v>
      </c>
      <c r="F231" s="723" t="s">
        <v>291</v>
      </c>
      <c r="G231" s="722">
        <v>2011</v>
      </c>
      <c r="H231" s="287"/>
      <c r="I231" s="65">
        <v>244</v>
      </c>
      <c r="J231" s="61" t="s">
        <v>210</v>
      </c>
      <c r="K231" s="30" t="s">
        <v>189</v>
      </c>
      <c r="L231" s="73"/>
      <c r="M231" s="34" t="str">
        <f t="shared" si="98"/>
        <v/>
      </c>
      <c r="N231" s="31">
        <v>3</v>
      </c>
      <c r="O231" s="34">
        <f t="shared" si="99"/>
        <v>1.2295081967213115</v>
      </c>
      <c r="P231" s="31"/>
      <c r="Q231" s="34" t="str">
        <f t="shared" si="100"/>
        <v/>
      </c>
      <c r="R231" s="31"/>
      <c r="S231" s="34" t="str">
        <f t="shared" si="101"/>
        <v/>
      </c>
      <c r="T231" s="31"/>
      <c r="U231" s="34" t="str">
        <f t="shared" si="102"/>
        <v/>
      </c>
      <c r="V231" s="31">
        <v>4</v>
      </c>
      <c r="W231" s="34">
        <f t="shared" si="103"/>
        <v>1.639344262295082</v>
      </c>
      <c r="X231" s="31"/>
      <c r="Y231" s="34" t="str">
        <f t="shared" ref="Y231" si="108">IF((ISERROR((X231/$I231)*100)), "", IF(AND(NOT(ISERROR((X231/$I231)*100)),((X231/$I231)*100) &lt;&gt; 0), (X231/$I231)*100, ""))</f>
        <v/>
      </c>
      <c r="Z231" s="31"/>
      <c r="AA231" s="34" t="str">
        <f t="shared" ref="AA231:AA233" si="109">IF((ISERROR((Z231/$I231)*100)), "", IF(AND(NOT(ISERROR((Z231/$I231)*100)),((Z231/$I231)*100) &lt;&gt; 0), (Z231/$I231)*100, ""))</f>
        <v/>
      </c>
      <c r="AB231" s="31"/>
      <c r="AC231" s="34" t="str">
        <f t="shared" si="87"/>
        <v/>
      </c>
      <c r="AD231" s="31"/>
      <c r="AE231" s="34" t="str">
        <f t="shared" si="88"/>
        <v/>
      </c>
      <c r="AF231" s="31"/>
      <c r="AG231" s="34" t="str">
        <f t="shared" si="89"/>
        <v/>
      </c>
      <c r="AH231" s="21"/>
      <c r="AI231" s="21"/>
      <c r="AJ231" s="21"/>
      <c r="AK231" s="21"/>
      <c r="AL231" s="21"/>
      <c r="AM231" s="21"/>
      <c r="AN231" s="21"/>
      <c r="AO231" s="21"/>
      <c r="AP231" s="21"/>
      <c r="AQ231" s="21"/>
      <c r="AR231" s="21"/>
      <c r="AS231" s="21"/>
      <c r="AT231" s="21"/>
      <c r="AU231" s="21"/>
      <c r="AV231" s="21"/>
      <c r="AW231" s="21"/>
      <c r="AX231" s="21"/>
      <c r="AY231" s="21"/>
      <c r="AZ231" s="21"/>
      <c r="BA231" s="21"/>
    </row>
    <row r="232" spans="1:53" ht="20" customHeight="1" x14ac:dyDescent="0.2">
      <c r="A232" s="680"/>
      <c r="B232" s="721"/>
      <c r="C232" s="722"/>
      <c r="D232" s="722" t="s">
        <v>85</v>
      </c>
      <c r="E232" s="723" t="s">
        <v>650</v>
      </c>
      <c r="F232" s="723" t="s">
        <v>651</v>
      </c>
      <c r="G232" s="722">
        <v>2003</v>
      </c>
      <c r="H232" s="287"/>
      <c r="I232" s="701"/>
      <c r="J232" s="232" t="s">
        <v>210</v>
      </c>
      <c r="K232" s="250" t="s">
        <v>209</v>
      </c>
      <c r="L232" s="73"/>
      <c r="M232" s="34"/>
      <c r="N232" s="31"/>
      <c r="O232" s="34"/>
      <c r="P232" s="31"/>
      <c r="Q232" s="34"/>
      <c r="R232" s="31"/>
      <c r="S232" s="34"/>
      <c r="T232" s="31"/>
      <c r="U232" s="34"/>
      <c r="V232" s="31"/>
      <c r="W232" s="34"/>
      <c r="X232" s="31"/>
      <c r="Y232" s="34"/>
      <c r="Z232" s="31"/>
      <c r="AA232" s="34"/>
      <c r="AB232" s="31"/>
      <c r="AC232" s="34"/>
      <c r="AD232" s="31"/>
      <c r="AE232" s="34"/>
      <c r="AF232" s="31"/>
      <c r="AG232" s="34"/>
      <c r="AH232" s="21"/>
      <c r="AI232" s="21"/>
      <c r="AJ232" s="21"/>
      <c r="AK232" s="21"/>
      <c r="AL232" s="21"/>
      <c r="AM232" s="21"/>
      <c r="AN232" s="21"/>
      <c r="AO232" s="21"/>
      <c r="AP232" s="21"/>
      <c r="AQ232" s="21"/>
      <c r="AR232" s="21"/>
      <c r="AS232" s="21"/>
      <c r="AT232" s="21"/>
      <c r="AU232" s="21"/>
      <c r="AV232" s="21"/>
      <c r="AW232" s="21"/>
      <c r="AX232" s="21"/>
      <c r="AY232" s="21"/>
      <c r="AZ232" s="21"/>
      <c r="BA232" s="21"/>
    </row>
    <row r="233" spans="1:53" ht="20" customHeight="1" x14ac:dyDescent="0.2">
      <c r="A233" s="678"/>
      <c r="B233" s="725"/>
      <c r="C233" s="255"/>
      <c r="D233" s="722" t="s">
        <v>85</v>
      </c>
      <c r="E233" s="723" t="s">
        <v>99</v>
      </c>
      <c r="F233" s="723" t="s">
        <v>100</v>
      </c>
      <c r="G233" s="722">
        <v>2002</v>
      </c>
      <c r="H233" s="287">
        <v>103</v>
      </c>
      <c r="I233" s="65">
        <v>8</v>
      </c>
      <c r="J233" s="61"/>
      <c r="K233" s="30"/>
      <c r="L233" s="73"/>
      <c r="M233" s="34" t="str">
        <f t="shared" si="98"/>
        <v/>
      </c>
      <c r="N233" s="31"/>
      <c r="O233" s="34" t="str">
        <f t="shared" si="99"/>
        <v/>
      </c>
      <c r="P233" s="31"/>
      <c r="Q233" s="34" t="str">
        <f t="shared" si="100"/>
        <v/>
      </c>
      <c r="R233" s="31"/>
      <c r="S233" s="34" t="str">
        <f t="shared" si="101"/>
        <v/>
      </c>
      <c r="T233" s="31"/>
      <c r="U233" s="34" t="str">
        <f t="shared" si="102"/>
        <v/>
      </c>
      <c r="V233" s="31"/>
      <c r="W233" s="34" t="str">
        <f t="shared" si="103"/>
        <v/>
      </c>
      <c r="X233" s="31"/>
      <c r="Y233" s="34" t="str">
        <f>IF((ISERROR((X233/$I233)*100)), "", IF(AND(NOT(ISERROR((X233/$I233)*100)),((X233/$I233)*100) &lt;&gt; 0), (X233/$I233)*100, ""))</f>
        <v/>
      </c>
      <c r="Z233" s="31"/>
      <c r="AA233" s="34" t="str">
        <f t="shared" si="109"/>
        <v/>
      </c>
      <c r="AB233" s="31"/>
      <c r="AC233" s="34" t="str">
        <f t="shared" si="87"/>
        <v/>
      </c>
      <c r="AD233" s="31"/>
      <c r="AE233" s="34" t="str">
        <f t="shared" si="88"/>
        <v/>
      </c>
      <c r="AF233" s="31"/>
      <c r="AG233" s="34" t="str">
        <f t="shared" si="89"/>
        <v/>
      </c>
      <c r="AH233" s="21" t="s">
        <v>200</v>
      </c>
      <c r="AI233" s="21"/>
      <c r="AJ233" s="21"/>
      <c r="AK233" s="21"/>
      <c r="AL233" s="21"/>
      <c r="AM233" s="21"/>
      <c r="AN233" s="21"/>
      <c r="AO233" s="21"/>
      <c r="AP233" s="21"/>
      <c r="AQ233" s="21"/>
      <c r="AR233" s="21"/>
      <c r="AS233" s="21"/>
      <c r="AT233" s="21"/>
      <c r="AU233" s="21"/>
      <c r="AV233" s="21"/>
      <c r="AW233" s="21"/>
      <c r="AX233" s="21"/>
      <c r="AY233" s="21"/>
      <c r="AZ233" s="21"/>
      <c r="BA233" s="21"/>
    </row>
    <row r="234" spans="1:53" ht="20" customHeight="1" x14ac:dyDescent="0.2">
      <c r="A234" s="680"/>
      <c r="B234" s="721"/>
      <c r="C234" s="722"/>
      <c r="D234" s="722" t="s">
        <v>85</v>
      </c>
      <c r="E234" s="723" t="s">
        <v>652</v>
      </c>
      <c r="F234" s="723" t="s">
        <v>653</v>
      </c>
      <c r="G234" s="722">
        <v>1991</v>
      </c>
      <c r="H234" s="287"/>
      <c r="I234" s="65">
        <v>13</v>
      </c>
      <c r="J234" s="61" t="s">
        <v>655</v>
      </c>
      <c r="K234" s="62" t="s">
        <v>191</v>
      </c>
      <c r="L234" s="73"/>
      <c r="M234" s="34"/>
      <c r="N234" s="31"/>
      <c r="O234" s="34"/>
      <c r="P234" s="31"/>
      <c r="Q234" s="34"/>
      <c r="R234" s="31"/>
      <c r="S234" s="34"/>
      <c r="T234" s="31"/>
      <c r="U234" s="34"/>
      <c r="V234" s="31"/>
      <c r="W234" s="34"/>
      <c r="X234" s="31"/>
      <c r="Y234" s="34"/>
      <c r="Z234" s="31"/>
      <c r="AA234" s="34"/>
      <c r="AB234" s="31"/>
      <c r="AC234" s="34"/>
      <c r="AD234" s="31"/>
      <c r="AE234" s="34"/>
      <c r="AF234" s="31"/>
      <c r="AG234" s="34"/>
      <c r="AH234" s="21"/>
      <c r="AI234" s="21"/>
      <c r="AJ234" s="21"/>
      <c r="AK234" s="21"/>
      <c r="AL234" s="21"/>
      <c r="AM234" s="21"/>
      <c r="AN234" s="21"/>
      <c r="AO234" s="21"/>
      <c r="AP234" s="21"/>
      <c r="AQ234" s="21"/>
      <c r="AR234" s="21"/>
      <c r="AS234" s="21"/>
      <c r="AT234" s="21"/>
      <c r="AU234" s="21"/>
      <c r="AV234" s="21"/>
      <c r="AW234" s="21"/>
      <c r="AX234" s="21"/>
      <c r="AY234" s="21"/>
      <c r="AZ234" s="21"/>
      <c r="BA234" s="21"/>
    </row>
    <row r="235" spans="1:53" ht="20" customHeight="1" x14ac:dyDescent="0.2">
      <c r="A235" s="680"/>
      <c r="B235" s="725"/>
      <c r="C235" s="253"/>
      <c r="D235" s="722" t="s">
        <v>85</v>
      </c>
      <c r="E235" s="723" t="s">
        <v>533</v>
      </c>
      <c r="F235" s="723" t="s">
        <v>654</v>
      </c>
      <c r="G235" s="722">
        <v>1998</v>
      </c>
      <c r="H235" s="287"/>
      <c r="I235" s="65">
        <v>9</v>
      </c>
      <c r="J235" s="61" t="s">
        <v>535</v>
      </c>
      <c r="K235" s="62" t="s">
        <v>168</v>
      </c>
      <c r="L235" s="73"/>
      <c r="M235" s="34"/>
      <c r="N235" s="31"/>
      <c r="O235" s="34"/>
      <c r="P235" s="31"/>
      <c r="Q235" s="34"/>
      <c r="R235" s="31"/>
      <c r="S235" s="34"/>
      <c r="T235" s="31"/>
      <c r="U235" s="34"/>
      <c r="V235" s="31"/>
      <c r="W235" s="34"/>
      <c r="X235" s="31"/>
      <c r="Y235" s="34"/>
      <c r="Z235" s="31"/>
      <c r="AA235" s="34"/>
      <c r="AB235" s="31"/>
      <c r="AC235" s="34"/>
      <c r="AD235" s="31"/>
      <c r="AE235" s="34"/>
      <c r="AF235" s="31"/>
      <c r="AG235" s="34"/>
      <c r="AH235" s="21"/>
      <c r="AI235" s="21"/>
      <c r="AJ235" s="21"/>
      <c r="AK235" s="21"/>
      <c r="AL235" s="21"/>
      <c r="AM235" s="21"/>
      <c r="AN235" s="21"/>
      <c r="AO235" s="21"/>
      <c r="AP235" s="21"/>
      <c r="AQ235" s="21"/>
      <c r="AR235" s="21"/>
      <c r="AS235" s="21"/>
      <c r="AT235" s="21"/>
      <c r="AU235" s="21"/>
      <c r="AV235" s="21"/>
      <c r="AW235" s="21"/>
      <c r="AX235" s="21"/>
      <c r="AY235" s="21"/>
      <c r="AZ235" s="21"/>
      <c r="BA235" s="21"/>
    </row>
    <row r="236" spans="1:53" ht="20" customHeight="1" x14ac:dyDescent="0.2">
      <c r="A236" s="680"/>
      <c r="B236" s="721"/>
      <c r="C236" s="722"/>
      <c r="D236" s="722" t="s">
        <v>85</v>
      </c>
      <c r="E236" s="723" t="s">
        <v>656</v>
      </c>
      <c r="F236" s="723" t="s">
        <v>657</v>
      </c>
      <c r="G236" s="722">
        <v>2007</v>
      </c>
      <c r="H236" s="757"/>
      <c r="I236" s="701"/>
      <c r="J236" s="232" t="s">
        <v>213</v>
      </c>
      <c r="K236" s="250" t="s">
        <v>168</v>
      </c>
      <c r="L236" s="73"/>
      <c r="M236" s="34"/>
      <c r="N236" s="31"/>
      <c r="O236" s="34"/>
      <c r="P236" s="31"/>
      <c r="Q236" s="34"/>
      <c r="R236" s="31"/>
      <c r="S236" s="34"/>
      <c r="T236" s="31"/>
      <c r="U236" s="34"/>
      <c r="V236" s="31"/>
      <c r="W236" s="34"/>
      <c r="X236" s="31"/>
      <c r="Y236" s="34"/>
      <c r="Z236" s="31"/>
      <c r="AA236" s="34"/>
      <c r="AB236" s="31"/>
      <c r="AC236" s="34"/>
      <c r="AD236" s="31"/>
      <c r="AE236" s="34"/>
      <c r="AF236" s="31"/>
      <c r="AG236" s="34"/>
      <c r="AH236" s="21"/>
      <c r="AI236" s="21"/>
      <c r="AJ236" s="21"/>
      <c r="AK236" s="21"/>
      <c r="AL236" s="21"/>
      <c r="AM236" s="21"/>
      <c r="AN236" s="21"/>
      <c r="AO236" s="21"/>
      <c r="AP236" s="21"/>
      <c r="AQ236" s="21"/>
      <c r="AR236" s="21"/>
      <c r="AS236" s="21"/>
      <c r="AT236" s="21"/>
      <c r="AU236" s="21"/>
      <c r="AV236" s="21"/>
      <c r="AW236" s="21"/>
      <c r="AX236" s="21"/>
      <c r="AY236" s="21"/>
      <c r="AZ236" s="21"/>
      <c r="BA236" s="21"/>
    </row>
    <row r="237" spans="1:53" ht="20" customHeight="1" x14ac:dyDescent="0.2">
      <c r="A237" s="678"/>
      <c r="B237" s="725"/>
      <c r="C237" s="253"/>
      <c r="D237" s="722"/>
      <c r="E237" s="723" t="s">
        <v>294</v>
      </c>
      <c r="F237" s="723" t="s">
        <v>295</v>
      </c>
      <c r="G237" s="722">
        <v>2013</v>
      </c>
      <c r="H237" s="287"/>
      <c r="I237" s="65">
        <v>18</v>
      </c>
      <c r="J237" s="61"/>
      <c r="K237" s="30"/>
      <c r="L237" s="73"/>
      <c r="M237" s="34" t="str">
        <f t="shared" si="98"/>
        <v/>
      </c>
      <c r="N237" s="31"/>
      <c r="O237" s="34" t="str">
        <f t="shared" si="99"/>
        <v/>
      </c>
      <c r="P237" s="31"/>
      <c r="Q237" s="34" t="str">
        <f t="shared" si="100"/>
        <v/>
      </c>
      <c r="R237" s="31"/>
      <c r="S237" s="34" t="str">
        <f t="shared" si="101"/>
        <v/>
      </c>
      <c r="T237" s="31"/>
      <c r="U237" s="34" t="str">
        <f t="shared" si="102"/>
        <v/>
      </c>
      <c r="V237" s="31"/>
      <c r="W237" s="34" t="str">
        <f t="shared" si="103"/>
        <v/>
      </c>
      <c r="X237" s="31"/>
      <c r="Y237" s="34" t="str">
        <f t="shared" ref="Y237:Y255" si="110">IF((ISERROR((X237/$I237)*100)), "", IF(AND(NOT(ISERROR((X237/$I237)*100)),((X237/$I237)*100) &lt;&gt; 0), (X237/$I237)*100, ""))</f>
        <v/>
      </c>
      <c r="Z237" s="31"/>
      <c r="AA237" s="34" t="str">
        <f t="shared" ref="AA237:AA260" si="111">IF((ISERROR((Z237/$I237)*100)), "", IF(AND(NOT(ISERROR((Z237/$I237)*100)),((Z237/$I237)*100) &lt;&gt; 0), (Z237/$I237)*100, ""))</f>
        <v/>
      </c>
      <c r="AB237" s="31"/>
      <c r="AC237" s="34" t="str">
        <f t="shared" si="87"/>
        <v/>
      </c>
      <c r="AD237" s="31"/>
      <c r="AE237" s="34" t="str">
        <f t="shared" si="88"/>
        <v/>
      </c>
      <c r="AF237" s="31"/>
      <c r="AG237" s="34" t="str">
        <f t="shared" si="89"/>
        <v/>
      </c>
      <c r="AH237" s="21" t="s">
        <v>358</v>
      </c>
      <c r="AI237" s="21"/>
      <c r="AJ237" s="21"/>
      <c r="AK237" s="21"/>
      <c r="AL237" s="21"/>
      <c r="AM237" s="21"/>
      <c r="AN237" s="21"/>
      <c r="AO237" s="21"/>
      <c r="AP237" s="21"/>
      <c r="AQ237" s="21"/>
      <c r="AR237" s="21"/>
      <c r="AS237" s="21"/>
      <c r="AT237" s="21"/>
      <c r="AU237" s="21"/>
      <c r="AV237" s="21"/>
      <c r="AW237" s="21"/>
      <c r="AX237" s="21"/>
      <c r="AY237" s="21"/>
      <c r="AZ237" s="21"/>
      <c r="BA237" s="21"/>
    </row>
    <row r="238" spans="1:53" ht="20" customHeight="1" x14ac:dyDescent="0.2">
      <c r="A238" s="680"/>
      <c r="B238" s="721"/>
      <c r="C238" s="722"/>
      <c r="D238" s="722" t="s">
        <v>85</v>
      </c>
      <c r="E238" s="723" t="s">
        <v>658</v>
      </c>
      <c r="F238" s="723" t="s">
        <v>659</v>
      </c>
      <c r="G238" s="722">
        <v>2012</v>
      </c>
      <c r="H238" s="287"/>
      <c r="I238" s="701">
        <v>11</v>
      </c>
      <c r="J238" s="232"/>
      <c r="K238" s="250" t="s">
        <v>660</v>
      </c>
      <c r="L238" s="73"/>
      <c r="M238" s="34"/>
      <c r="N238" s="31"/>
      <c r="O238" s="34"/>
      <c r="P238" s="31"/>
      <c r="Q238" s="34"/>
      <c r="R238" s="31"/>
      <c r="S238" s="34"/>
      <c r="T238" s="31"/>
      <c r="U238" s="34"/>
      <c r="V238" s="31"/>
      <c r="W238" s="34"/>
      <c r="X238" s="31"/>
      <c r="Y238" s="34"/>
      <c r="Z238" s="31"/>
      <c r="AA238" s="34"/>
      <c r="AB238" s="31"/>
      <c r="AC238" s="34"/>
      <c r="AD238" s="31"/>
      <c r="AE238" s="34"/>
      <c r="AF238" s="31"/>
      <c r="AG238" s="34"/>
      <c r="AH238" s="21"/>
      <c r="AI238" s="21"/>
      <c r="AJ238" s="21"/>
      <c r="AK238" s="21"/>
      <c r="AL238" s="21"/>
      <c r="AM238" s="21"/>
      <c r="AN238" s="21"/>
      <c r="AO238" s="21"/>
      <c r="AP238" s="21"/>
      <c r="AQ238" s="21"/>
      <c r="AR238" s="21"/>
      <c r="AS238" s="21"/>
      <c r="AT238" s="21"/>
      <c r="AU238" s="21"/>
      <c r="AV238" s="21"/>
      <c r="AW238" s="21"/>
      <c r="AX238" s="21"/>
      <c r="AY238" s="21"/>
      <c r="AZ238" s="21"/>
      <c r="BA238" s="21"/>
    </row>
    <row r="239" spans="1:53" ht="20" customHeight="1" x14ac:dyDescent="0.2">
      <c r="A239" s="678"/>
      <c r="B239" s="725"/>
      <c r="C239" s="253"/>
      <c r="D239" s="722" t="s">
        <v>85</v>
      </c>
      <c r="E239" s="723" t="s">
        <v>296</v>
      </c>
      <c r="F239" s="723" t="s">
        <v>297</v>
      </c>
      <c r="G239" s="722">
        <v>2015</v>
      </c>
      <c r="H239" s="287"/>
      <c r="I239" s="65">
        <v>41</v>
      </c>
      <c r="J239" s="61" t="s">
        <v>184</v>
      </c>
      <c r="K239" s="30"/>
      <c r="L239" s="73"/>
      <c r="M239" s="34" t="str">
        <f t="shared" si="98"/>
        <v/>
      </c>
      <c r="N239" s="31"/>
      <c r="O239" s="34" t="str">
        <f t="shared" si="99"/>
        <v/>
      </c>
      <c r="P239" s="31"/>
      <c r="Q239" s="34" t="str">
        <f t="shared" si="100"/>
        <v/>
      </c>
      <c r="R239" s="31"/>
      <c r="S239" s="34" t="str">
        <f t="shared" si="101"/>
        <v/>
      </c>
      <c r="T239" s="31"/>
      <c r="U239" s="34" t="str">
        <f t="shared" si="102"/>
        <v/>
      </c>
      <c r="V239" s="31"/>
      <c r="W239" s="34" t="str">
        <f t="shared" si="103"/>
        <v/>
      </c>
      <c r="X239" s="31"/>
      <c r="Y239" s="34" t="str">
        <f>IF((ISERROR((X239/$I239)*100)), "", IF(AND(NOT(ISERROR((X239/$I239)*100)),((X239/$I239)*100) &lt;&gt; 0), (X239/$I239)*100, ""))</f>
        <v/>
      </c>
      <c r="Z239" s="31"/>
      <c r="AA239" s="34" t="str">
        <f t="shared" si="111"/>
        <v/>
      </c>
      <c r="AB239" s="31"/>
      <c r="AC239" s="34" t="str">
        <f t="shared" si="87"/>
        <v/>
      </c>
      <c r="AD239" s="31"/>
      <c r="AE239" s="34" t="str">
        <f t="shared" si="88"/>
        <v/>
      </c>
      <c r="AF239" s="31"/>
      <c r="AG239" s="34" t="str">
        <f t="shared" si="89"/>
        <v/>
      </c>
      <c r="AH239" s="21" t="s">
        <v>359</v>
      </c>
      <c r="AI239" s="21"/>
      <c r="AJ239" s="21"/>
      <c r="AK239" s="21"/>
      <c r="AL239" s="21"/>
      <c r="AM239" s="21"/>
      <c r="AN239" s="21"/>
      <c r="AO239" s="21"/>
      <c r="AP239" s="21"/>
      <c r="AQ239" s="21"/>
      <c r="AR239" s="21"/>
      <c r="AS239" s="21"/>
      <c r="AT239" s="21"/>
      <c r="AU239" s="21"/>
      <c r="AV239" s="21"/>
      <c r="AW239" s="21"/>
      <c r="AX239" s="21"/>
      <c r="AY239" s="21"/>
      <c r="AZ239" s="21"/>
      <c r="BA239" s="21"/>
    </row>
    <row r="240" spans="1:53" ht="20" customHeight="1" x14ac:dyDescent="0.2">
      <c r="A240" s="680"/>
      <c r="B240" s="721"/>
      <c r="C240" s="722"/>
      <c r="D240" s="722"/>
      <c r="E240" s="723" t="s">
        <v>661</v>
      </c>
      <c r="F240" s="723" t="s">
        <v>662</v>
      </c>
      <c r="G240" s="722">
        <v>1999</v>
      </c>
      <c r="H240" s="287"/>
      <c r="I240" s="65">
        <v>2</v>
      </c>
      <c r="J240" s="61" t="s">
        <v>664</v>
      </c>
      <c r="K240" s="62" t="s">
        <v>663</v>
      </c>
      <c r="L240" s="73"/>
      <c r="M240" s="34"/>
      <c r="N240" s="31"/>
      <c r="O240" s="34"/>
      <c r="P240" s="31"/>
      <c r="Q240" s="34"/>
      <c r="R240" s="31"/>
      <c r="S240" s="34"/>
      <c r="T240" s="31"/>
      <c r="U240" s="34"/>
      <c r="V240" s="31"/>
      <c r="W240" s="34"/>
      <c r="X240" s="31"/>
      <c r="Y240" s="34"/>
      <c r="Z240" s="31"/>
      <c r="AA240" s="34"/>
      <c r="AB240" s="31"/>
      <c r="AC240" s="34"/>
      <c r="AD240" s="31"/>
      <c r="AE240" s="34"/>
      <c r="AF240" s="31"/>
      <c r="AG240" s="34"/>
      <c r="AH240" s="21"/>
      <c r="AI240" s="21"/>
      <c r="AJ240" s="21"/>
      <c r="AK240" s="21"/>
      <c r="AL240" s="21"/>
      <c r="AM240" s="21"/>
      <c r="AN240" s="21"/>
      <c r="AO240" s="21"/>
      <c r="AP240" s="21"/>
      <c r="AQ240" s="21"/>
      <c r="AR240" s="21"/>
      <c r="AS240" s="21"/>
      <c r="AT240" s="21"/>
      <c r="AU240" s="21"/>
      <c r="AV240" s="21"/>
      <c r="AW240" s="21"/>
      <c r="AX240" s="21"/>
      <c r="AY240" s="21"/>
      <c r="AZ240" s="21"/>
      <c r="BA240" s="21"/>
    </row>
    <row r="241" spans="1:53" ht="20" customHeight="1" x14ac:dyDescent="0.2">
      <c r="A241" s="680"/>
      <c r="B241" s="725"/>
      <c r="C241" s="255"/>
      <c r="D241" s="722" t="s">
        <v>85</v>
      </c>
      <c r="E241" s="723" t="s">
        <v>665</v>
      </c>
      <c r="F241" s="723" t="s">
        <v>666</v>
      </c>
      <c r="G241" s="722">
        <v>2012</v>
      </c>
      <c r="H241" s="287"/>
      <c r="I241" s="65">
        <v>26</v>
      </c>
      <c r="J241" s="61" t="s">
        <v>220</v>
      </c>
      <c r="K241" s="62" t="s">
        <v>667</v>
      </c>
      <c r="L241" s="73"/>
      <c r="M241" s="34"/>
      <c r="N241" s="31"/>
      <c r="O241" s="34"/>
      <c r="P241" s="31"/>
      <c r="Q241" s="34"/>
      <c r="R241" s="31"/>
      <c r="S241" s="34"/>
      <c r="T241" s="31"/>
      <c r="U241" s="34"/>
      <c r="V241" s="31"/>
      <c r="W241" s="34"/>
      <c r="X241" s="31"/>
      <c r="Y241" s="34"/>
      <c r="Z241" s="31"/>
      <c r="AA241" s="34"/>
      <c r="AB241" s="31"/>
      <c r="AC241" s="34"/>
      <c r="AD241" s="31"/>
      <c r="AE241" s="34"/>
      <c r="AF241" s="31"/>
      <c r="AG241" s="34"/>
      <c r="AH241" s="21"/>
      <c r="AI241" s="21"/>
      <c r="AJ241" s="21"/>
      <c r="AK241" s="21"/>
      <c r="AL241" s="21"/>
      <c r="AM241" s="21"/>
      <c r="AN241" s="21"/>
      <c r="AO241" s="21"/>
      <c r="AP241" s="21"/>
      <c r="AQ241" s="21"/>
      <c r="AR241" s="21"/>
      <c r="AS241" s="21"/>
      <c r="AT241" s="21"/>
      <c r="AU241" s="21"/>
      <c r="AV241" s="21"/>
      <c r="AW241" s="21"/>
      <c r="AX241" s="21"/>
      <c r="AY241" s="21"/>
      <c r="AZ241" s="21"/>
      <c r="BA241" s="21"/>
    </row>
    <row r="242" spans="1:53" ht="20" customHeight="1" x14ac:dyDescent="0.2">
      <c r="A242" s="678"/>
      <c r="B242" s="725"/>
      <c r="C242" s="255"/>
      <c r="D242" s="722" t="s">
        <v>85</v>
      </c>
      <c r="E242" s="723" t="s">
        <v>103</v>
      </c>
      <c r="F242" s="723" t="s">
        <v>104</v>
      </c>
      <c r="G242" s="722">
        <v>1996</v>
      </c>
      <c r="H242" s="287">
        <v>12</v>
      </c>
      <c r="I242" s="65">
        <v>97</v>
      </c>
      <c r="J242" s="61" t="s">
        <v>202</v>
      </c>
      <c r="K242" s="30" t="s">
        <v>203</v>
      </c>
      <c r="L242" s="73"/>
      <c r="M242" s="34" t="str">
        <f t="shared" si="98"/>
        <v/>
      </c>
      <c r="N242" s="31">
        <v>3</v>
      </c>
      <c r="O242" s="34">
        <f t="shared" si="99"/>
        <v>3.0927835051546393</v>
      </c>
      <c r="P242" s="31"/>
      <c r="Q242" s="34" t="str">
        <f t="shared" si="100"/>
        <v/>
      </c>
      <c r="R242" s="31"/>
      <c r="S242" s="34" t="str">
        <f t="shared" si="101"/>
        <v/>
      </c>
      <c r="T242" s="31">
        <v>6</v>
      </c>
      <c r="U242" s="34">
        <f t="shared" si="102"/>
        <v>6.1855670103092786</v>
      </c>
      <c r="V242" s="31">
        <v>4</v>
      </c>
      <c r="W242" s="34">
        <f t="shared" si="103"/>
        <v>4.1237113402061851</v>
      </c>
      <c r="X242" s="31"/>
      <c r="Y242" s="34" t="str">
        <f t="shared" si="110"/>
        <v/>
      </c>
      <c r="Z242" s="31"/>
      <c r="AA242" s="34" t="str">
        <f t="shared" si="111"/>
        <v/>
      </c>
      <c r="AB242" s="31">
        <v>1</v>
      </c>
      <c r="AC242" s="34">
        <f t="shared" si="87"/>
        <v>1.0309278350515463</v>
      </c>
      <c r="AD242" s="31">
        <v>1</v>
      </c>
      <c r="AE242" s="34">
        <f t="shared" si="88"/>
        <v>1.0309278350515463</v>
      </c>
      <c r="AF242" s="31"/>
      <c r="AG242" s="34" t="str">
        <f t="shared" si="89"/>
        <v/>
      </c>
      <c r="AH242" s="21" t="s">
        <v>382</v>
      </c>
      <c r="AI242" s="21"/>
      <c r="AJ242" s="21"/>
      <c r="AK242" s="21"/>
      <c r="AL242" s="21"/>
      <c r="AM242" s="21"/>
      <c r="AN242" s="21"/>
      <c r="AO242" s="21"/>
      <c r="AP242" s="21"/>
      <c r="AQ242" s="21"/>
      <c r="AR242" s="21"/>
      <c r="AS242" s="21"/>
      <c r="AT242" s="21"/>
      <c r="AU242" s="21"/>
      <c r="AV242" s="21"/>
      <c r="AW242" s="21"/>
      <c r="AX242" s="21"/>
      <c r="AY242" s="21"/>
      <c r="AZ242" s="21"/>
      <c r="BA242" s="21"/>
    </row>
    <row r="243" spans="1:53" ht="20" customHeight="1" x14ac:dyDescent="0.2">
      <c r="A243" s="680"/>
      <c r="B243" s="725"/>
      <c r="C243" s="722"/>
      <c r="D243" s="722" t="s">
        <v>85</v>
      </c>
      <c r="E243" s="723" t="s">
        <v>668</v>
      </c>
      <c r="F243" s="723" t="s">
        <v>669</v>
      </c>
      <c r="G243" s="722">
        <v>1998</v>
      </c>
      <c r="H243" s="287"/>
      <c r="I243" s="65">
        <v>25</v>
      </c>
      <c r="J243" s="61" t="s">
        <v>175</v>
      </c>
      <c r="K243" s="62" t="s">
        <v>191</v>
      </c>
      <c r="L243" s="73"/>
      <c r="M243" s="34"/>
      <c r="N243" s="31"/>
      <c r="O243" s="34"/>
      <c r="P243" s="31"/>
      <c r="Q243" s="34"/>
      <c r="R243" s="31"/>
      <c r="S243" s="34"/>
      <c r="T243" s="31"/>
      <c r="U243" s="34"/>
      <c r="V243" s="31"/>
      <c r="W243" s="34"/>
      <c r="X243" s="31"/>
      <c r="Y243" s="34"/>
      <c r="Z243" s="31"/>
      <c r="AA243" s="34"/>
      <c r="AB243" s="31"/>
      <c r="AC243" s="34"/>
      <c r="AD243" s="31"/>
      <c r="AE243" s="34"/>
      <c r="AF243" s="31"/>
      <c r="AG243" s="34"/>
      <c r="AH243" s="21"/>
      <c r="AI243" s="21"/>
      <c r="AJ243" s="21"/>
      <c r="AK243" s="21"/>
      <c r="AL243" s="21"/>
      <c r="AM243" s="21"/>
      <c r="AN243" s="21"/>
      <c r="AO243" s="21"/>
      <c r="AP243" s="21"/>
      <c r="AQ243" s="21"/>
      <c r="AR243" s="21"/>
      <c r="AS243" s="21"/>
      <c r="AT243" s="21"/>
      <c r="AU243" s="21"/>
      <c r="AV243" s="21"/>
      <c r="AW243" s="21"/>
      <c r="AX243" s="21"/>
      <c r="AY243" s="21"/>
      <c r="AZ243" s="21"/>
      <c r="BA243" s="21"/>
    </row>
    <row r="244" spans="1:53" ht="20" customHeight="1" x14ac:dyDescent="0.2">
      <c r="A244" s="678"/>
      <c r="B244" s="725"/>
      <c r="C244" s="253"/>
      <c r="D244" s="722" t="s">
        <v>85</v>
      </c>
      <c r="E244" s="723" t="s">
        <v>298</v>
      </c>
      <c r="F244" s="723" t="s">
        <v>299</v>
      </c>
      <c r="G244" s="722">
        <v>2009</v>
      </c>
      <c r="H244" s="287"/>
      <c r="I244" s="65">
        <v>68</v>
      </c>
      <c r="J244" s="61" t="s">
        <v>213</v>
      </c>
      <c r="K244" s="30" t="s">
        <v>360</v>
      </c>
      <c r="L244" s="73"/>
      <c r="M244" s="34" t="str">
        <f t="shared" si="98"/>
        <v/>
      </c>
      <c r="N244" s="31"/>
      <c r="O244" s="34" t="str">
        <f t="shared" si="99"/>
        <v/>
      </c>
      <c r="P244" s="31"/>
      <c r="Q244" s="34" t="str">
        <f t="shared" si="100"/>
        <v/>
      </c>
      <c r="R244" s="31"/>
      <c r="S244" s="34" t="str">
        <f t="shared" si="101"/>
        <v/>
      </c>
      <c r="T244" s="31"/>
      <c r="U244" s="34" t="str">
        <f t="shared" si="102"/>
        <v/>
      </c>
      <c r="V244" s="31"/>
      <c r="W244" s="34" t="str">
        <f t="shared" si="103"/>
        <v/>
      </c>
      <c r="X244" s="31"/>
      <c r="Y244" s="34" t="str">
        <f>IF((ISERROR((X244/$I244)*100)), "", IF(AND(NOT(ISERROR((X244/$I244)*100)),((X244/$I244)*100) &lt;&gt; 0), (X244/$I244)*100, ""))</f>
        <v/>
      </c>
      <c r="Z244" s="31"/>
      <c r="AA244" s="34" t="str">
        <f t="shared" si="111"/>
        <v/>
      </c>
      <c r="AB244" s="31"/>
      <c r="AC244" s="34" t="str">
        <f t="shared" si="87"/>
        <v/>
      </c>
      <c r="AD244" s="31"/>
      <c r="AE244" s="34" t="str">
        <f t="shared" si="88"/>
        <v/>
      </c>
      <c r="AF244" s="31"/>
      <c r="AG244" s="34" t="str">
        <f t="shared" si="89"/>
        <v/>
      </c>
      <c r="AH244" s="21" t="s">
        <v>414</v>
      </c>
      <c r="AI244" s="21"/>
      <c r="AJ244" s="21"/>
      <c r="AK244" s="21"/>
      <c r="AL244" s="21"/>
      <c r="AM244" s="21"/>
      <c r="AN244" s="21"/>
      <c r="AO244" s="21"/>
      <c r="AP244" s="21"/>
      <c r="AQ244" s="21"/>
      <c r="AR244" s="21"/>
      <c r="AS244" s="21"/>
      <c r="AT244" s="21"/>
      <c r="AU244" s="21"/>
      <c r="AV244" s="21"/>
      <c r="AW244" s="21"/>
      <c r="AX244" s="21"/>
      <c r="AY244" s="21"/>
      <c r="AZ244" s="21"/>
      <c r="BA244" s="21"/>
    </row>
    <row r="245" spans="1:53" ht="20" customHeight="1" x14ac:dyDescent="0.2">
      <c r="A245" s="678"/>
      <c r="B245" s="721"/>
      <c r="C245" s="722"/>
      <c r="D245" s="722" t="s">
        <v>85</v>
      </c>
      <c r="E245" s="723" t="s">
        <v>105</v>
      </c>
      <c r="F245" s="723" t="s">
        <v>106</v>
      </c>
      <c r="G245" s="722">
        <v>1989</v>
      </c>
      <c r="H245" s="287">
        <v>27</v>
      </c>
      <c r="I245" s="65"/>
      <c r="J245" s="61" t="s">
        <v>208</v>
      </c>
      <c r="K245" s="30" t="s">
        <v>177</v>
      </c>
      <c r="L245" s="73"/>
      <c r="M245" s="34" t="str">
        <f t="shared" si="98"/>
        <v/>
      </c>
      <c r="N245" s="31"/>
      <c r="O245" s="34" t="str">
        <f t="shared" si="99"/>
        <v/>
      </c>
      <c r="P245" s="31"/>
      <c r="Q245" s="34" t="str">
        <f t="shared" si="100"/>
        <v/>
      </c>
      <c r="R245" s="31"/>
      <c r="S245" s="34" t="str">
        <f t="shared" si="101"/>
        <v/>
      </c>
      <c r="T245" s="31"/>
      <c r="U245" s="34" t="str">
        <f t="shared" si="102"/>
        <v/>
      </c>
      <c r="V245" s="31"/>
      <c r="W245" s="34" t="str">
        <f t="shared" si="103"/>
        <v/>
      </c>
      <c r="X245" s="31"/>
      <c r="Y245" s="34" t="str">
        <f>IF((ISERROR((X245/$I245)*100)), "", IF(AND(NOT(ISERROR((X245/$I245)*100)),((X245/$I245)*100) &lt;&gt; 0), (X245/$I245)*100, ""))</f>
        <v/>
      </c>
      <c r="Z245" s="31"/>
      <c r="AA245" s="34" t="str">
        <f t="shared" si="111"/>
        <v/>
      </c>
      <c r="AB245" s="31"/>
      <c r="AC245" s="34" t="str">
        <f t="shared" si="87"/>
        <v/>
      </c>
      <c r="AD245" s="31"/>
      <c r="AE245" s="34" t="str">
        <f t="shared" si="88"/>
        <v/>
      </c>
      <c r="AF245" s="31"/>
      <c r="AG245" s="34" t="str">
        <f t="shared" si="89"/>
        <v/>
      </c>
      <c r="AH245" s="21"/>
      <c r="AI245" s="21"/>
      <c r="AJ245" s="21"/>
      <c r="AK245" s="21"/>
      <c r="AL245" s="21"/>
      <c r="AM245" s="21"/>
      <c r="AN245" s="21"/>
      <c r="AO245" s="21"/>
      <c r="AP245" s="21"/>
      <c r="AQ245" s="21"/>
      <c r="AR245" s="21"/>
      <c r="AS245" s="21"/>
      <c r="AT245" s="21"/>
      <c r="AU245" s="21"/>
      <c r="AV245" s="21"/>
      <c r="AW245" s="21"/>
      <c r="AX245" s="21"/>
      <c r="AY245" s="21"/>
      <c r="AZ245" s="21"/>
      <c r="BA245" s="21"/>
    </row>
    <row r="246" spans="1:53" ht="20" customHeight="1" x14ac:dyDescent="0.2">
      <c r="A246" s="678"/>
      <c r="B246" s="721"/>
      <c r="C246" s="253"/>
      <c r="D246" s="722" t="s">
        <v>85</v>
      </c>
      <c r="E246" s="723" t="s">
        <v>300</v>
      </c>
      <c r="F246" s="723" t="s">
        <v>301</v>
      </c>
      <c r="G246" s="722">
        <v>2011</v>
      </c>
      <c r="H246" s="287"/>
      <c r="I246" s="65"/>
      <c r="J246" s="61"/>
      <c r="K246" s="30"/>
      <c r="L246" s="73"/>
      <c r="M246" s="34" t="str">
        <f t="shared" si="98"/>
        <v/>
      </c>
      <c r="N246" s="31"/>
      <c r="O246" s="34" t="str">
        <f t="shared" si="99"/>
        <v/>
      </c>
      <c r="P246" s="31"/>
      <c r="Q246" s="34" t="str">
        <f t="shared" si="100"/>
        <v/>
      </c>
      <c r="R246" s="31"/>
      <c r="S246" s="34" t="str">
        <f t="shared" si="101"/>
        <v/>
      </c>
      <c r="T246" s="31"/>
      <c r="U246" s="34" t="str">
        <f t="shared" si="102"/>
        <v/>
      </c>
      <c r="V246" s="31"/>
      <c r="W246" s="34" t="str">
        <f t="shared" si="103"/>
        <v/>
      </c>
      <c r="X246" s="31"/>
      <c r="Y246" s="34" t="str">
        <f>IF((ISERROR((X246/$I246)*100)), "", IF(AND(NOT(ISERROR((X246/$I246)*100)),((X246/$I246)*100) &lt;&gt; 0), (X246/$I246)*100, ""))</f>
        <v/>
      </c>
      <c r="Z246" s="31"/>
      <c r="AA246" s="34" t="str">
        <f t="shared" si="111"/>
        <v/>
      </c>
      <c r="AB246" s="31"/>
      <c r="AC246" s="34" t="str">
        <f t="shared" si="87"/>
        <v/>
      </c>
      <c r="AD246" s="31"/>
      <c r="AE246" s="34" t="str">
        <f t="shared" si="88"/>
        <v/>
      </c>
      <c r="AF246" s="31"/>
      <c r="AG246" s="34" t="str">
        <f t="shared" si="89"/>
        <v/>
      </c>
      <c r="AH246" s="21" t="s">
        <v>361</v>
      </c>
      <c r="AI246" s="21"/>
      <c r="AJ246" s="21"/>
      <c r="AK246" s="21"/>
      <c r="AL246" s="21"/>
      <c r="AM246" s="21"/>
      <c r="AN246" s="21"/>
      <c r="AO246" s="21"/>
      <c r="AP246" s="21"/>
      <c r="AQ246" s="21"/>
      <c r="AR246" s="21"/>
      <c r="AS246" s="21"/>
      <c r="AT246" s="21"/>
      <c r="AU246" s="21"/>
      <c r="AV246" s="21"/>
      <c r="AW246" s="21"/>
      <c r="AX246" s="21"/>
      <c r="AY246" s="21"/>
      <c r="AZ246" s="21"/>
      <c r="BA246" s="21"/>
    </row>
    <row r="247" spans="1:53" ht="20" customHeight="1" x14ac:dyDescent="0.2">
      <c r="A247" s="680"/>
      <c r="B247" s="721"/>
      <c r="C247" s="722"/>
      <c r="D247" s="722" t="s">
        <v>85</v>
      </c>
      <c r="E247" s="723" t="s">
        <v>670</v>
      </c>
      <c r="F247" s="723" t="s">
        <v>671</v>
      </c>
      <c r="G247" s="722">
        <v>2003</v>
      </c>
      <c r="H247" s="287"/>
      <c r="I247" s="65"/>
      <c r="J247" s="61" t="s">
        <v>672</v>
      </c>
      <c r="K247" s="62" t="s">
        <v>177</v>
      </c>
      <c r="L247" s="73"/>
      <c r="M247" s="34"/>
      <c r="N247" s="31"/>
      <c r="O247" s="34"/>
      <c r="P247" s="31"/>
      <c r="Q247" s="34"/>
      <c r="R247" s="31"/>
      <c r="S247" s="34"/>
      <c r="T247" s="31"/>
      <c r="U247" s="34"/>
      <c r="V247" s="31"/>
      <c r="W247" s="34"/>
      <c r="X247" s="31"/>
      <c r="Y247" s="34"/>
      <c r="Z247" s="31"/>
      <c r="AA247" s="34"/>
      <c r="AB247" s="31"/>
      <c r="AC247" s="34"/>
      <c r="AD247" s="31"/>
      <c r="AE247" s="34"/>
      <c r="AF247" s="31"/>
      <c r="AG247" s="34"/>
      <c r="AH247" s="21"/>
      <c r="AI247" s="21"/>
      <c r="AJ247" s="21"/>
      <c r="AK247" s="21"/>
      <c r="AL247" s="21"/>
      <c r="AM247" s="21"/>
      <c r="AN247" s="21"/>
      <c r="AO247" s="21"/>
      <c r="AP247" s="21"/>
      <c r="AQ247" s="21"/>
      <c r="AR247" s="21"/>
      <c r="AS247" s="21"/>
      <c r="AT247" s="21"/>
      <c r="AU247" s="21"/>
      <c r="AV247" s="21"/>
      <c r="AW247" s="21"/>
      <c r="AX247" s="21"/>
      <c r="AY247" s="21"/>
      <c r="AZ247" s="21"/>
      <c r="BA247" s="21"/>
    </row>
    <row r="248" spans="1:53" ht="20" customHeight="1" x14ac:dyDescent="0.2">
      <c r="A248" s="678"/>
      <c r="B248" s="721"/>
      <c r="C248" s="255"/>
      <c r="D248" s="722" t="s">
        <v>85</v>
      </c>
      <c r="E248" s="723" t="s">
        <v>302</v>
      </c>
      <c r="F248" s="723" t="s">
        <v>303</v>
      </c>
      <c r="G248" s="722">
        <v>1977</v>
      </c>
      <c r="H248" s="287"/>
      <c r="I248" s="65">
        <v>5</v>
      </c>
      <c r="J248" s="61" t="s">
        <v>362</v>
      </c>
      <c r="K248" s="30"/>
      <c r="L248" s="73"/>
      <c r="M248" s="34" t="str">
        <f t="shared" si="98"/>
        <v/>
      </c>
      <c r="N248" s="31"/>
      <c r="O248" s="34" t="str">
        <f t="shared" si="99"/>
        <v/>
      </c>
      <c r="P248" s="31"/>
      <c r="Q248" s="34" t="str">
        <f t="shared" si="100"/>
        <v/>
      </c>
      <c r="R248" s="31"/>
      <c r="S248" s="34" t="str">
        <f t="shared" si="101"/>
        <v/>
      </c>
      <c r="T248" s="31"/>
      <c r="U248" s="34" t="str">
        <f t="shared" si="102"/>
        <v/>
      </c>
      <c r="V248" s="31"/>
      <c r="W248" s="34" t="str">
        <f t="shared" si="103"/>
        <v/>
      </c>
      <c r="X248" s="31"/>
      <c r="Y248" s="34" t="str">
        <f t="shared" si="110"/>
        <v/>
      </c>
      <c r="Z248" s="31"/>
      <c r="AA248" s="34" t="str">
        <f t="shared" si="111"/>
        <v/>
      </c>
      <c r="AB248" s="31"/>
      <c r="AC248" s="34" t="str">
        <f t="shared" si="87"/>
        <v/>
      </c>
      <c r="AD248" s="31"/>
      <c r="AE248" s="34" t="str">
        <f t="shared" si="88"/>
        <v/>
      </c>
      <c r="AF248" s="31"/>
      <c r="AG248" s="34" t="str">
        <f t="shared" si="89"/>
        <v/>
      </c>
      <c r="AH248" s="21" t="s">
        <v>363</v>
      </c>
      <c r="AI248" s="21"/>
      <c r="AJ248" s="21"/>
      <c r="AK248" s="21"/>
      <c r="AL248" s="21"/>
      <c r="AM248" s="21"/>
      <c r="AN248" s="21"/>
      <c r="AO248" s="21"/>
      <c r="AP248" s="21"/>
      <c r="AQ248" s="21"/>
      <c r="AR248" s="21"/>
      <c r="AS248" s="21"/>
      <c r="AT248" s="21"/>
      <c r="AU248" s="21"/>
      <c r="AV248" s="21"/>
      <c r="AW248" s="21"/>
      <c r="AX248" s="21"/>
      <c r="AY248" s="21"/>
      <c r="AZ248" s="21"/>
      <c r="BA248" s="21"/>
    </row>
    <row r="249" spans="1:53" ht="20" customHeight="1" x14ac:dyDescent="0.2">
      <c r="A249" s="678"/>
      <c r="B249" s="725"/>
      <c r="C249" s="255"/>
      <c r="D249" s="722" t="s">
        <v>85</v>
      </c>
      <c r="E249" s="723" t="s">
        <v>107</v>
      </c>
      <c r="F249" s="723" t="s">
        <v>108</v>
      </c>
      <c r="G249" s="722">
        <v>2008</v>
      </c>
      <c r="H249" s="287">
        <v>54</v>
      </c>
      <c r="I249" s="65">
        <v>12</v>
      </c>
      <c r="J249" s="61" t="s">
        <v>167</v>
      </c>
      <c r="K249" s="30" t="s">
        <v>209</v>
      </c>
      <c r="L249" s="73"/>
      <c r="M249" s="34" t="str">
        <f t="shared" si="98"/>
        <v/>
      </c>
      <c r="N249" s="31">
        <v>1</v>
      </c>
      <c r="O249" s="34">
        <f t="shared" si="99"/>
        <v>8.3333333333333321</v>
      </c>
      <c r="P249" s="31">
        <v>1</v>
      </c>
      <c r="Q249" s="34">
        <f t="shared" si="100"/>
        <v>8.3333333333333321</v>
      </c>
      <c r="R249" s="31"/>
      <c r="S249" s="34" t="str">
        <f t="shared" si="101"/>
        <v/>
      </c>
      <c r="T249" s="31"/>
      <c r="U249" s="34" t="str">
        <f t="shared" si="102"/>
        <v/>
      </c>
      <c r="V249" s="31"/>
      <c r="W249" s="34" t="str">
        <f t="shared" si="103"/>
        <v/>
      </c>
      <c r="X249" s="31"/>
      <c r="Y249" s="34" t="str">
        <f>IF((ISERROR((X249/$I249)*100)), "", IF(AND(NOT(ISERROR((X249/$I249)*100)),((X249/$I249)*100) &lt;&gt; 0), (X249/$I249)*100, ""))</f>
        <v/>
      </c>
      <c r="Z249" s="31"/>
      <c r="AA249" s="34" t="str">
        <f t="shared" si="111"/>
        <v/>
      </c>
      <c r="AB249" s="31"/>
      <c r="AC249" s="34" t="str">
        <f t="shared" si="87"/>
        <v/>
      </c>
      <c r="AD249" s="31"/>
      <c r="AE249" s="34" t="str">
        <f t="shared" si="88"/>
        <v/>
      </c>
      <c r="AF249" s="31"/>
      <c r="AG249" s="34" t="str">
        <f t="shared" si="89"/>
        <v/>
      </c>
      <c r="AH249" s="21" t="s">
        <v>415</v>
      </c>
      <c r="AI249" s="21"/>
      <c r="AJ249" s="21"/>
      <c r="AK249" s="21"/>
      <c r="AL249" s="21"/>
      <c r="AM249" s="21"/>
      <c r="AN249" s="21"/>
      <c r="AO249" s="21"/>
      <c r="AP249" s="21"/>
      <c r="AQ249" s="21"/>
      <c r="AR249" s="21"/>
      <c r="AS249" s="21"/>
      <c r="AT249" s="21"/>
      <c r="AU249" s="21"/>
      <c r="AV249" s="21"/>
      <c r="AW249" s="21"/>
      <c r="AX249" s="21"/>
      <c r="AY249" s="21"/>
      <c r="AZ249" s="21"/>
      <c r="BA249" s="21"/>
    </row>
    <row r="250" spans="1:53" ht="20" customHeight="1" x14ac:dyDescent="0.2">
      <c r="A250" s="678"/>
      <c r="B250" s="725"/>
      <c r="C250" s="253"/>
      <c r="D250" s="722" t="s">
        <v>85</v>
      </c>
      <c r="E250" s="723" t="s">
        <v>109</v>
      </c>
      <c r="F250" s="723" t="s">
        <v>110</v>
      </c>
      <c r="G250" s="722">
        <v>1999</v>
      </c>
      <c r="H250" s="287">
        <v>76</v>
      </c>
      <c r="I250" s="65">
        <v>7</v>
      </c>
      <c r="J250" s="61" t="s">
        <v>175</v>
      </c>
      <c r="K250" s="30" t="s">
        <v>191</v>
      </c>
      <c r="L250" s="73"/>
      <c r="M250" s="34" t="str">
        <f t="shared" si="98"/>
        <v/>
      </c>
      <c r="N250" s="31"/>
      <c r="O250" s="34" t="str">
        <f t="shared" si="99"/>
        <v/>
      </c>
      <c r="P250" s="31"/>
      <c r="Q250" s="34" t="str">
        <f t="shared" si="100"/>
        <v/>
      </c>
      <c r="R250" s="31"/>
      <c r="S250" s="34" t="str">
        <f t="shared" si="101"/>
        <v/>
      </c>
      <c r="T250" s="31"/>
      <c r="U250" s="34" t="str">
        <f t="shared" si="102"/>
        <v/>
      </c>
      <c r="V250" s="31"/>
      <c r="W250" s="34" t="str">
        <f t="shared" si="103"/>
        <v/>
      </c>
      <c r="X250" s="31"/>
      <c r="Y250" s="34" t="str">
        <f>IF((ISERROR((X250/$I250)*100)), "", IF(AND(NOT(ISERROR((X250/$I250)*100)),((X250/$I250)*100) &lt;&gt; 0), (X250/$I250)*100, ""))</f>
        <v/>
      </c>
      <c r="Z250" s="31"/>
      <c r="AA250" s="34" t="str">
        <f t="shared" si="111"/>
        <v/>
      </c>
      <c r="AB250" s="31"/>
      <c r="AC250" s="34" t="str">
        <f t="shared" si="87"/>
        <v/>
      </c>
      <c r="AD250" s="31"/>
      <c r="AE250" s="34" t="str">
        <f t="shared" si="88"/>
        <v/>
      </c>
      <c r="AF250" s="31"/>
      <c r="AG250" s="34" t="str">
        <f t="shared" si="89"/>
        <v/>
      </c>
      <c r="AH250" s="21" t="s">
        <v>180</v>
      </c>
      <c r="AI250" s="21"/>
      <c r="AJ250" s="21"/>
      <c r="AK250" s="21"/>
      <c r="AL250" s="21"/>
      <c r="AM250" s="21"/>
      <c r="AN250" s="21"/>
      <c r="AO250" s="21"/>
      <c r="AP250" s="21"/>
      <c r="AQ250" s="21"/>
      <c r="AR250" s="21"/>
      <c r="AS250" s="21"/>
      <c r="AT250" s="21"/>
      <c r="AU250" s="21"/>
      <c r="AV250" s="21"/>
      <c r="AW250" s="21"/>
      <c r="AX250" s="21"/>
      <c r="AY250" s="21"/>
      <c r="AZ250" s="21"/>
      <c r="BA250" s="21"/>
    </row>
    <row r="251" spans="1:53" ht="20" customHeight="1" x14ac:dyDescent="0.2">
      <c r="A251" s="678"/>
      <c r="B251" s="721"/>
      <c r="C251" s="253"/>
      <c r="D251" s="722" t="s">
        <v>85</v>
      </c>
      <c r="E251" s="723" t="s">
        <v>111</v>
      </c>
      <c r="F251" s="723" t="s">
        <v>112</v>
      </c>
      <c r="G251" s="722">
        <v>2008</v>
      </c>
      <c r="H251" s="287">
        <v>101</v>
      </c>
      <c r="I251" s="65">
        <v>16</v>
      </c>
      <c r="J251" s="61" t="s">
        <v>210</v>
      </c>
      <c r="K251" s="30"/>
      <c r="L251" s="73"/>
      <c r="M251" s="34" t="str">
        <f t="shared" si="98"/>
        <v/>
      </c>
      <c r="N251" s="31"/>
      <c r="O251" s="34" t="str">
        <f t="shared" si="99"/>
        <v/>
      </c>
      <c r="P251" s="31"/>
      <c r="Q251" s="34" t="str">
        <f t="shared" si="100"/>
        <v/>
      </c>
      <c r="R251" s="31"/>
      <c r="S251" s="34" t="str">
        <f t="shared" si="101"/>
        <v/>
      </c>
      <c r="T251" s="31"/>
      <c r="U251" s="34" t="str">
        <f t="shared" si="102"/>
        <v/>
      </c>
      <c r="V251" s="31"/>
      <c r="W251" s="34" t="str">
        <f t="shared" si="103"/>
        <v/>
      </c>
      <c r="X251" s="31"/>
      <c r="Y251" s="34" t="str">
        <f>IF((ISERROR((X251/$I251)*100)), "", IF(AND(NOT(ISERROR((X251/$I251)*100)),((X251/$I251)*100) &lt;&gt; 0), (X251/$I251)*100, ""))</f>
        <v/>
      </c>
      <c r="Z251" s="31"/>
      <c r="AA251" s="34" t="str">
        <f t="shared" si="111"/>
        <v/>
      </c>
      <c r="AB251" s="31"/>
      <c r="AC251" s="34" t="str">
        <f t="shared" si="87"/>
        <v/>
      </c>
      <c r="AD251" s="31"/>
      <c r="AE251" s="34" t="str">
        <f t="shared" si="88"/>
        <v/>
      </c>
      <c r="AF251" s="31"/>
      <c r="AG251" s="34" t="str">
        <f t="shared" si="89"/>
        <v/>
      </c>
      <c r="AH251" s="21" t="s">
        <v>383</v>
      </c>
      <c r="AI251" s="21"/>
      <c r="AJ251" s="21"/>
      <c r="AK251" s="21"/>
      <c r="AL251" s="21"/>
      <c r="AM251" s="21"/>
      <c r="AN251" s="21"/>
      <c r="AO251" s="21"/>
      <c r="AP251" s="21"/>
      <c r="AQ251" s="21"/>
      <c r="AR251" s="21"/>
      <c r="AS251" s="21"/>
      <c r="AT251" s="21"/>
      <c r="AU251" s="21"/>
      <c r="AV251" s="21"/>
      <c r="AW251" s="21"/>
      <c r="AX251" s="21"/>
      <c r="AY251" s="21"/>
      <c r="AZ251" s="21"/>
      <c r="BA251" s="21"/>
    </row>
    <row r="252" spans="1:53" ht="20" customHeight="1" x14ac:dyDescent="0.2">
      <c r="A252" s="680"/>
      <c r="B252" s="721"/>
      <c r="C252" s="722"/>
      <c r="D252" s="722" t="s">
        <v>85</v>
      </c>
      <c r="E252" s="723" t="s">
        <v>673</v>
      </c>
      <c r="F252" s="723" t="s">
        <v>674</v>
      </c>
      <c r="G252" s="722">
        <v>2003</v>
      </c>
      <c r="H252" s="287"/>
      <c r="I252" s="65">
        <v>15</v>
      </c>
      <c r="J252" s="61" t="s">
        <v>213</v>
      </c>
      <c r="K252" s="62" t="s">
        <v>675</v>
      </c>
      <c r="L252" s="73"/>
      <c r="M252" s="34"/>
      <c r="N252" s="31"/>
      <c r="O252" s="34"/>
      <c r="P252" s="31"/>
      <c r="Q252" s="34"/>
      <c r="R252" s="31"/>
      <c r="S252" s="34"/>
      <c r="T252" s="31"/>
      <c r="U252" s="34"/>
      <c r="V252" s="31"/>
      <c r="W252" s="34"/>
      <c r="X252" s="31"/>
      <c r="Y252" s="34"/>
      <c r="Z252" s="31"/>
      <c r="AA252" s="34"/>
      <c r="AB252" s="31"/>
      <c r="AC252" s="34"/>
      <c r="AD252" s="31"/>
      <c r="AE252" s="34"/>
      <c r="AF252" s="31"/>
      <c r="AG252" s="34"/>
      <c r="AH252" s="21"/>
      <c r="AI252" s="21"/>
      <c r="AJ252" s="21"/>
      <c r="AK252" s="21"/>
      <c r="AL252" s="21"/>
      <c r="AM252" s="21"/>
      <c r="AN252" s="21"/>
      <c r="AO252" s="21"/>
      <c r="AP252" s="21"/>
      <c r="AQ252" s="21"/>
      <c r="AR252" s="21"/>
      <c r="AS252" s="21"/>
      <c r="AT252" s="21"/>
      <c r="AU252" s="21"/>
      <c r="AV252" s="21"/>
      <c r="AW252" s="21"/>
      <c r="AX252" s="21"/>
      <c r="AY252" s="21"/>
      <c r="AZ252" s="21"/>
      <c r="BA252" s="21"/>
    </row>
    <row r="253" spans="1:53" ht="20" customHeight="1" x14ac:dyDescent="0.2">
      <c r="A253" s="678"/>
      <c r="B253" s="725"/>
      <c r="C253" s="255"/>
      <c r="D253" s="722" t="s">
        <v>85</v>
      </c>
      <c r="E253" s="723" t="s">
        <v>113</v>
      </c>
      <c r="F253" s="723" t="s">
        <v>114</v>
      </c>
      <c r="G253" s="722">
        <v>1997</v>
      </c>
      <c r="H253" s="287">
        <v>127</v>
      </c>
      <c r="I253" s="65">
        <v>8</v>
      </c>
      <c r="J253" s="61" t="s">
        <v>211</v>
      </c>
      <c r="K253" s="30" t="s">
        <v>212</v>
      </c>
      <c r="L253" s="73"/>
      <c r="M253" s="34" t="str">
        <f t="shared" si="98"/>
        <v/>
      </c>
      <c r="N253" s="31"/>
      <c r="O253" s="34" t="str">
        <f t="shared" si="99"/>
        <v/>
      </c>
      <c r="P253" s="31"/>
      <c r="Q253" s="34" t="str">
        <f t="shared" si="100"/>
        <v/>
      </c>
      <c r="R253" s="31"/>
      <c r="S253" s="34" t="str">
        <f t="shared" si="101"/>
        <v/>
      </c>
      <c r="T253" s="31"/>
      <c r="U253" s="34" t="str">
        <f t="shared" si="102"/>
        <v/>
      </c>
      <c r="V253" s="31"/>
      <c r="W253" s="34" t="str">
        <f t="shared" si="103"/>
        <v/>
      </c>
      <c r="X253" s="31"/>
      <c r="Y253" s="34" t="str">
        <f t="shared" si="110"/>
        <v/>
      </c>
      <c r="Z253" s="31"/>
      <c r="AA253" s="34" t="str">
        <f t="shared" si="111"/>
        <v/>
      </c>
      <c r="AB253" s="31"/>
      <c r="AC253" s="34" t="str">
        <f t="shared" si="87"/>
        <v/>
      </c>
      <c r="AD253" s="31"/>
      <c r="AE253" s="34" t="str">
        <f t="shared" si="88"/>
        <v/>
      </c>
      <c r="AF253" s="31"/>
      <c r="AG253" s="34" t="str">
        <f t="shared" si="89"/>
        <v/>
      </c>
      <c r="AH253" s="21" t="s">
        <v>384</v>
      </c>
      <c r="AI253" s="21"/>
      <c r="AJ253" s="21"/>
      <c r="AK253" s="21"/>
      <c r="AL253" s="21"/>
      <c r="AM253" s="21"/>
      <c r="AN253" s="21"/>
      <c r="AO253" s="21"/>
      <c r="AP253" s="21"/>
      <c r="AQ253" s="21"/>
      <c r="AR253" s="21"/>
      <c r="AS253" s="21"/>
      <c r="AT253" s="21"/>
      <c r="AU253" s="21"/>
      <c r="AV253" s="21"/>
      <c r="AW253" s="21"/>
      <c r="AX253" s="21"/>
      <c r="AY253" s="21"/>
      <c r="AZ253" s="21"/>
      <c r="BA253" s="21"/>
    </row>
    <row r="254" spans="1:53" ht="20" customHeight="1" x14ac:dyDescent="0.2">
      <c r="A254" s="680"/>
      <c r="B254" s="721"/>
      <c r="C254" s="722"/>
      <c r="D254" s="722" t="s">
        <v>85</v>
      </c>
      <c r="E254" s="723" t="s">
        <v>677</v>
      </c>
      <c r="F254" s="723" t="s">
        <v>678</v>
      </c>
      <c r="G254" s="722"/>
      <c r="H254" s="287"/>
      <c r="I254" s="65"/>
      <c r="J254" s="61" t="s">
        <v>340</v>
      </c>
      <c r="K254" s="62" t="s">
        <v>168</v>
      </c>
      <c r="L254" s="73"/>
      <c r="M254" s="34"/>
      <c r="N254" s="31"/>
      <c r="O254" s="34"/>
      <c r="P254" s="31"/>
      <c r="Q254" s="34"/>
      <c r="R254" s="31"/>
      <c r="S254" s="34"/>
      <c r="T254" s="31"/>
      <c r="U254" s="34"/>
      <c r="V254" s="31"/>
      <c r="W254" s="34"/>
      <c r="X254" s="31"/>
      <c r="Y254" s="34"/>
      <c r="Z254" s="31"/>
      <c r="AA254" s="34"/>
      <c r="AB254" s="31"/>
      <c r="AC254" s="34"/>
      <c r="AD254" s="31"/>
      <c r="AE254" s="34"/>
      <c r="AF254" s="31"/>
      <c r="AG254" s="34"/>
      <c r="AH254" s="21"/>
      <c r="AI254" s="21"/>
      <c r="AJ254" s="21"/>
      <c r="AK254" s="21"/>
      <c r="AL254" s="21"/>
      <c r="AM254" s="21"/>
      <c r="AN254" s="21"/>
      <c r="AO254" s="21"/>
      <c r="AP254" s="21"/>
      <c r="AQ254" s="21"/>
      <c r="AR254" s="21"/>
      <c r="AS254" s="21"/>
      <c r="AT254" s="21"/>
      <c r="AU254" s="21"/>
      <c r="AV254" s="21"/>
      <c r="AW254" s="21"/>
      <c r="AX254" s="21"/>
      <c r="AY254" s="21"/>
      <c r="AZ254" s="21"/>
      <c r="BA254" s="21"/>
    </row>
    <row r="255" spans="1:53" ht="20" customHeight="1" x14ac:dyDescent="0.2">
      <c r="A255" s="678"/>
      <c r="B255" s="725"/>
      <c r="C255" s="722"/>
      <c r="D255" s="722" t="s">
        <v>85</v>
      </c>
      <c r="E255" s="723" t="s">
        <v>115</v>
      </c>
      <c r="F255" s="723" t="s">
        <v>116</v>
      </c>
      <c r="G255" s="722">
        <v>2001</v>
      </c>
      <c r="H255" s="287">
        <v>143</v>
      </c>
      <c r="I255" s="65">
        <v>6</v>
      </c>
      <c r="J255" s="61" t="s">
        <v>213</v>
      </c>
      <c r="K255" s="30" t="s">
        <v>192</v>
      </c>
      <c r="L255" s="73"/>
      <c r="M255" s="34" t="str">
        <f t="shared" si="98"/>
        <v/>
      </c>
      <c r="N255" s="31"/>
      <c r="O255" s="34" t="str">
        <f t="shared" si="99"/>
        <v/>
      </c>
      <c r="P255" s="31"/>
      <c r="Q255" s="34" t="str">
        <f t="shared" si="100"/>
        <v/>
      </c>
      <c r="R255" s="31"/>
      <c r="S255" s="34" t="str">
        <f t="shared" si="101"/>
        <v/>
      </c>
      <c r="T255" s="31"/>
      <c r="U255" s="34" t="str">
        <f t="shared" si="102"/>
        <v/>
      </c>
      <c r="V255" s="31"/>
      <c r="W255" s="34" t="str">
        <f t="shared" si="103"/>
        <v/>
      </c>
      <c r="X255" s="31"/>
      <c r="Y255" s="34" t="str">
        <f t="shared" si="110"/>
        <v/>
      </c>
      <c r="Z255" s="31"/>
      <c r="AA255" s="34" t="str">
        <f t="shared" si="111"/>
        <v/>
      </c>
      <c r="AB255" s="31"/>
      <c r="AC255" s="34" t="str">
        <f t="shared" si="87"/>
        <v/>
      </c>
      <c r="AD255" s="31"/>
      <c r="AE255" s="34" t="str">
        <f t="shared" si="88"/>
        <v/>
      </c>
      <c r="AF255" s="31"/>
      <c r="AG255" s="34" t="str">
        <f t="shared" si="89"/>
        <v/>
      </c>
      <c r="AH255" s="21" t="s">
        <v>214</v>
      </c>
      <c r="AI255" s="21"/>
      <c r="AJ255" s="21"/>
      <c r="AK255" s="21"/>
      <c r="AL255" s="21"/>
      <c r="AM255" s="21"/>
      <c r="AN255" s="21"/>
      <c r="AO255" s="21"/>
      <c r="AP255" s="21"/>
      <c r="AQ255" s="21"/>
      <c r="AR255" s="21"/>
      <c r="AS255" s="21"/>
      <c r="AT255" s="21"/>
      <c r="AU255" s="21"/>
      <c r="AV255" s="21"/>
      <c r="AW255" s="21"/>
      <c r="AX255" s="21"/>
      <c r="AY255" s="21"/>
      <c r="AZ255" s="21"/>
      <c r="BA255" s="21"/>
    </row>
    <row r="256" spans="1:53" ht="20" customHeight="1" x14ac:dyDescent="0.2">
      <c r="A256" s="678"/>
      <c r="B256" s="725"/>
      <c r="C256" s="255"/>
      <c r="D256" s="722" t="s">
        <v>85</v>
      </c>
      <c r="E256" s="723" t="s">
        <v>119</v>
      </c>
      <c r="F256" s="723" t="s">
        <v>120</v>
      </c>
      <c r="G256" s="722">
        <v>2003</v>
      </c>
      <c r="H256" s="287">
        <v>45</v>
      </c>
      <c r="I256" s="65">
        <v>16</v>
      </c>
      <c r="J256" s="61" t="s">
        <v>175</v>
      </c>
      <c r="K256" s="30" t="s">
        <v>416</v>
      </c>
      <c r="L256" s="73"/>
      <c r="M256" s="34" t="str">
        <f t="shared" ref="M256:M268" si="112">IF((ISERROR((L256/$I256)*100)), "", IF(AND(NOT(ISERROR((L256/$I256)*100)),((L256/$I256)*100) &lt;&gt; 0), (L256/$I256)*100, ""))</f>
        <v/>
      </c>
      <c r="N256" s="31"/>
      <c r="O256" s="34" t="str">
        <f t="shared" ref="O256:O268" si="113">IF((ISERROR((N256/$I256)*100)), "", IF(AND(NOT(ISERROR((N256/$I256)*100)),((N256/$I256)*100) &lt;&gt; 0), (N256/$I256)*100, ""))</f>
        <v/>
      </c>
      <c r="P256" s="31"/>
      <c r="Q256" s="34" t="str">
        <f t="shared" ref="Q256:Q268" si="114">IF((ISERROR((P256/$I256)*100)), "", IF(AND(NOT(ISERROR((P256/$I256)*100)),((P256/$I256)*100) &lt;&gt; 0), (P256/$I256)*100, ""))</f>
        <v/>
      </c>
      <c r="R256" s="31"/>
      <c r="S256" s="34" t="str">
        <f t="shared" ref="S256:S268" si="115">IF((ISERROR((R256/$I256)*100)), "", IF(AND(NOT(ISERROR((R256/$I256)*100)),((R256/$I256)*100) &lt;&gt; 0), (R256/$I256)*100, ""))</f>
        <v/>
      </c>
      <c r="T256" s="31"/>
      <c r="U256" s="34" t="str">
        <f t="shared" ref="U256:U268" si="116">IF((ISERROR((T256/$I256)*100)), "", IF(AND(NOT(ISERROR((T256/$I256)*100)),((T256/$I256)*100) &lt;&gt; 0), (T256/$I256)*100, ""))</f>
        <v/>
      </c>
      <c r="V256" s="31"/>
      <c r="W256" s="34" t="str">
        <f t="shared" ref="W256:W268" si="117">IF((ISERROR((V256/$I256)*100)), "", IF(AND(NOT(ISERROR((V256/$I256)*100)),((V256/$I256)*100) &lt;&gt; 0), (V256/$I256)*100, ""))</f>
        <v/>
      </c>
      <c r="X256" s="31"/>
      <c r="Y256" s="34" t="str">
        <f>IF((ISERROR((X256/$I256)*100)), "", IF(AND(NOT(ISERROR((X256/$I256)*100)),((X256/$I256)*100) &lt;&gt; 0), (X256/$I256)*100, ""))</f>
        <v/>
      </c>
      <c r="Z256" s="31"/>
      <c r="AA256" s="34" t="str">
        <f t="shared" si="111"/>
        <v/>
      </c>
      <c r="AB256" s="31"/>
      <c r="AC256" s="34" t="str">
        <f t="shared" ref="AC256:AC285" si="118">IF((ISERROR((AB256/$I256)*100)), "", IF(AND(NOT(ISERROR((AB256/$I256)*100)),((AB256/$I256)*100) &lt;&gt; 0), (AB256/$I256)*100, ""))</f>
        <v/>
      </c>
      <c r="AD256" s="31"/>
      <c r="AE256" s="34" t="str">
        <f t="shared" ref="AE256:AE285" si="119">IF((ISERROR((AD256/$I256)*100)), "", IF(AND(NOT(ISERROR((AD256/$I256)*100)),((AD256/$I256)*100) &lt;&gt; 0), (AD256/$I256)*100, ""))</f>
        <v/>
      </c>
      <c r="AF256" s="31"/>
      <c r="AG256" s="34" t="str">
        <f t="shared" ref="AG256:AG285" si="120">IF((ISERROR((AF256/$I256)*100)), "", IF(AND(NOT(ISERROR((AF256/$I256)*100)),((AF256/$I256)*100) &lt;&gt; 0), (AF256/$I256)*100, ""))</f>
        <v/>
      </c>
      <c r="AH256" s="21" t="s">
        <v>404</v>
      </c>
      <c r="AI256" s="21"/>
      <c r="AJ256" s="21"/>
      <c r="AK256" s="21"/>
      <c r="AL256" s="21"/>
      <c r="AM256" s="21"/>
      <c r="AN256" s="21"/>
      <c r="AO256" s="21"/>
      <c r="AP256" s="21"/>
      <c r="AQ256" s="21"/>
      <c r="AR256" s="21"/>
      <c r="AS256" s="21"/>
      <c r="AT256" s="21"/>
      <c r="AU256" s="21"/>
      <c r="AV256" s="21"/>
      <c r="AW256" s="21"/>
      <c r="AX256" s="21"/>
      <c r="AY256" s="21"/>
      <c r="AZ256" s="21"/>
      <c r="BA256" s="21"/>
    </row>
    <row r="257" spans="1:53" ht="20" customHeight="1" x14ac:dyDescent="0.2">
      <c r="A257" s="678"/>
      <c r="B257" s="725"/>
      <c r="C257" s="253"/>
      <c r="D257" s="722" t="s">
        <v>85</v>
      </c>
      <c r="E257" s="723" t="s">
        <v>121</v>
      </c>
      <c r="F257" s="723" t="s">
        <v>122</v>
      </c>
      <c r="G257" s="722">
        <v>2002</v>
      </c>
      <c r="H257" s="287">
        <v>73</v>
      </c>
      <c r="I257" s="65">
        <v>49</v>
      </c>
      <c r="J257" s="61" t="s">
        <v>197</v>
      </c>
      <c r="K257" s="30"/>
      <c r="L257" s="73"/>
      <c r="M257" s="34" t="str">
        <f t="shared" si="112"/>
        <v/>
      </c>
      <c r="N257" s="31"/>
      <c r="O257" s="34" t="str">
        <f t="shared" si="113"/>
        <v/>
      </c>
      <c r="P257" s="31"/>
      <c r="Q257" s="34" t="str">
        <f t="shared" si="114"/>
        <v/>
      </c>
      <c r="R257" s="31"/>
      <c r="S257" s="34" t="str">
        <f t="shared" si="115"/>
        <v/>
      </c>
      <c r="T257" s="31"/>
      <c r="U257" s="34" t="str">
        <f t="shared" si="116"/>
        <v/>
      </c>
      <c r="V257" s="31"/>
      <c r="W257" s="34" t="str">
        <f t="shared" si="117"/>
        <v/>
      </c>
      <c r="X257" s="31"/>
      <c r="Y257" s="34" t="str">
        <f t="shared" ref="Y257:Y263" si="121">IF((ISERROR((X257/$I257)*100)), "", IF(AND(NOT(ISERROR((X257/$I257)*100)),((X257/$I257)*100) &lt;&gt; 0), (X257/$I257)*100, ""))</f>
        <v/>
      </c>
      <c r="Z257" s="31"/>
      <c r="AA257" s="34" t="str">
        <f t="shared" si="111"/>
        <v/>
      </c>
      <c r="AB257" s="31"/>
      <c r="AC257" s="34" t="str">
        <f t="shared" si="118"/>
        <v/>
      </c>
      <c r="AD257" s="31"/>
      <c r="AE257" s="34" t="str">
        <f t="shared" si="119"/>
        <v/>
      </c>
      <c r="AF257" s="31"/>
      <c r="AG257" s="34" t="str">
        <f t="shared" si="120"/>
        <v/>
      </c>
      <c r="AH257" s="21" t="s">
        <v>180</v>
      </c>
      <c r="AI257" s="21"/>
      <c r="AJ257" s="21"/>
      <c r="AK257" s="21"/>
      <c r="AL257" s="21"/>
      <c r="AM257" s="21"/>
      <c r="AN257" s="21"/>
      <c r="AO257" s="21"/>
      <c r="AP257" s="21"/>
      <c r="AQ257" s="21"/>
      <c r="AR257" s="21"/>
      <c r="AS257" s="21"/>
      <c r="AT257" s="21"/>
      <c r="AU257" s="21"/>
      <c r="AV257" s="21"/>
      <c r="AW257" s="21"/>
      <c r="AX257" s="21"/>
      <c r="AY257" s="21"/>
      <c r="AZ257" s="21"/>
      <c r="BA257" s="21"/>
    </row>
    <row r="258" spans="1:53" ht="20" customHeight="1" x14ac:dyDescent="0.2">
      <c r="A258" s="678"/>
      <c r="B258" s="725"/>
      <c r="C258" s="255"/>
      <c r="D258" s="722" t="s">
        <v>85</v>
      </c>
      <c r="E258" s="723" t="s">
        <v>304</v>
      </c>
      <c r="F258" s="723" t="s">
        <v>305</v>
      </c>
      <c r="G258" s="722">
        <v>2015</v>
      </c>
      <c r="H258" s="287"/>
      <c r="I258" s="65">
        <v>5</v>
      </c>
      <c r="J258" s="61" t="s">
        <v>210</v>
      </c>
      <c r="K258" s="30" t="s">
        <v>187</v>
      </c>
      <c r="L258" s="73">
        <v>1</v>
      </c>
      <c r="M258" s="34">
        <f t="shared" si="112"/>
        <v>20</v>
      </c>
      <c r="N258" s="31"/>
      <c r="O258" s="34" t="str">
        <f t="shared" si="113"/>
        <v/>
      </c>
      <c r="P258" s="31"/>
      <c r="Q258" s="34" t="str">
        <f t="shared" si="114"/>
        <v/>
      </c>
      <c r="R258" s="31"/>
      <c r="S258" s="34" t="str">
        <f t="shared" si="115"/>
        <v/>
      </c>
      <c r="T258" s="31"/>
      <c r="U258" s="34" t="str">
        <f t="shared" si="116"/>
        <v/>
      </c>
      <c r="V258" s="31"/>
      <c r="W258" s="34" t="str">
        <f t="shared" si="117"/>
        <v/>
      </c>
      <c r="X258" s="31"/>
      <c r="Y258" s="34" t="str">
        <f>IF((ISERROR((X258/$I258)*100)), "", IF(AND(NOT(ISERROR((X258/$I258)*100)),((X258/$I258)*100) &lt;&gt; 0), (X258/$I258)*100, ""))</f>
        <v/>
      </c>
      <c r="Z258" s="31"/>
      <c r="AA258" s="34" t="str">
        <f t="shared" si="111"/>
        <v/>
      </c>
      <c r="AB258" s="31"/>
      <c r="AC258" s="34" t="str">
        <f t="shared" si="118"/>
        <v/>
      </c>
      <c r="AD258" s="31"/>
      <c r="AE258" s="34" t="str">
        <f t="shared" si="119"/>
        <v/>
      </c>
      <c r="AF258" s="31"/>
      <c r="AG258" s="34" t="str">
        <f t="shared" si="120"/>
        <v/>
      </c>
      <c r="AH258" s="21" t="s">
        <v>417</v>
      </c>
      <c r="AI258" s="21"/>
      <c r="AJ258" s="21"/>
      <c r="AK258" s="21"/>
      <c r="AL258" s="21"/>
      <c r="AM258" s="21"/>
      <c r="AN258" s="21"/>
      <c r="AO258" s="21"/>
      <c r="AP258" s="21"/>
      <c r="AQ258" s="21"/>
      <c r="AR258" s="21"/>
      <c r="AS258" s="21"/>
      <c r="AT258" s="21"/>
      <c r="AU258" s="21"/>
      <c r="AV258" s="21"/>
      <c r="AW258" s="21"/>
      <c r="AX258" s="21"/>
      <c r="AY258" s="21"/>
      <c r="AZ258" s="21"/>
      <c r="BA258" s="21"/>
    </row>
    <row r="259" spans="1:53" ht="20" customHeight="1" x14ac:dyDescent="0.2">
      <c r="A259" s="680"/>
      <c r="B259" s="721"/>
      <c r="C259" s="722"/>
      <c r="D259" s="722" t="s">
        <v>85</v>
      </c>
      <c r="E259" s="723" t="s">
        <v>679</v>
      </c>
      <c r="F259" s="723" t="s">
        <v>680</v>
      </c>
      <c r="G259" s="722">
        <v>1991</v>
      </c>
      <c r="H259" s="287"/>
      <c r="I259" s="65"/>
      <c r="J259" s="61" t="s">
        <v>175</v>
      </c>
      <c r="K259" s="62" t="s">
        <v>209</v>
      </c>
      <c r="L259" s="73"/>
      <c r="M259" s="34"/>
      <c r="N259" s="31"/>
      <c r="O259" s="34"/>
      <c r="P259" s="31"/>
      <c r="Q259" s="34"/>
      <c r="R259" s="31"/>
      <c r="S259" s="34"/>
      <c r="T259" s="31"/>
      <c r="U259" s="34"/>
      <c r="V259" s="31"/>
      <c r="W259" s="34"/>
      <c r="X259" s="31"/>
      <c r="Y259" s="34"/>
      <c r="Z259" s="31"/>
      <c r="AA259" s="34"/>
      <c r="AB259" s="31"/>
      <c r="AC259" s="34"/>
      <c r="AD259" s="31"/>
      <c r="AE259" s="34"/>
      <c r="AF259" s="31"/>
      <c r="AG259" s="34"/>
      <c r="AH259" s="21"/>
      <c r="AI259" s="21"/>
      <c r="AJ259" s="21"/>
      <c r="AK259" s="21"/>
      <c r="AL259" s="21"/>
      <c r="AM259" s="21"/>
      <c r="AN259" s="21"/>
      <c r="AO259" s="21"/>
      <c r="AP259" s="21"/>
      <c r="AQ259" s="21"/>
      <c r="AR259" s="21"/>
      <c r="AS259" s="21"/>
      <c r="AT259" s="21"/>
      <c r="AU259" s="21"/>
      <c r="AV259" s="21"/>
      <c r="AW259" s="21"/>
      <c r="AX259" s="21"/>
      <c r="AY259" s="21"/>
      <c r="AZ259" s="21"/>
      <c r="BA259" s="21"/>
    </row>
    <row r="260" spans="1:53" ht="20" customHeight="1" x14ac:dyDescent="0.2">
      <c r="A260" s="678"/>
      <c r="B260" s="725"/>
      <c r="C260" s="253"/>
      <c r="D260" s="722" t="s">
        <v>85</v>
      </c>
      <c r="E260" s="723" t="s">
        <v>306</v>
      </c>
      <c r="F260" s="723" t="s">
        <v>307</v>
      </c>
      <c r="G260" s="722">
        <v>2008</v>
      </c>
      <c r="H260" s="287"/>
      <c r="I260" s="65">
        <v>86</v>
      </c>
      <c r="J260" s="61" t="s">
        <v>175</v>
      </c>
      <c r="K260" s="30"/>
      <c r="L260" s="73"/>
      <c r="M260" s="34" t="str">
        <f t="shared" si="112"/>
        <v/>
      </c>
      <c r="N260" s="31"/>
      <c r="O260" s="34" t="str">
        <f t="shared" si="113"/>
        <v/>
      </c>
      <c r="P260" s="31"/>
      <c r="Q260" s="34" t="str">
        <f t="shared" si="114"/>
        <v/>
      </c>
      <c r="R260" s="31"/>
      <c r="S260" s="34" t="str">
        <f t="shared" si="115"/>
        <v/>
      </c>
      <c r="T260" s="31"/>
      <c r="U260" s="34" t="str">
        <f t="shared" si="116"/>
        <v/>
      </c>
      <c r="V260" s="31"/>
      <c r="W260" s="34" t="str">
        <f t="shared" si="117"/>
        <v/>
      </c>
      <c r="X260" s="31"/>
      <c r="Y260" s="34" t="str">
        <f>IF((ISERROR((X260/$I260)*100)), "", IF(AND(NOT(ISERROR((X260/$I260)*100)),((X260/$I260)*100) &lt;&gt; 0), (X260/$I260)*100, ""))</f>
        <v/>
      </c>
      <c r="Z260" s="31"/>
      <c r="AA260" s="34" t="str">
        <f t="shared" si="111"/>
        <v/>
      </c>
      <c r="AB260" s="31"/>
      <c r="AC260" s="34" t="str">
        <f t="shared" si="118"/>
        <v/>
      </c>
      <c r="AD260" s="31"/>
      <c r="AE260" s="34" t="str">
        <f t="shared" si="119"/>
        <v/>
      </c>
      <c r="AF260" s="31"/>
      <c r="AG260" s="34" t="str">
        <f t="shared" si="120"/>
        <v/>
      </c>
      <c r="AH260" s="21" t="s">
        <v>364</v>
      </c>
      <c r="AI260" s="21"/>
      <c r="AJ260" s="21"/>
      <c r="AK260" s="21"/>
      <c r="AL260" s="21"/>
      <c r="AM260" s="21"/>
      <c r="AN260" s="21"/>
      <c r="AO260" s="21"/>
      <c r="AP260" s="21"/>
      <c r="AQ260" s="21"/>
      <c r="AR260" s="21"/>
      <c r="AS260" s="21"/>
      <c r="AT260" s="21"/>
      <c r="AU260" s="21"/>
      <c r="AV260" s="21"/>
      <c r="AW260" s="21"/>
      <c r="AX260" s="21"/>
      <c r="AY260" s="21"/>
      <c r="AZ260" s="21"/>
      <c r="BA260" s="21"/>
    </row>
    <row r="261" spans="1:53" ht="20" customHeight="1" x14ac:dyDescent="0.2">
      <c r="A261" s="678"/>
      <c r="B261" s="725"/>
      <c r="C261" s="253"/>
      <c r="D261" s="722" t="s">
        <v>85</v>
      </c>
      <c r="E261" s="723" t="s">
        <v>308</v>
      </c>
      <c r="F261" s="723" t="s">
        <v>309</v>
      </c>
      <c r="G261" s="722">
        <v>2012</v>
      </c>
      <c r="H261" s="287"/>
      <c r="I261" s="65"/>
      <c r="J261" s="61" t="s">
        <v>365</v>
      </c>
      <c r="K261" s="30" t="s">
        <v>209</v>
      </c>
      <c r="L261" s="73"/>
      <c r="M261" s="34" t="str">
        <f t="shared" si="112"/>
        <v/>
      </c>
      <c r="N261" s="31"/>
      <c r="O261" s="34" t="str">
        <f t="shared" si="113"/>
        <v/>
      </c>
      <c r="P261" s="31"/>
      <c r="Q261" s="34" t="str">
        <f t="shared" si="114"/>
        <v/>
      </c>
      <c r="R261" s="31"/>
      <c r="S261" s="34" t="str">
        <f t="shared" si="115"/>
        <v/>
      </c>
      <c r="T261" s="31"/>
      <c r="U261" s="34" t="str">
        <f t="shared" si="116"/>
        <v/>
      </c>
      <c r="V261" s="31"/>
      <c r="W261" s="34" t="str">
        <f t="shared" si="117"/>
        <v/>
      </c>
      <c r="X261" s="31"/>
      <c r="Y261" s="34" t="str">
        <f>IF((ISERROR((X261/$I261)*100)), "", IF(AND(NOT(ISERROR((X261/$I261)*100)),((X261/$I261)*100) &lt;&gt; 0), (X261/$I261)*100, ""))</f>
        <v/>
      </c>
      <c r="Z261" s="31"/>
      <c r="AA261" s="34" t="str">
        <f t="shared" ref="AA261:AA264" si="122">IF((ISERROR((Z261/$I261)*100)), "", IF(AND(NOT(ISERROR((Z261/$I261)*100)),((Z261/$I261)*100) &lt;&gt; 0), (Z261/$I261)*100, ""))</f>
        <v/>
      </c>
      <c r="AB261" s="31"/>
      <c r="AC261" s="34" t="str">
        <f t="shared" si="118"/>
        <v/>
      </c>
      <c r="AD261" s="31"/>
      <c r="AE261" s="34" t="str">
        <f t="shared" si="119"/>
        <v/>
      </c>
      <c r="AF261" s="31"/>
      <c r="AG261" s="34" t="str">
        <f t="shared" si="120"/>
        <v/>
      </c>
      <c r="AH261" s="21"/>
      <c r="AI261" s="21"/>
      <c r="AJ261" s="21"/>
      <c r="AK261" s="21"/>
      <c r="AL261" s="21"/>
      <c r="AM261" s="21"/>
      <c r="AN261" s="21"/>
      <c r="AO261" s="21"/>
      <c r="AP261" s="21"/>
      <c r="AQ261" s="21"/>
      <c r="AR261" s="21"/>
      <c r="AS261" s="21"/>
      <c r="AT261" s="21"/>
      <c r="AU261" s="21"/>
      <c r="AV261" s="21"/>
      <c r="AW261" s="21"/>
      <c r="AX261" s="21"/>
      <c r="AY261" s="21"/>
      <c r="AZ261" s="21"/>
      <c r="BA261" s="21"/>
    </row>
    <row r="262" spans="1:53" ht="20" customHeight="1" x14ac:dyDescent="0.2">
      <c r="A262" s="680"/>
      <c r="B262" s="721"/>
      <c r="C262" s="722"/>
      <c r="D262" s="722" t="s">
        <v>85</v>
      </c>
      <c r="E262" s="723" t="s">
        <v>681</v>
      </c>
      <c r="F262" s="723" t="s">
        <v>682</v>
      </c>
      <c r="G262" s="722">
        <v>2012</v>
      </c>
      <c r="H262" s="287"/>
      <c r="I262" s="65"/>
      <c r="J262" s="61" t="s">
        <v>213</v>
      </c>
      <c r="K262" s="62" t="s">
        <v>332</v>
      </c>
      <c r="L262" s="73"/>
      <c r="M262" s="34"/>
      <c r="N262" s="31"/>
      <c r="O262" s="34"/>
      <c r="P262" s="31"/>
      <c r="Q262" s="34"/>
      <c r="R262" s="31"/>
      <c r="S262" s="34"/>
      <c r="T262" s="31"/>
      <c r="U262" s="34"/>
      <c r="V262" s="31"/>
      <c r="W262" s="34"/>
      <c r="X262" s="31"/>
      <c r="Y262" s="34"/>
      <c r="Z262" s="31"/>
      <c r="AA262" s="34"/>
      <c r="AB262" s="31"/>
      <c r="AC262" s="34"/>
      <c r="AD262" s="31"/>
      <c r="AE262" s="34"/>
      <c r="AF262" s="31"/>
      <c r="AG262" s="34"/>
      <c r="AH262" s="21"/>
      <c r="AI262" s="21"/>
      <c r="AJ262" s="21"/>
      <c r="AK262" s="21"/>
      <c r="AL262" s="21"/>
      <c r="AM262" s="21"/>
      <c r="AN262" s="21"/>
      <c r="AO262" s="21"/>
      <c r="AP262" s="21"/>
      <c r="AQ262" s="21"/>
      <c r="AR262" s="21"/>
      <c r="AS262" s="21"/>
      <c r="AT262" s="21"/>
      <c r="AU262" s="21"/>
      <c r="AV262" s="21"/>
      <c r="AW262" s="21"/>
      <c r="AX262" s="21"/>
      <c r="AY262" s="21"/>
      <c r="AZ262" s="21"/>
      <c r="BA262" s="21"/>
    </row>
    <row r="263" spans="1:53" ht="20" customHeight="1" x14ac:dyDescent="0.2">
      <c r="A263" s="678"/>
      <c r="B263" s="721"/>
      <c r="C263" s="722"/>
      <c r="D263" s="727" t="s">
        <v>35</v>
      </c>
      <c r="E263" s="728" t="s">
        <v>123</v>
      </c>
      <c r="F263" s="728" t="s">
        <v>124</v>
      </c>
      <c r="G263" s="727">
        <v>2007</v>
      </c>
      <c r="H263" s="729">
        <v>60</v>
      </c>
      <c r="I263" s="65"/>
      <c r="J263" s="61"/>
      <c r="K263" s="30"/>
      <c r="L263" s="73"/>
      <c r="M263" s="34" t="str">
        <f t="shared" si="112"/>
        <v/>
      </c>
      <c r="N263" s="31"/>
      <c r="O263" s="34" t="str">
        <f t="shared" si="113"/>
        <v/>
      </c>
      <c r="P263" s="31"/>
      <c r="Q263" s="34" t="str">
        <f t="shared" si="114"/>
        <v/>
      </c>
      <c r="R263" s="31"/>
      <c r="S263" s="34" t="str">
        <f t="shared" si="115"/>
        <v/>
      </c>
      <c r="T263" s="31"/>
      <c r="U263" s="34" t="str">
        <f t="shared" si="116"/>
        <v/>
      </c>
      <c r="V263" s="31"/>
      <c r="W263" s="34" t="str">
        <f t="shared" si="117"/>
        <v/>
      </c>
      <c r="X263" s="31"/>
      <c r="Y263" s="34" t="str">
        <f t="shared" si="121"/>
        <v/>
      </c>
      <c r="Z263" s="31"/>
      <c r="AA263" s="34" t="str">
        <f t="shared" si="122"/>
        <v/>
      </c>
      <c r="AB263" s="31"/>
      <c r="AC263" s="34" t="str">
        <f t="shared" si="118"/>
        <v/>
      </c>
      <c r="AD263" s="31"/>
      <c r="AE263" s="34" t="str">
        <f t="shared" si="119"/>
        <v/>
      </c>
      <c r="AF263" s="31"/>
      <c r="AG263" s="34" t="str">
        <f t="shared" si="120"/>
        <v/>
      </c>
      <c r="AH263" s="21" t="s">
        <v>386</v>
      </c>
      <c r="AI263" s="21"/>
      <c r="AJ263" s="21"/>
      <c r="AK263" s="21"/>
      <c r="AL263" s="21"/>
      <c r="AM263" s="21"/>
      <c r="AN263" s="21"/>
      <c r="AO263" s="21"/>
      <c r="AP263" s="21"/>
      <c r="AQ263" s="21"/>
      <c r="AR263" s="21"/>
      <c r="AS263" s="21"/>
      <c r="AT263" s="21"/>
      <c r="AU263" s="21"/>
      <c r="AV263" s="21"/>
      <c r="AW263" s="21"/>
      <c r="AX263" s="21"/>
      <c r="AY263" s="21"/>
      <c r="AZ263" s="21"/>
      <c r="BA263" s="21"/>
    </row>
    <row r="264" spans="1:53" ht="20" customHeight="1" x14ac:dyDescent="0.2">
      <c r="A264" s="678"/>
      <c r="B264" s="721"/>
      <c r="C264" s="722"/>
      <c r="D264" s="722" t="s">
        <v>85</v>
      </c>
      <c r="E264" s="723" t="s">
        <v>127</v>
      </c>
      <c r="F264" s="723" t="s">
        <v>128</v>
      </c>
      <c r="G264" s="722">
        <v>2000</v>
      </c>
      <c r="H264" s="287">
        <v>252</v>
      </c>
      <c r="I264" s="65">
        <v>30</v>
      </c>
      <c r="J264" s="61" t="s">
        <v>217</v>
      </c>
      <c r="K264" s="30" t="s">
        <v>168</v>
      </c>
      <c r="L264" s="73"/>
      <c r="M264" s="34" t="str">
        <f t="shared" si="112"/>
        <v/>
      </c>
      <c r="N264" s="31"/>
      <c r="O264" s="34" t="str">
        <f t="shared" si="113"/>
        <v/>
      </c>
      <c r="P264" s="31"/>
      <c r="Q264" s="34" t="str">
        <f t="shared" si="114"/>
        <v/>
      </c>
      <c r="R264" s="31"/>
      <c r="S264" s="34" t="str">
        <f t="shared" si="115"/>
        <v/>
      </c>
      <c r="T264" s="31"/>
      <c r="U264" s="34" t="str">
        <f t="shared" si="116"/>
        <v/>
      </c>
      <c r="V264" s="31"/>
      <c r="W264" s="34" t="str">
        <f t="shared" si="117"/>
        <v/>
      </c>
      <c r="X264" s="31"/>
      <c r="Y264" s="34" t="str">
        <f>IF((ISERROR((X264/$I264)*100)), "", IF(AND(NOT(ISERROR((X264/$I264)*100)),((X264/$I264)*100) &lt;&gt; 0), (X264/$I264)*100, ""))</f>
        <v/>
      </c>
      <c r="Z264" s="31"/>
      <c r="AA264" s="34" t="str">
        <f t="shared" si="122"/>
        <v/>
      </c>
      <c r="AB264" s="31"/>
      <c r="AC264" s="34" t="str">
        <f t="shared" si="118"/>
        <v/>
      </c>
      <c r="AD264" s="31"/>
      <c r="AE264" s="34" t="str">
        <f t="shared" si="119"/>
        <v/>
      </c>
      <c r="AF264" s="31"/>
      <c r="AG264" s="34" t="str">
        <f t="shared" si="120"/>
        <v/>
      </c>
      <c r="AH264" s="21" t="s">
        <v>418</v>
      </c>
      <c r="AI264" s="21"/>
      <c r="AJ264" s="21"/>
      <c r="AK264" s="21"/>
      <c r="AL264" s="21"/>
      <c r="AM264" s="21"/>
      <c r="AN264" s="21"/>
      <c r="AO264" s="21"/>
      <c r="AP264" s="21"/>
      <c r="AQ264" s="21"/>
      <c r="AR264" s="21"/>
      <c r="AS264" s="21"/>
      <c r="AT264" s="21"/>
      <c r="AU264" s="21"/>
      <c r="AV264" s="21"/>
      <c r="AW264" s="21"/>
      <c r="AX264" s="21"/>
      <c r="AY264" s="21"/>
      <c r="AZ264" s="21"/>
      <c r="BA264" s="21"/>
    </row>
    <row r="265" spans="1:53" ht="20" customHeight="1" x14ac:dyDescent="0.2">
      <c r="A265" s="680"/>
      <c r="B265" s="721"/>
      <c r="C265" s="722"/>
      <c r="D265" s="722" t="s">
        <v>85</v>
      </c>
      <c r="E265" s="723" t="s">
        <v>683</v>
      </c>
      <c r="F265" s="723" t="s">
        <v>684</v>
      </c>
      <c r="G265" s="722">
        <v>2004</v>
      </c>
      <c r="H265" s="287"/>
      <c r="I265" s="65"/>
      <c r="J265" s="61" t="s">
        <v>213</v>
      </c>
      <c r="K265" s="62" t="s">
        <v>192</v>
      </c>
      <c r="L265" s="73"/>
      <c r="M265" s="34"/>
      <c r="N265" s="31"/>
      <c r="O265" s="34"/>
      <c r="P265" s="31"/>
      <c r="Q265" s="34"/>
      <c r="R265" s="31"/>
      <c r="S265" s="34"/>
      <c r="T265" s="31"/>
      <c r="U265" s="34"/>
      <c r="V265" s="31"/>
      <c r="W265" s="34"/>
      <c r="X265" s="31"/>
      <c r="Y265" s="34"/>
      <c r="Z265" s="31"/>
      <c r="AA265" s="34"/>
      <c r="AB265" s="31"/>
      <c r="AC265" s="34"/>
      <c r="AD265" s="31"/>
      <c r="AE265" s="34"/>
      <c r="AF265" s="31"/>
      <c r="AG265" s="34"/>
      <c r="AH265" s="21"/>
      <c r="AI265" s="21"/>
      <c r="AJ265" s="21"/>
      <c r="AK265" s="21"/>
      <c r="AL265" s="21"/>
      <c r="AM265" s="21"/>
      <c r="AN265" s="21"/>
      <c r="AO265" s="21"/>
      <c r="AP265" s="21"/>
      <c r="AQ265" s="21"/>
      <c r="AR265" s="21"/>
      <c r="AS265" s="21"/>
      <c r="AT265" s="21"/>
      <c r="AU265" s="21"/>
      <c r="AV265" s="21"/>
      <c r="AW265" s="21"/>
      <c r="AX265" s="21"/>
      <c r="AY265" s="21"/>
      <c r="AZ265" s="21"/>
      <c r="BA265" s="21"/>
    </row>
    <row r="266" spans="1:53" ht="20" customHeight="1" x14ac:dyDescent="0.2">
      <c r="A266" s="678"/>
      <c r="B266" s="725"/>
      <c r="C266" s="253"/>
      <c r="D266" s="722" t="s">
        <v>85</v>
      </c>
      <c r="E266" s="723" t="s">
        <v>568</v>
      </c>
      <c r="F266" s="723" t="s">
        <v>569</v>
      </c>
      <c r="G266" s="722">
        <v>2010</v>
      </c>
      <c r="H266" s="287"/>
      <c r="I266" s="65">
        <v>15</v>
      </c>
      <c r="J266" s="61" t="s">
        <v>184</v>
      </c>
      <c r="K266" s="62" t="s">
        <v>168</v>
      </c>
      <c r="L266" s="73">
        <v>2</v>
      </c>
      <c r="M266" s="34">
        <f t="shared" si="112"/>
        <v>13.333333333333334</v>
      </c>
      <c r="N266" s="31"/>
      <c r="O266" s="34"/>
      <c r="P266" s="31"/>
      <c r="Q266" s="34"/>
      <c r="R266" s="31"/>
      <c r="S266" s="34"/>
      <c r="T266" s="31">
        <v>1</v>
      </c>
      <c r="U266" s="34">
        <f t="shared" si="116"/>
        <v>6.666666666666667</v>
      </c>
      <c r="V266" s="31">
        <v>2</v>
      </c>
      <c r="W266" s="34">
        <f t="shared" si="117"/>
        <v>13.333333333333334</v>
      </c>
      <c r="X266" s="31"/>
      <c r="Y266" s="34"/>
      <c r="Z266" s="31"/>
      <c r="AA266" s="34"/>
      <c r="AB266" s="31"/>
      <c r="AC266" s="34"/>
      <c r="AD266" s="31"/>
      <c r="AE266" s="34"/>
      <c r="AF266" s="31"/>
      <c r="AG266" s="34"/>
      <c r="AH266" s="21" t="s">
        <v>570</v>
      </c>
      <c r="AI266" s="21"/>
      <c r="AJ266" s="21"/>
      <c r="AK266" s="21"/>
      <c r="AL266" s="21"/>
      <c r="AM266" s="21"/>
      <c r="AN266" s="21"/>
      <c r="AO266" s="21"/>
      <c r="AP266" s="21"/>
      <c r="AQ266" s="21"/>
      <c r="AR266" s="21"/>
      <c r="AS266" s="21"/>
      <c r="AT266" s="21"/>
      <c r="AU266" s="21"/>
      <c r="AV266" s="21"/>
      <c r="AW266" s="21"/>
      <c r="AX266" s="21"/>
      <c r="AY266" s="21"/>
      <c r="AZ266" s="21"/>
      <c r="BA266" s="21"/>
    </row>
    <row r="267" spans="1:53" ht="20" customHeight="1" x14ac:dyDescent="0.2">
      <c r="A267" s="678"/>
      <c r="B267" s="725"/>
      <c r="C267" s="255"/>
      <c r="D267" s="722" t="s">
        <v>85</v>
      </c>
      <c r="E267" s="723" t="s">
        <v>131</v>
      </c>
      <c r="F267" s="723" t="s">
        <v>132</v>
      </c>
      <c r="G267" s="722">
        <v>1998</v>
      </c>
      <c r="H267" s="287">
        <v>213</v>
      </c>
      <c r="I267" s="65">
        <v>6</v>
      </c>
      <c r="J267" s="61" t="s">
        <v>175</v>
      </c>
      <c r="K267" s="30"/>
      <c r="L267" s="73"/>
      <c r="M267" s="34" t="str">
        <f t="shared" si="112"/>
        <v/>
      </c>
      <c r="N267" s="31"/>
      <c r="O267" s="34" t="str">
        <f t="shared" si="113"/>
        <v/>
      </c>
      <c r="P267" s="31"/>
      <c r="Q267" s="34" t="str">
        <f t="shared" si="114"/>
        <v/>
      </c>
      <c r="R267" s="31"/>
      <c r="S267" s="34" t="str">
        <f t="shared" si="115"/>
        <v/>
      </c>
      <c r="T267" s="31"/>
      <c r="U267" s="34" t="str">
        <f t="shared" si="116"/>
        <v/>
      </c>
      <c r="V267" s="31"/>
      <c r="W267" s="34" t="str">
        <f t="shared" si="117"/>
        <v/>
      </c>
      <c r="X267" s="31"/>
      <c r="Y267" s="34" t="str">
        <f t="shared" ref="Y267:Y274" si="123">IF((ISERROR((X267/$I267)*100)), "", IF(AND(NOT(ISERROR((X267/$I267)*100)),((X267/$I267)*100) &lt;&gt; 0), (X267/$I267)*100, ""))</f>
        <v/>
      </c>
      <c r="Z267" s="31"/>
      <c r="AA267" s="34" t="str">
        <f t="shared" ref="AA267:AA285" si="124">IF((ISERROR((Z267/$I267)*100)), "", IF(AND(NOT(ISERROR((Z267/$I267)*100)),((Z267/$I267)*100) &lt;&gt; 0), (Z267/$I267)*100, ""))</f>
        <v/>
      </c>
      <c r="AB267" s="31"/>
      <c r="AC267" s="34" t="str">
        <f t="shared" si="118"/>
        <v/>
      </c>
      <c r="AD267" s="31"/>
      <c r="AE267" s="34" t="str">
        <f t="shared" si="119"/>
        <v/>
      </c>
      <c r="AF267" s="31"/>
      <c r="AG267" s="34" t="str">
        <f t="shared" si="120"/>
        <v/>
      </c>
      <c r="AH267" s="21" t="s">
        <v>218</v>
      </c>
      <c r="AI267" s="21"/>
      <c r="AJ267" s="21"/>
      <c r="AK267" s="21"/>
      <c r="AL267" s="21"/>
      <c r="AM267" s="21"/>
      <c r="AN267" s="21"/>
      <c r="AO267" s="21"/>
      <c r="AP267" s="21"/>
      <c r="AQ267" s="21"/>
      <c r="AR267" s="21"/>
      <c r="AS267" s="21"/>
      <c r="AT267" s="21"/>
      <c r="AU267" s="21"/>
      <c r="AV267" s="21"/>
      <c r="AW267" s="21"/>
      <c r="AX267" s="21"/>
      <c r="AY267" s="21"/>
      <c r="AZ267" s="21"/>
      <c r="BA267" s="21"/>
    </row>
    <row r="268" spans="1:53" ht="20" customHeight="1" x14ac:dyDescent="0.2">
      <c r="A268" s="678"/>
      <c r="B268" s="725"/>
      <c r="C268" s="255"/>
      <c r="D268" s="722" t="s">
        <v>85</v>
      </c>
      <c r="E268" s="723" t="s">
        <v>133</v>
      </c>
      <c r="F268" s="723" t="s">
        <v>134</v>
      </c>
      <c r="G268" s="722">
        <v>2001</v>
      </c>
      <c r="H268" s="287">
        <v>192</v>
      </c>
      <c r="I268" s="65">
        <v>19</v>
      </c>
      <c r="J268" s="61" t="s">
        <v>175</v>
      </c>
      <c r="K268" s="30" t="s">
        <v>168</v>
      </c>
      <c r="L268" s="73"/>
      <c r="M268" s="34" t="str">
        <f t="shared" si="112"/>
        <v/>
      </c>
      <c r="N268" s="31">
        <v>2</v>
      </c>
      <c r="O268" s="34">
        <f t="shared" si="113"/>
        <v>10.526315789473683</v>
      </c>
      <c r="P268" s="31"/>
      <c r="Q268" s="34" t="str">
        <f t="shared" si="114"/>
        <v/>
      </c>
      <c r="R268" s="31"/>
      <c r="S268" s="34" t="str">
        <f t="shared" si="115"/>
        <v/>
      </c>
      <c r="T268" s="31"/>
      <c r="U268" s="34" t="str">
        <f t="shared" si="116"/>
        <v/>
      </c>
      <c r="V268" s="31"/>
      <c r="W268" s="34" t="str">
        <f t="shared" si="117"/>
        <v/>
      </c>
      <c r="X268" s="31"/>
      <c r="Y268" s="34" t="str">
        <f>IF((ISERROR((X268/$I268)*100)), "", IF(AND(NOT(ISERROR((X268/$I268)*100)),((X268/$I268)*100) &lt;&gt; 0), (X268/$I268)*100, ""))</f>
        <v/>
      </c>
      <c r="Z268" s="31"/>
      <c r="AA268" s="34" t="str">
        <f t="shared" si="124"/>
        <v/>
      </c>
      <c r="AB268" s="31"/>
      <c r="AC268" s="34" t="str">
        <f t="shared" si="118"/>
        <v/>
      </c>
      <c r="AD268" s="31"/>
      <c r="AE268" s="34" t="str">
        <f t="shared" si="119"/>
        <v/>
      </c>
      <c r="AF268" s="31"/>
      <c r="AG268" s="34" t="str">
        <f t="shared" si="120"/>
        <v/>
      </c>
      <c r="AH268" s="21" t="s">
        <v>387</v>
      </c>
      <c r="AI268" s="21"/>
      <c r="AJ268" s="21"/>
      <c r="AK268" s="21"/>
      <c r="AL268" s="21"/>
      <c r="AM268" s="21"/>
      <c r="AN268" s="21"/>
      <c r="AO268" s="21"/>
      <c r="AP268" s="21"/>
      <c r="AQ268" s="21"/>
      <c r="AR268" s="21"/>
      <c r="AS268" s="21"/>
      <c r="AT268" s="21"/>
      <c r="AU268" s="21"/>
      <c r="AV268" s="21"/>
      <c r="AW268" s="21"/>
      <c r="AX268" s="21"/>
      <c r="AY268" s="21"/>
      <c r="AZ268" s="21"/>
      <c r="BA268" s="21"/>
    </row>
    <row r="269" spans="1:53" ht="20" customHeight="1" x14ac:dyDescent="0.2">
      <c r="A269" s="680"/>
      <c r="B269" s="721"/>
      <c r="C269" s="722"/>
      <c r="D269" s="722" t="s">
        <v>85</v>
      </c>
      <c r="E269" s="723" t="s">
        <v>685</v>
      </c>
      <c r="F269" s="723" t="s">
        <v>686</v>
      </c>
      <c r="G269" s="722">
        <v>2003</v>
      </c>
      <c r="H269" s="287"/>
      <c r="I269" s="65"/>
      <c r="J269" s="61" t="s">
        <v>175</v>
      </c>
      <c r="K269" s="62" t="s">
        <v>168</v>
      </c>
      <c r="L269" s="73"/>
      <c r="M269" s="34"/>
      <c r="N269" s="31"/>
      <c r="O269" s="34"/>
      <c r="P269" s="31"/>
      <c r="Q269" s="34"/>
      <c r="R269" s="31"/>
      <c r="S269" s="34"/>
      <c r="T269" s="31"/>
      <c r="U269" s="34"/>
      <c r="V269" s="31"/>
      <c r="W269" s="34"/>
      <c r="X269" s="31"/>
      <c r="Y269" s="34"/>
      <c r="Z269" s="31"/>
      <c r="AA269" s="34"/>
      <c r="AB269" s="31"/>
      <c r="AC269" s="34"/>
      <c r="AD269" s="31"/>
      <c r="AE269" s="34"/>
      <c r="AF269" s="31"/>
      <c r="AG269" s="34"/>
      <c r="AH269" s="21"/>
      <c r="AI269" s="21"/>
      <c r="AJ269" s="21"/>
      <c r="AK269" s="21"/>
      <c r="AL269" s="21"/>
      <c r="AM269" s="21"/>
      <c r="AN269" s="21"/>
      <c r="AO269" s="21"/>
      <c r="AP269" s="21"/>
      <c r="AQ269" s="21"/>
      <c r="AR269" s="21"/>
      <c r="AS269" s="21"/>
      <c r="AT269" s="21"/>
      <c r="AU269" s="21"/>
      <c r="AV269" s="21"/>
      <c r="AW269" s="21"/>
      <c r="AX269" s="21"/>
      <c r="AY269" s="21"/>
      <c r="AZ269" s="21"/>
      <c r="BA269" s="21"/>
    </row>
    <row r="270" spans="1:53" ht="20" customHeight="1" x14ac:dyDescent="0.2">
      <c r="A270" s="680"/>
      <c r="B270" s="721"/>
      <c r="C270" s="722"/>
      <c r="D270" s="722" t="s">
        <v>85</v>
      </c>
      <c r="E270" s="723" t="s">
        <v>687</v>
      </c>
      <c r="F270" s="723" t="s">
        <v>688</v>
      </c>
      <c r="G270" s="722">
        <v>2006</v>
      </c>
      <c r="H270" s="287"/>
      <c r="I270" s="65"/>
      <c r="J270" s="61" t="s">
        <v>664</v>
      </c>
      <c r="K270" s="62" t="s">
        <v>189</v>
      </c>
      <c r="L270" s="73"/>
      <c r="M270" s="34"/>
      <c r="N270" s="31"/>
      <c r="O270" s="34"/>
      <c r="P270" s="31"/>
      <c r="Q270" s="34"/>
      <c r="R270" s="31"/>
      <c r="S270" s="34"/>
      <c r="T270" s="31"/>
      <c r="U270" s="34"/>
      <c r="V270" s="31"/>
      <c r="W270" s="34"/>
      <c r="X270" s="31"/>
      <c r="Y270" s="34"/>
      <c r="Z270" s="31"/>
      <c r="AA270" s="34"/>
      <c r="AB270" s="31"/>
      <c r="AC270" s="34"/>
      <c r="AD270" s="31"/>
      <c r="AE270" s="34"/>
      <c r="AF270" s="31"/>
      <c r="AG270" s="34"/>
      <c r="AH270" s="21"/>
      <c r="AI270" s="21"/>
      <c r="AJ270" s="21"/>
      <c r="AK270" s="21"/>
      <c r="AL270" s="21"/>
      <c r="AM270" s="21"/>
      <c r="AN270" s="21"/>
      <c r="AO270" s="21"/>
      <c r="AP270" s="21"/>
      <c r="AQ270" s="21"/>
      <c r="AR270" s="21"/>
      <c r="AS270" s="21"/>
      <c r="AT270" s="21"/>
      <c r="AU270" s="21"/>
      <c r="AV270" s="21"/>
      <c r="AW270" s="21"/>
      <c r="AX270" s="21"/>
      <c r="AY270" s="21"/>
      <c r="AZ270" s="21"/>
      <c r="BA270" s="21"/>
    </row>
    <row r="271" spans="1:53" ht="20" customHeight="1" x14ac:dyDescent="0.2">
      <c r="A271" s="680"/>
      <c r="B271" s="721"/>
      <c r="C271" s="722"/>
      <c r="D271" s="722" t="s">
        <v>85</v>
      </c>
      <c r="E271" s="723" t="s">
        <v>689</v>
      </c>
      <c r="F271" s="723" t="s">
        <v>690</v>
      </c>
      <c r="G271" s="722">
        <v>2003</v>
      </c>
      <c r="H271" s="287"/>
      <c r="I271" s="65"/>
      <c r="J271" s="61"/>
      <c r="K271" s="62"/>
      <c r="L271" s="73"/>
      <c r="M271" s="34"/>
      <c r="N271" s="31"/>
      <c r="O271" s="34"/>
      <c r="P271" s="31"/>
      <c r="Q271" s="34"/>
      <c r="R271" s="31"/>
      <c r="S271" s="34"/>
      <c r="T271" s="31"/>
      <c r="U271" s="34"/>
      <c r="V271" s="31"/>
      <c r="W271" s="34"/>
      <c r="X271" s="31"/>
      <c r="Y271" s="34"/>
      <c r="Z271" s="31"/>
      <c r="AA271" s="34"/>
      <c r="AB271" s="31"/>
      <c r="AC271" s="34"/>
      <c r="AD271" s="31"/>
      <c r="AE271" s="34"/>
      <c r="AF271" s="31"/>
      <c r="AG271" s="34"/>
      <c r="AH271" s="21"/>
      <c r="AI271" s="21"/>
      <c r="AJ271" s="21"/>
      <c r="AK271" s="21"/>
      <c r="AL271" s="21"/>
      <c r="AM271" s="21"/>
      <c r="AN271" s="21"/>
      <c r="AO271" s="21"/>
      <c r="AP271" s="21"/>
      <c r="AQ271" s="21"/>
      <c r="AR271" s="21"/>
      <c r="AS271" s="21"/>
      <c r="AT271" s="21"/>
      <c r="AU271" s="21"/>
      <c r="AV271" s="21"/>
      <c r="AW271" s="21"/>
      <c r="AX271" s="21"/>
      <c r="AY271" s="21"/>
      <c r="AZ271" s="21"/>
      <c r="BA271" s="21"/>
    </row>
    <row r="272" spans="1:53" ht="20" customHeight="1" x14ac:dyDescent="0.2">
      <c r="A272" s="678"/>
      <c r="B272" s="725"/>
      <c r="C272" s="253"/>
      <c r="D272" s="722" t="s">
        <v>85</v>
      </c>
      <c r="E272" s="723" t="s">
        <v>151</v>
      </c>
      <c r="F272" s="723" t="s">
        <v>150</v>
      </c>
      <c r="G272" s="722">
        <v>1999</v>
      </c>
      <c r="H272" s="287">
        <v>9</v>
      </c>
      <c r="I272" s="65">
        <v>30</v>
      </c>
      <c r="J272" s="61" t="s">
        <v>420</v>
      </c>
      <c r="K272" s="30" t="s">
        <v>219</v>
      </c>
      <c r="L272" s="73"/>
      <c r="M272" s="34"/>
      <c r="N272" s="31"/>
      <c r="O272" s="34"/>
      <c r="P272" s="31"/>
      <c r="Q272" s="34"/>
      <c r="R272" s="31"/>
      <c r="S272" s="34"/>
      <c r="T272" s="31"/>
      <c r="U272" s="34"/>
      <c r="V272" s="31"/>
      <c r="W272" s="34"/>
      <c r="X272" s="31"/>
      <c r="Y272" s="34"/>
      <c r="Z272" s="31"/>
      <c r="AA272" s="34"/>
      <c r="AB272" s="31"/>
      <c r="AC272" s="34"/>
      <c r="AD272" s="31"/>
      <c r="AE272" s="34"/>
      <c r="AF272" s="31"/>
      <c r="AG272" s="34"/>
      <c r="AH272" s="21" t="s">
        <v>388</v>
      </c>
      <c r="AI272" s="21"/>
      <c r="AJ272" s="21"/>
      <c r="AK272" s="21"/>
      <c r="AL272" s="21"/>
      <c r="AM272" s="21"/>
      <c r="AN272" s="21"/>
      <c r="AO272" s="21"/>
      <c r="AP272" s="21"/>
      <c r="AQ272" s="21"/>
      <c r="AR272" s="21"/>
      <c r="AS272" s="21"/>
      <c r="AT272" s="21"/>
      <c r="AU272" s="21"/>
      <c r="AV272" s="21"/>
      <c r="AW272" s="21"/>
      <c r="AX272" s="21"/>
      <c r="AY272" s="21"/>
      <c r="AZ272" s="21"/>
      <c r="BA272" s="21"/>
    </row>
    <row r="273" spans="1:53" ht="20" customHeight="1" x14ac:dyDescent="0.2">
      <c r="A273" s="678"/>
      <c r="B273" s="725"/>
      <c r="C273" s="255"/>
      <c r="D273" s="722" t="s">
        <v>85</v>
      </c>
      <c r="E273" s="723" t="s">
        <v>135</v>
      </c>
      <c r="F273" s="723" t="s">
        <v>136</v>
      </c>
      <c r="G273" s="722">
        <v>2007</v>
      </c>
      <c r="H273" s="287">
        <v>240</v>
      </c>
      <c r="I273" s="65">
        <v>53</v>
      </c>
      <c r="J273" s="61" t="s">
        <v>220</v>
      </c>
      <c r="K273" s="30" t="s">
        <v>168</v>
      </c>
      <c r="L273" s="73"/>
      <c r="M273" s="34" t="str">
        <f t="shared" ref="M273:M285" si="125">IF((ISERROR((L273/$I273)*100)), "", IF(AND(NOT(ISERROR((L273/$I273)*100)),((L273/$I273)*100) &lt;&gt; 0), (L273/$I273)*100, ""))</f>
        <v/>
      </c>
      <c r="N273" s="31">
        <v>3</v>
      </c>
      <c r="O273" s="34">
        <f t="shared" ref="O273:O285" si="126">IF((ISERROR((N273/$I273)*100)), "", IF(AND(NOT(ISERROR((N273/$I273)*100)),((N273/$I273)*100) &lt;&gt; 0), (N273/$I273)*100, ""))</f>
        <v>5.6603773584905666</v>
      </c>
      <c r="P273" s="31"/>
      <c r="Q273" s="34" t="str">
        <f t="shared" ref="Q273:Q285" si="127">IF((ISERROR((P273/$I273)*100)), "", IF(AND(NOT(ISERROR((P273/$I273)*100)),((P273/$I273)*100) &lt;&gt; 0), (P273/$I273)*100, ""))</f>
        <v/>
      </c>
      <c r="R273" s="31"/>
      <c r="S273" s="34" t="str">
        <f t="shared" ref="S273:S285" si="128">IF((ISERROR((R273/$I273)*100)), "", IF(AND(NOT(ISERROR((R273/$I273)*100)),((R273/$I273)*100) &lt;&gt; 0), (R273/$I273)*100, ""))</f>
        <v/>
      </c>
      <c r="T273" s="31"/>
      <c r="U273" s="34" t="str">
        <f t="shared" ref="U273:U285" si="129">IF((ISERROR((T273/$I273)*100)), "", IF(AND(NOT(ISERROR((T273/$I273)*100)),((T273/$I273)*100) &lt;&gt; 0), (T273/$I273)*100, ""))</f>
        <v/>
      </c>
      <c r="V273" s="31">
        <v>2</v>
      </c>
      <c r="W273" s="34">
        <f t="shared" ref="W273:W285" si="130">IF((ISERROR((V273/$I273)*100)), "", IF(AND(NOT(ISERROR((V273/$I273)*100)),((V273/$I273)*100) &lt;&gt; 0), (V273/$I273)*100, ""))</f>
        <v>3.7735849056603774</v>
      </c>
      <c r="X273" s="31"/>
      <c r="Y273" s="34" t="str">
        <f>IF((ISERROR((X273/$I273)*100)), "", IF(AND(NOT(ISERROR((X273/$I273)*100)),((X273/$I273)*100) &lt;&gt; 0), (X273/$I273)*100, ""))</f>
        <v/>
      </c>
      <c r="Z273" s="31"/>
      <c r="AA273" s="34" t="str">
        <f t="shared" si="124"/>
        <v/>
      </c>
      <c r="AB273" s="31"/>
      <c r="AC273" s="34" t="str">
        <f t="shared" si="118"/>
        <v/>
      </c>
      <c r="AD273" s="31">
        <v>3</v>
      </c>
      <c r="AE273" s="34">
        <f t="shared" si="119"/>
        <v>5.6603773584905666</v>
      </c>
      <c r="AF273" s="31"/>
      <c r="AG273" s="34" t="str">
        <f t="shared" si="120"/>
        <v/>
      </c>
      <c r="AH273" s="21" t="s">
        <v>586</v>
      </c>
      <c r="AI273" s="21"/>
      <c r="AJ273" s="21"/>
      <c r="AK273" s="21"/>
      <c r="AL273" s="21"/>
      <c r="AM273" s="21"/>
      <c r="AN273" s="21"/>
      <c r="AO273" s="21"/>
      <c r="AP273" s="21"/>
      <c r="AQ273" s="21"/>
      <c r="AR273" s="21"/>
      <c r="AS273" s="21"/>
      <c r="AT273" s="21"/>
      <c r="AU273" s="21"/>
      <c r="AV273" s="21"/>
      <c r="AW273" s="21"/>
      <c r="AX273" s="21"/>
      <c r="AY273" s="21"/>
      <c r="AZ273" s="21"/>
      <c r="BA273" s="21"/>
    </row>
    <row r="274" spans="1:53" ht="20" customHeight="1" x14ac:dyDescent="0.2">
      <c r="A274" s="678"/>
      <c r="B274" s="725"/>
      <c r="C274" s="255"/>
      <c r="D274" s="722" t="s">
        <v>85</v>
      </c>
      <c r="E274" s="723" t="s">
        <v>137</v>
      </c>
      <c r="F274" s="723" t="s">
        <v>138</v>
      </c>
      <c r="G274" s="722">
        <v>2011</v>
      </c>
      <c r="H274" s="287">
        <v>42</v>
      </c>
      <c r="I274" s="65">
        <v>51</v>
      </c>
      <c r="J274" s="61" t="s">
        <v>221</v>
      </c>
      <c r="K274" s="30" t="s">
        <v>222</v>
      </c>
      <c r="L274" s="73"/>
      <c r="M274" s="34" t="str">
        <f t="shared" si="125"/>
        <v/>
      </c>
      <c r="N274" s="36">
        <v>21</v>
      </c>
      <c r="O274" s="37">
        <f t="shared" si="126"/>
        <v>41.17647058823529</v>
      </c>
      <c r="P274" s="31"/>
      <c r="Q274" s="34" t="str">
        <f t="shared" si="127"/>
        <v/>
      </c>
      <c r="R274" s="31"/>
      <c r="S274" s="34" t="str">
        <f t="shared" si="128"/>
        <v/>
      </c>
      <c r="T274" s="31"/>
      <c r="U274" s="34" t="str">
        <f t="shared" si="129"/>
        <v/>
      </c>
      <c r="V274" s="31"/>
      <c r="W274" s="34" t="str">
        <f t="shared" si="130"/>
        <v/>
      </c>
      <c r="X274" s="31"/>
      <c r="Y274" s="34" t="str">
        <f t="shared" si="123"/>
        <v/>
      </c>
      <c r="Z274" s="36">
        <v>1</v>
      </c>
      <c r="AA274" s="37">
        <f t="shared" si="124"/>
        <v>1.9607843137254901</v>
      </c>
      <c r="AB274" s="31"/>
      <c r="AC274" s="34" t="str">
        <f t="shared" si="118"/>
        <v/>
      </c>
      <c r="AD274" s="31"/>
      <c r="AE274" s="34" t="str">
        <f t="shared" si="119"/>
        <v/>
      </c>
      <c r="AF274" s="31"/>
      <c r="AG274" s="34" t="str">
        <f t="shared" si="120"/>
        <v/>
      </c>
      <c r="AH274" s="21" t="s">
        <v>389</v>
      </c>
      <c r="AI274" s="21"/>
      <c r="AJ274" s="21"/>
      <c r="AK274" s="21"/>
      <c r="AL274" s="21"/>
      <c r="AM274" s="21"/>
      <c r="AN274" s="21"/>
      <c r="AO274" s="21"/>
      <c r="AP274" s="21"/>
      <c r="AQ274" s="21"/>
      <c r="AR274" s="21"/>
      <c r="AS274" s="21"/>
      <c r="AT274" s="21"/>
      <c r="AU274" s="21"/>
      <c r="AV274" s="21"/>
      <c r="AW274" s="21"/>
      <c r="AX274" s="21"/>
      <c r="AY274" s="21"/>
      <c r="AZ274" s="21"/>
      <c r="BA274" s="21"/>
    </row>
    <row r="275" spans="1:53" ht="20" customHeight="1" x14ac:dyDescent="0.2">
      <c r="A275" s="678"/>
      <c r="B275" s="725"/>
      <c r="C275" s="255"/>
      <c r="D275" s="722" t="s">
        <v>85</v>
      </c>
      <c r="E275" s="723" t="s">
        <v>310</v>
      </c>
      <c r="F275" s="723" t="s">
        <v>311</v>
      </c>
      <c r="G275" s="722">
        <v>2010</v>
      </c>
      <c r="H275" s="287"/>
      <c r="I275" s="65">
        <v>53</v>
      </c>
      <c r="J275" s="78" t="s">
        <v>366</v>
      </c>
      <c r="K275" s="30" t="s">
        <v>405</v>
      </c>
      <c r="L275" s="73"/>
      <c r="M275" s="34" t="str">
        <f t="shared" si="125"/>
        <v/>
      </c>
      <c r="N275" s="31">
        <v>2</v>
      </c>
      <c r="O275" s="34">
        <f t="shared" si="126"/>
        <v>3.7735849056603774</v>
      </c>
      <c r="P275" s="31"/>
      <c r="Q275" s="34" t="str">
        <f t="shared" si="127"/>
        <v/>
      </c>
      <c r="R275" s="31">
        <v>3</v>
      </c>
      <c r="S275" s="34">
        <f t="shared" si="128"/>
        <v>5.6603773584905666</v>
      </c>
      <c r="T275" s="31"/>
      <c r="U275" s="34" t="str">
        <f t="shared" si="129"/>
        <v/>
      </c>
      <c r="V275" s="31">
        <v>9</v>
      </c>
      <c r="W275" s="34">
        <f t="shared" si="130"/>
        <v>16.981132075471699</v>
      </c>
      <c r="X275" s="31"/>
      <c r="Y275" s="34" t="str">
        <f>IF((ISERROR((X275/$I275)*100)), "", IF(AND(NOT(ISERROR((X275/$I275)*100)),((X275/$I275)*100) &lt;&gt; 0), (X275/$I275)*100, ""))</f>
        <v/>
      </c>
      <c r="Z275" s="31">
        <v>2</v>
      </c>
      <c r="AA275" s="34">
        <f t="shared" si="124"/>
        <v>3.7735849056603774</v>
      </c>
      <c r="AB275" s="31"/>
      <c r="AC275" s="34" t="str">
        <f t="shared" si="118"/>
        <v/>
      </c>
      <c r="AD275" s="31"/>
      <c r="AE275" s="34" t="str">
        <f t="shared" si="119"/>
        <v/>
      </c>
      <c r="AF275" s="31"/>
      <c r="AG275" s="34" t="str">
        <f t="shared" si="120"/>
        <v/>
      </c>
      <c r="AH275" s="21" t="s">
        <v>367</v>
      </c>
      <c r="AI275" s="21"/>
      <c r="AJ275" s="21"/>
      <c r="AK275" s="21"/>
      <c r="AL275" s="21"/>
      <c r="AM275" s="21"/>
      <c r="AN275" s="21"/>
      <c r="AO275" s="21"/>
      <c r="AP275" s="21"/>
      <c r="AQ275" s="21"/>
      <c r="AR275" s="21"/>
      <c r="AS275" s="21"/>
      <c r="AT275" s="21"/>
      <c r="AU275" s="21"/>
      <c r="AV275" s="21"/>
      <c r="AW275" s="21"/>
      <c r="AX275" s="21"/>
      <c r="AY275" s="21"/>
      <c r="AZ275" s="21"/>
      <c r="BA275" s="21"/>
    </row>
    <row r="276" spans="1:53" ht="20" customHeight="1" x14ac:dyDescent="0.2">
      <c r="A276" s="678"/>
      <c r="B276" s="725"/>
      <c r="C276" s="255"/>
      <c r="D276" s="722" t="s">
        <v>85</v>
      </c>
      <c r="E276" s="723" t="s">
        <v>312</v>
      </c>
      <c r="F276" s="723" t="s">
        <v>313</v>
      </c>
      <c r="G276" s="722">
        <v>2014</v>
      </c>
      <c r="H276" s="287"/>
      <c r="I276" s="65">
        <v>39</v>
      </c>
      <c r="J276" s="61" t="s">
        <v>210</v>
      </c>
      <c r="K276" s="30" t="s">
        <v>368</v>
      </c>
      <c r="L276" s="73"/>
      <c r="M276" s="34" t="str">
        <f t="shared" si="125"/>
        <v/>
      </c>
      <c r="N276" s="31"/>
      <c r="O276" s="34" t="str">
        <f t="shared" si="126"/>
        <v/>
      </c>
      <c r="P276" s="31"/>
      <c r="Q276" s="34" t="str">
        <f t="shared" si="127"/>
        <v/>
      </c>
      <c r="R276" s="31"/>
      <c r="S276" s="34" t="str">
        <f t="shared" si="128"/>
        <v/>
      </c>
      <c r="T276" s="31"/>
      <c r="U276" s="34" t="str">
        <f t="shared" si="129"/>
        <v/>
      </c>
      <c r="V276" s="31"/>
      <c r="W276" s="34" t="str">
        <f t="shared" si="130"/>
        <v/>
      </c>
      <c r="X276" s="31">
        <v>1</v>
      </c>
      <c r="Y276" s="34">
        <f>IF((ISERROR((X276/$I276)*100)), "", IF(AND(NOT(ISERROR((X276/$I276)*100)),((X276/$I276)*100) &lt;&gt; 0), (X276/$I276)*100, ""))</f>
        <v>2.5641025641025639</v>
      </c>
      <c r="Z276" s="31"/>
      <c r="AA276" s="34" t="str">
        <f t="shared" si="124"/>
        <v/>
      </c>
      <c r="AB276" s="31"/>
      <c r="AC276" s="34" t="str">
        <f t="shared" si="118"/>
        <v/>
      </c>
      <c r="AD276" s="31"/>
      <c r="AE276" s="34" t="str">
        <f t="shared" si="119"/>
        <v/>
      </c>
      <c r="AF276" s="31"/>
      <c r="AG276" s="34" t="str">
        <f t="shared" si="120"/>
        <v/>
      </c>
      <c r="AH276" s="21" t="s">
        <v>406</v>
      </c>
      <c r="AI276" s="21"/>
      <c r="AJ276" s="21"/>
      <c r="AK276" s="21"/>
      <c r="AL276" s="21"/>
      <c r="AM276" s="21"/>
      <c r="AN276" s="21"/>
      <c r="AO276" s="21"/>
      <c r="AP276" s="21"/>
      <c r="AQ276" s="21"/>
      <c r="AR276" s="21"/>
      <c r="AS276" s="21"/>
      <c r="AT276" s="21"/>
      <c r="AU276" s="21"/>
      <c r="AV276" s="21"/>
      <c r="AW276" s="21"/>
      <c r="AX276" s="21"/>
      <c r="AY276" s="21"/>
      <c r="AZ276" s="21"/>
      <c r="BA276" s="21"/>
    </row>
    <row r="277" spans="1:53" ht="20" customHeight="1" x14ac:dyDescent="0.2">
      <c r="A277" s="678"/>
      <c r="B277" s="725"/>
      <c r="C277" s="255"/>
      <c r="D277" s="722" t="s">
        <v>85</v>
      </c>
      <c r="E277" s="723" t="s">
        <v>314</v>
      </c>
      <c r="F277" s="723" t="s">
        <v>315</v>
      </c>
      <c r="G277" s="722">
        <v>2010</v>
      </c>
      <c r="H277" s="287"/>
      <c r="I277" s="65">
        <v>789</v>
      </c>
      <c r="J277" s="61" t="s">
        <v>210</v>
      </c>
      <c r="K277" s="30" t="s">
        <v>370</v>
      </c>
      <c r="L277" s="73">
        <v>43</v>
      </c>
      <c r="M277" s="34">
        <f t="shared" si="125"/>
        <v>5.4499366286438535</v>
      </c>
      <c r="N277" s="31"/>
      <c r="O277" s="34" t="str">
        <f t="shared" si="126"/>
        <v/>
      </c>
      <c r="P277" s="31"/>
      <c r="Q277" s="34" t="str">
        <f t="shared" si="127"/>
        <v/>
      </c>
      <c r="R277" s="31"/>
      <c r="S277" s="34" t="str">
        <f t="shared" si="128"/>
        <v/>
      </c>
      <c r="T277" s="31"/>
      <c r="U277" s="34" t="str">
        <f t="shared" si="129"/>
        <v/>
      </c>
      <c r="V277" s="31"/>
      <c r="W277" s="34" t="str">
        <f t="shared" si="130"/>
        <v/>
      </c>
      <c r="X277" s="31"/>
      <c r="Y277" s="34" t="str">
        <f>IF((ISERROR((X277/$I277)*100)), "", IF(AND(NOT(ISERROR((X277/$I277)*100)),((X277/$I277)*100) &lt;&gt; 0), (X277/$I277)*100, ""))</f>
        <v/>
      </c>
      <c r="Z277" s="31"/>
      <c r="AA277" s="34" t="str">
        <f t="shared" si="124"/>
        <v/>
      </c>
      <c r="AB277" s="31"/>
      <c r="AC277" s="34" t="str">
        <f t="shared" si="118"/>
        <v/>
      </c>
      <c r="AD277" s="31"/>
      <c r="AE277" s="34" t="str">
        <f t="shared" si="119"/>
        <v/>
      </c>
      <c r="AF277" s="31"/>
      <c r="AG277" s="34" t="str">
        <f t="shared" si="120"/>
        <v/>
      </c>
      <c r="AH277" s="21" t="s">
        <v>369</v>
      </c>
      <c r="AI277" s="21"/>
      <c r="AJ277" s="21"/>
      <c r="AK277" s="21"/>
      <c r="AL277" s="21"/>
      <c r="AM277" s="21"/>
      <c r="AN277" s="21"/>
      <c r="AO277" s="21"/>
      <c r="AP277" s="21"/>
      <c r="AQ277" s="21"/>
      <c r="AR277" s="21"/>
      <c r="AS277" s="21"/>
      <c r="AT277" s="21"/>
      <c r="AU277" s="21"/>
      <c r="AV277" s="21"/>
      <c r="AW277" s="21"/>
      <c r="AX277" s="21"/>
      <c r="AY277" s="21"/>
      <c r="AZ277" s="21"/>
      <c r="BA277" s="21"/>
    </row>
    <row r="278" spans="1:53" ht="20" customHeight="1" x14ac:dyDescent="0.2">
      <c r="A278" s="680"/>
      <c r="B278" s="721"/>
      <c r="C278" s="722"/>
      <c r="D278" s="722" t="s">
        <v>85</v>
      </c>
      <c r="E278" s="723" t="s">
        <v>694</v>
      </c>
      <c r="F278" s="723" t="s">
        <v>695</v>
      </c>
      <c r="G278" s="722">
        <v>2007</v>
      </c>
      <c r="H278" s="287"/>
      <c r="I278" s="65">
        <v>171</v>
      </c>
      <c r="J278" s="61"/>
      <c r="K278" s="62" t="s">
        <v>209</v>
      </c>
      <c r="L278" s="73"/>
      <c r="M278" s="34"/>
      <c r="N278" s="31"/>
      <c r="O278" s="34"/>
      <c r="P278" s="31"/>
      <c r="Q278" s="34"/>
      <c r="R278" s="31"/>
      <c r="S278" s="34"/>
      <c r="T278" s="31"/>
      <c r="U278" s="34"/>
      <c r="V278" s="31"/>
      <c r="W278" s="34"/>
      <c r="X278" s="31"/>
      <c r="Y278" s="34"/>
      <c r="Z278" s="31"/>
      <c r="AA278" s="34"/>
      <c r="AB278" s="31"/>
      <c r="AC278" s="34"/>
      <c r="AD278" s="31"/>
      <c r="AE278" s="34"/>
      <c r="AF278" s="31"/>
      <c r="AG278" s="34"/>
      <c r="AH278" s="21"/>
      <c r="AI278" s="21"/>
      <c r="AJ278" s="21"/>
      <c r="AK278" s="21"/>
      <c r="AL278" s="21"/>
      <c r="AM278" s="21"/>
      <c r="AN278" s="21"/>
      <c r="AO278" s="21"/>
      <c r="AP278" s="21"/>
      <c r="AQ278" s="21"/>
      <c r="AR278" s="21"/>
      <c r="AS278" s="21"/>
      <c r="AT278" s="21"/>
      <c r="AU278" s="21"/>
      <c r="AV278" s="21"/>
      <c r="AW278" s="21"/>
      <c r="AX278" s="21"/>
      <c r="AY278" s="21"/>
      <c r="AZ278" s="21"/>
      <c r="BA278" s="21"/>
    </row>
    <row r="279" spans="1:53" ht="20" customHeight="1" x14ac:dyDescent="0.2">
      <c r="A279" s="678"/>
      <c r="B279" s="725"/>
      <c r="C279" s="253"/>
      <c r="D279" s="730" t="s">
        <v>374</v>
      </c>
      <c r="E279" s="723" t="s">
        <v>316</v>
      </c>
      <c r="F279" s="723" t="s">
        <v>317</v>
      </c>
      <c r="G279" s="722">
        <v>2016</v>
      </c>
      <c r="H279" s="287"/>
      <c r="I279" s="65">
        <v>16</v>
      </c>
      <c r="J279" s="61" t="s">
        <v>372</v>
      </c>
      <c r="K279" s="57" t="s">
        <v>373</v>
      </c>
      <c r="L279" s="73"/>
      <c r="M279" s="34" t="str">
        <f t="shared" si="125"/>
        <v/>
      </c>
      <c r="N279" s="31"/>
      <c r="O279" s="34" t="str">
        <f t="shared" si="126"/>
        <v/>
      </c>
      <c r="P279" s="31"/>
      <c r="Q279" s="34" t="str">
        <f t="shared" si="127"/>
        <v/>
      </c>
      <c r="R279" s="31"/>
      <c r="S279" s="34" t="str">
        <f t="shared" si="128"/>
        <v/>
      </c>
      <c r="T279" s="31"/>
      <c r="U279" s="34" t="str">
        <f t="shared" si="129"/>
        <v/>
      </c>
      <c r="V279" s="31"/>
      <c r="W279" s="34" t="str">
        <f t="shared" si="130"/>
        <v/>
      </c>
      <c r="X279" s="31"/>
      <c r="Y279" s="34" t="str">
        <f t="shared" ref="Y279:Y281" si="131">IF((ISERROR((X279/$I279)*100)), "", IF(AND(NOT(ISERROR((X279/$I279)*100)),((X279/$I279)*100) &lt;&gt; 0), (X279/$I279)*100, ""))</f>
        <v/>
      </c>
      <c r="Z279" s="31"/>
      <c r="AA279" s="34" t="str">
        <f t="shared" si="124"/>
        <v/>
      </c>
      <c r="AB279" s="31"/>
      <c r="AC279" s="34" t="str">
        <f t="shared" si="118"/>
        <v/>
      </c>
      <c r="AD279" s="31"/>
      <c r="AE279" s="34" t="str">
        <f t="shared" si="119"/>
        <v/>
      </c>
      <c r="AF279" s="31"/>
      <c r="AG279" s="34" t="str">
        <f t="shared" si="120"/>
        <v/>
      </c>
      <c r="AH279" s="21" t="s">
        <v>375</v>
      </c>
      <c r="AI279" s="21"/>
      <c r="AJ279" s="21"/>
      <c r="AK279" s="21"/>
      <c r="AL279" s="21"/>
      <c r="AM279" s="21"/>
      <c r="AN279" s="21"/>
      <c r="AO279" s="21"/>
      <c r="AP279" s="21"/>
      <c r="AQ279" s="21"/>
      <c r="AR279" s="21"/>
      <c r="AS279" s="21"/>
      <c r="AT279" s="21"/>
      <c r="AU279" s="21"/>
      <c r="AV279" s="21"/>
      <c r="AW279" s="21"/>
      <c r="AX279" s="21"/>
      <c r="AY279" s="21"/>
      <c r="AZ279" s="21"/>
      <c r="BA279" s="21"/>
    </row>
    <row r="280" spans="1:53" ht="20" customHeight="1" x14ac:dyDescent="0.2">
      <c r="A280" s="678"/>
      <c r="B280" s="725"/>
      <c r="C280" s="255"/>
      <c r="D280" s="731" t="s">
        <v>376</v>
      </c>
      <c r="E280" s="728" t="s">
        <v>139</v>
      </c>
      <c r="F280" s="728" t="s">
        <v>140</v>
      </c>
      <c r="G280" s="727">
        <v>2005</v>
      </c>
      <c r="H280" s="729">
        <v>21</v>
      </c>
      <c r="I280" s="65"/>
      <c r="J280" s="61" t="s">
        <v>224</v>
      </c>
      <c r="K280" s="30"/>
      <c r="L280" s="73"/>
      <c r="M280" s="34" t="str">
        <f t="shared" si="125"/>
        <v/>
      </c>
      <c r="N280" s="31"/>
      <c r="O280" s="34" t="str">
        <f t="shared" si="126"/>
        <v/>
      </c>
      <c r="P280" s="31"/>
      <c r="Q280" s="34" t="str">
        <f t="shared" si="127"/>
        <v/>
      </c>
      <c r="R280" s="31"/>
      <c r="S280" s="34" t="str">
        <f t="shared" si="128"/>
        <v/>
      </c>
      <c r="T280" s="31"/>
      <c r="U280" s="34" t="str">
        <f t="shared" si="129"/>
        <v/>
      </c>
      <c r="V280" s="31"/>
      <c r="W280" s="34" t="str">
        <f t="shared" si="130"/>
        <v/>
      </c>
      <c r="X280" s="31"/>
      <c r="Y280" s="34" t="str">
        <f t="shared" si="131"/>
        <v/>
      </c>
      <c r="Z280" s="31"/>
      <c r="AA280" s="34" t="str">
        <f t="shared" si="124"/>
        <v/>
      </c>
      <c r="AB280" s="31"/>
      <c r="AC280" s="34" t="str">
        <f t="shared" si="118"/>
        <v/>
      </c>
      <c r="AD280" s="36">
        <v>5</v>
      </c>
      <c r="AE280" s="37" t="str">
        <f t="shared" si="119"/>
        <v/>
      </c>
      <c r="AF280" s="31"/>
      <c r="AG280" s="34" t="str">
        <f t="shared" si="120"/>
        <v/>
      </c>
      <c r="AH280" s="21" t="s">
        <v>225</v>
      </c>
      <c r="AI280" s="21"/>
      <c r="AJ280" s="21"/>
      <c r="AK280" s="21"/>
      <c r="AL280" s="21"/>
      <c r="AM280" s="21"/>
      <c r="AN280" s="21"/>
      <c r="AO280" s="21"/>
      <c r="AP280" s="21"/>
      <c r="AQ280" s="21"/>
      <c r="AR280" s="21"/>
      <c r="AS280" s="21"/>
      <c r="AT280" s="21"/>
      <c r="AU280" s="21"/>
      <c r="AV280" s="21"/>
      <c r="AW280" s="21"/>
      <c r="AX280" s="21"/>
      <c r="AY280" s="21"/>
      <c r="AZ280" s="21"/>
      <c r="BA280" s="21"/>
    </row>
    <row r="281" spans="1:53" ht="20" customHeight="1" x14ac:dyDescent="0.2">
      <c r="A281" s="678"/>
      <c r="B281" s="721"/>
      <c r="C281" s="722"/>
      <c r="D281" s="722" t="s">
        <v>35</v>
      </c>
      <c r="E281" s="723" t="s">
        <v>141</v>
      </c>
      <c r="F281" s="723" t="s">
        <v>142</v>
      </c>
      <c r="G281" s="722">
        <v>2015</v>
      </c>
      <c r="H281" s="287">
        <v>1</v>
      </c>
      <c r="I281" s="65">
        <v>119</v>
      </c>
      <c r="J281" s="61"/>
      <c r="K281" s="30"/>
      <c r="L281" s="73"/>
      <c r="M281" s="34" t="str">
        <f t="shared" si="125"/>
        <v/>
      </c>
      <c r="N281" s="31"/>
      <c r="O281" s="34" t="str">
        <f t="shared" si="126"/>
        <v/>
      </c>
      <c r="P281" s="31"/>
      <c r="Q281" s="34" t="str">
        <f t="shared" si="127"/>
        <v/>
      </c>
      <c r="R281" s="31"/>
      <c r="S281" s="34" t="str">
        <f t="shared" si="128"/>
        <v/>
      </c>
      <c r="T281" s="31"/>
      <c r="U281" s="34" t="str">
        <f t="shared" si="129"/>
        <v/>
      </c>
      <c r="V281" s="31"/>
      <c r="W281" s="34" t="str">
        <f t="shared" si="130"/>
        <v/>
      </c>
      <c r="X281" s="31"/>
      <c r="Y281" s="34" t="str">
        <f t="shared" si="131"/>
        <v/>
      </c>
      <c r="Z281" s="31"/>
      <c r="AA281" s="34" t="str">
        <f t="shared" si="124"/>
        <v/>
      </c>
      <c r="AB281" s="31"/>
      <c r="AC281" s="34" t="str">
        <f t="shared" si="118"/>
        <v/>
      </c>
      <c r="AD281" s="31"/>
      <c r="AE281" s="34" t="str">
        <f t="shared" si="119"/>
        <v/>
      </c>
      <c r="AF281" s="31"/>
      <c r="AG281" s="34" t="str">
        <f t="shared" si="120"/>
        <v/>
      </c>
      <c r="AH281" s="21" t="s">
        <v>226</v>
      </c>
      <c r="AI281" s="21"/>
      <c r="AJ281" s="21"/>
      <c r="AK281" s="21"/>
      <c r="AL281" s="21"/>
      <c r="AM281" s="21"/>
      <c r="AN281" s="21"/>
      <c r="AO281" s="21"/>
      <c r="AP281" s="21"/>
      <c r="AQ281" s="21"/>
      <c r="AR281" s="21"/>
      <c r="AS281" s="21"/>
      <c r="AT281" s="21"/>
      <c r="AU281" s="21"/>
      <c r="AV281" s="21"/>
      <c r="AW281" s="21"/>
      <c r="AX281" s="21"/>
      <c r="AY281" s="21"/>
      <c r="AZ281" s="21"/>
      <c r="BA281" s="21"/>
    </row>
    <row r="282" spans="1:53" ht="20" customHeight="1" x14ac:dyDescent="0.2">
      <c r="A282" s="678"/>
      <c r="B282" s="725"/>
      <c r="C282" s="253"/>
      <c r="D282" s="722" t="s">
        <v>85</v>
      </c>
      <c r="E282" s="723" t="s">
        <v>143</v>
      </c>
      <c r="F282" s="723" t="s">
        <v>144</v>
      </c>
      <c r="G282" s="722">
        <v>2008</v>
      </c>
      <c r="H282" s="287">
        <v>156</v>
      </c>
      <c r="I282" s="65">
        <v>50</v>
      </c>
      <c r="J282" s="61" t="s">
        <v>175</v>
      </c>
      <c r="K282" s="30"/>
      <c r="L282" s="73"/>
      <c r="M282" s="34" t="str">
        <f t="shared" si="125"/>
        <v/>
      </c>
      <c r="N282" s="31"/>
      <c r="O282" s="34" t="str">
        <f t="shared" si="126"/>
        <v/>
      </c>
      <c r="P282" s="31"/>
      <c r="Q282" s="34" t="str">
        <f t="shared" si="127"/>
        <v/>
      </c>
      <c r="R282" s="31"/>
      <c r="S282" s="34" t="str">
        <f t="shared" si="128"/>
        <v/>
      </c>
      <c r="T282" s="31"/>
      <c r="U282" s="34" t="str">
        <f t="shared" si="129"/>
        <v/>
      </c>
      <c r="V282" s="31"/>
      <c r="W282" s="34" t="str">
        <f t="shared" si="130"/>
        <v/>
      </c>
      <c r="X282" s="31"/>
      <c r="Y282" s="34" t="str">
        <f>IF((ISERROR((X282/$I282)*100)), "", IF(AND(NOT(ISERROR((X282/$I282)*100)),((X282/$I282)*100) &lt;&gt; 0), (X282/$I282)*100, ""))</f>
        <v/>
      </c>
      <c r="Z282" s="31"/>
      <c r="AA282" s="34" t="str">
        <f t="shared" si="124"/>
        <v/>
      </c>
      <c r="AB282" s="31"/>
      <c r="AC282" s="34" t="str">
        <f t="shared" si="118"/>
        <v/>
      </c>
      <c r="AD282" s="31"/>
      <c r="AE282" s="34" t="str">
        <f t="shared" si="119"/>
        <v/>
      </c>
      <c r="AF282" s="31"/>
      <c r="AG282" s="34" t="str">
        <f t="shared" si="120"/>
        <v/>
      </c>
      <c r="AH282" s="21" t="s">
        <v>588</v>
      </c>
      <c r="AI282" s="21"/>
      <c r="AJ282" s="21"/>
      <c r="AK282" s="21"/>
      <c r="AL282" s="21"/>
      <c r="AM282" s="21"/>
      <c r="AN282" s="21"/>
      <c r="AO282" s="21"/>
      <c r="AP282" s="21"/>
      <c r="AQ282" s="21"/>
      <c r="AR282" s="21"/>
      <c r="AS282" s="21"/>
      <c r="AT282" s="21"/>
      <c r="AU282" s="21"/>
      <c r="AV282" s="21"/>
      <c r="AW282" s="21"/>
      <c r="AX282" s="21"/>
      <c r="AY282" s="21"/>
      <c r="AZ282" s="21"/>
      <c r="BA282" s="21"/>
    </row>
    <row r="283" spans="1:53" ht="20" customHeight="1" x14ac:dyDescent="0.2">
      <c r="A283" s="680"/>
      <c r="B283" s="721"/>
      <c r="C283" s="722"/>
      <c r="D283" s="722" t="s">
        <v>85</v>
      </c>
      <c r="E283" s="723" t="s">
        <v>696</v>
      </c>
      <c r="F283" s="723" t="s">
        <v>697</v>
      </c>
      <c r="G283" s="722">
        <v>2006</v>
      </c>
      <c r="H283" s="287"/>
      <c r="I283" s="65">
        <v>27</v>
      </c>
      <c r="J283" s="61" t="s">
        <v>175</v>
      </c>
      <c r="K283" s="62" t="s">
        <v>702</v>
      </c>
      <c r="L283" s="74"/>
      <c r="M283" s="54"/>
      <c r="N283" s="53"/>
      <c r="O283" s="54"/>
      <c r="P283" s="53"/>
      <c r="Q283" s="54"/>
      <c r="R283" s="53"/>
      <c r="S283" s="54"/>
      <c r="T283" s="53"/>
      <c r="U283" s="54"/>
      <c r="V283" s="53"/>
      <c r="W283" s="54"/>
      <c r="X283" s="53"/>
      <c r="Y283" s="54"/>
      <c r="Z283" s="53"/>
      <c r="AA283" s="54"/>
      <c r="AB283" s="53"/>
      <c r="AC283" s="54"/>
      <c r="AD283" s="53"/>
      <c r="AE283" s="54"/>
      <c r="AF283" s="53"/>
      <c r="AG283" s="54"/>
      <c r="AH283" s="21"/>
      <c r="AI283" s="21"/>
      <c r="AJ283" s="21"/>
      <c r="AK283" s="21"/>
      <c r="AL283" s="21"/>
      <c r="AM283" s="21"/>
      <c r="AN283" s="21"/>
      <c r="AO283" s="21"/>
      <c r="AP283" s="21"/>
      <c r="AQ283" s="21"/>
      <c r="AR283" s="21"/>
      <c r="AS283" s="21"/>
      <c r="AT283" s="21"/>
      <c r="AU283" s="21"/>
      <c r="AV283" s="21"/>
      <c r="AW283" s="21"/>
      <c r="AX283" s="21"/>
      <c r="AY283" s="21"/>
      <c r="AZ283" s="21"/>
      <c r="BA283" s="21"/>
    </row>
    <row r="284" spans="1:53" ht="20" customHeight="1" x14ac:dyDescent="0.2">
      <c r="A284" s="678"/>
      <c r="B284" s="725"/>
      <c r="C284" s="253"/>
      <c r="D284" s="722" t="s">
        <v>85</v>
      </c>
      <c r="E284" s="723" t="s">
        <v>318</v>
      </c>
      <c r="F284" s="723" t="s">
        <v>319</v>
      </c>
      <c r="G284" s="722">
        <v>2009</v>
      </c>
      <c r="H284" s="287"/>
      <c r="I284" s="65">
        <v>12</v>
      </c>
      <c r="J284" s="61" t="s">
        <v>213</v>
      </c>
      <c r="K284" s="30" t="s">
        <v>191</v>
      </c>
      <c r="L284" s="74"/>
      <c r="M284" s="54" t="str">
        <f t="shared" si="125"/>
        <v/>
      </c>
      <c r="N284" s="53"/>
      <c r="O284" s="54" t="str">
        <f t="shared" si="126"/>
        <v/>
      </c>
      <c r="P284" s="53"/>
      <c r="Q284" s="54" t="str">
        <f t="shared" si="127"/>
        <v/>
      </c>
      <c r="R284" s="53"/>
      <c r="S284" s="54" t="str">
        <f t="shared" si="128"/>
        <v/>
      </c>
      <c r="T284" s="53"/>
      <c r="U284" s="54" t="str">
        <f t="shared" si="129"/>
        <v/>
      </c>
      <c r="V284" s="53"/>
      <c r="W284" s="54" t="str">
        <f t="shared" si="130"/>
        <v/>
      </c>
      <c r="X284" s="53"/>
      <c r="Y284" s="54" t="str">
        <f>IF((ISERROR((X284/$I284)*100)), "", IF(AND(NOT(ISERROR((X284/$I284)*100)),((X284/$I284)*100) &lt;&gt; 0), (X284/$I284)*100, ""))</f>
        <v/>
      </c>
      <c r="Z284" s="53"/>
      <c r="AA284" s="54" t="str">
        <f t="shared" si="124"/>
        <v/>
      </c>
      <c r="AB284" s="53"/>
      <c r="AC284" s="54" t="str">
        <f t="shared" si="118"/>
        <v/>
      </c>
      <c r="AD284" s="53"/>
      <c r="AE284" s="54" t="str">
        <f t="shared" si="119"/>
        <v/>
      </c>
      <c r="AF284" s="53"/>
      <c r="AG284" s="54" t="str">
        <f t="shared" si="120"/>
        <v/>
      </c>
      <c r="AH284" s="21" t="s">
        <v>179</v>
      </c>
      <c r="AI284" s="21"/>
      <c r="AJ284" s="21"/>
      <c r="AK284" s="21"/>
      <c r="AL284" s="21"/>
      <c r="AM284" s="21"/>
      <c r="AN284" s="21"/>
      <c r="AO284" s="21"/>
      <c r="AP284" s="21"/>
      <c r="AQ284" s="21"/>
      <c r="AR284" s="21"/>
      <c r="AS284" s="21"/>
      <c r="AT284" s="21"/>
      <c r="AU284" s="21"/>
      <c r="AV284" s="21"/>
      <c r="AW284" s="21"/>
      <c r="AX284" s="21"/>
      <c r="AY284" s="21"/>
      <c r="AZ284" s="21"/>
      <c r="BA284" s="21"/>
    </row>
    <row r="285" spans="1:53" ht="20" customHeight="1" x14ac:dyDescent="0.2">
      <c r="A285" s="678"/>
      <c r="B285" s="725"/>
      <c r="C285" s="253"/>
      <c r="D285" s="722" t="s">
        <v>85</v>
      </c>
      <c r="E285" s="723" t="s">
        <v>147</v>
      </c>
      <c r="F285" s="723" t="s">
        <v>148</v>
      </c>
      <c r="G285" s="722">
        <v>2011</v>
      </c>
      <c r="H285" s="287">
        <v>112</v>
      </c>
      <c r="I285" s="65">
        <v>17</v>
      </c>
      <c r="J285" s="61" t="s">
        <v>217</v>
      </c>
      <c r="K285" s="30" t="s">
        <v>192</v>
      </c>
      <c r="L285" s="74"/>
      <c r="M285" s="54" t="str">
        <f t="shared" si="125"/>
        <v/>
      </c>
      <c r="N285" s="53"/>
      <c r="O285" s="54" t="str">
        <f t="shared" si="126"/>
        <v/>
      </c>
      <c r="P285" s="53"/>
      <c r="Q285" s="54" t="str">
        <f t="shared" si="127"/>
        <v/>
      </c>
      <c r="R285" s="53"/>
      <c r="S285" s="54" t="str">
        <f t="shared" si="128"/>
        <v/>
      </c>
      <c r="T285" s="53"/>
      <c r="U285" s="54" t="str">
        <f t="shared" si="129"/>
        <v/>
      </c>
      <c r="V285" s="53"/>
      <c r="W285" s="54" t="str">
        <f t="shared" si="130"/>
        <v/>
      </c>
      <c r="X285" s="53"/>
      <c r="Y285" s="54" t="str">
        <f>IF((ISERROR((X285/$I285)*100)), "", IF(AND(NOT(ISERROR((X285/$I285)*100)),((X285/$I285)*100) &lt;&gt; 0), (X285/$I285)*100, ""))</f>
        <v/>
      </c>
      <c r="Z285" s="53"/>
      <c r="AA285" s="54" t="str">
        <f t="shared" si="124"/>
        <v/>
      </c>
      <c r="AB285" s="53"/>
      <c r="AC285" s="54" t="str">
        <f t="shared" si="118"/>
        <v/>
      </c>
      <c r="AD285" s="53"/>
      <c r="AE285" s="54" t="str">
        <f t="shared" si="119"/>
        <v/>
      </c>
      <c r="AF285" s="53"/>
      <c r="AG285" s="54" t="str">
        <f t="shared" si="120"/>
        <v/>
      </c>
      <c r="AH285" s="21" t="s">
        <v>228</v>
      </c>
      <c r="AI285" s="21"/>
      <c r="AJ285" s="21"/>
      <c r="AK285" s="21"/>
      <c r="AL285" s="21"/>
      <c r="AM285" s="21"/>
      <c r="AN285" s="21"/>
      <c r="AO285" s="21"/>
      <c r="AP285" s="21"/>
      <c r="AQ285" s="21"/>
      <c r="AR285" s="21"/>
      <c r="AS285" s="21"/>
      <c r="AT285" s="21"/>
      <c r="AU285" s="21"/>
      <c r="AV285" s="21"/>
      <c r="AW285" s="21"/>
      <c r="AX285" s="21"/>
      <c r="AY285" s="21"/>
      <c r="AZ285" s="21"/>
      <c r="BA285" s="21"/>
    </row>
    <row r="286" spans="1:53" ht="20" customHeight="1" x14ac:dyDescent="0.2">
      <c r="A286" s="680"/>
      <c r="B286" s="721"/>
      <c r="C286" s="722"/>
      <c r="D286" s="722" t="s">
        <v>85</v>
      </c>
      <c r="E286" s="723" t="s">
        <v>698</v>
      </c>
      <c r="F286" s="723" t="s">
        <v>701</v>
      </c>
      <c r="G286" s="722">
        <v>1998</v>
      </c>
      <c r="H286" s="287"/>
      <c r="I286" s="65">
        <v>15</v>
      </c>
      <c r="J286" s="61" t="s">
        <v>175</v>
      </c>
      <c r="K286" s="30" t="s">
        <v>333</v>
      </c>
      <c r="L286" s="74"/>
      <c r="M286" s="54"/>
      <c r="N286" s="53"/>
      <c r="O286" s="54"/>
      <c r="P286" s="53"/>
      <c r="Q286" s="54"/>
      <c r="R286" s="53"/>
      <c r="S286" s="54"/>
      <c r="T286" s="53"/>
      <c r="U286" s="54"/>
      <c r="V286" s="53"/>
      <c r="W286" s="54"/>
      <c r="X286" s="53"/>
      <c r="Y286" s="54"/>
      <c r="Z286" s="53"/>
      <c r="AA286" s="54"/>
      <c r="AB286" s="53"/>
      <c r="AC286" s="54"/>
      <c r="AD286" s="53"/>
      <c r="AE286" s="54"/>
      <c r="AF286" s="53"/>
      <c r="AG286" s="54"/>
      <c r="AH286" s="21"/>
      <c r="AI286" s="21"/>
      <c r="AJ286" s="21"/>
      <c r="AK286" s="21"/>
      <c r="AL286" s="21"/>
      <c r="AM286" s="21"/>
      <c r="AN286" s="21"/>
      <c r="AO286" s="21"/>
      <c r="AP286" s="21"/>
      <c r="AQ286" s="21"/>
      <c r="AR286" s="21"/>
      <c r="AS286" s="21"/>
      <c r="AT286" s="21"/>
      <c r="AU286" s="21"/>
      <c r="AV286" s="21"/>
      <c r="AW286" s="21"/>
      <c r="AX286" s="21"/>
      <c r="AY286" s="21"/>
      <c r="AZ286" s="21"/>
      <c r="BA286" s="21"/>
    </row>
    <row r="287" spans="1:53" ht="20" customHeight="1" thickBot="1" x14ac:dyDescent="0.25">
      <c r="A287" s="681"/>
      <c r="B287" s="759"/>
      <c r="C287" s="734"/>
      <c r="D287" s="734" t="s">
        <v>85</v>
      </c>
      <c r="E287" s="735" t="s">
        <v>699</v>
      </c>
      <c r="F287" s="735" t="s">
        <v>700</v>
      </c>
      <c r="G287" s="734">
        <v>1999</v>
      </c>
      <c r="H287" s="760"/>
      <c r="I287" s="66">
        <v>13</v>
      </c>
      <c r="J287" s="63" t="s">
        <v>703</v>
      </c>
      <c r="K287" s="80" t="s">
        <v>626</v>
      </c>
      <c r="L287" s="75"/>
      <c r="M287" s="35"/>
      <c r="N287" s="32"/>
      <c r="O287" s="35"/>
      <c r="P287" s="32"/>
      <c r="Q287" s="35"/>
      <c r="R287" s="32"/>
      <c r="S287" s="35"/>
      <c r="T287" s="32"/>
      <c r="U287" s="35"/>
      <c r="V287" s="32"/>
      <c r="W287" s="35"/>
      <c r="X287" s="32"/>
      <c r="Y287" s="35"/>
      <c r="Z287" s="32"/>
      <c r="AA287" s="35"/>
      <c r="AB287" s="32"/>
      <c r="AC287" s="35"/>
      <c r="AD287" s="32"/>
      <c r="AE287" s="35"/>
      <c r="AF287" s="32"/>
      <c r="AG287" s="35"/>
      <c r="AH287" s="21"/>
      <c r="AI287" s="21"/>
      <c r="AJ287" s="21"/>
      <c r="AK287" s="21"/>
      <c r="AL287" s="21"/>
      <c r="AM287" s="21"/>
      <c r="AN287" s="21"/>
      <c r="AO287" s="21"/>
      <c r="AP287" s="21"/>
      <c r="AQ287" s="21"/>
      <c r="AR287" s="21"/>
      <c r="AS287" s="21"/>
      <c r="AT287" s="21"/>
      <c r="AU287" s="21"/>
      <c r="AV287" s="21"/>
      <c r="AW287" s="21"/>
      <c r="AX287" s="21"/>
      <c r="AY287" s="21"/>
      <c r="AZ287" s="21"/>
      <c r="BA287" s="21"/>
    </row>
    <row r="288" spans="1:53" s="813" customFormat="1" ht="20" customHeight="1" x14ac:dyDescent="0.2">
      <c r="B288" s="774"/>
      <c r="C288" s="774"/>
      <c r="D288" s="775"/>
      <c r="E288" s="774"/>
      <c r="F288" s="774"/>
      <c r="G288" s="776"/>
      <c r="H288" s="777" t="s">
        <v>240</v>
      </c>
      <c r="I288" s="778">
        <f>SUM(I162:I287)</f>
        <v>4016</v>
      </c>
      <c r="J288" s="779" t="s">
        <v>447</v>
      </c>
      <c r="K288" s="780" t="s">
        <v>453</v>
      </c>
      <c r="L288" s="781">
        <f>IF((SUM(L162:L285)&lt;&gt;0), SUMIF($I162:$I285, "&gt;0", L162:L285), "")</f>
        <v>123</v>
      </c>
      <c r="M288" s="782">
        <f>IF(ISERROR((L288/$I288)*100), "", IF(((L288/$I288)*100) &lt;&gt; 0, (L288/$I288)*100, ""))</f>
        <v>3.0627490039840639</v>
      </c>
      <c r="N288" s="781">
        <f>IF((SUM(N162:N285)&lt;&gt;0), SUMIF($I162:$I285, "&gt;0", N162:N285), "")</f>
        <v>72</v>
      </c>
      <c r="O288" s="782">
        <f>IF(ISERROR((N288/$I288)*100), "", IF(((N288/$I288)*100) &lt;&gt; 0, (N288/$I288)*100, ""))</f>
        <v>1.7928286852589643</v>
      </c>
      <c r="P288" s="781">
        <f>IF((SUM(P162:P285)&lt;&gt;0), SUMIF($I162:$I285, "&gt;0", P162:P285), "")</f>
        <v>2</v>
      </c>
      <c r="Q288" s="782">
        <f>IF(ISERROR((P288/$I288)*100), "", IF(((P288/$I288)*100) &lt;&gt; 0, (P288/$I288)*100, ""))</f>
        <v>4.9800796812749001E-2</v>
      </c>
      <c r="R288" s="781">
        <f>IF((SUM(R162:R285)&lt;&gt;0), SUMIF($I162:$I285, "&gt;0", R162:R285), "")</f>
        <v>8</v>
      </c>
      <c r="S288" s="782">
        <f>IF(ISERROR((R288/$I288)*100), "", IF(((R288/$I288)*100) &lt;&gt; 0, (R288/$I288)*100, ""))</f>
        <v>0.19920318725099601</v>
      </c>
      <c r="T288" s="781">
        <f>IF((SUM(T162:T285)&lt;&gt;0), SUMIF($I162:$I285, "&gt;0", T162:T285), "")</f>
        <v>7</v>
      </c>
      <c r="U288" s="782">
        <f>IF(ISERROR((T288/$I288)*100), "", IF(((T288/$I288)*100) &lt;&gt; 0, (T288/$I288)*100, ""))</f>
        <v>0.1743027888446215</v>
      </c>
      <c r="V288" s="781">
        <f>IF((SUM(V162:V285)&lt;&gt;0), SUMIF($I162:$I285, "&gt;0", V162:V285), "")</f>
        <v>39</v>
      </c>
      <c r="W288" s="782">
        <f>IF(ISERROR((V288/$I288)*100), "", IF(((V288/$I288)*100) &lt;&gt; 0, (V288/$I288)*100, ""))</f>
        <v>0.9711155378486056</v>
      </c>
      <c r="X288" s="781">
        <f>IF((SUM(X162:X285)&lt;&gt;0), SUMIF($I162:$I285, "&gt;0", X162:X285), "")</f>
        <v>3</v>
      </c>
      <c r="Y288" s="782">
        <f>IF(ISERROR((X288/$I288)*100), "", IF(((X288/$I288)*100) &lt;&gt; 0, (X288/$I288)*100, ""))</f>
        <v>7.4701195219123509E-2</v>
      </c>
      <c r="Z288" s="781">
        <f>IF((SUM(Z162:Z285)&lt;&gt;0), SUMIF($I162:$I285, "&gt;0", Z162:Z285), "")</f>
        <v>14</v>
      </c>
      <c r="AA288" s="782">
        <f>IF(ISERROR((Z288/$I288)*100), "", IF(((Z288/$I288)*100) &lt;&gt; 0, (Z288/$I288)*100, ""))</f>
        <v>0.348605577689243</v>
      </c>
      <c r="AB288" s="781">
        <f>IF((SUM(AB162:AB285)&lt;&gt;0), SUMIF($I162:$I285, "&gt;0", AB162:AB285), "")</f>
        <v>3</v>
      </c>
      <c r="AC288" s="782">
        <f>IF(ISERROR((AB288/$I288)*100), "", IF(((AB288/$I288)*100) &lt;&gt; 0, (AB288/$I288)*100, ""))</f>
        <v>7.4701195219123509E-2</v>
      </c>
      <c r="AD288" s="781">
        <f>IF((SUM(AD162:AD285)&lt;&gt;0), SUMIF($I162:$I285, "&gt;0", AD162:AD285), "")</f>
        <v>4</v>
      </c>
      <c r="AE288" s="782">
        <f>IF(ISERROR((AD288/$I288)*100), "", IF(((AD288/$I288)*100) &lt;&gt; 0, (AD288/$I288)*100, ""))</f>
        <v>9.9601593625498003E-2</v>
      </c>
      <c r="AF288" s="781" t="str">
        <f>IF((SUM(AF162:AF285)&lt;&gt;0), SUMIF($I162:$I285, "&gt;0", AF162:AF285), "")</f>
        <v/>
      </c>
      <c r="AG288" s="782" t="str">
        <f>IF(ISERROR((AF288/$I288)*100), "", IF(((AF288/$I288)*100) &lt;&gt; 0, (AF288/$I288)*100, ""))</f>
        <v/>
      </c>
      <c r="AH288" s="774"/>
    </row>
    <row r="289" spans="2:53" s="813" customFormat="1" ht="20" customHeight="1" x14ac:dyDescent="0.2">
      <c r="B289" s="774"/>
      <c r="C289" s="774"/>
      <c r="D289" s="775"/>
      <c r="E289" s="774"/>
      <c r="F289" s="774"/>
      <c r="G289" s="776"/>
      <c r="H289" s="777" t="s">
        <v>241</v>
      </c>
      <c r="I289" s="783" t="s">
        <v>239</v>
      </c>
      <c r="J289" s="784" t="s">
        <v>454</v>
      </c>
      <c r="K289" s="785" t="s">
        <v>455</v>
      </c>
      <c r="L289" s="786">
        <f>IF(SUMIF(L162:L285, "&gt; 0", $I162:$I285) &gt; 0, SUMIF(L162:L285, "&gt; 0", $I162:$I285), "")</f>
        <v>1026</v>
      </c>
      <c r="M289" s="787">
        <f>(L288/L289)*100</f>
        <v>11.988304093567251</v>
      </c>
      <c r="N289" s="786">
        <f>IF(SUMIF(N162:N285, "&gt; 0", $I162:$I285) &gt; 0, SUMIF(N162:N285, "&gt; 0", $I162:$I285), "")</f>
        <v>856</v>
      </c>
      <c r="O289" s="787">
        <f>(N288/N289)*100</f>
        <v>8.4112149532710276</v>
      </c>
      <c r="P289" s="786">
        <f>IF(SUMIF(P162:P285, "&gt; 0", $I162:$I285) &gt; 0, SUMIF(P162:P285, "&gt; 0", $I162:$I285), "")</f>
        <v>27</v>
      </c>
      <c r="Q289" s="787">
        <f>(P288/P289)*100</f>
        <v>7.4074074074074066</v>
      </c>
      <c r="R289" s="786">
        <f>IF(SUMIF(R162:R285, "&gt; 0", $I162:$I285) &gt; 0, SUMIF(R162:R285, "&gt; 0", $I162:$I285), "")</f>
        <v>262</v>
      </c>
      <c r="S289" s="787">
        <f>(R288/R289)*100</f>
        <v>3.0534351145038165</v>
      </c>
      <c r="T289" s="786">
        <f>IF(SUMIF(T162:T285, "&gt; 0", $I162:$I285) &gt; 0, SUMIF(T162:T285, "&gt; 0", $I162:$I285), "")</f>
        <v>112</v>
      </c>
      <c r="U289" s="787">
        <f>(T288/T289)*100</f>
        <v>6.25</v>
      </c>
      <c r="V289" s="786">
        <f>IF(SUMIF(V162:V285, "&gt; 0", $I162:$I285) &gt; 0, SUMIF(V162:V285, "&gt; 0", $I162:$I285), "")</f>
        <v>763</v>
      </c>
      <c r="W289" s="787">
        <f>(V288/V289)*100</f>
        <v>5.1114023591087809</v>
      </c>
      <c r="X289" s="786">
        <f>IF(SUMIF(X162:X285, "&gt; 0", $I162:$I285) &gt; 0, SUMIF(X162:X285, "&gt; 0", $I162:$I285), "")</f>
        <v>61</v>
      </c>
      <c r="Y289" s="787">
        <f>(X288/X289)*100</f>
        <v>4.918032786885246</v>
      </c>
      <c r="Z289" s="786">
        <f>IF(SUMIF(Z162:Z285, "&gt; 0", $I162:$I285) &gt; 0, SUMIF(Z162:Z285, "&gt; 0", $I162:$I285), "")</f>
        <v>377</v>
      </c>
      <c r="AA289" s="787">
        <f>(Z288/Z289)*100</f>
        <v>3.7135278514588856</v>
      </c>
      <c r="AB289" s="786">
        <f>IF(SUMIF(AB162:AB285, "&gt; 0", $I162:$I285) &gt; 0, SUMIF(AB162:AB285, "&gt; 0", $I162:$I285), "")</f>
        <v>191</v>
      </c>
      <c r="AC289" s="787">
        <f>(AB288/AB289)*100</f>
        <v>1.5706806282722512</v>
      </c>
      <c r="AD289" s="786">
        <f>IF(SUMIF(AD162:AD285, "&gt; 0", $I162:$I285) &gt; 0, SUMIF(AD162:AD285, "&gt; 0", $I162:$I285), "")</f>
        <v>150</v>
      </c>
      <c r="AE289" s="787">
        <f>(AD288/AD289)*100</f>
        <v>2.666666666666667</v>
      </c>
      <c r="AF289" s="786" t="str">
        <f>IF(SUMIF(AF162:AF285, "&gt; 0", $I162:$I285) &gt; 0, SUMIF(AF162:AF285, "&gt; 0", $I162:$I285), "")</f>
        <v/>
      </c>
      <c r="AG289" s="787"/>
      <c r="AH289" s="774"/>
    </row>
    <row r="290" spans="2:53" ht="17" customHeight="1" thickBot="1" x14ac:dyDescent="0.25">
      <c r="I290" s="354" t="s">
        <v>448</v>
      </c>
      <c r="J290" s="357"/>
      <c r="K290" s="358"/>
      <c r="L290" s="328" t="s">
        <v>237</v>
      </c>
      <c r="M290" s="330" t="s">
        <v>238</v>
      </c>
      <c r="N290" s="369" t="s">
        <v>237</v>
      </c>
      <c r="O290" s="331" t="s">
        <v>238</v>
      </c>
      <c r="P290" s="328" t="s">
        <v>237</v>
      </c>
      <c r="Q290" s="330" t="s">
        <v>238</v>
      </c>
      <c r="R290" s="328" t="s">
        <v>237</v>
      </c>
      <c r="S290" s="330" t="s">
        <v>238</v>
      </c>
      <c r="T290" s="328" t="s">
        <v>237</v>
      </c>
      <c r="U290" s="330" t="s">
        <v>238</v>
      </c>
      <c r="V290" s="328" t="s">
        <v>237</v>
      </c>
      <c r="W290" s="330" t="s">
        <v>238</v>
      </c>
      <c r="X290" s="328" t="s">
        <v>237</v>
      </c>
      <c r="Y290" s="330" t="s">
        <v>238</v>
      </c>
      <c r="Z290" s="328" t="s">
        <v>237</v>
      </c>
      <c r="AA290" s="330" t="s">
        <v>238</v>
      </c>
      <c r="AB290" s="328" t="s">
        <v>237</v>
      </c>
      <c r="AC290" s="330" t="s">
        <v>238</v>
      </c>
      <c r="AD290" s="328" t="s">
        <v>237</v>
      </c>
      <c r="AE290" s="330" t="s">
        <v>238</v>
      </c>
      <c r="AF290" s="328" t="s">
        <v>237</v>
      </c>
      <c r="AG290" s="330" t="s">
        <v>238</v>
      </c>
      <c r="AH290" s="21"/>
      <c r="AI290" s="21"/>
      <c r="AJ290" s="21"/>
      <c r="AK290" s="21"/>
      <c r="AL290" s="21"/>
      <c r="AM290" s="21"/>
      <c r="AN290" s="21"/>
      <c r="AO290" s="21"/>
      <c r="AP290" s="21"/>
      <c r="AQ290" s="21"/>
      <c r="AR290" s="21"/>
      <c r="AS290" s="21"/>
      <c r="AT290" s="21"/>
      <c r="AU290" s="21"/>
      <c r="AV290" s="21"/>
      <c r="AW290" s="21"/>
      <c r="AX290" s="21"/>
      <c r="AY290" s="21"/>
      <c r="AZ290" s="21"/>
      <c r="BA290" s="21"/>
    </row>
    <row r="291" spans="2:53" x14ac:dyDescent="0.2">
      <c r="F291" s="40" t="s">
        <v>243</v>
      </c>
      <c r="G291" s="43">
        <v>1</v>
      </c>
      <c r="I291" s="355"/>
      <c r="J291" s="359"/>
      <c r="K291" s="360"/>
      <c r="L291" s="328"/>
      <c r="M291" s="331"/>
      <c r="N291" s="328"/>
      <c r="O291" s="331"/>
      <c r="P291" s="328"/>
      <c r="Q291" s="331"/>
      <c r="R291" s="328"/>
      <c r="S291" s="331"/>
      <c r="T291" s="328"/>
      <c r="U291" s="331"/>
      <c r="V291" s="328"/>
      <c r="W291" s="331"/>
      <c r="X291" s="328"/>
      <c r="Y291" s="331"/>
      <c r="Z291" s="328"/>
      <c r="AA291" s="331"/>
      <c r="AB291" s="328"/>
      <c r="AC291" s="331"/>
      <c r="AD291" s="328"/>
      <c r="AE291" s="331"/>
      <c r="AF291" s="328"/>
      <c r="AG291" s="331"/>
      <c r="AH291" s="21"/>
      <c r="AI291" s="21"/>
      <c r="AJ291" s="21"/>
      <c r="AK291" s="21"/>
      <c r="AL291" s="21"/>
      <c r="AM291" s="21"/>
      <c r="AN291" s="21"/>
      <c r="AO291" s="21"/>
      <c r="AP291" s="21"/>
      <c r="AQ291" s="21"/>
      <c r="AR291" s="21"/>
      <c r="AS291" s="21"/>
      <c r="AT291" s="21"/>
      <c r="AU291" s="21"/>
      <c r="AV291" s="21"/>
      <c r="AW291" s="21"/>
      <c r="AX291" s="21"/>
      <c r="AY291" s="21"/>
      <c r="AZ291" s="21"/>
      <c r="BA291" s="21"/>
    </row>
    <row r="292" spans="2:53" x14ac:dyDescent="0.2">
      <c r="F292" s="41"/>
      <c r="G292" s="42"/>
      <c r="I292" s="355"/>
      <c r="J292" s="359"/>
      <c r="K292" s="360"/>
      <c r="L292" s="328"/>
      <c r="M292" s="331"/>
      <c r="N292" s="328"/>
      <c r="O292" s="331"/>
      <c r="P292" s="328"/>
      <c r="Q292" s="331"/>
      <c r="R292" s="328"/>
      <c r="S292" s="331"/>
      <c r="T292" s="328"/>
      <c r="U292" s="331"/>
      <c r="V292" s="328"/>
      <c r="W292" s="331"/>
      <c r="X292" s="328"/>
      <c r="Y292" s="331"/>
      <c r="Z292" s="328"/>
      <c r="AA292" s="331"/>
      <c r="AB292" s="328"/>
      <c r="AC292" s="331"/>
      <c r="AD292" s="328"/>
      <c r="AE292" s="331"/>
      <c r="AF292" s="328"/>
      <c r="AG292" s="331"/>
      <c r="AH292" s="21"/>
      <c r="AI292" s="21"/>
      <c r="AJ292" s="21"/>
      <c r="AK292" s="21"/>
      <c r="AL292" s="21"/>
      <c r="AM292" s="21"/>
      <c r="AN292" s="21"/>
      <c r="AO292" s="21"/>
      <c r="AP292" s="21"/>
      <c r="AQ292" s="21"/>
      <c r="AR292" s="21"/>
      <c r="AS292" s="21"/>
      <c r="AT292" s="21"/>
      <c r="AU292" s="21"/>
      <c r="AV292" s="21"/>
      <c r="AW292" s="21"/>
      <c r="AX292" s="21"/>
      <c r="AY292" s="21"/>
      <c r="AZ292" s="21"/>
      <c r="BA292" s="21"/>
    </row>
    <row r="293" spans="2:53" x14ac:dyDescent="0.2">
      <c r="F293" s="347" t="s">
        <v>244</v>
      </c>
      <c r="G293" s="348"/>
      <c r="I293" s="355"/>
      <c r="J293" s="359"/>
      <c r="K293" s="360"/>
      <c r="L293" s="328"/>
      <c r="M293" s="331"/>
      <c r="N293" s="328"/>
      <c r="O293" s="331"/>
      <c r="P293" s="328"/>
      <c r="Q293" s="331"/>
      <c r="R293" s="328"/>
      <c r="S293" s="331"/>
      <c r="T293" s="328"/>
      <c r="U293" s="331"/>
      <c r="V293" s="328"/>
      <c r="W293" s="331"/>
      <c r="X293" s="328"/>
      <c r="Y293" s="331"/>
      <c r="Z293" s="328"/>
      <c r="AA293" s="331"/>
      <c r="AB293" s="328"/>
      <c r="AC293" s="331"/>
      <c r="AD293" s="328"/>
      <c r="AE293" s="331"/>
      <c r="AF293" s="328"/>
      <c r="AG293" s="331"/>
      <c r="AH293" s="21"/>
      <c r="AI293" s="21"/>
      <c r="AJ293" s="21"/>
      <c r="AK293" s="21"/>
      <c r="AL293" s="21"/>
      <c r="AM293" s="21"/>
      <c r="AN293" s="21"/>
      <c r="AO293" s="21"/>
      <c r="AP293" s="21"/>
      <c r="AQ293" s="21"/>
      <c r="AR293" s="21"/>
      <c r="AS293" s="21"/>
      <c r="AT293" s="21"/>
      <c r="AU293" s="21"/>
      <c r="AV293" s="21"/>
      <c r="AW293" s="21"/>
      <c r="AX293" s="21"/>
      <c r="AY293" s="21"/>
      <c r="AZ293" s="21"/>
      <c r="BA293" s="21"/>
    </row>
    <row r="294" spans="2:53" x14ac:dyDescent="0.2">
      <c r="F294" s="347"/>
      <c r="G294" s="348"/>
      <c r="I294" s="355"/>
      <c r="J294" s="359"/>
      <c r="K294" s="360"/>
      <c r="L294" s="329"/>
      <c r="M294" s="331"/>
      <c r="N294" s="329"/>
      <c r="O294" s="331"/>
      <c r="P294" s="329"/>
      <c r="Q294" s="331"/>
      <c r="R294" s="329"/>
      <c r="S294" s="331"/>
      <c r="T294" s="329"/>
      <c r="U294" s="331"/>
      <c r="V294" s="329"/>
      <c r="W294" s="331"/>
      <c r="X294" s="329"/>
      <c r="Y294" s="331"/>
      <c r="Z294" s="329"/>
      <c r="AA294" s="331"/>
      <c r="AB294" s="329"/>
      <c r="AC294" s="331"/>
      <c r="AD294" s="329"/>
      <c r="AE294" s="331"/>
      <c r="AF294" s="329"/>
      <c r="AG294" s="331"/>
      <c r="AH294" s="21"/>
      <c r="AI294" s="21"/>
      <c r="AJ294" s="21"/>
      <c r="AK294" s="21"/>
      <c r="AL294" s="21"/>
      <c r="AM294" s="21"/>
      <c r="AN294" s="21"/>
      <c r="AO294" s="21"/>
      <c r="AP294" s="21"/>
      <c r="AQ294" s="21"/>
      <c r="AR294" s="21"/>
      <c r="AS294" s="21"/>
      <c r="AT294" s="21"/>
      <c r="AU294" s="21"/>
      <c r="AV294" s="21"/>
      <c r="AW294" s="21"/>
      <c r="AX294" s="21"/>
      <c r="AY294" s="21"/>
      <c r="AZ294" s="21"/>
      <c r="BA294" s="21"/>
    </row>
    <row r="295" spans="2:53" ht="16" customHeight="1" x14ac:dyDescent="0.2">
      <c r="F295" s="347"/>
      <c r="G295" s="348"/>
      <c r="I295" s="355"/>
      <c r="J295" s="359"/>
      <c r="K295" s="360"/>
      <c r="L295" s="351" t="s">
        <v>371</v>
      </c>
      <c r="M295" s="333"/>
      <c r="N295" s="351" t="s">
        <v>157</v>
      </c>
      <c r="O295" s="333"/>
      <c r="P295" s="353" t="s">
        <v>233</v>
      </c>
      <c r="Q295" s="333"/>
      <c r="R295" s="351" t="s">
        <v>163</v>
      </c>
      <c r="S295" s="333"/>
      <c r="T295" s="351" t="s">
        <v>206</v>
      </c>
      <c r="U295" s="333"/>
      <c r="V295" s="351" t="s">
        <v>158</v>
      </c>
      <c r="W295" s="333"/>
      <c r="X295" s="353" t="s">
        <v>235</v>
      </c>
      <c r="Y295" s="333"/>
      <c r="Z295" s="351" t="s">
        <v>159</v>
      </c>
      <c r="AA295" s="333"/>
      <c r="AB295" s="351" t="s">
        <v>205</v>
      </c>
      <c r="AC295" s="333"/>
      <c r="AD295" s="351" t="s">
        <v>204</v>
      </c>
      <c r="AE295" s="333"/>
      <c r="AF295" s="351" t="s">
        <v>201</v>
      </c>
      <c r="AG295" s="333"/>
      <c r="AH295" s="21"/>
      <c r="AI295" s="21"/>
      <c r="AJ295" s="21"/>
      <c r="AK295" s="21"/>
      <c r="AL295" s="21"/>
      <c r="AM295" s="21"/>
      <c r="AN295" s="21"/>
      <c r="AO295" s="21"/>
      <c r="AP295" s="21"/>
      <c r="AQ295" s="21"/>
      <c r="AR295" s="21"/>
      <c r="AS295" s="21"/>
      <c r="AT295" s="21"/>
      <c r="AU295" s="21"/>
      <c r="AV295" s="21"/>
      <c r="AW295" s="21"/>
      <c r="AX295" s="21"/>
      <c r="AY295" s="21"/>
      <c r="AZ295" s="21"/>
      <c r="BA295" s="21"/>
    </row>
    <row r="296" spans="2:53" x14ac:dyDescent="0.2">
      <c r="F296" s="347"/>
      <c r="G296" s="348"/>
      <c r="I296" s="355"/>
      <c r="J296" s="359"/>
      <c r="K296" s="360"/>
      <c r="L296" s="340"/>
      <c r="M296" s="335"/>
      <c r="N296" s="340"/>
      <c r="O296" s="335"/>
      <c r="P296" s="340"/>
      <c r="Q296" s="335"/>
      <c r="R296" s="340"/>
      <c r="S296" s="335"/>
      <c r="T296" s="340"/>
      <c r="U296" s="335"/>
      <c r="V296" s="340"/>
      <c r="W296" s="335"/>
      <c r="X296" s="340"/>
      <c r="Y296" s="335"/>
      <c r="Z296" s="340"/>
      <c r="AA296" s="335"/>
      <c r="AB296" s="340"/>
      <c r="AC296" s="335"/>
      <c r="AD296" s="340"/>
      <c r="AE296" s="335"/>
      <c r="AF296" s="340"/>
      <c r="AG296" s="335"/>
      <c r="AH296" s="21"/>
      <c r="AI296" s="21"/>
      <c r="AJ296" s="21"/>
      <c r="AK296" s="21"/>
      <c r="AL296" s="21"/>
      <c r="AM296" s="21"/>
      <c r="AN296" s="21"/>
      <c r="AO296" s="21"/>
      <c r="AP296" s="21"/>
      <c r="AQ296" s="21"/>
      <c r="AR296" s="21"/>
      <c r="AS296" s="21"/>
      <c r="AT296" s="21"/>
      <c r="AU296" s="21"/>
      <c r="AV296" s="21"/>
      <c r="AW296" s="21"/>
      <c r="AX296" s="21"/>
      <c r="AY296" s="21"/>
      <c r="AZ296" s="21"/>
      <c r="BA296" s="21"/>
    </row>
    <row r="297" spans="2:53" ht="17" thickBot="1" x14ac:dyDescent="0.25">
      <c r="F297" s="347"/>
      <c r="G297" s="348"/>
      <c r="I297" s="355"/>
      <c r="J297" s="359"/>
      <c r="K297" s="360"/>
      <c r="L297" s="352"/>
      <c r="M297" s="337"/>
      <c r="N297" s="352"/>
      <c r="O297" s="337"/>
      <c r="P297" s="352"/>
      <c r="Q297" s="337"/>
      <c r="R297" s="352"/>
      <c r="S297" s="337"/>
      <c r="T297" s="352"/>
      <c r="U297" s="337"/>
      <c r="V297" s="352"/>
      <c r="W297" s="337"/>
      <c r="X297" s="352"/>
      <c r="Y297" s="337"/>
      <c r="Z297" s="352"/>
      <c r="AA297" s="337"/>
      <c r="AB297" s="352"/>
      <c r="AC297" s="337"/>
      <c r="AD297" s="352"/>
      <c r="AE297" s="337"/>
      <c r="AF297" s="352"/>
      <c r="AG297" s="337"/>
      <c r="AH297" s="21"/>
      <c r="AI297" s="21"/>
      <c r="AJ297" s="21"/>
      <c r="AK297" s="21"/>
      <c r="AL297" s="21"/>
      <c r="AM297" s="21"/>
      <c r="AN297" s="21"/>
      <c r="AO297" s="21"/>
      <c r="AP297" s="21"/>
      <c r="AQ297" s="21"/>
      <c r="AR297" s="21"/>
      <c r="AS297" s="21"/>
      <c r="AT297" s="21"/>
      <c r="AU297" s="21"/>
      <c r="AV297" s="21"/>
      <c r="AW297" s="21"/>
      <c r="AX297" s="21"/>
      <c r="AY297" s="21"/>
      <c r="AZ297" s="21"/>
      <c r="BA297" s="21"/>
    </row>
    <row r="298" spans="2:53" ht="20" thickBot="1" x14ac:dyDescent="0.3">
      <c r="F298" s="349"/>
      <c r="G298" s="350"/>
      <c r="I298" s="356"/>
      <c r="J298" s="361"/>
      <c r="K298" s="362"/>
      <c r="L298" s="317" t="s">
        <v>393</v>
      </c>
      <c r="M298" s="318"/>
      <c r="N298" s="318"/>
      <c r="O298" s="318"/>
      <c r="P298" s="318"/>
      <c r="Q298" s="318"/>
      <c r="R298" s="318"/>
      <c r="S298" s="318"/>
      <c r="T298" s="318"/>
      <c r="U298" s="318"/>
      <c r="V298" s="318"/>
      <c r="W298" s="318"/>
      <c r="X298" s="318"/>
      <c r="Y298" s="318"/>
      <c r="Z298" s="318"/>
      <c r="AA298" s="318"/>
      <c r="AB298" s="318"/>
      <c r="AC298" s="318"/>
      <c r="AD298" s="318"/>
      <c r="AE298" s="318"/>
      <c r="AF298" s="318"/>
      <c r="AG298" s="319"/>
      <c r="AH298" s="21"/>
      <c r="AI298" s="21"/>
      <c r="AJ298" s="21"/>
      <c r="AK298" s="21"/>
      <c r="AL298" s="21"/>
      <c r="AM298" s="21"/>
      <c r="AN298" s="21"/>
      <c r="AO298" s="21"/>
      <c r="AP298" s="21"/>
      <c r="AQ298" s="21"/>
      <c r="AR298" s="21"/>
      <c r="AS298" s="21"/>
      <c r="AT298" s="21"/>
      <c r="AU298" s="21"/>
      <c r="AV298" s="21"/>
      <c r="AW298" s="21"/>
      <c r="AX298" s="21"/>
      <c r="AY298" s="21"/>
      <c r="AZ298" s="21"/>
      <c r="BA298" s="21"/>
    </row>
    <row r="299" spans="2:53" x14ac:dyDescent="0.2">
      <c r="I299" s="110" t="s">
        <v>459</v>
      </c>
    </row>
    <row r="300" spans="2:53" x14ac:dyDescent="0.2">
      <c r="I300" s="111" t="s">
        <v>458</v>
      </c>
    </row>
    <row r="301" spans="2:53" x14ac:dyDescent="0.2">
      <c r="I301" s="111" t="s">
        <v>457</v>
      </c>
    </row>
  </sheetData>
  <mergeCells count="154">
    <mergeCell ref="A7:A10"/>
    <mergeCell ref="A158:A161"/>
    <mergeCell ref="L298:AG298"/>
    <mergeCell ref="L153:AG153"/>
    <mergeCell ref="L295:M297"/>
    <mergeCell ref="R295:S297"/>
    <mergeCell ref="P295:Q297"/>
    <mergeCell ref="X295:Y297"/>
    <mergeCell ref="AB295:AC297"/>
    <mergeCell ref="AD295:AE297"/>
    <mergeCell ref="L290:L294"/>
    <mergeCell ref="M290:M294"/>
    <mergeCell ref="N290:N294"/>
    <mergeCell ref="O290:O294"/>
    <mergeCell ref="T290:T294"/>
    <mergeCell ref="U290:U294"/>
    <mergeCell ref="L157:L161"/>
    <mergeCell ref="M157:M161"/>
    <mergeCell ref="L154:M156"/>
    <mergeCell ref="R154:S156"/>
    <mergeCell ref="P154:Q156"/>
    <mergeCell ref="F293:G298"/>
    <mergeCell ref="N295:O297"/>
    <mergeCell ref="T295:U297"/>
    <mergeCell ref="Z295:AA297"/>
    <mergeCell ref="V295:W297"/>
    <mergeCell ref="AF295:AG297"/>
    <mergeCell ref="P290:P294"/>
    <mergeCell ref="Q290:Q294"/>
    <mergeCell ref="AD290:AD294"/>
    <mergeCell ref="AE290:AE294"/>
    <mergeCell ref="R290:R294"/>
    <mergeCell ref="S290:S294"/>
    <mergeCell ref="X290:X294"/>
    <mergeCell ref="Y290:Y294"/>
    <mergeCell ref="AB290:AB294"/>
    <mergeCell ref="AC290:AC294"/>
    <mergeCell ref="Z290:Z294"/>
    <mergeCell ref="AA290:AA294"/>
    <mergeCell ref="V290:V294"/>
    <mergeCell ref="W290:W294"/>
    <mergeCell ref="AF290:AF294"/>
    <mergeCell ref="AG290:AG294"/>
    <mergeCell ref="I290:I298"/>
    <mergeCell ref="J290:K298"/>
    <mergeCell ref="B158:B161"/>
    <mergeCell ref="C158:C161"/>
    <mergeCell ref="AE157:AE161"/>
    <mergeCell ref="R157:R161"/>
    <mergeCell ref="S157:S161"/>
    <mergeCell ref="P157:P161"/>
    <mergeCell ref="Q157:Q161"/>
    <mergeCell ref="AC157:AC161"/>
    <mergeCell ref="AD157:AD161"/>
    <mergeCell ref="X157:X161"/>
    <mergeCell ref="Y157:Y161"/>
    <mergeCell ref="AB157:AB161"/>
    <mergeCell ref="N157:N161"/>
    <mergeCell ref="O157:O161"/>
    <mergeCell ref="T157:T161"/>
    <mergeCell ref="U157:U161"/>
    <mergeCell ref="Z157:Z161"/>
    <mergeCell ref="AA157:AA161"/>
    <mergeCell ref="E156:E158"/>
    <mergeCell ref="H157:H161"/>
    <mergeCell ref="I157:I161"/>
    <mergeCell ref="J157:J161"/>
    <mergeCell ref="K157:K161"/>
    <mergeCell ref="AD154:AE156"/>
    <mergeCell ref="E154:E155"/>
    <mergeCell ref="N154:O156"/>
    <mergeCell ref="T154:U156"/>
    <mergeCell ref="Z154:AA156"/>
    <mergeCell ref="V154:W156"/>
    <mergeCell ref="AF154:AG156"/>
    <mergeCell ref="V144:W146"/>
    <mergeCell ref="L147:AE147"/>
    <mergeCell ref="L2:AE2"/>
    <mergeCell ref="AB144:AC146"/>
    <mergeCell ref="R144:S146"/>
    <mergeCell ref="N144:O146"/>
    <mergeCell ref="AD144:AE146"/>
    <mergeCell ref="X154:Y156"/>
    <mergeCell ref="X144:Y146"/>
    <mergeCell ref="P144:Q146"/>
    <mergeCell ref="Z144:AA146"/>
    <mergeCell ref="F142:G147"/>
    <mergeCell ref="T144:U146"/>
    <mergeCell ref="L144:M146"/>
    <mergeCell ref="N139:N143"/>
    <mergeCell ref="O139:O143"/>
    <mergeCell ref="AD139:AD143"/>
    <mergeCell ref="AE139:AE143"/>
    <mergeCell ref="P139:P143"/>
    <mergeCell ref="Q139:Q143"/>
    <mergeCell ref="V157:V161"/>
    <mergeCell ref="W157:W161"/>
    <mergeCell ref="AF157:AF161"/>
    <mergeCell ref="AG157:AG161"/>
    <mergeCell ref="T139:T143"/>
    <mergeCell ref="U139:U143"/>
    <mergeCell ref="L139:L143"/>
    <mergeCell ref="M139:M143"/>
    <mergeCell ref="V139:V143"/>
    <mergeCell ref="W139:W143"/>
    <mergeCell ref="AB139:AB143"/>
    <mergeCell ref="AC139:AC143"/>
    <mergeCell ref="R139:R143"/>
    <mergeCell ref="S139:S143"/>
    <mergeCell ref="AB154:AC156"/>
    <mergeCell ref="Z139:Z143"/>
    <mergeCell ref="AA139:AA143"/>
    <mergeCell ref="X139:X143"/>
    <mergeCell ref="Y139:Y143"/>
    <mergeCell ref="B7:B10"/>
    <mergeCell ref="C7:C10"/>
    <mergeCell ref="I139:I147"/>
    <mergeCell ref="J139:K147"/>
    <mergeCell ref="N6:N10"/>
    <mergeCell ref="O6:O10"/>
    <mergeCell ref="AD6:AD10"/>
    <mergeCell ref="P6:P10"/>
    <mergeCell ref="Q6:Q10"/>
    <mergeCell ref="T6:T10"/>
    <mergeCell ref="U6:U10"/>
    <mergeCell ref="L6:L10"/>
    <mergeCell ref="M6:M10"/>
    <mergeCell ref="X6:X10"/>
    <mergeCell ref="Y6:Y10"/>
    <mergeCell ref="E5:E7"/>
    <mergeCell ref="H6:H10"/>
    <mergeCell ref="I6:I10"/>
    <mergeCell ref="J6:J10"/>
    <mergeCell ref="K6:K10"/>
    <mergeCell ref="AB3:AC5"/>
    <mergeCell ref="R3:S5"/>
    <mergeCell ref="N3:O5"/>
    <mergeCell ref="AD3:AE5"/>
    <mergeCell ref="V3:W5"/>
    <mergeCell ref="P3:Q5"/>
    <mergeCell ref="Z3:AA5"/>
    <mergeCell ref="E3:E4"/>
    <mergeCell ref="T3:U5"/>
    <mergeCell ref="L3:M5"/>
    <mergeCell ref="X3:Y5"/>
    <mergeCell ref="AE6:AE10"/>
    <mergeCell ref="V6:V10"/>
    <mergeCell ref="W6:W10"/>
    <mergeCell ref="AB6:AB10"/>
    <mergeCell ref="AC6:AC10"/>
    <mergeCell ref="R6:R10"/>
    <mergeCell ref="S6:S10"/>
    <mergeCell ref="Z6:Z10"/>
    <mergeCell ref="AA6:AA10"/>
  </mergeCells>
  <pageMargins left="0.7" right="0.7" top="0.75" bottom="0.75" header="0.3" footer="0.3"/>
  <ignoredErrors>
    <ignoredError sqref="K198 K47 J279:J282 J272:J277 J267:J268 J260:J261 J255:J258 J253 J248:J251 J244:J246 J242 J239 J237 J233 J230:J231 J226:J228 J224 J221:J222 J218:J219 J203:J210 J199:J201 J189 J178:J182 J176 J263:J264 J215:J216 J191:J194 J185 J162:J164 J170:J174 J284:J285 J198 J212:J213 J165:J169 J214 J202 J286:J287 J175 J186:J188 J195:J197 J217 J265:J266 J177 J183:J184 J190 J211 J220 J223 J225 J229 J232 J234:J236 J238 J240:J241 J243 J247 J252 J254 J259 J262 J269:J271 J278 J283 J128:J131 J121:J126 J116:J117 J109:J110 J104:J107 J102 J97:J100 J93:J95 J91 J88 J86 J82 J79:J80 J75:J77 J73 J70:J71 J67:J68 J52:J59 J48:J50 J38 J27:J31 J19:J25 J112:J113 J64:J65 J40:J43 J13 J34 J133:J134 J47 J61:J62 J11:J12 J63 J51 J135:J136 J35:J37 J14:J18 J44:J46 J66 J114:J115 J26 J32:J33 J39 J60 J69 J72 J74 J78 J81 J83:J85 J87 J89:J90 J92 J96 J101 J103 J108 J111 J118:J120 J127 J132" numberStoredAsText="1"/>
    <ignoredError sqref="M137:AE138 M288:AG28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68"/>
  <sheetViews>
    <sheetView showRuler="0" workbookViewId="0"/>
  </sheetViews>
  <sheetFormatPr baseColWidth="10" defaultRowHeight="16" x14ac:dyDescent="0.2"/>
  <cols>
    <col min="1" max="1" width="5" style="21" customWidth="1"/>
    <col min="2" max="3" width="6.66406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314" t="s">
        <v>162</v>
      </c>
      <c r="M2" s="315"/>
      <c r="N2" s="315"/>
      <c r="O2" s="315"/>
      <c r="P2" s="315"/>
      <c r="Q2" s="315"/>
      <c r="R2" s="315"/>
      <c r="S2" s="315"/>
      <c r="T2" s="315"/>
      <c r="U2" s="315"/>
      <c r="V2" s="315"/>
      <c r="W2" s="315"/>
      <c r="X2" s="315"/>
      <c r="Y2" s="315"/>
      <c r="Z2" s="315"/>
      <c r="AA2" s="315"/>
      <c r="AB2" s="315"/>
      <c r="AC2" s="315"/>
      <c r="AD2" s="315"/>
      <c r="AE2" s="315"/>
      <c r="AF2" s="315"/>
      <c r="AG2" s="315"/>
      <c r="AH2" s="315"/>
      <c r="AI2" s="315"/>
      <c r="AJ2" s="315"/>
      <c r="AK2" s="315"/>
      <c r="AL2" s="315"/>
      <c r="AM2" s="315"/>
      <c r="AN2" s="315"/>
      <c r="AO2" s="315"/>
      <c r="AP2" s="315"/>
      <c r="AQ2" s="315"/>
      <c r="AR2" s="315"/>
      <c r="AS2" s="315"/>
      <c r="AT2" s="315"/>
      <c r="AU2" s="315"/>
      <c r="AV2" s="315"/>
      <c r="AW2" s="315"/>
      <c r="AX2" s="315"/>
      <c r="AY2" s="315"/>
      <c r="AZ2" s="315"/>
      <c r="BA2" s="316"/>
    </row>
    <row r="3" spans="1:54" ht="16" customHeight="1" x14ac:dyDescent="0.2">
      <c r="E3" s="374" t="s">
        <v>229</v>
      </c>
      <c r="L3" s="320" t="s">
        <v>234</v>
      </c>
      <c r="M3" s="339"/>
      <c r="N3" s="338" t="s">
        <v>160</v>
      </c>
      <c r="O3" s="339"/>
      <c r="P3" s="320" t="s">
        <v>236</v>
      </c>
      <c r="Q3" s="339"/>
      <c r="R3" s="338" t="s">
        <v>171</v>
      </c>
      <c r="S3" s="339"/>
      <c r="T3" s="338" t="s">
        <v>164</v>
      </c>
      <c r="U3" s="339"/>
      <c r="V3" s="338" t="s">
        <v>172</v>
      </c>
      <c r="W3" s="339"/>
      <c r="X3" s="343" t="s">
        <v>207</v>
      </c>
      <c r="Y3" s="339"/>
      <c r="Z3" s="338" t="s">
        <v>170</v>
      </c>
      <c r="AA3" s="339"/>
      <c r="AB3" s="338" t="s">
        <v>173</v>
      </c>
      <c r="AC3" s="339"/>
      <c r="AD3" s="338" t="s">
        <v>161</v>
      </c>
      <c r="AE3" s="339"/>
      <c r="AF3" s="320" t="s">
        <v>371</v>
      </c>
      <c r="AG3" s="321"/>
      <c r="AH3" s="338" t="s">
        <v>157</v>
      </c>
      <c r="AI3" s="339"/>
      <c r="AJ3" s="320" t="s">
        <v>233</v>
      </c>
      <c r="AK3" s="339"/>
      <c r="AL3" s="338" t="s">
        <v>163</v>
      </c>
      <c r="AM3" s="339"/>
      <c r="AN3" s="338" t="s">
        <v>206</v>
      </c>
      <c r="AO3" s="339"/>
      <c r="AP3" s="338" t="s">
        <v>158</v>
      </c>
      <c r="AQ3" s="339"/>
      <c r="AR3" s="320" t="s">
        <v>235</v>
      </c>
      <c r="AS3" s="339"/>
      <c r="AT3" s="338" t="s">
        <v>159</v>
      </c>
      <c r="AU3" s="339"/>
      <c r="AV3" s="338" t="s">
        <v>205</v>
      </c>
      <c r="AW3" s="339"/>
      <c r="AX3" s="338" t="s">
        <v>204</v>
      </c>
      <c r="AY3" s="339"/>
      <c r="AZ3" s="338" t="s">
        <v>201</v>
      </c>
      <c r="BA3" s="339"/>
    </row>
    <row r="4" spans="1:54" ht="20" customHeight="1" x14ac:dyDescent="0.2">
      <c r="C4" s="60"/>
      <c r="E4" s="375"/>
      <c r="L4" s="340"/>
      <c r="M4" s="335"/>
      <c r="N4" s="340"/>
      <c r="O4" s="335"/>
      <c r="P4" s="340"/>
      <c r="Q4" s="335"/>
      <c r="R4" s="340"/>
      <c r="S4" s="335"/>
      <c r="T4" s="340"/>
      <c r="U4" s="335"/>
      <c r="V4" s="340"/>
      <c r="W4" s="335"/>
      <c r="X4" s="334"/>
      <c r="Y4" s="335"/>
      <c r="Z4" s="340"/>
      <c r="AA4" s="335"/>
      <c r="AB4" s="340"/>
      <c r="AC4" s="335"/>
      <c r="AD4" s="340"/>
      <c r="AE4" s="335"/>
      <c r="AF4" s="322"/>
      <c r="AG4" s="323"/>
      <c r="AH4" s="340"/>
      <c r="AI4" s="335"/>
      <c r="AJ4" s="340"/>
      <c r="AK4" s="335"/>
      <c r="AL4" s="340"/>
      <c r="AM4" s="335"/>
      <c r="AN4" s="340"/>
      <c r="AO4" s="335"/>
      <c r="AP4" s="340"/>
      <c r="AQ4" s="335"/>
      <c r="AR4" s="340"/>
      <c r="AS4" s="335"/>
      <c r="AT4" s="340"/>
      <c r="AU4" s="335"/>
      <c r="AV4" s="340"/>
      <c r="AW4" s="335"/>
      <c r="AX4" s="340"/>
      <c r="AY4" s="335"/>
      <c r="AZ4" s="340"/>
      <c r="BA4" s="335"/>
    </row>
    <row r="5" spans="1:54" ht="20" customHeight="1" thickBot="1" x14ac:dyDescent="0.25">
      <c r="B5" s="46"/>
      <c r="C5" s="59"/>
      <c r="E5" s="372" t="s">
        <v>242</v>
      </c>
      <c r="J5" s="22"/>
      <c r="K5" s="22"/>
      <c r="L5" s="341"/>
      <c r="M5" s="342"/>
      <c r="N5" s="341"/>
      <c r="O5" s="342"/>
      <c r="P5" s="341"/>
      <c r="Q5" s="342"/>
      <c r="R5" s="341"/>
      <c r="S5" s="342"/>
      <c r="T5" s="341"/>
      <c r="U5" s="342"/>
      <c r="V5" s="341"/>
      <c r="W5" s="342"/>
      <c r="X5" s="344"/>
      <c r="Y5" s="342"/>
      <c r="Z5" s="341"/>
      <c r="AA5" s="342"/>
      <c r="AB5" s="341"/>
      <c r="AC5" s="342"/>
      <c r="AD5" s="341"/>
      <c r="AE5" s="342"/>
      <c r="AF5" s="324"/>
      <c r="AG5" s="325"/>
      <c r="AH5" s="341"/>
      <c r="AI5" s="342"/>
      <c r="AJ5" s="341"/>
      <c r="AK5" s="342"/>
      <c r="AL5" s="341"/>
      <c r="AM5" s="342"/>
      <c r="AN5" s="341"/>
      <c r="AO5" s="342"/>
      <c r="AP5" s="341"/>
      <c r="AQ5" s="342"/>
      <c r="AR5" s="341"/>
      <c r="AS5" s="342"/>
      <c r="AT5" s="341"/>
      <c r="AU5" s="342"/>
      <c r="AV5" s="341"/>
      <c r="AW5" s="342"/>
      <c r="AX5" s="341"/>
      <c r="AY5" s="342"/>
      <c r="AZ5" s="341"/>
      <c r="BA5" s="342"/>
    </row>
    <row r="6" spans="1:54" ht="20" customHeight="1" x14ac:dyDescent="0.2">
      <c r="A6" s="702"/>
      <c r="B6" s="45"/>
      <c r="C6" s="58"/>
      <c r="E6" s="372"/>
      <c r="H6" s="370" t="s">
        <v>24</v>
      </c>
      <c r="I6" s="306" t="s">
        <v>322</v>
      </c>
      <c r="J6" s="376" t="s">
        <v>320</v>
      </c>
      <c r="K6" s="377" t="s">
        <v>321</v>
      </c>
      <c r="L6" s="366" t="s">
        <v>237</v>
      </c>
      <c r="M6" s="327" t="s">
        <v>238</v>
      </c>
      <c r="N6" s="365" t="s">
        <v>237</v>
      </c>
      <c r="O6" s="327" t="s">
        <v>238</v>
      </c>
      <c r="P6" s="365" t="s">
        <v>237</v>
      </c>
      <c r="Q6" s="327" t="s">
        <v>238</v>
      </c>
      <c r="R6" s="365" t="s">
        <v>237</v>
      </c>
      <c r="S6" s="327" t="s">
        <v>238</v>
      </c>
      <c r="T6" s="365" t="s">
        <v>237</v>
      </c>
      <c r="U6" s="327" t="s">
        <v>238</v>
      </c>
      <c r="V6" s="367" t="s">
        <v>237</v>
      </c>
      <c r="W6" s="327" t="s">
        <v>238</v>
      </c>
      <c r="X6" s="326" t="s">
        <v>237</v>
      </c>
      <c r="Y6" s="327" t="s">
        <v>238</v>
      </c>
      <c r="Z6" s="365" t="s">
        <v>237</v>
      </c>
      <c r="AA6" s="327" t="s">
        <v>238</v>
      </c>
      <c r="AB6" s="365" t="s">
        <v>237</v>
      </c>
      <c r="AC6" s="327" t="s">
        <v>238</v>
      </c>
      <c r="AD6" s="363" t="s">
        <v>237</v>
      </c>
      <c r="AE6" s="327" t="s">
        <v>238</v>
      </c>
      <c r="AF6" s="326" t="s">
        <v>237</v>
      </c>
      <c r="AG6" s="327" t="s">
        <v>238</v>
      </c>
      <c r="AH6" s="363" t="s">
        <v>237</v>
      </c>
      <c r="AI6" s="345" t="s">
        <v>238</v>
      </c>
      <c r="AJ6" s="366" t="s">
        <v>237</v>
      </c>
      <c r="AK6" s="327" t="s">
        <v>238</v>
      </c>
      <c r="AL6" s="365" t="s">
        <v>237</v>
      </c>
      <c r="AM6" s="327" t="s">
        <v>238</v>
      </c>
      <c r="AN6" s="365" t="s">
        <v>237</v>
      </c>
      <c r="AO6" s="327" t="s">
        <v>238</v>
      </c>
      <c r="AP6" s="365" t="s">
        <v>237</v>
      </c>
      <c r="AQ6" s="327" t="s">
        <v>238</v>
      </c>
      <c r="AR6" s="366" t="s">
        <v>237</v>
      </c>
      <c r="AS6" s="327" t="s">
        <v>238</v>
      </c>
      <c r="AT6" s="365" t="s">
        <v>237</v>
      </c>
      <c r="AU6" s="327" t="s">
        <v>238</v>
      </c>
      <c r="AV6" s="365" t="s">
        <v>237</v>
      </c>
      <c r="AW6" s="327" t="s">
        <v>238</v>
      </c>
      <c r="AX6" s="365" t="s">
        <v>237</v>
      </c>
      <c r="AY6" s="327" t="s">
        <v>238</v>
      </c>
      <c r="AZ6" s="365" t="s">
        <v>237</v>
      </c>
      <c r="BA6" s="327" t="s">
        <v>238</v>
      </c>
    </row>
    <row r="7" spans="1:54" ht="23" customHeight="1" thickBot="1" x14ac:dyDescent="0.25">
      <c r="A7" s="370" t="s">
        <v>597</v>
      </c>
      <c r="B7" s="370" t="s">
        <v>245</v>
      </c>
      <c r="C7" s="371" t="s">
        <v>479</v>
      </c>
      <c r="E7" s="373"/>
      <c r="H7" s="370"/>
      <c r="I7" s="293"/>
      <c r="J7" s="294"/>
      <c r="K7" s="295"/>
      <c r="L7" s="366"/>
      <c r="M7" s="327"/>
      <c r="N7" s="365"/>
      <c r="O7" s="327"/>
      <c r="P7" s="365"/>
      <c r="Q7" s="327"/>
      <c r="R7" s="365"/>
      <c r="S7" s="327"/>
      <c r="T7" s="365"/>
      <c r="U7" s="327"/>
      <c r="V7" s="368"/>
      <c r="W7" s="327"/>
      <c r="X7" s="326"/>
      <c r="Y7" s="327"/>
      <c r="Z7" s="365"/>
      <c r="AA7" s="327"/>
      <c r="AB7" s="365"/>
      <c r="AC7" s="327"/>
      <c r="AD7" s="364"/>
      <c r="AE7" s="327"/>
      <c r="AF7" s="326"/>
      <c r="AG7" s="327"/>
      <c r="AH7" s="364"/>
      <c r="AI7" s="346"/>
      <c r="AJ7" s="365"/>
      <c r="AK7" s="327"/>
      <c r="AL7" s="365"/>
      <c r="AM7" s="327"/>
      <c r="AN7" s="365"/>
      <c r="AO7" s="327"/>
      <c r="AP7" s="365"/>
      <c r="AQ7" s="327"/>
      <c r="AR7" s="366"/>
      <c r="AS7" s="327"/>
      <c r="AT7" s="365"/>
      <c r="AU7" s="327"/>
      <c r="AV7" s="365"/>
      <c r="AW7" s="327"/>
      <c r="AX7" s="365"/>
      <c r="AY7" s="327"/>
      <c r="AZ7" s="365"/>
      <c r="BA7" s="327"/>
    </row>
    <row r="8" spans="1:54" ht="23" customHeight="1" x14ac:dyDescent="0.2">
      <c r="A8" s="370"/>
      <c r="B8" s="370"/>
      <c r="C8" s="371"/>
      <c r="H8" s="370"/>
      <c r="I8" s="293"/>
      <c r="J8" s="294"/>
      <c r="K8" s="295"/>
      <c r="L8" s="366"/>
      <c r="M8" s="327"/>
      <c r="N8" s="365"/>
      <c r="O8" s="327"/>
      <c r="P8" s="365"/>
      <c r="Q8" s="327"/>
      <c r="R8" s="365"/>
      <c r="S8" s="327"/>
      <c r="T8" s="365"/>
      <c r="U8" s="327"/>
      <c r="V8" s="368"/>
      <c r="W8" s="327"/>
      <c r="X8" s="326"/>
      <c r="Y8" s="327"/>
      <c r="Z8" s="365"/>
      <c r="AA8" s="327"/>
      <c r="AB8" s="365"/>
      <c r="AC8" s="327"/>
      <c r="AD8" s="364"/>
      <c r="AE8" s="327"/>
      <c r="AF8" s="326"/>
      <c r="AG8" s="327"/>
      <c r="AH8" s="364"/>
      <c r="AI8" s="346"/>
      <c r="AJ8" s="365"/>
      <c r="AK8" s="327"/>
      <c r="AL8" s="365"/>
      <c r="AM8" s="327"/>
      <c r="AN8" s="365"/>
      <c r="AO8" s="327"/>
      <c r="AP8" s="365"/>
      <c r="AQ8" s="327"/>
      <c r="AR8" s="366"/>
      <c r="AS8" s="327"/>
      <c r="AT8" s="365"/>
      <c r="AU8" s="327"/>
      <c r="AV8" s="365"/>
      <c r="AW8" s="327"/>
      <c r="AX8" s="365"/>
      <c r="AY8" s="327"/>
      <c r="AZ8" s="365"/>
      <c r="BA8" s="327"/>
    </row>
    <row r="9" spans="1:54" ht="23" customHeight="1" x14ac:dyDescent="0.2">
      <c r="A9" s="370"/>
      <c r="B9" s="370"/>
      <c r="C9" s="371"/>
      <c r="H9" s="370"/>
      <c r="I9" s="293"/>
      <c r="J9" s="294"/>
      <c r="K9" s="295"/>
      <c r="L9" s="366"/>
      <c r="M9" s="327"/>
      <c r="N9" s="365"/>
      <c r="O9" s="327"/>
      <c r="P9" s="365"/>
      <c r="Q9" s="327"/>
      <c r="R9" s="365"/>
      <c r="S9" s="327"/>
      <c r="T9" s="365"/>
      <c r="U9" s="327"/>
      <c r="V9" s="368"/>
      <c r="W9" s="327"/>
      <c r="X9" s="326"/>
      <c r="Y9" s="327"/>
      <c r="Z9" s="365"/>
      <c r="AA9" s="327"/>
      <c r="AB9" s="365"/>
      <c r="AC9" s="327"/>
      <c r="AD9" s="364"/>
      <c r="AE9" s="327"/>
      <c r="AF9" s="326"/>
      <c r="AG9" s="327"/>
      <c r="AH9" s="364"/>
      <c r="AI9" s="346"/>
      <c r="AJ9" s="365"/>
      <c r="AK9" s="327"/>
      <c r="AL9" s="365"/>
      <c r="AM9" s="327"/>
      <c r="AN9" s="365"/>
      <c r="AO9" s="327"/>
      <c r="AP9" s="365"/>
      <c r="AQ9" s="327"/>
      <c r="AR9" s="366"/>
      <c r="AS9" s="327"/>
      <c r="AT9" s="365"/>
      <c r="AU9" s="327"/>
      <c r="AV9" s="365"/>
      <c r="AW9" s="327"/>
      <c r="AX9" s="365"/>
      <c r="AY9" s="327"/>
      <c r="AZ9" s="365"/>
      <c r="BA9" s="327"/>
    </row>
    <row r="10" spans="1:54" s="20" customFormat="1" ht="23" customHeight="1" thickBot="1" x14ac:dyDescent="0.25">
      <c r="A10" s="370"/>
      <c r="B10" s="370"/>
      <c r="C10" s="371"/>
      <c r="D10" s="706" t="s">
        <v>20</v>
      </c>
      <c r="E10" s="174" t="s">
        <v>21</v>
      </c>
      <c r="F10" s="174" t="s">
        <v>22</v>
      </c>
      <c r="G10" s="706" t="s">
        <v>23</v>
      </c>
      <c r="H10" s="370"/>
      <c r="I10" s="293"/>
      <c r="J10" s="294"/>
      <c r="K10" s="295"/>
      <c r="L10" s="367"/>
      <c r="M10" s="345"/>
      <c r="N10" s="363"/>
      <c r="O10" s="345"/>
      <c r="P10" s="363"/>
      <c r="Q10" s="345"/>
      <c r="R10" s="363"/>
      <c r="S10" s="345"/>
      <c r="T10" s="363"/>
      <c r="U10" s="345"/>
      <c r="V10" s="368"/>
      <c r="W10" s="345"/>
      <c r="X10" s="707"/>
      <c r="Y10" s="345"/>
      <c r="Z10" s="363"/>
      <c r="AA10" s="345"/>
      <c r="AB10" s="363"/>
      <c r="AC10" s="345"/>
      <c r="AD10" s="364"/>
      <c r="AE10" s="345"/>
      <c r="AF10" s="707"/>
      <c r="AG10" s="345"/>
      <c r="AH10" s="364"/>
      <c r="AI10" s="346"/>
      <c r="AJ10" s="363"/>
      <c r="AK10" s="345"/>
      <c r="AL10" s="363"/>
      <c r="AM10" s="345"/>
      <c r="AN10" s="363"/>
      <c r="AO10" s="345"/>
      <c r="AP10" s="363"/>
      <c r="AQ10" s="345"/>
      <c r="AR10" s="367"/>
      <c r="AS10" s="345"/>
      <c r="AT10" s="363"/>
      <c r="AU10" s="345"/>
      <c r="AV10" s="363"/>
      <c r="AW10" s="345"/>
      <c r="AX10" s="363"/>
      <c r="AY10" s="345"/>
      <c r="AZ10" s="363"/>
      <c r="BA10" s="345"/>
      <c r="BB10" s="708" t="s">
        <v>25</v>
      </c>
    </row>
    <row r="11" spans="1:54" ht="20" customHeight="1" x14ac:dyDescent="0.2">
      <c r="A11" s="809"/>
      <c r="B11" s="817"/>
      <c r="C11" s="818"/>
      <c r="D11" s="719" t="s">
        <v>85</v>
      </c>
      <c r="E11" s="720" t="s">
        <v>26</v>
      </c>
      <c r="F11" s="720" t="s">
        <v>27</v>
      </c>
      <c r="G11" s="719">
        <v>2008</v>
      </c>
      <c r="H11" s="286">
        <v>165</v>
      </c>
      <c r="I11" s="709">
        <v>107</v>
      </c>
      <c r="J11" s="710" t="s">
        <v>165</v>
      </c>
      <c r="K11" s="711"/>
      <c r="L11" s="823"/>
      <c r="M11" s="824" t="str">
        <f t="shared" ref="M11:M49" si="0">IF((ISERROR((L11/$I11)*100)), "", IF(AND(NOT(ISERROR((L11/$I11)*100)),((L11/$I11)*100) &lt;&gt; 0), (L11/$I11)*100, ""))</f>
        <v/>
      </c>
      <c r="N11" s="823"/>
      <c r="O11" s="824" t="str">
        <f t="shared" ref="O11:O49" si="1">IF((ISERROR((N11/$I11)*100)), "", IF(AND(NOT(ISERROR((N11/$I11)*100)),((N11/$I11)*100) &lt;&gt; 0), (N11/$I11)*100, ""))</f>
        <v/>
      </c>
      <c r="P11" s="823"/>
      <c r="Q11" s="824" t="str">
        <f t="shared" ref="Q11:Q49" si="2">IF((ISERROR((P11/$I11)*100)), "", IF(AND(NOT(ISERROR((P11/$I11)*100)),((P11/$I11)*100) &lt;&gt; 0), (P11/$I11)*100, ""))</f>
        <v/>
      </c>
      <c r="R11" s="823"/>
      <c r="S11" s="824" t="str">
        <f t="shared" ref="S11:S49" si="3">IF((ISERROR((R11/$I11)*100)), "", IF(AND(NOT(ISERROR((R11/$I11)*100)),((R11/$I11)*100) &lt;&gt; 0), (R11/$I11)*100, ""))</f>
        <v/>
      </c>
      <c r="T11" s="823">
        <v>1</v>
      </c>
      <c r="U11" s="824">
        <f t="shared" ref="U11:U49" si="4">IF((ISERROR((T11/$I11)*100)), "", IF(AND(NOT(ISERROR((T11/$I11)*100)),((T11/$I11)*100) &lt;&gt; 0), (T11/$I11)*100, ""))</f>
        <v>0.93457943925233633</v>
      </c>
      <c r="V11" s="823"/>
      <c r="W11" s="824" t="str">
        <f t="shared" ref="U11:Y13" si="5">IF((ISERROR((V11/$I11)*100)), "", IF(AND(NOT(ISERROR((V11/$I11)*100)),((V11/$I11)*100) &lt;&gt; 0), (V11/$I11)*100, ""))</f>
        <v/>
      </c>
      <c r="X11" s="823">
        <v>1</v>
      </c>
      <c r="Y11" s="824">
        <f t="shared" ref="Y11:Y49" si="6">IF((ISERROR((X11/$I11)*100)), "", IF(AND(NOT(ISERROR((X11/$I11)*100)),((X11/$I11)*100) &lt;&gt; 0), (X11/$I11)*100, ""))</f>
        <v>0.93457943925233633</v>
      </c>
      <c r="Z11" s="823"/>
      <c r="AA11" s="824" t="str">
        <f t="shared" ref="AA11:AA13" si="7">IF((ISERROR((Z11/$I11)*100)), "", IF(AND(NOT(ISERROR((Z11/$I11)*100)),((Z11/$I11)*100) &lt;&gt; 0), (Z11/$I11)*100, ""))</f>
        <v/>
      </c>
      <c r="AB11" s="823"/>
      <c r="AC11" s="824" t="str">
        <f t="shared" ref="AC11:AC13" si="8">IF((ISERROR((AB11/$I11)*100)), "", IF(AND(NOT(ISERROR((AB11/$I11)*100)),((AB11/$I11)*100) &lt;&gt; 0), (AB11/$I11)*100, ""))</f>
        <v/>
      </c>
      <c r="AD11" s="823"/>
      <c r="AE11" s="824" t="str">
        <f t="shared" ref="AE11:AE13" si="9">IF((ISERROR((AD11/$I11)*100)), "", IF(AND(NOT(ISERROR((AD11/$I11)*100)),((AD11/$I11)*100) &lt;&gt; 0), (AD11/$I11)*100, ""))</f>
        <v/>
      </c>
      <c r="AF11" s="823"/>
      <c r="AG11" s="824" t="str">
        <f t="shared" ref="AG11:AG49" si="10">IF((ISERROR((AF11/$I11)*100)), "", IF(AND(NOT(ISERROR((AF11/$I11)*100)),((AF11/$I11)*100) &lt;&gt; 0), (AF11/$I11)*100, ""))</f>
        <v/>
      </c>
      <c r="AH11" s="823"/>
      <c r="AI11" s="824" t="str">
        <f t="shared" ref="AI11:AI49" si="11">IF((ISERROR((AH11/$I11)*100)), "", IF(AND(NOT(ISERROR((AH11/$I11)*100)),((AH11/$I11)*100) &lt;&gt; 0), (AH11/$I11)*100, ""))</f>
        <v/>
      </c>
      <c r="AJ11" s="823"/>
      <c r="AK11" s="824" t="str">
        <f t="shared" ref="AK11:AK49" si="12">IF((ISERROR((AJ11/$I11)*100)), "", IF(AND(NOT(ISERROR((AJ11/$I11)*100)),((AJ11/$I11)*100) &lt;&gt; 0), (AJ11/$I11)*100, ""))</f>
        <v/>
      </c>
      <c r="AL11" s="823">
        <v>1</v>
      </c>
      <c r="AM11" s="824">
        <f t="shared" ref="AM11:AM49" si="13">IF((ISERROR((AL11/$I11)*100)), "", IF(AND(NOT(ISERROR((AL11/$I11)*100)),((AL11/$I11)*100) &lt;&gt; 0), (AL11/$I11)*100, ""))</f>
        <v>0.93457943925233633</v>
      </c>
      <c r="AN11" s="823"/>
      <c r="AO11" s="824" t="str">
        <f t="shared" ref="AO11:AO49" si="14">IF((ISERROR((AN11/$I11)*100)), "", IF(AND(NOT(ISERROR((AN11/$I11)*100)),((AN11/$I11)*100) &lt;&gt; 0), (AN11/$I11)*100, ""))</f>
        <v/>
      </c>
      <c r="AP11" s="823"/>
      <c r="AQ11" s="824" t="str">
        <f t="shared" ref="AQ11:AQ49" si="15">IF((ISERROR((AP11/$I11)*100)), "", IF(AND(NOT(ISERROR((AP11/$I11)*100)),((AP11/$I11)*100) &lt;&gt; 0), (AP11/$I11)*100, ""))</f>
        <v/>
      </c>
      <c r="AR11" s="823"/>
      <c r="AS11" s="824" t="str">
        <f t="shared" ref="AS11:AS13" si="16">IF((ISERROR((AR11/$I11)*100)), "", IF(AND(NOT(ISERROR((AR11/$I11)*100)),((AR11/$I11)*100) &lt;&gt; 0), (AR11/$I11)*100, ""))</f>
        <v/>
      </c>
      <c r="AT11" s="823"/>
      <c r="AU11" s="824" t="str">
        <f t="shared" ref="AU11:AU18" si="17">IF((ISERROR((AT11/$I11)*100)), "", IF(AND(NOT(ISERROR((AT11/$I11)*100)),((AT11/$I11)*100) &lt;&gt; 0), (AT11/$I11)*100, ""))</f>
        <v/>
      </c>
      <c r="AV11" s="823"/>
      <c r="AW11" s="824" t="str">
        <f t="shared" ref="AW11:AW49" si="18">IF((ISERROR((AV11/$I11)*100)), "", IF(AND(NOT(ISERROR((AV11/$I11)*100)),((AV11/$I11)*100) &lt;&gt; 0), (AV11/$I11)*100, ""))</f>
        <v/>
      </c>
      <c r="AX11" s="823"/>
      <c r="AY11" s="824" t="str">
        <f t="shared" ref="AY11:AY49" si="19">IF((ISERROR((AX11/$I11)*100)), "", IF(AND(NOT(ISERROR((AX11/$I11)*100)),((AX11/$I11)*100) &lt;&gt; 0), (AX11/$I11)*100, ""))</f>
        <v/>
      </c>
      <c r="AZ11" s="823"/>
      <c r="BA11" s="824" t="str">
        <f t="shared" ref="BA11:BA49" si="20">IF((ISERROR((AZ11/$I11)*100)), "", IF(AND(NOT(ISERROR((AZ11/$I11)*100)),((AZ11/$I11)*100) &lt;&gt; 0), (AZ11/$I11)*100, ""))</f>
        <v/>
      </c>
      <c r="BB11" s="21" t="s">
        <v>552</v>
      </c>
    </row>
    <row r="12" spans="1:54" ht="20" customHeight="1" x14ac:dyDescent="0.2">
      <c r="A12" s="678"/>
      <c r="B12" s="810"/>
      <c r="C12" s="811"/>
      <c r="D12" s="722" t="s">
        <v>85</v>
      </c>
      <c r="E12" s="723" t="s">
        <v>556</v>
      </c>
      <c r="F12" s="723" t="s">
        <v>557</v>
      </c>
      <c r="G12" s="722">
        <v>2012</v>
      </c>
      <c r="H12" s="812"/>
      <c r="I12" s="231">
        <v>70</v>
      </c>
      <c r="J12" s="232" t="s">
        <v>181</v>
      </c>
      <c r="K12" s="250" t="s">
        <v>190</v>
      </c>
      <c r="L12" s="31"/>
      <c r="M12" s="34"/>
      <c r="N12" s="50"/>
      <c r="O12" s="51"/>
      <c r="P12" s="50"/>
      <c r="Q12" s="51"/>
      <c r="R12" s="50"/>
      <c r="S12" s="51"/>
      <c r="T12" s="50">
        <v>9</v>
      </c>
      <c r="U12" s="51">
        <f t="shared" si="5"/>
        <v>12.857142857142856</v>
      </c>
      <c r="V12" s="50">
        <v>8</v>
      </c>
      <c r="W12" s="51">
        <f t="shared" si="5"/>
        <v>11.428571428571429</v>
      </c>
      <c r="X12" s="52">
        <v>101</v>
      </c>
      <c r="Y12" s="51">
        <f t="shared" si="5"/>
        <v>144.28571428571428</v>
      </c>
      <c r="Z12" s="50"/>
      <c r="AA12" s="51"/>
      <c r="AB12" s="50"/>
      <c r="AC12" s="51"/>
      <c r="AD12" s="50"/>
      <c r="AE12" s="51"/>
      <c r="AF12" s="52">
        <v>31</v>
      </c>
      <c r="AG12" s="51">
        <f t="shared" si="10"/>
        <v>44.285714285714285</v>
      </c>
      <c r="AH12" s="50">
        <v>10</v>
      </c>
      <c r="AI12" s="51">
        <f t="shared" si="11"/>
        <v>14.285714285714285</v>
      </c>
      <c r="AJ12" s="50"/>
      <c r="AK12" s="51"/>
      <c r="AL12" s="50"/>
      <c r="AM12" s="51"/>
      <c r="AN12" s="50"/>
      <c r="AO12" s="51"/>
      <c r="AP12" s="50">
        <v>1</v>
      </c>
      <c r="AQ12" s="51">
        <f t="shared" si="15"/>
        <v>1.4285714285714286</v>
      </c>
      <c r="AR12" s="50"/>
      <c r="AS12" s="51"/>
      <c r="AT12" s="50">
        <v>3</v>
      </c>
      <c r="AU12" s="51">
        <f t="shared" si="17"/>
        <v>4.2857142857142856</v>
      </c>
      <c r="AV12" s="50"/>
      <c r="AW12" s="51"/>
      <c r="AX12" s="50"/>
      <c r="AY12" s="51"/>
      <c r="AZ12" s="50"/>
      <c r="BA12" s="51"/>
      <c r="BB12" s="21" t="s">
        <v>559</v>
      </c>
    </row>
    <row r="13" spans="1:54" ht="20" customHeight="1" x14ac:dyDescent="0.2">
      <c r="A13" s="678"/>
      <c r="B13" s="721"/>
      <c r="C13" s="255"/>
      <c r="D13" s="722" t="s">
        <v>85</v>
      </c>
      <c r="E13" s="723" t="s">
        <v>33</v>
      </c>
      <c r="F13" s="723" t="s">
        <v>34</v>
      </c>
      <c r="G13" s="722">
        <v>2003</v>
      </c>
      <c r="H13" s="287">
        <v>291</v>
      </c>
      <c r="I13" s="65">
        <v>14</v>
      </c>
      <c r="J13" s="61" t="s">
        <v>166</v>
      </c>
      <c r="K13" s="62"/>
      <c r="L13" s="31"/>
      <c r="M13" s="34" t="str">
        <f t="shared" si="0"/>
        <v/>
      </c>
      <c r="N13" s="31"/>
      <c r="O13" s="34" t="str">
        <f t="shared" si="1"/>
        <v/>
      </c>
      <c r="P13" s="31"/>
      <c r="Q13" s="34" t="str">
        <f t="shared" si="2"/>
        <v/>
      </c>
      <c r="R13" s="31"/>
      <c r="S13" s="34" t="str">
        <f t="shared" si="3"/>
        <v/>
      </c>
      <c r="T13" s="31">
        <v>2</v>
      </c>
      <c r="U13" s="34">
        <f t="shared" si="4"/>
        <v>14.285714285714285</v>
      </c>
      <c r="V13" s="31"/>
      <c r="W13" s="34" t="str">
        <f t="shared" si="5"/>
        <v/>
      </c>
      <c r="X13" s="56"/>
      <c r="Y13" s="34" t="str">
        <f t="shared" si="6"/>
        <v/>
      </c>
      <c r="Z13" s="31"/>
      <c r="AA13" s="34" t="str">
        <f t="shared" si="7"/>
        <v/>
      </c>
      <c r="AB13" s="31"/>
      <c r="AC13" s="34" t="str">
        <f t="shared" si="8"/>
        <v/>
      </c>
      <c r="AD13" s="31"/>
      <c r="AE13" s="34" t="str">
        <f t="shared" si="9"/>
        <v/>
      </c>
      <c r="AF13" s="56"/>
      <c r="AG13" s="34" t="str">
        <f t="shared" si="10"/>
        <v/>
      </c>
      <c r="AH13" s="31">
        <v>2</v>
      </c>
      <c r="AI13" s="34">
        <f t="shared" si="11"/>
        <v>14.285714285714285</v>
      </c>
      <c r="AJ13" s="31"/>
      <c r="AK13" s="34" t="str">
        <f t="shared" si="12"/>
        <v/>
      </c>
      <c r="AL13" s="31"/>
      <c r="AM13" s="34" t="str">
        <f t="shared" si="13"/>
        <v/>
      </c>
      <c r="AN13" s="31"/>
      <c r="AO13" s="34" t="str">
        <f t="shared" si="14"/>
        <v/>
      </c>
      <c r="AP13" s="31"/>
      <c r="AQ13" s="34" t="str">
        <f t="shared" si="15"/>
        <v/>
      </c>
      <c r="AR13" s="31">
        <v>1</v>
      </c>
      <c r="AS13" s="34">
        <f t="shared" si="16"/>
        <v>7.1428571428571423</v>
      </c>
      <c r="AT13" s="31"/>
      <c r="AU13" s="34" t="str">
        <f t="shared" si="17"/>
        <v/>
      </c>
      <c r="AV13" s="31"/>
      <c r="AW13" s="34" t="str">
        <f t="shared" si="18"/>
        <v/>
      </c>
      <c r="AX13" s="31"/>
      <c r="AY13" s="34" t="str">
        <f t="shared" si="19"/>
        <v/>
      </c>
      <c r="AZ13" s="31"/>
      <c r="BA13" s="34" t="str">
        <f t="shared" si="20"/>
        <v/>
      </c>
      <c r="BB13" s="21" t="s">
        <v>329</v>
      </c>
    </row>
    <row r="14" spans="1:54" ht="20" customHeight="1" x14ac:dyDescent="0.2">
      <c r="A14" s="678"/>
      <c r="B14" s="725"/>
      <c r="C14" s="255"/>
      <c r="D14" s="722" t="s">
        <v>85</v>
      </c>
      <c r="E14" s="723" t="s">
        <v>250</v>
      </c>
      <c r="F14" s="723" t="s">
        <v>251</v>
      </c>
      <c r="G14" s="722">
        <v>2008</v>
      </c>
      <c r="H14" s="287"/>
      <c r="I14" s="65">
        <v>13</v>
      </c>
      <c r="J14" s="61" t="s">
        <v>217</v>
      </c>
      <c r="K14" s="62" t="s">
        <v>330</v>
      </c>
      <c r="L14" s="31"/>
      <c r="M14" s="34" t="str">
        <f t="shared" si="0"/>
        <v/>
      </c>
      <c r="N14" s="31"/>
      <c r="O14" s="34" t="str">
        <f t="shared" si="1"/>
        <v/>
      </c>
      <c r="P14" s="31"/>
      <c r="Q14" s="34" t="str">
        <f t="shared" si="2"/>
        <v/>
      </c>
      <c r="R14" s="31"/>
      <c r="S14" s="34" t="str">
        <f t="shared" si="3"/>
        <v/>
      </c>
      <c r="T14" s="31"/>
      <c r="U14" s="34" t="str">
        <f t="shared" si="4"/>
        <v/>
      </c>
      <c r="V14" s="31"/>
      <c r="W14" s="34" t="str">
        <f>IF((ISERROR((V14/$I14)*100)), "", IF(AND(NOT(ISERROR((V14/$I14)*100)),((V14/$I14)*100) &lt;&gt; 0), (V14/$I14)*100, ""))</f>
        <v/>
      </c>
      <c r="X14" s="56"/>
      <c r="Y14" s="34" t="str">
        <f t="shared" si="6"/>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56"/>
      <c r="AG14" s="34" t="str">
        <f t="shared" si="10"/>
        <v/>
      </c>
      <c r="AH14" s="31">
        <v>1</v>
      </c>
      <c r="AI14" s="34">
        <f t="shared" si="11"/>
        <v>7.6923076923076925</v>
      </c>
      <c r="AJ14" s="31"/>
      <c r="AK14" s="34" t="str">
        <f t="shared" si="12"/>
        <v/>
      </c>
      <c r="AL14" s="31"/>
      <c r="AM14" s="34" t="str">
        <f t="shared" si="13"/>
        <v/>
      </c>
      <c r="AN14" s="31"/>
      <c r="AO14" s="34" t="str">
        <f t="shared" si="14"/>
        <v/>
      </c>
      <c r="AP14" s="31"/>
      <c r="AQ14" s="34" t="str">
        <f t="shared" si="15"/>
        <v/>
      </c>
      <c r="AR14" s="31"/>
      <c r="AS14" s="34" t="str">
        <f>IF((ISERROR((AR14/$I14)*100)), "", IF(AND(NOT(ISERROR((AR14/$I14)*100)),((AR14/$I14)*100) &lt;&gt; 0), (AR14/$I14)*100, ""))</f>
        <v/>
      </c>
      <c r="AT14" s="31"/>
      <c r="AU14" s="34" t="str">
        <f t="shared" si="17"/>
        <v/>
      </c>
      <c r="AV14" s="31"/>
      <c r="AW14" s="34" t="str">
        <f t="shared" si="18"/>
        <v/>
      </c>
      <c r="AX14" s="31"/>
      <c r="AY14" s="34" t="str">
        <f t="shared" si="19"/>
        <v/>
      </c>
      <c r="AZ14" s="31"/>
      <c r="BA14" s="34" t="str">
        <f t="shared" si="20"/>
        <v/>
      </c>
    </row>
    <row r="15" spans="1:54" ht="20" customHeight="1" x14ac:dyDescent="0.2">
      <c r="A15" s="678"/>
      <c r="B15" s="721"/>
      <c r="C15" s="255"/>
      <c r="D15" s="722" t="s">
        <v>85</v>
      </c>
      <c r="E15" s="723" t="s">
        <v>36</v>
      </c>
      <c r="F15" s="723" t="s">
        <v>37</v>
      </c>
      <c r="G15" s="722">
        <v>2008</v>
      </c>
      <c r="H15" s="287">
        <v>40</v>
      </c>
      <c r="I15" s="65">
        <v>29</v>
      </c>
      <c r="J15" s="61" t="s">
        <v>175</v>
      </c>
      <c r="K15" s="62" t="s">
        <v>168</v>
      </c>
      <c r="L15" s="31"/>
      <c r="M15" s="34" t="str">
        <f t="shared" si="0"/>
        <v/>
      </c>
      <c r="N15" s="31"/>
      <c r="O15" s="34" t="str">
        <f t="shared" si="1"/>
        <v/>
      </c>
      <c r="P15" s="31"/>
      <c r="Q15" s="34" t="str">
        <f t="shared" si="2"/>
        <v/>
      </c>
      <c r="R15" s="31"/>
      <c r="S15" s="34" t="str">
        <f t="shared" si="3"/>
        <v/>
      </c>
      <c r="T15" s="31"/>
      <c r="U15" s="34" t="str">
        <f t="shared" si="4"/>
        <v/>
      </c>
      <c r="V15" s="31"/>
      <c r="W15" s="34" t="str">
        <f>IF((ISERROR((V15/$I15)*100)), "", IF(AND(NOT(ISERROR((V15/$I15)*100)),((V15/$I15)*100) &lt;&gt; 0), (V15/$I15)*100, ""))</f>
        <v/>
      </c>
      <c r="X15" s="56">
        <v>5</v>
      </c>
      <c r="Y15" s="34">
        <f t="shared" si="6"/>
        <v>17.241379310344829</v>
      </c>
      <c r="Z15" s="31"/>
      <c r="AA15" s="34" t="str">
        <f>IF((ISERROR((Z15/$I15)*100)), "", IF(AND(NOT(ISERROR((Z15/$I15)*100)),((Z15/$I15)*100) &lt;&gt; 0), (Z15/$I15)*100, ""))</f>
        <v/>
      </c>
      <c r="AB15" s="31">
        <v>5</v>
      </c>
      <c r="AC15" s="34">
        <f>IF((ISERROR((AB15/$I15)*100)), "", IF(AND(NOT(ISERROR((AB15/$I15)*100)),((AB15/$I15)*100) &lt;&gt; 0), (AB15/$I15)*100, ""))</f>
        <v>17.241379310344829</v>
      </c>
      <c r="AD15" s="31"/>
      <c r="AE15" s="34" t="str">
        <f>IF((ISERROR((AD15/$I15)*100)), "", IF(AND(NOT(ISERROR((AD15/$I15)*100)),((AD15/$I15)*100) &lt;&gt; 0), (AD15/$I15)*100, ""))</f>
        <v/>
      </c>
      <c r="AF15" s="56"/>
      <c r="AG15" s="34" t="str">
        <f t="shared" si="10"/>
        <v/>
      </c>
      <c r="AH15" s="31"/>
      <c r="AI15" s="34" t="str">
        <f t="shared" si="11"/>
        <v/>
      </c>
      <c r="AJ15" s="31"/>
      <c r="AK15" s="34" t="str">
        <f t="shared" si="12"/>
        <v/>
      </c>
      <c r="AL15" s="31"/>
      <c r="AM15" s="34" t="str">
        <f t="shared" si="13"/>
        <v/>
      </c>
      <c r="AN15" s="31"/>
      <c r="AO15" s="34" t="str">
        <f t="shared" si="14"/>
        <v/>
      </c>
      <c r="AP15" s="31"/>
      <c r="AQ15" s="34" t="str">
        <f t="shared" si="15"/>
        <v/>
      </c>
      <c r="AR15" s="31"/>
      <c r="AS15" s="34" t="str">
        <f>IF((ISERROR((AR15/$I15)*100)), "", IF(AND(NOT(ISERROR((AR15/$I15)*100)),((AR15/$I15)*100) &lt;&gt; 0), (AR15/$I15)*100, ""))</f>
        <v/>
      </c>
      <c r="AT15" s="31"/>
      <c r="AU15" s="34" t="str">
        <f t="shared" si="17"/>
        <v/>
      </c>
      <c r="AV15" s="31"/>
      <c r="AW15" s="34" t="str">
        <f t="shared" si="18"/>
        <v/>
      </c>
      <c r="AX15" s="31"/>
      <c r="AY15" s="34" t="str">
        <f t="shared" si="19"/>
        <v/>
      </c>
      <c r="AZ15" s="31"/>
      <c r="BA15" s="34" t="str">
        <f t="shared" si="20"/>
        <v/>
      </c>
      <c r="BB15" s="21" t="s">
        <v>472</v>
      </c>
    </row>
    <row r="16" spans="1:54" ht="20" customHeight="1" x14ac:dyDescent="0.2">
      <c r="A16" s="678"/>
      <c r="B16" s="725"/>
      <c r="C16" s="255"/>
      <c r="D16" s="722" t="s">
        <v>85</v>
      </c>
      <c r="E16" s="723" t="s">
        <v>41</v>
      </c>
      <c r="F16" s="723" t="s">
        <v>42</v>
      </c>
      <c r="G16" s="722">
        <v>2004</v>
      </c>
      <c r="H16" s="287">
        <v>79</v>
      </c>
      <c r="I16" s="65">
        <v>12</v>
      </c>
      <c r="J16" s="61" t="s">
        <v>167</v>
      </c>
      <c r="K16" s="62" t="s">
        <v>168</v>
      </c>
      <c r="L16" s="31"/>
      <c r="M16" s="34" t="str">
        <f t="shared" si="0"/>
        <v/>
      </c>
      <c r="N16" s="31"/>
      <c r="O16" s="34" t="str">
        <f t="shared" si="1"/>
        <v/>
      </c>
      <c r="P16" s="31"/>
      <c r="Q16" s="34" t="str">
        <f t="shared" si="2"/>
        <v/>
      </c>
      <c r="R16" s="31"/>
      <c r="S16" s="34" t="str">
        <f t="shared" si="3"/>
        <v/>
      </c>
      <c r="T16" s="31"/>
      <c r="U16" s="34" t="str">
        <f t="shared" si="4"/>
        <v/>
      </c>
      <c r="V16" s="31"/>
      <c r="W16" s="34" t="str">
        <f>IF((ISERROR((V16/$I16)*100)), "", IF(AND(NOT(ISERROR((V16/$I16)*100)),((V16/$I16)*100) &lt;&gt; 0), (V16/$I16)*100, ""))</f>
        <v/>
      </c>
      <c r="X16" s="56"/>
      <c r="Y16" s="34" t="str">
        <f t="shared" si="6"/>
        <v/>
      </c>
      <c r="Z16" s="31"/>
      <c r="AA16" s="34" t="str">
        <f>IF((ISERROR((Z16/$I16)*100)), "", IF(AND(NOT(ISERROR((Z16/$I16)*100)),((Z16/$I16)*100) &lt;&gt; 0), (Z16/$I16)*100, ""))</f>
        <v/>
      </c>
      <c r="AB16" s="31"/>
      <c r="AC16" s="34" t="str">
        <f>IF((ISERROR((AB16/$I16)*100)), "", IF(AND(NOT(ISERROR((AB16/$I16)*100)),((AB16/$I16)*100) &lt;&gt; 0), (AB16/$I16)*100, ""))</f>
        <v/>
      </c>
      <c r="AD16" s="31"/>
      <c r="AE16" s="34" t="str">
        <f>IF((ISERROR((AD16/$I16)*100)), "", IF(AND(NOT(ISERROR((AD16/$I16)*100)),((AD16/$I16)*100) &lt;&gt; 0), (AD16/$I16)*100, ""))</f>
        <v/>
      </c>
      <c r="AF16" s="56"/>
      <c r="AG16" s="34" t="str">
        <f t="shared" si="10"/>
        <v/>
      </c>
      <c r="AH16" s="31">
        <v>5</v>
      </c>
      <c r="AI16" s="34">
        <f t="shared" si="11"/>
        <v>41.666666666666671</v>
      </c>
      <c r="AJ16" s="31"/>
      <c r="AK16" s="34" t="str">
        <f t="shared" si="12"/>
        <v/>
      </c>
      <c r="AL16" s="31"/>
      <c r="AM16" s="34" t="str">
        <f t="shared" si="13"/>
        <v/>
      </c>
      <c r="AN16" s="31"/>
      <c r="AO16" s="34" t="str">
        <f t="shared" si="14"/>
        <v/>
      </c>
      <c r="AP16" s="31"/>
      <c r="AQ16" s="34" t="str">
        <f t="shared" si="15"/>
        <v/>
      </c>
      <c r="AR16" s="31"/>
      <c r="AS16" s="34" t="str">
        <f>IF((ISERROR((AR16/$I16)*100)), "", IF(AND(NOT(ISERROR((AR16/$I16)*100)),((AR16/$I16)*100) &lt;&gt; 0), (AR16/$I16)*100, ""))</f>
        <v/>
      </c>
      <c r="AT16" s="31"/>
      <c r="AU16" s="34" t="str">
        <f t="shared" si="17"/>
        <v/>
      </c>
      <c r="AV16" s="31"/>
      <c r="AW16" s="34" t="str">
        <f t="shared" si="18"/>
        <v/>
      </c>
      <c r="AX16" s="31"/>
      <c r="AY16" s="34" t="str">
        <f t="shared" si="19"/>
        <v/>
      </c>
      <c r="AZ16" s="31"/>
      <c r="BA16" s="34" t="str">
        <f t="shared" si="20"/>
        <v/>
      </c>
      <c r="BB16" s="21" t="s">
        <v>169</v>
      </c>
    </row>
    <row r="17" spans="1:54" ht="20" customHeight="1" x14ac:dyDescent="0.2">
      <c r="A17" s="678"/>
      <c r="B17" s="725"/>
      <c r="C17" s="255"/>
      <c r="D17" s="722" t="s">
        <v>85</v>
      </c>
      <c r="E17" s="723" t="s">
        <v>43</v>
      </c>
      <c r="F17" s="723" t="s">
        <v>44</v>
      </c>
      <c r="G17" s="722">
        <v>1976</v>
      </c>
      <c r="H17" s="287">
        <v>179</v>
      </c>
      <c r="I17" s="65">
        <v>8</v>
      </c>
      <c r="J17" s="78" t="s">
        <v>331</v>
      </c>
      <c r="K17" s="62"/>
      <c r="L17" s="36">
        <v>2</v>
      </c>
      <c r="M17" s="37">
        <f t="shared" si="0"/>
        <v>25</v>
      </c>
      <c r="N17" s="31"/>
      <c r="O17" s="34" t="str">
        <f t="shared" si="1"/>
        <v/>
      </c>
      <c r="P17" s="36">
        <v>5</v>
      </c>
      <c r="Q17" s="37">
        <f t="shared" si="2"/>
        <v>62.5</v>
      </c>
      <c r="R17" s="36">
        <v>2</v>
      </c>
      <c r="S17" s="37">
        <f t="shared" si="3"/>
        <v>25</v>
      </c>
      <c r="T17" s="36">
        <v>1</v>
      </c>
      <c r="U17" s="37">
        <f t="shared" si="4"/>
        <v>12.5</v>
      </c>
      <c r="V17" s="36">
        <v>1</v>
      </c>
      <c r="W17" s="37">
        <f>IF((ISERROR((V17/$I17)*100)), "", IF(AND(NOT(ISERROR((V17/$I17)*100)),((V17/$I17)*100) &lt;&gt; 0), (V17/$I17)*100, ""))</f>
        <v>12.5</v>
      </c>
      <c r="X17" s="56">
        <v>1</v>
      </c>
      <c r="Y17" s="34">
        <f t="shared" si="6"/>
        <v>12.5</v>
      </c>
      <c r="Z17" s="36">
        <v>1</v>
      </c>
      <c r="AA17" s="37">
        <f>IF((ISERROR((Z17/$I17)*100)), "", IF(AND(NOT(ISERROR((Z17/$I17)*100)),((Z17/$I17)*100) &lt;&gt; 0), (Z17/$I17)*100, ""))</f>
        <v>12.5</v>
      </c>
      <c r="AB17" s="36">
        <v>1</v>
      </c>
      <c r="AC17" s="37">
        <f>IF((ISERROR((AB17/$I17)*100)), "", IF(AND(NOT(ISERROR((AB17/$I17)*100)),((AB17/$I17)*100) &lt;&gt; 0), (AB17/$I17)*100, ""))</f>
        <v>12.5</v>
      </c>
      <c r="AD17" s="31"/>
      <c r="AE17" s="34" t="str">
        <f>IF((ISERROR((AD17/$I17)*100)), "", IF(AND(NOT(ISERROR((AD17/$I17)*100)),((AD17/$I17)*100) &lt;&gt; 0), (AD17/$I17)*100, ""))</f>
        <v/>
      </c>
      <c r="AF17" s="56"/>
      <c r="AG17" s="34" t="str">
        <f t="shared" si="10"/>
        <v/>
      </c>
      <c r="AH17" s="31"/>
      <c r="AI17" s="34" t="str">
        <f t="shared" si="11"/>
        <v/>
      </c>
      <c r="AJ17" s="31"/>
      <c r="AK17" s="34" t="str">
        <f t="shared" si="12"/>
        <v/>
      </c>
      <c r="AL17" s="36">
        <v>1</v>
      </c>
      <c r="AM17" s="37">
        <f t="shared" si="13"/>
        <v>12.5</v>
      </c>
      <c r="AN17" s="31"/>
      <c r="AO17" s="34" t="str">
        <f t="shared" si="14"/>
        <v/>
      </c>
      <c r="AP17" s="31"/>
      <c r="AQ17" s="34" t="str">
        <f t="shared" si="15"/>
        <v/>
      </c>
      <c r="AR17" s="36">
        <v>1</v>
      </c>
      <c r="AS17" s="37">
        <f>IF((ISERROR((AR17/$I17)*100)), "", IF(AND(NOT(ISERROR((AR17/$I17)*100)),((AR17/$I17)*100) &lt;&gt; 0), (AR17/$I17)*100, ""))</f>
        <v>12.5</v>
      </c>
      <c r="AT17" s="31"/>
      <c r="AU17" s="34" t="str">
        <f t="shared" si="17"/>
        <v/>
      </c>
      <c r="AV17" s="36"/>
      <c r="AW17" s="37" t="str">
        <f t="shared" si="18"/>
        <v/>
      </c>
      <c r="AX17" s="36"/>
      <c r="AY17" s="37" t="str">
        <f t="shared" si="19"/>
        <v/>
      </c>
      <c r="AZ17" s="31"/>
      <c r="BA17" s="34" t="str">
        <f t="shared" si="20"/>
        <v/>
      </c>
      <c r="BB17" s="21" t="s">
        <v>182</v>
      </c>
    </row>
    <row r="18" spans="1:54" ht="20" customHeight="1" x14ac:dyDescent="0.2">
      <c r="A18" s="678"/>
      <c r="B18" s="725"/>
      <c r="C18" s="255"/>
      <c r="D18" s="722" t="s">
        <v>85</v>
      </c>
      <c r="E18" s="723" t="s">
        <v>258</v>
      </c>
      <c r="F18" s="723" t="s">
        <v>259</v>
      </c>
      <c r="G18" s="722">
        <v>2013</v>
      </c>
      <c r="H18" s="287"/>
      <c r="I18" s="65">
        <v>12</v>
      </c>
      <c r="J18" s="61" t="s">
        <v>213</v>
      </c>
      <c r="K18" s="62" t="s">
        <v>333</v>
      </c>
      <c r="L18" s="31"/>
      <c r="M18" s="34" t="str">
        <f t="shared" si="0"/>
        <v/>
      </c>
      <c r="N18" s="31"/>
      <c r="O18" s="34" t="str">
        <f t="shared" si="1"/>
        <v/>
      </c>
      <c r="P18" s="31"/>
      <c r="Q18" s="34" t="str">
        <f t="shared" si="2"/>
        <v/>
      </c>
      <c r="R18" s="31"/>
      <c r="S18" s="34" t="str">
        <f t="shared" si="3"/>
        <v/>
      </c>
      <c r="T18" s="36"/>
      <c r="U18" s="37" t="str">
        <f t="shared" si="4"/>
        <v/>
      </c>
      <c r="V18" s="31"/>
      <c r="W18" s="34" t="str">
        <f>IF((ISERROR((V18/$I18)*100)), "", IF(AND(NOT(ISERROR((V18/$I18)*100)),((V18/$I18)*100) &lt;&gt; 0), (V18/$I18)*100, ""))</f>
        <v/>
      </c>
      <c r="X18" s="38"/>
      <c r="Y18" s="37" t="str">
        <f t="shared" si="6"/>
        <v/>
      </c>
      <c r="Z18" s="31"/>
      <c r="AA18" s="34" t="str">
        <f>IF((ISERROR((Z18/$I18)*100)), "", IF(AND(NOT(ISERROR((Z18/$I18)*100)),((Z18/$I18)*100) &lt;&gt; 0), (Z18/$I18)*100, ""))</f>
        <v/>
      </c>
      <c r="AB18" s="31"/>
      <c r="AC18" s="34" t="str">
        <f>IF((ISERROR((AB18/$I18)*100)), "", IF(AND(NOT(ISERROR((AB18/$I18)*100)),((AB18/$I18)*100) &lt;&gt; 0), (AB18/$I18)*100, ""))</f>
        <v/>
      </c>
      <c r="AD18" s="31"/>
      <c r="AE18" s="34" t="str">
        <f>IF((ISERROR((AD18/$I18)*100)), "", IF(AND(NOT(ISERROR((AD18/$I18)*100)),((AD18/$I18)*100) &lt;&gt; 0), (AD18/$I18)*100, ""))</f>
        <v/>
      </c>
      <c r="AF18" s="56"/>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IF((ISERROR((AR18/$I18)*100)), "", IF(AND(NOT(ISERROR((AR18/$I18)*100)),((AR18/$I18)*100) &lt;&gt; 0), (AR18/$I18)*100, ""))</f>
        <v/>
      </c>
      <c r="AT18" s="31"/>
      <c r="AU18" s="34" t="str">
        <f t="shared" si="17"/>
        <v/>
      </c>
      <c r="AV18" s="31"/>
      <c r="AW18" s="34" t="str">
        <f t="shared" si="18"/>
        <v/>
      </c>
      <c r="AX18" s="31"/>
      <c r="AY18" s="34" t="str">
        <f t="shared" si="19"/>
        <v/>
      </c>
      <c r="AZ18" s="31"/>
      <c r="BA18" s="34" t="str">
        <f t="shared" si="20"/>
        <v/>
      </c>
      <c r="BB18" s="21" t="s">
        <v>396</v>
      </c>
    </row>
    <row r="19" spans="1:54" ht="20" customHeight="1" x14ac:dyDescent="0.2">
      <c r="A19" s="678"/>
      <c r="B19" s="725"/>
      <c r="C19" s="255"/>
      <c r="D19" s="722" t="s">
        <v>85</v>
      </c>
      <c r="E19" s="723" t="s">
        <v>260</v>
      </c>
      <c r="F19" s="723" t="s">
        <v>261</v>
      </c>
      <c r="G19" s="722">
        <v>2000</v>
      </c>
      <c r="H19" s="287"/>
      <c r="I19" s="65">
        <v>9</v>
      </c>
      <c r="J19" s="61" t="s">
        <v>217</v>
      </c>
      <c r="K19" s="62" t="s">
        <v>168</v>
      </c>
      <c r="L19" s="31"/>
      <c r="M19" s="34" t="str">
        <f t="shared" si="0"/>
        <v/>
      </c>
      <c r="N19" s="31"/>
      <c r="O19" s="34" t="str">
        <f t="shared" si="1"/>
        <v/>
      </c>
      <c r="P19" s="31">
        <v>1</v>
      </c>
      <c r="Q19" s="34">
        <f t="shared" si="2"/>
        <v>11.111111111111111</v>
      </c>
      <c r="R19" s="31"/>
      <c r="S19" s="34" t="str">
        <f t="shared" si="3"/>
        <v/>
      </c>
      <c r="T19" s="31">
        <v>1</v>
      </c>
      <c r="U19" s="34">
        <f t="shared" si="4"/>
        <v>11.111111111111111</v>
      </c>
      <c r="V19" s="31"/>
      <c r="W19" s="34" t="str">
        <f t="shared" ref="W19" si="21">IF((ISERROR((V19/$I19)*100)), "", IF(AND(NOT(ISERROR((V19/$I19)*100)),((V19/$I19)*100) &lt;&gt; 0), (V19/$I19)*100, ""))</f>
        <v/>
      </c>
      <c r="X19" s="56">
        <v>1</v>
      </c>
      <c r="Y19" s="34">
        <f t="shared" si="6"/>
        <v>11.111111111111111</v>
      </c>
      <c r="Z19" s="31"/>
      <c r="AA19" s="34" t="str">
        <f t="shared" ref="AA19" si="22">IF((ISERROR((Z19/$I19)*100)), "", IF(AND(NOT(ISERROR((Z19/$I19)*100)),((Z19/$I19)*100) &lt;&gt; 0), (Z19/$I19)*100, ""))</f>
        <v/>
      </c>
      <c r="AB19" s="31"/>
      <c r="AC19" s="34" t="str">
        <f t="shared" ref="AC19" si="23">IF((ISERROR((AB19/$I19)*100)), "", IF(AND(NOT(ISERROR((AB19/$I19)*100)),((AB19/$I19)*100) &lt;&gt; 0), (AB19/$I19)*100, ""))</f>
        <v/>
      </c>
      <c r="AD19" s="31"/>
      <c r="AE19" s="34" t="str">
        <f t="shared" ref="AE19" si="24">IF((ISERROR((AD19/$I19)*100)), "", IF(AND(NOT(ISERROR((AD19/$I19)*100)),((AD19/$I19)*100) &lt;&gt; 0), (AD19/$I19)*100, ""))</f>
        <v/>
      </c>
      <c r="AF19" s="56"/>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ref="AS19" si="25">IF((ISERROR((AR19/$I19)*100)), "", IF(AND(NOT(ISERROR((AR19/$I19)*100)),((AR19/$I19)*100) &lt;&gt; 0), (AR19/$I19)*100, ""))</f>
        <v/>
      </c>
      <c r="AT19" s="31"/>
      <c r="AU19" s="34" t="str">
        <f t="shared" ref="AU19:AU30" si="26">IF((ISERROR((AT19/$I19)*100)), "", IF(AND(NOT(ISERROR((AT19/$I19)*100)),((AT19/$I19)*100) &lt;&gt; 0), (AT19/$I19)*100, ""))</f>
        <v/>
      </c>
      <c r="AV19" s="31"/>
      <c r="AW19" s="34" t="str">
        <f t="shared" si="18"/>
        <v/>
      </c>
      <c r="AX19" s="31"/>
      <c r="AY19" s="34" t="str">
        <f t="shared" si="19"/>
        <v/>
      </c>
      <c r="AZ19" s="31"/>
      <c r="BA19" s="34" t="str">
        <f t="shared" si="20"/>
        <v/>
      </c>
      <c r="BB19" s="21" t="s">
        <v>334</v>
      </c>
    </row>
    <row r="20" spans="1:54" ht="20" customHeight="1" x14ac:dyDescent="0.2">
      <c r="A20" s="678"/>
      <c r="B20" s="725"/>
      <c r="C20" s="255"/>
      <c r="D20" s="722" t="s">
        <v>85</v>
      </c>
      <c r="E20" s="723" t="s">
        <v>397</v>
      </c>
      <c r="F20" s="723" t="s">
        <v>398</v>
      </c>
      <c r="G20" s="722">
        <v>2013</v>
      </c>
      <c r="H20" s="287"/>
      <c r="I20" s="65">
        <v>38</v>
      </c>
      <c r="J20" s="61" t="s">
        <v>399</v>
      </c>
      <c r="K20" s="62" t="s">
        <v>168</v>
      </c>
      <c r="L20" s="31"/>
      <c r="M20" s="34" t="str">
        <f t="shared" si="0"/>
        <v/>
      </c>
      <c r="N20" s="31"/>
      <c r="O20" s="34" t="str">
        <f t="shared" si="1"/>
        <v/>
      </c>
      <c r="P20" s="31"/>
      <c r="Q20" s="34" t="str">
        <f t="shared" si="2"/>
        <v/>
      </c>
      <c r="R20" s="31"/>
      <c r="S20" s="34" t="str">
        <f t="shared" si="3"/>
        <v/>
      </c>
      <c r="T20" s="31"/>
      <c r="U20" s="34" t="str">
        <f t="shared" si="4"/>
        <v/>
      </c>
      <c r="V20" s="31"/>
      <c r="W20" s="34" t="str">
        <f t="shared" ref="W20:W33" si="27">IF((ISERROR((V20/$I20)*100)), "", IF(AND(NOT(ISERROR((V20/$I20)*100)),((V20/$I20)*100) &lt;&gt; 0), (V20/$I20)*100, ""))</f>
        <v/>
      </c>
      <c r="X20" s="31"/>
      <c r="Y20" s="34" t="str">
        <f t="shared" si="6"/>
        <v/>
      </c>
      <c r="Z20" s="31"/>
      <c r="AA20" s="34" t="str">
        <f t="shared" ref="AA20:AA30" si="28">IF((ISERROR((Z20/$I20)*100)), "", IF(AND(NOT(ISERROR((Z20/$I20)*100)),((Z20/$I20)*100) &lt;&gt; 0), (Z20/$I20)*100, ""))</f>
        <v/>
      </c>
      <c r="AB20" s="31"/>
      <c r="AC20" s="34" t="str">
        <f t="shared" ref="AC20:AC30" si="29">IF((ISERROR((AB20/$I20)*100)), "", IF(AND(NOT(ISERROR((AB20/$I20)*100)),((AB20/$I20)*100) &lt;&gt; 0), (AB20/$I20)*100, ""))</f>
        <v/>
      </c>
      <c r="AD20" s="31"/>
      <c r="AE20" s="34" t="str">
        <f t="shared" ref="AE20:AE30" si="30">IF((ISERROR((AD20/$I20)*100)), "", IF(AND(NOT(ISERROR((AD20/$I20)*100)),((AD20/$I20)*100) &lt;&gt; 0), (AD20/$I20)*100, ""))</f>
        <v/>
      </c>
      <c r="AF20" s="56">
        <v>37</v>
      </c>
      <c r="AG20" s="34">
        <f t="shared" si="10"/>
        <v>97.368421052631575</v>
      </c>
      <c r="AH20" s="31"/>
      <c r="AI20" s="34" t="str">
        <f t="shared" si="11"/>
        <v/>
      </c>
      <c r="AJ20" s="31"/>
      <c r="AK20" s="34" t="str">
        <f t="shared" si="12"/>
        <v/>
      </c>
      <c r="AL20" s="31"/>
      <c r="AM20" s="34" t="str">
        <f t="shared" si="13"/>
        <v/>
      </c>
      <c r="AN20" s="31"/>
      <c r="AO20" s="34" t="str">
        <f t="shared" si="14"/>
        <v/>
      </c>
      <c r="AP20" s="31"/>
      <c r="AQ20" s="34" t="str">
        <f t="shared" si="15"/>
        <v/>
      </c>
      <c r="AR20" s="31"/>
      <c r="AS20" s="34" t="str">
        <f t="shared" ref="AS20:AS30" si="31">IF((ISERROR((AR20/$I20)*100)), "", IF(AND(NOT(ISERROR((AR20/$I20)*100)),((AR20/$I20)*100) &lt;&gt; 0), (AR20/$I20)*100, ""))</f>
        <v/>
      </c>
      <c r="AT20" s="31"/>
      <c r="AU20" s="34" t="str">
        <f t="shared" si="26"/>
        <v/>
      </c>
      <c r="AV20" s="31"/>
      <c r="AW20" s="34" t="str">
        <f t="shared" si="18"/>
        <v/>
      </c>
      <c r="AX20" s="31"/>
      <c r="AY20" s="34" t="str">
        <f t="shared" si="19"/>
        <v/>
      </c>
      <c r="AZ20" s="31"/>
      <c r="BA20" s="34" t="str">
        <f t="shared" si="20"/>
        <v/>
      </c>
      <c r="BB20" s="21" t="s">
        <v>407</v>
      </c>
    </row>
    <row r="21" spans="1:54" ht="20" customHeight="1" x14ac:dyDescent="0.2">
      <c r="A21" s="680"/>
      <c r="B21" s="721"/>
      <c r="C21" s="255"/>
      <c r="D21" s="722" t="s">
        <v>85</v>
      </c>
      <c r="E21" s="723" t="s">
        <v>628</v>
      </c>
      <c r="F21" s="723" t="s">
        <v>629</v>
      </c>
      <c r="G21" s="722">
        <v>1993</v>
      </c>
      <c r="H21" s="287"/>
      <c r="I21" s="701"/>
      <c r="J21" s="232" t="s">
        <v>627</v>
      </c>
      <c r="K21" s="250" t="s">
        <v>626</v>
      </c>
      <c r="L21" s="31"/>
      <c r="M21" s="34"/>
      <c r="N21" s="31"/>
      <c r="O21" s="34"/>
      <c r="P21" s="31"/>
      <c r="Q21" s="34"/>
      <c r="R21" s="31"/>
      <c r="S21" s="34"/>
      <c r="T21" s="31"/>
      <c r="U21" s="34"/>
      <c r="V21" s="31"/>
      <c r="W21" s="34"/>
      <c r="X21" s="56"/>
      <c r="Y21" s="34"/>
      <c r="Z21" s="31"/>
      <c r="AA21" s="34"/>
      <c r="AB21" s="31"/>
      <c r="AC21" s="34"/>
      <c r="AD21" s="31"/>
      <c r="AE21" s="34"/>
      <c r="AF21" s="56"/>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678"/>
      <c r="B22" s="725"/>
      <c r="C22" s="255"/>
      <c r="D22" s="722" t="s">
        <v>85</v>
      </c>
      <c r="E22" s="723" t="s">
        <v>264</v>
      </c>
      <c r="F22" s="723" t="s">
        <v>265</v>
      </c>
      <c r="G22" s="722">
        <v>1994</v>
      </c>
      <c r="H22" s="287"/>
      <c r="I22" s="65">
        <v>20</v>
      </c>
      <c r="J22" s="61" t="s">
        <v>335</v>
      </c>
      <c r="K22" s="62"/>
      <c r="L22" s="31"/>
      <c r="M22" s="34" t="str">
        <f t="shared" si="0"/>
        <v/>
      </c>
      <c r="N22" s="31"/>
      <c r="O22" s="34" t="str">
        <f t="shared" si="1"/>
        <v/>
      </c>
      <c r="P22" s="31"/>
      <c r="Q22" s="34" t="str">
        <f t="shared" si="2"/>
        <v/>
      </c>
      <c r="R22" s="31"/>
      <c r="S22" s="34" t="str">
        <f t="shared" si="3"/>
        <v/>
      </c>
      <c r="T22" s="36"/>
      <c r="U22" s="37" t="str">
        <f t="shared" si="4"/>
        <v/>
      </c>
      <c r="V22" s="36"/>
      <c r="W22" s="37" t="str">
        <f t="shared" si="27"/>
        <v/>
      </c>
      <c r="X22" s="38"/>
      <c r="Y22" s="37" t="str">
        <f t="shared" si="6"/>
        <v/>
      </c>
      <c r="Z22" s="31"/>
      <c r="AA22" s="34" t="str">
        <f t="shared" si="28"/>
        <v/>
      </c>
      <c r="AB22" s="31"/>
      <c r="AC22" s="34" t="str">
        <f t="shared" si="29"/>
        <v/>
      </c>
      <c r="AD22" s="31"/>
      <c r="AE22" s="34" t="str">
        <f t="shared" si="30"/>
        <v/>
      </c>
      <c r="AF22" s="56"/>
      <c r="AG22" s="34" t="str">
        <f t="shared" si="10"/>
        <v/>
      </c>
      <c r="AH22" s="31"/>
      <c r="AI22" s="34" t="str">
        <f t="shared" si="11"/>
        <v/>
      </c>
      <c r="AJ22" s="31"/>
      <c r="AK22" s="34" t="str">
        <f t="shared" si="12"/>
        <v/>
      </c>
      <c r="AL22" s="31"/>
      <c r="AM22" s="34" t="str">
        <f t="shared" si="13"/>
        <v/>
      </c>
      <c r="AN22" s="31"/>
      <c r="AO22" s="34" t="str">
        <f t="shared" si="14"/>
        <v/>
      </c>
      <c r="AP22" s="31"/>
      <c r="AQ22" s="34" t="str">
        <f t="shared" si="15"/>
        <v/>
      </c>
      <c r="AR22" s="31"/>
      <c r="AS22" s="34" t="str">
        <f t="shared" si="31"/>
        <v/>
      </c>
      <c r="AT22" s="31"/>
      <c r="AU22" s="34" t="str">
        <f t="shared" si="26"/>
        <v/>
      </c>
      <c r="AV22" s="31"/>
      <c r="AW22" s="34" t="str">
        <f t="shared" si="18"/>
        <v/>
      </c>
      <c r="AX22" s="31"/>
      <c r="AY22" s="34" t="str">
        <f t="shared" si="19"/>
        <v/>
      </c>
      <c r="AZ22" s="31"/>
      <c r="BA22" s="34" t="str">
        <f t="shared" si="20"/>
        <v/>
      </c>
      <c r="BB22" s="21" t="s">
        <v>400</v>
      </c>
    </row>
    <row r="23" spans="1:54" ht="20" customHeight="1" x14ac:dyDescent="0.2">
      <c r="A23" s="680"/>
      <c r="B23" s="721"/>
      <c r="C23" s="255"/>
      <c r="D23" s="722" t="s">
        <v>85</v>
      </c>
      <c r="E23" s="723" t="s">
        <v>630</v>
      </c>
      <c r="F23" s="723" t="s">
        <v>631</v>
      </c>
      <c r="G23" s="722">
        <v>2013</v>
      </c>
      <c r="H23" s="287"/>
      <c r="I23" s="701">
        <v>30</v>
      </c>
      <c r="J23" s="232" t="s">
        <v>213</v>
      </c>
      <c r="K23" s="250" t="s">
        <v>632</v>
      </c>
      <c r="L23" s="31"/>
      <c r="M23" s="34"/>
      <c r="N23" s="31"/>
      <c r="O23" s="34"/>
      <c r="P23" s="31"/>
      <c r="Q23" s="34"/>
      <c r="R23" s="31"/>
      <c r="S23" s="34"/>
      <c r="T23" s="31"/>
      <c r="U23" s="34"/>
      <c r="V23" s="31"/>
      <c r="W23" s="34"/>
      <c r="X23" s="56"/>
      <c r="Y23" s="34"/>
      <c r="Z23" s="31"/>
      <c r="AA23" s="34"/>
      <c r="AB23" s="31"/>
      <c r="AC23" s="34"/>
      <c r="AD23" s="31"/>
      <c r="AE23" s="34"/>
      <c r="AF23" s="56"/>
      <c r="AG23" s="34"/>
      <c r="AH23" s="31"/>
      <c r="AI23" s="34"/>
      <c r="AJ23" s="31"/>
      <c r="AK23" s="34"/>
      <c r="AL23" s="31"/>
      <c r="AM23" s="34"/>
      <c r="AN23" s="31"/>
      <c r="AO23" s="34"/>
      <c r="AP23" s="31"/>
      <c r="AQ23" s="34"/>
      <c r="AR23" s="31"/>
      <c r="AS23" s="34"/>
      <c r="AT23" s="31"/>
      <c r="AU23" s="34"/>
      <c r="AV23" s="31"/>
      <c r="AW23" s="34"/>
      <c r="AX23" s="31"/>
      <c r="AY23" s="34"/>
      <c r="AZ23" s="31"/>
      <c r="BA23" s="34"/>
    </row>
    <row r="24" spans="1:54" ht="20" customHeight="1" x14ac:dyDescent="0.2">
      <c r="A24" s="678"/>
      <c r="B24" s="725"/>
      <c r="C24" s="255"/>
      <c r="D24" s="722" t="s">
        <v>85</v>
      </c>
      <c r="E24" s="723" t="s">
        <v>54</v>
      </c>
      <c r="F24" s="723" t="s">
        <v>55</v>
      </c>
      <c r="G24" s="722">
        <v>1996</v>
      </c>
      <c r="H24" s="287">
        <v>82</v>
      </c>
      <c r="I24" s="65">
        <v>15</v>
      </c>
      <c r="J24" s="61" t="s">
        <v>175</v>
      </c>
      <c r="K24" s="62" t="s">
        <v>177</v>
      </c>
      <c r="L24" s="31">
        <v>1</v>
      </c>
      <c r="M24" s="34">
        <f t="shared" si="0"/>
        <v>6.666666666666667</v>
      </c>
      <c r="N24" s="31"/>
      <c r="O24" s="34" t="str">
        <f t="shared" si="1"/>
        <v/>
      </c>
      <c r="P24" s="31"/>
      <c r="Q24" s="34" t="str">
        <f t="shared" si="2"/>
        <v/>
      </c>
      <c r="R24" s="31"/>
      <c r="S24" s="34" t="str">
        <f t="shared" si="3"/>
        <v/>
      </c>
      <c r="T24" s="31"/>
      <c r="U24" s="34" t="str">
        <f t="shared" si="4"/>
        <v/>
      </c>
      <c r="V24" s="31"/>
      <c r="W24" s="34" t="str">
        <f t="shared" si="27"/>
        <v/>
      </c>
      <c r="X24" s="56">
        <v>1</v>
      </c>
      <c r="Y24" s="34">
        <f t="shared" si="6"/>
        <v>6.666666666666667</v>
      </c>
      <c r="Z24" s="31"/>
      <c r="AA24" s="34" t="str">
        <f t="shared" si="28"/>
        <v/>
      </c>
      <c r="AB24" s="31"/>
      <c r="AC24" s="34" t="str">
        <f t="shared" si="29"/>
        <v/>
      </c>
      <c r="AD24" s="31"/>
      <c r="AE24" s="34" t="str">
        <f t="shared" si="30"/>
        <v/>
      </c>
      <c r="AF24" s="56"/>
      <c r="AG24" s="34" t="str">
        <f t="shared" si="10"/>
        <v/>
      </c>
      <c r="AH24" s="31">
        <v>3</v>
      </c>
      <c r="AI24" s="34">
        <f t="shared" si="11"/>
        <v>20</v>
      </c>
      <c r="AJ24" s="31">
        <v>1</v>
      </c>
      <c r="AK24" s="34">
        <f t="shared" si="12"/>
        <v>6.666666666666667</v>
      </c>
      <c r="AL24" s="31"/>
      <c r="AM24" s="34" t="str">
        <f t="shared" si="13"/>
        <v/>
      </c>
      <c r="AN24" s="31"/>
      <c r="AO24" s="34" t="str">
        <f t="shared" si="14"/>
        <v/>
      </c>
      <c r="AP24" s="31"/>
      <c r="AQ24" s="34" t="str">
        <f t="shared" si="15"/>
        <v/>
      </c>
      <c r="AR24" s="31"/>
      <c r="AS24" s="34" t="str">
        <f t="shared" si="31"/>
        <v/>
      </c>
      <c r="AT24" s="31"/>
      <c r="AU24" s="34" t="str">
        <f t="shared" si="26"/>
        <v/>
      </c>
      <c r="AV24" s="31"/>
      <c r="AW24" s="34" t="str">
        <f t="shared" si="18"/>
        <v/>
      </c>
      <c r="AX24" s="31"/>
      <c r="AY24" s="34" t="str">
        <f t="shared" si="19"/>
        <v/>
      </c>
      <c r="AZ24" s="31"/>
      <c r="BA24" s="34" t="str">
        <f t="shared" si="20"/>
        <v/>
      </c>
      <c r="BB24" s="21" t="s">
        <v>339</v>
      </c>
    </row>
    <row r="25" spans="1:54" ht="20" customHeight="1" x14ac:dyDescent="0.2">
      <c r="A25" s="680"/>
      <c r="B25" s="721"/>
      <c r="C25" s="255"/>
      <c r="D25" s="722" t="s">
        <v>85</v>
      </c>
      <c r="E25" s="723" t="s">
        <v>633</v>
      </c>
      <c r="F25" s="723" t="s">
        <v>514</v>
      </c>
      <c r="G25" s="722">
        <v>1995</v>
      </c>
      <c r="H25" s="287"/>
      <c r="I25" s="701">
        <v>12</v>
      </c>
      <c r="J25" s="232" t="s">
        <v>210</v>
      </c>
      <c r="K25" s="250" t="s">
        <v>209</v>
      </c>
      <c r="L25" s="31"/>
      <c r="M25" s="34"/>
      <c r="N25" s="31"/>
      <c r="O25" s="34"/>
      <c r="P25" s="31"/>
      <c r="Q25" s="34"/>
      <c r="R25" s="31"/>
      <c r="S25" s="34"/>
      <c r="T25" s="31"/>
      <c r="U25" s="34"/>
      <c r="V25" s="31"/>
      <c r="W25" s="34"/>
      <c r="X25" s="56"/>
      <c r="Y25" s="34"/>
      <c r="Z25" s="31"/>
      <c r="AA25" s="34"/>
      <c r="AB25" s="31"/>
      <c r="AC25" s="34"/>
      <c r="AD25" s="31"/>
      <c r="AE25" s="34"/>
      <c r="AF25" s="56"/>
      <c r="AG25" s="34"/>
      <c r="AH25" s="31"/>
      <c r="AI25" s="34"/>
      <c r="AJ25" s="31"/>
      <c r="AK25" s="34"/>
      <c r="AL25" s="31"/>
      <c r="AM25" s="34"/>
      <c r="AN25" s="31"/>
      <c r="AO25" s="34"/>
      <c r="AP25" s="31"/>
      <c r="AQ25" s="34"/>
      <c r="AR25" s="31"/>
      <c r="AS25" s="34"/>
      <c r="AT25" s="31"/>
      <c r="AU25" s="34"/>
      <c r="AV25" s="31"/>
      <c r="AW25" s="34"/>
      <c r="AX25" s="31"/>
      <c r="AY25" s="34"/>
      <c r="AZ25" s="31"/>
      <c r="BA25" s="34"/>
    </row>
    <row r="26" spans="1:54" ht="20" customHeight="1" x14ac:dyDescent="0.2">
      <c r="A26" s="680"/>
      <c r="B26" s="725"/>
      <c r="C26" s="255"/>
      <c r="D26" s="722" t="s">
        <v>85</v>
      </c>
      <c r="E26" s="723" t="s">
        <v>634</v>
      </c>
      <c r="F26" s="723" t="s">
        <v>514</v>
      </c>
      <c r="G26" s="722">
        <v>1999</v>
      </c>
      <c r="H26" s="287"/>
      <c r="I26" s="703">
        <v>34</v>
      </c>
      <c r="J26" s="704" t="s">
        <v>210</v>
      </c>
      <c r="K26" s="705" t="s">
        <v>636</v>
      </c>
      <c r="L26" s="31"/>
      <c r="M26" s="34"/>
      <c r="N26" s="31"/>
      <c r="O26" s="34"/>
      <c r="P26" s="31"/>
      <c r="Q26" s="34"/>
      <c r="R26" s="31"/>
      <c r="S26" s="34"/>
      <c r="T26" s="31"/>
      <c r="U26" s="34"/>
      <c r="V26" s="31"/>
      <c r="W26" s="34"/>
      <c r="X26" s="56"/>
      <c r="Y26" s="34"/>
      <c r="Z26" s="31"/>
      <c r="AA26" s="34"/>
      <c r="AB26" s="31"/>
      <c r="AC26" s="34"/>
      <c r="AD26" s="31"/>
      <c r="AE26" s="34"/>
      <c r="AF26" s="56"/>
      <c r="AG26" s="34"/>
      <c r="AH26" s="31"/>
      <c r="AI26" s="34"/>
      <c r="AJ26" s="31"/>
      <c r="AK26" s="34"/>
      <c r="AL26" s="31"/>
      <c r="AM26" s="34"/>
      <c r="AN26" s="31"/>
      <c r="AO26" s="34"/>
      <c r="AP26" s="31"/>
      <c r="AQ26" s="34"/>
      <c r="AR26" s="31"/>
      <c r="AS26" s="34"/>
      <c r="AT26" s="31"/>
      <c r="AU26" s="34"/>
      <c r="AV26" s="31"/>
      <c r="AW26" s="34"/>
      <c r="AX26" s="31"/>
      <c r="AY26" s="34"/>
      <c r="AZ26" s="31"/>
      <c r="BA26" s="34"/>
    </row>
    <row r="27" spans="1:54" ht="20" customHeight="1" x14ac:dyDescent="0.2">
      <c r="A27" s="680"/>
      <c r="B27" s="725"/>
      <c r="C27" s="255"/>
      <c r="D27" s="722" t="s">
        <v>85</v>
      </c>
      <c r="E27" s="723" t="s">
        <v>635</v>
      </c>
      <c r="F27" s="723" t="s">
        <v>514</v>
      </c>
      <c r="G27" s="722">
        <v>2011</v>
      </c>
      <c r="H27" s="287"/>
      <c r="I27" s="703">
        <v>36</v>
      </c>
      <c r="J27" s="704" t="s">
        <v>210</v>
      </c>
      <c r="K27" s="705" t="s">
        <v>637</v>
      </c>
      <c r="L27" s="31"/>
      <c r="M27" s="34"/>
      <c r="N27" s="31"/>
      <c r="O27" s="34"/>
      <c r="P27" s="31"/>
      <c r="Q27" s="34"/>
      <c r="R27" s="31"/>
      <c r="S27" s="34"/>
      <c r="T27" s="31"/>
      <c r="U27" s="34"/>
      <c r="V27" s="31"/>
      <c r="W27" s="34"/>
      <c r="X27" s="56"/>
      <c r="Y27" s="34"/>
      <c r="Z27" s="31"/>
      <c r="AA27" s="34"/>
      <c r="AB27" s="31"/>
      <c r="AC27" s="34"/>
      <c r="AD27" s="31"/>
      <c r="AE27" s="34"/>
      <c r="AF27" s="56"/>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678"/>
      <c r="B28" s="725"/>
      <c r="C28" s="255"/>
      <c r="D28" s="722" t="s">
        <v>85</v>
      </c>
      <c r="E28" s="723" t="s">
        <v>270</v>
      </c>
      <c r="F28" s="723" t="s">
        <v>271</v>
      </c>
      <c r="G28" s="722">
        <v>2014</v>
      </c>
      <c r="H28" s="287"/>
      <c r="I28" s="65">
        <v>39</v>
      </c>
      <c r="J28" s="61" t="s">
        <v>402</v>
      </c>
      <c r="K28" s="62" t="s">
        <v>338</v>
      </c>
      <c r="L28" s="31">
        <v>22</v>
      </c>
      <c r="M28" s="34">
        <f t="shared" si="0"/>
        <v>56.410256410256409</v>
      </c>
      <c r="N28" s="31"/>
      <c r="O28" s="34" t="str">
        <f t="shared" si="1"/>
        <v/>
      </c>
      <c r="P28" s="31"/>
      <c r="Q28" s="34" t="str">
        <f t="shared" si="2"/>
        <v/>
      </c>
      <c r="R28" s="31"/>
      <c r="S28" s="34" t="str">
        <f t="shared" si="3"/>
        <v/>
      </c>
      <c r="T28" s="31">
        <v>22</v>
      </c>
      <c r="U28" s="34">
        <f t="shared" si="4"/>
        <v>56.410256410256409</v>
      </c>
      <c r="V28" s="31">
        <v>23</v>
      </c>
      <c r="W28" s="34">
        <f t="shared" si="27"/>
        <v>58.974358974358978</v>
      </c>
      <c r="X28" s="56"/>
      <c r="Y28" s="34" t="str">
        <f t="shared" si="6"/>
        <v/>
      </c>
      <c r="Z28" s="31"/>
      <c r="AA28" s="34" t="str">
        <f t="shared" si="28"/>
        <v/>
      </c>
      <c r="AB28" s="31"/>
      <c r="AC28" s="34" t="str">
        <f t="shared" si="29"/>
        <v/>
      </c>
      <c r="AD28" s="31"/>
      <c r="AE28" s="34" t="str">
        <f t="shared" si="30"/>
        <v/>
      </c>
      <c r="AF28" s="56"/>
      <c r="AG28" s="34" t="str">
        <f t="shared" si="10"/>
        <v/>
      </c>
      <c r="AH28" s="31"/>
      <c r="AI28" s="34" t="str">
        <f t="shared" si="11"/>
        <v/>
      </c>
      <c r="AJ28" s="31"/>
      <c r="AK28" s="34" t="str">
        <f t="shared" si="12"/>
        <v/>
      </c>
      <c r="AL28" s="31"/>
      <c r="AM28" s="34" t="str">
        <f t="shared" si="13"/>
        <v/>
      </c>
      <c r="AN28" s="31"/>
      <c r="AO28" s="34" t="str">
        <f t="shared" si="14"/>
        <v/>
      </c>
      <c r="AP28" s="31">
        <v>8</v>
      </c>
      <c r="AQ28" s="34">
        <f t="shared" si="15"/>
        <v>20.512820512820511</v>
      </c>
      <c r="AR28" s="31"/>
      <c r="AS28" s="34" t="str">
        <f t="shared" si="31"/>
        <v/>
      </c>
      <c r="AT28" s="31">
        <v>3</v>
      </c>
      <c r="AU28" s="34">
        <f t="shared" si="26"/>
        <v>7.6923076923076925</v>
      </c>
      <c r="AV28" s="31"/>
      <c r="AW28" s="34" t="str">
        <f t="shared" si="18"/>
        <v/>
      </c>
      <c r="AX28" s="31"/>
      <c r="AY28" s="34" t="str">
        <f t="shared" si="19"/>
        <v/>
      </c>
      <c r="AZ28" s="31"/>
      <c r="BA28" s="34" t="str">
        <f t="shared" si="20"/>
        <v/>
      </c>
      <c r="BB28" s="21" t="s">
        <v>344</v>
      </c>
    </row>
    <row r="29" spans="1:54" ht="20" customHeight="1" x14ac:dyDescent="0.2">
      <c r="A29" s="678"/>
      <c r="B29" s="721"/>
      <c r="C29" s="255"/>
      <c r="D29" s="722" t="s">
        <v>85</v>
      </c>
      <c r="E29" s="723" t="s">
        <v>274</v>
      </c>
      <c r="F29" s="723" t="s">
        <v>275</v>
      </c>
      <c r="G29" s="722">
        <v>2001</v>
      </c>
      <c r="H29" s="287"/>
      <c r="I29" s="65">
        <v>9</v>
      </c>
      <c r="J29" s="61"/>
      <c r="K29" s="62" t="s">
        <v>346</v>
      </c>
      <c r="L29" s="31"/>
      <c r="M29" s="34" t="str">
        <f t="shared" si="0"/>
        <v/>
      </c>
      <c r="N29" s="31"/>
      <c r="O29" s="34" t="str">
        <f t="shared" si="1"/>
        <v/>
      </c>
      <c r="P29" s="31"/>
      <c r="Q29" s="34" t="str">
        <f t="shared" si="2"/>
        <v/>
      </c>
      <c r="R29" s="31"/>
      <c r="S29" s="34" t="str">
        <f t="shared" si="3"/>
        <v/>
      </c>
      <c r="T29" s="31"/>
      <c r="U29" s="34" t="str">
        <f t="shared" si="4"/>
        <v/>
      </c>
      <c r="V29" s="31"/>
      <c r="W29" s="34" t="str">
        <f t="shared" si="27"/>
        <v/>
      </c>
      <c r="X29" s="38"/>
      <c r="Y29" s="37" t="str">
        <f t="shared" si="6"/>
        <v/>
      </c>
      <c r="Z29" s="31"/>
      <c r="AA29" s="34" t="str">
        <f t="shared" si="28"/>
        <v/>
      </c>
      <c r="AB29" s="31"/>
      <c r="AC29" s="34" t="str">
        <f t="shared" si="29"/>
        <v/>
      </c>
      <c r="AD29" s="31"/>
      <c r="AE29" s="34" t="str">
        <f t="shared" si="30"/>
        <v/>
      </c>
      <c r="AF29" s="56"/>
      <c r="AG29" s="34" t="str">
        <f t="shared" si="10"/>
        <v/>
      </c>
      <c r="AH29" s="31"/>
      <c r="AI29" s="34" t="str">
        <f t="shared" si="11"/>
        <v/>
      </c>
      <c r="AJ29" s="31"/>
      <c r="AK29" s="34" t="str">
        <f t="shared" si="12"/>
        <v/>
      </c>
      <c r="AL29" s="31"/>
      <c r="AM29" s="34" t="str">
        <f t="shared" si="13"/>
        <v/>
      </c>
      <c r="AN29" s="31"/>
      <c r="AO29" s="34" t="str">
        <f t="shared" si="14"/>
        <v/>
      </c>
      <c r="AP29" s="31"/>
      <c r="AQ29" s="34" t="str">
        <f t="shared" si="15"/>
        <v/>
      </c>
      <c r="AR29" s="31"/>
      <c r="AS29" s="34" t="str">
        <f t="shared" si="31"/>
        <v/>
      </c>
      <c r="AT29" s="31"/>
      <c r="AU29" s="34" t="str">
        <f t="shared" si="26"/>
        <v/>
      </c>
      <c r="AV29" s="31"/>
      <c r="AW29" s="34" t="str">
        <f t="shared" si="18"/>
        <v/>
      </c>
      <c r="AX29" s="31"/>
      <c r="AY29" s="34" t="str">
        <f t="shared" si="19"/>
        <v/>
      </c>
      <c r="AZ29" s="31"/>
      <c r="BA29" s="34" t="str">
        <f t="shared" si="20"/>
        <v/>
      </c>
      <c r="BB29" s="21" t="s">
        <v>347</v>
      </c>
    </row>
    <row r="30" spans="1:54" ht="20" customHeight="1" x14ac:dyDescent="0.2">
      <c r="A30" s="678"/>
      <c r="B30" s="725"/>
      <c r="C30" s="255"/>
      <c r="D30" s="722" t="s">
        <v>85</v>
      </c>
      <c r="E30" s="723" t="s">
        <v>63</v>
      </c>
      <c r="F30" s="723" t="s">
        <v>64</v>
      </c>
      <c r="G30" s="722">
        <v>2012</v>
      </c>
      <c r="H30" s="287">
        <v>83</v>
      </c>
      <c r="I30" s="65">
        <v>70</v>
      </c>
      <c r="J30" s="61" t="s">
        <v>181</v>
      </c>
      <c r="K30" s="62" t="s">
        <v>190</v>
      </c>
      <c r="L30" s="31"/>
      <c r="M30" s="34" t="str">
        <f t="shared" si="0"/>
        <v/>
      </c>
      <c r="N30" s="31"/>
      <c r="O30" s="34" t="str">
        <f t="shared" si="1"/>
        <v/>
      </c>
      <c r="P30" s="31"/>
      <c r="Q30" s="34" t="str">
        <f t="shared" si="2"/>
        <v/>
      </c>
      <c r="R30" s="31"/>
      <c r="S30" s="34" t="str">
        <f t="shared" si="3"/>
        <v/>
      </c>
      <c r="T30" s="31">
        <v>9</v>
      </c>
      <c r="U30" s="34">
        <f t="shared" si="4"/>
        <v>12.857142857142856</v>
      </c>
      <c r="V30" s="31">
        <v>8</v>
      </c>
      <c r="W30" s="34">
        <f t="shared" si="27"/>
        <v>11.428571428571429</v>
      </c>
      <c r="X30" s="56">
        <v>31</v>
      </c>
      <c r="Y30" s="34">
        <f t="shared" si="6"/>
        <v>44.285714285714285</v>
      </c>
      <c r="Z30" s="31"/>
      <c r="AA30" s="34" t="str">
        <f t="shared" si="28"/>
        <v/>
      </c>
      <c r="AB30" s="31"/>
      <c r="AC30" s="34" t="str">
        <f t="shared" si="29"/>
        <v/>
      </c>
      <c r="AD30" s="31"/>
      <c r="AE30" s="34" t="str">
        <f t="shared" si="30"/>
        <v/>
      </c>
      <c r="AF30" s="56">
        <v>1</v>
      </c>
      <c r="AG30" s="34">
        <f t="shared" si="10"/>
        <v>1.4285714285714286</v>
      </c>
      <c r="AH30" s="31">
        <v>10</v>
      </c>
      <c r="AI30" s="34">
        <f t="shared" si="11"/>
        <v>14.285714285714285</v>
      </c>
      <c r="AJ30" s="31"/>
      <c r="AK30" s="34" t="str">
        <f t="shared" si="12"/>
        <v/>
      </c>
      <c r="AL30" s="31"/>
      <c r="AM30" s="34" t="str">
        <f t="shared" si="13"/>
        <v/>
      </c>
      <c r="AN30" s="31"/>
      <c r="AO30" s="34" t="str">
        <f t="shared" si="14"/>
        <v/>
      </c>
      <c r="AP30" s="31">
        <v>1</v>
      </c>
      <c r="AQ30" s="34">
        <f t="shared" si="15"/>
        <v>1.4285714285714286</v>
      </c>
      <c r="AR30" s="31"/>
      <c r="AS30" s="34" t="str">
        <f t="shared" si="31"/>
        <v/>
      </c>
      <c r="AT30" s="31">
        <v>3</v>
      </c>
      <c r="AU30" s="34">
        <f t="shared" si="26"/>
        <v>4.2857142857142856</v>
      </c>
      <c r="AV30" s="31"/>
      <c r="AW30" s="34" t="str">
        <f t="shared" si="18"/>
        <v/>
      </c>
      <c r="AX30" s="31"/>
      <c r="AY30" s="34" t="str">
        <f t="shared" si="19"/>
        <v/>
      </c>
      <c r="AZ30" s="31"/>
      <c r="BA30" s="34" t="str">
        <f t="shared" si="20"/>
        <v/>
      </c>
      <c r="BB30" s="21" t="s">
        <v>409</v>
      </c>
    </row>
    <row r="31" spans="1:54" ht="20" customHeight="1" x14ac:dyDescent="0.2">
      <c r="A31" s="678"/>
      <c r="B31" s="725"/>
      <c r="C31" s="255"/>
      <c r="D31" s="722"/>
      <c r="E31" s="723" t="s">
        <v>276</v>
      </c>
      <c r="F31" s="723" t="s">
        <v>279</v>
      </c>
      <c r="G31" s="722">
        <v>2008</v>
      </c>
      <c r="H31" s="287"/>
      <c r="I31" s="65"/>
      <c r="J31" s="61"/>
      <c r="K31" s="62" t="s">
        <v>348</v>
      </c>
      <c r="L31" s="31"/>
      <c r="M31" s="34" t="str">
        <f t="shared" si="0"/>
        <v/>
      </c>
      <c r="N31" s="31"/>
      <c r="O31" s="34" t="str">
        <f t="shared" si="1"/>
        <v/>
      </c>
      <c r="P31" s="31"/>
      <c r="Q31" s="34" t="str">
        <f t="shared" si="2"/>
        <v/>
      </c>
      <c r="R31" s="31"/>
      <c r="S31" s="34" t="str">
        <f t="shared" si="3"/>
        <v/>
      </c>
      <c r="T31" s="31">
        <v>2</v>
      </c>
      <c r="U31" s="34" t="str">
        <f t="shared" si="4"/>
        <v/>
      </c>
      <c r="V31" s="31"/>
      <c r="W31" s="34" t="str">
        <f t="shared" si="27"/>
        <v/>
      </c>
      <c r="X31" s="56"/>
      <c r="Y31" s="34" t="str">
        <f t="shared" si="6"/>
        <v/>
      </c>
      <c r="Z31" s="31"/>
      <c r="AA31" s="34" t="str">
        <f t="shared" ref="AA31" si="32">IF((ISERROR((Z31/$I31)*100)), "", IF(AND(NOT(ISERROR((Z31/$I31)*100)),((Z31/$I31)*100) &lt;&gt; 0), (Z31/$I31)*100, ""))</f>
        <v/>
      </c>
      <c r="AB31" s="31"/>
      <c r="AC31" s="34" t="str">
        <f t="shared" ref="AC31" si="33">IF((ISERROR((AB31/$I31)*100)), "", IF(AND(NOT(ISERROR((AB31/$I31)*100)),((AB31/$I31)*100) &lt;&gt; 0), (AB31/$I31)*100, ""))</f>
        <v/>
      </c>
      <c r="AD31" s="31"/>
      <c r="AE31" s="34" t="str">
        <f t="shared" ref="AE31" si="34">IF((ISERROR((AD31/$I31)*100)), "", IF(AND(NOT(ISERROR((AD31/$I31)*100)),((AD31/$I31)*100) &lt;&gt; 0), (AD31/$I31)*100, ""))</f>
        <v/>
      </c>
      <c r="AF31" s="56"/>
      <c r="AG31" s="34" t="str">
        <f t="shared" si="10"/>
        <v/>
      </c>
      <c r="AH31" s="31"/>
      <c r="AI31" s="34" t="str">
        <f t="shared" si="11"/>
        <v/>
      </c>
      <c r="AJ31" s="31"/>
      <c r="AK31" s="34" t="str">
        <f t="shared" si="12"/>
        <v/>
      </c>
      <c r="AL31" s="31"/>
      <c r="AM31" s="34" t="str">
        <f t="shared" si="13"/>
        <v/>
      </c>
      <c r="AN31" s="31"/>
      <c r="AO31" s="34" t="str">
        <f t="shared" si="14"/>
        <v/>
      </c>
      <c r="AP31" s="31"/>
      <c r="AQ31" s="34" t="str">
        <f t="shared" si="15"/>
        <v/>
      </c>
      <c r="AR31" s="31"/>
      <c r="AS31" s="34" t="str">
        <f t="shared" ref="AS31" si="35">IF((ISERROR((AR31/$I31)*100)), "", IF(AND(NOT(ISERROR((AR31/$I31)*100)),((AR31/$I31)*100) &lt;&gt; 0), (AR31/$I31)*100, ""))</f>
        <v/>
      </c>
      <c r="AT31" s="31"/>
      <c r="AU31" s="34" t="str">
        <f t="shared" ref="AU31:AU34" si="36">IF((ISERROR((AT31/$I31)*100)), "", IF(AND(NOT(ISERROR((AT31/$I31)*100)),((AT31/$I31)*100) &lt;&gt; 0), (AT31/$I31)*100, ""))</f>
        <v/>
      </c>
      <c r="AV31" s="31"/>
      <c r="AW31" s="34" t="str">
        <f t="shared" si="18"/>
        <v/>
      </c>
      <c r="AX31" s="31"/>
      <c r="AY31" s="34" t="str">
        <f t="shared" si="19"/>
        <v/>
      </c>
      <c r="AZ31" s="31"/>
      <c r="BA31" s="34" t="str">
        <f t="shared" si="20"/>
        <v/>
      </c>
    </row>
    <row r="32" spans="1:54" ht="20" customHeight="1" x14ac:dyDescent="0.2">
      <c r="A32" s="678"/>
      <c r="B32" s="725"/>
      <c r="C32" s="255"/>
      <c r="D32" s="722" t="s">
        <v>85</v>
      </c>
      <c r="E32" s="723" t="s">
        <v>280</v>
      </c>
      <c r="F32" s="723" t="s">
        <v>281</v>
      </c>
      <c r="G32" s="722">
        <v>2014</v>
      </c>
      <c r="H32" s="287"/>
      <c r="I32" s="65">
        <v>28</v>
      </c>
      <c r="J32" s="61" t="s">
        <v>184</v>
      </c>
      <c r="K32" s="62" t="s">
        <v>192</v>
      </c>
      <c r="L32" s="31"/>
      <c r="M32" s="34" t="str">
        <f t="shared" si="0"/>
        <v/>
      </c>
      <c r="N32" s="31"/>
      <c r="O32" s="34" t="str">
        <f t="shared" si="1"/>
        <v/>
      </c>
      <c r="P32" s="31"/>
      <c r="Q32" s="34" t="str">
        <f t="shared" si="2"/>
        <v/>
      </c>
      <c r="R32" s="31"/>
      <c r="S32" s="34" t="str">
        <f t="shared" si="3"/>
        <v/>
      </c>
      <c r="T32" s="31"/>
      <c r="U32" s="34" t="str">
        <f t="shared" si="4"/>
        <v/>
      </c>
      <c r="V32" s="31"/>
      <c r="W32" s="34" t="str">
        <f t="shared" si="27"/>
        <v/>
      </c>
      <c r="X32" s="56">
        <v>3</v>
      </c>
      <c r="Y32" s="34">
        <f t="shared" si="6"/>
        <v>10.714285714285714</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56">
        <v>5</v>
      </c>
      <c r="AG32" s="34">
        <f t="shared" si="10"/>
        <v>17.857142857142858</v>
      </c>
      <c r="AH32" s="31">
        <v>3</v>
      </c>
      <c r="AI32" s="34">
        <f t="shared" si="11"/>
        <v>10.714285714285714</v>
      </c>
      <c r="AJ32" s="31"/>
      <c r="AK32" s="34" t="str">
        <f t="shared" si="12"/>
        <v/>
      </c>
      <c r="AL32" s="31"/>
      <c r="AM32" s="34" t="str">
        <f t="shared" si="13"/>
        <v/>
      </c>
      <c r="AN32" s="31"/>
      <c r="AO32" s="34" t="str">
        <f t="shared" si="14"/>
        <v/>
      </c>
      <c r="AP32" s="31">
        <v>4</v>
      </c>
      <c r="AQ32" s="34">
        <f t="shared" si="15"/>
        <v>14.285714285714285</v>
      </c>
      <c r="AR32" s="31"/>
      <c r="AS32" s="34" t="str">
        <f>IF((ISERROR((AR32/$I32)*100)), "", IF(AND(NOT(ISERROR((AR32/$I32)*100)),((AR32/$I32)*100) &lt;&gt; 0), (AR32/$I32)*100, ""))</f>
        <v/>
      </c>
      <c r="AT32" s="31"/>
      <c r="AU32" s="34" t="str">
        <f t="shared" si="36"/>
        <v/>
      </c>
      <c r="AV32" s="31"/>
      <c r="AW32" s="34" t="str">
        <f t="shared" si="18"/>
        <v/>
      </c>
      <c r="AX32" s="31"/>
      <c r="AY32" s="34" t="str">
        <f t="shared" si="19"/>
        <v/>
      </c>
      <c r="AZ32" s="31"/>
      <c r="BA32" s="34" t="str">
        <f t="shared" si="20"/>
        <v/>
      </c>
      <c r="BB32" s="21" t="s">
        <v>350</v>
      </c>
    </row>
    <row r="33" spans="1:54" ht="20" customHeight="1" x14ac:dyDescent="0.2">
      <c r="A33" s="678"/>
      <c r="B33" s="725"/>
      <c r="C33" s="255"/>
      <c r="D33" s="722" t="s">
        <v>476</v>
      </c>
      <c r="E33" s="723" t="s">
        <v>77</v>
      </c>
      <c r="F33" s="723" t="s">
        <v>78</v>
      </c>
      <c r="G33" s="722">
        <v>2009</v>
      </c>
      <c r="H33" s="287">
        <v>134</v>
      </c>
      <c r="I33" s="65">
        <v>94</v>
      </c>
      <c r="J33" s="61" t="s">
        <v>474</v>
      </c>
      <c r="K33" s="62" t="s">
        <v>475</v>
      </c>
      <c r="L33" s="31">
        <v>3</v>
      </c>
      <c r="M33" s="34">
        <f t="shared" si="0"/>
        <v>3.1914893617021276</v>
      </c>
      <c r="N33" s="31"/>
      <c r="O33" s="34"/>
      <c r="P33" s="31"/>
      <c r="Q33" s="34"/>
      <c r="R33" s="31"/>
      <c r="S33" s="34"/>
      <c r="T33" s="31">
        <v>2</v>
      </c>
      <c r="U33" s="34">
        <f t="shared" si="4"/>
        <v>2.1276595744680851</v>
      </c>
      <c r="V33" s="31">
        <v>1</v>
      </c>
      <c r="W33" s="34">
        <f t="shared" si="27"/>
        <v>1.0638297872340425</v>
      </c>
      <c r="X33" s="56">
        <v>8</v>
      </c>
      <c r="Y33" s="34">
        <f t="shared" si="6"/>
        <v>8.5106382978723403</v>
      </c>
      <c r="Z33" s="31"/>
      <c r="AA33" s="34"/>
      <c r="AB33" s="31"/>
      <c r="AC33" s="34"/>
      <c r="AD33" s="31"/>
      <c r="AE33" s="34"/>
      <c r="AF33" s="56"/>
      <c r="AG33" s="34"/>
      <c r="AH33" s="31">
        <v>2</v>
      </c>
      <c r="AI33" s="34">
        <f t="shared" si="11"/>
        <v>2.1276595744680851</v>
      </c>
      <c r="AJ33" s="31"/>
      <c r="AK33" s="34"/>
      <c r="AL33" s="31">
        <v>3</v>
      </c>
      <c r="AM33" s="34">
        <f t="shared" si="13"/>
        <v>3.1914893617021276</v>
      </c>
      <c r="AN33" s="31"/>
      <c r="AO33" s="34"/>
      <c r="AP33" s="31">
        <v>4</v>
      </c>
      <c r="AQ33" s="34">
        <f t="shared" si="15"/>
        <v>4.2553191489361701</v>
      </c>
      <c r="AR33" s="31"/>
      <c r="AS33" s="34"/>
      <c r="AT33" s="31">
        <v>2</v>
      </c>
      <c r="AU33" s="34">
        <f t="shared" si="36"/>
        <v>2.1276595744680851</v>
      </c>
      <c r="AV33" s="31"/>
      <c r="AW33" s="34"/>
      <c r="AX33" s="31"/>
      <c r="AY33" s="34"/>
      <c r="AZ33" s="31"/>
      <c r="BA33" s="34"/>
      <c r="BB33" s="21" t="s">
        <v>477</v>
      </c>
    </row>
    <row r="34" spans="1:54" ht="20" customHeight="1" x14ac:dyDescent="0.2">
      <c r="A34" s="678"/>
      <c r="B34" s="725"/>
      <c r="C34" s="255"/>
      <c r="D34" s="722" t="s">
        <v>85</v>
      </c>
      <c r="E34" s="723" t="s">
        <v>79</v>
      </c>
      <c r="F34" s="723" t="s">
        <v>80</v>
      </c>
      <c r="G34" s="722">
        <v>2015</v>
      </c>
      <c r="H34" s="287">
        <v>10</v>
      </c>
      <c r="I34" s="65">
        <v>11</v>
      </c>
      <c r="J34" s="61" t="s">
        <v>194</v>
      </c>
      <c r="K34" s="62" t="s">
        <v>168</v>
      </c>
      <c r="L34" s="31"/>
      <c r="M34" s="34" t="str">
        <f t="shared" si="0"/>
        <v/>
      </c>
      <c r="N34" s="31"/>
      <c r="O34" s="34" t="str">
        <f t="shared" si="1"/>
        <v/>
      </c>
      <c r="P34" s="31"/>
      <c r="Q34" s="34" t="str">
        <f t="shared" si="2"/>
        <v/>
      </c>
      <c r="R34" s="31"/>
      <c r="S34" s="34" t="str">
        <f t="shared" si="3"/>
        <v/>
      </c>
      <c r="T34" s="31"/>
      <c r="U34" s="34" t="str">
        <f t="shared" si="4"/>
        <v/>
      </c>
      <c r="V34" s="31"/>
      <c r="W34" s="34" t="str">
        <f>IF((ISERROR((V34/$I34)*100)), "", IF(AND(NOT(ISERROR((V34/$I34)*100)),((V34/$I34)*100) &lt;&gt; 0), (V34/$I34)*100, ""))</f>
        <v/>
      </c>
      <c r="X34" s="56"/>
      <c r="Y34" s="34" t="str">
        <f t="shared" si="6"/>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56">
        <v>3</v>
      </c>
      <c r="AG34" s="34">
        <f t="shared" si="10"/>
        <v>27.27272727272727</v>
      </c>
      <c r="AH34" s="36">
        <v>1</v>
      </c>
      <c r="AI34" s="37">
        <f t="shared" si="11"/>
        <v>9.0909090909090917</v>
      </c>
      <c r="AJ34" s="31"/>
      <c r="AK34" s="34" t="str">
        <f t="shared" si="12"/>
        <v/>
      </c>
      <c r="AL34" s="31"/>
      <c r="AM34" s="34" t="str">
        <f t="shared" si="13"/>
        <v/>
      </c>
      <c r="AN34" s="31"/>
      <c r="AO34" s="34" t="str">
        <f t="shared" si="14"/>
        <v/>
      </c>
      <c r="AP34" s="31"/>
      <c r="AQ34" s="34" t="str">
        <f t="shared" si="15"/>
        <v/>
      </c>
      <c r="AR34" s="31"/>
      <c r="AS34" s="34" t="str">
        <f>IF((ISERROR((AR34/$I34)*100)), "", IF(AND(NOT(ISERROR((AR34/$I34)*100)),((AR34/$I34)*100) &lt;&gt; 0), (AR34/$I34)*100, ""))</f>
        <v/>
      </c>
      <c r="AT34" s="31"/>
      <c r="AU34" s="34" t="str">
        <f t="shared" si="36"/>
        <v/>
      </c>
      <c r="AV34" s="31"/>
      <c r="AW34" s="34" t="str">
        <f t="shared" si="18"/>
        <v/>
      </c>
      <c r="AX34" s="31"/>
      <c r="AY34" s="34" t="str">
        <f t="shared" si="19"/>
        <v/>
      </c>
      <c r="AZ34" s="31"/>
      <c r="BA34" s="34" t="str">
        <f t="shared" si="20"/>
        <v/>
      </c>
      <c r="BB34" s="21" t="s">
        <v>193</v>
      </c>
    </row>
    <row r="35" spans="1:54" ht="20" customHeight="1" x14ac:dyDescent="0.2">
      <c r="A35" s="678"/>
      <c r="B35" s="725"/>
      <c r="C35" s="255"/>
      <c r="D35" s="722" t="s">
        <v>85</v>
      </c>
      <c r="E35" s="723" t="s">
        <v>526</v>
      </c>
      <c r="F35" s="723" t="s">
        <v>527</v>
      </c>
      <c r="G35" s="722">
        <v>1998</v>
      </c>
      <c r="H35" s="287"/>
      <c r="I35" s="65">
        <v>22</v>
      </c>
      <c r="J35" s="61" t="s">
        <v>184</v>
      </c>
      <c r="K35" s="83" t="s">
        <v>346</v>
      </c>
      <c r="L35" s="31"/>
      <c r="M35" s="34"/>
      <c r="N35" s="31"/>
      <c r="O35" s="34"/>
      <c r="P35" s="31"/>
      <c r="Q35" s="34"/>
      <c r="R35" s="31"/>
      <c r="S35" s="34"/>
      <c r="T35" s="31">
        <v>1</v>
      </c>
      <c r="U35" s="34">
        <f t="shared" si="4"/>
        <v>4.5454545454545459</v>
      </c>
      <c r="V35" s="31"/>
      <c r="W35" s="34"/>
      <c r="X35" s="56"/>
      <c r="Y35" s="34"/>
      <c r="Z35" s="31"/>
      <c r="AA35" s="34"/>
      <c r="AB35" s="31"/>
      <c r="AC35" s="34"/>
      <c r="AD35" s="31"/>
      <c r="AE35" s="34"/>
      <c r="AF35" s="56"/>
      <c r="AG35" s="34"/>
      <c r="AH35" s="31"/>
      <c r="AI35" s="34"/>
      <c r="AJ35" s="31"/>
      <c r="AK35" s="34"/>
      <c r="AL35" s="31"/>
      <c r="AM35" s="34"/>
      <c r="AN35" s="31"/>
      <c r="AO35" s="34"/>
      <c r="AP35" s="31"/>
      <c r="AQ35" s="34"/>
      <c r="AR35" s="31"/>
      <c r="AS35" s="34"/>
      <c r="AT35" s="31"/>
      <c r="AU35" s="34"/>
      <c r="AV35" s="31"/>
      <c r="AW35" s="34"/>
      <c r="AX35" s="31"/>
      <c r="AY35" s="34"/>
      <c r="AZ35" s="31"/>
      <c r="BA35" s="34"/>
    </row>
    <row r="36" spans="1:54" ht="20" customHeight="1" x14ac:dyDescent="0.2">
      <c r="A36" s="678"/>
      <c r="B36" s="725"/>
      <c r="C36" s="255"/>
      <c r="D36" s="722" t="s">
        <v>85</v>
      </c>
      <c r="E36" s="723" t="s">
        <v>528</v>
      </c>
      <c r="F36" s="723" t="s">
        <v>529</v>
      </c>
      <c r="G36" s="722">
        <v>2000</v>
      </c>
      <c r="H36" s="287"/>
      <c r="I36" s="701">
        <v>19</v>
      </c>
      <c r="J36" s="232" t="s">
        <v>340</v>
      </c>
      <c r="K36" s="250" t="s">
        <v>333</v>
      </c>
      <c r="L36" s="31"/>
      <c r="M36" s="34"/>
      <c r="N36" s="31"/>
      <c r="O36" s="34"/>
      <c r="P36" s="31"/>
      <c r="Q36" s="34"/>
      <c r="R36" s="31"/>
      <c r="S36" s="34"/>
      <c r="T36" s="31"/>
      <c r="U36" s="34"/>
      <c r="V36" s="31"/>
      <c r="W36" s="34"/>
      <c r="X36" s="56"/>
      <c r="Y36" s="34"/>
      <c r="Z36" s="31"/>
      <c r="AA36" s="34"/>
      <c r="AB36" s="31"/>
      <c r="AC36" s="34"/>
      <c r="AD36" s="31"/>
      <c r="AE36" s="34"/>
      <c r="AF36" s="56"/>
      <c r="AG36" s="34"/>
      <c r="AH36" s="31"/>
      <c r="AI36" s="34"/>
      <c r="AJ36" s="31"/>
      <c r="AK36" s="34"/>
      <c r="AL36" s="31"/>
      <c r="AM36" s="34"/>
      <c r="AN36" s="31"/>
      <c r="AO36" s="34"/>
      <c r="AP36" s="31"/>
      <c r="AQ36" s="34"/>
      <c r="AR36" s="31"/>
      <c r="AS36" s="34"/>
      <c r="AT36" s="31"/>
      <c r="AU36" s="34"/>
      <c r="AV36" s="31"/>
      <c r="AW36" s="34"/>
      <c r="AX36" s="31"/>
      <c r="AY36" s="34"/>
      <c r="AZ36" s="31"/>
      <c r="BA36" s="34"/>
    </row>
    <row r="37" spans="1:54" ht="20" customHeight="1" x14ac:dyDescent="0.2">
      <c r="A37" s="678"/>
      <c r="B37" s="725"/>
      <c r="C37" s="255"/>
      <c r="D37" s="722"/>
      <c r="E37" s="723" t="s">
        <v>284</v>
      </c>
      <c r="F37" s="723" t="s">
        <v>285</v>
      </c>
      <c r="G37" s="722">
        <v>2005</v>
      </c>
      <c r="H37" s="287"/>
      <c r="I37" s="65">
        <v>13</v>
      </c>
      <c r="J37" s="61" t="s">
        <v>353</v>
      </c>
      <c r="K37" s="62"/>
      <c r="L37" s="31"/>
      <c r="M37" s="34" t="str">
        <f t="shared" si="0"/>
        <v/>
      </c>
      <c r="N37" s="31">
        <v>3</v>
      </c>
      <c r="O37" s="34">
        <f t="shared" si="1"/>
        <v>23.076923076923077</v>
      </c>
      <c r="P37" s="31"/>
      <c r="Q37" s="34" t="str">
        <f t="shared" si="2"/>
        <v/>
      </c>
      <c r="R37" s="31"/>
      <c r="S37" s="34" t="str">
        <f t="shared" si="3"/>
        <v/>
      </c>
      <c r="T37" s="31"/>
      <c r="U37" s="34" t="str">
        <f t="shared" si="4"/>
        <v/>
      </c>
      <c r="V37" s="31"/>
      <c r="W37" s="34" t="str">
        <f t="shared" ref="W37:W38" si="37">IF((ISERROR((V37/$I37)*100)), "", IF(AND(NOT(ISERROR((V37/$I37)*100)),((V37/$I37)*100) &lt;&gt; 0), (V37/$I37)*100, ""))</f>
        <v/>
      </c>
      <c r="X37" s="56">
        <v>1</v>
      </c>
      <c r="Y37" s="34">
        <f t="shared" si="6"/>
        <v>7.6923076923076925</v>
      </c>
      <c r="Z37" s="31"/>
      <c r="AA37" s="34" t="str">
        <f t="shared" ref="AA37:AA38" si="38">IF((ISERROR((Z37/$I37)*100)), "", IF(AND(NOT(ISERROR((Z37/$I37)*100)),((Z37/$I37)*100) &lt;&gt; 0), (Z37/$I37)*100, ""))</f>
        <v/>
      </c>
      <c r="AB37" s="31"/>
      <c r="AC37" s="34" t="str">
        <f t="shared" ref="AC37:AC38" si="39">IF((ISERROR((AB37/$I37)*100)), "", IF(AND(NOT(ISERROR((AB37/$I37)*100)),((AB37/$I37)*100) &lt;&gt; 0), (AB37/$I37)*100, ""))</f>
        <v/>
      </c>
      <c r="AD37" s="31"/>
      <c r="AE37" s="34" t="str">
        <f t="shared" ref="AE37:AE38" si="40">IF((ISERROR((AD37/$I37)*100)), "", IF(AND(NOT(ISERROR((AD37/$I37)*100)),((AD37/$I37)*100) &lt;&gt; 0), (AD37/$I37)*100, ""))</f>
        <v/>
      </c>
      <c r="AF37" s="56"/>
      <c r="AG37" s="34" t="str">
        <f t="shared" si="10"/>
        <v/>
      </c>
      <c r="AH37" s="31"/>
      <c r="AI37" s="34" t="str">
        <f t="shared" si="11"/>
        <v/>
      </c>
      <c r="AJ37" s="31"/>
      <c r="AK37" s="34" t="str">
        <f t="shared" si="12"/>
        <v/>
      </c>
      <c r="AL37" s="31"/>
      <c r="AM37" s="34" t="str">
        <f t="shared" si="13"/>
        <v/>
      </c>
      <c r="AN37" s="31"/>
      <c r="AO37" s="34" t="str">
        <f t="shared" si="14"/>
        <v/>
      </c>
      <c r="AP37" s="31"/>
      <c r="AQ37" s="34" t="str">
        <f t="shared" si="15"/>
        <v/>
      </c>
      <c r="AR37" s="31"/>
      <c r="AS37" s="34" t="str">
        <f t="shared" ref="AS37:AS38" si="41">IF((ISERROR((AR37/$I37)*100)), "", IF(AND(NOT(ISERROR((AR37/$I37)*100)),((AR37/$I37)*100) &lt;&gt; 0), (AR37/$I37)*100, ""))</f>
        <v/>
      </c>
      <c r="AT37" s="31"/>
      <c r="AU37" s="34" t="str">
        <f t="shared" ref="AU37:AU39" si="42">IF((ISERROR((AT37/$I37)*100)), "", IF(AND(NOT(ISERROR((AT37/$I37)*100)),((AT37/$I37)*100) &lt;&gt; 0), (AT37/$I37)*100, ""))</f>
        <v/>
      </c>
      <c r="AV37" s="31"/>
      <c r="AW37" s="34" t="str">
        <f t="shared" si="18"/>
        <v/>
      </c>
      <c r="AX37" s="31"/>
      <c r="AY37" s="34" t="str">
        <f t="shared" si="19"/>
        <v/>
      </c>
      <c r="AZ37" s="31"/>
      <c r="BA37" s="34" t="str">
        <f t="shared" si="20"/>
        <v/>
      </c>
      <c r="BB37" s="21" t="s">
        <v>354</v>
      </c>
    </row>
    <row r="38" spans="1:54" ht="20" customHeight="1" x14ac:dyDescent="0.2">
      <c r="A38" s="678"/>
      <c r="B38" s="725"/>
      <c r="C38" s="255"/>
      <c r="D38" s="722" t="s">
        <v>85</v>
      </c>
      <c r="E38" s="723" t="s">
        <v>290</v>
      </c>
      <c r="F38" s="723" t="s">
        <v>291</v>
      </c>
      <c r="G38" s="722">
        <v>2011</v>
      </c>
      <c r="H38" s="287"/>
      <c r="I38" s="65">
        <v>244</v>
      </c>
      <c r="J38" s="61" t="s">
        <v>210</v>
      </c>
      <c r="K38" s="62" t="s">
        <v>189</v>
      </c>
      <c r="L38" s="31"/>
      <c r="M38" s="34" t="str">
        <f t="shared" si="0"/>
        <v/>
      </c>
      <c r="N38" s="31"/>
      <c r="O38" s="34" t="str">
        <f t="shared" si="1"/>
        <v/>
      </c>
      <c r="P38" s="31"/>
      <c r="Q38" s="34" t="str">
        <f t="shared" si="2"/>
        <v/>
      </c>
      <c r="R38" s="31"/>
      <c r="S38" s="34" t="str">
        <f t="shared" si="3"/>
        <v/>
      </c>
      <c r="T38" s="31"/>
      <c r="U38" s="34" t="str">
        <f t="shared" si="4"/>
        <v/>
      </c>
      <c r="V38" s="31"/>
      <c r="W38" s="34" t="str">
        <f t="shared" si="37"/>
        <v/>
      </c>
      <c r="X38" s="56"/>
      <c r="Y38" s="34" t="str">
        <f t="shared" si="6"/>
        <v/>
      </c>
      <c r="Z38" s="31"/>
      <c r="AA38" s="34" t="str">
        <f t="shared" si="38"/>
        <v/>
      </c>
      <c r="AB38" s="31"/>
      <c r="AC38" s="34" t="str">
        <f t="shared" si="39"/>
        <v/>
      </c>
      <c r="AD38" s="31"/>
      <c r="AE38" s="34" t="str">
        <f t="shared" si="40"/>
        <v/>
      </c>
      <c r="AF38" s="56"/>
      <c r="AG38" s="34" t="str">
        <f t="shared" si="10"/>
        <v/>
      </c>
      <c r="AH38" s="31">
        <v>3</v>
      </c>
      <c r="AI38" s="34">
        <f t="shared" si="11"/>
        <v>1.2295081967213115</v>
      </c>
      <c r="AJ38" s="31"/>
      <c r="AK38" s="34" t="str">
        <f t="shared" si="12"/>
        <v/>
      </c>
      <c r="AL38" s="31"/>
      <c r="AM38" s="34" t="str">
        <f t="shared" si="13"/>
        <v/>
      </c>
      <c r="AN38" s="31"/>
      <c r="AO38" s="34" t="str">
        <f t="shared" si="14"/>
        <v/>
      </c>
      <c r="AP38" s="31">
        <v>4</v>
      </c>
      <c r="AQ38" s="34">
        <f t="shared" si="15"/>
        <v>1.639344262295082</v>
      </c>
      <c r="AR38" s="31"/>
      <c r="AS38" s="34" t="str">
        <f t="shared" si="41"/>
        <v/>
      </c>
      <c r="AT38" s="31"/>
      <c r="AU38" s="34" t="str">
        <f t="shared" si="42"/>
        <v/>
      </c>
      <c r="AV38" s="31"/>
      <c r="AW38" s="34" t="str">
        <f t="shared" si="18"/>
        <v/>
      </c>
      <c r="AX38" s="31"/>
      <c r="AY38" s="34" t="str">
        <f t="shared" si="19"/>
        <v/>
      </c>
      <c r="AZ38" s="31"/>
      <c r="BA38" s="34" t="str">
        <f t="shared" si="20"/>
        <v/>
      </c>
    </row>
    <row r="39" spans="1:54" ht="20" customHeight="1" x14ac:dyDescent="0.2">
      <c r="A39" s="678"/>
      <c r="B39" s="725"/>
      <c r="C39" s="255"/>
      <c r="D39" s="722" t="s">
        <v>85</v>
      </c>
      <c r="E39" s="723" t="s">
        <v>99</v>
      </c>
      <c r="F39" s="723" t="s">
        <v>100</v>
      </c>
      <c r="G39" s="722">
        <v>2002</v>
      </c>
      <c r="H39" s="287">
        <v>103</v>
      </c>
      <c r="I39" s="65">
        <v>8</v>
      </c>
      <c r="J39" s="61"/>
      <c r="K39" s="62"/>
      <c r="L39" s="31"/>
      <c r="M39" s="34" t="str">
        <f t="shared" si="0"/>
        <v/>
      </c>
      <c r="N39" s="31"/>
      <c r="O39" s="34" t="str">
        <f t="shared" si="1"/>
        <v/>
      </c>
      <c r="P39" s="31"/>
      <c r="Q39" s="34" t="str">
        <f t="shared" si="2"/>
        <v/>
      </c>
      <c r="R39" s="31"/>
      <c r="S39" s="34" t="str">
        <f t="shared" si="3"/>
        <v/>
      </c>
      <c r="T39" s="31"/>
      <c r="U39" s="34" t="str">
        <f t="shared" si="4"/>
        <v/>
      </c>
      <c r="V39" s="31"/>
      <c r="W39" s="34" t="str">
        <f>IF((ISERROR((V39/$I39)*100)), "", IF(AND(NOT(ISERROR((V39/$I39)*100)),((V39/$I39)*100) &lt;&gt; 0), (V39/$I39)*100, ""))</f>
        <v/>
      </c>
      <c r="X39" s="56">
        <v>2</v>
      </c>
      <c r="Y39" s="34">
        <f t="shared" si="6"/>
        <v>25</v>
      </c>
      <c r="Z39" s="31"/>
      <c r="AA39" s="34" t="str">
        <f>IF((ISERROR((Z39/$I39)*100)), "", IF(AND(NOT(ISERROR((Z39/$I39)*100)),((Z39/$I39)*100) &lt;&gt; 0), (Z39/$I39)*100, ""))</f>
        <v/>
      </c>
      <c r="AB39" s="31"/>
      <c r="AC39" s="34" t="str">
        <f>IF((ISERROR((AB39/$I39)*100)), "", IF(AND(NOT(ISERROR((AB39/$I39)*100)),((AB39/$I39)*100) &lt;&gt; 0), (AB39/$I39)*100, ""))</f>
        <v/>
      </c>
      <c r="AD39" s="31"/>
      <c r="AE39" s="34" t="str">
        <f>IF((ISERROR((AD39/$I39)*100)), "", IF(AND(NOT(ISERROR((AD39/$I39)*100)),((AD39/$I39)*100) &lt;&gt; 0), (AD39/$I39)*100, ""))</f>
        <v/>
      </c>
      <c r="AF39" s="56"/>
      <c r="AG39" s="34" t="str">
        <f t="shared" si="10"/>
        <v/>
      </c>
      <c r="AH39" s="31"/>
      <c r="AI39" s="34" t="str">
        <f t="shared" si="11"/>
        <v/>
      </c>
      <c r="AJ39" s="31"/>
      <c r="AK39" s="34" t="str">
        <f t="shared" si="12"/>
        <v/>
      </c>
      <c r="AL39" s="31"/>
      <c r="AM39" s="34" t="str">
        <f t="shared" si="13"/>
        <v/>
      </c>
      <c r="AN39" s="31"/>
      <c r="AO39" s="34" t="str">
        <f t="shared" si="14"/>
        <v/>
      </c>
      <c r="AP39" s="31"/>
      <c r="AQ39" s="34" t="str">
        <f t="shared" si="15"/>
        <v/>
      </c>
      <c r="AR39" s="31"/>
      <c r="AS39" s="34" t="str">
        <f>IF((ISERROR((AR39/$I39)*100)), "", IF(AND(NOT(ISERROR((AR39/$I39)*100)),((AR39/$I39)*100) &lt;&gt; 0), (AR39/$I39)*100, ""))</f>
        <v/>
      </c>
      <c r="AT39" s="31"/>
      <c r="AU39" s="34" t="str">
        <f t="shared" si="42"/>
        <v/>
      </c>
      <c r="AV39" s="31"/>
      <c r="AW39" s="34" t="str">
        <f t="shared" si="18"/>
        <v/>
      </c>
      <c r="AX39" s="31"/>
      <c r="AY39" s="34" t="str">
        <f t="shared" si="19"/>
        <v/>
      </c>
      <c r="AZ39" s="31"/>
      <c r="BA39" s="34" t="str">
        <f t="shared" si="20"/>
        <v/>
      </c>
      <c r="BB39" s="21" t="s">
        <v>200</v>
      </c>
    </row>
    <row r="40" spans="1:54" ht="20" customHeight="1" x14ac:dyDescent="0.2">
      <c r="A40" s="680"/>
      <c r="B40" s="725"/>
      <c r="C40" s="255"/>
      <c r="D40" s="722" t="s">
        <v>85</v>
      </c>
      <c r="E40" s="723" t="s">
        <v>665</v>
      </c>
      <c r="F40" s="723" t="s">
        <v>666</v>
      </c>
      <c r="G40" s="722">
        <v>2012</v>
      </c>
      <c r="H40" s="287"/>
      <c r="I40" s="701">
        <v>26</v>
      </c>
      <c r="J40" s="232" t="s">
        <v>220</v>
      </c>
      <c r="K40" s="250" t="s">
        <v>667</v>
      </c>
      <c r="L40" s="31"/>
      <c r="M40" s="34"/>
      <c r="N40" s="31"/>
      <c r="O40" s="34"/>
      <c r="P40" s="31"/>
      <c r="Q40" s="34"/>
      <c r="R40" s="31"/>
      <c r="S40" s="34"/>
      <c r="T40" s="31"/>
      <c r="U40" s="34"/>
      <c r="V40" s="31"/>
      <c r="W40" s="34"/>
      <c r="X40" s="56"/>
      <c r="Y40" s="34"/>
      <c r="Z40" s="31"/>
      <c r="AA40" s="34"/>
      <c r="AB40" s="31"/>
      <c r="AC40" s="34"/>
      <c r="AD40" s="31"/>
      <c r="AE40" s="34"/>
      <c r="AF40" s="56"/>
      <c r="AG40" s="34"/>
      <c r="AH40" s="31"/>
      <c r="AI40" s="34"/>
      <c r="AJ40" s="31"/>
      <c r="AK40" s="34"/>
      <c r="AL40" s="31"/>
      <c r="AM40" s="34"/>
      <c r="AN40" s="31"/>
      <c r="AO40" s="34"/>
      <c r="AP40" s="31"/>
      <c r="AQ40" s="34"/>
      <c r="AR40" s="31"/>
      <c r="AS40" s="34"/>
      <c r="AT40" s="31"/>
      <c r="AU40" s="34"/>
      <c r="AV40" s="31"/>
      <c r="AW40" s="34"/>
      <c r="AX40" s="31"/>
      <c r="AY40" s="34"/>
      <c r="AZ40" s="31"/>
      <c r="BA40" s="34"/>
    </row>
    <row r="41" spans="1:54" ht="20" customHeight="1" x14ac:dyDescent="0.2">
      <c r="A41" s="678"/>
      <c r="B41" s="725"/>
      <c r="C41" s="255"/>
      <c r="D41" s="722" t="s">
        <v>85</v>
      </c>
      <c r="E41" s="723" t="s">
        <v>103</v>
      </c>
      <c r="F41" s="723" t="s">
        <v>104</v>
      </c>
      <c r="G41" s="722">
        <v>1996</v>
      </c>
      <c r="H41" s="287">
        <v>12</v>
      </c>
      <c r="I41" s="65">
        <v>97</v>
      </c>
      <c r="J41" s="61" t="s">
        <v>202</v>
      </c>
      <c r="K41" s="62" t="s">
        <v>203</v>
      </c>
      <c r="L41" s="31"/>
      <c r="M41" s="34" t="str">
        <f t="shared" si="0"/>
        <v/>
      </c>
      <c r="N41" s="31"/>
      <c r="O41" s="34" t="str">
        <f t="shared" si="1"/>
        <v/>
      </c>
      <c r="P41" s="31"/>
      <c r="Q41" s="34" t="str">
        <f t="shared" si="2"/>
        <v/>
      </c>
      <c r="R41" s="31"/>
      <c r="S41" s="34" t="str">
        <f t="shared" si="3"/>
        <v/>
      </c>
      <c r="T41" s="31"/>
      <c r="U41" s="34" t="str">
        <f t="shared" si="4"/>
        <v/>
      </c>
      <c r="V41" s="31"/>
      <c r="W41" s="34" t="str">
        <f t="shared" ref="W41:W42" si="43">IF((ISERROR((V41/$I41)*100)), "", IF(AND(NOT(ISERROR((V41/$I41)*100)),((V41/$I41)*100) &lt;&gt; 0), (V41/$I41)*100, ""))</f>
        <v/>
      </c>
      <c r="X41" s="56">
        <v>16</v>
      </c>
      <c r="Y41" s="34">
        <f t="shared" si="6"/>
        <v>16.494845360824741</v>
      </c>
      <c r="Z41" s="31"/>
      <c r="AA41" s="34" t="str">
        <f t="shared" ref="AA41:AA42" si="44">IF((ISERROR((Z41/$I41)*100)), "", IF(AND(NOT(ISERROR((Z41/$I41)*100)),((Z41/$I41)*100) &lt;&gt; 0), (Z41/$I41)*100, ""))</f>
        <v/>
      </c>
      <c r="AB41" s="31"/>
      <c r="AC41" s="34" t="str">
        <f t="shared" ref="AC41:AC42" si="45">IF((ISERROR((AB41/$I41)*100)), "", IF(AND(NOT(ISERROR((AB41/$I41)*100)),((AB41/$I41)*100) &lt;&gt; 0), (AB41/$I41)*100, ""))</f>
        <v/>
      </c>
      <c r="AD41" s="31"/>
      <c r="AE41" s="34" t="str">
        <f t="shared" ref="AE41:AE42" si="46">IF((ISERROR((AD41/$I41)*100)), "", IF(AND(NOT(ISERROR((AD41/$I41)*100)),((AD41/$I41)*100) &lt;&gt; 0), (AD41/$I41)*100, ""))</f>
        <v/>
      </c>
      <c r="AF41" s="56"/>
      <c r="AG41" s="34" t="str">
        <f t="shared" si="10"/>
        <v/>
      </c>
      <c r="AH41" s="31">
        <v>3</v>
      </c>
      <c r="AI41" s="34">
        <f t="shared" si="11"/>
        <v>3.0927835051546393</v>
      </c>
      <c r="AJ41" s="31"/>
      <c r="AK41" s="34" t="str">
        <f t="shared" si="12"/>
        <v/>
      </c>
      <c r="AL41" s="31"/>
      <c r="AM41" s="34" t="str">
        <f t="shared" si="13"/>
        <v/>
      </c>
      <c r="AN41" s="31">
        <v>6</v>
      </c>
      <c r="AO41" s="34">
        <f t="shared" si="14"/>
        <v>6.1855670103092786</v>
      </c>
      <c r="AP41" s="31">
        <v>4</v>
      </c>
      <c r="AQ41" s="34">
        <f t="shared" si="15"/>
        <v>4.1237113402061851</v>
      </c>
      <c r="AR41" s="31"/>
      <c r="AS41" s="34" t="str">
        <f t="shared" ref="AS41:AS42" si="47">IF((ISERROR((AR41/$I41)*100)), "", IF(AND(NOT(ISERROR((AR41/$I41)*100)),((AR41/$I41)*100) &lt;&gt; 0), (AR41/$I41)*100, ""))</f>
        <v/>
      </c>
      <c r="AT41" s="31"/>
      <c r="AU41" s="34" t="str">
        <f t="shared" ref="AU41:AU43" si="48">IF((ISERROR((AT41/$I41)*100)), "", IF(AND(NOT(ISERROR((AT41/$I41)*100)),((AT41/$I41)*100) &lt;&gt; 0), (AT41/$I41)*100, ""))</f>
        <v/>
      </c>
      <c r="AV41" s="31">
        <v>1</v>
      </c>
      <c r="AW41" s="34">
        <f t="shared" si="18"/>
        <v>1.0309278350515463</v>
      </c>
      <c r="AX41" s="31">
        <v>1</v>
      </c>
      <c r="AY41" s="34">
        <f t="shared" si="19"/>
        <v>1.0309278350515463</v>
      </c>
      <c r="AZ41" s="31"/>
      <c r="BA41" s="34" t="str">
        <f t="shared" si="20"/>
        <v/>
      </c>
      <c r="BB41" s="21" t="s">
        <v>382</v>
      </c>
    </row>
    <row r="42" spans="1:54" ht="20" customHeight="1" x14ac:dyDescent="0.2">
      <c r="A42" s="678"/>
      <c r="B42" s="721"/>
      <c r="C42" s="255"/>
      <c r="D42" s="722" t="s">
        <v>85</v>
      </c>
      <c r="E42" s="723" t="s">
        <v>302</v>
      </c>
      <c r="F42" s="723" t="s">
        <v>303</v>
      </c>
      <c r="G42" s="722">
        <v>1977</v>
      </c>
      <c r="H42" s="287"/>
      <c r="I42" s="65">
        <v>5</v>
      </c>
      <c r="J42" s="61" t="s">
        <v>362</v>
      </c>
      <c r="K42" s="62"/>
      <c r="L42" s="31"/>
      <c r="M42" s="34" t="str">
        <f t="shared" si="0"/>
        <v/>
      </c>
      <c r="N42" s="31"/>
      <c r="O42" s="34" t="str">
        <f t="shared" si="1"/>
        <v/>
      </c>
      <c r="P42" s="31"/>
      <c r="Q42" s="34" t="str">
        <f t="shared" si="2"/>
        <v/>
      </c>
      <c r="R42" s="31"/>
      <c r="S42" s="34" t="str">
        <f t="shared" si="3"/>
        <v/>
      </c>
      <c r="T42" s="31">
        <v>5</v>
      </c>
      <c r="U42" s="34">
        <f t="shared" si="4"/>
        <v>100</v>
      </c>
      <c r="V42" s="31"/>
      <c r="W42" s="34" t="str">
        <f t="shared" si="43"/>
        <v/>
      </c>
      <c r="X42" s="56"/>
      <c r="Y42" s="34" t="str">
        <f t="shared" si="6"/>
        <v/>
      </c>
      <c r="Z42" s="31"/>
      <c r="AA42" s="34" t="str">
        <f t="shared" si="44"/>
        <v/>
      </c>
      <c r="AB42" s="31"/>
      <c r="AC42" s="34" t="str">
        <f t="shared" si="45"/>
        <v/>
      </c>
      <c r="AD42" s="31"/>
      <c r="AE42" s="34" t="str">
        <f t="shared" si="46"/>
        <v/>
      </c>
      <c r="AF42" s="56"/>
      <c r="AG42" s="34" t="str">
        <f t="shared" si="10"/>
        <v/>
      </c>
      <c r="AH42" s="31"/>
      <c r="AI42" s="34" t="str">
        <f t="shared" si="11"/>
        <v/>
      </c>
      <c r="AJ42" s="31"/>
      <c r="AK42" s="34" t="str">
        <f t="shared" si="12"/>
        <v/>
      </c>
      <c r="AL42" s="31"/>
      <c r="AM42" s="34" t="str">
        <f t="shared" si="13"/>
        <v/>
      </c>
      <c r="AN42" s="31"/>
      <c r="AO42" s="34" t="str">
        <f t="shared" si="14"/>
        <v/>
      </c>
      <c r="AP42" s="31"/>
      <c r="AQ42" s="34" t="str">
        <f t="shared" si="15"/>
        <v/>
      </c>
      <c r="AR42" s="31"/>
      <c r="AS42" s="34" t="str">
        <f t="shared" si="47"/>
        <v/>
      </c>
      <c r="AT42" s="31"/>
      <c r="AU42" s="34" t="str">
        <f t="shared" si="48"/>
        <v/>
      </c>
      <c r="AV42" s="31"/>
      <c r="AW42" s="34" t="str">
        <f t="shared" si="18"/>
        <v/>
      </c>
      <c r="AX42" s="31"/>
      <c r="AY42" s="34" t="str">
        <f t="shared" si="19"/>
        <v/>
      </c>
      <c r="AZ42" s="31"/>
      <c r="BA42" s="34" t="str">
        <f t="shared" si="20"/>
        <v/>
      </c>
      <c r="BB42" s="21" t="s">
        <v>363</v>
      </c>
    </row>
    <row r="43" spans="1:54" ht="20" customHeight="1" x14ac:dyDescent="0.2">
      <c r="A43" s="678"/>
      <c r="B43" s="725"/>
      <c r="C43" s="255"/>
      <c r="D43" s="722" t="s">
        <v>85</v>
      </c>
      <c r="E43" s="723" t="s">
        <v>107</v>
      </c>
      <c r="F43" s="723" t="s">
        <v>108</v>
      </c>
      <c r="G43" s="722">
        <v>2008</v>
      </c>
      <c r="H43" s="287">
        <v>54</v>
      </c>
      <c r="I43" s="65">
        <v>12</v>
      </c>
      <c r="J43" s="61" t="s">
        <v>167</v>
      </c>
      <c r="K43" s="62" t="s">
        <v>209</v>
      </c>
      <c r="L43" s="31"/>
      <c r="M43" s="34" t="str">
        <f t="shared" si="0"/>
        <v/>
      </c>
      <c r="N43" s="31"/>
      <c r="O43" s="34" t="str">
        <f t="shared" si="1"/>
        <v/>
      </c>
      <c r="P43" s="31"/>
      <c r="Q43" s="34" t="str">
        <f t="shared" si="2"/>
        <v/>
      </c>
      <c r="R43" s="31"/>
      <c r="S43" s="34" t="str">
        <f t="shared" si="3"/>
        <v/>
      </c>
      <c r="T43" s="31"/>
      <c r="U43" s="34" t="str">
        <f t="shared" si="4"/>
        <v/>
      </c>
      <c r="V43" s="31"/>
      <c r="W43" s="34" t="str">
        <f>IF((ISERROR((V43/$I43)*100)), "", IF(AND(NOT(ISERROR((V43/$I43)*100)),((V43/$I43)*100) &lt;&gt; 0), (V43/$I43)*100, ""))</f>
        <v/>
      </c>
      <c r="X43" s="56"/>
      <c r="Y43" s="34" t="str">
        <f t="shared" si="6"/>
        <v/>
      </c>
      <c r="Z43" s="31"/>
      <c r="AA43" s="34" t="str">
        <f>IF((ISERROR((Z43/$I43)*100)), "", IF(AND(NOT(ISERROR((Z43/$I43)*100)),((Z43/$I43)*100) &lt;&gt; 0), (Z43/$I43)*100, ""))</f>
        <v/>
      </c>
      <c r="AB43" s="31"/>
      <c r="AC43" s="34" t="str">
        <f>IF((ISERROR((AB43/$I43)*100)), "", IF(AND(NOT(ISERROR((AB43/$I43)*100)),((AB43/$I43)*100) &lt;&gt; 0), (AB43/$I43)*100, ""))</f>
        <v/>
      </c>
      <c r="AD43" s="31"/>
      <c r="AE43" s="34" t="str">
        <f>IF((ISERROR((AD43/$I43)*100)), "", IF(AND(NOT(ISERROR((AD43/$I43)*100)),((AD43/$I43)*100) &lt;&gt; 0), (AD43/$I43)*100, ""))</f>
        <v/>
      </c>
      <c r="AF43" s="56"/>
      <c r="AG43" s="34" t="str">
        <f t="shared" si="10"/>
        <v/>
      </c>
      <c r="AH43" s="31">
        <v>1</v>
      </c>
      <c r="AI43" s="34">
        <f t="shared" si="11"/>
        <v>8.3333333333333321</v>
      </c>
      <c r="AJ43" s="31">
        <v>1</v>
      </c>
      <c r="AK43" s="34">
        <f t="shared" si="12"/>
        <v>8.3333333333333321</v>
      </c>
      <c r="AL43" s="31"/>
      <c r="AM43" s="34" t="str">
        <f t="shared" si="13"/>
        <v/>
      </c>
      <c r="AN43" s="31"/>
      <c r="AO43" s="34" t="str">
        <f t="shared" si="14"/>
        <v/>
      </c>
      <c r="AP43" s="31"/>
      <c r="AQ43" s="34" t="str">
        <f t="shared" si="15"/>
        <v/>
      </c>
      <c r="AR43" s="31"/>
      <c r="AS43" s="34" t="str">
        <f>IF((ISERROR((AR43/$I43)*100)), "", IF(AND(NOT(ISERROR((AR43/$I43)*100)),((AR43/$I43)*100) &lt;&gt; 0), (AR43/$I43)*100, ""))</f>
        <v/>
      </c>
      <c r="AT43" s="31"/>
      <c r="AU43" s="34" t="str">
        <f t="shared" si="48"/>
        <v/>
      </c>
      <c r="AV43" s="31"/>
      <c r="AW43" s="34" t="str">
        <f t="shared" si="18"/>
        <v/>
      </c>
      <c r="AX43" s="31"/>
      <c r="AY43" s="34" t="str">
        <f t="shared" si="19"/>
        <v/>
      </c>
      <c r="AZ43" s="31"/>
      <c r="BA43" s="34" t="str">
        <f t="shared" si="20"/>
        <v/>
      </c>
      <c r="BB43" s="21" t="s">
        <v>415</v>
      </c>
    </row>
    <row r="44" spans="1:54" ht="20" customHeight="1" x14ac:dyDescent="0.2">
      <c r="A44" s="678"/>
      <c r="B44" s="725"/>
      <c r="C44" s="255"/>
      <c r="D44" s="722" t="s">
        <v>85</v>
      </c>
      <c r="E44" s="723" t="s">
        <v>113</v>
      </c>
      <c r="F44" s="723" t="s">
        <v>114</v>
      </c>
      <c r="G44" s="722">
        <v>1997</v>
      </c>
      <c r="H44" s="287">
        <v>127</v>
      </c>
      <c r="I44" s="65">
        <v>8</v>
      </c>
      <c r="J44" s="61" t="s">
        <v>211</v>
      </c>
      <c r="K44" s="62" t="s">
        <v>212</v>
      </c>
      <c r="L44" s="31"/>
      <c r="M44" s="34" t="str">
        <f t="shared" si="0"/>
        <v/>
      </c>
      <c r="N44" s="31"/>
      <c r="O44" s="34" t="str">
        <f t="shared" si="1"/>
        <v/>
      </c>
      <c r="P44" s="31"/>
      <c r="Q44" s="34" t="str">
        <f t="shared" si="2"/>
        <v/>
      </c>
      <c r="R44" s="31"/>
      <c r="S44" s="34" t="str">
        <f t="shared" si="3"/>
        <v/>
      </c>
      <c r="T44" s="31"/>
      <c r="U44" s="34" t="str">
        <f t="shared" si="4"/>
        <v/>
      </c>
      <c r="V44" s="31"/>
      <c r="W44" s="34" t="str">
        <f t="shared" ref="W44" si="49">IF((ISERROR((V44/$I44)*100)), "", IF(AND(NOT(ISERROR((V44/$I44)*100)),((V44/$I44)*100) &lt;&gt; 0), (V44/$I44)*100, ""))</f>
        <v/>
      </c>
      <c r="X44" s="56">
        <v>1</v>
      </c>
      <c r="Y44" s="34">
        <f t="shared" si="6"/>
        <v>12.5</v>
      </c>
      <c r="Z44" s="31"/>
      <c r="AA44" s="34" t="str">
        <f t="shared" ref="AA44" si="50">IF((ISERROR((Z44/$I44)*100)), "", IF(AND(NOT(ISERROR((Z44/$I44)*100)),((Z44/$I44)*100) &lt;&gt; 0), (Z44/$I44)*100, ""))</f>
        <v/>
      </c>
      <c r="AB44" s="31"/>
      <c r="AC44" s="34" t="str">
        <f t="shared" ref="AC44" si="51">IF((ISERROR((AB44/$I44)*100)), "", IF(AND(NOT(ISERROR((AB44/$I44)*100)),((AB44/$I44)*100) &lt;&gt; 0), (AB44/$I44)*100, ""))</f>
        <v/>
      </c>
      <c r="AD44" s="31">
        <v>1</v>
      </c>
      <c r="AE44" s="34">
        <f t="shared" ref="AE44" si="52">IF((ISERROR((AD44/$I44)*100)), "", IF(AND(NOT(ISERROR((AD44/$I44)*100)),((AD44/$I44)*100) &lt;&gt; 0), (AD44/$I44)*100, ""))</f>
        <v>12.5</v>
      </c>
      <c r="AF44" s="56"/>
      <c r="AG44" s="34" t="str">
        <f t="shared" si="10"/>
        <v/>
      </c>
      <c r="AH44" s="31"/>
      <c r="AI44" s="34" t="str">
        <f t="shared" si="11"/>
        <v/>
      </c>
      <c r="AJ44" s="31"/>
      <c r="AK44" s="34" t="str">
        <f t="shared" si="12"/>
        <v/>
      </c>
      <c r="AL44" s="31"/>
      <c r="AM44" s="34" t="str">
        <f t="shared" si="13"/>
        <v/>
      </c>
      <c r="AN44" s="31"/>
      <c r="AO44" s="34" t="str">
        <f t="shared" si="14"/>
        <v/>
      </c>
      <c r="AP44" s="31"/>
      <c r="AQ44" s="34" t="str">
        <f t="shared" si="15"/>
        <v/>
      </c>
      <c r="AR44" s="31"/>
      <c r="AS44" s="34" t="str">
        <f t="shared" ref="AS44" si="53">IF((ISERROR((AR44/$I44)*100)), "", IF(AND(NOT(ISERROR((AR44/$I44)*100)),((AR44/$I44)*100) &lt;&gt; 0), (AR44/$I44)*100, ""))</f>
        <v/>
      </c>
      <c r="AT44" s="31"/>
      <c r="AU44" s="34" t="str">
        <f t="shared" ref="AU44:AU46" si="54">IF((ISERROR((AT44/$I44)*100)), "", IF(AND(NOT(ISERROR((AT44/$I44)*100)),((AT44/$I44)*100) &lt;&gt; 0), (AT44/$I44)*100, ""))</f>
        <v/>
      </c>
      <c r="AV44" s="31"/>
      <c r="AW44" s="34" t="str">
        <f t="shared" si="18"/>
        <v/>
      </c>
      <c r="AX44" s="31"/>
      <c r="AY44" s="34" t="str">
        <f t="shared" si="19"/>
        <v/>
      </c>
      <c r="AZ44" s="31"/>
      <c r="BA44" s="34" t="str">
        <f t="shared" si="20"/>
        <v/>
      </c>
      <c r="BB44" s="21" t="s">
        <v>384</v>
      </c>
    </row>
    <row r="45" spans="1:54" ht="20" customHeight="1" x14ac:dyDescent="0.2">
      <c r="A45" s="678"/>
      <c r="B45" s="725"/>
      <c r="C45" s="255"/>
      <c r="D45" s="722" t="s">
        <v>85</v>
      </c>
      <c r="E45" s="723" t="s">
        <v>119</v>
      </c>
      <c r="F45" s="723" t="s">
        <v>120</v>
      </c>
      <c r="G45" s="722">
        <v>2003</v>
      </c>
      <c r="H45" s="287">
        <v>45</v>
      </c>
      <c r="I45" s="65">
        <v>16</v>
      </c>
      <c r="J45" s="61" t="s">
        <v>175</v>
      </c>
      <c r="K45" s="62" t="s">
        <v>416</v>
      </c>
      <c r="L45" s="31"/>
      <c r="M45" s="34" t="str">
        <f t="shared" si="0"/>
        <v/>
      </c>
      <c r="N45" s="31"/>
      <c r="O45" s="34" t="str">
        <f t="shared" si="1"/>
        <v/>
      </c>
      <c r="P45" s="31"/>
      <c r="Q45" s="34" t="str">
        <f t="shared" si="2"/>
        <v/>
      </c>
      <c r="R45" s="31"/>
      <c r="S45" s="34" t="str">
        <f t="shared" si="3"/>
        <v/>
      </c>
      <c r="T45" s="36"/>
      <c r="U45" s="37" t="str">
        <f t="shared" si="4"/>
        <v/>
      </c>
      <c r="V45" s="31"/>
      <c r="W45" s="34" t="str">
        <f>IF((ISERROR((V45/$I45)*100)), "", IF(AND(NOT(ISERROR((V45/$I45)*100)),((V45/$I45)*100) &lt;&gt; 0), (V45/$I45)*100, ""))</f>
        <v/>
      </c>
      <c r="X45" s="36"/>
      <c r="Y45" s="37" t="str">
        <f t="shared" si="6"/>
        <v/>
      </c>
      <c r="Z45" s="31"/>
      <c r="AA45" s="34" t="str">
        <f>IF((ISERROR((Z45/$I45)*100)), "", IF(AND(NOT(ISERROR((Z45/$I45)*100)),((Z45/$I45)*100) &lt;&gt; 0), (Z45/$I45)*100, ""))</f>
        <v/>
      </c>
      <c r="AB45" s="31"/>
      <c r="AC45" s="34" t="str">
        <f>IF((ISERROR((AB45/$I45)*100)), "", IF(AND(NOT(ISERROR((AB45/$I45)*100)),((AB45/$I45)*100) &lt;&gt; 0), (AB45/$I45)*100, ""))</f>
        <v/>
      </c>
      <c r="AD45" s="31"/>
      <c r="AE45" s="34" t="str">
        <f>IF((ISERROR((AD45/$I45)*100)), "", IF(AND(NOT(ISERROR((AD45/$I45)*100)),((AD45/$I45)*100) &lt;&gt; 0), (AD45/$I45)*100, ""))</f>
        <v/>
      </c>
      <c r="AF45" s="56"/>
      <c r="AG45" s="34" t="str">
        <f t="shared" si="10"/>
        <v/>
      </c>
      <c r="AH45" s="31"/>
      <c r="AI45" s="34" t="str">
        <f t="shared" si="11"/>
        <v/>
      </c>
      <c r="AJ45" s="31"/>
      <c r="AK45" s="34" t="str">
        <f t="shared" si="12"/>
        <v/>
      </c>
      <c r="AL45" s="31"/>
      <c r="AM45" s="34" t="str">
        <f t="shared" si="13"/>
        <v/>
      </c>
      <c r="AN45" s="31"/>
      <c r="AO45" s="34" t="str">
        <f t="shared" si="14"/>
        <v/>
      </c>
      <c r="AP45" s="31"/>
      <c r="AQ45" s="34" t="str">
        <f t="shared" si="15"/>
        <v/>
      </c>
      <c r="AR45" s="31"/>
      <c r="AS45" s="34" t="str">
        <f>IF((ISERROR((AR45/$I45)*100)), "", IF(AND(NOT(ISERROR((AR45/$I45)*100)),((AR45/$I45)*100) &lt;&gt; 0), (AR45/$I45)*100, ""))</f>
        <v/>
      </c>
      <c r="AT45" s="31"/>
      <c r="AU45" s="34" t="str">
        <f t="shared" si="54"/>
        <v/>
      </c>
      <c r="AV45" s="31"/>
      <c r="AW45" s="34" t="str">
        <f t="shared" si="18"/>
        <v/>
      </c>
      <c r="AX45" s="31"/>
      <c r="AY45" s="34" t="str">
        <f t="shared" si="19"/>
        <v/>
      </c>
      <c r="AZ45" s="31"/>
      <c r="BA45" s="34" t="str">
        <f t="shared" si="20"/>
        <v/>
      </c>
      <c r="BB45" s="21" t="s">
        <v>404</v>
      </c>
    </row>
    <row r="46" spans="1:54" ht="20" customHeight="1" x14ac:dyDescent="0.2">
      <c r="A46" s="678"/>
      <c r="B46" s="725"/>
      <c r="C46" s="255"/>
      <c r="D46" s="722" t="s">
        <v>85</v>
      </c>
      <c r="E46" s="723" t="s">
        <v>304</v>
      </c>
      <c r="F46" s="723" t="s">
        <v>305</v>
      </c>
      <c r="G46" s="722">
        <v>2015</v>
      </c>
      <c r="H46" s="287"/>
      <c r="I46" s="65">
        <v>5</v>
      </c>
      <c r="J46" s="61" t="s">
        <v>210</v>
      </c>
      <c r="K46" s="62" t="s">
        <v>187</v>
      </c>
      <c r="L46" s="31"/>
      <c r="M46" s="34" t="str">
        <f t="shared" si="0"/>
        <v/>
      </c>
      <c r="N46" s="31"/>
      <c r="O46" s="34" t="str">
        <f t="shared" si="1"/>
        <v/>
      </c>
      <c r="P46" s="31"/>
      <c r="Q46" s="34" t="str">
        <f t="shared" si="2"/>
        <v/>
      </c>
      <c r="R46" s="31"/>
      <c r="S46" s="34" t="str">
        <f t="shared" si="3"/>
        <v/>
      </c>
      <c r="T46" s="31"/>
      <c r="U46" s="34" t="str">
        <f t="shared" si="4"/>
        <v/>
      </c>
      <c r="V46" s="31"/>
      <c r="W46" s="34" t="str">
        <f>IF((ISERROR((V46/$I46)*100)), "", IF(AND(NOT(ISERROR((V46/$I46)*100)),((V46/$I46)*100) &lt;&gt; 0), (V46/$I46)*100, ""))</f>
        <v/>
      </c>
      <c r="X46" s="56"/>
      <c r="Y46" s="34" t="str">
        <f t="shared" si="6"/>
        <v/>
      </c>
      <c r="Z46" s="31"/>
      <c r="AA46" s="34" t="str">
        <f>IF((ISERROR((Z46/$I46)*100)), "", IF(AND(NOT(ISERROR((Z46/$I46)*100)),((Z46/$I46)*100) &lt;&gt; 0), (Z46/$I46)*100, ""))</f>
        <v/>
      </c>
      <c r="AB46" s="31"/>
      <c r="AC46" s="34" t="str">
        <f>IF((ISERROR((AB46/$I46)*100)), "", IF(AND(NOT(ISERROR((AB46/$I46)*100)),((AB46/$I46)*100) &lt;&gt; 0), (AB46/$I46)*100, ""))</f>
        <v/>
      </c>
      <c r="AD46" s="31"/>
      <c r="AE46" s="34" t="str">
        <f>IF((ISERROR((AD46/$I46)*100)), "", IF(AND(NOT(ISERROR((AD46/$I46)*100)),((AD46/$I46)*100) &lt;&gt; 0), (AD46/$I46)*100, ""))</f>
        <v/>
      </c>
      <c r="AF46" s="56">
        <v>1</v>
      </c>
      <c r="AG46" s="34">
        <f t="shared" si="10"/>
        <v>20</v>
      </c>
      <c r="AH46" s="31"/>
      <c r="AI46" s="34" t="str">
        <f t="shared" si="11"/>
        <v/>
      </c>
      <c r="AJ46" s="31"/>
      <c r="AK46" s="34" t="str">
        <f t="shared" si="12"/>
        <v/>
      </c>
      <c r="AL46" s="31"/>
      <c r="AM46" s="34" t="str">
        <f t="shared" si="13"/>
        <v/>
      </c>
      <c r="AN46" s="31"/>
      <c r="AO46" s="34" t="str">
        <f t="shared" si="14"/>
        <v/>
      </c>
      <c r="AP46" s="31"/>
      <c r="AQ46" s="34" t="str">
        <f t="shared" si="15"/>
        <v/>
      </c>
      <c r="AR46" s="31"/>
      <c r="AS46" s="34" t="str">
        <f>IF((ISERROR((AR46/$I46)*100)), "", IF(AND(NOT(ISERROR((AR46/$I46)*100)),((AR46/$I46)*100) &lt;&gt; 0), (AR46/$I46)*100, ""))</f>
        <v/>
      </c>
      <c r="AT46" s="31"/>
      <c r="AU46" s="34" t="str">
        <f t="shared" si="54"/>
        <v/>
      </c>
      <c r="AV46" s="31"/>
      <c r="AW46" s="34" t="str">
        <f t="shared" si="18"/>
        <v/>
      </c>
      <c r="AX46" s="31"/>
      <c r="AY46" s="34" t="str">
        <f t="shared" si="19"/>
        <v/>
      </c>
      <c r="AZ46" s="31"/>
      <c r="BA46" s="34" t="str">
        <f t="shared" si="20"/>
        <v/>
      </c>
      <c r="BB46" s="21" t="s">
        <v>417</v>
      </c>
    </row>
    <row r="47" spans="1:54" ht="20" customHeight="1" x14ac:dyDescent="0.2">
      <c r="A47" s="678"/>
      <c r="B47" s="725"/>
      <c r="C47" s="255"/>
      <c r="D47" s="722" t="s">
        <v>85</v>
      </c>
      <c r="E47" s="723" t="s">
        <v>568</v>
      </c>
      <c r="F47" s="723" t="s">
        <v>569</v>
      </c>
      <c r="G47" s="722">
        <v>2010</v>
      </c>
      <c r="H47" s="287"/>
      <c r="I47" s="65">
        <v>15</v>
      </c>
      <c r="J47" s="61" t="s">
        <v>184</v>
      </c>
      <c r="K47" s="62" t="s">
        <v>168</v>
      </c>
      <c r="L47" s="31">
        <v>2</v>
      </c>
      <c r="M47" s="34">
        <f t="shared" si="0"/>
        <v>13.333333333333334</v>
      </c>
      <c r="N47" s="31"/>
      <c r="O47" s="34"/>
      <c r="P47" s="31"/>
      <c r="Q47" s="34"/>
      <c r="R47" s="31"/>
      <c r="S47" s="34"/>
      <c r="T47" s="31">
        <v>1</v>
      </c>
      <c r="U47" s="34">
        <f t="shared" si="4"/>
        <v>6.666666666666667</v>
      </c>
      <c r="V47" s="31"/>
      <c r="W47" s="34"/>
      <c r="X47" s="56">
        <v>2</v>
      </c>
      <c r="Y47" s="34">
        <f t="shared" si="6"/>
        <v>13.333333333333334</v>
      </c>
      <c r="Z47" s="31"/>
      <c r="AA47" s="34"/>
      <c r="AB47" s="31"/>
      <c r="AC47" s="34"/>
      <c r="AD47" s="31"/>
      <c r="AE47" s="34"/>
      <c r="AF47" s="56"/>
      <c r="AG47" s="34"/>
      <c r="AH47" s="31"/>
      <c r="AI47" s="34"/>
      <c r="AJ47" s="31"/>
      <c r="AK47" s="34"/>
      <c r="AL47" s="31"/>
      <c r="AM47" s="34"/>
      <c r="AN47" s="31"/>
      <c r="AO47" s="34"/>
      <c r="AP47" s="31"/>
      <c r="AQ47" s="34"/>
      <c r="AR47" s="31"/>
      <c r="AS47" s="34"/>
      <c r="AT47" s="31"/>
      <c r="AU47" s="34"/>
      <c r="AV47" s="31"/>
      <c r="AW47" s="34"/>
      <c r="AX47" s="31"/>
      <c r="AY47" s="34"/>
      <c r="AZ47" s="31"/>
      <c r="BA47" s="34"/>
      <c r="BB47" s="21" t="s">
        <v>570</v>
      </c>
    </row>
    <row r="48" spans="1:54" ht="20" customHeight="1" x14ac:dyDescent="0.2">
      <c r="A48" s="678"/>
      <c r="B48" s="725"/>
      <c r="C48" s="255"/>
      <c r="D48" s="722" t="s">
        <v>85</v>
      </c>
      <c r="E48" s="723" t="s">
        <v>131</v>
      </c>
      <c r="F48" s="723" t="s">
        <v>132</v>
      </c>
      <c r="G48" s="722">
        <v>1998</v>
      </c>
      <c r="H48" s="287">
        <v>213</v>
      </c>
      <c r="I48" s="65">
        <v>6</v>
      </c>
      <c r="J48" s="61" t="s">
        <v>175</v>
      </c>
      <c r="K48" s="62"/>
      <c r="L48" s="31"/>
      <c r="M48" s="34" t="str">
        <f t="shared" si="0"/>
        <v/>
      </c>
      <c r="N48" s="36">
        <v>4</v>
      </c>
      <c r="O48" s="37">
        <f t="shared" si="1"/>
        <v>66.666666666666657</v>
      </c>
      <c r="P48" s="31"/>
      <c r="Q48" s="34" t="str">
        <f t="shared" si="2"/>
        <v/>
      </c>
      <c r="R48" s="31"/>
      <c r="S48" s="34" t="str">
        <f t="shared" si="3"/>
        <v/>
      </c>
      <c r="T48" s="31"/>
      <c r="U48" s="34" t="str">
        <f t="shared" si="4"/>
        <v/>
      </c>
      <c r="V48" s="31"/>
      <c r="W48" s="34" t="str">
        <f t="shared" ref="W48" si="55">IF((ISERROR((V48/$I48)*100)), "", IF(AND(NOT(ISERROR((V48/$I48)*100)),((V48/$I48)*100) &lt;&gt; 0), (V48/$I48)*100, ""))</f>
        <v/>
      </c>
      <c r="X48" s="56"/>
      <c r="Y48" s="34" t="str">
        <f t="shared" si="6"/>
        <v/>
      </c>
      <c r="Z48" s="31"/>
      <c r="AA48" s="34" t="str">
        <f t="shared" ref="AA48" si="56">IF((ISERROR((Z48/$I48)*100)), "", IF(AND(NOT(ISERROR((Z48/$I48)*100)),((Z48/$I48)*100) &lt;&gt; 0), (Z48/$I48)*100, ""))</f>
        <v/>
      </c>
      <c r="AB48" s="31"/>
      <c r="AC48" s="34" t="str">
        <f t="shared" ref="AC48" si="57">IF((ISERROR((AB48/$I48)*100)), "", IF(AND(NOT(ISERROR((AB48/$I48)*100)),((AB48/$I48)*100) &lt;&gt; 0), (AB48/$I48)*100, ""))</f>
        <v/>
      </c>
      <c r="AD48" s="31"/>
      <c r="AE48" s="34" t="str">
        <f t="shared" ref="AE48" si="58">IF((ISERROR((AD48/$I48)*100)), "", IF(AND(NOT(ISERROR((AD48/$I48)*100)),((AD48/$I48)*100) &lt;&gt; 0), (AD48/$I48)*100, ""))</f>
        <v/>
      </c>
      <c r="AF48" s="56"/>
      <c r="AG48" s="34" t="str">
        <f t="shared" si="10"/>
        <v/>
      </c>
      <c r="AH48" s="31"/>
      <c r="AI48" s="34" t="str">
        <f t="shared" si="11"/>
        <v/>
      </c>
      <c r="AJ48" s="31"/>
      <c r="AK48" s="34" t="str">
        <f t="shared" si="12"/>
        <v/>
      </c>
      <c r="AL48" s="31"/>
      <c r="AM48" s="34" t="str">
        <f t="shared" si="13"/>
        <v/>
      </c>
      <c r="AN48" s="31"/>
      <c r="AO48" s="34" t="str">
        <f t="shared" si="14"/>
        <v/>
      </c>
      <c r="AP48" s="31"/>
      <c r="AQ48" s="34" t="str">
        <f t="shared" si="15"/>
        <v/>
      </c>
      <c r="AR48" s="31"/>
      <c r="AS48" s="34" t="str">
        <f t="shared" ref="AS48" si="59">IF((ISERROR((AR48/$I48)*100)), "", IF(AND(NOT(ISERROR((AR48/$I48)*100)),((AR48/$I48)*100) &lt;&gt; 0), (AR48/$I48)*100, ""))</f>
        <v/>
      </c>
      <c r="AT48" s="31"/>
      <c r="AU48" s="34" t="str">
        <f t="shared" ref="AU48:AU49" si="60">IF((ISERROR((AT48/$I48)*100)), "", IF(AND(NOT(ISERROR((AT48/$I48)*100)),((AT48/$I48)*100) &lt;&gt; 0), (AT48/$I48)*100, ""))</f>
        <v/>
      </c>
      <c r="AV48" s="31"/>
      <c r="AW48" s="34" t="str">
        <f t="shared" si="18"/>
        <v/>
      </c>
      <c r="AX48" s="31"/>
      <c r="AY48" s="34" t="str">
        <f t="shared" si="19"/>
        <v/>
      </c>
      <c r="AZ48" s="31"/>
      <c r="BA48" s="34" t="str">
        <f t="shared" si="20"/>
        <v/>
      </c>
      <c r="BB48" s="21" t="s">
        <v>218</v>
      </c>
    </row>
    <row r="49" spans="1:54" ht="20" customHeight="1" x14ac:dyDescent="0.2">
      <c r="A49" s="678"/>
      <c r="B49" s="725"/>
      <c r="C49" s="255"/>
      <c r="D49" s="722" t="s">
        <v>85</v>
      </c>
      <c r="E49" s="723" t="s">
        <v>133</v>
      </c>
      <c r="F49" s="723" t="s">
        <v>134</v>
      </c>
      <c r="G49" s="722">
        <v>2001</v>
      </c>
      <c r="H49" s="287">
        <v>192</v>
      </c>
      <c r="I49" s="65">
        <v>19</v>
      </c>
      <c r="J49" s="61" t="s">
        <v>175</v>
      </c>
      <c r="K49" s="62" t="s">
        <v>168</v>
      </c>
      <c r="L49" s="31"/>
      <c r="M49" s="34" t="str">
        <f t="shared" si="0"/>
        <v/>
      </c>
      <c r="N49" s="36">
        <v>1</v>
      </c>
      <c r="O49" s="37">
        <f t="shared" si="1"/>
        <v>5.2631578947368416</v>
      </c>
      <c r="P49" s="31"/>
      <c r="Q49" s="34" t="str">
        <f t="shared" si="2"/>
        <v/>
      </c>
      <c r="R49" s="31"/>
      <c r="S49" s="34" t="str">
        <f t="shared" si="3"/>
        <v/>
      </c>
      <c r="T49" s="31"/>
      <c r="U49" s="34" t="str">
        <f t="shared" si="4"/>
        <v/>
      </c>
      <c r="V49" s="31"/>
      <c r="W49" s="34" t="str">
        <f>IF((ISERROR((V49/$I49)*100)), "", IF(AND(NOT(ISERROR((V49/$I49)*100)),((V49/$I49)*100) &lt;&gt; 0), (V49/$I49)*100, ""))</f>
        <v/>
      </c>
      <c r="X49" s="56"/>
      <c r="Y49" s="34" t="str">
        <f t="shared" si="6"/>
        <v/>
      </c>
      <c r="Z49" s="31"/>
      <c r="AA49" s="34" t="str">
        <f>IF((ISERROR((Z49/$I49)*100)), "", IF(AND(NOT(ISERROR((Z49/$I49)*100)),((Z49/$I49)*100) &lt;&gt; 0), (Z49/$I49)*100, ""))</f>
        <v/>
      </c>
      <c r="AB49" s="31"/>
      <c r="AC49" s="34" t="str">
        <f>IF((ISERROR((AB49/$I49)*100)), "", IF(AND(NOT(ISERROR((AB49/$I49)*100)),((AB49/$I49)*100) &lt;&gt; 0), (AB49/$I49)*100, ""))</f>
        <v/>
      </c>
      <c r="AD49" s="31"/>
      <c r="AE49" s="34" t="str">
        <f>IF((ISERROR((AD49/$I49)*100)), "", IF(AND(NOT(ISERROR((AD49/$I49)*100)),((AD49/$I49)*100) &lt;&gt; 0), (AD49/$I49)*100, ""))</f>
        <v/>
      </c>
      <c r="AF49" s="56"/>
      <c r="AG49" s="34" t="str">
        <f t="shared" si="10"/>
        <v/>
      </c>
      <c r="AH49" s="31">
        <v>2</v>
      </c>
      <c r="AI49" s="34">
        <f t="shared" si="11"/>
        <v>10.526315789473683</v>
      </c>
      <c r="AJ49" s="31"/>
      <c r="AK49" s="34" t="str">
        <f t="shared" si="12"/>
        <v/>
      </c>
      <c r="AL49" s="31"/>
      <c r="AM49" s="34" t="str">
        <f t="shared" si="13"/>
        <v/>
      </c>
      <c r="AN49" s="31"/>
      <c r="AO49" s="34" t="str">
        <f t="shared" si="14"/>
        <v/>
      </c>
      <c r="AP49" s="31"/>
      <c r="AQ49" s="34" t="str">
        <f t="shared" si="15"/>
        <v/>
      </c>
      <c r="AR49" s="31"/>
      <c r="AS49" s="34" t="str">
        <f>IF((ISERROR((AR49/$I49)*100)), "", IF(AND(NOT(ISERROR((AR49/$I49)*100)),((AR49/$I49)*100) &lt;&gt; 0), (AR49/$I49)*100, ""))</f>
        <v/>
      </c>
      <c r="AT49" s="31"/>
      <c r="AU49" s="34" t="str">
        <f t="shared" si="60"/>
        <v/>
      </c>
      <c r="AV49" s="31"/>
      <c r="AW49" s="34" t="str">
        <f t="shared" si="18"/>
        <v/>
      </c>
      <c r="AX49" s="31"/>
      <c r="AY49" s="34" t="str">
        <f t="shared" si="19"/>
        <v/>
      </c>
      <c r="AZ49" s="31"/>
      <c r="BA49" s="34" t="str">
        <f t="shared" si="20"/>
        <v/>
      </c>
      <c r="BB49" s="21" t="s">
        <v>387</v>
      </c>
    </row>
    <row r="50" spans="1:54" ht="20" customHeight="1" x14ac:dyDescent="0.2">
      <c r="A50" s="678"/>
      <c r="B50" s="721"/>
      <c r="C50" s="255"/>
      <c r="D50" s="722"/>
      <c r="E50" s="723" t="s">
        <v>151</v>
      </c>
      <c r="F50" s="723" t="s">
        <v>419</v>
      </c>
      <c r="G50" s="722">
        <v>1999</v>
      </c>
      <c r="H50" s="287"/>
      <c r="I50" s="65">
        <v>30</v>
      </c>
      <c r="J50" s="61" t="s">
        <v>420</v>
      </c>
      <c r="K50" s="62" t="s">
        <v>219</v>
      </c>
      <c r="L50" s="31"/>
      <c r="M50" s="34"/>
      <c r="N50" s="31"/>
      <c r="O50" s="34"/>
      <c r="P50" s="31"/>
      <c r="Q50" s="34"/>
      <c r="R50" s="31"/>
      <c r="S50" s="34"/>
      <c r="T50" s="31"/>
      <c r="U50" s="34"/>
      <c r="V50" s="31"/>
      <c r="W50" s="34"/>
      <c r="X50" s="56"/>
      <c r="Y50" s="34"/>
      <c r="Z50" s="31"/>
      <c r="AA50" s="34"/>
      <c r="AB50" s="31"/>
      <c r="AC50" s="34"/>
      <c r="AD50" s="31"/>
      <c r="AE50" s="34"/>
      <c r="AF50" s="56"/>
      <c r="AG50" s="34"/>
      <c r="AH50" s="31"/>
      <c r="AI50" s="34"/>
      <c r="AJ50" s="31"/>
      <c r="AK50" s="34"/>
      <c r="AL50" s="31"/>
      <c r="AM50" s="34"/>
      <c r="AN50" s="31"/>
      <c r="AO50" s="34"/>
      <c r="AP50" s="31"/>
      <c r="AQ50" s="34"/>
      <c r="AR50" s="31"/>
      <c r="AS50" s="34"/>
      <c r="AT50" s="31"/>
      <c r="AU50" s="34"/>
      <c r="AV50" s="31"/>
      <c r="AW50" s="34"/>
      <c r="AX50" s="31"/>
      <c r="AY50" s="34"/>
      <c r="AZ50" s="31"/>
      <c r="BA50" s="34"/>
      <c r="BB50" s="21" t="s">
        <v>388</v>
      </c>
    </row>
    <row r="51" spans="1:54" ht="20" customHeight="1" x14ac:dyDescent="0.2">
      <c r="A51" s="678"/>
      <c r="B51" s="725"/>
      <c r="C51" s="255"/>
      <c r="D51" s="722" t="s">
        <v>85</v>
      </c>
      <c r="E51" s="723" t="s">
        <v>135</v>
      </c>
      <c r="F51" s="723" t="s">
        <v>136</v>
      </c>
      <c r="G51" s="722">
        <v>2007</v>
      </c>
      <c r="H51" s="287">
        <v>240</v>
      </c>
      <c r="I51" s="65">
        <v>53</v>
      </c>
      <c r="J51" s="61" t="s">
        <v>220</v>
      </c>
      <c r="K51" s="62" t="s">
        <v>168</v>
      </c>
      <c r="L51" s="31"/>
      <c r="M51" s="34"/>
      <c r="N51" s="31"/>
      <c r="O51" s="34"/>
      <c r="P51" s="31"/>
      <c r="Q51" s="34"/>
      <c r="R51" s="31"/>
      <c r="S51" s="34"/>
      <c r="T51" s="31"/>
      <c r="U51" s="34"/>
      <c r="V51" s="31"/>
      <c r="W51" s="34"/>
      <c r="X51" s="56"/>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c r="BB51" s="21" t="s">
        <v>586</v>
      </c>
    </row>
    <row r="52" spans="1:54" ht="20" customHeight="1" x14ac:dyDescent="0.2">
      <c r="A52" s="678"/>
      <c r="B52" s="725"/>
      <c r="C52" s="255"/>
      <c r="D52" s="722" t="s">
        <v>85</v>
      </c>
      <c r="E52" s="723" t="s">
        <v>137</v>
      </c>
      <c r="F52" s="723" t="s">
        <v>138</v>
      </c>
      <c r="G52" s="722">
        <v>2011</v>
      </c>
      <c r="H52" s="287">
        <v>42</v>
      </c>
      <c r="I52" s="65">
        <v>51</v>
      </c>
      <c r="J52" s="61" t="s">
        <v>221</v>
      </c>
      <c r="K52" s="62" t="s">
        <v>222</v>
      </c>
      <c r="L52" s="31"/>
      <c r="M52" s="34" t="str">
        <f>IF((ISERROR((L52/$I52)*100)), "", IF(AND(NOT(ISERROR((L52/$I52)*100)),((L52/$I52)*100) &lt;&gt; 0), (L52/$I52)*100, ""))</f>
        <v/>
      </c>
      <c r="N52" s="31"/>
      <c r="O52" s="34" t="str">
        <f>IF((ISERROR((N52/$I52)*100)), "", IF(AND(NOT(ISERROR((N52/$I52)*100)),((N52/$I52)*100) &lt;&gt; 0), (N52/$I52)*100, ""))</f>
        <v/>
      </c>
      <c r="P52" s="31"/>
      <c r="Q52" s="34" t="str">
        <f>IF((ISERROR((P52/$I52)*100)), "", IF(AND(NOT(ISERROR((P52/$I52)*100)),((P52/$I52)*100) &lt;&gt; 0), (P52/$I52)*100, ""))</f>
        <v/>
      </c>
      <c r="R52" s="31"/>
      <c r="S52" s="34" t="str">
        <f>IF((ISERROR((R52/$I52)*100)), "", IF(AND(NOT(ISERROR((R52/$I52)*100)),((R52/$I52)*100) &lt;&gt; 0), (R52/$I52)*100, ""))</f>
        <v/>
      </c>
      <c r="T52" s="31"/>
      <c r="U52" s="34" t="str">
        <f>IF((ISERROR((T52/$I52)*100)), "", IF(AND(NOT(ISERROR((T52/$I52)*100)),((T52/$I52)*100) &lt;&gt; 0), (T52/$I52)*100, ""))</f>
        <v/>
      </c>
      <c r="V52" s="31"/>
      <c r="W52" s="34" t="str">
        <f t="shared" ref="W52" si="61">IF((ISERROR((V52/$I52)*100)), "", IF(AND(NOT(ISERROR((V52/$I52)*100)),((V52/$I52)*100) &lt;&gt; 0), (V52/$I52)*100, ""))</f>
        <v/>
      </c>
      <c r="X52" s="38">
        <v>4</v>
      </c>
      <c r="Y52" s="37">
        <f t="shared" ref="Y52:Y55" si="62">IF((ISERROR((X52/$I52)*100)), "", IF(AND(NOT(ISERROR((X52/$I52)*100)),((X52/$I52)*100) &lt;&gt; 0), (X52/$I52)*100, ""))</f>
        <v>7.8431372549019605</v>
      </c>
      <c r="Z52" s="31"/>
      <c r="AA52" s="34" t="str">
        <f t="shared" ref="AA52" si="63">IF((ISERROR((Z52/$I52)*100)), "", IF(AND(NOT(ISERROR((Z52/$I52)*100)),((Z52/$I52)*100) &lt;&gt; 0), (Z52/$I52)*100, ""))</f>
        <v/>
      </c>
      <c r="AB52" s="31"/>
      <c r="AC52" s="34" t="str">
        <f t="shared" ref="AC52" si="64">IF((ISERROR((AB52/$I52)*100)), "", IF(AND(NOT(ISERROR((AB52/$I52)*100)),((AB52/$I52)*100) &lt;&gt; 0), (AB52/$I52)*100, ""))</f>
        <v/>
      </c>
      <c r="AD52" s="36" t="s">
        <v>223</v>
      </c>
      <c r="AE52" s="37" t="str">
        <f t="shared" ref="AE52" si="65">IF((ISERROR((AD52/$I52)*100)), "", IF(AND(NOT(ISERROR((AD52/$I52)*100)),((AD52/$I52)*100) &lt;&gt; 0), (AD52/$I52)*100, ""))</f>
        <v/>
      </c>
      <c r="AF52" s="56"/>
      <c r="AG52" s="34" t="str">
        <f>IF((ISERROR((AF52/$I52)*100)), "", IF(AND(NOT(ISERROR((AF52/$I52)*100)),((AF52/$I52)*100) &lt;&gt; 0), (AF52/$I52)*100, ""))</f>
        <v/>
      </c>
      <c r="AH52" s="36">
        <v>21</v>
      </c>
      <c r="AI52" s="37">
        <f>IF((ISERROR((AH52/$I52)*100)), "", IF(AND(NOT(ISERROR((AH52/$I52)*100)),((AH52/$I52)*100) &lt;&gt; 0), (AH52/$I52)*100, ""))</f>
        <v>41.17647058823529</v>
      </c>
      <c r="AJ52" s="31"/>
      <c r="AK52" s="34" t="str">
        <f>IF((ISERROR((AJ52/$I52)*100)), "", IF(AND(NOT(ISERROR((AJ52/$I52)*100)),((AJ52/$I52)*100) &lt;&gt; 0), (AJ52/$I52)*100, ""))</f>
        <v/>
      </c>
      <c r="AL52" s="31"/>
      <c r="AM52" s="34" t="str">
        <f>IF((ISERROR((AL52/$I52)*100)), "", IF(AND(NOT(ISERROR((AL52/$I52)*100)),((AL52/$I52)*100) &lt;&gt; 0), (AL52/$I52)*100, ""))</f>
        <v/>
      </c>
      <c r="AN52" s="31"/>
      <c r="AO52" s="34" t="str">
        <f>IF((ISERROR((AN52/$I52)*100)), "", IF(AND(NOT(ISERROR((AN52/$I52)*100)),((AN52/$I52)*100) &lt;&gt; 0), (AN52/$I52)*100, ""))</f>
        <v/>
      </c>
      <c r="AP52" s="31"/>
      <c r="AQ52" s="34" t="str">
        <f>IF((ISERROR((AP52/$I52)*100)), "", IF(AND(NOT(ISERROR((AP52/$I52)*100)),((AP52/$I52)*100) &lt;&gt; 0), (AP52/$I52)*100, ""))</f>
        <v/>
      </c>
      <c r="AR52" s="31"/>
      <c r="AS52" s="34" t="str">
        <f t="shared" ref="AS52" si="66">IF((ISERROR((AR52/$I52)*100)), "", IF(AND(NOT(ISERROR((AR52/$I52)*100)),((AR52/$I52)*100) &lt;&gt; 0), (AR52/$I52)*100, ""))</f>
        <v/>
      </c>
      <c r="AT52" s="36">
        <v>1</v>
      </c>
      <c r="AU52" s="37">
        <f t="shared" ref="AU52:AU55" si="67">IF((ISERROR((AT52/$I52)*100)), "", IF(AND(NOT(ISERROR((AT52/$I52)*100)),((AT52/$I52)*100) &lt;&gt; 0), (AT52/$I52)*100, ""))</f>
        <v>1.9607843137254901</v>
      </c>
      <c r="AV52" s="31"/>
      <c r="AW52" s="34" t="str">
        <f t="shared" ref="AW52:AW55" si="68">IF((ISERROR((AV52/$I52)*100)), "", IF(AND(NOT(ISERROR((AV52/$I52)*100)),((AV52/$I52)*100) &lt;&gt; 0), (AV52/$I52)*100, ""))</f>
        <v/>
      </c>
      <c r="AX52" s="31"/>
      <c r="AY52" s="34" t="str">
        <f t="shared" ref="AY52:AY55" si="69">IF((ISERROR((AX52/$I52)*100)), "", IF(AND(NOT(ISERROR((AX52/$I52)*100)),((AX52/$I52)*100) &lt;&gt; 0), (AX52/$I52)*100, ""))</f>
        <v/>
      </c>
      <c r="AZ52" s="31"/>
      <c r="BA52" s="34" t="str">
        <f t="shared" ref="BA52:BA55" si="70">IF((ISERROR((AZ52/$I52)*100)), "", IF(AND(NOT(ISERROR((AZ52/$I52)*100)),((AZ52/$I52)*100) &lt;&gt; 0), (AZ52/$I52)*100, ""))</f>
        <v/>
      </c>
      <c r="BB52" s="21" t="s">
        <v>389</v>
      </c>
    </row>
    <row r="53" spans="1:54" ht="20" customHeight="1" x14ac:dyDescent="0.2">
      <c r="A53" s="678"/>
      <c r="B53" s="725"/>
      <c r="C53" s="255"/>
      <c r="D53" s="722" t="s">
        <v>85</v>
      </c>
      <c r="E53" s="723" t="s">
        <v>310</v>
      </c>
      <c r="F53" s="723" t="s">
        <v>311</v>
      </c>
      <c r="G53" s="722">
        <v>2010</v>
      </c>
      <c r="H53" s="287"/>
      <c r="I53" s="65">
        <v>53</v>
      </c>
      <c r="J53" s="78" t="s">
        <v>366</v>
      </c>
      <c r="K53" s="62" t="s">
        <v>405</v>
      </c>
      <c r="L53" s="31"/>
      <c r="M53" s="34" t="str">
        <f>IF((ISERROR((L53/$I53)*100)), "", IF(AND(NOT(ISERROR((L53/$I53)*100)),((L53/$I53)*100) &lt;&gt; 0), (L53/$I53)*100, ""))</f>
        <v/>
      </c>
      <c r="N53" s="31"/>
      <c r="O53" s="34" t="str">
        <f>IF((ISERROR((N53/$I53)*100)), "", IF(AND(NOT(ISERROR((N53/$I53)*100)),((N53/$I53)*100) &lt;&gt; 0), (N53/$I53)*100, ""))</f>
        <v/>
      </c>
      <c r="P53" s="31"/>
      <c r="Q53" s="34" t="str">
        <f>IF((ISERROR((P53/$I53)*100)), "", IF(AND(NOT(ISERROR((P53/$I53)*100)),((P53/$I53)*100) &lt;&gt; 0), (P53/$I53)*100, ""))</f>
        <v/>
      </c>
      <c r="R53" s="31"/>
      <c r="S53" s="34" t="str">
        <f>IF((ISERROR((R53/$I53)*100)), "", IF(AND(NOT(ISERROR((R53/$I53)*100)),((R53/$I53)*100) &lt;&gt; 0), (R53/$I53)*100, ""))</f>
        <v/>
      </c>
      <c r="T53" s="31">
        <v>15</v>
      </c>
      <c r="U53" s="34">
        <f>IF((ISERROR((T53/$I53)*100)), "", IF(AND(NOT(ISERROR((T53/$I53)*100)),((T53/$I53)*100) &lt;&gt; 0), (T53/$I53)*100, ""))</f>
        <v>28.30188679245283</v>
      </c>
      <c r="V53" s="31"/>
      <c r="W53" s="34" t="str">
        <f>IF((ISERROR((V53/$I53)*100)), "", IF(AND(NOT(ISERROR((V53/$I53)*100)),((V53/$I53)*100) &lt;&gt; 0), (V53/$I53)*100, ""))</f>
        <v/>
      </c>
      <c r="X53" s="56">
        <v>15</v>
      </c>
      <c r="Y53" s="34">
        <f t="shared" si="62"/>
        <v>28.30188679245283</v>
      </c>
      <c r="Z53" s="31"/>
      <c r="AA53" s="34" t="str">
        <f>IF((ISERROR((Z53/$I53)*100)), "", IF(AND(NOT(ISERROR((Z53/$I53)*100)),((Z53/$I53)*100) &lt;&gt; 0), (Z53/$I53)*100, ""))</f>
        <v/>
      </c>
      <c r="AB53" s="31"/>
      <c r="AC53" s="34" t="str">
        <f>IF((ISERROR((AB53/$I53)*100)), "", IF(AND(NOT(ISERROR((AB53/$I53)*100)),((AB53/$I53)*100) &lt;&gt; 0), (AB53/$I53)*100, ""))</f>
        <v/>
      </c>
      <c r="AD53" s="31"/>
      <c r="AE53" s="34" t="str">
        <f>IF((ISERROR((AD53/$I53)*100)), "", IF(AND(NOT(ISERROR((AD53/$I53)*100)),((AD53/$I53)*100) &lt;&gt; 0), (AD53/$I53)*100, ""))</f>
        <v/>
      </c>
      <c r="AF53" s="56"/>
      <c r="AG53" s="34" t="str">
        <f>IF((ISERROR((AF53/$I53)*100)), "", IF(AND(NOT(ISERROR((AF53/$I53)*100)),((AF53/$I53)*100) &lt;&gt; 0), (AF53/$I53)*100, ""))</f>
        <v/>
      </c>
      <c r="AH53" s="31">
        <v>2</v>
      </c>
      <c r="AI53" s="34">
        <f>IF((ISERROR((AH53/$I53)*100)), "", IF(AND(NOT(ISERROR((AH53/$I53)*100)),((AH53/$I53)*100) &lt;&gt; 0), (AH53/$I53)*100, ""))</f>
        <v>3.7735849056603774</v>
      </c>
      <c r="AJ53" s="31"/>
      <c r="AK53" s="34" t="str">
        <f>IF((ISERROR((AJ53/$I53)*100)), "", IF(AND(NOT(ISERROR((AJ53/$I53)*100)),((AJ53/$I53)*100) &lt;&gt; 0), (AJ53/$I53)*100, ""))</f>
        <v/>
      </c>
      <c r="AL53" s="31">
        <v>3</v>
      </c>
      <c r="AM53" s="34">
        <f>IF((ISERROR((AL53/$I53)*100)), "", IF(AND(NOT(ISERROR((AL53/$I53)*100)),((AL53/$I53)*100) &lt;&gt; 0), (AL53/$I53)*100, ""))</f>
        <v>5.6603773584905666</v>
      </c>
      <c r="AN53" s="31"/>
      <c r="AO53" s="34" t="str">
        <f>IF((ISERROR((AN53/$I53)*100)), "", IF(AND(NOT(ISERROR((AN53/$I53)*100)),((AN53/$I53)*100) &lt;&gt; 0), (AN53/$I53)*100, ""))</f>
        <v/>
      </c>
      <c r="AP53" s="31">
        <v>9</v>
      </c>
      <c r="AQ53" s="34">
        <f>IF((ISERROR((AP53/$I53)*100)), "", IF(AND(NOT(ISERROR((AP53/$I53)*100)),((AP53/$I53)*100) &lt;&gt; 0), (AP53/$I53)*100, ""))</f>
        <v>16.981132075471699</v>
      </c>
      <c r="AR53" s="31"/>
      <c r="AS53" s="34" t="str">
        <f>IF((ISERROR((AR53/$I53)*100)), "", IF(AND(NOT(ISERROR((AR53/$I53)*100)),((AR53/$I53)*100) &lt;&gt; 0), (AR53/$I53)*100, ""))</f>
        <v/>
      </c>
      <c r="AT53" s="31">
        <v>2</v>
      </c>
      <c r="AU53" s="34">
        <f t="shared" si="67"/>
        <v>3.7735849056603774</v>
      </c>
      <c r="AV53" s="31"/>
      <c r="AW53" s="34" t="str">
        <f t="shared" si="68"/>
        <v/>
      </c>
      <c r="AX53" s="31"/>
      <c r="AY53" s="34" t="str">
        <f t="shared" si="69"/>
        <v/>
      </c>
      <c r="AZ53" s="31"/>
      <c r="BA53" s="34" t="str">
        <f t="shared" si="70"/>
        <v/>
      </c>
      <c r="BB53" s="21" t="s">
        <v>367</v>
      </c>
    </row>
    <row r="54" spans="1:54" ht="20" customHeight="1" x14ac:dyDescent="0.2">
      <c r="A54" s="678"/>
      <c r="B54" s="725"/>
      <c r="C54" s="255"/>
      <c r="D54" s="722" t="s">
        <v>85</v>
      </c>
      <c r="E54" s="723" t="s">
        <v>312</v>
      </c>
      <c r="F54" s="723" t="s">
        <v>313</v>
      </c>
      <c r="G54" s="722">
        <v>2014</v>
      </c>
      <c r="H54" s="287"/>
      <c r="I54" s="65">
        <v>39</v>
      </c>
      <c r="J54" s="61" t="s">
        <v>210</v>
      </c>
      <c r="K54" s="62" t="s">
        <v>368</v>
      </c>
      <c r="L54" s="31"/>
      <c r="M54" s="34" t="str">
        <f>IF((ISERROR((L54/$I54)*100)), "", IF(AND(NOT(ISERROR((L54/$I54)*100)),((L54/$I54)*100) &lt;&gt; 0), (L54/$I54)*100, ""))</f>
        <v/>
      </c>
      <c r="N54" s="31"/>
      <c r="O54" s="34" t="str">
        <f>IF((ISERROR((N54/$I54)*100)), "", IF(AND(NOT(ISERROR((N54/$I54)*100)),((N54/$I54)*100) &lt;&gt; 0), (N54/$I54)*100, ""))</f>
        <v/>
      </c>
      <c r="P54" s="31"/>
      <c r="Q54" s="34" t="str">
        <f>IF((ISERROR((P54/$I54)*100)), "", IF(AND(NOT(ISERROR((P54/$I54)*100)),((P54/$I54)*100) &lt;&gt; 0), (P54/$I54)*100, ""))</f>
        <v/>
      </c>
      <c r="R54" s="31"/>
      <c r="S54" s="34" t="str">
        <f>IF((ISERROR((R54/$I54)*100)), "", IF(AND(NOT(ISERROR((R54/$I54)*100)),((R54/$I54)*100) &lt;&gt; 0), (R54/$I54)*100, ""))</f>
        <v/>
      </c>
      <c r="T54" s="31">
        <v>1</v>
      </c>
      <c r="U54" s="34">
        <f>IF((ISERROR((T54/$I54)*100)), "", IF(AND(NOT(ISERROR((T54/$I54)*100)),((T54/$I54)*100) &lt;&gt; 0), (T54/$I54)*100, ""))</f>
        <v>2.5641025641025639</v>
      </c>
      <c r="V54" s="31">
        <v>2</v>
      </c>
      <c r="W54" s="34">
        <f>IF((ISERROR((V54/$I54)*100)), "", IF(AND(NOT(ISERROR((V54/$I54)*100)),((V54/$I54)*100) &lt;&gt; 0), (V54/$I54)*100, ""))</f>
        <v>5.1282051282051277</v>
      </c>
      <c r="X54" s="56">
        <v>6</v>
      </c>
      <c r="Y54" s="34">
        <f t="shared" si="62"/>
        <v>15.384615384615385</v>
      </c>
      <c r="Z54" s="31"/>
      <c r="AA54" s="34" t="str">
        <f>IF((ISERROR((Z54/$I54)*100)), "", IF(AND(NOT(ISERROR((Z54/$I54)*100)),((Z54/$I54)*100) &lt;&gt; 0), (Z54/$I54)*100, ""))</f>
        <v/>
      </c>
      <c r="AB54" s="31"/>
      <c r="AC54" s="34"/>
      <c r="AD54" s="31"/>
      <c r="AE54" s="34" t="str">
        <f>IF((ISERROR((AD54/$I54)*100)), "", IF(AND(NOT(ISERROR((AD54/$I54)*100)),((AD54/$I54)*100) &lt;&gt; 0), (AD54/$I54)*100, ""))</f>
        <v/>
      </c>
      <c r="AF54" s="56"/>
      <c r="AG54" s="34" t="str">
        <f>IF((ISERROR((AF54/$I54)*100)), "", IF(AND(NOT(ISERROR((AF54/$I54)*100)),((AF54/$I54)*100) &lt;&gt; 0), (AF54/$I54)*100, ""))</f>
        <v/>
      </c>
      <c r="AH54" s="31"/>
      <c r="AI54" s="34" t="str">
        <f>IF((ISERROR((AH54/$I54)*100)), "", IF(AND(NOT(ISERROR((AH54/$I54)*100)),((AH54/$I54)*100) &lt;&gt; 0), (AH54/$I54)*100, ""))</f>
        <v/>
      </c>
      <c r="AJ54" s="31"/>
      <c r="AK54" s="34" t="str">
        <f>IF((ISERROR((AJ54/$I54)*100)), "", IF(AND(NOT(ISERROR((AJ54/$I54)*100)),((AJ54/$I54)*100) &lt;&gt; 0), (AJ54/$I54)*100, ""))</f>
        <v/>
      </c>
      <c r="AL54" s="31"/>
      <c r="AM54" s="34" t="str">
        <f>IF((ISERROR((AL54/$I54)*100)), "", IF(AND(NOT(ISERROR((AL54/$I54)*100)),((AL54/$I54)*100) &lt;&gt; 0), (AL54/$I54)*100, ""))</f>
        <v/>
      </c>
      <c r="AN54" s="31"/>
      <c r="AO54" s="34" t="str">
        <f>IF((ISERROR((AN54/$I54)*100)), "", IF(AND(NOT(ISERROR((AN54/$I54)*100)),((AN54/$I54)*100) &lt;&gt; 0), (AN54/$I54)*100, ""))</f>
        <v/>
      </c>
      <c r="AP54" s="31"/>
      <c r="AQ54" s="34" t="str">
        <f>IF((ISERROR((AP54/$I54)*100)), "", IF(AND(NOT(ISERROR((AP54/$I54)*100)),((AP54/$I54)*100) &lt;&gt; 0), (AP54/$I54)*100, ""))</f>
        <v/>
      </c>
      <c r="AR54" s="31">
        <v>1</v>
      </c>
      <c r="AS54" s="34">
        <f>IF((ISERROR((AR54/$I54)*100)), "", IF(AND(NOT(ISERROR((AR54/$I54)*100)),((AR54/$I54)*100) &lt;&gt; 0), (AR54/$I54)*100, ""))</f>
        <v>2.5641025641025639</v>
      </c>
      <c r="AT54" s="31"/>
      <c r="AU54" s="34" t="str">
        <f t="shared" si="67"/>
        <v/>
      </c>
      <c r="AV54" s="31"/>
      <c r="AW54" s="34" t="str">
        <f t="shared" si="68"/>
        <v/>
      </c>
      <c r="AX54" s="31"/>
      <c r="AY54" s="34" t="str">
        <f t="shared" si="69"/>
        <v/>
      </c>
      <c r="AZ54" s="31"/>
      <c r="BA54" s="34" t="str">
        <f t="shared" si="70"/>
        <v/>
      </c>
      <c r="BB54" s="21" t="s">
        <v>406</v>
      </c>
    </row>
    <row r="55" spans="1:54" ht="20" customHeight="1" x14ac:dyDescent="0.2">
      <c r="A55" s="678"/>
      <c r="B55" s="725"/>
      <c r="C55" s="255"/>
      <c r="D55" s="722" t="s">
        <v>85</v>
      </c>
      <c r="E55" s="723" t="s">
        <v>314</v>
      </c>
      <c r="F55" s="723" t="s">
        <v>315</v>
      </c>
      <c r="G55" s="722">
        <v>2010</v>
      </c>
      <c r="H55" s="287"/>
      <c r="I55" s="65">
        <v>789</v>
      </c>
      <c r="J55" s="61" t="s">
        <v>210</v>
      </c>
      <c r="K55" s="62" t="s">
        <v>370</v>
      </c>
      <c r="L55" s="31"/>
      <c r="M55" s="34" t="str">
        <f>IF((ISERROR((L55/$I55)*100)), "", IF(AND(NOT(ISERROR((L55/$I55)*100)),((L55/$I55)*100) &lt;&gt; 0), (L55/$I55)*100, ""))</f>
        <v/>
      </c>
      <c r="N55" s="31"/>
      <c r="O55" s="34" t="str">
        <f>IF((ISERROR((N55/$I55)*100)), "", IF(AND(NOT(ISERROR((N55/$I55)*100)),((N55/$I55)*100) &lt;&gt; 0), (N55/$I55)*100, ""))</f>
        <v/>
      </c>
      <c r="P55" s="31"/>
      <c r="Q55" s="34" t="str">
        <f>IF((ISERROR((P55/$I55)*100)), "", IF(AND(NOT(ISERROR((P55/$I55)*100)),((P55/$I55)*100) &lt;&gt; 0), (P55/$I55)*100, ""))</f>
        <v/>
      </c>
      <c r="R55" s="31"/>
      <c r="S55" s="34" t="str">
        <f>IF((ISERROR((R55/$I55)*100)), "", IF(AND(NOT(ISERROR((R55/$I55)*100)),((R55/$I55)*100) &lt;&gt; 0), (R55/$I55)*100, ""))</f>
        <v/>
      </c>
      <c r="T55" s="31"/>
      <c r="U55" s="34" t="str">
        <f>IF((ISERROR((T55/$I55)*100)), "", IF(AND(NOT(ISERROR((T55/$I55)*100)),((T55/$I55)*100) &lt;&gt; 0), (T55/$I55)*100, ""))</f>
        <v/>
      </c>
      <c r="V55" s="31"/>
      <c r="W55" s="34" t="str">
        <f>IF((ISERROR((V55/$I55)*100)), "", IF(AND(NOT(ISERROR((V55/$I55)*100)),((V55/$I55)*100) &lt;&gt; 0), (V55/$I55)*100, ""))</f>
        <v/>
      </c>
      <c r="X55" s="56"/>
      <c r="Y55" s="34" t="str">
        <f t="shared" si="62"/>
        <v/>
      </c>
      <c r="Z55" s="31"/>
      <c r="AA55" s="34" t="str">
        <f>IF((ISERROR((Z55/$I55)*100)), "", IF(AND(NOT(ISERROR((Z55/$I55)*100)),((Z55/$I55)*100) &lt;&gt; 0), (Z55/$I55)*100, ""))</f>
        <v/>
      </c>
      <c r="AB55" s="31"/>
      <c r="AC55" s="34" t="str">
        <f>IF((ISERROR((AB55/$I55)*100)), "", IF(AND(NOT(ISERROR((AB55/$I55)*100)),((AB55/$I55)*100) &lt;&gt; 0), (AB55/$I55)*100, ""))</f>
        <v/>
      </c>
      <c r="AD55" s="31"/>
      <c r="AE55" s="34" t="str">
        <f>IF((ISERROR((AD55/$I55)*100)), "", IF(AND(NOT(ISERROR((AD55/$I55)*100)),((AD55/$I55)*100) &lt;&gt; 0), (AD55/$I55)*100, ""))</f>
        <v/>
      </c>
      <c r="AF55" s="56">
        <v>43</v>
      </c>
      <c r="AG55" s="34">
        <f>IF((ISERROR((AF55/$I55)*100)), "", IF(AND(NOT(ISERROR((AF55/$I55)*100)),((AF55/$I55)*100) &lt;&gt; 0), (AF55/$I55)*100, ""))</f>
        <v>5.4499366286438535</v>
      </c>
      <c r="AH55" s="31"/>
      <c r="AI55" s="34" t="str">
        <f>IF((ISERROR((AH55/$I55)*100)), "", IF(AND(NOT(ISERROR((AH55/$I55)*100)),((AH55/$I55)*100) &lt;&gt; 0), (AH55/$I55)*100, ""))</f>
        <v/>
      </c>
      <c r="AJ55" s="31"/>
      <c r="AK55" s="34" t="str">
        <f>IF((ISERROR((AJ55/$I55)*100)), "", IF(AND(NOT(ISERROR((AJ55/$I55)*100)),((AJ55/$I55)*100) &lt;&gt; 0), (AJ55/$I55)*100, ""))</f>
        <v/>
      </c>
      <c r="AL55" s="31"/>
      <c r="AM55" s="34" t="str">
        <f>IF((ISERROR((AL55/$I55)*100)), "", IF(AND(NOT(ISERROR((AL55/$I55)*100)),((AL55/$I55)*100) &lt;&gt; 0), (AL55/$I55)*100, ""))</f>
        <v/>
      </c>
      <c r="AN55" s="31"/>
      <c r="AO55" s="34" t="str">
        <f>IF((ISERROR((AN55/$I55)*100)), "", IF(AND(NOT(ISERROR((AN55/$I55)*100)),((AN55/$I55)*100) &lt;&gt; 0), (AN55/$I55)*100, ""))</f>
        <v/>
      </c>
      <c r="AP55" s="31"/>
      <c r="AQ55" s="34" t="str">
        <f>IF((ISERROR((AP55/$I55)*100)), "", IF(AND(NOT(ISERROR((AP55/$I55)*100)),((AP55/$I55)*100) &lt;&gt; 0), (AP55/$I55)*100, ""))</f>
        <v/>
      </c>
      <c r="AR55" s="31"/>
      <c r="AS55" s="34" t="str">
        <f>IF((ISERROR((AR55/$I55)*100)), "", IF(AND(NOT(ISERROR((AR55/$I55)*100)),((AR55/$I55)*100) &lt;&gt; 0), (AR55/$I55)*100, ""))</f>
        <v/>
      </c>
      <c r="AT55" s="31"/>
      <c r="AU55" s="34" t="str">
        <f t="shared" si="67"/>
        <v/>
      </c>
      <c r="AV55" s="31"/>
      <c r="AW55" s="34" t="str">
        <f t="shared" si="68"/>
        <v/>
      </c>
      <c r="AX55" s="31"/>
      <c r="AY55" s="34" t="str">
        <f t="shared" si="69"/>
        <v/>
      </c>
      <c r="AZ55" s="31"/>
      <c r="BA55" s="34" t="str">
        <f t="shared" si="70"/>
        <v/>
      </c>
      <c r="BB55" s="21" t="s">
        <v>369</v>
      </c>
    </row>
    <row r="56" spans="1:54" ht="20" customHeight="1" thickBot="1" x14ac:dyDescent="0.25">
      <c r="A56" s="732"/>
      <c r="B56" s="733"/>
      <c r="C56" s="285"/>
      <c r="D56" s="819" t="s">
        <v>376</v>
      </c>
      <c r="E56" s="820" t="s">
        <v>139</v>
      </c>
      <c r="F56" s="820" t="s">
        <v>140</v>
      </c>
      <c r="G56" s="821">
        <v>2005</v>
      </c>
      <c r="H56" s="822">
        <v>21</v>
      </c>
      <c r="I56" s="66"/>
      <c r="J56" s="63" t="s">
        <v>224</v>
      </c>
      <c r="K56" s="64"/>
      <c r="L56" s="32"/>
      <c r="M56" s="35" t="str">
        <f>IF((ISERROR((L56/$I56)*100)), "", IF(AND(NOT(ISERROR((L56/$I56)*100)),((L56/$I56)*100) &lt;&gt; 0), (L56/$I56)*100, ""))</f>
        <v/>
      </c>
      <c r="N56" s="814">
        <v>5</v>
      </c>
      <c r="O56" s="815" t="str">
        <f>IF((ISERROR((N56/$I56)*100)), "", IF(AND(NOT(ISERROR((N56/$I56)*100)),((N56/$I56)*100) &lt;&gt; 0), (N56/$I56)*100, ""))</f>
        <v/>
      </c>
      <c r="P56" s="32"/>
      <c r="Q56" s="35" t="str">
        <f>IF((ISERROR((P56/$I56)*100)), "", IF(AND(NOT(ISERROR((P56/$I56)*100)),((P56/$I56)*100) &lt;&gt; 0), (P56/$I56)*100, ""))</f>
        <v/>
      </c>
      <c r="R56" s="32"/>
      <c r="S56" s="35" t="str">
        <f>IF((ISERROR((R56/$I56)*100)), "", IF(AND(NOT(ISERROR((R56/$I56)*100)),((R56/$I56)*100) &lt;&gt; 0), (R56/$I56)*100, ""))</f>
        <v/>
      </c>
      <c r="T56" s="32"/>
      <c r="U56" s="35" t="str">
        <f>IF((ISERROR((T56/$I56)*100)), "", IF(AND(NOT(ISERROR((T56/$I56)*100)),((T56/$I56)*100) &lt;&gt; 0), (T56/$I56)*100, ""))</f>
        <v/>
      </c>
      <c r="V56" s="32"/>
      <c r="W56" s="35" t="str">
        <f>IF((ISERROR((V56/$I56)*100)), "", IF(AND(NOT(ISERROR((V56/$I56)*100)),((V56/$I56)*100) &lt;&gt; 0), (V56/$I56)*100, ""))</f>
        <v/>
      </c>
      <c r="X56" s="816">
        <v>16</v>
      </c>
      <c r="Y56" s="815" t="str">
        <f t="shared" ref="Y56" si="71">IF((ISERROR((X56/$I56)*100)), "", IF(AND(NOT(ISERROR((X56/$I56)*100)),((X56/$I56)*100) &lt;&gt; 0), (X56/$I56)*100, ""))</f>
        <v/>
      </c>
      <c r="Z56" s="32"/>
      <c r="AA56" s="35" t="str">
        <f t="shared" ref="AA56" si="72">IF((ISERROR((Z56/$I56)*100)), "", IF(AND(NOT(ISERROR((Z56/$I56)*100)),((Z56/$I56)*100) &lt;&gt; 0), (Z56/$I56)*100, ""))</f>
        <v/>
      </c>
      <c r="AB56" s="32"/>
      <c r="AC56" s="35" t="str">
        <f>IF((ISERROR((AB56/$I56)*100)), "", IF(AND(NOT(ISERROR((AB56/$I56)*100)),((AB56/$I56)*100) &lt;&gt; 0), (AB56/$I56)*100, ""))</f>
        <v/>
      </c>
      <c r="AD56" s="32"/>
      <c r="AE56" s="35" t="str">
        <f t="shared" ref="AE56" si="73">IF((ISERROR((AD56/$I56)*100)), "", IF(AND(NOT(ISERROR((AD56/$I56)*100)),((AD56/$I56)*100) &lt;&gt; 0), (AD56/$I56)*100, ""))</f>
        <v/>
      </c>
      <c r="AF56" s="33"/>
      <c r="AG56" s="35" t="str">
        <f>IF((ISERROR((AF56/$I56)*100)), "", IF(AND(NOT(ISERROR((AF56/$I56)*100)),((AF56/$I56)*100) &lt;&gt; 0), (AF56/$I56)*100, ""))</f>
        <v/>
      </c>
      <c r="AH56" s="32"/>
      <c r="AI56" s="35" t="str">
        <f>IF((ISERROR((AH56/$I56)*100)), "", IF(AND(NOT(ISERROR((AH56/$I56)*100)),((AH56/$I56)*100) &lt;&gt; 0), (AH56/$I56)*100, ""))</f>
        <v/>
      </c>
      <c r="AJ56" s="32"/>
      <c r="AK56" s="35" t="str">
        <f>IF((ISERROR((AJ56/$I56)*100)), "", IF(AND(NOT(ISERROR((AJ56/$I56)*100)),((AJ56/$I56)*100) &lt;&gt; 0), (AJ56/$I56)*100, ""))</f>
        <v/>
      </c>
      <c r="AL56" s="32"/>
      <c r="AM56" s="35" t="str">
        <f>IF((ISERROR((AL56/$I56)*100)), "", IF(AND(NOT(ISERROR((AL56/$I56)*100)),((AL56/$I56)*100) &lt;&gt; 0), (AL56/$I56)*100, ""))</f>
        <v/>
      </c>
      <c r="AN56" s="32"/>
      <c r="AO56" s="35" t="str">
        <f>IF((ISERROR((AN56/$I56)*100)), "", IF(AND(NOT(ISERROR((AN56/$I56)*100)),((AN56/$I56)*100) &lt;&gt; 0), (AN56/$I56)*100, ""))</f>
        <v/>
      </c>
      <c r="AP56" s="32"/>
      <c r="AQ56" s="35" t="str">
        <f>IF((ISERROR((AP56/$I56)*100)), "", IF(AND(NOT(ISERROR((AP56/$I56)*100)),((AP56/$I56)*100) &lt;&gt; 0), (AP56/$I56)*100, ""))</f>
        <v/>
      </c>
      <c r="AR56" s="32"/>
      <c r="AS56" s="35" t="str">
        <f t="shared" ref="AS56" si="74">IF((ISERROR((AR56/$I56)*100)), "", IF(AND(NOT(ISERROR((AR56/$I56)*100)),((AR56/$I56)*100) &lt;&gt; 0), (AR56/$I56)*100, ""))</f>
        <v/>
      </c>
      <c r="AT56" s="32"/>
      <c r="AU56" s="35" t="str">
        <f t="shared" ref="AU56" si="75">IF((ISERROR((AT56/$I56)*100)), "", IF(AND(NOT(ISERROR((AT56/$I56)*100)),((AT56/$I56)*100) &lt;&gt; 0), (AT56/$I56)*100, ""))</f>
        <v/>
      </c>
      <c r="AV56" s="32"/>
      <c r="AW56" s="35" t="str">
        <f t="shared" ref="AW56" si="76">IF((ISERROR((AV56/$I56)*100)), "", IF(AND(NOT(ISERROR((AV56/$I56)*100)),((AV56/$I56)*100) &lt;&gt; 0), (AV56/$I56)*100, ""))</f>
        <v/>
      </c>
      <c r="AX56" s="814">
        <v>5</v>
      </c>
      <c r="AY56" s="815" t="str">
        <f t="shared" ref="AY56" si="77">IF((ISERROR((AX56/$I56)*100)), "", IF(AND(NOT(ISERROR((AX56/$I56)*100)),((AX56/$I56)*100) &lt;&gt; 0), (AX56/$I56)*100, ""))</f>
        <v/>
      </c>
      <c r="AZ56" s="32"/>
      <c r="BA56" s="35" t="str">
        <f t="shared" ref="BA56" si="78">IF((ISERROR((AZ56/$I56)*100)), "", IF(AND(NOT(ISERROR((AZ56/$I56)*100)),((AZ56/$I56)*100) &lt;&gt; 0), (AZ56/$I56)*100, ""))</f>
        <v/>
      </c>
      <c r="BB56" s="21" t="s">
        <v>225</v>
      </c>
    </row>
    <row r="57" spans="1:54" s="774" customFormat="1" ht="20" customHeight="1" x14ac:dyDescent="0.2">
      <c r="D57" s="775"/>
      <c r="G57" s="776"/>
      <c r="H57" s="777" t="s">
        <v>240</v>
      </c>
      <c r="I57" s="778">
        <f>SUM(I11:I56)</f>
        <v>2240</v>
      </c>
      <c r="J57" s="779" t="s">
        <v>447</v>
      </c>
      <c r="K57" s="780" t="s">
        <v>453</v>
      </c>
      <c r="L57" s="781">
        <f>IF((SUM(L11:L56)&lt;&gt;0), SUMIF($I11:$I56, "&gt;0", L11:L56), "")</f>
        <v>30</v>
      </c>
      <c r="M57" s="782">
        <f>IF(ISERROR((L57/$I57)*100), "", IF(((L57/$I57)*100) &lt;&gt; 0, (L57/$I57)*100, ""))</f>
        <v>1.3392857142857142</v>
      </c>
      <c r="N57" s="781">
        <f>IF((SUM(N11:N56)&lt;&gt;0), SUMIF($I11:$I56, "&gt;0", N11:N56), "")</f>
        <v>8</v>
      </c>
      <c r="O57" s="782">
        <f>IF(ISERROR((N57/$I57)*100), "", IF(((N57/$I57)*100) &lt;&gt; 0, (N57/$I57)*100, ""))</f>
        <v>0.35714285714285715</v>
      </c>
      <c r="P57" s="781">
        <f>IF((SUM(P11:P56)&lt;&gt;0), SUMIF($I11:$I56, "&gt;0", P11:P56), "")</f>
        <v>6</v>
      </c>
      <c r="Q57" s="782">
        <f>IF(ISERROR((P57/$I57)*100), "", IF(((P57/$I57)*100) &lt;&gt; 0, (P57/$I57)*100, ""))</f>
        <v>0.26785714285714285</v>
      </c>
      <c r="R57" s="781">
        <f>IF((SUM(R11:R56)&lt;&gt;0), SUMIF($I11:$I56, "&gt;0", R11:R56), "")</f>
        <v>2</v>
      </c>
      <c r="S57" s="782">
        <f>IF(ISERROR((R57/$I57)*100), "", IF(((R57/$I57)*100) &lt;&gt; 0, (R57/$I57)*100, ""))</f>
        <v>8.9285714285714288E-2</v>
      </c>
      <c r="T57" s="781">
        <f>IF((SUM(T11:T56)&lt;&gt;0), SUMIF($I11:$I56, "&gt;0", T11:T56), "")</f>
        <v>70</v>
      </c>
      <c r="U57" s="782">
        <f>IF(ISERROR((T57/$I57)*100), "", IF(((T57/$I57)*100) &lt;&gt; 0, (T57/$I57)*100, ""))</f>
        <v>3.125</v>
      </c>
      <c r="V57" s="781">
        <f>IF((SUM(V11:V56)&lt;&gt;0), SUMIF($I11:$I56, "&gt;0", V11:V56), "")</f>
        <v>43</v>
      </c>
      <c r="W57" s="782">
        <f>IF(ISERROR((V57/$I57)*100), "", IF(((V57/$I57)*100) &lt;&gt; 0, (V57/$I57)*100, ""))</f>
        <v>1.9196428571428572</v>
      </c>
      <c r="X57" s="781">
        <f>IF((SUM(X11:X56)&lt;&gt;0), SUMIF($I11:$I56, "&gt;0", X11:X56), "")</f>
        <v>199</v>
      </c>
      <c r="Y57" s="782">
        <f>IF(ISERROR((X57/$I57)*100), "", IF(((X57/$I57)*100) &lt;&gt; 0, (X57/$I57)*100, ""))</f>
        <v>8.8839285714285712</v>
      </c>
      <c r="Z57" s="781">
        <f>IF((SUM(Z11:Z56)&lt;&gt;0), SUMIF($I11:$I56, "&gt;0", Z11:Z56), "")</f>
        <v>1</v>
      </c>
      <c r="AA57" s="782">
        <f>IF(ISERROR((Z57/$I57)*100), "", IF(((Z57/$I57)*100) &lt;&gt; 0, (Z57/$I57)*100, ""))</f>
        <v>4.4642857142857144E-2</v>
      </c>
      <c r="AB57" s="781">
        <f>IF((SUM(AB11:AB56)&lt;&gt;0), SUMIF($I11:$I56, "&gt;0", AB11:AB56), "")</f>
        <v>6</v>
      </c>
      <c r="AC57" s="782">
        <f>IF(ISERROR((AB57/$I57)*100), "", IF(((AB57/$I57)*100) &lt;&gt; 0, (AB57/$I57)*100, ""))</f>
        <v>0.26785714285714285</v>
      </c>
      <c r="AD57" s="781">
        <f>IF((SUM(AD11:AD56)&lt;&gt;0), SUMIF($I11:$I56, "&gt;0", AD11:AD56), "")</f>
        <v>1</v>
      </c>
      <c r="AE57" s="782">
        <f>IF(ISERROR((AD57/$I57)*100), "", IF(((AD57/$I57)*100) &lt;&gt; 0, (AD57/$I57)*100, ""))</f>
        <v>4.4642857142857144E-2</v>
      </c>
      <c r="AF57" s="781">
        <f>IF((SUM(AF11:AF56)&lt;&gt;0), SUMIF($I11:$I56, "&gt;0", AF11:AF56), "")</f>
        <v>121</v>
      </c>
      <c r="AG57" s="782">
        <f>IF(ISERROR((AF57/$I57)*100), "", IF(((AF57/$I57)*100) &lt;&gt; 0, (AF57/$I57)*100, ""))</f>
        <v>5.4017857142857144</v>
      </c>
      <c r="AH57" s="781">
        <f>IF((SUM(AH11:AH56)&lt;&gt;0), SUMIF($I11:$I56, "&gt;0", AH11:AH56), "")</f>
        <v>69</v>
      </c>
      <c r="AI57" s="782">
        <f>IF(ISERROR((AH57/$I57)*100), "", IF(((AH57/$I57)*100) &lt;&gt; 0, (AH57/$I57)*100, ""))</f>
        <v>3.0803571428571432</v>
      </c>
      <c r="AJ57" s="781">
        <f>IF((SUM(AJ11:AJ56)&lt;&gt;0), SUMIF($I11:$I56, "&gt;0", AJ11:AJ56), "")</f>
        <v>2</v>
      </c>
      <c r="AK57" s="782">
        <f>IF(ISERROR((AJ57/$I57)*100), "", IF(((AJ57/$I57)*100) &lt;&gt; 0, (AJ57/$I57)*100, ""))</f>
        <v>8.9285714285714288E-2</v>
      </c>
      <c r="AL57" s="781">
        <f>IF((SUM(AL11:AL56)&lt;&gt;0), SUMIF($I11:$I56, "&gt;0", AL11:AL56), "")</f>
        <v>8</v>
      </c>
      <c r="AM57" s="782">
        <f>IF(ISERROR((AL57/$I57)*100), "", IF(((AL57/$I57)*100) &lt;&gt; 0, (AL57/$I57)*100, ""))</f>
        <v>0.35714285714285715</v>
      </c>
      <c r="AN57" s="781">
        <f>IF((SUM(AN11:AN56)&lt;&gt;0), SUMIF($I11:$I56, "&gt;0", AN11:AN56), "")</f>
        <v>6</v>
      </c>
      <c r="AO57" s="782">
        <f>IF(ISERROR((AN57/$I57)*100), "", IF(((AN57/$I57)*100) &lt;&gt; 0, (AN57/$I57)*100, ""))</f>
        <v>0.26785714285714285</v>
      </c>
      <c r="AP57" s="781">
        <f>IF((SUM(AP11:AP56)&lt;&gt;0), SUMIF($I11:$I56, "&gt;0", AP11:AP56), "")</f>
        <v>35</v>
      </c>
      <c r="AQ57" s="782">
        <f>IF(ISERROR((AP57/$I57)*100), "", IF(((AP57/$I57)*100) &lt;&gt; 0, (AP57/$I57)*100, ""))</f>
        <v>1.5625</v>
      </c>
      <c r="AR57" s="781">
        <f>IF((SUM(AR11:AR56)&lt;&gt;0), SUMIF($I11:$I56, "&gt;0", AR11:AR56), "")</f>
        <v>3</v>
      </c>
      <c r="AS57" s="782">
        <f>IF(ISERROR((AR57/$I57)*100), "", IF(((AR57/$I57)*100) &lt;&gt; 0, (AR57/$I57)*100, ""))</f>
        <v>0.13392857142857142</v>
      </c>
      <c r="AT57" s="781">
        <f>IF((SUM(AT11:AT56)&lt;&gt;0), SUMIF($I11:$I56, "&gt;0", AT11:AT56), "")</f>
        <v>14</v>
      </c>
      <c r="AU57" s="782">
        <f>IF(ISERROR((AT57/$I57)*100), "", IF(((AT57/$I57)*100) &lt;&gt; 0, (AT57/$I57)*100, ""))</f>
        <v>0.625</v>
      </c>
      <c r="AV57" s="781">
        <f>IF((SUM(AV11:AV56)&lt;&gt;0), SUMIF($I11:$I56, "&gt;0", AV11:AV56), "")</f>
        <v>1</v>
      </c>
      <c r="AW57" s="782">
        <f>IF(ISERROR((AV57/$I57)*100), "", IF(((AV57/$I57)*100) &lt;&gt; 0, (AV57/$I57)*100, ""))</f>
        <v>4.4642857142857144E-2</v>
      </c>
      <c r="AX57" s="781">
        <f>IF((SUM(AX11:AX56)&lt;&gt;0), SUMIF($I11:$I56, "&gt;0", AX11:AX56), "")</f>
        <v>1</v>
      </c>
      <c r="AY57" s="782">
        <f>IF(ISERROR((AX57/$I57)*100), "", IF(((AX57/$I57)*100) &lt;&gt; 0, (AX57/$I57)*100, ""))</f>
        <v>4.4642857142857144E-2</v>
      </c>
      <c r="AZ57" s="781" t="str">
        <f>IF((SUM(AZ11:AZ56)&lt;&gt;0), SUMIF($I11:$I56, "&gt;0", AZ11:AZ56), "")</f>
        <v/>
      </c>
      <c r="BA57" s="782" t="str">
        <f>IF(ISERROR((AZ57/$I57)*100), "", IF(((AZ57/$I57)*100) &lt;&gt; 0, (AZ57/$I57)*100, ""))</f>
        <v/>
      </c>
    </row>
    <row r="58" spans="1:54" s="774" customFormat="1" ht="20" customHeight="1" x14ac:dyDescent="0.2">
      <c r="D58" s="775"/>
      <c r="G58" s="776"/>
      <c r="H58" s="777" t="s">
        <v>241</v>
      </c>
      <c r="I58" s="783" t="s">
        <v>239</v>
      </c>
      <c r="J58" s="784" t="s">
        <v>454</v>
      </c>
      <c r="K58" s="785" t="s">
        <v>455</v>
      </c>
      <c r="L58" s="786">
        <f>IF(SUMIF(L11:L56, "&gt; 0", $I11:$I56) &gt; 0, SUMIF(L11:L56, "&gt; 0", $I11:$I56), "")</f>
        <v>171</v>
      </c>
      <c r="M58" s="787">
        <f>(L57/L58)*100</f>
        <v>17.543859649122805</v>
      </c>
      <c r="N58" s="786">
        <f>IF(SUMIF(N11:N56, "&gt; 0", $I11:$I56) &gt; 0, SUMIF(N11:N56, "&gt; 0", $I11:$I56), "")</f>
        <v>38</v>
      </c>
      <c r="O58" s="787">
        <f>(N57/N58)*100</f>
        <v>21.052631578947366</v>
      </c>
      <c r="P58" s="786">
        <f>IF(SUMIF(P11:P56, "&gt; 0", $I11:$I56) &gt; 0, SUMIF(P11:P56, "&gt; 0", $I11:$I56), "")</f>
        <v>17</v>
      </c>
      <c r="Q58" s="787">
        <f>(P57/P58)*100</f>
        <v>35.294117647058826</v>
      </c>
      <c r="R58" s="786">
        <f>IF(SUMIF(R11:R56, "&gt; 0", $I11:$I56) &gt; 0, SUMIF(R11:R56, "&gt; 0", $I11:$I56), "")</f>
        <v>8</v>
      </c>
      <c r="S58" s="787">
        <f>(R57/R58)*100</f>
        <v>25</v>
      </c>
      <c r="T58" s="786">
        <f>IF(SUMIF(T11:T56, "&gt; 0", $I11:$I56) &gt; 0, SUMIF(T11:T56, "&gt; 0", $I11:$I56), "")</f>
        <v>545</v>
      </c>
      <c r="U58" s="787">
        <f>(T57/T58)*100</f>
        <v>12.844036697247708</v>
      </c>
      <c r="V58" s="786">
        <f>IF(SUMIF(V11:V56, "&gt; 0", $I11:$I56) &gt; 0, SUMIF(V11:V56, "&gt; 0", $I11:$I56), "")</f>
        <v>320</v>
      </c>
      <c r="W58" s="787">
        <f>(V57/V58)*100</f>
        <v>13.4375</v>
      </c>
      <c r="X58" s="786">
        <f>IF(SUMIF(X11:X56, "&gt; 0", $I11:$I56) &gt; 0, SUMIF(X11:X56, "&gt; 0", $I11:$I56), "")</f>
        <v>714</v>
      </c>
      <c r="Y58" s="787">
        <f>(X57/X58)*100</f>
        <v>27.871148459383754</v>
      </c>
      <c r="Z58" s="786">
        <f>IF(SUMIF(Z11:Z56, "&gt; 0", $I11:$I56) &gt; 0, SUMIF(Z11:Z56, "&gt; 0", $I11:$I56), "")</f>
        <v>8</v>
      </c>
      <c r="AA58" s="787">
        <f>(Z57/Z58)*100</f>
        <v>12.5</v>
      </c>
      <c r="AB58" s="786">
        <f>IF(SUMIF(AB11:AB56, "&gt; 0", $I11:$I56) &gt; 0, SUMIF(AB11:AB56, "&gt; 0", $I11:$I56), "")</f>
        <v>37</v>
      </c>
      <c r="AC58" s="787">
        <f>(AB57/AB58)*100</f>
        <v>16.216216216216218</v>
      </c>
      <c r="AD58" s="786">
        <f>IF(SUMIF(AD11:AD56, "&gt; 0", $I11:$I56) &gt; 0, SUMIF(AD11:AD56, "&gt; 0", $I11:$I56), "")</f>
        <v>8</v>
      </c>
      <c r="AE58" s="787">
        <f>(AD57/AD58)*100</f>
        <v>12.5</v>
      </c>
      <c r="AF58" s="786">
        <f>IF(SUMIF(AF11:AF56, "&gt; 0", $I11:$I56) &gt; 0, SUMIF(AF11:AF56, "&gt; 0", $I11:$I56), "")</f>
        <v>1011</v>
      </c>
      <c r="AG58" s="787">
        <f>IF(ISERROR((AF57/AF58)*100),"",IF((AF57/AF58)*100&lt;&gt;0,(AF57/AF58)*100,""))</f>
        <v>11.968348170128586</v>
      </c>
      <c r="AH58" s="786">
        <f>IF(SUMIF(AH11:AH56, "&gt; 0", $I11:$I56) &gt; 0, SUMIF(AH11:AH56, "&gt; 0", $I11:$I56), "")</f>
        <v>803</v>
      </c>
      <c r="AI58" s="787">
        <f>(AH57/AH58)*100</f>
        <v>8.5927770859277697</v>
      </c>
      <c r="AJ58" s="786">
        <f>IF(SUMIF(AJ11:AJ56, "&gt; 0", $I11:$I56) &gt; 0, SUMIF(AJ11:AJ56, "&gt; 0", $I11:$I56), "")</f>
        <v>27</v>
      </c>
      <c r="AK58" s="787">
        <f>(AJ57/AJ58)*100</f>
        <v>7.4074074074074066</v>
      </c>
      <c r="AL58" s="786">
        <f>IF(SUMIF(AL11:AL56, "&gt; 0", $I11:$I56) &gt; 0, SUMIF(AL11:AL56, "&gt; 0", $I11:$I56), "")</f>
        <v>262</v>
      </c>
      <c r="AM58" s="787">
        <f>(AL57/AL58)*100</f>
        <v>3.0534351145038165</v>
      </c>
      <c r="AN58" s="786">
        <f>IF(SUMIF(AN11:AN56, "&gt; 0", $I11:$I56) &gt; 0, SUMIF(AN11:AN56, "&gt; 0", $I11:$I56), "")</f>
        <v>97</v>
      </c>
      <c r="AO58" s="787">
        <f>(AN57/AN58)*100</f>
        <v>6.1855670103092786</v>
      </c>
      <c r="AP58" s="786">
        <f>IF(SUMIF(AP11:AP56, "&gt; 0", $I11:$I56) &gt; 0, SUMIF(AP11:AP56, "&gt; 0", $I11:$I56), "")</f>
        <v>695</v>
      </c>
      <c r="AQ58" s="787">
        <f>(AP57/AP58)*100</f>
        <v>5.0359712230215825</v>
      </c>
      <c r="AR58" s="786">
        <f>IF(SUMIF(AR11:AR56, "&gt; 0", $I11:$I56) &gt; 0, SUMIF(AR11:AR56, "&gt; 0", $I11:$I56), "")</f>
        <v>61</v>
      </c>
      <c r="AS58" s="787">
        <f>(AR57/AR58)*100</f>
        <v>4.918032786885246</v>
      </c>
      <c r="AT58" s="786">
        <f>IF(SUMIF(AT11:AT56, "&gt; 0", $I11:$I56) &gt; 0, SUMIF(AT11:AT56, "&gt; 0", $I11:$I56), "")</f>
        <v>377</v>
      </c>
      <c r="AU58" s="787">
        <f>(AT57/AT58)*100</f>
        <v>3.7135278514588856</v>
      </c>
      <c r="AV58" s="786">
        <f>IF(SUMIF(AV11:AV56, "&gt; 0", $I11:$I56) &gt; 0, SUMIF(AV11:AV56, "&gt; 0", $I11:$I56), "")</f>
        <v>97</v>
      </c>
      <c r="AW58" s="787">
        <f>(AV57/AV58)*100</f>
        <v>1.0309278350515463</v>
      </c>
      <c r="AX58" s="786">
        <f>IF(SUMIF(AX11:AX56, "&gt; 0", $I11:$I56) &gt; 0, SUMIF(AX11:AX56, "&gt; 0", $I11:$I56), "")</f>
        <v>97</v>
      </c>
      <c r="AY58" s="787">
        <f>(AX57/AX58)*100</f>
        <v>1.0309278350515463</v>
      </c>
      <c r="AZ58" s="786" t="str">
        <f>IF(SUMIF(AZ11:AZ56, "&gt; 0", $I11:$I56) &gt; 0, SUMIF(AZ11:AZ56, "&gt; 0", $I11:$I56), "")</f>
        <v/>
      </c>
      <c r="BA58" s="787"/>
    </row>
    <row r="59" spans="1:54" ht="18" customHeight="1" thickBot="1" x14ac:dyDescent="0.25">
      <c r="I59" s="354" t="s">
        <v>448</v>
      </c>
      <c r="J59" s="357"/>
      <c r="K59" s="358"/>
      <c r="L59" s="328" t="s">
        <v>237</v>
      </c>
      <c r="M59" s="330" t="s">
        <v>238</v>
      </c>
      <c r="N59" s="328" t="s">
        <v>237</v>
      </c>
      <c r="O59" s="330" t="s">
        <v>238</v>
      </c>
      <c r="P59" s="328" t="s">
        <v>237</v>
      </c>
      <c r="Q59" s="330" t="s">
        <v>238</v>
      </c>
      <c r="R59" s="328" t="s">
        <v>237</v>
      </c>
      <c r="S59" s="330" t="s">
        <v>238</v>
      </c>
      <c r="T59" s="328" t="s">
        <v>237</v>
      </c>
      <c r="U59" s="330" t="s">
        <v>238</v>
      </c>
      <c r="V59" s="328" t="s">
        <v>237</v>
      </c>
      <c r="W59" s="330" t="s">
        <v>238</v>
      </c>
      <c r="X59" s="328" t="s">
        <v>237</v>
      </c>
      <c r="Y59" s="330" t="s">
        <v>238</v>
      </c>
      <c r="Z59" s="328" t="s">
        <v>237</v>
      </c>
      <c r="AA59" s="330" t="s">
        <v>238</v>
      </c>
      <c r="AB59" s="328" t="s">
        <v>237</v>
      </c>
      <c r="AC59" s="330" t="s">
        <v>238</v>
      </c>
      <c r="AD59" s="328" t="s">
        <v>237</v>
      </c>
      <c r="AE59" s="330" t="s">
        <v>238</v>
      </c>
      <c r="AF59" s="328" t="s">
        <v>237</v>
      </c>
      <c r="AG59" s="330" t="s">
        <v>238</v>
      </c>
      <c r="AH59" s="369" t="s">
        <v>237</v>
      </c>
      <c r="AI59" s="331" t="s">
        <v>238</v>
      </c>
      <c r="AJ59" s="328" t="s">
        <v>237</v>
      </c>
      <c r="AK59" s="330" t="s">
        <v>238</v>
      </c>
      <c r="AL59" s="328" t="s">
        <v>237</v>
      </c>
      <c r="AM59" s="330" t="s">
        <v>238</v>
      </c>
      <c r="AN59" s="328" t="s">
        <v>237</v>
      </c>
      <c r="AO59" s="330" t="s">
        <v>238</v>
      </c>
      <c r="AP59" s="328" t="s">
        <v>237</v>
      </c>
      <c r="AQ59" s="330" t="s">
        <v>238</v>
      </c>
      <c r="AR59" s="328" t="s">
        <v>237</v>
      </c>
      <c r="AS59" s="330" t="s">
        <v>238</v>
      </c>
      <c r="AT59" s="328" t="s">
        <v>237</v>
      </c>
      <c r="AU59" s="330" t="s">
        <v>238</v>
      </c>
      <c r="AV59" s="328" t="s">
        <v>237</v>
      </c>
      <c r="AW59" s="330" t="s">
        <v>238</v>
      </c>
      <c r="AX59" s="328" t="s">
        <v>237</v>
      </c>
      <c r="AY59" s="330" t="s">
        <v>238</v>
      </c>
      <c r="AZ59" s="328" t="s">
        <v>237</v>
      </c>
      <c r="BA59" s="330" t="s">
        <v>238</v>
      </c>
    </row>
    <row r="60" spans="1:54" ht="18" customHeight="1" x14ac:dyDescent="0.2">
      <c r="F60" s="40" t="s">
        <v>243</v>
      </c>
      <c r="G60" s="43">
        <v>1</v>
      </c>
      <c r="I60" s="355"/>
      <c r="J60" s="359"/>
      <c r="K60" s="360"/>
      <c r="L60" s="328"/>
      <c r="M60" s="331"/>
      <c r="N60" s="328"/>
      <c r="O60" s="331"/>
      <c r="P60" s="328"/>
      <c r="Q60" s="331"/>
      <c r="R60" s="328"/>
      <c r="S60" s="331"/>
      <c r="T60" s="328"/>
      <c r="U60" s="331"/>
      <c r="V60" s="328"/>
      <c r="W60" s="331"/>
      <c r="X60" s="328"/>
      <c r="Y60" s="331"/>
      <c r="Z60" s="328"/>
      <c r="AA60" s="331"/>
      <c r="AB60" s="328"/>
      <c r="AC60" s="331"/>
      <c r="AD60" s="328"/>
      <c r="AE60" s="331"/>
      <c r="AF60" s="328"/>
      <c r="AG60" s="331"/>
      <c r="AH60" s="328"/>
      <c r="AI60" s="331"/>
      <c r="AJ60" s="328"/>
      <c r="AK60" s="331"/>
      <c r="AL60" s="328"/>
      <c r="AM60" s="331"/>
      <c r="AN60" s="328"/>
      <c r="AO60" s="331"/>
      <c r="AP60" s="328"/>
      <c r="AQ60" s="331"/>
      <c r="AR60" s="328"/>
      <c r="AS60" s="331"/>
      <c r="AT60" s="328"/>
      <c r="AU60" s="331"/>
      <c r="AV60" s="328"/>
      <c r="AW60" s="331"/>
      <c r="AX60" s="328"/>
      <c r="AY60" s="331"/>
      <c r="AZ60" s="328"/>
      <c r="BA60" s="331"/>
    </row>
    <row r="61" spans="1:54" ht="18" customHeight="1" x14ac:dyDescent="0.2">
      <c r="F61" s="41"/>
      <c r="G61" s="42"/>
      <c r="I61" s="355"/>
      <c r="J61" s="359"/>
      <c r="K61" s="360"/>
      <c r="L61" s="328"/>
      <c r="M61" s="331"/>
      <c r="N61" s="328"/>
      <c r="O61" s="331"/>
      <c r="P61" s="328"/>
      <c r="Q61" s="331"/>
      <c r="R61" s="328"/>
      <c r="S61" s="331"/>
      <c r="T61" s="328"/>
      <c r="U61" s="331"/>
      <c r="V61" s="328"/>
      <c r="W61" s="331"/>
      <c r="X61" s="328"/>
      <c r="Y61" s="331"/>
      <c r="Z61" s="328"/>
      <c r="AA61" s="331"/>
      <c r="AB61" s="328"/>
      <c r="AC61" s="331"/>
      <c r="AD61" s="328"/>
      <c r="AE61" s="331"/>
      <c r="AF61" s="328"/>
      <c r="AG61" s="331"/>
      <c r="AH61" s="328"/>
      <c r="AI61" s="331"/>
      <c r="AJ61" s="328"/>
      <c r="AK61" s="331"/>
      <c r="AL61" s="328"/>
      <c r="AM61" s="331"/>
      <c r="AN61" s="328"/>
      <c r="AO61" s="331"/>
      <c r="AP61" s="328"/>
      <c r="AQ61" s="331"/>
      <c r="AR61" s="328"/>
      <c r="AS61" s="331"/>
      <c r="AT61" s="328"/>
      <c r="AU61" s="331"/>
      <c r="AV61" s="328"/>
      <c r="AW61" s="331"/>
      <c r="AX61" s="328"/>
      <c r="AY61" s="331"/>
      <c r="AZ61" s="328"/>
      <c r="BA61" s="331"/>
    </row>
    <row r="62" spans="1:54" ht="18" customHeight="1" x14ac:dyDescent="0.2">
      <c r="F62" s="347" t="s">
        <v>244</v>
      </c>
      <c r="G62" s="348"/>
      <c r="I62" s="355"/>
      <c r="J62" s="359"/>
      <c r="K62" s="360"/>
      <c r="L62" s="328"/>
      <c r="M62" s="331"/>
      <c r="N62" s="328"/>
      <c r="O62" s="331"/>
      <c r="P62" s="328"/>
      <c r="Q62" s="331"/>
      <c r="R62" s="328"/>
      <c r="S62" s="331"/>
      <c r="T62" s="328"/>
      <c r="U62" s="331"/>
      <c r="V62" s="328"/>
      <c r="W62" s="331"/>
      <c r="X62" s="328"/>
      <c r="Y62" s="331"/>
      <c r="Z62" s="328"/>
      <c r="AA62" s="331"/>
      <c r="AB62" s="328"/>
      <c r="AC62" s="331"/>
      <c r="AD62" s="328"/>
      <c r="AE62" s="331"/>
      <c r="AF62" s="328"/>
      <c r="AG62" s="331"/>
      <c r="AH62" s="328"/>
      <c r="AI62" s="331"/>
      <c r="AJ62" s="328"/>
      <c r="AK62" s="331"/>
      <c r="AL62" s="328"/>
      <c r="AM62" s="331"/>
      <c r="AN62" s="328"/>
      <c r="AO62" s="331"/>
      <c r="AP62" s="328"/>
      <c r="AQ62" s="331"/>
      <c r="AR62" s="328"/>
      <c r="AS62" s="331"/>
      <c r="AT62" s="328"/>
      <c r="AU62" s="331"/>
      <c r="AV62" s="328"/>
      <c r="AW62" s="331"/>
      <c r="AX62" s="328"/>
      <c r="AY62" s="331"/>
      <c r="AZ62" s="328"/>
      <c r="BA62" s="331"/>
    </row>
    <row r="63" spans="1:54" ht="18" customHeight="1" x14ac:dyDescent="0.2">
      <c r="F63" s="347"/>
      <c r="G63" s="348"/>
      <c r="I63" s="355"/>
      <c r="J63" s="359"/>
      <c r="K63" s="360"/>
      <c r="L63" s="329"/>
      <c r="M63" s="331"/>
      <c r="N63" s="329"/>
      <c r="O63" s="331"/>
      <c r="P63" s="329"/>
      <c r="Q63" s="331"/>
      <c r="R63" s="329"/>
      <c r="S63" s="331"/>
      <c r="T63" s="329"/>
      <c r="U63" s="331"/>
      <c r="V63" s="329"/>
      <c r="W63" s="331"/>
      <c r="X63" s="329"/>
      <c r="Y63" s="331"/>
      <c r="Z63" s="329"/>
      <c r="AA63" s="331"/>
      <c r="AB63" s="329"/>
      <c r="AC63" s="331"/>
      <c r="AD63" s="329"/>
      <c r="AE63" s="331"/>
      <c r="AF63" s="329"/>
      <c r="AG63" s="331"/>
      <c r="AH63" s="329"/>
      <c r="AI63" s="331"/>
      <c r="AJ63" s="329"/>
      <c r="AK63" s="331"/>
      <c r="AL63" s="329"/>
      <c r="AM63" s="331"/>
      <c r="AN63" s="329"/>
      <c r="AO63" s="331"/>
      <c r="AP63" s="329"/>
      <c r="AQ63" s="331"/>
      <c r="AR63" s="329"/>
      <c r="AS63" s="331"/>
      <c r="AT63" s="329"/>
      <c r="AU63" s="331"/>
      <c r="AV63" s="329"/>
      <c r="AW63" s="331"/>
      <c r="AX63" s="329"/>
      <c r="AY63" s="331"/>
      <c r="AZ63" s="329"/>
      <c r="BA63" s="331"/>
    </row>
    <row r="64" spans="1:54" ht="18" customHeight="1" x14ac:dyDescent="0.2">
      <c r="F64" s="347"/>
      <c r="G64" s="348"/>
      <c r="I64" s="355"/>
      <c r="J64" s="359"/>
      <c r="K64" s="360"/>
      <c r="L64" s="353" t="s">
        <v>234</v>
      </c>
      <c r="M64" s="333"/>
      <c r="N64" s="351" t="s">
        <v>160</v>
      </c>
      <c r="O64" s="333"/>
      <c r="P64" s="353" t="s">
        <v>236</v>
      </c>
      <c r="Q64" s="333"/>
      <c r="R64" s="351" t="s">
        <v>171</v>
      </c>
      <c r="S64" s="333"/>
      <c r="T64" s="351" t="s">
        <v>164</v>
      </c>
      <c r="U64" s="333"/>
      <c r="V64" s="351" t="s">
        <v>172</v>
      </c>
      <c r="W64" s="333"/>
      <c r="X64" s="332" t="s">
        <v>207</v>
      </c>
      <c r="Y64" s="333"/>
      <c r="Z64" s="351" t="s">
        <v>170</v>
      </c>
      <c r="AA64" s="333"/>
      <c r="AB64" s="351" t="s">
        <v>173</v>
      </c>
      <c r="AC64" s="333"/>
      <c r="AD64" s="351" t="s">
        <v>161</v>
      </c>
      <c r="AE64" s="333"/>
      <c r="AF64" s="332" t="s">
        <v>371</v>
      </c>
      <c r="AG64" s="333"/>
      <c r="AH64" s="351" t="s">
        <v>157</v>
      </c>
      <c r="AI64" s="333"/>
      <c r="AJ64" s="353" t="s">
        <v>233</v>
      </c>
      <c r="AK64" s="333"/>
      <c r="AL64" s="351" t="s">
        <v>163</v>
      </c>
      <c r="AM64" s="333"/>
      <c r="AN64" s="351" t="s">
        <v>206</v>
      </c>
      <c r="AO64" s="333"/>
      <c r="AP64" s="351" t="s">
        <v>158</v>
      </c>
      <c r="AQ64" s="333"/>
      <c r="AR64" s="353" t="s">
        <v>235</v>
      </c>
      <c r="AS64" s="333"/>
      <c r="AT64" s="351" t="s">
        <v>159</v>
      </c>
      <c r="AU64" s="333"/>
      <c r="AV64" s="351" t="s">
        <v>205</v>
      </c>
      <c r="AW64" s="333"/>
      <c r="AX64" s="351" t="s">
        <v>204</v>
      </c>
      <c r="AY64" s="333"/>
      <c r="AZ64" s="351" t="s">
        <v>201</v>
      </c>
      <c r="BA64" s="333"/>
    </row>
    <row r="65" spans="6:53" ht="18" customHeight="1" x14ac:dyDescent="0.2">
      <c r="F65" s="347"/>
      <c r="G65" s="348"/>
      <c r="I65" s="355"/>
      <c r="J65" s="359"/>
      <c r="K65" s="360"/>
      <c r="L65" s="340"/>
      <c r="M65" s="335"/>
      <c r="N65" s="340"/>
      <c r="O65" s="335"/>
      <c r="P65" s="340"/>
      <c r="Q65" s="335"/>
      <c r="R65" s="340"/>
      <c r="S65" s="335"/>
      <c r="T65" s="340"/>
      <c r="U65" s="335"/>
      <c r="V65" s="340"/>
      <c r="W65" s="335"/>
      <c r="X65" s="334"/>
      <c r="Y65" s="335"/>
      <c r="Z65" s="340"/>
      <c r="AA65" s="335"/>
      <c r="AB65" s="340"/>
      <c r="AC65" s="335"/>
      <c r="AD65" s="340"/>
      <c r="AE65" s="335"/>
      <c r="AF65" s="334"/>
      <c r="AG65" s="335"/>
      <c r="AH65" s="340"/>
      <c r="AI65" s="335"/>
      <c r="AJ65" s="340"/>
      <c r="AK65" s="335"/>
      <c r="AL65" s="340"/>
      <c r="AM65" s="335"/>
      <c r="AN65" s="340"/>
      <c r="AO65" s="335"/>
      <c r="AP65" s="340"/>
      <c r="AQ65" s="335"/>
      <c r="AR65" s="340"/>
      <c r="AS65" s="335"/>
      <c r="AT65" s="340"/>
      <c r="AU65" s="335"/>
      <c r="AV65" s="340"/>
      <c r="AW65" s="335"/>
      <c r="AX65" s="340"/>
      <c r="AY65" s="335"/>
      <c r="AZ65" s="340"/>
      <c r="BA65" s="335"/>
    </row>
    <row r="66" spans="6:53" ht="18" customHeight="1" thickBot="1" x14ac:dyDescent="0.25">
      <c r="F66" s="347"/>
      <c r="G66" s="348"/>
      <c r="I66" s="355"/>
      <c r="J66" s="359"/>
      <c r="K66" s="360"/>
      <c r="L66" s="352"/>
      <c r="M66" s="337"/>
      <c r="N66" s="352"/>
      <c r="O66" s="337"/>
      <c r="P66" s="352"/>
      <c r="Q66" s="337"/>
      <c r="R66" s="352"/>
      <c r="S66" s="337"/>
      <c r="T66" s="352"/>
      <c r="U66" s="337"/>
      <c r="V66" s="352"/>
      <c r="W66" s="337"/>
      <c r="X66" s="336"/>
      <c r="Y66" s="337"/>
      <c r="Z66" s="352"/>
      <c r="AA66" s="337"/>
      <c r="AB66" s="352"/>
      <c r="AC66" s="337"/>
      <c r="AD66" s="352"/>
      <c r="AE66" s="337"/>
      <c r="AF66" s="336"/>
      <c r="AG66" s="337"/>
      <c r="AH66" s="352"/>
      <c r="AI66" s="337"/>
      <c r="AJ66" s="352"/>
      <c r="AK66" s="337"/>
      <c r="AL66" s="352"/>
      <c r="AM66" s="337"/>
      <c r="AN66" s="352"/>
      <c r="AO66" s="337"/>
      <c r="AP66" s="352"/>
      <c r="AQ66" s="337"/>
      <c r="AR66" s="352"/>
      <c r="AS66" s="337"/>
      <c r="AT66" s="352"/>
      <c r="AU66" s="337"/>
      <c r="AV66" s="352"/>
      <c r="AW66" s="337"/>
      <c r="AX66" s="352"/>
      <c r="AY66" s="337"/>
      <c r="AZ66" s="352"/>
      <c r="BA66" s="337"/>
    </row>
    <row r="67" spans="6:53" ht="20" customHeight="1" thickBot="1" x14ac:dyDescent="0.3">
      <c r="F67" s="349"/>
      <c r="G67" s="350"/>
      <c r="I67" s="356"/>
      <c r="J67" s="361"/>
      <c r="K67" s="362"/>
      <c r="L67" s="317" t="s">
        <v>162</v>
      </c>
      <c r="M67" s="318"/>
      <c r="N67" s="318"/>
      <c r="O67" s="318"/>
      <c r="P67" s="318"/>
      <c r="Q67" s="318"/>
      <c r="R67" s="318"/>
      <c r="S67" s="318"/>
      <c r="T67" s="318"/>
      <c r="U67" s="318"/>
      <c r="V67" s="318"/>
      <c r="W67" s="318"/>
      <c r="X67" s="318"/>
      <c r="Y67" s="318"/>
      <c r="Z67" s="318"/>
      <c r="AA67" s="318"/>
      <c r="AB67" s="318"/>
      <c r="AC67" s="318"/>
      <c r="AD67" s="318"/>
      <c r="AE67" s="318"/>
      <c r="AF67" s="318"/>
      <c r="AG67" s="318"/>
      <c r="AH67" s="318"/>
      <c r="AI67" s="318"/>
      <c r="AJ67" s="318"/>
      <c r="AK67" s="318"/>
      <c r="AL67" s="318"/>
      <c r="AM67" s="318"/>
      <c r="AN67" s="318"/>
      <c r="AO67" s="318"/>
      <c r="AP67" s="318"/>
      <c r="AQ67" s="318"/>
      <c r="AR67" s="318"/>
      <c r="AS67" s="318"/>
      <c r="AT67" s="318"/>
      <c r="AU67" s="318"/>
      <c r="AV67" s="318"/>
      <c r="AW67" s="318"/>
      <c r="AX67" s="318"/>
      <c r="AY67" s="318"/>
      <c r="AZ67" s="318"/>
      <c r="BA67" s="319"/>
    </row>
    <row r="68" spans="6:53" x14ac:dyDescent="0.2">
      <c r="I68" s="110" t="s">
        <v>456</v>
      </c>
    </row>
  </sheetData>
  <mergeCells count="140">
    <mergeCell ref="A7:A10"/>
    <mergeCell ref="L67:BA67"/>
    <mergeCell ref="AL64:AM66"/>
    <mergeCell ref="AJ64:AK66"/>
    <mergeCell ref="AB64:AC66"/>
    <mergeCell ref="R64:S66"/>
    <mergeCell ref="N64:O66"/>
    <mergeCell ref="AD64:AE66"/>
    <mergeCell ref="V64:W66"/>
    <mergeCell ref="AR64:AS66"/>
    <mergeCell ref="AV64:AW66"/>
    <mergeCell ref="P64:Q66"/>
    <mergeCell ref="Z64:AA66"/>
    <mergeCell ref="AX64:AY66"/>
    <mergeCell ref="F62:G67"/>
    <mergeCell ref="AH64:AI66"/>
    <mergeCell ref="AN64:AO66"/>
    <mergeCell ref="AT64:AU66"/>
    <mergeCell ref="AP64:AQ66"/>
    <mergeCell ref="AZ64:BA66"/>
    <mergeCell ref="T64:U66"/>
    <mergeCell ref="L64:M66"/>
    <mergeCell ref="N59:N63"/>
    <mergeCell ref="O59:O63"/>
    <mergeCell ref="AD59:AD63"/>
    <mergeCell ref="AE59:AE63"/>
    <mergeCell ref="X59:X63"/>
    <mergeCell ref="Y59:Y63"/>
    <mergeCell ref="AJ59:AJ63"/>
    <mergeCell ref="AK59:AK63"/>
    <mergeCell ref="AB59:AB63"/>
    <mergeCell ref="AC59:AC63"/>
    <mergeCell ref="R59:R63"/>
    <mergeCell ref="S59:S63"/>
    <mergeCell ref="Z59:Z63"/>
    <mergeCell ref="AA59:AA63"/>
    <mergeCell ref="X64:Y66"/>
    <mergeCell ref="AF64:AG66"/>
    <mergeCell ref="L59:L63"/>
    <mergeCell ref="M59:M63"/>
    <mergeCell ref="V59:V63"/>
    <mergeCell ref="W59:W63"/>
    <mergeCell ref="AT59:AT63"/>
    <mergeCell ref="AU59:AU63"/>
    <mergeCell ref="AP59:AP63"/>
    <mergeCell ref="AQ59:AQ63"/>
    <mergeCell ref="AZ59:AZ63"/>
    <mergeCell ref="AX59:AX63"/>
    <mergeCell ref="AY59:AY63"/>
    <mergeCell ref="AL59:AL63"/>
    <mergeCell ref="AM59:AM63"/>
    <mergeCell ref="AR59:AR63"/>
    <mergeCell ref="AS59:AS63"/>
    <mergeCell ref="AV59:AV63"/>
    <mergeCell ref="AW59:AW63"/>
    <mergeCell ref="P59:P63"/>
    <mergeCell ref="Q59:Q63"/>
    <mergeCell ref="AF59:AF63"/>
    <mergeCell ref="AG59:AG63"/>
    <mergeCell ref="T59:T63"/>
    <mergeCell ref="U59:U63"/>
    <mergeCell ref="BA59:BA63"/>
    <mergeCell ref="AF6:AF10"/>
    <mergeCell ref="AG6:AG10"/>
    <mergeCell ref="B7:B10"/>
    <mergeCell ref="C7:C10"/>
    <mergeCell ref="I59:I67"/>
    <mergeCell ref="J59:K67"/>
    <mergeCell ref="AH59:AH63"/>
    <mergeCell ref="AI59:AI63"/>
    <mergeCell ref="AN59:AN63"/>
    <mergeCell ref="AO59:AO63"/>
    <mergeCell ref="N6:N10"/>
    <mergeCell ref="O6:O10"/>
    <mergeCell ref="AD6:AD10"/>
    <mergeCell ref="AE6:AE10"/>
    <mergeCell ref="X6:X10"/>
    <mergeCell ref="Y6:Y10"/>
    <mergeCell ref="AJ6:AJ10"/>
    <mergeCell ref="AK6:AK10"/>
    <mergeCell ref="AB6:AB10"/>
    <mergeCell ref="AC6:AC10"/>
    <mergeCell ref="R6:R10"/>
    <mergeCell ref="S6:S10"/>
    <mergeCell ref="AX6:AX10"/>
    <mergeCell ref="AY6:AY10"/>
    <mergeCell ref="AL6:AL10"/>
    <mergeCell ref="AM6:AM10"/>
    <mergeCell ref="AR6:AR10"/>
    <mergeCell ref="AS6:AS10"/>
    <mergeCell ref="AV6:AV10"/>
    <mergeCell ref="AW6:AW10"/>
    <mergeCell ref="AU6:AU10"/>
    <mergeCell ref="P6:P10"/>
    <mergeCell ref="Q6:Q10"/>
    <mergeCell ref="T6:T10"/>
    <mergeCell ref="U6:U10"/>
    <mergeCell ref="L6:L10"/>
    <mergeCell ref="M6:M10"/>
    <mergeCell ref="V6:V10"/>
    <mergeCell ref="W6:W10"/>
    <mergeCell ref="AT6:AT10"/>
    <mergeCell ref="AP6:AP10"/>
    <mergeCell ref="AQ6:AQ10"/>
    <mergeCell ref="Z6:Z10"/>
    <mergeCell ref="AA6:AA10"/>
    <mergeCell ref="AZ6:AZ10"/>
    <mergeCell ref="BA6:BA10"/>
    <mergeCell ref="AF3:AG5"/>
    <mergeCell ref="E5:E7"/>
    <mergeCell ref="H6:H10"/>
    <mergeCell ref="I6:I10"/>
    <mergeCell ref="J6:J10"/>
    <mergeCell ref="K6:K10"/>
    <mergeCell ref="AH6:AH10"/>
    <mergeCell ref="AI6:AI10"/>
    <mergeCell ref="AN6:AN10"/>
    <mergeCell ref="AO6:AO10"/>
    <mergeCell ref="AJ3:AK5"/>
    <mergeCell ref="AB3:AC5"/>
    <mergeCell ref="R3:S5"/>
    <mergeCell ref="N3:O5"/>
    <mergeCell ref="AD3:AE5"/>
    <mergeCell ref="X3:Y5"/>
    <mergeCell ref="AR3:AS5"/>
    <mergeCell ref="AV3:AW5"/>
    <mergeCell ref="P3:Q5"/>
    <mergeCell ref="Z3:AA5"/>
    <mergeCell ref="AX3:AY5"/>
    <mergeCell ref="AL3:AM5"/>
    <mergeCell ref="L2:BA2"/>
    <mergeCell ref="E3:E4"/>
    <mergeCell ref="AH3:AI5"/>
    <mergeCell ref="AN3:AO5"/>
    <mergeCell ref="AT3:AU5"/>
    <mergeCell ref="AP3:AQ5"/>
    <mergeCell ref="AZ3:BA5"/>
    <mergeCell ref="T3:U5"/>
    <mergeCell ref="L3:M5"/>
    <mergeCell ref="V3:W5"/>
  </mergeCells>
  <pageMargins left="0.7" right="0.7" top="0.75" bottom="0.75" header="0.3" footer="0.3"/>
  <ignoredErrors>
    <ignoredError sqref="M57:M58 O57:O58 Q57:Q58 S57:S58 U57:U58 W57:W58 Y57:Y58 AA57:AA58 AC57:AC58 AE57:AE58 AG57:AG58 AI57:AI58 AK57:AK58 AM57:AM58 AO57:AO58 AQ57:AQ58 AS57:AS58 AU57:AU58" formula="1"/>
    <ignoredError sqref="J14 J16 J18:J20 J28 J34 J52:J56 J32 J41:J46 J48:J50 J24 J38:J39"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Ruler="0" workbookViewId="0"/>
  </sheetViews>
  <sheetFormatPr baseColWidth="10" defaultRowHeight="16" x14ac:dyDescent="0.2"/>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4" t="s">
        <v>17</v>
      </c>
      <c r="B1" s="25"/>
      <c r="C1" s="25"/>
      <c r="D1" s="25"/>
      <c r="E1" s="26"/>
      <c r="F1" s="26"/>
      <c r="G1" s="25"/>
      <c r="H1" s="27"/>
      <c r="I1" s="26"/>
      <c r="J1" s="26"/>
      <c r="K1" s="26"/>
      <c r="L1" s="26"/>
    </row>
    <row r="2" spans="1:13" ht="20" customHeight="1" x14ac:dyDescent="0.2">
      <c r="A2" s="8"/>
      <c r="B2" s="9"/>
      <c r="C2" s="9"/>
      <c r="D2" s="9"/>
      <c r="E2" s="8"/>
      <c r="F2" s="8"/>
      <c r="G2" s="9"/>
      <c r="H2" s="7"/>
      <c r="I2" s="673" t="s">
        <v>0</v>
      </c>
      <c r="J2" s="673"/>
      <c r="K2" s="673" t="s">
        <v>1</v>
      </c>
      <c r="L2" s="673"/>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421</v>
      </c>
      <c r="E8" s="6"/>
      <c r="F8" s="6"/>
      <c r="G8" s="5" t="s">
        <v>16</v>
      </c>
      <c r="H8" s="7">
        <v>34300</v>
      </c>
      <c r="I8" s="6">
        <v>1</v>
      </c>
      <c r="J8" s="19">
        <v>100</v>
      </c>
      <c r="K8" s="7"/>
      <c r="L8" s="7"/>
      <c r="M8" s="18"/>
    </row>
    <row r="9" spans="1:13" ht="20" customHeight="1" x14ac:dyDescent="0.2">
      <c r="A9" s="13">
        <v>42901</v>
      </c>
      <c r="B9" s="5"/>
      <c r="C9" s="5"/>
      <c r="D9" s="5" t="s">
        <v>422</v>
      </c>
      <c r="E9" s="6"/>
      <c r="F9" s="6"/>
      <c r="G9" s="5" t="s">
        <v>16</v>
      </c>
      <c r="H9" s="7">
        <v>1700</v>
      </c>
      <c r="I9" s="6">
        <v>1</v>
      </c>
      <c r="J9" s="19">
        <v>500</v>
      </c>
      <c r="K9" s="7"/>
      <c r="L9" s="7"/>
      <c r="M9" s="18"/>
    </row>
    <row r="10" spans="1:13" ht="20" customHeight="1" x14ac:dyDescent="0.2">
      <c r="A10" s="13">
        <v>42887</v>
      </c>
      <c r="B10" s="5" t="s">
        <v>230</v>
      </c>
      <c r="C10" s="5" t="s">
        <v>231</v>
      </c>
      <c r="D10" s="5" t="s">
        <v>421</v>
      </c>
      <c r="E10" s="6"/>
      <c r="F10" s="6"/>
      <c r="G10" s="5" t="s">
        <v>232</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All Studies Summary</vt:lpstr>
      <vt:lpstr>Adverse effects (%)</vt:lpstr>
      <vt:lpstr>Random-Controlled</vt:lpstr>
      <vt:lpstr>RC Efficacy (Sleep studies)</vt:lpstr>
      <vt:lpstr>Random-Controlled (MLT - PLB)</vt:lpstr>
      <vt:lpstr>RC (MLT - PLB) Summary</vt:lpstr>
      <vt:lpstr>Adverse effects (%) High - Low</vt:lpstr>
      <vt:lpstr>AE (%) Split (10%)</vt:lpstr>
      <vt:lpstr>AE+ Only</vt:lpstr>
      <vt:lpstr>Long-term studies</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2017-07-01T17:10:35Z</dcterms:modified>
</cp:coreProperties>
</file>