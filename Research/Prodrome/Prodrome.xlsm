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workbookPr/>
  <mc:AlternateContent xmlns:mc="http://schemas.openxmlformats.org/markup-compatibility/2006">
    <mc:Choice Requires="x15">
      <x15ac:absPath xmlns:x15ac="http://schemas.microsoft.com/office/spreadsheetml/2010/11/ac" url="/Users/michaelvasey/Desktop/Besag/Research/Prodrome/"/>
    </mc:Choice>
  </mc:AlternateContent>
  <bookViews>
    <workbookView xWindow="280" yWindow="2120" windowWidth="24500" windowHeight="13060" tabRatio="500"/>
  </bookViews>
  <sheets>
    <sheet name="Prodrome (%)" sheetId="4" r:id="rId1"/>
    <sheet name="Prodrome (%) High-Low" sheetId="6" r:id="rId2"/>
    <sheet name="Prodrome (%) Split (5%)" sheetId="5" r:id="rId3"/>
    <sheet name="(CS) Prodrome Time to Seizure" sheetId="3" r:id="rId4"/>
    <sheet name="Clinical Studies (Prodromes)" sheetId="2" r:id="rId5"/>
    <sheet name="Search" sheetId="1" r:id="rId6"/>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W38" i="4" l="1"/>
  <c r="AQ38" i="4"/>
  <c r="AK38" i="4"/>
  <c r="AE38" i="4"/>
  <c r="AB53" i="2"/>
  <c r="AA53" i="2"/>
  <c r="Z53" i="2"/>
  <c r="Y53" i="2"/>
  <c r="X53" i="2"/>
  <c r="W53" i="2"/>
  <c r="V53" i="2"/>
  <c r="U53" i="2"/>
  <c r="T53" i="2"/>
  <c r="S53" i="2"/>
  <c r="R53" i="2"/>
  <c r="Q53" i="2"/>
  <c r="P53" i="2"/>
  <c r="O53" i="2"/>
  <c r="N53" i="2"/>
  <c r="M53" i="2"/>
  <c r="L53" i="2"/>
  <c r="K53" i="2"/>
  <c r="J53" i="2"/>
  <c r="I53" i="2"/>
  <c r="L55" i="6"/>
  <c r="L56" i="6"/>
  <c r="M56" i="6"/>
  <c r="N55" i="6"/>
  <c r="N56" i="6"/>
  <c r="O56" i="6"/>
  <c r="AT55" i="6"/>
  <c r="AT56" i="6"/>
  <c r="AU56" i="6"/>
  <c r="AN55" i="6"/>
  <c r="AN56" i="6"/>
  <c r="AO56" i="6"/>
  <c r="AR55" i="6"/>
  <c r="AR56" i="6"/>
  <c r="AS56" i="6"/>
  <c r="AP55" i="6"/>
  <c r="AP56" i="6"/>
  <c r="AQ56" i="6"/>
  <c r="AL55" i="6"/>
  <c r="AL56" i="6"/>
  <c r="AM56" i="6"/>
  <c r="AH55" i="6"/>
  <c r="AH56" i="6"/>
  <c r="AI56" i="6"/>
  <c r="R55" i="6"/>
  <c r="R56" i="6"/>
  <c r="S56" i="6"/>
  <c r="P55" i="6"/>
  <c r="P56" i="6"/>
  <c r="Q56" i="6"/>
  <c r="AV56" i="6"/>
  <c r="AF55" i="6"/>
  <c r="AF56" i="6"/>
  <c r="AG56" i="6"/>
  <c r="AB55" i="6"/>
  <c r="AB56" i="6"/>
  <c r="AC56" i="6"/>
  <c r="X55" i="6"/>
  <c r="X56" i="6"/>
  <c r="Y56" i="6"/>
  <c r="J55" i="6"/>
  <c r="J56" i="6"/>
  <c r="K56" i="6"/>
  <c r="T55" i="6"/>
  <c r="T56" i="6"/>
  <c r="U56" i="6"/>
  <c r="AD55" i="6"/>
  <c r="AD56" i="6"/>
  <c r="AE56" i="6"/>
  <c r="V55" i="6"/>
  <c r="V56" i="6"/>
  <c r="W56" i="6"/>
  <c r="AJ55" i="6"/>
  <c r="AJ56" i="6"/>
  <c r="AK56" i="6"/>
  <c r="Z55" i="6"/>
  <c r="Z56" i="6"/>
  <c r="AA56" i="6"/>
  <c r="H55" i="6"/>
  <c r="M55" i="6"/>
  <c r="O55" i="6"/>
  <c r="AU55" i="6"/>
  <c r="AO55" i="6"/>
  <c r="AS55" i="6"/>
  <c r="AQ55" i="6"/>
  <c r="AM55" i="6"/>
  <c r="AI55" i="6"/>
  <c r="S55" i="6"/>
  <c r="Q55" i="6"/>
  <c r="AV55" i="6"/>
  <c r="AW55" i="6"/>
  <c r="AG55" i="6"/>
  <c r="AC55" i="6"/>
  <c r="Y55" i="6"/>
  <c r="K55" i="6"/>
  <c r="U55" i="6"/>
  <c r="AE55" i="6"/>
  <c r="W55" i="6"/>
  <c r="AK55" i="6"/>
  <c r="AA55" i="6"/>
  <c r="M52" i="6"/>
  <c r="O52" i="6"/>
  <c r="AU52" i="6"/>
  <c r="AO52" i="6"/>
  <c r="AS52" i="6"/>
  <c r="AQ52" i="6"/>
  <c r="AM52" i="6"/>
  <c r="AI52" i="6"/>
  <c r="S52" i="6"/>
  <c r="Q52" i="6"/>
  <c r="AW52" i="6"/>
  <c r="AG52" i="6"/>
  <c r="AC52" i="6"/>
  <c r="Y52" i="6"/>
  <c r="K52" i="6"/>
  <c r="U52" i="6"/>
  <c r="AE52" i="6"/>
  <c r="W52" i="6"/>
  <c r="AK52" i="6"/>
  <c r="AA52" i="6"/>
  <c r="M51" i="6"/>
  <c r="O51" i="6"/>
  <c r="AU51" i="6"/>
  <c r="AO51" i="6"/>
  <c r="AS51" i="6"/>
  <c r="AQ51" i="6"/>
  <c r="AM51" i="6"/>
  <c r="AI51" i="6"/>
  <c r="S51" i="6"/>
  <c r="Q51" i="6"/>
  <c r="AW51" i="6"/>
  <c r="AG51" i="6"/>
  <c r="AC51" i="6"/>
  <c r="Y51" i="6"/>
  <c r="K51" i="6"/>
  <c r="U51" i="6"/>
  <c r="AE51" i="6"/>
  <c r="W51" i="6"/>
  <c r="AK51" i="6"/>
  <c r="AA51" i="6"/>
  <c r="M50" i="6"/>
  <c r="O50" i="6"/>
  <c r="AU50" i="6"/>
  <c r="AO50" i="6"/>
  <c r="AS50" i="6"/>
  <c r="AQ50" i="6"/>
  <c r="AM50" i="6"/>
  <c r="AI50" i="6"/>
  <c r="S50" i="6"/>
  <c r="Q50" i="6"/>
  <c r="AW50" i="6"/>
  <c r="AG50" i="6"/>
  <c r="AC50" i="6"/>
  <c r="Y50" i="6"/>
  <c r="K50" i="6"/>
  <c r="U50" i="6"/>
  <c r="AE50" i="6"/>
  <c r="W50" i="6"/>
  <c r="AK50" i="6"/>
  <c r="AA50" i="6"/>
  <c r="M49" i="6"/>
  <c r="O49" i="6"/>
  <c r="AU49" i="6"/>
  <c r="AO49" i="6"/>
  <c r="AS49" i="6"/>
  <c r="AQ49" i="6"/>
  <c r="AM49" i="6"/>
  <c r="AI49" i="6"/>
  <c r="S49" i="6"/>
  <c r="Q49" i="6"/>
  <c r="AW49" i="6"/>
  <c r="AG49" i="6"/>
  <c r="AC49" i="6"/>
  <c r="Y49" i="6"/>
  <c r="K49" i="6"/>
  <c r="U49" i="6"/>
  <c r="AE49" i="6"/>
  <c r="W49" i="6"/>
  <c r="AK49" i="6"/>
  <c r="AA49" i="6"/>
  <c r="M48" i="6"/>
  <c r="O48" i="6"/>
  <c r="AU48" i="6"/>
  <c r="AO48" i="6"/>
  <c r="AS48" i="6"/>
  <c r="AQ48" i="6"/>
  <c r="AM48" i="6"/>
  <c r="AI48" i="6"/>
  <c r="S48" i="6"/>
  <c r="Q48" i="6"/>
  <c r="AW48" i="6"/>
  <c r="AG48" i="6"/>
  <c r="AC48" i="6"/>
  <c r="Y48" i="6"/>
  <c r="K48" i="6"/>
  <c r="U48" i="6"/>
  <c r="AE48" i="6"/>
  <c r="W48" i="6"/>
  <c r="AK48" i="6"/>
  <c r="AA48" i="6"/>
  <c r="M47" i="6"/>
  <c r="O47" i="6"/>
  <c r="AU47" i="6"/>
  <c r="AO47" i="6"/>
  <c r="AS47" i="6"/>
  <c r="AQ47" i="6"/>
  <c r="AM47" i="6"/>
  <c r="AI47" i="6"/>
  <c r="S47" i="6"/>
  <c r="Q47" i="6"/>
  <c r="AW47" i="6"/>
  <c r="AG47" i="6"/>
  <c r="AC47" i="6"/>
  <c r="Y47" i="6"/>
  <c r="K47" i="6"/>
  <c r="U47" i="6"/>
  <c r="AE47" i="6"/>
  <c r="W47" i="6"/>
  <c r="AK47" i="6"/>
  <c r="AA47" i="6"/>
  <c r="M46" i="6"/>
  <c r="O46" i="6"/>
  <c r="AU46" i="6"/>
  <c r="AO46" i="6"/>
  <c r="AS46" i="6"/>
  <c r="AQ46" i="6"/>
  <c r="AM46" i="6"/>
  <c r="AI46" i="6"/>
  <c r="S46" i="6"/>
  <c r="Q46" i="6"/>
  <c r="AW46" i="6"/>
  <c r="AG46" i="6"/>
  <c r="AC46" i="6"/>
  <c r="Y46" i="6"/>
  <c r="K46" i="6"/>
  <c r="U46" i="6"/>
  <c r="AE46" i="6"/>
  <c r="W46" i="6"/>
  <c r="AK46" i="6"/>
  <c r="AA46" i="6"/>
  <c r="M45" i="6"/>
  <c r="O45" i="6"/>
  <c r="AU45" i="6"/>
  <c r="AO45" i="6"/>
  <c r="AS45" i="6"/>
  <c r="AQ45" i="6"/>
  <c r="AM45" i="6"/>
  <c r="AI45" i="6"/>
  <c r="S45" i="6"/>
  <c r="Q45" i="6"/>
  <c r="AW45" i="6"/>
  <c r="AG45" i="6"/>
  <c r="AC45" i="6"/>
  <c r="Y45" i="6"/>
  <c r="K45" i="6"/>
  <c r="U45" i="6"/>
  <c r="AE45" i="6"/>
  <c r="W45" i="6"/>
  <c r="AK45" i="6"/>
  <c r="AA45" i="6"/>
  <c r="M44" i="6"/>
  <c r="O44" i="6"/>
  <c r="AU44" i="6"/>
  <c r="AO44" i="6"/>
  <c r="AS44" i="6"/>
  <c r="AQ44" i="6"/>
  <c r="AM44" i="6"/>
  <c r="AI44" i="6"/>
  <c r="S44" i="6"/>
  <c r="Q44" i="6"/>
  <c r="AW44" i="6"/>
  <c r="AG44" i="6"/>
  <c r="AC44" i="6"/>
  <c r="Y44" i="6"/>
  <c r="K44" i="6"/>
  <c r="U44" i="6"/>
  <c r="AE44" i="6"/>
  <c r="W44" i="6"/>
  <c r="AK44" i="6"/>
  <c r="AA44" i="6"/>
  <c r="M43" i="6"/>
  <c r="O43" i="6"/>
  <c r="AU43" i="6"/>
  <c r="AO43" i="6"/>
  <c r="AS43" i="6"/>
  <c r="AQ43" i="6"/>
  <c r="AM43" i="6"/>
  <c r="AI43" i="6"/>
  <c r="S43" i="6"/>
  <c r="Q43" i="6"/>
  <c r="AW43" i="6"/>
  <c r="AG43" i="6"/>
  <c r="AC43" i="6"/>
  <c r="Y43" i="6"/>
  <c r="K43" i="6"/>
  <c r="U43" i="6"/>
  <c r="AE43" i="6"/>
  <c r="W43" i="6"/>
  <c r="AK43" i="6"/>
  <c r="AA43" i="6"/>
  <c r="M42" i="6"/>
  <c r="O42" i="6"/>
  <c r="AU42" i="6"/>
  <c r="AO42" i="6"/>
  <c r="AS42" i="6"/>
  <c r="AQ42" i="6"/>
  <c r="AM42" i="6"/>
  <c r="AI42" i="6"/>
  <c r="S42" i="6"/>
  <c r="Q42" i="6"/>
  <c r="AW42" i="6"/>
  <c r="AG42" i="6"/>
  <c r="AC42" i="6"/>
  <c r="Y42" i="6"/>
  <c r="K42" i="6"/>
  <c r="U42" i="6"/>
  <c r="AE42" i="6"/>
  <c r="W42" i="6"/>
  <c r="AK42" i="6"/>
  <c r="AA42" i="6"/>
  <c r="M41" i="6"/>
  <c r="O41" i="6"/>
  <c r="AU41" i="6"/>
  <c r="AO41" i="6"/>
  <c r="AS41" i="6"/>
  <c r="AQ41" i="6"/>
  <c r="AM41" i="6"/>
  <c r="AI41" i="6"/>
  <c r="S41" i="6"/>
  <c r="Q41" i="6"/>
  <c r="AW41" i="6"/>
  <c r="AG41" i="6"/>
  <c r="AC41" i="6"/>
  <c r="Y41" i="6"/>
  <c r="K41" i="6"/>
  <c r="U41" i="6"/>
  <c r="AE41" i="6"/>
  <c r="W41" i="6"/>
  <c r="AK41" i="6"/>
  <c r="AA41" i="6"/>
  <c r="M40" i="6"/>
  <c r="O40" i="6"/>
  <c r="AU40" i="6"/>
  <c r="AO40" i="6"/>
  <c r="AS40" i="6"/>
  <c r="AQ40" i="6"/>
  <c r="AM40" i="6"/>
  <c r="AI40" i="6"/>
  <c r="S40" i="6"/>
  <c r="Q40" i="6"/>
  <c r="AW40" i="6"/>
  <c r="AG40" i="6"/>
  <c r="AC40" i="6"/>
  <c r="Y40" i="6"/>
  <c r="K40" i="6"/>
  <c r="U40" i="6"/>
  <c r="AE40" i="6"/>
  <c r="W40" i="6"/>
  <c r="AK40" i="6"/>
  <c r="AA40" i="6"/>
  <c r="M39" i="6"/>
  <c r="O39" i="6"/>
  <c r="AU39" i="6"/>
  <c r="AO39" i="6"/>
  <c r="AS39" i="6"/>
  <c r="AQ39" i="6"/>
  <c r="AM39" i="6"/>
  <c r="AI39" i="6"/>
  <c r="S39" i="6"/>
  <c r="Q39" i="6"/>
  <c r="AW39" i="6"/>
  <c r="AG39" i="6"/>
  <c r="AC39" i="6"/>
  <c r="Y39" i="6"/>
  <c r="K39" i="6"/>
  <c r="U39" i="6"/>
  <c r="AE39" i="6"/>
  <c r="W39" i="6"/>
  <c r="AK39" i="6"/>
  <c r="AA39" i="6"/>
  <c r="M38" i="6"/>
  <c r="O38" i="6"/>
  <c r="AU38" i="6"/>
  <c r="AO38" i="6"/>
  <c r="AS38" i="6"/>
  <c r="AQ38" i="6"/>
  <c r="AM38" i="6"/>
  <c r="AI38" i="6"/>
  <c r="S38" i="6"/>
  <c r="Q38" i="6"/>
  <c r="AW38" i="6"/>
  <c r="AG38" i="6"/>
  <c r="AC38" i="6"/>
  <c r="Y38" i="6"/>
  <c r="K38" i="6"/>
  <c r="U38" i="6"/>
  <c r="AE38" i="6"/>
  <c r="W38" i="6"/>
  <c r="AK38" i="6"/>
  <c r="AA38" i="6"/>
  <c r="M37" i="6"/>
  <c r="O37" i="6"/>
  <c r="AU37" i="6"/>
  <c r="AO37" i="6"/>
  <c r="AS37" i="6"/>
  <c r="AQ37" i="6"/>
  <c r="AM37" i="6"/>
  <c r="AI37" i="6"/>
  <c r="S37" i="6"/>
  <c r="Q37" i="6"/>
  <c r="AW37" i="6"/>
  <c r="AG37" i="6"/>
  <c r="AC37" i="6"/>
  <c r="Y37" i="6"/>
  <c r="K37" i="6"/>
  <c r="U37" i="6"/>
  <c r="AE37" i="6"/>
  <c r="W37" i="6"/>
  <c r="AK37" i="6"/>
  <c r="AA37" i="6"/>
  <c r="M36" i="6"/>
  <c r="O36" i="6"/>
  <c r="AU36" i="6"/>
  <c r="AO36" i="6"/>
  <c r="AS36" i="6"/>
  <c r="AQ36" i="6"/>
  <c r="AM36" i="6"/>
  <c r="AI36" i="6"/>
  <c r="S36" i="6"/>
  <c r="Q36" i="6"/>
  <c r="AW36" i="6"/>
  <c r="AG36" i="6"/>
  <c r="AC36" i="6"/>
  <c r="Y36" i="6"/>
  <c r="K36" i="6"/>
  <c r="U36" i="6"/>
  <c r="AE36" i="6"/>
  <c r="W36" i="6"/>
  <c r="AK36" i="6"/>
  <c r="AA36" i="6"/>
  <c r="M35" i="6"/>
  <c r="O35" i="6"/>
  <c r="AU35" i="6"/>
  <c r="AO35" i="6"/>
  <c r="AS35" i="6"/>
  <c r="AQ35" i="6"/>
  <c r="AM35" i="6"/>
  <c r="AI35" i="6"/>
  <c r="S35" i="6"/>
  <c r="Q35" i="6"/>
  <c r="AW35" i="6"/>
  <c r="AG35" i="6"/>
  <c r="AC35" i="6"/>
  <c r="Y35" i="6"/>
  <c r="K35" i="6"/>
  <c r="U35" i="6"/>
  <c r="AE35" i="6"/>
  <c r="W35" i="6"/>
  <c r="AK35" i="6"/>
  <c r="AA35" i="6"/>
  <c r="M34" i="6"/>
  <c r="O34" i="6"/>
  <c r="AU34" i="6"/>
  <c r="AO34" i="6"/>
  <c r="AS34" i="6"/>
  <c r="AQ34" i="6"/>
  <c r="AM34" i="6"/>
  <c r="AI34" i="6"/>
  <c r="S34" i="6"/>
  <c r="Q34" i="6"/>
  <c r="AW34" i="6"/>
  <c r="AG34" i="6"/>
  <c r="AC34" i="6"/>
  <c r="Y34" i="6"/>
  <c r="K34" i="6"/>
  <c r="U34" i="6"/>
  <c r="AE34" i="6"/>
  <c r="W34" i="6"/>
  <c r="AK34" i="6"/>
  <c r="AA34" i="6"/>
  <c r="M33" i="6"/>
  <c r="O33" i="6"/>
  <c r="AU33" i="6"/>
  <c r="AO33" i="6"/>
  <c r="AS33" i="6"/>
  <c r="AQ33" i="6"/>
  <c r="AM33" i="6"/>
  <c r="AI33" i="6"/>
  <c r="S33" i="6"/>
  <c r="Q33" i="6"/>
  <c r="AW33" i="6"/>
  <c r="AG33" i="6"/>
  <c r="AC33" i="6"/>
  <c r="Y33" i="6"/>
  <c r="K33" i="6"/>
  <c r="U33" i="6"/>
  <c r="AE33" i="6"/>
  <c r="W33" i="6"/>
  <c r="AK33" i="6"/>
  <c r="AA33" i="6"/>
  <c r="M32" i="6"/>
  <c r="O32" i="6"/>
  <c r="AU32" i="6"/>
  <c r="AO32" i="6"/>
  <c r="AS32" i="6"/>
  <c r="AQ32" i="6"/>
  <c r="AM32" i="6"/>
  <c r="AI32" i="6"/>
  <c r="S32" i="6"/>
  <c r="Q32" i="6"/>
  <c r="AW32" i="6"/>
  <c r="AG32" i="6"/>
  <c r="AC32" i="6"/>
  <c r="Y32" i="6"/>
  <c r="K32" i="6"/>
  <c r="U32" i="6"/>
  <c r="AE32" i="6"/>
  <c r="W32" i="6"/>
  <c r="AK32" i="6"/>
  <c r="AA32" i="6"/>
  <c r="M31" i="6"/>
  <c r="O31" i="6"/>
  <c r="AU31" i="6"/>
  <c r="AO31" i="6"/>
  <c r="AS31" i="6"/>
  <c r="AQ31" i="6"/>
  <c r="AM31" i="6"/>
  <c r="AI31" i="6"/>
  <c r="S31" i="6"/>
  <c r="Q31" i="6"/>
  <c r="AW31" i="6"/>
  <c r="AG31" i="6"/>
  <c r="AC31" i="6"/>
  <c r="Y31" i="6"/>
  <c r="K31" i="6"/>
  <c r="U31" i="6"/>
  <c r="AE31" i="6"/>
  <c r="W31" i="6"/>
  <c r="AK31" i="6"/>
  <c r="AA31" i="6"/>
  <c r="M30" i="6"/>
  <c r="O30" i="6"/>
  <c r="AU30" i="6"/>
  <c r="AO30" i="6"/>
  <c r="AS30" i="6"/>
  <c r="AQ30" i="6"/>
  <c r="AM30" i="6"/>
  <c r="AI30" i="6"/>
  <c r="S30" i="6"/>
  <c r="Q30" i="6"/>
  <c r="AW30" i="6"/>
  <c r="AG30" i="6"/>
  <c r="AC30" i="6"/>
  <c r="Y30" i="6"/>
  <c r="K30" i="6"/>
  <c r="U30" i="6"/>
  <c r="AE30" i="6"/>
  <c r="W30" i="6"/>
  <c r="AK30" i="6"/>
  <c r="AA30" i="6"/>
  <c r="M29" i="6"/>
  <c r="O29" i="6"/>
  <c r="AU29" i="6"/>
  <c r="AO29" i="6"/>
  <c r="AS29" i="6"/>
  <c r="AQ29" i="6"/>
  <c r="AM29" i="6"/>
  <c r="AI29" i="6"/>
  <c r="S29" i="6"/>
  <c r="Q29" i="6"/>
  <c r="AW29" i="6"/>
  <c r="AG29" i="6"/>
  <c r="AC29" i="6"/>
  <c r="Y29" i="6"/>
  <c r="K29" i="6"/>
  <c r="W29" i="6"/>
  <c r="AK29" i="6"/>
  <c r="AA29" i="6"/>
  <c r="M28" i="6"/>
  <c r="O28" i="6"/>
  <c r="AU28" i="6"/>
  <c r="AO28" i="6"/>
  <c r="AS28" i="6"/>
  <c r="AQ28" i="6"/>
  <c r="AM28" i="6"/>
  <c r="AI28" i="6"/>
  <c r="S28" i="6"/>
  <c r="Q28" i="6"/>
  <c r="AW28" i="6"/>
  <c r="AG28" i="6"/>
  <c r="AC28" i="6"/>
  <c r="Y28" i="6"/>
  <c r="K28" i="6"/>
  <c r="U28" i="6"/>
  <c r="AE28" i="6"/>
  <c r="W28" i="6"/>
  <c r="AK28" i="6"/>
  <c r="AA28" i="6"/>
  <c r="M27" i="6"/>
  <c r="O27" i="6"/>
  <c r="AU27" i="6"/>
  <c r="AO27" i="6"/>
  <c r="AS27" i="6"/>
  <c r="AQ27" i="6"/>
  <c r="AM27" i="6"/>
  <c r="AI27" i="6"/>
  <c r="S27" i="6"/>
  <c r="Q27" i="6"/>
  <c r="AW27" i="6"/>
  <c r="AG27" i="6"/>
  <c r="AC27" i="6"/>
  <c r="Y27" i="6"/>
  <c r="K27" i="6"/>
  <c r="U27" i="6"/>
  <c r="AE27" i="6"/>
  <c r="W27" i="6"/>
  <c r="AK27" i="6"/>
  <c r="AA27" i="6"/>
  <c r="M26" i="6"/>
  <c r="O26" i="6"/>
  <c r="AU26" i="6"/>
  <c r="AO26" i="6"/>
  <c r="AS26" i="6"/>
  <c r="AQ26" i="6"/>
  <c r="AM26" i="6"/>
  <c r="AI26" i="6"/>
  <c r="S26" i="6"/>
  <c r="Q26" i="6"/>
  <c r="AW26" i="6"/>
  <c r="AG26" i="6"/>
  <c r="AC26" i="6"/>
  <c r="Y26" i="6"/>
  <c r="K26" i="6"/>
  <c r="U26" i="6"/>
  <c r="AE26" i="6"/>
  <c r="W26" i="6"/>
  <c r="AK26" i="6"/>
  <c r="AA26" i="6"/>
  <c r="M25" i="6"/>
  <c r="O25" i="6"/>
  <c r="AU25" i="6"/>
  <c r="AO25" i="6"/>
  <c r="AS25" i="6"/>
  <c r="AQ25" i="6"/>
  <c r="AM25" i="6"/>
  <c r="AI25" i="6"/>
  <c r="S25" i="6"/>
  <c r="Q25" i="6"/>
  <c r="AW25" i="6"/>
  <c r="AG25" i="6"/>
  <c r="AC25" i="6"/>
  <c r="Y25" i="6"/>
  <c r="K25" i="6"/>
  <c r="U25" i="6"/>
  <c r="AE25" i="6"/>
  <c r="W25" i="6"/>
  <c r="AK25" i="6"/>
  <c r="AA25" i="6"/>
  <c r="M24" i="6"/>
  <c r="O24" i="6"/>
  <c r="AU24" i="6"/>
  <c r="AO24" i="6"/>
  <c r="AS24" i="6"/>
  <c r="AQ24" i="6"/>
  <c r="AM24" i="6"/>
  <c r="AI24" i="6"/>
  <c r="S24" i="6"/>
  <c r="Q24" i="6"/>
  <c r="AW24" i="6"/>
  <c r="AG24" i="6"/>
  <c r="AC24" i="6"/>
  <c r="Y24" i="6"/>
  <c r="K24" i="6"/>
  <c r="U24" i="6"/>
  <c r="AE24" i="6"/>
  <c r="W24" i="6"/>
  <c r="AK24" i="6"/>
  <c r="AA24" i="6"/>
  <c r="M23" i="6"/>
  <c r="O23" i="6"/>
  <c r="AU23" i="6"/>
  <c r="AO23" i="6"/>
  <c r="AS23" i="6"/>
  <c r="AQ23" i="6"/>
  <c r="AM23" i="6"/>
  <c r="AI23" i="6"/>
  <c r="S23" i="6"/>
  <c r="Q23" i="6"/>
  <c r="AW23" i="6"/>
  <c r="AG23" i="6"/>
  <c r="AC23" i="6"/>
  <c r="Y23" i="6"/>
  <c r="K23" i="6"/>
  <c r="U23" i="6"/>
  <c r="AE23" i="6"/>
  <c r="W23" i="6"/>
  <c r="AK23" i="6"/>
  <c r="AA23" i="6"/>
  <c r="M22" i="6"/>
  <c r="O22" i="6"/>
  <c r="AU22" i="6"/>
  <c r="AO22" i="6"/>
  <c r="AS22" i="6"/>
  <c r="AQ22" i="6"/>
  <c r="AM22" i="6"/>
  <c r="AI22" i="6"/>
  <c r="S22" i="6"/>
  <c r="Q22" i="6"/>
  <c r="AW22" i="6"/>
  <c r="AG22" i="6"/>
  <c r="AC22" i="6"/>
  <c r="Y22" i="6"/>
  <c r="K22" i="6"/>
  <c r="U22" i="6"/>
  <c r="AE22" i="6"/>
  <c r="W22" i="6"/>
  <c r="AK22" i="6"/>
  <c r="AA22" i="6"/>
  <c r="M21" i="6"/>
  <c r="O21" i="6"/>
  <c r="AU21" i="6"/>
  <c r="AO21" i="6"/>
  <c r="AS21" i="6"/>
  <c r="AQ21" i="6"/>
  <c r="AM21" i="6"/>
  <c r="AI21" i="6"/>
  <c r="S21" i="6"/>
  <c r="Q21" i="6"/>
  <c r="AW21" i="6"/>
  <c r="AG21" i="6"/>
  <c r="AC21" i="6"/>
  <c r="Y21" i="6"/>
  <c r="K21" i="6"/>
  <c r="U21" i="6"/>
  <c r="AE21" i="6"/>
  <c r="W21" i="6"/>
  <c r="AK21" i="6"/>
  <c r="AA21" i="6"/>
  <c r="M20" i="6"/>
  <c r="O20" i="6"/>
  <c r="AU20" i="6"/>
  <c r="AO20" i="6"/>
  <c r="AS20" i="6"/>
  <c r="AQ20" i="6"/>
  <c r="AM20" i="6"/>
  <c r="AI20" i="6"/>
  <c r="S20" i="6"/>
  <c r="Q20" i="6"/>
  <c r="AW20" i="6"/>
  <c r="AG20" i="6"/>
  <c r="AC20" i="6"/>
  <c r="Y20" i="6"/>
  <c r="K20" i="6"/>
  <c r="U20" i="6"/>
  <c r="AE20" i="6"/>
  <c r="W20" i="6"/>
  <c r="AK20" i="6"/>
  <c r="AA20" i="6"/>
  <c r="M19" i="6"/>
  <c r="O19" i="6"/>
  <c r="AU19" i="6"/>
  <c r="AO19" i="6"/>
  <c r="AS19" i="6"/>
  <c r="AQ19" i="6"/>
  <c r="AM19" i="6"/>
  <c r="AI19" i="6"/>
  <c r="S19" i="6"/>
  <c r="Q19" i="6"/>
  <c r="AW19" i="6"/>
  <c r="AG19" i="6"/>
  <c r="AC19" i="6"/>
  <c r="Y19" i="6"/>
  <c r="K19" i="6"/>
  <c r="U19" i="6"/>
  <c r="AE19" i="6"/>
  <c r="W19" i="6"/>
  <c r="AK19" i="6"/>
  <c r="AA19" i="6"/>
  <c r="M18" i="6"/>
  <c r="O18" i="6"/>
  <c r="AU18" i="6"/>
  <c r="AO18" i="6"/>
  <c r="AS18" i="6"/>
  <c r="AQ18" i="6"/>
  <c r="AM18" i="6"/>
  <c r="AI18" i="6"/>
  <c r="S18" i="6"/>
  <c r="Q18" i="6"/>
  <c r="AW18" i="6"/>
  <c r="AG18" i="6"/>
  <c r="AC18" i="6"/>
  <c r="Y18" i="6"/>
  <c r="K18" i="6"/>
  <c r="U18" i="6"/>
  <c r="AE18" i="6"/>
  <c r="W18" i="6"/>
  <c r="AK18" i="6"/>
  <c r="AA18" i="6"/>
  <c r="M17" i="6"/>
  <c r="O17" i="6"/>
  <c r="AU17" i="6"/>
  <c r="AO17" i="6"/>
  <c r="AS17" i="6"/>
  <c r="AQ17" i="6"/>
  <c r="AM17" i="6"/>
  <c r="AI17" i="6"/>
  <c r="S17" i="6"/>
  <c r="Q17" i="6"/>
  <c r="AW17" i="6"/>
  <c r="AG17" i="6"/>
  <c r="AC17" i="6"/>
  <c r="Y17" i="6"/>
  <c r="K17" i="6"/>
  <c r="U17" i="6"/>
  <c r="AE17" i="6"/>
  <c r="W17" i="6"/>
  <c r="AK17" i="6"/>
  <c r="AA17" i="6"/>
  <c r="M16" i="6"/>
  <c r="O16" i="6"/>
  <c r="AU16" i="6"/>
  <c r="AO16" i="6"/>
  <c r="AS16" i="6"/>
  <c r="AQ16" i="6"/>
  <c r="AM16" i="6"/>
  <c r="AI16" i="6"/>
  <c r="S16" i="6"/>
  <c r="Q16" i="6"/>
  <c r="AW16" i="6"/>
  <c r="AG16" i="6"/>
  <c r="AC16" i="6"/>
  <c r="Y16" i="6"/>
  <c r="K16" i="6"/>
  <c r="U16" i="6"/>
  <c r="AE16" i="6"/>
  <c r="W16" i="6"/>
  <c r="AK16" i="6"/>
  <c r="AA16" i="6"/>
  <c r="M15" i="6"/>
  <c r="O15" i="6"/>
  <c r="AU15" i="6"/>
  <c r="AO15" i="6"/>
  <c r="AS15" i="6"/>
  <c r="AQ15" i="6"/>
  <c r="AM15" i="6"/>
  <c r="AI15" i="6"/>
  <c r="S15" i="6"/>
  <c r="Q15" i="6"/>
  <c r="AW15" i="6"/>
  <c r="AG15" i="6"/>
  <c r="AC15" i="6"/>
  <c r="Y15" i="6"/>
  <c r="K15" i="6"/>
  <c r="U15" i="6"/>
  <c r="AE15" i="6"/>
  <c r="W15" i="6"/>
  <c r="AK15" i="6"/>
  <c r="AA15" i="6"/>
  <c r="M14" i="6"/>
  <c r="O14" i="6"/>
  <c r="AU14" i="6"/>
  <c r="AO14" i="6"/>
  <c r="AS14" i="6"/>
  <c r="AQ14" i="6"/>
  <c r="AM14" i="6"/>
  <c r="AI14" i="6"/>
  <c r="S14" i="6"/>
  <c r="Q14" i="6"/>
  <c r="AW14" i="6"/>
  <c r="AG14" i="6"/>
  <c r="AC14" i="6"/>
  <c r="Y14" i="6"/>
  <c r="K14" i="6"/>
  <c r="U14" i="6"/>
  <c r="AE14" i="6"/>
  <c r="W14" i="6"/>
  <c r="AK14" i="6"/>
  <c r="AA14" i="6"/>
  <c r="M13" i="6"/>
  <c r="O13" i="6"/>
  <c r="AU13" i="6"/>
  <c r="AO13" i="6"/>
  <c r="AS13" i="6"/>
  <c r="AQ13" i="6"/>
  <c r="AM13" i="6"/>
  <c r="AI13" i="6"/>
  <c r="S13" i="6"/>
  <c r="Q13" i="6"/>
  <c r="AW13" i="6"/>
  <c r="AG13" i="6"/>
  <c r="AC13" i="6"/>
  <c r="Y13" i="6"/>
  <c r="K13" i="6"/>
  <c r="U13" i="6"/>
  <c r="AE13" i="6"/>
  <c r="W13" i="6"/>
  <c r="AK13" i="6"/>
  <c r="AA13" i="6"/>
  <c r="M12" i="6"/>
  <c r="O12" i="6"/>
  <c r="AU12" i="6"/>
  <c r="AO12" i="6"/>
  <c r="AS12" i="6"/>
  <c r="AQ12" i="6"/>
  <c r="AM12" i="6"/>
  <c r="AI12" i="6"/>
  <c r="S12" i="6"/>
  <c r="Q12" i="6"/>
  <c r="AW12" i="6"/>
  <c r="AG12" i="6"/>
  <c r="AC12" i="6"/>
  <c r="Y12" i="6"/>
  <c r="K12" i="6"/>
  <c r="U12" i="6"/>
  <c r="AE12" i="6"/>
  <c r="W12" i="6"/>
  <c r="AK12" i="6"/>
  <c r="AA12" i="6"/>
  <c r="AB124" i="5"/>
  <c r="AB125" i="5"/>
  <c r="AC125" i="5"/>
  <c r="V124" i="5"/>
  <c r="V125" i="5"/>
  <c r="W125" i="5"/>
  <c r="Z124" i="5"/>
  <c r="Z125" i="5"/>
  <c r="AA125" i="5"/>
  <c r="X124" i="5"/>
  <c r="X125" i="5"/>
  <c r="Y125" i="5"/>
  <c r="T124" i="5"/>
  <c r="T125" i="5"/>
  <c r="U125" i="5"/>
  <c r="P124" i="5"/>
  <c r="P125" i="5"/>
  <c r="Q125" i="5"/>
  <c r="AD125" i="5"/>
  <c r="N124" i="5"/>
  <c r="N125" i="5"/>
  <c r="O125" i="5"/>
  <c r="J124" i="5"/>
  <c r="J125" i="5"/>
  <c r="K125" i="5"/>
  <c r="L124" i="5"/>
  <c r="L125" i="5"/>
  <c r="M125" i="5"/>
  <c r="R124" i="5"/>
  <c r="R125" i="5"/>
  <c r="S125" i="5"/>
  <c r="H124" i="5"/>
  <c r="AC124" i="5"/>
  <c r="W124" i="5"/>
  <c r="AA124" i="5"/>
  <c r="Y124" i="5"/>
  <c r="U124" i="5"/>
  <c r="Q124" i="5"/>
  <c r="AD124" i="5"/>
  <c r="AE124" i="5"/>
  <c r="O124" i="5"/>
  <c r="K124" i="5"/>
  <c r="M124" i="5"/>
  <c r="S124" i="5"/>
  <c r="AC121" i="5"/>
  <c r="W121" i="5"/>
  <c r="AA121" i="5"/>
  <c r="Y121" i="5"/>
  <c r="U121" i="5"/>
  <c r="Q121" i="5"/>
  <c r="AE121" i="5"/>
  <c r="O121" i="5"/>
  <c r="K121" i="5"/>
  <c r="M121" i="5"/>
  <c r="S121" i="5"/>
  <c r="AC120" i="5"/>
  <c r="W120" i="5"/>
  <c r="AA120" i="5"/>
  <c r="Y120" i="5"/>
  <c r="U120" i="5"/>
  <c r="Q120" i="5"/>
  <c r="AE120" i="5"/>
  <c r="O120" i="5"/>
  <c r="K120" i="5"/>
  <c r="M120" i="5"/>
  <c r="S120" i="5"/>
  <c r="AC119" i="5"/>
  <c r="W119" i="5"/>
  <c r="AA119" i="5"/>
  <c r="Y119" i="5"/>
  <c r="U119" i="5"/>
  <c r="Q119" i="5"/>
  <c r="AE119" i="5"/>
  <c r="O119" i="5"/>
  <c r="K119" i="5"/>
  <c r="M119" i="5"/>
  <c r="S119" i="5"/>
  <c r="AC118" i="5"/>
  <c r="W118" i="5"/>
  <c r="AA118" i="5"/>
  <c r="Y118" i="5"/>
  <c r="U118" i="5"/>
  <c r="Q118" i="5"/>
  <c r="AE118" i="5"/>
  <c r="O118" i="5"/>
  <c r="K118" i="5"/>
  <c r="M118" i="5"/>
  <c r="S118" i="5"/>
  <c r="AC117" i="5"/>
  <c r="W117" i="5"/>
  <c r="AA117" i="5"/>
  <c r="Y117" i="5"/>
  <c r="U117" i="5"/>
  <c r="Q117" i="5"/>
  <c r="AE117" i="5"/>
  <c r="O117" i="5"/>
  <c r="K117" i="5"/>
  <c r="M117" i="5"/>
  <c r="S117" i="5"/>
  <c r="AC116" i="5"/>
  <c r="W116" i="5"/>
  <c r="AA116" i="5"/>
  <c r="Y116" i="5"/>
  <c r="U116" i="5"/>
  <c r="Q116" i="5"/>
  <c r="AE116" i="5"/>
  <c r="O116" i="5"/>
  <c r="K116" i="5"/>
  <c r="M116" i="5"/>
  <c r="S116" i="5"/>
  <c r="AC115" i="5"/>
  <c r="W115" i="5"/>
  <c r="AA115" i="5"/>
  <c r="Y115" i="5"/>
  <c r="U115" i="5"/>
  <c r="Q115" i="5"/>
  <c r="AE115" i="5"/>
  <c r="O115" i="5"/>
  <c r="K115" i="5"/>
  <c r="M115" i="5"/>
  <c r="S115" i="5"/>
  <c r="AC114" i="5"/>
  <c r="W114" i="5"/>
  <c r="AA114" i="5"/>
  <c r="Y114" i="5"/>
  <c r="U114" i="5"/>
  <c r="Q114" i="5"/>
  <c r="AE114" i="5"/>
  <c r="O114" i="5"/>
  <c r="K114" i="5"/>
  <c r="M114" i="5"/>
  <c r="S114" i="5"/>
  <c r="AC113" i="5"/>
  <c r="W113" i="5"/>
  <c r="AA113" i="5"/>
  <c r="Y113" i="5"/>
  <c r="U113" i="5"/>
  <c r="Q113" i="5"/>
  <c r="AE113" i="5"/>
  <c r="O113" i="5"/>
  <c r="K113" i="5"/>
  <c r="M113" i="5"/>
  <c r="S113" i="5"/>
  <c r="AC112" i="5"/>
  <c r="W112" i="5"/>
  <c r="AA112" i="5"/>
  <c r="Y112" i="5"/>
  <c r="U112" i="5"/>
  <c r="Q112" i="5"/>
  <c r="AE112" i="5"/>
  <c r="O112" i="5"/>
  <c r="K112" i="5"/>
  <c r="M112" i="5"/>
  <c r="S112" i="5"/>
  <c r="AC111" i="5"/>
  <c r="W111" i="5"/>
  <c r="AA111" i="5"/>
  <c r="Y111" i="5"/>
  <c r="U111" i="5"/>
  <c r="Q111" i="5"/>
  <c r="AE111" i="5"/>
  <c r="O111" i="5"/>
  <c r="K111" i="5"/>
  <c r="M111" i="5"/>
  <c r="S111" i="5"/>
  <c r="AC110" i="5"/>
  <c r="W110" i="5"/>
  <c r="AA110" i="5"/>
  <c r="Y110" i="5"/>
  <c r="U110" i="5"/>
  <c r="Q110" i="5"/>
  <c r="AE110" i="5"/>
  <c r="O110" i="5"/>
  <c r="K110" i="5"/>
  <c r="M110" i="5"/>
  <c r="S110" i="5"/>
  <c r="AC109" i="5"/>
  <c r="W109" i="5"/>
  <c r="AA109" i="5"/>
  <c r="Y109" i="5"/>
  <c r="U109" i="5"/>
  <c r="Q109" i="5"/>
  <c r="AE109" i="5"/>
  <c r="O109" i="5"/>
  <c r="K109" i="5"/>
  <c r="M109" i="5"/>
  <c r="S109" i="5"/>
  <c r="AC108" i="5"/>
  <c r="W108" i="5"/>
  <c r="AA108" i="5"/>
  <c r="Y108" i="5"/>
  <c r="U108" i="5"/>
  <c r="Q108" i="5"/>
  <c r="AE108" i="5"/>
  <c r="O108" i="5"/>
  <c r="K108" i="5"/>
  <c r="M108" i="5"/>
  <c r="S108" i="5"/>
  <c r="AC107" i="5"/>
  <c r="W107" i="5"/>
  <c r="AA107" i="5"/>
  <c r="Y107" i="5"/>
  <c r="U107" i="5"/>
  <c r="Q107" i="5"/>
  <c r="AE107" i="5"/>
  <c r="O107" i="5"/>
  <c r="K107" i="5"/>
  <c r="M107" i="5"/>
  <c r="S107" i="5"/>
  <c r="AC106" i="5"/>
  <c r="W106" i="5"/>
  <c r="AA106" i="5"/>
  <c r="Y106" i="5"/>
  <c r="U106" i="5"/>
  <c r="Q106" i="5"/>
  <c r="AE106" i="5"/>
  <c r="O106" i="5"/>
  <c r="K106" i="5"/>
  <c r="M106" i="5"/>
  <c r="S106" i="5"/>
  <c r="AC105" i="5"/>
  <c r="W105" i="5"/>
  <c r="AA105" i="5"/>
  <c r="Y105" i="5"/>
  <c r="U105" i="5"/>
  <c r="Q105" i="5"/>
  <c r="AE105" i="5"/>
  <c r="O105" i="5"/>
  <c r="K105" i="5"/>
  <c r="M105" i="5"/>
  <c r="S105" i="5"/>
  <c r="AC104" i="5"/>
  <c r="W104" i="5"/>
  <c r="AA104" i="5"/>
  <c r="Y104" i="5"/>
  <c r="U104" i="5"/>
  <c r="Q104" i="5"/>
  <c r="AE104" i="5"/>
  <c r="O104" i="5"/>
  <c r="K104" i="5"/>
  <c r="M104" i="5"/>
  <c r="S104" i="5"/>
  <c r="AC103" i="5"/>
  <c r="W103" i="5"/>
  <c r="AA103" i="5"/>
  <c r="Y103" i="5"/>
  <c r="U103" i="5"/>
  <c r="Q103" i="5"/>
  <c r="AE103" i="5"/>
  <c r="O103" i="5"/>
  <c r="K103" i="5"/>
  <c r="M103" i="5"/>
  <c r="S103" i="5"/>
  <c r="AC102" i="5"/>
  <c r="W102" i="5"/>
  <c r="AA102" i="5"/>
  <c r="Y102" i="5"/>
  <c r="U102" i="5"/>
  <c r="Q102" i="5"/>
  <c r="AE102" i="5"/>
  <c r="O102" i="5"/>
  <c r="K102" i="5"/>
  <c r="M102" i="5"/>
  <c r="S102" i="5"/>
  <c r="AC101" i="5"/>
  <c r="W101" i="5"/>
  <c r="AA101" i="5"/>
  <c r="Y101" i="5"/>
  <c r="U101" i="5"/>
  <c r="Q101" i="5"/>
  <c r="AE101" i="5"/>
  <c r="O101" i="5"/>
  <c r="K101" i="5"/>
  <c r="M101" i="5"/>
  <c r="S101" i="5"/>
  <c r="AC100" i="5"/>
  <c r="W100" i="5"/>
  <c r="AA100" i="5"/>
  <c r="Y100" i="5"/>
  <c r="U100" i="5"/>
  <c r="Q100" i="5"/>
  <c r="AE100" i="5"/>
  <c r="O100" i="5"/>
  <c r="K100" i="5"/>
  <c r="M100" i="5"/>
  <c r="S100" i="5"/>
  <c r="AC99" i="5"/>
  <c r="W99" i="5"/>
  <c r="AA99" i="5"/>
  <c r="Y99" i="5"/>
  <c r="U99" i="5"/>
  <c r="Q99" i="5"/>
  <c r="AE99" i="5"/>
  <c r="O99" i="5"/>
  <c r="K99" i="5"/>
  <c r="M99" i="5"/>
  <c r="S99" i="5"/>
  <c r="AC98" i="5"/>
  <c r="W98" i="5"/>
  <c r="AA98" i="5"/>
  <c r="Y98" i="5"/>
  <c r="U98" i="5"/>
  <c r="Q98" i="5"/>
  <c r="AE98" i="5"/>
  <c r="O98" i="5"/>
  <c r="K98" i="5"/>
  <c r="S98" i="5"/>
  <c r="AC97" i="5"/>
  <c r="W97" i="5"/>
  <c r="AA97" i="5"/>
  <c r="Y97" i="5"/>
  <c r="U97" i="5"/>
  <c r="Q97" i="5"/>
  <c r="AE97" i="5"/>
  <c r="O97" i="5"/>
  <c r="K97" i="5"/>
  <c r="M97" i="5"/>
  <c r="S97" i="5"/>
  <c r="AC96" i="5"/>
  <c r="W96" i="5"/>
  <c r="AA96" i="5"/>
  <c r="Y96" i="5"/>
  <c r="U96" i="5"/>
  <c r="Q96" i="5"/>
  <c r="AE96" i="5"/>
  <c r="O96" i="5"/>
  <c r="K96" i="5"/>
  <c r="M96" i="5"/>
  <c r="S96" i="5"/>
  <c r="AC95" i="5"/>
  <c r="W95" i="5"/>
  <c r="AA95" i="5"/>
  <c r="Y95" i="5"/>
  <c r="U95" i="5"/>
  <c r="Q95" i="5"/>
  <c r="AE95" i="5"/>
  <c r="O95" i="5"/>
  <c r="K95" i="5"/>
  <c r="M95" i="5"/>
  <c r="S95" i="5"/>
  <c r="AC94" i="5"/>
  <c r="W94" i="5"/>
  <c r="AA94" i="5"/>
  <c r="Y94" i="5"/>
  <c r="U94" i="5"/>
  <c r="Q94" i="5"/>
  <c r="AE94" i="5"/>
  <c r="O94" i="5"/>
  <c r="K94" i="5"/>
  <c r="M94" i="5"/>
  <c r="S94" i="5"/>
  <c r="AC93" i="5"/>
  <c r="W93" i="5"/>
  <c r="AA93" i="5"/>
  <c r="Y93" i="5"/>
  <c r="U93" i="5"/>
  <c r="Q93" i="5"/>
  <c r="AE93" i="5"/>
  <c r="O93" i="5"/>
  <c r="K93" i="5"/>
  <c r="M93" i="5"/>
  <c r="S93" i="5"/>
  <c r="AC92" i="5"/>
  <c r="W92" i="5"/>
  <c r="AA92" i="5"/>
  <c r="Y92" i="5"/>
  <c r="U92" i="5"/>
  <c r="Q92" i="5"/>
  <c r="AE92" i="5"/>
  <c r="O92" i="5"/>
  <c r="K92" i="5"/>
  <c r="M92" i="5"/>
  <c r="S92" i="5"/>
  <c r="AC91" i="5"/>
  <c r="W91" i="5"/>
  <c r="AA91" i="5"/>
  <c r="Y91" i="5"/>
  <c r="U91" i="5"/>
  <c r="Q91" i="5"/>
  <c r="AE91" i="5"/>
  <c r="O91" i="5"/>
  <c r="K91" i="5"/>
  <c r="M91" i="5"/>
  <c r="S91" i="5"/>
  <c r="AC90" i="5"/>
  <c r="W90" i="5"/>
  <c r="AA90" i="5"/>
  <c r="Y90" i="5"/>
  <c r="U90" i="5"/>
  <c r="Q90" i="5"/>
  <c r="AE90" i="5"/>
  <c r="O90" i="5"/>
  <c r="K90" i="5"/>
  <c r="M90" i="5"/>
  <c r="S90" i="5"/>
  <c r="AC89" i="5"/>
  <c r="W89" i="5"/>
  <c r="AA89" i="5"/>
  <c r="Y89" i="5"/>
  <c r="U89" i="5"/>
  <c r="Q89" i="5"/>
  <c r="AE89" i="5"/>
  <c r="O89" i="5"/>
  <c r="K89" i="5"/>
  <c r="M89" i="5"/>
  <c r="S89" i="5"/>
  <c r="AC88" i="5"/>
  <c r="W88" i="5"/>
  <c r="AA88" i="5"/>
  <c r="Y88" i="5"/>
  <c r="U88" i="5"/>
  <c r="Q88" i="5"/>
  <c r="AE88" i="5"/>
  <c r="O88" i="5"/>
  <c r="K88" i="5"/>
  <c r="M88" i="5"/>
  <c r="S88" i="5"/>
  <c r="AC87" i="5"/>
  <c r="W87" i="5"/>
  <c r="AA87" i="5"/>
  <c r="Y87" i="5"/>
  <c r="U87" i="5"/>
  <c r="Q87" i="5"/>
  <c r="AE87" i="5"/>
  <c r="O87" i="5"/>
  <c r="K87" i="5"/>
  <c r="M87" i="5"/>
  <c r="S87" i="5"/>
  <c r="AC86" i="5"/>
  <c r="W86" i="5"/>
  <c r="AA86" i="5"/>
  <c r="Y86" i="5"/>
  <c r="U86" i="5"/>
  <c r="Q86" i="5"/>
  <c r="AE86" i="5"/>
  <c r="O86" i="5"/>
  <c r="K86" i="5"/>
  <c r="M86" i="5"/>
  <c r="S86" i="5"/>
  <c r="AC85" i="5"/>
  <c r="W85" i="5"/>
  <c r="AA85" i="5"/>
  <c r="Y85" i="5"/>
  <c r="U85" i="5"/>
  <c r="Q85" i="5"/>
  <c r="AE85" i="5"/>
  <c r="O85" i="5"/>
  <c r="K85" i="5"/>
  <c r="M85" i="5"/>
  <c r="S85" i="5"/>
  <c r="AC84" i="5"/>
  <c r="W84" i="5"/>
  <c r="AA84" i="5"/>
  <c r="Y84" i="5"/>
  <c r="U84" i="5"/>
  <c r="Q84" i="5"/>
  <c r="AE84" i="5"/>
  <c r="O84" i="5"/>
  <c r="K84" i="5"/>
  <c r="M84" i="5"/>
  <c r="S84" i="5"/>
  <c r="AC83" i="5"/>
  <c r="W83" i="5"/>
  <c r="AA83" i="5"/>
  <c r="Y83" i="5"/>
  <c r="U83" i="5"/>
  <c r="Q83" i="5"/>
  <c r="AE83" i="5"/>
  <c r="O83" i="5"/>
  <c r="K83" i="5"/>
  <c r="M83" i="5"/>
  <c r="S83" i="5"/>
  <c r="AC82" i="5"/>
  <c r="W82" i="5"/>
  <c r="AA82" i="5"/>
  <c r="Y82" i="5"/>
  <c r="U82" i="5"/>
  <c r="Q82" i="5"/>
  <c r="AE82" i="5"/>
  <c r="O82" i="5"/>
  <c r="K82" i="5"/>
  <c r="M82" i="5"/>
  <c r="S82" i="5"/>
  <c r="AC81" i="5"/>
  <c r="W81" i="5"/>
  <c r="AA81" i="5"/>
  <c r="Y81" i="5"/>
  <c r="U81" i="5"/>
  <c r="Q81" i="5"/>
  <c r="AE81" i="5"/>
  <c r="O81" i="5"/>
  <c r="K81" i="5"/>
  <c r="M81" i="5"/>
  <c r="S81" i="5"/>
  <c r="L55" i="5"/>
  <c r="L56" i="5"/>
  <c r="M56" i="5"/>
  <c r="N55" i="5"/>
  <c r="N56" i="5"/>
  <c r="O56" i="5"/>
  <c r="R55" i="5"/>
  <c r="R56" i="5"/>
  <c r="S56" i="5"/>
  <c r="P55" i="5"/>
  <c r="P56" i="5"/>
  <c r="Q56" i="5"/>
  <c r="X55" i="5"/>
  <c r="X56" i="5"/>
  <c r="Y56" i="5"/>
  <c r="J55" i="5"/>
  <c r="J56" i="5"/>
  <c r="K56" i="5"/>
  <c r="T55" i="5"/>
  <c r="T56" i="5"/>
  <c r="U56" i="5"/>
  <c r="V55" i="5"/>
  <c r="V56" i="5"/>
  <c r="W56" i="5"/>
  <c r="Z55" i="5"/>
  <c r="Z56" i="5"/>
  <c r="AA56" i="5"/>
  <c r="H55" i="5"/>
  <c r="M55" i="5"/>
  <c r="O55" i="5"/>
  <c r="S55" i="5"/>
  <c r="Q55" i="5"/>
  <c r="Y55" i="5"/>
  <c r="K55" i="5"/>
  <c r="U55" i="5"/>
  <c r="W55" i="5"/>
  <c r="AA55" i="5"/>
  <c r="M52" i="5"/>
  <c r="O52" i="5"/>
  <c r="S52" i="5"/>
  <c r="Q52" i="5"/>
  <c r="Y52" i="5"/>
  <c r="K52" i="5"/>
  <c r="U52" i="5"/>
  <c r="W52" i="5"/>
  <c r="AA52" i="5"/>
  <c r="M51" i="5"/>
  <c r="O51" i="5"/>
  <c r="S51" i="5"/>
  <c r="Q51" i="5"/>
  <c r="Y51" i="5"/>
  <c r="K51" i="5"/>
  <c r="U51" i="5"/>
  <c r="W51" i="5"/>
  <c r="AA51" i="5"/>
  <c r="M50" i="5"/>
  <c r="O50" i="5"/>
  <c r="S50" i="5"/>
  <c r="Q50" i="5"/>
  <c r="Y50" i="5"/>
  <c r="K50" i="5"/>
  <c r="U50" i="5"/>
  <c r="W50" i="5"/>
  <c r="AA50" i="5"/>
  <c r="M49" i="5"/>
  <c r="O49" i="5"/>
  <c r="S49" i="5"/>
  <c r="Q49" i="5"/>
  <c r="Y49" i="5"/>
  <c r="K49" i="5"/>
  <c r="U49" i="5"/>
  <c r="W49" i="5"/>
  <c r="AA49" i="5"/>
  <c r="M48" i="5"/>
  <c r="O48" i="5"/>
  <c r="S48" i="5"/>
  <c r="Q48" i="5"/>
  <c r="Y48" i="5"/>
  <c r="K48" i="5"/>
  <c r="U48" i="5"/>
  <c r="W48" i="5"/>
  <c r="AA48" i="5"/>
  <c r="M47" i="5"/>
  <c r="O47" i="5"/>
  <c r="S47" i="5"/>
  <c r="Q47" i="5"/>
  <c r="Y47" i="5"/>
  <c r="K47" i="5"/>
  <c r="U47" i="5"/>
  <c r="W47" i="5"/>
  <c r="AA47" i="5"/>
  <c r="M46" i="5"/>
  <c r="O46" i="5"/>
  <c r="S46" i="5"/>
  <c r="Q46" i="5"/>
  <c r="Y46" i="5"/>
  <c r="K46" i="5"/>
  <c r="U46" i="5"/>
  <c r="W46" i="5"/>
  <c r="AA46" i="5"/>
  <c r="M45" i="5"/>
  <c r="O45" i="5"/>
  <c r="S45" i="5"/>
  <c r="Q45" i="5"/>
  <c r="Y45" i="5"/>
  <c r="K45" i="5"/>
  <c r="U45" i="5"/>
  <c r="W45" i="5"/>
  <c r="AA45" i="5"/>
  <c r="M44" i="5"/>
  <c r="O44" i="5"/>
  <c r="S44" i="5"/>
  <c r="Q44" i="5"/>
  <c r="Y44" i="5"/>
  <c r="K44" i="5"/>
  <c r="U44" i="5"/>
  <c r="W44" i="5"/>
  <c r="AA44" i="5"/>
  <c r="M43" i="5"/>
  <c r="O43" i="5"/>
  <c r="S43" i="5"/>
  <c r="Q43" i="5"/>
  <c r="Y43" i="5"/>
  <c r="K43" i="5"/>
  <c r="U43" i="5"/>
  <c r="W43" i="5"/>
  <c r="AA43" i="5"/>
  <c r="M42" i="5"/>
  <c r="O42" i="5"/>
  <c r="S42" i="5"/>
  <c r="Q42" i="5"/>
  <c r="Y42" i="5"/>
  <c r="K42" i="5"/>
  <c r="U42" i="5"/>
  <c r="W42" i="5"/>
  <c r="AA42" i="5"/>
  <c r="M41" i="5"/>
  <c r="O41" i="5"/>
  <c r="S41" i="5"/>
  <c r="Q41" i="5"/>
  <c r="Y41" i="5"/>
  <c r="K41" i="5"/>
  <c r="U41" i="5"/>
  <c r="W41" i="5"/>
  <c r="AA41" i="5"/>
  <c r="M40" i="5"/>
  <c r="O40" i="5"/>
  <c r="S40" i="5"/>
  <c r="Q40" i="5"/>
  <c r="Y40" i="5"/>
  <c r="K40" i="5"/>
  <c r="U40" i="5"/>
  <c r="W40" i="5"/>
  <c r="AA40" i="5"/>
  <c r="M39" i="5"/>
  <c r="O39" i="5"/>
  <c r="S39" i="5"/>
  <c r="Q39" i="5"/>
  <c r="Y39" i="5"/>
  <c r="K39" i="5"/>
  <c r="U39" i="5"/>
  <c r="W39" i="5"/>
  <c r="AA39" i="5"/>
  <c r="M38" i="5"/>
  <c r="O38" i="5"/>
  <c r="S38" i="5"/>
  <c r="Q38" i="5"/>
  <c r="Y38" i="5"/>
  <c r="K38" i="5"/>
  <c r="U38" i="5"/>
  <c r="W38" i="5"/>
  <c r="AA38" i="5"/>
  <c r="M37" i="5"/>
  <c r="O37" i="5"/>
  <c r="S37" i="5"/>
  <c r="Q37" i="5"/>
  <c r="Y37" i="5"/>
  <c r="K37" i="5"/>
  <c r="U37" i="5"/>
  <c r="W37" i="5"/>
  <c r="AA37" i="5"/>
  <c r="M36" i="5"/>
  <c r="O36" i="5"/>
  <c r="S36" i="5"/>
  <c r="Q36" i="5"/>
  <c r="Y36" i="5"/>
  <c r="K36" i="5"/>
  <c r="U36" i="5"/>
  <c r="W36" i="5"/>
  <c r="AA36" i="5"/>
  <c r="M35" i="5"/>
  <c r="O35" i="5"/>
  <c r="S35" i="5"/>
  <c r="Q35" i="5"/>
  <c r="Y35" i="5"/>
  <c r="K35" i="5"/>
  <c r="U35" i="5"/>
  <c r="W35" i="5"/>
  <c r="AA35" i="5"/>
  <c r="M34" i="5"/>
  <c r="O34" i="5"/>
  <c r="S34" i="5"/>
  <c r="Q34" i="5"/>
  <c r="Y34" i="5"/>
  <c r="K34" i="5"/>
  <c r="U34" i="5"/>
  <c r="W34" i="5"/>
  <c r="AA34" i="5"/>
  <c r="M33" i="5"/>
  <c r="O33" i="5"/>
  <c r="S33" i="5"/>
  <c r="Q33" i="5"/>
  <c r="Y33" i="5"/>
  <c r="K33" i="5"/>
  <c r="U33" i="5"/>
  <c r="W33" i="5"/>
  <c r="AA33" i="5"/>
  <c r="M32" i="5"/>
  <c r="O32" i="5"/>
  <c r="S32" i="5"/>
  <c r="Q32" i="5"/>
  <c r="Y32" i="5"/>
  <c r="K32" i="5"/>
  <c r="U32" i="5"/>
  <c r="W32" i="5"/>
  <c r="AA32" i="5"/>
  <c r="M31" i="5"/>
  <c r="O31" i="5"/>
  <c r="S31" i="5"/>
  <c r="Q31" i="5"/>
  <c r="Y31" i="5"/>
  <c r="K31" i="5"/>
  <c r="U31" i="5"/>
  <c r="W31" i="5"/>
  <c r="AA31" i="5"/>
  <c r="M30" i="5"/>
  <c r="O30" i="5"/>
  <c r="S30" i="5"/>
  <c r="Q30" i="5"/>
  <c r="Y30" i="5"/>
  <c r="K30" i="5"/>
  <c r="U30" i="5"/>
  <c r="W30" i="5"/>
  <c r="AA30" i="5"/>
  <c r="M29" i="5"/>
  <c r="O29" i="5"/>
  <c r="S29" i="5"/>
  <c r="Q29" i="5"/>
  <c r="Y29" i="5"/>
  <c r="K29" i="5"/>
  <c r="W29" i="5"/>
  <c r="AA29" i="5"/>
  <c r="M28" i="5"/>
  <c r="O28" i="5"/>
  <c r="S28" i="5"/>
  <c r="Q28" i="5"/>
  <c r="Y28" i="5"/>
  <c r="K28" i="5"/>
  <c r="U28" i="5"/>
  <c r="W28" i="5"/>
  <c r="AA28" i="5"/>
  <c r="M27" i="5"/>
  <c r="O27" i="5"/>
  <c r="S27" i="5"/>
  <c r="Q27" i="5"/>
  <c r="Y27" i="5"/>
  <c r="K27" i="5"/>
  <c r="U27" i="5"/>
  <c r="W27" i="5"/>
  <c r="AA27" i="5"/>
  <c r="M26" i="5"/>
  <c r="O26" i="5"/>
  <c r="S26" i="5"/>
  <c r="Q26" i="5"/>
  <c r="Y26" i="5"/>
  <c r="K26" i="5"/>
  <c r="U26" i="5"/>
  <c r="W26" i="5"/>
  <c r="AA26" i="5"/>
  <c r="M25" i="5"/>
  <c r="O25" i="5"/>
  <c r="S25" i="5"/>
  <c r="Q25" i="5"/>
  <c r="Y25" i="5"/>
  <c r="K25" i="5"/>
  <c r="U25" i="5"/>
  <c r="W25" i="5"/>
  <c r="AA25" i="5"/>
  <c r="M24" i="5"/>
  <c r="O24" i="5"/>
  <c r="S24" i="5"/>
  <c r="Q24" i="5"/>
  <c r="Y24" i="5"/>
  <c r="K24" i="5"/>
  <c r="U24" i="5"/>
  <c r="W24" i="5"/>
  <c r="AA24" i="5"/>
  <c r="M23" i="5"/>
  <c r="O23" i="5"/>
  <c r="S23" i="5"/>
  <c r="Q23" i="5"/>
  <c r="Y23" i="5"/>
  <c r="K23" i="5"/>
  <c r="U23" i="5"/>
  <c r="W23" i="5"/>
  <c r="AA23" i="5"/>
  <c r="M22" i="5"/>
  <c r="O22" i="5"/>
  <c r="S22" i="5"/>
  <c r="Q22" i="5"/>
  <c r="Y22" i="5"/>
  <c r="K22" i="5"/>
  <c r="U22" i="5"/>
  <c r="W22" i="5"/>
  <c r="AA22" i="5"/>
  <c r="M21" i="5"/>
  <c r="O21" i="5"/>
  <c r="S21" i="5"/>
  <c r="Q21" i="5"/>
  <c r="Y21" i="5"/>
  <c r="K21" i="5"/>
  <c r="U21" i="5"/>
  <c r="W21" i="5"/>
  <c r="AA21" i="5"/>
  <c r="M20" i="5"/>
  <c r="O20" i="5"/>
  <c r="S20" i="5"/>
  <c r="Q20" i="5"/>
  <c r="Y20" i="5"/>
  <c r="K20" i="5"/>
  <c r="U20" i="5"/>
  <c r="W20" i="5"/>
  <c r="AA20" i="5"/>
  <c r="M19" i="5"/>
  <c r="O19" i="5"/>
  <c r="S19" i="5"/>
  <c r="Q19" i="5"/>
  <c r="Y19" i="5"/>
  <c r="K19" i="5"/>
  <c r="U19" i="5"/>
  <c r="W19" i="5"/>
  <c r="AA19" i="5"/>
  <c r="M18" i="5"/>
  <c r="O18" i="5"/>
  <c r="S18" i="5"/>
  <c r="Q18" i="5"/>
  <c r="Y18" i="5"/>
  <c r="K18" i="5"/>
  <c r="U18" i="5"/>
  <c r="W18" i="5"/>
  <c r="AA18" i="5"/>
  <c r="M17" i="5"/>
  <c r="O17" i="5"/>
  <c r="S17" i="5"/>
  <c r="Q17" i="5"/>
  <c r="Y17" i="5"/>
  <c r="K17" i="5"/>
  <c r="U17" i="5"/>
  <c r="W17" i="5"/>
  <c r="AA17" i="5"/>
  <c r="M16" i="5"/>
  <c r="O16" i="5"/>
  <c r="S16" i="5"/>
  <c r="Q16" i="5"/>
  <c r="Y16" i="5"/>
  <c r="K16" i="5"/>
  <c r="U16" i="5"/>
  <c r="W16" i="5"/>
  <c r="AA16" i="5"/>
  <c r="M15" i="5"/>
  <c r="O15" i="5"/>
  <c r="S15" i="5"/>
  <c r="Q15" i="5"/>
  <c r="Y15" i="5"/>
  <c r="K15" i="5"/>
  <c r="U15" i="5"/>
  <c r="W15" i="5"/>
  <c r="AA15" i="5"/>
  <c r="M14" i="5"/>
  <c r="O14" i="5"/>
  <c r="S14" i="5"/>
  <c r="Q14" i="5"/>
  <c r="Y14" i="5"/>
  <c r="K14" i="5"/>
  <c r="U14" i="5"/>
  <c r="W14" i="5"/>
  <c r="AA14" i="5"/>
  <c r="M13" i="5"/>
  <c r="O13" i="5"/>
  <c r="S13" i="5"/>
  <c r="Q13" i="5"/>
  <c r="Y13" i="5"/>
  <c r="K13" i="5"/>
  <c r="U13" i="5"/>
  <c r="W13" i="5"/>
  <c r="AA13" i="5"/>
  <c r="M12" i="5"/>
  <c r="O12" i="5"/>
  <c r="S12" i="5"/>
  <c r="Q12" i="5"/>
  <c r="Y12" i="5"/>
  <c r="K12" i="5"/>
  <c r="U12" i="5"/>
  <c r="W12" i="5"/>
  <c r="AA12" i="5"/>
  <c r="AV54" i="4"/>
  <c r="AV53" i="4"/>
  <c r="AT54" i="4"/>
  <c r="AT53" i="4"/>
  <c r="AR54" i="4"/>
  <c r="AR53" i="4"/>
  <c r="AP54" i="4"/>
  <c r="AP53" i="4"/>
  <c r="AN54" i="4"/>
  <c r="AN53" i="4"/>
  <c r="AL54" i="4"/>
  <c r="AL53" i="4"/>
  <c r="AJ54" i="4"/>
  <c r="AJ53" i="4"/>
  <c r="AH54" i="4"/>
  <c r="AH53" i="4"/>
  <c r="AF54" i="4"/>
  <c r="AF53" i="4"/>
  <c r="AD54" i="4"/>
  <c r="AD53" i="4"/>
  <c r="AB54" i="4"/>
  <c r="AB53" i="4"/>
  <c r="Z54" i="4"/>
  <c r="Z53" i="4"/>
  <c r="X54" i="4"/>
  <c r="X53" i="4"/>
  <c r="V54" i="4"/>
  <c r="V53" i="4"/>
  <c r="T54" i="4"/>
  <c r="T53" i="4"/>
  <c r="R54" i="4"/>
  <c r="R53" i="4"/>
  <c r="P54" i="4"/>
  <c r="P53" i="4"/>
  <c r="N54" i="4"/>
  <c r="N53" i="4"/>
  <c r="L54" i="4"/>
  <c r="L53" i="4"/>
  <c r="H53" i="4"/>
  <c r="J54" i="4"/>
  <c r="J53" i="4"/>
  <c r="M29" i="4"/>
  <c r="O29" i="4"/>
  <c r="U29" i="4"/>
  <c r="W29" i="4"/>
  <c r="Y29" i="4"/>
  <c r="AA29" i="4"/>
  <c r="AC29" i="4"/>
  <c r="AE29" i="4"/>
  <c r="AG29" i="4"/>
  <c r="AI29" i="4"/>
  <c r="AK29" i="4"/>
  <c r="AM29" i="4"/>
  <c r="AO29" i="4"/>
  <c r="AQ29" i="4"/>
  <c r="AS29" i="4"/>
  <c r="AU29" i="4"/>
  <c r="AW29" i="4"/>
  <c r="K29" i="4"/>
  <c r="AW54" i="4"/>
  <c r="AU54" i="4"/>
  <c r="AS54" i="4"/>
  <c r="AQ54" i="4"/>
  <c r="AO54" i="4"/>
  <c r="AM54" i="4"/>
  <c r="AK54" i="4"/>
  <c r="AI54" i="4"/>
  <c r="AG54" i="4"/>
  <c r="AE54" i="4"/>
  <c r="AA54" i="4"/>
  <c r="Y54" i="4"/>
  <c r="W54" i="4"/>
  <c r="U54" i="4"/>
  <c r="S54" i="4"/>
  <c r="Q54" i="4"/>
  <c r="O54" i="4"/>
  <c r="M54" i="4"/>
  <c r="K54" i="4"/>
  <c r="AW53" i="4"/>
  <c r="AU53" i="4"/>
  <c r="AS53" i="4"/>
  <c r="AQ53" i="4"/>
  <c r="AO53" i="4"/>
  <c r="AM53" i="4"/>
  <c r="AK53" i="4"/>
  <c r="AI53" i="4"/>
  <c r="AG53" i="4"/>
  <c r="AE53" i="4"/>
  <c r="AC53" i="4"/>
  <c r="AA53" i="4"/>
  <c r="Y53" i="4"/>
  <c r="W53" i="4"/>
  <c r="U53" i="4"/>
  <c r="S53" i="4"/>
  <c r="Q53" i="4"/>
  <c r="O53" i="4"/>
  <c r="M53" i="4"/>
  <c r="K53" i="4"/>
  <c r="AW52" i="4"/>
  <c r="AW51" i="4"/>
  <c r="AW50" i="4"/>
  <c r="AW49" i="4"/>
  <c r="AW48" i="4"/>
  <c r="AW47" i="4"/>
  <c r="AW46" i="4"/>
  <c r="AW45" i="4"/>
  <c r="AW44" i="4"/>
  <c r="AW43" i="4"/>
  <c r="AW42" i="4"/>
  <c r="AW41" i="4"/>
  <c r="AW40" i="4"/>
  <c r="AW39" i="4"/>
  <c r="AW37" i="4"/>
  <c r="AW36" i="4"/>
  <c r="AW35" i="4"/>
  <c r="AW34" i="4"/>
  <c r="AW33" i="4"/>
  <c r="AW32" i="4"/>
  <c r="AW31" i="4"/>
  <c r="AW30" i="4"/>
  <c r="AW28" i="4"/>
  <c r="AW27" i="4"/>
  <c r="AW26" i="4"/>
  <c r="AW25" i="4"/>
  <c r="AW24" i="4"/>
  <c r="AW23" i="4"/>
  <c r="AW22" i="4"/>
  <c r="AW21" i="4"/>
  <c r="AW20" i="4"/>
  <c r="AW19" i="4"/>
  <c r="AW18" i="4"/>
  <c r="AW17" i="4"/>
  <c r="AW16" i="4"/>
  <c r="AW15" i="4"/>
  <c r="AW14" i="4"/>
  <c r="AW13" i="4"/>
  <c r="AW12" i="4"/>
  <c r="AU52" i="4"/>
  <c r="AU51" i="4"/>
  <c r="AU50" i="4"/>
  <c r="AU49" i="4"/>
  <c r="AU48" i="4"/>
  <c r="AU47" i="4"/>
  <c r="AU46" i="4"/>
  <c r="AU45" i="4"/>
  <c r="AU44" i="4"/>
  <c r="AU43" i="4"/>
  <c r="AU42" i="4"/>
  <c r="AU41" i="4"/>
  <c r="AU40" i="4"/>
  <c r="AU39" i="4"/>
  <c r="AU38" i="4"/>
  <c r="AU37" i="4"/>
  <c r="AU36" i="4"/>
  <c r="AU35" i="4"/>
  <c r="AU34" i="4"/>
  <c r="AU33" i="4"/>
  <c r="AU32" i="4"/>
  <c r="AU31" i="4"/>
  <c r="AU30" i="4"/>
  <c r="AU28" i="4"/>
  <c r="AU27" i="4"/>
  <c r="AU26" i="4"/>
  <c r="AU25" i="4"/>
  <c r="AU24" i="4"/>
  <c r="AU23" i="4"/>
  <c r="AU22" i="4"/>
  <c r="AU21" i="4"/>
  <c r="AU20" i="4"/>
  <c r="AU19" i="4"/>
  <c r="AU18" i="4"/>
  <c r="AU17" i="4"/>
  <c r="AU16" i="4"/>
  <c r="AU15" i="4"/>
  <c r="AU14" i="4"/>
  <c r="AU13" i="4"/>
  <c r="AU12" i="4"/>
  <c r="AS52" i="4"/>
  <c r="AS51" i="4"/>
  <c r="AS50" i="4"/>
  <c r="AS49" i="4"/>
  <c r="AS48" i="4"/>
  <c r="AS47" i="4"/>
  <c r="AS46" i="4"/>
  <c r="AS45" i="4"/>
  <c r="AS44" i="4"/>
  <c r="AS43" i="4"/>
  <c r="AS42" i="4"/>
  <c r="AS41" i="4"/>
  <c r="AS40" i="4"/>
  <c r="AS39" i="4"/>
  <c r="AS38" i="4"/>
  <c r="AS37" i="4"/>
  <c r="AS36" i="4"/>
  <c r="AS35" i="4"/>
  <c r="AS34" i="4"/>
  <c r="AS33" i="4"/>
  <c r="AS32" i="4"/>
  <c r="AS31" i="4"/>
  <c r="AS30" i="4"/>
  <c r="AS28" i="4"/>
  <c r="AS27" i="4"/>
  <c r="AS26" i="4"/>
  <c r="AS25" i="4"/>
  <c r="AS24" i="4"/>
  <c r="AS23" i="4"/>
  <c r="AS22" i="4"/>
  <c r="AS21" i="4"/>
  <c r="AS20" i="4"/>
  <c r="AS19" i="4"/>
  <c r="AS18" i="4"/>
  <c r="AS17" i="4"/>
  <c r="AS16" i="4"/>
  <c r="AS15" i="4"/>
  <c r="AS14" i="4"/>
  <c r="AS13" i="4"/>
  <c r="AS12" i="4"/>
  <c r="AQ52" i="4"/>
  <c r="AQ51" i="4"/>
  <c r="AQ50" i="4"/>
  <c r="AQ49" i="4"/>
  <c r="AQ48" i="4"/>
  <c r="AQ47" i="4"/>
  <c r="AQ46" i="4"/>
  <c r="AQ45" i="4"/>
  <c r="AQ44" i="4"/>
  <c r="AQ43" i="4"/>
  <c r="AQ42" i="4"/>
  <c r="AQ41" i="4"/>
  <c r="AQ40" i="4"/>
  <c r="AQ39" i="4"/>
  <c r="AQ37" i="4"/>
  <c r="AQ36" i="4"/>
  <c r="AQ35" i="4"/>
  <c r="AQ34" i="4"/>
  <c r="AQ33" i="4"/>
  <c r="AQ32" i="4"/>
  <c r="AQ31" i="4"/>
  <c r="AQ30" i="4"/>
  <c r="AQ28" i="4"/>
  <c r="AQ27" i="4"/>
  <c r="AQ26" i="4"/>
  <c r="AQ25" i="4"/>
  <c r="AQ24" i="4"/>
  <c r="AQ23" i="4"/>
  <c r="AQ22" i="4"/>
  <c r="AQ21" i="4"/>
  <c r="AQ20" i="4"/>
  <c r="AQ19" i="4"/>
  <c r="AQ18" i="4"/>
  <c r="AQ17" i="4"/>
  <c r="AQ16" i="4"/>
  <c r="AQ15" i="4"/>
  <c r="AQ14" i="4"/>
  <c r="AQ13" i="4"/>
  <c r="AQ12" i="4"/>
  <c r="AO52" i="4"/>
  <c r="AO51" i="4"/>
  <c r="AO50" i="4"/>
  <c r="AO49" i="4"/>
  <c r="AO48" i="4"/>
  <c r="AO47" i="4"/>
  <c r="AO46" i="4"/>
  <c r="AO45" i="4"/>
  <c r="AO44" i="4"/>
  <c r="AO43" i="4"/>
  <c r="AO42" i="4"/>
  <c r="AO41" i="4"/>
  <c r="AO40" i="4"/>
  <c r="AO39" i="4"/>
  <c r="AO38" i="4"/>
  <c r="AO37" i="4"/>
  <c r="AO36" i="4"/>
  <c r="AO35" i="4"/>
  <c r="AO34" i="4"/>
  <c r="AO33" i="4"/>
  <c r="AO32" i="4"/>
  <c r="AO31" i="4"/>
  <c r="AO30" i="4"/>
  <c r="AO28" i="4"/>
  <c r="AO27" i="4"/>
  <c r="AO26" i="4"/>
  <c r="AO25" i="4"/>
  <c r="AO24" i="4"/>
  <c r="AO23" i="4"/>
  <c r="AO22" i="4"/>
  <c r="AO21" i="4"/>
  <c r="AO20" i="4"/>
  <c r="AO19" i="4"/>
  <c r="AO18" i="4"/>
  <c r="AO17" i="4"/>
  <c r="AO16" i="4"/>
  <c r="AO15" i="4"/>
  <c r="AO14" i="4"/>
  <c r="AO13" i="4"/>
  <c r="AO12" i="4"/>
  <c r="AM52" i="4"/>
  <c r="AM51" i="4"/>
  <c r="AM50" i="4"/>
  <c r="AM49" i="4"/>
  <c r="AM48" i="4"/>
  <c r="AM47" i="4"/>
  <c r="AM46" i="4"/>
  <c r="AM45" i="4"/>
  <c r="AM44" i="4"/>
  <c r="AM43" i="4"/>
  <c r="AM42" i="4"/>
  <c r="AM41" i="4"/>
  <c r="AM40" i="4"/>
  <c r="AM39" i="4"/>
  <c r="AM38" i="4"/>
  <c r="AM37" i="4"/>
  <c r="AM36" i="4"/>
  <c r="AM35" i="4"/>
  <c r="AM34" i="4"/>
  <c r="AM33" i="4"/>
  <c r="AM32" i="4"/>
  <c r="AM31" i="4"/>
  <c r="AM30" i="4"/>
  <c r="AM28" i="4"/>
  <c r="AM27" i="4"/>
  <c r="AM26" i="4"/>
  <c r="AM25" i="4"/>
  <c r="AM24" i="4"/>
  <c r="AM23" i="4"/>
  <c r="AM22" i="4"/>
  <c r="AM21" i="4"/>
  <c r="AM20" i="4"/>
  <c r="AM19" i="4"/>
  <c r="AM18" i="4"/>
  <c r="AM17" i="4"/>
  <c r="AM16" i="4"/>
  <c r="AM15" i="4"/>
  <c r="AM14" i="4"/>
  <c r="AM13" i="4"/>
  <c r="AM12" i="4"/>
  <c r="AK52" i="4"/>
  <c r="AK51" i="4"/>
  <c r="AK50" i="4"/>
  <c r="AK49" i="4"/>
  <c r="AK48" i="4"/>
  <c r="AK47" i="4"/>
  <c r="AK46" i="4"/>
  <c r="AK45" i="4"/>
  <c r="AK44" i="4"/>
  <c r="AK43" i="4"/>
  <c r="AK42" i="4"/>
  <c r="AK41" i="4"/>
  <c r="AK40" i="4"/>
  <c r="AK39" i="4"/>
  <c r="AK37" i="4"/>
  <c r="AK36" i="4"/>
  <c r="AK35" i="4"/>
  <c r="AK34" i="4"/>
  <c r="AK33" i="4"/>
  <c r="AK32" i="4"/>
  <c r="AK31" i="4"/>
  <c r="AK30" i="4"/>
  <c r="AK28" i="4"/>
  <c r="AK27" i="4"/>
  <c r="AK26" i="4"/>
  <c r="AK25" i="4"/>
  <c r="AK24" i="4"/>
  <c r="AK23" i="4"/>
  <c r="AK22" i="4"/>
  <c r="AK21" i="4"/>
  <c r="AK20" i="4"/>
  <c r="AK19" i="4"/>
  <c r="AK18" i="4"/>
  <c r="AK17" i="4"/>
  <c r="AK16" i="4"/>
  <c r="AK15" i="4"/>
  <c r="AK14" i="4"/>
  <c r="AK13" i="4"/>
  <c r="AK12" i="4"/>
  <c r="AI52" i="4"/>
  <c r="AI51" i="4"/>
  <c r="AI50" i="4"/>
  <c r="AI49" i="4"/>
  <c r="AI48" i="4"/>
  <c r="AI47" i="4"/>
  <c r="AI46" i="4"/>
  <c r="AI45" i="4"/>
  <c r="AI44" i="4"/>
  <c r="AI43" i="4"/>
  <c r="AI42" i="4"/>
  <c r="AI41" i="4"/>
  <c r="AI40" i="4"/>
  <c r="AI39" i="4"/>
  <c r="AI38" i="4"/>
  <c r="AI37" i="4"/>
  <c r="AI36" i="4"/>
  <c r="AI35" i="4"/>
  <c r="AI34" i="4"/>
  <c r="AI33" i="4"/>
  <c r="AI32" i="4"/>
  <c r="AI31" i="4"/>
  <c r="AI30" i="4"/>
  <c r="AI28" i="4"/>
  <c r="AI27" i="4"/>
  <c r="AI26" i="4"/>
  <c r="AI25" i="4"/>
  <c r="AI24" i="4"/>
  <c r="AI23" i="4"/>
  <c r="AI22" i="4"/>
  <c r="AI21" i="4"/>
  <c r="AI20" i="4"/>
  <c r="AI19" i="4"/>
  <c r="AI18" i="4"/>
  <c r="AI17" i="4"/>
  <c r="AI16" i="4"/>
  <c r="AI15" i="4"/>
  <c r="AI14" i="4"/>
  <c r="AI13" i="4"/>
  <c r="AI12" i="4"/>
  <c r="AG52" i="4"/>
  <c r="AG51" i="4"/>
  <c r="AG50" i="4"/>
  <c r="AG49" i="4"/>
  <c r="AG48" i="4"/>
  <c r="AG47" i="4"/>
  <c r="AG46" i="4"/>
  <c r="AG45" i="4"/>
  <c r="AG44" i="4"/>
  <c r="AG43" i="4"/>
  <c r="AG42" i="4"/>
  <c r="AG41" i="4"/>
  <c r="AG40" i="4"/>
  <c r="AG39" i="4"/>
  <c r="AG38" i="4"/>
  <c r="AG37" i="4"/>
  <c r="AG36" i="4"/>
  <c r="AG35" i="4"/>
  <c r="AG34" i="4"/>
  <c r="AG33" i="4"/>
  <c r="AG32" i="4"/>
  <c r="AG31" i="4"/>
  <c r="AG30" i="4"/>
  <c r="AG28" i="4"/>
  <c r="AG27" i="4"/>
  <c r="AG26" i="4"/>
  <c r="AG25" i="4"/>
  <c r="AG24" i="4"/>
  <c r="AG23" i="4"/>
  <c r="AG22" i="4"/>
  <c r="AG21" i="4"/>
  <c r="AG20" i="4"/>
  <c r="AG19" i="4"/>
  <c r="AG18" i="4"/>
  <c r="AG17" i="4"/>
  <c r="AG16" i="4"/>
  <c r="AG15" i="4"/>
  <c r="AG14" i="4"/>
  <c r="AG13" i="4"/>
  <c r="AG12" i="4"/>
  <c r="AE52" i="4"/>
  <c r="AE51" i="4"/>
  <c r="AE50" i="4"/>
  <c r="AE49" i="4"/>
  <c r="AE48" i="4"/>
  <c r="AE47" i="4"/>
  <c r="AE46" i="4"/>
  <c r="AE45" i="4"/>
  <c r="AE44" i="4"/>
  <c r="AE43" i="4"/>
  <c r="AE42" i="4"/>
  <c r="AE41" i="4"/>
  <c r="AE40" i="4"/>
  <c r="AE39" i="4"/>
  <c r="AE37" i="4"/>
  <c r="AE36" i="4"/>
  <c r="AE35" i="4"/>
  <c r="AE34" i="4"/>
  <c r="AE33" i="4"/>
  <c r="AE32" i="4"/>
  <c r="AE31" i="4"/>
  <c r="AE30" i="4"/>
  <c r="AE28" i="4"/>
  <c r="AE27" i="4"/>
  <c r="AE26" i="4"/>
  <c r="AE25" i="4"/>
  <c r="AE24" i="4"/>
  <c r="AE23" i="4"/>
  <c r="AE22" i="4"/>
  <c r="AE21" i="4"/>
  <c r="AE20" i="4"/>
  <c r="AE19" i="4"/>
  <c r="AE18" i="4"/>
  <c r="AE17" i="4"/>
  <c r="AE16" i="4"/>
  <c r="AE15" i="4"/>
  <c r="AE14" i="4"/>
  <c r="AE13" i="4"/>
  <c r="AE12" i="4"/>
  <c r="AC52" i="4"/>
  <c r="AC51" i="4"/>
  <c r="AC50" i="4"/>
  <c r="AC49" i="4"/>
  <c r="AC48" i="4"/>
  <c r="AC47" i="4"/>
  <c r="AC46" i="4"/>
  <c r="AC45" i="4"/>
  <c r="AC44" i="4"/>
  <c r="AC43" i="4"/>
  <c r="AC42" i="4"/>
  <c r="AC41" i="4"/>
  <c r="AC40" i="4"/>
  <c r="AC39" i="4"/>
  <c r="AC38" i="4"/>
  <c r="AC37" i="4"/>
  <c r="AC36" i="4"/>
  <c r="AC35" i="4"/>
  <c r="AC34" i="4"/>
  <c r="AC33" i="4"/>
  <c r="AC32" i="4"/>
  <c r="AC31" i="4"/>
  <c r="AC30" i="4"/>
  <c r="AC28" i="4"/>
  <c r="AC27" i="4"/>
  <c r="AC26" i="4"/>
  <c r="AC25" i="4"/>
  <c r="AC24" i="4"/>
  <c r="AC23" i="4"/>
  <c r="AC22" i="4"/>
  <c r="AC21" i="4"/>
  <c r="AC20" i="4"/>
  <c r="AC19" i="4"/>
  <c r="AC18" i="4"/>
  <c r="AC17" i="4"/>
  <c r="AC16" i="4"/>
  <c r="AC15" i="4"/>
  <c r="AC14" i="4"/>
  <c r="AC13" i="4"/>
  <c r="AC12" i="4"/>
  <c r="AA52" i="4"/>
  <c r="AA51" i="4"/>
  <c r="AA50" i="4"/>
  <c r="AA49" i="4"/>
  <c r="AA48" i="4"/>
  <c r="AA47" i="4"/>
  <c r="AA46" i="4"/>
  <c r="AA45" i="4"/>
  <c r="AA44" i="4"/>
  <c r="AA43" i="4"/>
  <c r="AA42" i="4"/>
  <c r="AA41" i="4"/>
  <c r="AA40" i="4"/>
  <c r="AA39" i="4"/>
  <c r="AA38" i="4"/>
  <c r="AA37" i="4"/>
  <c r="AA36" i="4"/>
  <c r="AA35" i="4"/>
  <c r="AA34" i="4"/>
  <c r="AA33" i="4"/>
  <c r="AA32" i="4"/>
  <c r="AA31" i="4"/>
  <c r="AA30" i="4"/>
  <c r="AA28" i="4"/>
  <c r="AA27" i="4"/>
  <c r="AA26" i="4"/>
  <c r="AA25" i="4"/>
  <c r="AA24" i="4"/>
  <c r="AA23" i="4"/>
  <c r="AA22" i="4"/>
  <c r="AA21" i="4"/>
  <c r="AA20" i="4"/>
  <c r="AA19" i="4"/>
  <c r="AA18" i="4"/>
  <c r="AA17" i="4"/>
  <c r="AA16" i="4"/>
  <c r="AA15" i="4"/>
  <c r="AA14" i="4"/>
  <c r="AA13" i="4"/>
  <c r="AA12" i="4"/>
  <c r="Y52" i="4"/>
  <c r="Y51" i="4"/>
  <c r="Y50" i="4"/>
  <c r="Y49" i="4"/>
  <c r="Y48" i="4"/>
  <c r="Y47" i="4"/>
  <c r="Y46" i="4"/>
  <c r="Y45" i="4"/>
  <c r="Y44" i="4"/>
  <c r="Y43" i="4"/>
  <c r="Y42" i="4"/>
  <c r="Y41" i="4"/>
  <c r="Y40" i="4"/>
  <c r="Y39" i="4"/>
  <c r="Y38" i="4"/>
  <c r="Y37" i="4"/>
  <c r="Y36" i="4"/>
  <c r="Y35" i="4"/>
  <c r="Y34" i="4"/>
  <c r="Y33" i="4"/>
  <c r="Y32" i="4"/>
  <c r="Y31" i="4"/>
  <c r="Y30" i="4"/>
  <c r="Y28" i="4"/>
  <c r="Y27" i="4"/>
  <c r="Y26" i="4"/>
  <c r="Y25" i="4"/>
  <c r="Y24" i="4"/>
  <c r="Y23" i="4"/>
  <c r="Y22" i="4"/>
  <c r="Y21" i="4"/>
  <c r="Y20" i="4"/>
  <c r="Y19" i="4"/>
  <c r="Y18" i="4"/>
  <c r="Y17" i="4"/>
  <c r="Y16" i="4"/>
  <c r="Y15" i="4"/>
  <c r="Y14" i="4"/>
  <c r="Y13" i="4"/>
  <c r="Y12" i="4"/>
  <c r="W52" i="4"/>
  <c r="W51" i="4"/>
  <c r="W50" i="4"/>
  <c r="W49" i="4"/>
  <c r="W48" i="4"/>
  <c r="W47" i="4"/>
  <c r="W46" i="4"/>
  <c r="W45" i="4"/>
  <c r="W44" i="4"/>
  <c r="W43" i="4"/>
  <c r="W42" i="4"/>
  <c r="W41" i="4"/>
  <c r="W40" i="4"/>
  <c r="W39" i="4"/>
  <c r="W38" i="4"/>
  <c r="W37" i="4"/>
  <c r="W36" i="4"/>
  <c r="W35" i="4"/>
  <c r="W34" i="4"/>
  <c r="W33" i="4"/>
  <c r="W32" i="4"/>
  <c r="W31" i="4"/>
  <c r="W30" i="4"/>
  <c r="W28" i="4"/>
  <c r="W27" i="4"/>
  <c r="W26" i="4"/>
  <c r="W25" i="4"/>
  <c r="W24" i="4"/>
  <c r="W23" i="4"/>
  <c r="W22" i="4"/>
  <c r="W21" i="4"/>
  <c r="W20" i="4"/>
  <c r="W19" i="4"/>
  <c r="W18" i="4"/>
  <c r="W17" i="4"/>
  <c r="W16" i="4"/>
  <c r="W15" i="4"/>
  <c r="W14" i="4"/>
  <c r="W13" i="4"/>
  <c r="W12" i="4"/>
  <c r="U52" i="4"/>
  <c r="U51" i="4"/>
  <c r="U50" i="4"/>
  <c r="U49" i="4"/>
  <c r="U48" i="4"/>
  <c r="U47" i="4"/>
  <c r="U46" i="4"/>
  <c r="U45" i="4"/>
  <c r="U44" i="4"/>
  <c r="U43" i="4"/>
  <c r="U42" i="4"/>
  <c r="U41" i="4"/>
  <c r="U40" i="4"/>
  <c r="U39" i="4"/>
  <c r="U38" i="4"/>
  <c r="U37" i="4"/>
  <c r="U36" i="4"/>
  <c r="U35" i="4"/>
  <c r="U34" i="4"/>
  <c r="U33" i="4"/>
  <c r="U32" i="4"/>
  <c r="U31" i="4"/>
  <c r="U30" i="4"/>
  <c r="U28" i="4"/>
  <c r="U27" i="4"/>
  <c r="U26" i="4"/>
  <c r="U25" i="4"/>
  <c r="U24" i="4"/>
  <c r="U23" i="4"/>
  <c r="U22" i="4"/>
  <c r="U21" i="4"/>
  <c r="U20" i="4"/>
  <c r="U19" i="4"/>
  <c r="U18" i="4"/>
  <c r="U17" i="4"/>
  <c r="U16" i="4"/>
  <c r="U15" i="4"/>
  <c r="U14" i="4"/>
  <c r="U13" i="4"/>
  <c r="U12" i="4"/>
  <c r="O52" i="4"/>
  <c r="O51" i="4"/>
  <c r="O50" i="4"/>
  <c r="O49" i="4"/>
  <c r="O48" i="4"/>
  <c r="O47" i="4"/>
  <c r="O46" i="4"/>
  <c r="O45" i="4"/>
  <c r="O44" i="4"/>
  <c r="O43" i="4"/>
  <c r="O42" i="4"/>
  <c r="O41" i="4"/>
  <c r="O40" i="4"/>
  <c r="O39" i="4"/>
  <c r="O38" i="4"/>
  <c r="O37" i="4"/>
  <c r="O36" i="4"/>
  <c r="O35" i="4"/>
  <c r="O34" i="4"/>
  <c r="O33" i="4"/>
  <c r="O32" i="4"/>
  <c r="O31" i="4"/>
  <c r="O30" i="4"/>
  <c r="O28" i="4"/>
  <c r="O27" i="4"/>
  <c r="O26" i="4"/>
  <c r="O25" i="4"/>
  <c r="O24" i="4"/>
  <c r="O23" i="4"/>
  <c r="O22" i="4"/>
  <c r="O21" i="4"/>
  <c r="O20" i="4"/>
  <c r="O19" i="4"/>
  <c r="O18" i="4"/>
  <c r="O17" i="4"/>
  <c r="O16" i="4"/>
  <c r="O15" i="4"/>
  <c r="O14" i="4"/>
  <c r="O13" i="4"/>
  <c r="O12" i="4"/>
  <c r="Q52" i="4"/>
  <c r="Q51" i="4"/>
  <c r="Q50" i="4"/>
  <c r="Q49" i="4"/>
  <c r="Q48" i="4"/>
  <c r="Q47" i="4"/>
  <c r="Q46" i="4"/>
  <c r="Q45" i="4"/>
  <c r="Q44" i="4"/>
  <c r="Q43" i="4"/>
  <c r="Q42" i="4"/>
  <c r="Q41" i="4"/>
  <c r="Q40" i="4"/>
  <c r="Q39" i="4"/>
  <c r="Q38" i="4"/>
  <c r="Q37" i="4"/>
  <c r="Q36" i="4"/>
  <c r="Q35" i="4"/>
  <c r="Q34" i="4"/>
  <c r="Q33" i="4"/>
  <c r="Q32" i="4"/>
  <c r="Q31" i="4"/>
  <c r="Q30" i="4"/>
  <c r="Q28" i="4"/>
  <c r="Q27" i="4"/>
  <c r="Q26" i="4"/>
  <c r="Q25" i="4"/>
  <c r="Q24" i="4"/>
  <c r="Q23" i="4"/>
  <c r="Q22" i="4"/>
  <c r="Q21" i="4"/>
  <c r="Q20" i="4"/>
  <c r="Q19" i="4"/>
  <c r="Q18" i="4"/>
  <c r="Q17" i="4"/>
  <c r="Q16" i="4"/>
  <c r="Q15" i="4"/>
  <c r="Q14" i="4"/>
  <c r="Q13" i="4"/>
  <c r="Q12" i="4"/>
  <c r="S52" i="4"/>
  <c r="S51" i="4"/>
  <c r="S50" i="4"/>
  <c r="S49" i="4"/>
  <c r="S48" i="4"/>
  <c r="S47" i="4"/>
  <c r="S46" i="4"/>
  <c r="S45" i="4"/>
  <c r="S44" i="4"/>
  <c r="S43" i="4"/>
  <c r="S42" i="4"/>
  <c r="S41" i="4"/>
  <c r="S40" i="4"/>
  <c r="S39" i="4"/>
  <c r="S38" i="4"/>
  <c r="S37" i="4"/>
  <c r="S36" i="4"/>
  <c r="S35" i="4"/>
  <c r="S34" i="4"/>
  <c r="S33" i="4"/>
  <c r="S32" i="4"/>
  <c r="S31" i="4"/>
  <c r="S30" i="4"/>
  <c r="S28" i="4"/>
  <c r="S27" i="4"/>
  <c r="S26" i="4"/>
  <c r="S25" i="4"/>
  <c r="S24" i="4"/>
  <c r="S23" i="4"/>
  <c r="S22" i="4"/>
  <c r="S21" i="4"/>
  <c r="S20" i="4"/>
  <c r="S19" i="4"/>
  <c r="S18" i="4"/>
  <c r="S17" i="4"/>
  <c r="S16" i="4"/>
  <c r="S15" i="4"/>
  <c r="S14" i="4"/>
  <c r="S13" i="4"/>
  <c r="S12" i="4"/>
  <c r="M52" i="4"/>
  <c r="M51" i="4"/>
  <c r="M50" i="4"/>
  <c r="M49" i="4"/>
  <c r="M48" i="4"/>
  <c r="M47" i="4"/>
  <c r="M46" i="4"/>
  <c r="M45" i="4"/>
  <c r="M44" i="4"/>
  <c r="M43" i="4"/>
  <c r="M42" i="4"/>
  <c r="M41" i="4"/>
  <c r="M40" i="4"/>
  <c r="M39" i="4"/>
  <c r="M38" i="4"/>
  <c r="M37" i="4"/>
  <c r="M36" i="4"/>
  <c r="M35" i="4"/>
  <c r="M34" i="4"/>
  <c r="M33" i="4"/>
  <c r="M32" i="4"/>
  <c r="M31" i="4"/>
  <c r="M30" i="4"/>
  <c r="M28" i="4"/>
  <c r="M27" i="4"/>
  <c r="M26" i="4"/>
  <c r="M25" i="4"/>
  <c r="M24" i="4"/>
  <c r="M23" i="4"/>
  <c r="M22" i="4"/>
  <c r="M21" i="4"/>
  <c r="M20" i="4"/>
  <c r="M19" i="4"/>
  <c r="M18" i="4"/>
  <c r="M17" i="4"/>
  <c r="M16" i="4"/>
  <c r="M15" i="4"/>
  <c r="M14" i="4"/>
  <c r="M13" i="4"/>
  <c r="M12" i="4"/>
  <c r="K12" i="4"/>
  <c r="K52" i="4"/>
  <c r="K51" i="4"/>
  <c r="K50" i="4"/>
  <c r="K49" i="4"/>
  <c r="K48" i="4"/>
  <c r="K47" i="4"/>
  <c r="K46" i="4"/>
  <c r="K45" i="4"/>
  <c r="K44" i="4"/>
  <c r="K43" i="4"/>
  <c r="K42" i="4"/>
  <c r="K41" i="4"/>
  <c r="K40" i="4"/>
  <c r="K39" i="4"/>
  <c r="K38" i="4"/>
  <c r="K37" i="4"/>
  <c r="K36" i="4"/>
  <c r="K35" i="4"/>
  <c r="K34" i="4"/>
  <c r="K33" i="4"/>
  <c r="K32" i="4"/>
  <c r="K31" i="4"/>
  <c r="K30" i="4"/>
  <c r="K28" i="4"/>
  <c r="K27" i="4"/>
  <c r="K26" i="4"/>
  <c r="K25" i="4"/>
  <c r="K24" i="4"/>
  <c r="K23" i="4"/>
  <c r="K22" i="4"/>
  <c r="K21" i="4"/>
  <c r="K20" i="4"/>
  <c r="K19" i="4"/>
  <c r="K18" i="4"/>
  <c r="K17" i="4"/>
  <c r="K16" i="4"/>
  <c r="K15" i="4"/>
  <c r="K13" i="4"/>
  <c r="K14" i="4"/>
</calcChain>
</file>

<file path=xl/sharedStrings.xml><?xml version="1.0" encoding="utf-8"?>
<sst xmlns="http://schemas.openxmlformats.org/spreadsheetml/2006/main" count="1415" uniqueCount="245">
  <si>
    <t>Epilepsy Prodrome Library Search</t>
  </si>
  <si>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</si>
  <si>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</si>
  <si>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</si>
  <si>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</si>
  <si>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</si>
  <si>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</si>
  <si>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</si>
  <si>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</si>
  <si>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</si>
  <si>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</si>
  <si>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</si>
  <si>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</si>
  <si>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</si>
  <si>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</si>
  <si>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</si>
  <si>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</si>
  <si>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Epilpesy Prodrome</t>
  </si>
  <si>
    <t>Relevance</t>
  </si>
  <si>
    <t>Epilepsy Seizure Self-Prediction</t>
  </si>
  <si>
    <t>Epilepsy Seizure "Self-Prediction"</t>
  </si>
  <si>
    <t>Epilepsy Seizure Preictal</t>
  </si>
  <si>
    <t>epilep* phenomen* (preictal OR pre-ictal OR prodrom* OR "pre ictal")</t>
  </si>
  <si>
    <t>Seizure Prediction Preictal</t>
  </si>
  <si>
    <t>Patient Seizure Premonition</t>
  </si>
  <si>
    <t>Seizure (Epilepsy OR Epileptic) AND (Prodrome OR Preictal) "Behaviour Change"</t>
  </si>
  <si>
    <t>Epilepsy "Clinical Study" AND (Preictal OR Prodrome)</t>
  </si>
  <si>
    <t>Epilepsy Seizure Prediction</t>
  </si>
  <si>
    <t>Epilepsy Seizure Precursor</t>
  </si>
  <si>
    <t>Patient Reported Prodrome Epilepsy</t>
  </si>
  <si>
    <t>Epilepsy Preictal Headache</t>
  </si>
  <si>
    <t>(epilepsy OR epileptic) (preictal OR prodromal OR prodrome OR pre-ictal) (dysphoria OR "dysphoric mood" OR irritability OR "mood change")</t>
  </si>
  <si>
    <t>mood change preceding epileptic seizures</t>
  </si>
  <si>
    <t>seizure (epilepsy OR epileptic) AND (headache OR nausea OR depersonalisation OR dizziness) AND (pre-ictal OR preictal OR prodrome)</t>
  </si>
  <si>
    <t>seizure (epilepsy OR epileptic) (nausea OR depersonalization OR dizziness OR vomiting OR dysphori*) AND (preictal OR pre-ictal OR prodrome)</t>
  </si>
  <si>
    <t>PubMed</t>
  </si>
  <si>
    <t>http://www.ncbi.nlm.nih.gov/pmc/</t>
  </si>
  <si>
    <t>Epilepsy Preictal</t>
  </si>
  <si>
    <t>Epilepsy Preictal Phenomena</t>
  </si>
  <si>
    <t>Epilepsy Seizure Prodrome</t>
  </si>
  <si>
    <t>Epilepsy Pre-Seizure State</t>
  </si>
  <si>
    <t>Epilepsy Seizure-Prone State</t>
  </si>
  <si>
    <t>Patient Reported Prodrome</t>
  </si>
  <si>
    <t>Prodromal symptoms reported in clinical studies</t>
  </si>
  <si>
    <t>Prodromal symptom</t>
  </si>
  <si>
    <t>Results reflect no. patients reporting symptoms (unless otherwise stated in notes)</t>
  </si>
  <si>
    <t>Citations</t>
  </si>
  <si>
    <t>No. Patients</t>
  </si>
  <si>
    <t>Duration of study
(if stated)</t>
  </si>
  <si>
    <t>Headache</t>
  </si>
  <si>
    <t>Migraine</t>
  </si>
  <si>
    <t>Mood change</t>
  </si>
  <si>
    <t>Nausea
Epigastric sensation</t>
  </si>
  <si>
    <t>Vomiting</t>
  </si>
  <si>
    <t>Tremor</t>
  </si>
  <si>
    <t>Irritability</t>
  </si>
  <si>
    <t>Depression</t>
  </si>
  <si>
    <t>Anxiety</t>
  </si>
  <si>
    <t>Funny feeling</t>
  </si>
  <si>
    <t>Sleepiness 
Fatigue</t>
  </si>
  <si>
    <t>Other sleep 
problems</t>
  </si>
  <si>
    <t>Behavioural change</t>
  </si>
  <si>
    <t>Speech disturbance</t>
  </si>
  <si>
    <t>Hyperphagia</t>
  </si>
  <si>
    <t>Restlessness</t>
  </si>
  <si>
    <t>Concentration -</t>
  </si>
  <si>
    <t>Derealization</t>
  </si>
  <si>
    <t>Confusion 
Cognitive disturb.</t>
  </si>
  <si>
    <t>Type</t>
  </si>
  <si>
    <t>Title</t>
  </si>
  <si>
    <t>Authors</t>
  </si>
  <si>
    <t>Year</t>
  </si>
  <si>
    <t>Notes</t>
  </si>
  <si>
    <t>The prevalence of migraine and tension type headaches among epileptic patients</t>
  </si>
  <si>
    <t>Ashjazadeh, Nahid; Jowkar, Hakimeh</t>
  </si>
  <si>
    <t>7mths</t>
  </si>
  <si>
    <t>Headaches associated with symptomatic epilepsy in adults</t>
  </si>
  <si>
    <t>Atic, S; Atic, D; Curuvilja, R Amanovic; Savic, M</t>
  </si>
  <si>
    <t>Abstract only.</t>
  </si>
  <si>
    <t>Headache and Epilepsy</t>
  </si>
  <si>
    <t>Bauer, P R; Carpay, J A; Terwindt, G M; et al</t>
  </si>
  <si>
    <t>Mood change preceding epileptic seizures</t>
  </si>
  <si>
    <t>Blanchet, Paulette: Frommer, Gabriel P</t>
  </si>
  <si>
    <t>&gt; 56days</t>
  </si>
  <si>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</si>
  <si>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t>Peri-ictal Headache in Children: Prevalence and Character</t>
  </si>
  <si>
    <t>Cai, Shayne; Hamiwka, Lorie D; Wirral, Elaine C</t>
  </si>
  <si>
    <r>
      <t xml:space="preserve">12% of patients reported preictal headaches of which 50% had "clear migranous features". </t>
    </r>
    <r>
      <rPr>
        <b/>
        <i/>
        <sz val="12"/>
        <color rgb="FF53669E"/>
        <rFont val="Calibri"/>
        <scheme val="minor"/>
      </rPr>
      <t>Abstract only.</t>
    </r>
  </si>
  <si>
    <t>Changes in physiological tremor associated with an epileptic seizure: a case report</t>
  </si>
  <si>
    <t>Daneault, Jean-Francois; Carignan, Benoit; et al</t>
  </si>
  <si>
    <t>Single patient case-study</t>
  </si>
  <si>
    <t>Seizure prediction and recall</t>
  </si>
  <si>
    <t>DuBois, J M; Boylan, L S; Shiyko, M; Barr, W B; et al</t>
  </si>
  <si>
    <r>
      <t xml:space="preserve">Study of patient seizure prediction while undergoing EEG monitoring. Study found patients "in some cases able to make accurate predictions" of their seizures. </t>
    </r>
    <r>
      <rPr>
        <b/>
        <i/>
        <sz val="12"/>
        <color rgb="FF53669E"/>
        <rFont val="Calibri"/>
        <scheme val="minor"/>
      </rPr>
      <t>Abstract only.</t>
    </r>
  </si>
  <si>
    <t>Interictal and periictal headache in patients with epilepsy</t>
  </si>
  <si>
    <t>Duchaczek, B; Ghaeni, L; Matzen, J; Holtkamp, M</t>
  </si>
  <si>
    <t>Relations between epileptic seizures and headaches</t>
  </si>
  <si>
    <t>Gameleira, Fernando Tenorio; Ataide Jr, Luiz; et al</t>
  </si>
  <si>
    <t>12mths</t>
  </si>
  <si>
    <t>Multi-Centre Study on Migraine and Seizure-Related Headache in Patients with Epilepsy</t>
  </si>
  <si>
    <t>HELP (Headache in Epilepsy) Work Group</t>
  </si>
  <si>
    <t>Clinical features of the pre-ictal state: Mood changes and premonitory symptoms</t>
  </si>
  <si>
    <t>Haut, Sheryl; Hall, Charles B; Borkowski, Thomas; et al</t>
  </si>
  <si>
    <t>12-14wks</t>
  </si>
  <si>
    <r>
      <t xml:space="preserve">In univariate models, several mood items and ten premonitory features were associated with increased odds of seizure over 12 h. </t>
    </r>
    <r>
      <rPr>
        <b/>
        <i/>
        <sz val="12"/>
        <color rgb="FF53669E"/>
        <rFont val="Calibri"/>
        <scheme val="minor"/>
      </rPr>
      <t>Abstract only.</t>
    </r>
  </si>
  <si>
    <t>Modeling seizure self-rediction: An e-diary study</t>
  </si>
  <si>
    <t>Can patients with epilepsy predict their seizures?</t>
  </si>
  <si>
    <t>Haut, Sheryl; Hall, Charles B; LeValley, Aaron J; et al</t>
  </si>
  <si>
    <r>
      <t xml:space="preserve">Overall specificity of positive prediction was 83.2% and sensitivity 31.9%. Promonitory/prodromal symptoms not specified. </t>
    </r>
    <r>
      <rPr>
        <b/>
        <i/>
        <sz val="12"/>
        <color rgb="FF53669E"/>
        <rFont val="Calibri"/>
        <scheme val="minor"/>
      </rPr>
      <t>Abstract only.</t>
    </r>
  </si>
  <si>
    <t>Seizure occurrence: Precipitants and prediction</t>
  </si>
  <si>
    <t>Haut, Sheryl; Hall, Charles B; Masur, Jonathan; et al</t>
  </si>
  <si>
    <r>
      <t>Promonitory/prodromal symptoms not specified.</t>
    </r>
    <r>
      <rPr>
        <b/>
        <i/>
        <sz val="12"/>
        <color rgb="FF53669E"/>
        <rFont val="Calibri"/>
        <scheme val="minor"/>
      </rPr>
      <t xml:space="preserve"> Abstract only.</t>
    </r>
  </si>
  <si>
    <t>Periictal and interictal headache including migraine in Dutch patients with epilepsy: A cross-sectional study</t>
  </si>
  <si>
    <t>Hofstra, W A; Hageman, G; de Weerd, A W</t>
  </si>
  <si>
    <t>10mths</t>
  </si>
  <si>
    <t>29% of patients reported solely seizure related headaches. 22% reported seizure related and interictal headaches.</t>
  </si>
  <si>
    <t>Premonitory symptoms in epilepsy</t>
  </si>
  <si>
    <t>Hughes, J; Devinsky, O; Feldmann, E; Bromfield, E</t>
  </si>
  <si>
    <t>Headache Associated with Epileptic Seizures: Epidemiology and Clinical Characteristics</t>
  </si>
  <si>
    <t>Islam, M D Rafiqul; Rashid, Shamim; et al</t>
  </si>
  <si>
    <t>24mths</t>
  </si>
  <si>
    <t>Headache in patients with epilepsy: A prospective incidence study</t>
  </si>
  <si>
    <t>Kwan, Patrick; Man, Celeste B L; Leung, Howan; et al</t>
  </si>
  <si>
    <t>3mths</t>
  </si>
  <si>
    <t>Perceived self-control of seizures in patients with uncontrolled partial epilepsy</t>
  </si>
  <si>
    <t>Lee, S A; No, Y J</t>
  </si>
  <si>
    <t>12% of patients with uncontrolled partial epilepsy reported prodrome.</t>
  </si>
  <si>
    <t>Headache in epilepsy: prevalence and clinical features</t>
  </si>
  <si>
    <t>Mainieri, G; Cevoli, S; Giannini, G; Zummo, L; et al</t>
  </si>
  <si>
    <t>Are prodromes preictal events? A prospective PDA-based study</t>
  </si>
  <si>
    <t>Maiwald, Thomas; Blumberg, Julie; Timmer, Jens; et al</t>
  </si>
  <si>
    <t>4wks</t>
  </si>
  <si>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</si>
  <si>
    <t>Clinical evaluation of headache in patients with epilepsy in a tertiary care hospital</t>
  </si>
  <si>
    <t>Mugundhan, K; Ramakrishnan, TCR</t>
  </si>
  <si>
    <t>Interictal dysphoric disorder and periictal dysphoric symptoms in patients with epilepsy</t>
  </si>
  <si>
    <t>Mula, Marco; Jauch, Regina; Cavanna, Andrea; et al</t>
  </si>
  <si>
    <t>Mula, Marco; Schmitz, Bettina; Jauch, Regina; et al</t>
  </si>
  <si>
    <t>Clinical charactarization of the pre-ictal state in the pediatric population: A caretaker's perspective</t>
  </si>
  <si>
    <t>Patel, P; Ferastraoaru, V; Gold, D; Lipnick, A; et al</t>
  </si>
  <si>
    <t>The lived experience of initial symptoms of and factors triggering epileptic seizures</t>
  </si>
  <si>
    <t>Pinikahana, Jaya; Dono, Joanne</t>
  </si>
  <si>
    <r>
      <t>86.9% of PWE and 74% of carers reported experiencing at least one symptom prior to a seizure. Among PWE and their carers, 63.6% and 51.3% respectively indicated that they can tell when a seizure is about to occur.</t>
    </r>
    <r>
      <rPr>
        <b/>
        <i/>
        <sz val="12"/>
        <color rgb="FF53669E"/>
        <rFont val="Calibri"/>
        <scheme val="minor"/>
      </rPr>
      <t xml:space="preserve"> Abstract only.</t>
    </r>
  </si>
  <si>
    <t>Initial symptoms, precipitant factors, and techniques to control epileptic seizures: The carer's perspective</t>
  </si>
  <si>
    <r>
      <t xml:space="preserve">74.4% of carers reported patients experienced at least one symptom prior to a seizure, 88.5% reported that their patients experienced at least one seizure as a result of a specific event. </t>
    </r>
    <r>
      <rPr>
        <b/>
        <i/>
        <sz val="12"/>
        <color rgb="FF53669E"/>
        <rFont val="Calibri"/>
        <scheme val="minor"/>
      </rPr>
      <t>Abstract only.</t>
    </r>
  </si>
  <si>
    <t>Hungarian multicentre epidemiologic study of the warning and initial symptoms (prodrome, aura) of epilptic seizures</t>
  </si>
  <si>
    <t>Rajna, P; Clemens, B; Csibri, E; Dobos, E; Geregely, A; et al</t>
  </si>
  <si>
    <t>Prodromal symptoms in epileptic patients: Clinical characterization of the pre-ictal phase</t>
  </si>
  <si>
    <t>Scaramelli, Alejandro; Braga, Patricia; Avallanal, Andrea; et al</t>
  </si>
  <si>
    <t>Seizure anticipation by patients with focal and generalized epilepsy: A multicentre assessment of premonitory symptoms</t>
  </si>
  <si>
    <t>Schulze-Bonhage, Andreas; Kurth, Christoph; et al</t>
  </si>
  <si>
    <t>Correlation between headaches and affective symptoms in patients with epilepsy</t>
  </si>
  <si>
    <t>Seo, Ji-Hye; Joo, Eun Yeon; Seo, Dae-Won; et al</t>
  </si>
  <si>
    <t>Subjective and objective premonitory symptoms as epileptic prodromes</t>
  </si>
  <si>
    <t>Sue, Hironari; Miyamoto, Chikako; Iwasaki, Hiroshi; et al</t>
  </si>
  <si>
    <t>Headaches add to the burden of epilepsy</t>
  </si>
  <si>
    <t>Syvertsen, Marte; Helde, Grethe; Stovner, Lars; et al</t>
  </si>
  <si>
    <t>Comorbidity between headache and epilepsy in a pediatric headache center</t>
  </si>
  <si>
    <t>Toldo, Irene; Perissinotto, Egle; Menegazzo, Francesca; et al</t>
  </si>
  <si>
    <t>Peri-ictal and inter-ictal headache in children and adolescents with idiopathic epilepsy: a multicentre cross-sectional study</t>
  </si>
  <si>
    <t>Verotti, Alberto; Coppola, Giangennaro; Spalice, Alberto; et al</t>
  </si>
  <si>
    <t>High prevalence of headaches in patients with epilepsy</t>
  </si>
  <si>
    <t>Wang, Xiang-qing; Lang, Sen-yang; He, Mian-wang; et al</t>
  </si>
  <si>
    <t>15mths</t>
  </si>
  <si>
    <t>In 59 patients with pre-ictal headache and/or migraine, 48 experienced headache &lt; 30 minutes before seizure onset. 11 experienced headache 24 hours to 30 minutes before seizure onset.</t>
  </si>
  <si>
    <t>Comorbidity between headache and epilepsy in a Chinese epileptic centre</t>
  </si>
  <si>
    <t>Wang, Xiang-qing; Lang, Sen-yang; Zhang, Xu; et al</t>
  </si>
  <si>
    <r>
      <t xml:space="preserve">8.85% (99) of 1109 patients with epilepsy included in the study experienced preictal headaches. </t>
    </r>
    <r>
      <rPr>
        <b/>
        <i/>
        <sz val="12"/>
        <color rgb="FF53669E"/>
        <rFont val="Calibri"/>
        <scheme val="minor"/>
      </rPr>
      <t>Abstract only.</t>
    </r>
  </si>
  <si>
    <t>Preictal headache in partial epilepsy</t>
  </si>
  <si>
    <t>Yankovsky, A E; Andermann, F; Mercho, S; et al</t>
  </si>
  <si>
    <t>Peri-ictal behavioural change in people with an intellectual disability</t>
  </si>
  <si>
    <t>York, Jessica; Kerr, Mike</t>
  </si>
  <si>
    <t>Total:</t>
  </si>
  <si>
    <t>On the prevalence of bipolar disorder in epilepsy</t>
  </si>
  <si>
    <t>epilep* (prodrom* OR preictal OR "pre-ictal" OR "pre ictal") (headache OR nausea OR vomiting OR dysphor* OR depersonali* OR "mood change" OR "behaviour change" OR irritability OR depression OR anxiety OR "funny feeling" OR sleepiness OR fatigue)</t>
  </si>
  <si>
    <t>"preictal dysphoric disorder"</t>
  </si>
  <si>
    <t>epilep* (prodrom* OR preictal OR pre-ictal OR "pre ictal") seizure</t>
  </si>
  <si>
    <t>&gt; 30mins</t>
  </si>
  <si>
    <t>Preictal headache defined as starting &gt; 30 mins before seizure and lasting until seizure onset</t>
  </si>
  <si>
    <r>
      <t xml:space="preserve">Mood change recorded in "day(s)" preceding seizure. </t>
    </r>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</si>
  <si>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t>Single patient case-study. Some doubt as to whether physiological tremor was preictal or ictal. PT preceded patient's normal preictal symptoms.</t>
  </si>
  <si>
    <t>&lt; 24hr</t>
  </si>
  <si>
    <t>&gt; 10min*</t>
  </si>
  <si>
    <t>*preictal headache defined as headache that had lasted greater than 10 minutes before onset of overt seizure. Duration of preictal headache was 12.6 +/- 26.7 hr.</t>
  </si>
  <si>
    <t>Other</t>
  </si>
  <si>
    <t>"9 (43%) of 19 participants with refractory partial epilepsy were able to accurately predict their seizures, drawing on awareness of prodromal features such as mood and premonitory symptoms." *Other symtoms: blurred vision; light sensitivity; dizziness; feeling emotional; hunger/food cravings; noise sensitivity; thirst; difficulty with thoughts.</t>
  </si>
  <si>
    <r>
      <t xml:space="preserve">"9 (43%) of 19 participants with refractory partial epilepsy were able to accurately predict their seizures, drawing on awareness of prodromal features such as mood and premonitory symptoms." *Other symtoms: blurred vision; light sensitivity; dizziness; feeling emotional; hunger/food cravings; noise sensitivity; thirst; difficulty with thoughts. </t>
    </r>
    <r>
      <rPr>
        <b/>
        <i/>
        <sz val="12"/>
        <color rgb="FF53669E"/>
        <rFont val="Calibri"/>
        <scheme val="minor"/>
      </rPr>
      <t>Positive self-prediction statistically significant for time-to-seizure windows of &lt; 4hr, 4 - 6hr and 6 - 12hr. Most robust for prediction windows &lt; 6 hr.</t>
    </r>
  </si>
  <si>
    <r>
      <rPr>
        <b/>
        <i/>
        <sz val="12"/>
        <color rgb="FF53669E"/>
        <rFont val="Calibri"/>
        <scheme val="minor"/>
      </rPr>
      <t>Self-prediction window of 24hr</t>
    </r>
    <r>
      <rPr>
        <sz val="12"/>
        <color rgb="FF53669E"/>
        <rFont val="Calibri"/>
        <family val="2"/>
        <scheme val="minor"/>
      </rPr>
      <t xml:space="preserve">. Overall specificity of positive prediction was 83.2% and sensitivity 31.9%. Promonitory/prodromal symptoms not specified. </t>
    </r>
    <r>
      <rPr>
        <b/>
        <i/>
        <sz val="12"/>
        <color rgb="FF53669E"/>
        <rFont val="Calibri"/>
        <scheme val="minor"/>
      </rPr>
      <t>Abstract only.</t>
    </r>
  </si>
  <si>
    <t>Pre-ictal headaches defined as starting &gt; 30 mins from seizure onset and lasting until seizure onset.</t>
  </si>
  <si>
    <t>&gt; 1hr</t>
  </si>
  <si>
    <r>
      <rPr>
        <b/>
        <i/>
        <sz val="12"/>
        <color rgb="FF53669E"/>
        <rFont val="Calibri"/>
        <scheme val="minor"/>
      </rPr>
      <t>25 patients experiencing prodromal symptoms experienced symptoms &lt; 24 hr before seizure onset. 15 experienced symptoms 1 - 3 days prior to seizure onset, usually 1 day.</t>
    </r>
    <r>
      <rPr>
        <sz val="12"/>
        <color rgb="FF53669E"/>
        <rFont val="Calibri"/>
        <family val="2"/>
        <scheme val="minor"/>
      </rPr>
      <t xml:space="preserve"> 12% of patients with uncontrolled partial epilepsy reported prodrome.</t>
    </r>
  </si>
  <si>
    <r>
      <rPr>
        <b/>
        <i/>
        <sz val="12"/>
        <color rgb="FF53669E"/>
        <rFont val="Calibri"/>
        <scheme val="minor"/>
      </rPr>
      <t xml:space="preserve">Pre-ictal period defined as &gt; 30mins from seizure onset. </t>
    </r>
    <r>
      <rPr>
        <sz val="12"/>
        <color rgb="FF53669E"/>
        <rFont val="Calibri"/>
        <family val="2"/>
        <scheme val="minor"/>
      </rPr>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r>
  </si>
  <si>
    <t>Pre-ictal defined as "just preceding onset of seizure".</t>
  </si>
  <si>
    <t>Study to separate occurrence of patients with preictal dysphoric symptoms (PDS) from those with Interictal Dysphoric Disorder (IDD) in adult outpatients with epilepsy.</t>
  </si>
  <si>
    <r>
      <rPr>
        <b/>
        <i/>
        <sz val="12"/>
        <color rgb="FF53669E"/>
        <rFont val="Calibri"/>
        <scheme val="minor"/>
      </rPr>
      <t xml:space="preserve">58% of 17 patients with </t>
    </r>
    <r>
      <rPr>
        <sz val="12"/>
        <color rgb="FF53669E"/>
        <rFont val="Calibri"/>
        <family val="2"/>
        <scheme val="minor"/>
      </rPr>
      <t>only</t>
    </r>
    <r>
      <rPr>
        <b/>
        <i/>
        <sz val="12"/>
        <color rgb="FF53669E"/>
        <rFont val="Calibri"/>
        <scheme val="minor"/>
      </rPr>
      <t xml:space="preserve"> PDS described symptoms as "short-lasting (i.e. from a few hours to a day)". 11.8% described their symptoms as "chronic".</t>
    </r>
    <r>
      <rPr>
        <sz val="12"/>
        <color rgb="FF53669E"/>
        <rFont val="Calibri"/>
        <family val="2"/>
        <scheme val="minor"/>
      </rPr>
      <t xml:space="preserve"> Study to separate occurrence of patients with preictal dysphoric symptoms (PDS) from those with Interictal Dysphoric Disorder (IDD) in adult outpatients with epilepsy. 17 of 142 patients described experiencing dysphoric symptoms temporally related to seizure onset (PDS).</t>
    </r>
  </si>
  <si>
    <r>
      <rPr>
        <sz val="12"/>
        <color rgb="FF53669E"/>
        <rFont val="Calibri"/>
        <family val="2"/>
        <scheme val="minor"/>
      </rPr>
      <t>11.8% of 143 patients met DSM criteria for Bipolar Disorder but only 1.4% could be considered as having pure BD since in all other cases symptoms were related to phenotype copies of BD such as IDD, postictal manic or hypermanic states or preictal dysphoria.</t>
    </r>
    <r>
      <rPr>
        <b/>
        <i/>
        <sz val="12"/>
        <color rgb="FF53669E"/>
        <rFont val="Calibri"/>
        <scheme val="minor"/>
      </rPr>
      <t xml:space="preserve"> Abstract only.</t>
    </r>
  </si>
  <si>
    <t>Seizure anticipation: Are neurophenomenological approaches able to detect preictal symptoms?</t>
  </si>
  <si>
    <t>Petitmengin, Claire; Baulac, Michel; Navarro, Vincent</t>
  </si>
  <si>
    <r>
      <t xml:space="preserve">6 of 9 patients with aura experienced prodromal symptoms described as subtle and having common negative features, generally continuous before seizures and could last hours. </t>
    </r>
    <r>
      <rPr>
        <b/>
        <i/>
        <sz val="12"/>
        <color rgb="FF53669E"/>
        <rFont val="Calibri"/>
        <scheme val="minor"/>
      </rPr>
      <t>Abstract only.</t>
    </r>
  </si>
  <si>
    <t>*Other symptoms (19): Dysthermia(6); Voiding changes(4); Changes in appetite(2); Paresthesias(1); Pain(1); Other(5)</t>
  </si>
  <si>
    <r>
      <t xml:space="preserve">Pre-ictal period generalised as &gt; 30 mins and &lt; 24 hrs before seizure onset. </t>
    </r>
    <r>
      <rPr>
        <b/>
        <i/>
        <sz val="12"/>
        <color rgb="FF53669E"/>
        <rFont val="Calibri"/>
        <scheme val="minor"/>
      </rPr>
      <t>"Thirty percent of prodromes appeared less than 6h prior to seizure emergence. Five percent of PS may have started even before the defined time window, i.e. 24 - 48 h prior to seizure onset." Duration ranged from 30 mins to several hours. 50% of patients specified that symptoms used to last up to the following seizure.</t>
    </r>
  </si>
  <si>
    <t>Full text (Y/N)</t>
  </si>
  <si>
    <t>Time-to-seizure or preictal window as defined by authors. Solid blue cells indicate no detail of time-to-seizure in paper (or in abstract if full text not available).</t>
  </si>
  <si>
    <r>
      <rPr>
        <b/>
        <i/>
        <sz val="12"/>
        <color rgb="FF53669E"/>
        <rFont val="Calibri"/>
        <scheme val="minor"/>
      </rPr>
      <t xml:space="preserve">Preictal time interval stated as &gt; 30 mins from seizure onset. </t>
    </r>
    <r>
      <rPr>
        <sz val="12"/>
        <color rgb="FF53669E"/>
        <rFont val="Calibri"/>
        <family val="2"/>
        <scheme val="minor"/>
      </rPr>
      <t xml:space="preserve">6.2% of 500 patients reported anticipating seizures. Median estimated time interval between occurrence of premonitory symptom and seizure onset was 90 mins. </t>
    </r>
    <r>
      <rPr>
        <b/>
        <i/>
        <sz val="12"/>
        <color rgb="FF53669E"/>
        <rFont val="Calibri"/>
        <scheme val="minor"/>
      </rPr>
      <t>Abstract only.</t>
    </r>
  </si>
  <si>
    <t>5yrs</t>
  </si>
  <si>
    <r>
      <t xml:space="preserve">Prodrome defined as phenomenon that (1) occurs before seizure onset (2) </t>
    </r>
    <r>
      <rPr>
        <b/>
        <i/>
        <sz val="12"/>
        <color rgb="FF53669E"/>
        <rFont val="Calibri"/>
        <scheme val="minor"/>
      </rPr>
      <t>occurs episodically, often lasting for several hours to a week before the occurrence of a seizure.</t>
    </r>
  </si>
  <si>
    <t>Preictal headache defined as headache starting not more than 24 h prior to seizure ande lasting until seizure onset.</t>
  </si>
  <si>
    <t>*Additional symptoms accompanying preictal headache. ^Other symptoms were photophobia(4) and phonophobia(4).</t>
  </si>
  <si>
    <t>36mths</t>
  </si>
  <si>
    <r>
      <rPr>
        <sz val="12"/>
        <color rgb="FF53669E"/>
        <rFont val="Calibri"/>
        <family val="2"/>
        <scheme val="minor"/>
      </rPr>
      <t>142 epileptic patients with headache were selected for study. 130 completed the study. 30% had preictal headaches.</t>
    </r>
    <r>
      <rPr>
        <b/>
        <i/>
        <sz val="12"/>
        <color rgb="FF53669E"/>
        <rFont val="Calibri"/>
        <scheme val="minor"/>
      </rPr>
      <t xml:space="preserve"> Abstract only.</t>
    </r>
  </si>
  <si>
    <t>Sleepiness/ Fatigue</t>
  </si>
  <si>
    <t>%</t>
  </si>
  <si>
    <t>Patients</t>
  </si>
  <si>
    <t>Confusion/
Cognitive disturbance</t>
  </si>
  <si>
    <t>Nausea/
Epigastric Sensation</t>
  </si>
  <si>
    <t>Total No. Patients</t>
  </si>
  <si>
    <t xml:space="preserve">Total no. patients with symptom and % of total no. patients from ALL studies &gt;&gt; </t>
  </si>
  <si>
    <t xml:space="preserve">Total no. patients from studies where symptom was recorded and % of patients from this subset with symptom &gt;&gt; </t>
  </si>
  <si>
    <t>Assume all "preictal" headaches followed by seizure?</t>
  </si>
  <si>
    <r>
      <t>Abstract only.</t>
    </r>
    <r>
      <rPr>
        <sz val="12"/>
        <color rgb="FF53669E"/>
        <rFont val="Calibri"/>
        <family val="2"/>
        <scheme val="minor"/>
      </rPr>
      <t xml:space="preserve"> Meeting abstract (European Headache and Migraine Trust International Congress 2014)</t>
    </r>
  </si>
  <si>
    <t>Clinical Study</t>
  </si>
  <si>
    <r>
      <rPr>
        <sz val="12"/>
        <color rgb="FF53669E"/>
        <rFont val="Calibri"/>
        <family val="2"/>
        <scheme val="minor"/>
      </rPr>
      <t xml:space="preserve">Decline in preictal mood in 13 patients who experienced seizures during study period (from initial 27 patients). Decline most prominent on Depression, Anxiety, Freedom, and Anger scales. One patient's mood rose significantly before seizures. </t>
    </r>
    <r>
      <rPr>
        <b/>
        <i/>
        <sz val="12"/>
        <color rgb="FF53669E"/>
        <rFont val="Calibri"/>
        <scheme val="minor"/>
      </rPr>
      <t>Abstract only.</t>
    </r>
  </si>
  <si>
    <r>
      <t xml:space="preserve">Mean duration of prodromal headache was 12.6 +/- 27.7 (SD) h, range 0.2 - 96 h. </t>
    </r>
    <r>
      <rPr>
        <b/>
        <sz val="12"/>
        <color rgb="FF53669E"/>
        <rFont val="Calibri"/>
        <family val="2"/>
        <scheme val="minor"/>
      </rPr>
      <t>Frequency of preictal seizure-related headache associated with seizures were: Always occurred (%) (90 - 100%) - 8 (30.8%); Frequently occurred (%) (50 - 89%) - 15 (57.7%); Occasionally occurred (%) (10 - 49%) - 1 (3.8%); Rarely occurred (%) (0 - 9%) - 2 (7.7%)</t>
    </r>
  </si>
  <si>
    <t>Modeling seizure self-prediction: An e-diary study</t>
  </si>
  <si>
    <t>Characteristics of headache in children with epilepsy</t>
  </si>
  <si>
    <t>Kanemura, Hideaki; Sano, Fumikazu et al</t>
  </si>
  <si>
    <t>39 patients reported 75 symptoms. *Other symptoms (19): Dysthermia(6); Voiding changes(4); Changes in appetite(2); Paresthesias(1); Pain(1); Other(5)</t>
  </si>
  <si>
    <t>Shaded summary data indicates numerical data missing from some or all studies. Summaries are calculated from available data, therefore true frequency of the prodrome symptom will be understated in these cases.</t>
  </si>
  <si>
    <t>Frequency of prodromal symptoms per study and across studies.</t>
  </si>
  <si>
    <t>Prodromal symptom &gt;= 5%</t>
  </si>
  <si>
    <t>Prodromal symptom &lt; 5%</t>
  </si>
  <si>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</si>
  <si>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r>
      <t xml:space="preserve">Frequency table split at 5% (patients reporting each prodrome as % of total no. patients in all studies reporting that prodrome).
</t>
    </r>
    <r>
      <rPr>
        <sz val="14"/>
        <color theme="8" tint="0.39997558519241921"/>
        <rFont val="Calibri (Body)"/>
      </rPr>
      <t>Blue-filled</t>
    </r>
    <r>
      <rPr>
        <sz val="14"/>
        <color rgb="FF53669E"/>
        <rFont val="Calibri"/>
        <scheme val="minor"/>
      </rPr>
      <t xml:space="preserve"> cells indicate prodrome was reported but no numerical data on incidence of prodrome were able to be extracted.</t>
    </r>
  </si>
  <si>
    <t>Significance (Hi-Lo)</t>
  </si>
  <si>
    <r>
      <t xml:space="preserve">Cells filled </t>
    </r>
    <r>
      <rPr>
        <sz val="14"/>
        <color theme="4" tint="-0.499984740745262"/>
        <rFont val="Calibri (Body)"/>
      </rPr>
      <t>dark blue</t>
    </r>
    <r>
      <rPr>
        <sz val="14"/>
        <color rgb="FF587295"/>
        <rFont val="Calibri"/>
        <scheme val="minor"/>
      </rPr>
      <t xml:space="preserve"> indicate that prodromal symptom was recorded with no detail re. time-to-seizure, or that only abstract was available with no time-to-seizure data.</t>
    </r>
  </si>
  <si>
    <t>Prodromal symptoms time to seizure</t>
  </si>
  <si>
    <r>
      <t xml:space="preserve">Table cells coloured </t>
    </r>
    <r>
      <rPr>
        <sz val="14"/>
        <color theme="8" tint="0.39997558519241921"/>
        <rFont val="Calibri (Body)"/>
      </rPr>
      <t>solid blue</t>
    </r>
    <r>
      <rPr>
        <sz val="14"/>
        <color rgb="FF587295"/>
        <rFont val="Calibri"/>
        <scheme val="minor"/>
      </rPr>
      <t xml:space="preserve"> indicate that symptom was reported in patients in the study group but with no details of number of occurrences or patients experiencing the symptom.</t>
    </r>
  </si>
  <si>
    <t>Hyperphagia
Appetite+</t>
  </si>
  <si>
    <t>Other prodromes(11): Fear(2); Elation(2); Anger(1); Menstrual symptoms(2); Polyuria(2); Urge to defecate(1); Limb weakness(1)</t>
  </si>
  <si>
    <t>Symptoms lasted between 10 minutes and 3 days and began at least 30 minutes before seizure onset and were continuous.</t>
  </si>
  <si>
    <r>
      <t xml:space="preserve">Other prodromal symptoms(50): Urge to defecate(2); Allergic reaction(6); Menstrual symptoms(7); Limb weakness(13); Anger(22). 74.4% of carers reported patients experienced at least one symptom prior to a seizure, 88.5% reported that their patients experienced at least one seizure as a result of a specific event. </t>
    </r>
    <r>
      <rPr>
        <b/>
        <i/>
        <sz val="12"/>
        <color rgb="FF53669E"/>
        <rFont val="Calibri"/>
        <scheme val="minor"/>
      </rPr>
      <t>Abstract only.</t>
    </r>
  </si>
  <si>
    <r>
      <t xml:space="preserve">Other prodromes(9): Malaise(5); Dizziness(2); Tension(1); Change in perception(1). 6.2% of 500 patients reported anticipating seizures. Median estimated time interval between occurrence of premonitory symptom and seizure onset was 90 mins. </t>
    </r>
    <r>
      <rPr>
        <b/>
        <i/>
        <sz val="12"/>
        <color rgb="FF53669E"/>
        <rFont val="Calibri"/>
        <scheme val="minor"/>
      </rPr>
      <t>Abstract only.</t>
    </r>
  </si>
  <si>
    <r>
      <t xml:space="preserve">Other prodromal symptoms(13): Feeling of: distress(3); Ill-being(1); loss(1); Clumsiness(2); Hypersensitivity to: light(2); noise(1); Other stimuli(1); Vertigo(1); Aching(1). 6 of 9 patients with aura experienced prodromal symptoms described as subtle and having common negative features, generally continuous before seizures and could last hours. </t>
    </r>
    <r>
      <rPr>
        <b/>
        <i/>
        <sz val="12"/>
        <color rgb="FF53669E"/>
        <rFont val="Calibri"/>
        <scheme val="minor"/>
      </rPr>
      <t>Abstract only.</t>
    </r>
  </si>
  <si>
    <t>Other prodromal symptoms(50): Urge to defecate(2); Allergic reaction(6); Menstrual symptoms(7); Limb weakness(13); Anger(22). 74.4% of carers reported patients experienced at least one symptom prior to a seizure, 88.5% reported that their patients experienced at least one seizure as a result of a specific event.</t>
  </si>
  <si>
    <t>Other prodromal symptoms(152): Anger(48); Limb weakness(45); Menstrual symptoms(34); Urge to defecate(20); Allergic reaction(5). 86.9% of PWE and 74% of carers reported experiencing at least one symptom prior to a seizure. Among PWE and their carers, 63.6% and 51.3% respectively indicated that they can tell when a seizure is about to occur.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</si>
</sst>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1" x14ac:knownFonts="1">
    <font>
      <sz val="12"/>
      <color theme="1"/>
      <name val="Calibri"/>
      <family val="2"/>
      <scheme val="minor"/>
    </font>
    <font>
      <sz val="12"/>
      <color theme="0"/>
      <name val="Calibri"/>
      <family val="2"/>
      <scheme val="minor"/>
    </font>
    <font>
      <b/>
      <sz val="20"/>
      <color rgb="FF587295"/>
      <name val="Calibri"/>
      <scheme val="minor"/>
    </font>
    <font>
      <sz val="12"/>
      <color rgb="FF6B8AB3"/>
      <name val="Calibri"/>
      <family val="2"/>
      <scheme val="minor"/>
    </font>
    <font>
      <sz val="12"/>
      <color rgb="FF587295"/>
      <name val="Calibri"/>
      <family val="2"/>
      <scheme val="minor"/>
    </font>
    <font>
      <b/>
      <sz val="12"/>
      <color rgb="FF587295"/>
      <name val="Calibri"/>
      <scheme val="minor"/>
    </font>
    <font>
      <sz val="12"/>
      <color rgb="FF53669E"/>
      <name val="Calibri"/>
      <family val="2"/>
      <scheme val="minor"/>
    </font>
    <font>
      <b/>
      <sz val="12"/>
      <color rgb="FF53669E"/>
      <name val="Calibri"/>
      <family val="2"/>
      <scheme val="minor"/>
    </font>
    <font>
      <sz val="14"/>
      <color rgb="FF587295"/>
      <name val="Calibri"/>
      <scheme val="minor"/>
    </font>
    <font>
      <b/>
      <i/>
      <sz val="12"/>
      <color rgb="FF53669E"/>
      <name val="Calibri"/>
      <scheme val="minor"/>
    </font>
    <font>
      <i/>
      <sz val="12"/>
      <color rgb="FF53669E"/>
      <name val="Calibri"/>
      <scheme val="minor"/>
    </font>
    <font>
      <i/>
      <sz val="12"/>
      <color theme="4" tint="0.39997558519241921"/>
      <name val="Calibri"/>
      <scheme val="minor"/>
    </font>
    <font>
      <b/>
      <sz val="14"/>
      <color rgb="FF53669E"/>
      <name val="Calibri"/>
      <family val="2"/>
      <scheme val="minor"/>
    </font>
    <font>
      <b/>
      <sz val="10"/>
      <color theme="4" tint="-0.499984740745262"/>
      <name val="Calibri"/>
      <scheme val="minor"/>
    </font>
    <font>
      <b/>
      <sz val="12"/>
      <color theme="4" tint="-0.499984740745262"/>
      <name val="Calibri"/>
      <scheme val="minor"/>
    </font>
    <font>
      <sz val="14"/>
      <color rgb="FF53669E"/>
      <name val="Calibri"/>
      <scheme val="minor"/>
    </font>
    <font>
      <sz val="14"/>
      <color theme="8" tint="0.39997558519241921"/>
      <name val="Calibri (Body)"/>
    </font>
    <font>
      <sz val="14"/>
      <color theme="4" tint="-0.499984740745262"/>
      <name val="Calibri (Body)"/>
    </font>
    <font>
      <b/>
      <sz val="16"/>
      <color rgb="FF587295"/>
      <name val="Calibri"/>
      <family val="2"/>
      <scheme val="minor"/>
    </font>
    <font>
      <u/>
      <sz val="12"/>
      <color theme="10"/>
      <name val="Calibri"/>
      <family val="2"/>
      <scheme val="minor"/>
    </font>
    <font>
      <u/>
      <sz val="12"/>
      <color theme="11"/>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rgb="FFC2CFF6"/>
        <bgColor indexed="64"/>
      </patternFill>
    </fill>
    <fill>
      <patternFill patternType="solid">
        <fgColor rgb="FFEDF3FD"/>
        <bgColor indexed="64"/>
      </patternFill>
    </fill>
    <fill>
      <patternFill patternType="solid">
        <fgColor rgb="FFF2ECFF"/>
        <bgColor indexed="64"/>
      </patternFill>
    </fill>
    <fill>
      <patternFill patternType="solid">
        <fgColor rgb="FF95B6EC"/>
        <bgColor indexed="64"/>
      </patternFill>
    </fill>
    <fill>
      <patternFill patternType="solid">
        <fgColor theme="8" tint="-0.49998474074526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rgb="FFF15B9C"/>
        <bgColor indexed="64"/>
      </patternFill>
    </fill>
    <fill>
      <patternFill patternType="solid">
        <fgColor rgb="FFBADA47"/>
        <bgColor indexed="64"/>
      </patternFill>
    </fill>
    <fill>
      <patternFill patternType="solid">
        <fgColor rgb="FFE6F1FF"/>
        <bgColor indexed="64"/>
      </patternFill>
    </fill>
  </fills>
  <borders count="98">
    <border>
      <left/>
      <right/>
      <top/>
      <bottom/>
      <diagonal/>
    </border>
    <border>
      <left/>
      <right/>
      <top/>
      <bottom style="thin">
        <color rgb="FF587295"/>
      </bottom>
      <diagonal/>
    </border>
    <border>
      <left/>
      <right/>
      <top style="thin">
        <color rgb="FF587295"/>
      </top>
      <bottom/>
      <diagonal/>
    </border>
    <border>
      <left style="thin">
        <color rgb="FF95B6EC"/>
      </left>
      <right style="thin">
        <color rgb="FF95B6EC"/>
      </right>
      <top style="thin">
        <color rgb="FF95B6EC"/>
      </top>
      <bottom style="thin">
        <color rgb="FF95B6EC"/>
      </bottom>
      <diagonal/>
    </border>
    <border>
      <left style="thin">
        <color rgb="FF95B6EC"/>
      </left>
      <right style="thin">
        <color rgb="FF95B6EC"/>
      </right>
      <top style="thin">
        <color rgb="FF95B6EC"/>
      </top>
      <bottom/>
      <diagonal/>
    </border>
    <border>
      <left style="thin">
        <color rgb="FF95B6EC"/>
      </left>
      <right style="thin">
        <color rgb="FF95B6EC"/>
      </right>
      <top/>
      <bottom/>
      <diagonal/>
    </border>
    <border>
      <left/>
      <right/>
      <top/>
      <bottom style="medium">
        <color theme="4" tint="-0.24994659260841701"/>
      </bottom>
      <diagonal/>
    </border>
    <border>
      <left style="thin">
        <color rgb="FF95B6EC"/>
      </left>
      <right style="thin">
        <color rgb="FF95B6EC"/>
      </right>
      <top style="thin">
        <color rgb="FF95B6EC"/>
      </top>
      <bottom style="medium">
        <color theme="4" tint="-0.24994659260841701"/>
      </bottom>
      <diagonal/>
    </border>
    <border>
      <left style="thin">
        <color rgb="FF95B6EC"/>
      </left>
      <right style="thin">
        <color rgb="FF95B6EC"/>
      </right>
      <top/>
      <bottom style="medium">
        <color theme="4" tint="-0.24994659260841701"/>
      </bottom>
      <diagonal/>
    </border>
    <border>
      <left style="thin">
        <color rgb="FF95B6EC"/>
      </left>
      <right style="thin">
        <color rgb="FF95B6EC"/>
      </right>
      <top/>
      <bottom style="thin">
        <color rgb="FF95B6EC"/>
      </bottom>
      <diagonal/>
    </border>
    <border>
      <left style="thin">
        <color rgb="FF95B6EC"/>
      </left>
      <right style="thin">
        <color rgb="FF95B6EC"/>
      </right>
      <top style="medium">
        <color theme="4" tint="-0.24994659260841701"/>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diagonal/>
    </border>
    <border>
      <left/>
      <right style="thin">
        <color rgb="FF95B6EC"/>
      </right>
      <top/>
      <bottom style="thin">
        <color rgb="FF95B6EC"/>
      </bottom>
      <diagonal/>
    </border>
    <border>
      <left style="thin">
        <color rgb="FF587295"/>
      </left>
      <right style="thin">
        <color rgb="FF587295"/>
      </right>
      <top style="thin">
        <color rgb="FF587295"/>
      </top>
      <bottom style="thin">
        <color rgb="FF587295"/>
      </bottom>
      <diagonal/>
    </border>
    <border>
      <left/>
      <right/>
      <top/>
      <bottom style="medium">
        <color theme="4" tint="-0.499984740745262"/>
      </bottom>
      <diagonal/>
    </border>
    <border>
      <left/>
      <right style="thin">
        <color rgb="FF95B6EC"/>
      </right>
      <top/>
      <bottom style="medium">
        <color theme="4" tint="-0.24994659260841701"/>
      </bottom>
      <diagonal/>
    </border>
    <border>
      <left/>
      <right/>
      <top/>
      <bottom style="thin">
        <color rgb="FF95B6EC"/>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medium">
        <color rgb="FF95B6EC"/>
      </left>
      <right/>
      <top/>
      <bottom/>
      <diagonal/>
    </border>
    <border>
      <left/>
      <right style="medium">
        <color rgb="FF95B6EC"/>
      </right>
      <top/>
      <bottom/>
      <diagonal/>
    </border>
    <border>
      <left style="medium">
        <color rgb="FF95B6EC"/>
      </left>
      <right/>
      <top/>
      <bottom style="thin">
        <color rgb="FF95B6EC"/>
      </bottom>
      <diagonal/>
    </border>
    <border>
      <left/>
      <right style="medium">
        <color rgb="FF95B6EC"/>
      </right>
      <top/>
      <bottom style="thin">
        <color rgb="FF95B6EC"/>
      </bottom>
      <diagonal/>
    </border>
    <border>
      <left style="medium">
        <color rgb="FF95B6EC"/>
      </left>
      <right style="thin">
        <color rgb="FF95B6EC"/>
      </right>
      <top/>
      <bottom/>
      <diagonal/>
    </border>
    <border>
      <left style="thin">
        <color rgb="FF95B6EC"/>
      </left>
      <right style="medium">
        <color rgb="FF95B6EC"/>
      </right>
      <top/>
      <bottom/>
      <diagonal/>
    </border>
    <border>
      <left style="medium">
        <color rgb="FF95B6EC"/>
      </left>
      <right style="thin">
        <color rgb="FF95B6EC"/>
      </right>
      <top/>
      <bottom style="medium">
        <color theme="4" tint="-0.24994659260841701"/>
      </bottom>
      <diagonal/>
    </border>
    <border>
      <left style="thin">
        <color rgb="FF95B6EC"/>
      </left>
      <right style="medium">
        <color rgb="FF95B6EC"/>
      </right>
      <top/>
      <bottom style="medium">
        <color theme="4" tint="-0.24994659260841701"/>
      </bottom>
      <diagonal/>
    </border>
    <border>
      <left style="medium">
        <color rgb="FF95B6EC"/>
      </left>
      <right style="thin">
        <color rgb="FF95B6EC"/>
      </right>
      <top style="thin">
        <color rgb="FF95B6EC"/>
      </top>
      <bottom style="thin">
        <color rgb="FF95B6EC"/>
      </bottom>
      <diagonal/>
    </border>
    <border>
      <left style="thin">
        <color rgb="FF95B6EC"/>
      </left>
      <right style="medium">
        <color rgb="FF95B6EC"/>
      </right>
      <top style="medium">
        <color theme="4" tint="-0.24994659260841701"/>
      </top>
      <bottom style="thin">
        <color rgb="FF95B6EC"/>
      </bottom>
      <diagonal/>
    </border>
    <border>
      <left style="thin">
        <color rgb="FF95B6EC"/>
      </left>
      <right style="medium">
        <color rgb="FF95B6EC"/>
      </right>
      <top style="thin">
        <color rgb="FF95B6EC"/>
      </top>
      <bottom style="thin">
        <color rgb="FF95B6EC"/>
      </bottom>
      <diagonal/>
    </border>
    <border>
      <left style="medium">
        <color rgb="FF95B6EC"/>
      </left>
      <right style="thin">
        <color rgb="FF95B6EC"/>
      </right>
      <top style="thin">
        <color rgb="FF95B6EC"/>
      </top>
      <bottom style="medium">
        <color rgb="FF95B6EC"/>
      </bottom>
      <diagonal/>
    </border>
    <border>
      <left style="thin">
        <color rgb="FF95B6EC"/>
      </left>
      <right style="medium">
        <color rgb="FF95B6EC"/>
      </right>
      <top style="thin">
        <color rgb="FF95B6EC"/>
      </top>
      <bottom style="medium">
        <color rgb="FF95B6EC"/>
      </bottom>
      <diagonal/>
    </border>
    <border>
      <left style="medium">
        <color rgb="FF95B6EC"/>
      </left>
      <right/>
      <top style="thin">
        <color rgb="FF95B6EC"/>
      </top>
      <bottom style="medium">
        <color rgb="FF95B6EC"/>
      </bottom>
      <diagonal/>
    </border>
    <border>
      <left/>
      <right/>
      <top style="thin">
        <color rgb="FF95B6EC"/>
      </top>
      <bottom style="medium">
        <color rgb="FF95B6EC"/>
      </bottom>
      <diagonal/>
    </border>
    <border>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style="medium">
        <color rgb="FF95B6EC"/>
      </left>
      <right/>
      <top style="medium">
        <color rgb="FF95B6EC"/>
      </top>
      <bottom/>
      <diagonal/>
    </border>
    <border>
      <left/>
      <right style="medium">
        <color rgb="FF95B6EC"/>
      </right>
      <top style="medium">
        <color rgb="FF95B6EC"/>
      </top>
      <bottom/>
      <diagonal/>
    </border>
    <border>
      <left style="thin">
        <color rgb="FF95B6EC"/>
      </left>
      <right style="medium">
        <color rgb="FF95B6EC"/>
      </right>
      <top/>
      <bottom style="thin">
        <color rgb="FF95B6EC"/>
      </bottom>
      <diagonal/>
    </border>
    <border>
      <left/>
      <right style="thin">
        <color rgb="FF95B6EC"/>
      </right>
      <top style="medium">
        <color theme="4" tint="-0.24994659260841701"/>
      </top>
      <bottom style="thin">
        <color rgb="FF95B6EC"/>
      </bottom>
      <diagonal/>
    </border>
    <border>
      <left style="medium">
        <color rgb="FF95B6EC"/>
      </left>
      <right style="thin">
        <color rgb="FF95B6EC"/>
      </right>
      <top/>
      <bottom style="thin">
        <color rgb="FF95B6EC"/>
      </bottom>
      <diagonal/>
    </border>
    <border>
      <left style="medium">
        <color rgb="FF95B6EC"/>
      </left>
      <right style="thin">
        <color rgb="FF95B6EC"/>
      </right>
      <top style="medium">
        <color theme="4" tint="-0.24994659260841701"/>
      </top>
      <bottom style="thin">
        <color rgb="FF95B6EC"/>
      </bottom>
      <diagonal/>
    </border>
    <border>
      <left style="medium">
        <color rgb="FF95B6EC"/>
      </left>
      <right/>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95B6EC"/>
      </right>
      <top style="medium">
        <color rgb="FF95B6EC"/>
      </top>
      <bottom style="thin">
        <color rgb="FF95B6EC"/>
      </bottom>
      <diagonal/>
    </border>
    <border>
      <left style="thin">
        <color rgb="FF95B6EC"/>
      </left>
      <right style="medium">
        <color rgb="FF95B6EC"/>
      </right>
      <top style="thin">
        <color rgb="FF95B6EC"/>
      </top>
      <bottom/>
      <diagonal/>
    </border>
    <border>
      <left style="medium">
        <color rgb="FF95B6EC"/>
      </left>
      <right style="thin">
        <color rgb="FF95B6EC"/>
      </right>
      <top style="thin">
        <color rgb="FF95B6EC"/>
      </top>
      <bottom/>
      <diagonal/>
    </border>
    <border>
      <left style="thin">
        <color rgb="FF95B6EC"/>
      </left>
      <right style="thin">
        <color rgb="FF95B6EC"/>
      </right>
      <top style="medium">
        <color rgb="FF95B6EC"/>
      </top>
      <bottom style="thin">
        <color rgb="FF95B6EC"/>
      </bottom>
      <diagonal/>
    </border>
    <border>
      <left style="thin">
        <color rgb="FF95B6EC"/>
      </left>
      <right style="medium">
        <color rgb="FF95B6EC"/>
      </right>
      <top style="medium">
        <color rgb="FF95B6EC"/>
      </top>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B0B0FF"/>
      </left>
      <right style="thin">
        <color rgb="FFB0B0FF"/>
      </right>
      <top style="medium">
        <color rgb="FFB0B0FF"/>
      </top>
      <bottom style="thin">
        <color rgb="FFB0B0FF"/>
      </bottom>
      <diagonal/>
    </border>
    <border>
      <left/>
      <right style="medium">
        <color rgb="FF95B6EC"/>
      </right>
      <top style="medium">
        <color rgb="FFB0B0FF"/>
      </top>
      <bottom style="thin">
        <color rgb="FFB0B0FF"/>
      </bottom>
      <diagonal/>
    </border>
    <border>
      <left/>
      <right style="medium">
        <color rgb="FFB0B0FF"/>
      </right>
      <top/>
      <bottom/>
      <diagonal/>
    </border>
    <border>
      <left style="medium">
        <color rgb="FFB0B0FF"/>
      </left>
      <right style="thin">
        <color rgb="FFB0B0FF"/>
      </right>
      <top style="thin">
        <color rgb="FFB0B0FF"/>
      </top>
      <bottom/>
      <diagonal/>
    </border>
    <border>
      <left style="medium">
        <color rgb="FFB0B0FF"/>
      </left>
      <right style="thin">
        <color rgb="FFB0B0FF"/>
      </right>
      <top/>
      <bottom/>
      <diagonal/>
    </border>
    <border>
      <left style="medium">
        <color rgb="FFB0B0FF"/>
      </left>
      <right style="thin">
        <color rgb="FFB0B0FF"/>
      </right>
      <top/>
      <bottom style="medium">
        <color rgb="FFB0B0FF"/>
      </bottom>
      <diagonal/>
    </border>
    <border>
      <left style="thin">
        <color rgb="FFB0B0FF"/>
      </left>
      <right style="medium">
        <color rgb="FF95B6EC"/>
      </right>
      <top/>
      <bottom/>
      <diagonal/>
    </border>
    <border>
      <left style="thin">
        <color rgb="FFB0B0FF"/>
      </left>
      <right style="medium">
        <color rgb="FF95B6EC"/>
      </right>
      <top/>
      <bottom style="medium">
        <color rgb="FFB0B0FF"/>
      </bottom>
      <diagonal/>
    </border>
    <border>
      <left style="medium">
        <color rgb="FFB0B0FF"/>
      </left>
      <right style="thin">
        <color rgb="FFB0B0FF"/>
      </right>
      <top style="thin">
        <color rgb="FFB0B0FF"/>
      </top>
      <bottom style="thin">
        <color rgb="FFB0B0FF"/>
      </bottom>
      <diagonal/>
    </border>
    <border>
      <left style="thin">
        <color rgb="FFB0B0FF"/>
      </left>
      <right style="medium">
        <color rgb="FF95B6EC"/>
      </right>
      <top style="thin">
        <color rgb="FFB0B0FF"/>
      </top>
      <bottom style="thin">
        <color rgb="FFB0B0FF"/>
      </bottom>
      <diagonal/>
    </border>
    <border>
      <left style="medium">
        <color rgb="FF95B6EC"/>
      </left>
      <right style="medium">
        <color rgb="FF95B6EC"/>
      </right>
      <top style="medium">
        <color rgb="FF95B6EC"/>
      </top>
      <bottom style="thin">
        <color rgb="FF95B6EC"/>
      </bottom>
      <diagonal/>
    </border>
    <border>
      <left style="medium">
        <color rgb="FF95B6EC"/>
      </left>
      <right style="medium">
        <color rgb="FF95B6EC"/>
      </right>
      <top style="thin">
        <color rgb="FF95B6EC"/>
      </top>
      <bottom/>
      <diagonal/>
    </border>
    <border>
      <left style="medium">
        <color rgb="FF95B6EC"/>
      </left>
      <right style="medium">
        <color rgb="FF95B6EC"/>
      </right>
      <top/>
      <bottom style="medium">
        <color rgb="FF95B6EC"/>
      </bottom>
      <diagonal/>
    </border>
    <border>
      <left style="medium">
        <color rgb="FF95B6EC"/>
      </left>
      <right/>
      <top/>
      <bottom style="medium">
        <color theme="4" tint="-0.499984740745262"/>
      </bottom>
      <diagonal/>
    </border>
    <border>
      <left style="medium">
        <color rgb="FF95B6EC"/>
      </left>
      <right style="medium">
        <color rgb="FF95B6EC"/>
      </right>
      <top/>
      <bottom/>
      <diagonal/>
    </border>
    <border>
      <left style="thin">
        <color rgb="FF95B6EC"/>
      </left>
      <right style="thin">
        <color rgb="FF95B6EC"/>
      </right>
      <top style="medium">
        <color rgb="FF95B6EC"/>
      </top>
      <bottom/>
      <diagonal/>
    </border>
    <border>
      <left style="medium">
        <color rgb="FF95B6EC"/>
      </left>
      <right style="thin">
        <color rgb="FF95B6EC"/>
      </right>
      <top style="thin">
        <color rgb="FF95B6EC"/>
      </top>
      <bottom style="medium">
        <color theme="4" tint="-0.24994659260841701"/>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thin">
        <color rgb="FF95B6EC"/>
      </right>
      <top style="thin">
        <color rgb="FF95B6EC"/>
      </top>
      <bottom style="medium">
        <color rgb="FF95B6EC"/>
      </bottom>
      <diagonal/>
    </border>
    <border>
      <left style="medium">
        <color rgb="FFB0B0FF"/>
      </left>
      <right style="thin">
        <color rgb="FF839FDE"/>
      </right>
      <top style="medium">
        <color rgb="FFB0B0FF"/>
      </top>
      <bottom/>
      <diagonal/>
    </border>
    <border>
      <left style="thin">
        <color rgb="FF839FDE"/>
      </left>
      <right style="medium">
        <color rgb="FF95B6EC"/>
      </right>
      <top style="medium">
        <color rgb="FFB0B0FF"/>
      </top>
      <bottom/>
      <diagonal/>
    </border>
    <border>
      <left style="medium">
        <color rgb="FFB0B0FF"/>
      </left>
      <right style="thin">
        <color rgb="FF839FDE"/>
      </right>
      <top/>
      <bottom/>
      <diagonal/>
    </border>
    <border>
      <left style="thin">
        <color rgb="FF839FDE"/>
      </left>
      <right style="medium">
        <color rgb="FF95B6EC"/>
      </right>
      <top/>
      <bottom/>
      <diagonal/>
    </border>
    <border>
      <left style="medium">
        <color rgb="FFB0B0FF"/>
      </left>
      <right style="thin">
        <color rgb="FF839FDE"/>
      </right>
      <top/>
      <bottom style="medium">
        <color theme="4" tint="-0.24994659260841701"/>
      </bottom>
      <diagonal/>
    </border>
    <border>
      <left style="thin">
        <color rgb="FF839FDE"/>
      </left>
      <right style="medium">
        <color rgb="FF95B6EC"/>
      </right>
      <top/>
      <bottom style="medium">
        <color theme="4" tint="-0.24994659260841701"/>
      </bottom>
      <diagonal/>
    </border>
    <border>
      <left style="medium">
        <color rgb="FFB0B0FF"/>
      </left>
      <right style="thin">
        <color rgb="FF839FDE"/>
      </right>
      <top style="medium">
        <color theme="4" tint="-0.24994659260841701"/>
      </top>
      <bottom style="thin">
        <color rgb="FFB0B0FF"/>
      </bottom>
      <diagonal/>
    </border>
    <border>
      <left style="thin">
        <color rgb="FFB0B0FF"/>
      </left>
      <right style="medium">
        <color rgb="FF95B6EC"/>
      </right>
      <top style="medium">
        <color theme="4" tint="-0.24994659260841701"/>
      </top>
      <bottom style="thin">
        <color rgb="FFB0B0FF"/>
      </bottom>
      <diagonal/>
    </border>
    <border>
      <left style="medium">
        <color rgb="FFB0B0FF"/>
      </left>
      <right style="thin">
        <color rgb="FF839FDE"/>
      </right>
      <top style="thin">
        <color rgb="FFB0B0FF"/>
      </top>
      <bottom style="thin">
        <color rgb="FFB0B0FF"/>
      </bottom>
      <diagonal/>
    </border>
    <border>
      <left style="medium">
        <color rgb="FFB0B0FF"/>
      </left>
      <right style="thin">
        <color rgb="FF839FDE"/>
      </right>
      <top style="thin">
        <color rgb="FFB0B0FF"/>
      </top>
      <bottom style="medium">
        <color rgb="FFB0B0FF"/>
      </bottom>
      <diagonal/>
    </border>
    <border>
      <left style="thin">
        <color rgb="FFB0B0FF"/>
      </left>
      <right style="medium">
        <color rgb="FF95B6EC"/>
      </right>
      <top style="thin">
        <color rgb="FFB0B0FF"/>
      </top>
      <bottom style="medium">
        <color rgb="FFB0B0FF"/>
      </bottom>
      <diagonal/>
    </border>
    <border>
      <left style="thin">
        <color rgb="FFB0B0FF"/>
      </left>
      <right style="medium">
        <color rgb="FF95B6EC"/>
      </right>
      <top style="medium">
        <color rgb="FFB0B0FF"/>
      </top>
      <bottom/>
      <diagonal/>
    </border>
    <border>
      <left style="thin">
        <color rgb="FFB0B0FF"/>
      </left>
      <right style="medium">
        <color rgb="FF95B6EC"/>
      </right>
      <top/>
      <bottom style="medium">
        <color theme="4" tint="-0.24994659260841701"/>
      </bottom>
      <diagonal/>
    </border>
    <border>
      <left style="medium">
        <color rgb="FF00B0F0"/>
      </left>
      <right style="medium">
        <color rgb="FF00B0F0"/>
      </right>
      <top style="medium">
        <color rgb="FF00B0F0"/>
      </top>
      <bottom style="thin">
        <color rgb="FF00B0F0"/>
      </bottom>
      <diagonal/>
    </border>
    <border>
      <left style="medium">
        <color rgb="FF00B0F0"/>
      </left>
      <right style="medium">
        <color rgb="FF00B0F0"/>
      </right>
      <top style="thin">
        <color rgb="FF00B0F0"/>
      </top>
      <bottom style="thin">
        <color rgb="FF00B0F0"/>
      </bottom>
      <diagonal/>
    </border>
    <border>
      <left style="medium">
        <color rgb="FF00B0F0"/>
      </left>
      <right style="medium">
        <color rgb="FF00B0F0"/>
      </right>
      <top style="thin">
        <color rgb="FF00B0F0"/>
      </top>
      <bottom style="medium">
        <color rgb="FF00B0F0"/>
      </bottom>
      <diagonal/>
    </border>
    <border>
      <left/>
      <right style="thin">
        <color rgb="FF95B6EC"/>
      </right>
      <top style="medium">
        <color rgb="FF95B6EC"/>
      </top>
      <bottom style="thin">
        <color rgb="FF95B6EC"/>
      </bottom>
      <diagonal/>
    </border>
    <border>
      <left style="medium">
        <color rgb="FF95B6EC"/>
      </left>
      <right/>
      <top style="thin">
        <color rgb="FF95B6EC"/>
      </top>
      <bottom/>
      <diagonal/>
    </border>
    <border>
      <left/>
      <right style="thin">
        <color rgb="FF95B6EC"/>
      </right>
      <top/>
      <bottom style="medium">
        <color rgb="FF95B6EC"/>
      </bottom>
      <diagonal/>
    </border>
    <border>
      <left style="thin">
        <color rgb="FF95B6EC"/>
      </left>
      <right style="thin">
        <color rgb="FF95B6EC"/>
      </right>
      <top/>
      <bottom style="medium">
        <color rgb="FF95B6EC"/>
      </bottom>
      <diagonal/>
    </border>
    <border>
      <left style="thin">
        <color rgb="FF95B6EC"/>
      </left>
      <right style="medium">
        <color rgb="FF95B6EC"/>
      </right>
      <top/>
      <bottom style="medium">
        <color rgb="FF95B6EC"/>
      </bottom>
      <diagonal/>
    </border>
    <border>
      <left/>
      <right style="medium">
        <color rgb="FF95B6EC"/>
      </right>
      <top style="thin">
        <color rgb="FF95B6EC"/>
      </top>
      <bottom/>
      <diagonal/>
    </border>
  </borders>
  <cellStyleXfs count="11">
    <xf numFmtId="0" fontId="0"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225">
    <xf numFmtId="0" fontId="0" fillId="0" borderId="0" xfId="0"/>
    <xf numFmtId="0" fontId="2" fillId="2" borderId="0" xfId="0" applyFont="1" applyFill="1" applyAlignment="1">
      <alignment horizontal="left"/>
    </xf>
    <xf numFmtId="0" fontId="3" fillId="2" borderId="0" xfId="0" applyFont="1" applyFill="1"/>
    <xf numFmtId="0" fontId="3" fillId="2" borderId="0" xfId="0" applyFont="1" applyFill="1" applyAlignment="1">
      <alignment horizontal="center"/>
    </xf>
    <xf numFmtId="3" fontId="4" fillId="2" borderId="0" xfId="0" applyNumberFormat="1" applyFont="1" applyFill="1"/>
    <xf numFmtId="0" fontId="0" fillId="2" borderId="0" xfId="0" applyFill="1" applyAlignment="1">
      <alignment horizontal="center"/>
    </xf>
    <xf numFmtId="0" fontId="1" fillId="0" borderId="0" xfId="0" applyFont="1"/>
    <xf numFmtId="0" fontId="5" fillId="0" borderId="0" xfId="0" applyFont="1" applyAlignment="1">
      <alignment horizontal="center"/>
    </xf>
    <xf numFmtId="0" fontId="5" fillId="0" borderId="0" xfId="0" applyFont="1"/>
    <xf numFmtId="3" fontId="4" fillId="0" borderId="0" xfId="0" applyNumberFormat="1" applyFont="1"/>
    <xf numFmtId="0" fontId="5" fillId="0" borderId="1" xfId="0" applyFont="1" applyBorder="1" applyAlignment="1">
      <alignment horizontal="center"/>
    </xf>
    <xf numFmtId="0" fontId="5" fillId="0" borderId="1" xfId="0" applyFont="1" applyBorder="1"/>
    <xf numFmtId="3" fontId="5" fillId="0" borderId="1" xfId="0" applyNumberFormat="1" applyFont="1" applyBorder="1"/>
    <xf numFmtId="14" fontId="4" fillId="0" borderId="0" xfId="0" applyNumberFormat="1" applyFont="1" applyAlignment="1">
      <alignment horizontal="center"/>
    </xf>
    <xf numFmtId="0" fontId="4" fillId="0" borderId="0" xfId="0" applyFont="1"/>
    <xf numFmtId="0" fontId="4" fillId="0" borderId="0" xfId="0" applyFont="1" applyAlignment="1">
      <alignment horizontal="center"/>
    </xf>
    <xf numFmtId="0" fontId="4" fillId="0" borderId="2" xfId="0" applyFont="1" applyBorder="1" applyAlignment="1">
      <alignment horizontal="center"/>
    </xf>
    <xf numFmtId="0" fontId="4" fillId="0" borderId="0" xfId="0" applyFont="1" applyBorder="1" applyAlignment="1">
      <alignment horizontal="center"/>
    </xf>
    <xf numFmtId="0" fontId="0" fillId="0" borderId="0" xfId="0" applyAlignment="1">
      <alignment horizontal="center"/>
    </xf>
    <xf numFmtId="0" fontId="6" fillId="0" borderId="0" xfId="0" applyFont="1"/>
    <xf numFmtId="0" fontId="6" fillId="0" borderId="0" xfId="0" applyFont="1" applyAlignment="1">
      <alignment horizontal="center"/>
    </xf>
    <xf numFmtId="0" fontId="7" fillId="0" borderId="6" xfId="0" applyFont="1" applyBorder="1"/>
    <xf numFmtId="0" fontId="7" fillId="0" borderId="6" xfId="0" applyFont="1" applyBorder="1" applyAlignment="1">
      <alignment horizontal="center"/>
    </xf>
    <xf numFmtId="0" fontId="7" fillId="0" borderId="0" xfId="0" applyFont="1"/>
    <xf numFmtId="0" fontId="6" fillId="4" borderId="3" xfId="0" applyFont="1" applyFill="1" applyBorder="1" applyAlignment="1">
      <alignment horizont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9" fillId="0" borderId="0" xfId="0" applyFont="1"/>
    <xf numFmtId="0" fontId="6" fillId="6" borderId="3" xfId="0" applyFont="1" applyFill="1" applyBorder="1" applyAlignment="1">
      <alignment horizontal="center"/>
    </xf>
    <xf numFmtId="0" fontId="4" fillId="3" borderId="15" xfId="0" applyFont="1" applyFill="1" applyBorder="1" applyAlignment="1">
      <alignment horizontal="center"/>
    </xf>
    <xf numFmtId="0" fontId="0" fillId="3" borderId="15" xfId="0" applyFill="1" applyBorder="1" applyAlignment="1">
      <alignment horizontal="center"/>
    </xf>
    <xf numFmtId="0" fontId="4" fillId="7" borderId="15" xfId="0" applyFont="1" applyFill="1" applyBorder="1" applyAlignment="1">
      <alignment horizontal="center"/>
    </xf>
    <xf numFmtId="0" fontId="6" fillId="8" borderId="3" xfId="0" applyFont="1" applyFill="1" applyBorder="1" applyAlignment="1">
      <alignment horizontal="center"/>
    </xf>
    <xf numFmtId="0" fontId="6" fillId="9" borderId="0" xfId="0" applyFont="1" applyFill="1"/>
    <xf numFmtId="0" fontId="7" fillId="10" borderId="0" xfId="0" applyFont="1" applyFill="1" applyBorder="1" applyAlignment="1">
      <alignment textRotation="90"/>
    </xf>
    <xf numFmtId="0" fontId="6" fillId="11" borderId="0" xfId="0" applyFont="1" applyFill="1"/>
    <xf numFmtId="0" fontId="6" fillId="10" borderId="0" xfId="0" applyFont="1" applyFill="1"/>
    <xf numFmtId="0" fontId="6" fillId="0" borderId="0" xfId="0" applyFont="1" applyAlignment="1"/>
    <xf numFmtId="0" fontId="6" fillId="4" borderId="30" xfId="0" applyFont="1" applyFill="1" applyBorder="1" applyAlignment="1">
      <alignment horizontal="center"/>
    </xf>
    <xf numFmtId="0" fontId="6" fillId="6" borderId="30" xfId="0" applyFont="1" applyFill="1" applyBorder="1" applyAlignment="1">
      <alignment horizontal="center"/>
    </xf>
    <xf numFmtId="0" fontId="6" fillId="4" borderId="33" xfId="0" applyFont="1" applyFill="1" applyBorder="1" applyAlignment="1">
      <alignment horizontal="center"/>
    </xf>
    <xf numFmtId="0" fontId="6" fillId="4" borderId="34" xfId="0" applyFont="1" applyFill="1" applyBorder="1" applyAlignment="1">
      <alignment horizontal="center"/>
    </xf>
    <xf numFmtId="0" fontId="6" fillId="4" borderId="11" xfId="0" applyFont="1" applyFill="1" applyBorder="1" applyAlignment="1">
      <alignment horizontal="center"/>
    </xf>
    <xf numFmtId="0" fontId="6" fillId="4" borderId="38" xfId="0" applyFont="1" applyFill="1" applyBorder="1" applyAlignment="1">
      <alignment horizontal="center"/>
    </xf>
    <xf numFmtId="0" fontId="6" fillId="6" borderId="11" xfId="0" applyFont="1" applyFill="1" applyBorder="1" applyAlignment="1">
      <alignment horizontal="center"/>
    </xf>
    <xf numFmtId="0" fontId="6" fillId="4" borderId="42" xfId="0" applyFont="1" applyFill="1" applyBorder="1" applyAlignment="1">
      <alignment horizontal="center"/>
    </xf>
    <xf numFmtId="0" fontId="6" fillId="4" borderId="43" xfId="0" applyFont="1" applyFill="1" applyBorder="1" applyAlignment="1">
      <alignment horizontal="center"/>
    </xf>
    <xf numFmtId="0" fontId="6" fillId="4" borderId="44" xfId="0" applyFont="1" applyFill="1" applyBorder="1" applyAlignment="1">
      <alignment horizontal="center"/>
    </xf>
    <xf numFmtId="0" fontId="11" fillId="0" borderId="0" xfId="0" applyFont="1"/>
    <xf numFmtId="0" fontId="11" fillId="0" borderId="0" xfId="0" applyFont="1" applyAlignment="1">
      <alignment horizontal="center"/>
    </xf>
    <xf numFmtId="164" fontId="6" fillId="0" borderId="0" xfId="0" applyNumberFormat="1" applyFont="1" applyAlignment="1">
      <alignment horizontal="center"/>
    </xf>
    <xf numFmtId="164" fontId="6" fillId="4" borderId="32" xfId="0" applyNumberFormat="1" applyFont="1" applyFill="1" applyBorder="1" applyAlignment="1">
      <alignment horizontal="center"/>
    </xf>
    <xf numFmtId="164" fontId="6" fillId="4" borderId="34" xfId="0" applyNumberFormat="1" applyFont="1" applyFill="1" applyBorder="1" applyAlignment="1">
      <alignment horizontal="center"/>
    </xf>
    <xf numFmtId="164" fontId="6" fillId="0" borderId="0" xfId="0" applyNumberFormat="1" applyFont="1"/>
    <xf numFmtId="164" fontId="6" fillId="6" borderId="32" xfId="0" applyNumberFormat="1" applyFont="1" applyFill="1" applyBorder="1" applyAlignment="1">
      <alignment horizontal="center"/>
    </xf>
    <xf numFmtId="164" fontId="6" fillId="4" borderId="41" xfId="0" applyNumberFormat="1" applyFont="1" applyFill="1" applyBorder="1" applyAlignment="1">
      <alignment horizontal="center"/>
    </xf>
    <xf numFmtId="164" fontId="6" fillId="4" borderId="31" xfId="0" applyNumberFormat="1" applyFont="1" applyFill="1" applyBorder="1" applyAlignment="1">
      <alignment horizontal="center"/>
    </xf>
    <xf numFmtId="0" fontId="13" fillId="5" borderId="65" xfId="0" applyFont="1" applyFill="1" applyBorder="1" applyAlignment="1">
      <alignment vertical="center"/>
    </xf>
    <xf numFmtId="0" fontId="14" fillId="5" borderId="66" xfId="0" applyFont="1" applyFill="1" applyBorder="1" applyAlignment="1">
      <alignment horizontal="center"/>
    </xf>
    <xf numFmtId="0" fontId="14" fillId="4" borderId="51" xfId="0" applyFont="1" applyFill="1" applyBorder="1" applyAlignment="1">
      <alignment horizontal="center"/>
    </xf>
    <xf numFmtId="164" fontId="14" fillId="4" borderId="50" xfId="0" applyNumberFormat="1" applyFont="1" applyFill="1" applyBorder="1" applyAlignment="1">
      <alignment horizontal="center"/>
    </xf>
    <xf numFmtId="0" fontId="14" fillId="5" borderId="57" xfId="0" applyFont="1" applyFill="1" applyBorder="1" applyAlignment="1">
      <alignment horizontal="center"/>
    </xf>
    <xf numFmtId="0" fontId="14" fillId="5" borderId="58" xfId="0" applyFont="1" applyFill="1" applyBorder="1" applyAlignment="1">
      <alignment horizontal="center"/>
    </xf>
    <xf numFmtId="0" fontId="14" fillId="4" borderId="48" xfId="0" applyFont="1" applyFill="1" applyBorder="1" applyAlignment="1">
      <alignment horizontal="center"/>
    </xf>
    <xf numFmtId="164" fontId="14" fillId="4" borderId="49" xfId="0" applyNumberFormat="1" applyFont="1" applyFill="1" applyBorder="1" applyAlignment="1">
      <alignment horizontal="center"/>
    </xf>
    <xf numFmtId="0" fontId="14" fillId="2" borderId="48" xfId="0" applyFont="1" applyFill="1" applyBorder="1" applyAlignment="1">
      <alignment horizontal="center"/>
    </xf>
    <xf numFmtId="164" fontId="14" fillId="2" borderId="49" xfId="0" applyNumberFormat="1" applyFont="1" applyFill="1" applyBorder="1" applyAlignment="1">
      <alignment horizontal="center"/>
    </xf>
    <xf numFmtId="0" fontId="14" fillId="2" borderId="51" xfId="0" applyFont="1" applyFill="1" applyBorder="1" applyAlignment="1">
      <alignment horizontal="center"/>
    </xf>
    <xf numFmtId="164" fontId="14" fillId="2" borderId="50" xfId="0" applyNumberFormat="1" applyFont="1" applyFill="1" applyBorder="1" applyAlignment="1">
      <alignment horizontal="center"/>
    </xf>
    <xf numFmtId="0" fontId="14" fillId="2" borderId="50" xfId="0" applyFont="1" applyFill="1" applyBorder="1" applyAlignment="1">
      <alignment horizontal="center"/>
    </xf>
    <xf numFmtId="0" fontId="14" fillId="2" borderId="52" xfId="0" applyFont="1" applyFill="1" applyBorder="1" applyAlignment="1">
      <alignment horizontal="center"/>
    </xf>
    <xf numFmtId="164" fontId="14" fillId="2" borderId="53" xfId="0" applyNumberFormat="1" applyFont="1" applyFill="1" applyBorder="1" applyAlignment="1">
      <alignment horizontal="center"/>
    </xf>
    <xf numFmtId="0" fontId="14" fillId="2" borderId="4" xfId="0" applyFont="1" applyFill="1" applyBorder="1" applyAlignment="1">
      <alignment horizontal="center"/>
    </xf>
    <xf numFmtId="0" fontId="7" fillId="0" borderId="0" xfId="0" applyFont="1" applyAlignment="1"/>
    <xf numFmtId="0" fontId="7" fillId="0" borderId="59" xfId="0" applyFont="1" applyBorder="1" applyAlignment="1"/>
    <xf numFmtId="0" fontId="12" fillId="4" borderId="67" xfId="0" applyFont="1" applyFill="1" applyBorder="1" applyAlignment="1">
      <alignment horizontal="left"/>
    </xf>
    <xf numFmtId="0" fontId="7" fillId="0" borderId="70" xfId="0" applyFont="1" applyBorder="1"/>
    <xf numFmtId="0" fontId="7" fillId="0" borderId="16" xfId="0" applyFont="1" applyBorder="1"/>
    <xf numFmtId="0" fontId="6" fillId="0" borderId="16" xfId="0" applyFont="1" applyBorder="1"/>
    <xf numFmtId="0" fontId="6" fillId="4" borderId="31" xfId="0" applyFont="1" applyFill="1" applyBorder="1" applyAlignment="1">
      <alignment horizontal="center"/>
    </xf>
    <xf numFmtId="0" fontId="6" fillId="8" borderId="30" xfId="0" applyFont="1" applyFill="1" applyBorder="1" applyAlignment="1">
      <alignment horizontal="center"/>
    </xf>
    <xf numFmtId="0" fontId="6" fillId="4" borderId="32" xfId="0" applyFont="1" applyFill="1" applyBorder="1" applyAlignment="1">
      <alignment horizontal="center"/>
    </xf>
    <xf numFmtId="0" fontId="6" fillId="8" borderId="32" xfId="0" applyFont="1" applyFill="1" applyBorder="1" applyAlignment="1">
      <alignment horizontal="center"/>
    </xf>
    <xf numFmtId="0" fontId="6" fillId="4" borderId="75" xfId="0" applyFont="1" applyFill="1" applyBorder="1" applyAlignment="1">
      <alignment horizontal="center"/>
    </xf>
    <xf numFmtId="0" fontId="6" fillId="8" borderId="75" xfId="0" applyFont="1" applyFill="1" applyBorder="1" applyAlignment="1">
      <alignment horizontal="center"/>
    </xf>
    <xf numFmtId="0" fontId="6" fillId="5" borderId="82" xfId="0" applyFont="1" applyFill="1" applyBorder="1" applyAlignment="1">
      <alignment horizontal="center"/>
    </xf>
    <xf numFmtId="0" fontId="6" fillId="5" borderId="83" xfId="0" applyFont="1" applyFill="1" applyBorder="1" applyAlignment="1">
      <alignment horizontal="center"/>
    </xf>
    <xf numFmtId="0" fontId="6" fillId="5" borderId="84" xfId="0" applyFont="1" applyFill="1" applyBorder="1" applyAlignment="1">
      <alignment horizontal="center"/>
    </xf>
    <xf numFmtId="0" fontId="6" fillId="5" borderId="66" xfId="0" applyFont="1" applyFill="1" applyBorder="1" applyAlignment="1">
      <alignment horizontal="center"/>
    </xf>
    <xf numFmtId="0" fontId="11" fillId="5" borderId="84" xfId="0" applyFont="1" applyFill="1" applyBorder="1" applyAlignment="1">
      <alignment horizontal="center"/>
    </xf>
    <xf numFmtId="0" fontId="10" fillId="5" borderId="66" xfId="0" applyFont="1" applyFill="1" applyBorder="1" applyAlignment="1">
      <alignment horizontal="center"/>
    </xf>
    <xf numFmtId="0" fontId="6" fillId="5" borderId="85" xfId="0" applyFont="1" applyFill="1" applyBorder="1" applyAlignment="1">
      <alignment horizontal="center"/>
    </xf>
    <xf numFmtId="0" fontId="6" fillId="5" borderId="86" xfId="0" applyFont="1" applyFill="1" applyBorder="1" applyAlignment="1">
      <alignment horizontal="center"/>
    </xf>
    <xf numFmtId="0" fontId="6" fillId="0" borderId="0" xfId="0" applyFont="1" applyAlignment="1">
      <alignment horizontal="left"/>
    </xf>
    <xf numFmtId="0" fontId="6" fillId="12" borderId="0" xfId="0" applyFont="1" applyFill="1"/>
    <xf numFmtId="0" fontId="6" fillId="13" borderId="0" xfId="0" applyFont="1" applyFill="1"/>
    <xf numFmtId="0" fontId="12" fillId="4" borderId="67" xfId="0" applyFont="1" applyFill="1" applyBorder="1" applyAlignment="1">
      <alignment horizontal="center" vertical="center"/>
    </xf>
    <xf numFmtId="0" fontId="6" fillId="6" borderId="32" xfId="0" applyFont="1" applyFill="1" applyBorder="1" applyAlignment="1">
      <alignment horizontal="center"/>
    </xf>
    <xf numFmtId="0" fontId="7" fillId="4" borderId="52" xfId="0" applyFont="1" applyFill="1" applyBorder="1" applyAlignment="1">
      <alignment horizontal="center"/>
    </xf>
    <xf numFmtId="0" fontId="7" fillId="4" borderId="49" xfId="0" applyFont="1" applyFill="1" applyBorder="1" applyAlignment="1">
      <alignment horizontal="center"/>
    </xf>
    <xf numFmtId="0" fontId="7" fillId="4" borderId="92" xfId="0" applyFont="1" applyFill="1" applyBorder="1" applyAlignment="1">
      <alignment horizontal="center"/>
    </xf>
    <xf numFmtId="0" fontId="7" fillId="4" borderId="27" xfId="0" applyFont="1" applyFill="1" applyBorder="1" applyAlignment="1">
      <alignment horizontal="center" textRotation="90" wrapText="1"/>
    </xf>
    <xf numFmtId="0" fontId="7" fillId="4" borderId="29" xfId="0" applyFont="1" applyFill="1" applyBorder="1" applyAlignment="1">
      <alignment horizontal="center" textRotation="90" wrapText="1"/>
    </xf>
    <xf numFmtId="0" fontId="7" fillId="4" borderId="26" xfId="0" applyFont="1" applyFill="1" applyBorder="1" applyAlignment="1">
      <alignment horizontal="center" textRotation="90" wrapText="1"/>
    </xf>
    <xf numFmtId="0" fontId="7" fillId="4" borderId="28" xfId="0" applyFont="1" applyFill="1" applyBorder="1" applyAlignment="1">
      <alignment horizontal="center" textRotation="90" wrapText="1"/>
    </xf>
    <xf numFmtId="164" fontId="7" fillId="4" borderId="27" xfId="0" applyNumberFormat="1" applyFont="1" applyFill="1" applyBorder="1" applyAlignment="1">
      <alignment horizontal="center" textRotation="90" wrapText="1"/>
    </xf>
    <xf numFmtId="164" fontId="7" fillId="4" borderId="29" xfId="0" applyNumberFormat="1" applyFont="1" applyFill="1" applyBorder="1" applyAlignment="1">
      <alignment horizontal="center" textRotation="90" wrapText="1"/>
    </xf>
    <xf numFmtId="0" fontId="7" fillId="0" borderId="0" xfId="0" applyFont="1" applyBorder="1" applyAlignment="1">
      <alignment horizontal="center" textRotation="90"/>
    </xf>
    <xf numFmtId="0" fontId="7" fillId="0" borderId="6" xfId="0" applyFont="1" applyBorder="1" applyAlignment="1">
      <alignment horizontal="center" textRotation="90"/>
    </xf>
    <xf numFmtId="0" fontId="7" fillId="5" borderId="76" xfId="0" applyFont="1" applyFill="1" applyBorder="1" applyAlignment="1">
      <alignment horizontal="center" textRotation="90"/>
    </xf>
    <xf numFmtId="0" fontId="7" fillId="5" borderId="78" xfId="0" applyFont="1" applyFill="1" applyBorder="1" applyAlignment="1">
      <alignment horizontal="center" textRotation="90"/>
    </xf>
    <xf numFmtId="0" fontId="7" fillId="5" borderId="80" xfId="0" applyFont="1" applyFill="1" applyBorder="1" applyAlignment="1">
      <alignment horizontal="center" textRotation="90"/>
    </xf>
    <xf numFmtId="0" fontId="7" fillId="5" borderId="77" xfId="0" applyFont="1" applyFill="1" applyBorder="1" applyAlignment="1">
      <alignment horizontal="center" textRotation="90" wrapText="1"/>
    </xf>
    <xf numFmtId="0" fontId="7" fillId="5" borderId="79" xfId="0" applyFont="1" applyFill="1" applyBorder="1" applyAlignment="1">
      <alignment horizontal="center" textRotation="90" wrapText="1"/>
    </xf>
    <xf numFmtId="0" fontId="7" fillId="5" borderId="81" xfId="0" applyFont="1" applyFill="1" applyBorder="1" applyAlignment="1">
      <alignment horizontal="center" textRotation="90" wrapText="1"/>
    </xf>
    <xf numFmtId="0" fontId="12" fillId="4" borderId="19" xfId="0" applyFont="1" applyFill="1" applyBorder="1" applyAlignment="1">
      <alignment horizontal="center"/>
    </xf>
    <xf numFmtId="0" fontId="12" fillId="4" borderId="20" xfId="0" applyFont="1" applyFill="1" applyBorder="1" applyAlignment="1">
      <alignment horizontal="center"/>
    </xf>
    <xf numFmtId="0" fontId="12" fillId="4" borderId="21" xfId="0" applyFont="1" applyFill="1" applyBorder="1" applyAlignment="1">
      <alignment horizontal="center"/>
    </xf>
    <xf numFmtId="0" fontId="7" fillId="4" borderId="35" xfId="0" applyFont="1" applyFill="1" applyBorder="1" applyAlignment="1">
      <alignment horizontal="center"/>
    </xf>
    <xf numFmtId="0" fontId="7" fillId="4" borderId="36" xfId="0" applyFont="1" applyFill="1" applyBorder="1" applyAlignment="1">
      <alignment horizontal="center"/>
    </xf>
    <xf numFmtId="0" fontId="7" fillId="4" borderId="37" xfId="0" applyFont="1" applyFill="1" applyBorder="1" applyAlignment="1">
      <alignment horizontal="center"/>
    </xf>
    <xf numFmtId="0" fontId="7" fillId="4" borderId="39" xfId="0" applyFont="1" applyFill="1" applyBorder="1" applyAlignment="1">
      <alignment horizontal="center" vertical="center" wrapText="1"/>
    </xf>
    <xf numFmtId="0" fontId="7" fillId="4" borderId="40" xfId="0" applyFont="1" applyFill="1" applyBorder="1" applyAlignment="1">
      <alignment horizontal="center" vertical="center" wrapText="1"/>
    </xf>
    <xf numFmtId="0" fontId="7" fillId="4" borderId="22" xfId="0" applyFont="1" applyFill="1" applyBorder="1" applyAlignment="1">
      <alignment horizontal="center" vertical="center" wrapText="1"/>
    </xf>
    <xf numFmtId="0" fontId="7" fillId="4" borderId="23" xfId="0" applyFont="1" applyFill="1" applyBorder="1" applyAlignment="1">
      <alignment horizontal="center" vertical="center" wrapText="1"/>
    </xf>
    <xf numFmtId="0" fontId="7" fillId="4" borderId="24" xfId="0" applyFont="1" applyFill="1" applyBorder="1" applyAlignment="1">
      <alignment horizontal="center" vertical="center" wrapText="1"/>
    </xf>
    <xf numFmtId="0" fontId="7" fillId="4" borderId="25" xfId="0" applyFont="1" applyFill="1" applyBorder="1" applyAlignment="1">
      <alignment horizontal="center" vertical="center" wrapText="1"/>
    </xf>
    <xf numFmtId="0" fontId="7" fillId="4" borderId="39" xfId="0" applyFont="1" applyFill="1" applyBorder="1" applyAlignment="1">
      <alignment horizontal="center" vertical="center"/>
    </xf>
    <xf numFmtId="0" fontId="7" fillId="4" borderId="40" xfId="0" applyFont="1" applyFill="1" applyBorder="1" applyAlignment="1">
      <alignment horizontal="center" vertical="center"/>
    </xf>
    <xf numFmtId="0" fontId="7" fillId="4" borderId="22" xfId="0" applyFont="1" applyFill="1" applyBorder="1" applyAlignment="1">
      <alignment horizontal="center" vertical="center"/>
    </xf>
    <xf numFmtId="0" fontId="7" fillId="4" borderId="23" xfId="0" applyFont="1" applyFill="1" applyBorder="1" applyAlignment="1">
      <alignment horizontal="center" vertical="center"/>
    </xf>
    <xf numFmtId="0" fontId="7" fillId="4" borderId="24" xfId="0" applyFont="1" applyFill="1" applyBorder="1" applyAlignment="1">
      <alignment horizontal="center" vertical="center"/>
    </xf>
    <xf numFmtId="0" fontId="7" fillId="4" borderId="25" xfId="0" applyFont="1" applyFill="1" applyBorder="1" applyAlignment="1">
      <alignment horizontal="center" vertical="center"/>
    </xf>
    <xf numFmtId="0" fontId="7" fillId="4" borderId="54" xfId="0" applyFont="1" applyFill="1" applyBorder="1" applyAlignment="1">
      <alignment horizontal="center"/>
    </xf>
    <xf numFmtId="0" fontId="7" fillId="4" borderId="55" xfId="0" applyFont="1" applyFill="1" applyBorder="1" applyAlignment="1">
      <alignment horizontal="center"/>
    </xf>
    <xf numFmtId="0" fontId="7" fillId="4" borderId="56" xfId="0" applyFont="1" applyFill="1" applyBorder="1" applyAlignment="1">
      <alignment horizontal="center"/>
    </xf>
    <xf numFmtId="0" fontId="7" fillId="4" borderId="45" xfId="0" applyFont="1" applyFill="1" applyBorder="1" applyAlignment="1">
      <alignment horizontal="center" vertical="center" wrapText="1"/>
    </xf>
    <xf numFmtId="0" fontId="7" fillId="4" borderId="46" xfId="0" applyFont="1" applyFill="1" applyBorder="1" applyAlignment="1">
      <alignment horizontal="center" vertical="center" wrapText="1"/>
    </xf>
    <xf numFmtId="0" fontId="7" fillId="4" borderId="13" xfId="0" applyFont="1" applyFill="1" applyBorder="1" applyAlignment="1">
      <alignment horizontal="center" textRotation="90" wrapText="1"/>
    </xf>
    <xf numFmtId="0" fontId="7" fillId="4" borderId="17" xfId="0" applyFont="1" applyFill="1" applyBorder="1" applyAlignment="1">
      <alignment horizontal="center" textRotation="90" wrapText="1"/>
    </xf>
    <xf numFmtId="0" fontId="7" fillId="4" borderId="0"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47" xfId="0" applyFont="1" applyFill="1" applyBorder="1" applyAlignment="1">
      <alignment horizontal="center" vertical="center" wrapText="1"/>
    </xf>
    <xf numFmtId="0" fontId="7" fillId="4" borderId="51" xfId="0" applyFont="1" applyFill="1" applyBorder="1" applyAlignment="1">
      <alignment horizontal="center" vertical="center" textRotation="90" wrapText="1"/>
    </xf>
    <xf numFmtId="0" fontId="7" fillId="4" borderId="26" xfId="0" applyFont="1" applyFill="1" applyBorder="1" applyAlignment="1">
      <alignment horizontal="center" vertical="center" textRotation="90" wrapText="1"/>
    </xf>
    <xf numFmtId="0" fontId="7" fillId="4" borderId="43" xfId="0" applyFont="1" applyFill="1" applyBorder="1" applyAlignment="1">
      <alignment horizontal="center" vertical="center" textRotation="90" wrapText="1"/>
    </xf>
    <xf numFmtId="164" fontId="7" fillId="4" borderId="50" xfId="0" applyNumberFormat="1" applyFont="1" applyFill="1" applyBorder="1" applyAlignment="1">
      <alignment horizontal="center" vertical="center" textRotation="90" wrapText="1"/>
    </xf>
    <xf numFmtId="164" fontId="7" fillId="4" borderId="27" xfId="0" applyNumberFormat="1" applyFont="1" applyFill="1" applyBorder="1" applyAlignment="1">
      <alignment horizontal="center" vertical="center" textRotation="90" wrapText="1"/>
    </xf>
    <xf numFmtId="164" fontId="7" fillId="4" borderId="41" xfId="0" applyNumberFormat="1" applyFont="1" applyFill="1" applyBorder="1" applyAlignment="1">
      <alignment horizontal="center" vertical="center" textRotation="90" wrapText="1"/>
    </xf>
    <xf numFmtId="0" fontId="7" fillId="4" borderId="50" xfId="0" applyFont="1" applyFill="1" applyBorder="1" applyAlignment="1">
      <alignment horizontal="center" vertical="center" textRotation="90" wrapText="1"/>
    </xf>
    <xf numFmtId="0" fontId="7" fillId="4" borderId="27" xfId="0" applyFont="1" applyFill="1" applyBorder="1" applyAlignment="1">
      <alignment horizontal="center" vertical="center" textRotation="90" wrapText="1"/>
    </xf>
    <xf numFmtId="0" fontId="7" fillId="4" borderId="41" xfId="0" applyFont="1" applyFill="1" applyBorder="1" applyAlignment="1">
      <alignment horizontal="center" vertical="center" textRotation="90" wrapText="1"/>
    </xf>
    <xf numFmtId="0" fontId="15" fillId="4" borderId="68" xfId="0" applyFont="1" applyFill="1" applyBorder="1" applyAlignment="1">
      <alignment horizontal="center" vertical="center" wrapText="1"/>
    </xf>
    <xf numFmtId="0" fontId="15" fillId="4" borderId="71" xfId="0" applyFont="1" applyFill="1" applyBorder="1" applyAlignment="1">
      <alignment horizontal="center" vertical="center" wrapText="1"/>
    </xf>
    <xf numFmtId="0" fontId="15" fillId="4" borderId="69" xfId="0" applyFont="1" applyFill="1" applyBorder="1" applyAlignment="1">
      <alignment horizontal="center" vertical="center" wrapText="1"/>
    </xf>
    <xf numFmtId="0" fontId="7" fillId="0" borderId="0" xfId="0" applyFont="1" applyAlignment="1">
      <alignment horizontal="right"/>
    </xf>
    <xf numFmtId="0" fontId="7" fillId="0" borderId="59" xfId="0" applyFont="1" applyBorder="1" applyAlignment="1">
      <alignment horizontal="right"/>
    </xf>
    <xf numFmtId="0" fontId="12" fillId="5" borderId="60" xfId="0" applyFont="1" applyFill="1" applyBorder="1" applyAlignment="1">
      <alignment horizontal="center" vertical="center" textRotation="90"/>
    </xf>
    <xf numFmtId="0" fontId="12" fillId="5" borderId="61" xfId="0" applyFont="1" applyFill="1" applyBorder="1" applyAlignment="1">
      <alignment horizontal="center" vertical="center" textRotation="90"/>
    </xf>
    <xf numFmtId="0" fontId="12" fillId="5" borderId="62" xfId="0" applyFont="1" applyFill="1" applyBorder="1" applyAlignment="1">
      <alignment horizontal="center" vertical="center" textRotation="90"/>
    </xf>
    <xf numFmtId="0" fontId="6" fillId="5" borderId="63" xfId="0" applyFont="1" applyFill="1" applyBorder="1" applyAlignment="1">
      <alignment horizontal="center"/>
    </xf>
    <xf numFmtId="0" fontId="6" fillId="5" borderId="64" xfId="0" applyFont="1" applyFill="1" applyBorder="1" applyAlignment="1">
      <alignment horizontal="center"/>
    </xf>
    <xf numFmtId="0" fontId="14" fillId="2" borderId="39" xfId="0" applyFont="1" applyFill="1" applyBorder="1" applyAlignment="1">
      <alignment vertical="center" wrapText="1"/>
    </xf>
    <xf numFmtId="0" fontId="14" fillId="2" borderId="40" xfId="0" applyFont="1" applyFill="1" applyBorder="1" applyAlignment="1">
      <alignment vertical="center" wrapText="1"/>
    </xf>
    <xf numFmtId="0" fontId="14" fillId="2" borderId="22" xfId="0" applyFont="1" applyFill="1" applyBorder="1" applyAlignment="1">
      <alignment vertical="center" wrapText="1"/>
    </xf>
    <xf numFmtId="0" fontId="14" fillId="2" borderId="23" xfId="0" applyFont="1" applyFill="1" applyBorder="1" applyAlignment="1">
      <alignment vertical="center" wrapText="1"/>
    </xf>
    <xf numFmtId="0" fontId="14" fillId="2" borderId="45" xfId="0" applyFont="1" applyFill="1" applyBorder="1" applyAlignment="1">
      <alignment vertical="center" wrapText="1"/>
    </xf>
    <xf numFmtId="0" fontId="14" fillId="2" borderId="46" xfId="0" applyFont="1" applyFill="1" applyBorder="1" applyAlignment="1">
      <alignment vertical="center" wrapText="1"/>
    </xf>
    <xf numFmtId="0" fontId="7" fillId="4" borderId="12" xfId="0" applyFont="1" applyFill="1" applyBorder="1" applyAlignment="1">
      <alignment horizontal="center" vertical="center" textRotation="90" wrapText="1"/>
    </xf>
    <xf numFmtId="0" fontId="7" fillId="4" borderId="13" xfId="0" applyFont="1" applyFill="1" applyBorder="1" applyAlignment="1">
      <alignment horizontal="center" vertical="center" textRotation="90" wrapText="1"/>
    </xf>
    <xf numFmtId="0" fontId="7" fillId="4" borderId="14" xfId="0" applyFont="1" applyFill="1" applyBorder="1" applyAlignment="1">
      <alignment horizontal="center" vertical="center" textRotation="90" wrapText="1"/>
    </xf>
    <xf numFmtId="0" fontId="7" fillId="4" borderId="19" xfId="0" applyFont="1" applyFill="1" applyBorder="1" applyAlignment="1">
      <alignment horizontal="center"/>
    </xf>
    <xf numFmtId="0" fontId="7" fillId="4" borderId="20" xfId="0" applyFont="1" applyFill="1" applyBorder="1" applyAlignment="1">
      <alignment horizontal="center"/>
    </xf>
    <xf numFmtId="0" fontId="7" fillId="4" borderId="21" xfId="0" applyFont="1" applyFill="1" applyBorder="1" applyAlignment="1">
      <alignment horizontal="center"/>
    </xf>
    <xf numFmtId="0" fontId="15" fillId="4" borderId="68" xfId="0" applyFont="1" applyFill="1" applyBorder="1" applyAlignment="1">
      <alignment horizontal="left" vertical="center" wrapText="1"/>
    </xf>
    <xf numFmtId="0" fontId="15" fillId="4" borderId="71" xfId="0" applyFont="1" applyFill="1" applyBorder="1" applyAlignment="1">
      <alignment horizontal="left" vertical="center" wrapText="1"/>
    </xf>
    <xf numFmtId="0" fontId="15" fillId="4" borderId="69" xfId="0" applyFont="1" applyFill="1" applyBorder="1" applyAlignment="1">
      <alignment horizontal="left" vertical="center" wrapText="1"/>
    </xf>
    <xf numFmtId="0" fontId="7" fillId="4" borderId="32" xfId="0" applyFont="1" applyFill="1" applyBorder="1" applyAlignment="1">
      <alignment horizontal="center" textRotation="90" wrapText="1"/>
    </xf>
    <xf numFmtId="0" fontId="7" fillId="4" borderId="32" xfId="0" applyFont="1" applyFill="1" applyBorder="1" applyAlignment="1">
      <alignment horizontal="center" textRotation="90"/>
    </xf>
    <xf numFmtId="0" fontId="7" fillId="4" borderId="74" xfId="0" applyFont="1" applyFill="1" applyBorder="1" applyAlignment="1">
      <alignment horizontal="center" textRotation="90"/>
    </xf>
    <xf numFmtId="0" fontId="7" fillId="4" borderId="72" xfId="0" applyFont="1" applyFill="1" applyBorder="1" applyAlignment="1">
      <alignment horizontal="center" textRotation="90" wrapText="1"/>
    </xf>
    <xf numFmtId="0" fontId="7" fillId="4" borderId="5" xfId="0" applyFont="1" applyFill="1" applyBorder="1" applyAlignment="1">
      <alignment horizontal="center" textRotation="90" wrapText="1"/>
    </xf>
    <xf numFmtId="0" fontId="7" fillId="4" borderId="8" xfId="0" applyFont="1" applyFill="1" applyBorder="1" applyAlignment="1">
      <alignment horizontal="center" textRotation="90" wrapText="1"/>
    </xf>
    <xf numFmtId="0" fontId="12" fillId="4" borderId="48" xfId="0" applyFont="1" applyFill="1" applyBorder="1" applyAlignment="1">
      <alignment horizontal="center"/>
    </xf>
    <xf numFmtId="0" fontId="12" fillId="4" borderId="52" xfId="0" applyFont="1" applyFill="1" applyBorder="1" applyAlignment="1">
      <alignment horizontal="center"/>
    </xf>
    <xf numFmtId="0" fontId="12" fillId="4" borderId="49" xfId="0" applyFont="1" applyFill="1" applyBorder="1" applyAlignment="1">
      <alignment horizontal="center"/>
    </xf>
    <xf numFmtId="0" fontId="7" fillId="4" borderId="30" xfId="0" applyFont="1" applyFill="1" applyBorder="1" applyAlignment="1">
      <alignment horizontal="center"/>
    </xf>
    <xf numFmtId="0" fontId="7" fillId="4" borderId="3" xfId="0" applyFont="1" applyFill="1" applyBorder="1" applyAlignment="1">
      <alignment horizontal="center"/>
    </xf>
    <xf numFmtId="0" fontId="7" fillId="4" borderId="32" xfId="0" applyFont="1" applyFill="1" applyBorder="1" applyAlignment="1">
      <alignment horizontal="center"/>
    </xf>
    <xf numFmtId="0" fontId="7" fillId="5" borderId="87" xfId="0" applyFont="1" applyFill="1" applyBorder="1" applyAlignment="1">
      <alignment horizontal="center" textRotation="90" wrapText="1"/>
    </xf>
    <xf numFmtId="0" fontId="7" fillId="5" borderId="63" xfId="0" applyFont="1" applyFill="1" applyBorder="1" applyAlignment="1">
      <alignment horizontal="center" textRotation="90"/>
    </xf>
    <xf numFmtId="0" fontId="7" fillId="5" borderId="88" xfId="0" applyFont="1" applyFill="1" applyBorder="1" applyAlignment="1">
      <alignment horizontal="center" textRotation="90"/>
    </xf>
    <xf numFmtId="0" fontId="7" fillId="4" borderId="30" xfId="0" applyFont="1" applyFill="1" applyBorder="1" applyAlignment="1">
      <alignment horizontal="center" textRotation="90"/>
    </xf>
    <xf numFmtId="0" fontId="7" fillId="4" borderId="73" xfId="0" applyFont="1" applyFill="1" applyBorder="1" applyAlignment="1">
      <alignment horizontal="center" textRotation="90"/>
    </xf>
    <xf numFmtId="0" fontId="7" fillId="4" borderId="3" xfId="0" applyFont="1" applyFill="1" applyBorder="1" applyAlignment="1">
      <alignment horizontal="center" textRotation="90"/>
    </xf>
    <xf numFmtId="0" fontId="7" fillId="4" borderId="7" xfId="0" applyFont="1" applyFill="1" applyBorder="1" applyAlignment="1">
      <alignment horizontal="center" textRotation="90"/>
    </xf>
    <xf numFmtId="0" fontId="7" fillId="4" borderId="3" xfId="0" applyFont="1" applyFill="1" applyBorder="1" applyAlignment="1">
      <alignment horizontal="center" textRotation="90" wrapText="1"/>
    </xf>
    <xf numFmtId="0" fontId="7" fillId="4" borderId="7" xfId="0" applyFont="1" applyFill="1" applyBorder="1" applyAlignment="1">
      <alignment horizontal="center" textRotation="90" wrapText="1"/>
    </xf>
    <xf numFmtId="0" fontId="7" fillId="4" borderId="4" xfId="0" applyFont="1" applyFill="1" applyBorder="1" applyAlignment="1">
      <alignment horizontal="center" textRotation="90" wrapText="1"/>
    </xf>
    <xf numFmtId="0" fontId="7" fillId="0" borderId="16" xfId="0" applyFont="1" applyBorder="1" applyAlignment="1">
      <alignment horizontal="center" textRotation="90"/>
    </xf>
    <xf numFmtId="0" fontId="7" fillId="4" borderId="52" xfId="0" applyFont="1" applyFill="1" applyBorder="1" applyAlignment="1">
      <alignment horizontal="center" textRotation="90" wrapText="1"/>
    </xf>
    <xf numFmtId="0" fontId="7" fillId="4" borderId="49" xfId="0" applyFont="1" applyFill="1" applyBorder="1" applyAlignment="1">
      <alignment horizontal="center" textRotation="90" wrapText="1"/>
    </xf>
    <xf numFmtId="0" fontId="12" fillId="4" borderId="33" xfId="0" applyFont="1" applyFill="1" applyBorder="1" applyAlignment="1">
      <alignment horizontal="center"/>
    </xf>
    <xf numFmtId="0" fontId="12" fillId="4" borderId="75" xfId="0" applyFont="1" applyFill="1" applyBorder="1" applyAlignment="1">
      <alignment horizontal="center"/>
    </xf>
    <xf numFmtId="0" fontId="12" fillId="4" borderId="34" xfId="0" applyFont="1" applyFill="1" applyBorder="1" applyAlignment="1">
      <alignment horizontal="center"/>
    </xf>
    <xf numFmtId="0" fontId="7" fillId="4" borderId="52" xfId="0" applyFont="1" applyFill="1" applyBorder="1" applyAlignment="1">
      <alignment horizontal="center" textRotation="90"/>
    </xf>
    <xf numFmtId="0" fontId="18" fillId="14" borderId="89" xfId="0" applyFont="1" applyFill="1" applyBorder="1" applyAlignment="1">
      <alignment horizontal="center" vertical="center"/>
    </xf>
    <xf numFmtId="0" fontId="18" fillId="14" borderId="90" xfId="0" applyFont="1" applyFill="1" applyBorder="1" applyAlignment="1">
      <alignment horizontal="center" vertical="center"/>
    </xf>
    <xf numFmtId="0" fontId="8" fillId="14" borderId="90" xfId="0" applyFont="1" applyFill="1" applyBorder="1" applyAlignment="1">
      <alignment horizontal="center" vertical="center" wrapText="1"/>
    </xf>
    <xf numFmtId="0" fontId="8" fillId="14" borderId="91" xfId="0" applyFont="1" applyFill="1" applyBorder="1" applyAlignment="1">
      <alignment horizontal="center" vertical="center" wrapText="1"/>
    </xf>
    <xf numFmtId="0" fontId="7" fillId="4" borderId="48" xfId="0" applyFont="1" applyFill="1" applyBorder="1" applyAlignment="1">
      <alignment horizontal="center" textRotation="90"/>
    </xf>
    <xf numFmtId="0" fontId="7" fillId="4" borderId="9" xfId="0" applyFont="1" applyFill="1" applyBorder="1" applyAlignment="1">
      <alignment horizontal="center" textRotation="90" wrapText="1"/>
    </xf>
    <xf numFmtId="0" fontId="12" fillId="4" borderId="94" xfId="0" applyFont="1" applyFill="1" applyBorder="1" applyAlignment="1">
      <alignment horizontal="center"/>
    </xf>
    <xf numFmtId="0" fontId="12" fillId="4" borderId="95" xfId="0" applyFont="1" applyFill="1" applyBorder="1" applyAlignment="1">
      <alignment horizontal="center"/>
    </xf>
    <xf numFmtId="0" fontId="12" fillId="4" borderId="96" xfId="0" applyFont="1" applyFill="1" applyBorder="1" applyAlignment="1">
      <alignment horizontal="center"/>
    </xf>
    <xf numFmtId="0" fontId="12" fillId="4" borderId="19" xfId="0" applyFont="1" applyFill="1" applyBorder="1" applyAlignment="1">
      <alignment horizontal="right"/>
    </xf>
    <xf numFmtId="0" fontId="12" fillId="4" borderId="21" xfId="0" applyFont="1" applyFill="1" applyBorder="1" applyAlignment="1">
      <alignment horizontal="right"/>
    </xf>
    <xf numFmtId="0" fontId="7" fillId="4" borderId="93" xfId="0" applyFont="1" applyFill="1" applyBorder="1" applyAlignment="1">
      <alignment horizontal="center" textRotation="90"/>
    </xf>
    <xf numFmtId="0" fontId="7" fillId="4" borderId="97" xfId="0" applyFont="1" applyFill="1" applyBorder="1" applyAlignment="1">
      <alignment horizontal="center" textRotation="90"/>
    </xf>
    <xf numFmtId="0" fontId="7" fillId="4" borderId="22" xfId="0" applyFont="1" applyFill="1" applyBorder="1" applyAlignment="1">
      <alignment horizontal="center" textRotation="90"/>
    </xf>
    <xf numFmtId="0" fontId="7" fillId="4" borderId="23" xfId="0" applyFont="1" applyFill="1" applyBorder="1" applyAlignment="1">
      <alignment horizontal="center" textRotation="90"/>
    </xf>
    <xf numFmtId="0" fontId="7" fillId="4" borderId="45" xfId="0" applyFont="1" applyFill="1" applyBorder="1" applyAlignment="1">
      <alignment horizontal="center" textRotation="90"/>
    </xf>
    <xf numFmtId="0" fontId="7" fillId="4" borderId="46" xfId="0" applyFont="1" applyFill="1" applyBorder="1" applyAlignment="1">
      <alignment horizontal="center" textRotation="90"/>
    </xf>
    <xf numFmtId="0" fontId="7" fillId="4" borderId="11" xfId="0" applyFont="1" applyFill="1" applyBorder="1" applyAlignment="1">
      <alignment horizontal="center" textRotation="90"/>
    </xf>
    <xf numFmtId="0" fontId="5" fillId="0" borderId="0" xfId="0" applyFont="1" applyAlignment="1">
      <alignment horizontal="center"/>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2">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395DA5"/>
      <color rgb="FFE6F1FF"/>
      <color rgb="FFC0EBFF"/>
      <color rgb="FFFBFBFF"/>
      <color rgb="FFE5F5FF"/>
      <color rgb="FFF15B9C"/>
      <color rgb="FFBADA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62"/>
  <sheetViews>
    <sheetView tabSelected="1" showRuler="0" workbookViewId="0"/>
  </sheetViews>
  <sheetFormatPr baseColWidth="10" defaultRowHeight="16" x14ac:dyDescent="0.2"/>
  <cols>
    <col min="1" max="1" width="5.6640625" style="19" customWidth="1"/>
    <col min="2" max="2" width="5.6640625"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10" width="6.6640625" style="20" customWidth="1"/>
    <col min="11" max="11" width="6.6640625" style="50" customWidth="1"/>
    <col min="12" max="49" width="6.6640625" style="20" customWidth="1"/>
    <col min="50" max="50" width="113.83203125" style="19" customWidth="1"/>
    <col min="51" max="16384" width="10.83203125" style="19"/>
  </cols>
  <sheetData>
    <row r="1" spans="1:50" ht="17" thickBot="1" x14ac:dyDescent="0.25">
      <c r="D1" s="37"/>
    </row>
    <row r="2" spans="1:50" ht="19" x14ac:dyDescent="0.25">
      <c r="D2" s="96" t="s">
        <v>228</v>
      </c>
      <c r="J2" s="115" t="s">
        <v>44</v>
      </c>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7"/>
    </row>
    <row r="3" spans="1:50" ht="19" customHeight="1" thickBot="1" x14ac:dyDescent="0.25">
      <c r="D3" s="152" t="s">
        <v>231</v>
      </c>
      <c r="J3" s="118" t="s">
        <v>45</v>
      </c>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20"/>
    </row>
    <row r="4" spans="1:50" ht="19" customHeight="1" x14ac:dyDescent="0.2">
      <c r="B4" s="95"/>
      <c r="D4" s="153"/>
      <c r="J4" s="127" t="s">
        <v>49</v>
      </c>
      <c r="K4" s="128"/>
      <c r="L4" s="127" t="s">
        <v>50</v>
      </c>
      <c r="M4" s="128"/>
      <c r="N4" s="127" t="s">
        <v>51</v>
      </c>
      <c r="O4" s="128"/>
      <c r="P4" s="121" t="s">
        <v>214</v>
      </c>
      <c r="Q4" s="122"/>
      <c r="R4" s="121" t="s">
        <v>53</v>
      </c>
      <c r="S4" s="122"/>
      <c r="T4" s="121" t="s">
        <v>54</v>
      </c>
      <c r="U4" s="122"/>
      <c r="V4" s="121" t="s">
        <v>55</v>
      </c>
      <c r="W4" s="122"/>
      <c r="X4" s="121" t="s">
        <v>56</v>
      </c>
      <c r="Y4" s="122"/>
      <c r="Z4" s="121" t="s">
        <v>57</v>
      </c>
      <c r="AA4" s="122"/>
      <c r="AB4" s="121" t="s">
        <v>58</v>
      </c>
      <c r="AC4" s="122"/>
      <c r="AD4" s="121" t="s">
        <v>210</v>
      </c>
      <c r="AE4" s="122"/>
      <c r="AF4" s="121" t="s">
        <v>60</v>
      </c>
      <c r="AG4" s="122"/>
      <c r="AH4" s="121" t="s">
        <v>61</v>
      </c>
      <c r="AI4" s="122"/>
      <c r="AJ4" s="121" t="s">
        <v>62</v>
      </c>
      <c r="AK4" s="122"/>
      <c r="AL4" s="121" t="s">
        <v>237</v>
      </c>
      <c r="AM4" s="122"/>
      <c r="AN4" s="121" t="s">
        <v>64</v>
      </c>
      <c r="AO4" s="122"/>
      <c r="AP4" s="121" t="s">
        <v>65</v>
      </c>
      <c r="AQ4" s="122"/>
      <c r="AR4" s="121" t="s">
        <v>66</v>
      </c>
      <c r="AS4" s="122"/>
      <c r="AT4" s="121" t="s">
        <v>213</v>
      </c>
      <c r="AU4" s="122"/>
      <c r="AV4" s="140" t="s">
        <v>184</v>
      </c>
      <c r="AW4" s="124"/>
    </row>
    <row r="5" spans="1:50" ht="19" customHeight="1" thickBot="1" x14ac:dyDescent="0.25">
      <c r="A5" s="33"/>
      <c r="B5" s="35"/>
      <c r="D5" s="154"/>
      <c r="J5" s="129"/>
      <c r="K5" s="130"/>
      <c r="L5" s="129"/>
      <c r="M5" s="130"/>
      <c r="N5" s="129"/>
      <c r="O5" s="130"/>
      <c r="P5" s="123"/>
      <c r="Q5" s="124"/>
      <c r="R5" s="123"/>
      <c r="S5" s="124"/>
      <c r="T5" s="123"/>
      <c r="U5" s="124"/>
      <c r="V5" s="123"/>
      <c r="W5" s="124"/>
      <c r="X5" s="123"/>
      <c r="Y5" s="124"/>
      <c r="Z5" s="123"/>
      <c r="AA5" s="124"/>
      <c r="AB5" s="123"/>
      <c r="AC5" s="124"/>
      <c r="AD5" s="123"/>
      <c r="AE5" s="124"/>
      <c r="AF5" s="123"/>
      <c r="AG5" s="124"/>
      <c r="AH5" s="123"/>
      <c r="AI5" s="124"/>
      <c r="AJ5" s="123"/>
      <c r="AK5" s="124"/>
      <c r="AL5" s="123"/>
      <c r="AM5" s="124"/>
      <c r="AN5" s="123"/>
      <c r="AO5" s="124"/>
      <c r="AP5" s="123"/>
      <c r="AQ5" s="124"/>
      <c r="AR5" s="123"/>
      <c r="AS5" s="124"/>
      <c r="AT5" s="123"/>
      <c r="AU5" s="124"/>
      <c r="AV5" s="140"/>
      <c r="AW5" s="124"/>
    </row>
    <row r="6" spans="1:50" ht="19" customHeight="1" thickBot="1" x14ac:dyDescent="0.25">
      <c r="A6" s="34"/>
      <c r="B6" s="94"/>
      <c r="G6" s="19"/>
      <c r="H6" s="19"/>
      <c r="I6" s="19"/>
      <c r="J6" s="131"/>
      <c r="K6" s="132"/>
      <c r="L6" s="131"/>
      <c r="M6" s="132"/>
      <c r="N6" s="131"/>
      <c r="O6" s="132"/>
      <c r="P6" s="125"/>
      <c r="Q6" s="126"/>
      <c r="R6" s="125"/>
      <c r="S6" s="126"/>
      <c r="T6" s="125"/>
      <c r="U6" s="126"/>
      <c r="V6" s="125"/>
      <c r="W6" s="126"/>
      <c r="X6" s="125"/>
      <c r="Y6" s="126"/>
      <c r="Z6" s="125"/>
      <c r="AA6" s="126"/>
      <c r="AB6" s="125"/>
      <c r="AC6" s="126"/>
      <c r="AD6" s="125"/>
      <c r="AE6" s="126"/>
      <c r="AF6" s="125"/>
      <c r="AG6" s="126"/>
      <c r="AH6" s="125"/>
      <c r="AI6" s="126"/>
      <c r="AJ6" s="125"/>
      <c r="AK6" s="126"/>
      <c r="AL6" s="125"/>
      <c r="AM6" s="126"/>
      <c r="AN6" s="125"/>
      <c r="AO6" s="126"/>
      <c r="AP6" s="125"/>
      <c r="AQ6" s="126"/>
      <c r="AR6" s="125"/>
      <c r="AS6" s="126"/>
      <c r="AT6" s="125"/>
      <c r="AU6" s="126"/>
      <c r="AV6" s="141"/>
      <c r="AW6" s="126"/>
    </row>
    <row r="7" spans="1:50" ht="20" customHeight="1" x14ac:dyDescent="0.2">
      <c r="A7" s="107" t="s">
        <v>201</v>
      </c>
      <c r="B7" s="107" t="s">
        <v>233</v>
      </c>
      <c r="G7" s="107" t="s">
        <v>46</v>
      </c>
      <c r="H7" s="109" t="s">
        <v>47</v>
      </c>
      <c r="I7" s="112" t="s">
        <v>48</v>
      </c>
      <c r="J7" s="103" t="s">
        <v>212</v>
      </c>
      <c r="K7" s="105" t="s">
        <v>211</v>
      </c>
      <c r="L7" s="103" t="s">
        <v>212</v>
      </c>
      <c r="M7" s="101" t="s">
        <v>211</v>
      </c>
      <c r="N7" s="103" t="s">
        <v>212</v>
      </c>
      <c r="O7" s="101" t="s">
        <v>211</v>
      </c>
      <c r="P7" s="103" t="s">
        <v>212</v>
      </c>
      <c r="Q7" s="101" t="s">
        <v>211</v>
      </c>
      <c r="R7" s="103" t="s">
        <v>212</v>
      </c>
      <c r="S7" s="101" t="s">
        <v>211</v>
      </c>
      <c r="T7" s="103" t="s">
        <v>212</v>
      </c>
      <c r="U7" s="101" t="s">
        <v>211</v>
      </c>
      <c r="V7" s="103" t="s">
        <v>212</v>
      </c>
      <c r="W7" s="101" t="s">
        <v>211</v>
      </c>
      <c r="X7" s="103" t="s">
        <v>212</v>
      </c>
      <c r="Y7" s="101" t="s">
        <v>211</v>
      </c>
      <c r="Z7" s="103" t="s">
        <v>212</v>
      </c>
      <c r="AA7" s="101" t="s">
        <v>211</v>
      </c>
      <c r="AB7" s="103" t="s">
        <v>212</v>
      </c>
      <c r="AC7" s="101" t="s">
        <v>211</v>
      </c>
      <c r="AD7" s="103" t="s">
        <v>212</v>
      </c>
      <c r="AE7" s="101" t="s">
        <v>211</v>
      </c>
      <c r="AF7" s="103" t="s">
        <v>212</v>
      </c>
      <c r="AG7" s="101" t="s">
        <v>211</v>
      </c>
      <c r="AH7" s="103" t="s">
        <v>212</v>
      </c>
      <c r="AI7" s="101" t="s">
        <v>211</v>
      </c>
      <c r="AJ7" s="103" t="s">
        <v>212</v>
      </c>
      <c r="AK7" s="101" t="s">
        <v>211</v>
      </c>
      <c r="AL7" s="103" t="s">
        <v>212</v>
      </c>
      <c r="AM7" s="101" t="s">
        <v>211</v>
      </c>
      <c r="AN7" s="103" t="s">
        <v>212</v>
      </c>
      <c r="AO7" s="101" t="s">
        <v>211</v>
      </c>
      <c r="AP7" s="103" t="s">
        <v>212</v>
      </c>
      <c r="AQ7" s="101" t="s">
        <v>211</v>
      </c>
      <c r="AR7" s="103" t="s">
        <v>212</v>
      </c>
      <c r="AS7" s="101" t="s">
        <v>211</v>
      </c>
      <c r="AT7" s="103" t="s">
        <v>212</v>
      </c>
      <c r="AU7" s="101" t="s">
        <v>211</v>
      </c>
      <c r="AV7" s="138" t="s">
        <v>212</v>
      </c>
      <c r="AW7" s="101" t="s">
        <v>211</v>
      </c>
    </row>
    <row r="8" spans="1:50" ht="20" customHeight="1" x14ac:dyDescent="0.2">
      <c r="A8" s="107"/>
      <c r="B8" s="107"/>
      <c r="G8" s="107"/>
      <c r="H8" s="110"/>
      <c r="I8" s="113"/>
      <c r="J8" s="103"/>
      <c r="K8" s="105"/>
      <c r="L8" s="103"/>
      <c r="M8" s="101"/>
      <c r="N8" s="103"/>
      <c r="O8" s="101"/>
      <c r="P8" s="103"/>
      <c r="Q8" s="101"/>
      <c r="R8" s="103"/>
      <c r="S8" s="101"/>
      <c r="T8" s="103"/>
      <c r="U8" s="101"/>
      <c r="V8" s="103"/>
      <c r="W8" s="101"/>
      <c r="X8" s="103"/>
      <c r="Y8" s="101"/>
      <c r="Z8" s="103"/>
      <c r="AA8" s="101"/>
      <c r="AB8" s="103"/>
      <c r="AC8" s="101"/>
      <c r="AD8" s="103"/>
      <c r="AE8" s="101"/>
      <c r="AF8" s="103"/>
      <c r="AG8" s="101"/>
      <c r="AH8" s="103"/>
      <c r="AI8" s="101"/>
      <c r="AJ8" s="103"/>
      <c r="AK8" s="101"/>
      <c r="AL8" s="103"/>
      <c r="AM8" s="101"/>
      <c r="AN8" s="103"/>
      <c r="AO8" s="101"/>
      <c r="AP8" s="103"/>
      <c r="AQ8" s="101"/>
      <c r="AR8" s="103"/>
      <c r="AS8" s="101"/>
      <c r="AT8" s="103"/>
      <c r="AU8" s="101"/>
      <c r="AV8" s="138"/>
      <c r="AW8" s="101"/>
    </row>
    <row r="9" spans="1:50" ht="20" customHeight="1" x14ac:dyDescent="0.2">
      <c r="A9" s="107"/>
      <c r="B9" s="107"/>
      <c r="G9" s="107"/>
      <c r="H9" s="110"/>
      <c r="I9" s="113"/>
      <c r="J9" s="103"/>
      <c r="K9" s="105"/>
      <c r="L9" s="103"/>
      <c r="M9" s="101"/>
      <c r="N9" s="103"/>
      <c r="O9" s="101"/>
      <c r="P9" s="103"/>
      <c r="Q9" s="101"/>
      <c r="R9" s="103"/>
      <c r="S9" s="101"/>
      <c r="T9" s="103"/>
      <c r="U9" s="101"/>
      <c r="V9" s="103"/>
      <c r="W9" s="101"/>
      <c r="X9" s="103"/>
      <c r="Y9" s="101"/>
      <c r="Z9" s="103"/>
      <c r="AA9" s="101"/>
      <c r="AB9" s="103"/>
      <c r="AC9" s="101"/>
      <c r="AD9" s="103"/>
      <c r="AE9" s="101"/>
      <c r="AF9" s="103"/>
      <c r="AG9" s="101"/>
      <c r="AH9" s="103"/>
      <c r="AI9" s="101"/>
      <c r="AJ9" s="103"/>
      <c r="AK9" s="101"/>
      <c r="AL9" s="103"/>
      <c r="AM9" s="101"/>
      <c r="AN9" s="103"/>
      <c r="AO9" s="101"/>
      <c r="AP9" s="103"/>
      <c r="AQ9" s="101"/>
      <c r="AR9" s="103"/>
      <c r="AS9" s="101"/>
      <c r="AT9" s="103"/>
      <c r="AU9" s="101"/>
      <c r="AV9" s="138"/>
      <c r="AW9" s="101"/>
    </row>
    <row r="10" spans="1:50" ht="20" customHeight="1" x14ac:dyDescent="0.2">
      <c r="A10" s="107"/>
      <c r="B10" s="107"/>
      <c r="G10" s="107"/>
      <c r="H10" s="110"/>
      <c r="I10" s="113"/>
      <c r="J10" s="103"/>
      <c r="K10" s="105"/>
      <c r="L10" s="103"/>
      <c r="M10" s="101"/>
      <c r="N10" s="103"/>
      <c r="O10" s="101"/>
      <c r="P10" s="103"/>
      <c r="Q10" s="101"/>
      <c r="R10" s="103"/>
      <c r="S10" s="101"/>
      <c r="T10" s="103"/>
      <c r="U10" s="101"/>
      <c r="V10" s="103"/>
      <c r="W10" s="101"/>
      <c r="X10" s="103"/>
      <c r="Y10" s="101"/>
      <c r="Z10" s="103"/>
      <c r="AA10" s="101"/>
      <c r="AB10" s="103"/>
      <c r="AC10" s="101"/>
      <c r="AD10" s="103"/>
      <c r="AE10" s="101"/>
      <c r="AF10" s="103"/>
      <c r="AG10" s="101"/>
      <c r="AH10" s="103"/>
      <c r="AI10" s="101"/>
      <c r="AJ10" s="103"/>
      <c r="AK10" s="101"/>
      <c r="AL10" s="103"/>
      <c r="AM10" s="101"/>
      <c r="AN10" s="103"/>
      <c r="AO10" s="101"/>
      <c r="AP10" s="103"/>
      <c r="AQ10" s="101"/>
      <c r="AR10" s="103"/>
      <c r="AS10" s="101"/>
      <c r="AT10" s="103"/>
      <c r="AU10" s="101"/>
      <c r="AV10" s="138"/>
      <c r="AW10" s="101"/>
    </row>
    <row r="11" spans="1:50" s="23" customFormat="1" ht="20" customHeight="1" thickBot="1" x14ac:dyDescent="0.25">
      <c r="A11" s="108"/>
      <c r="B11" s="108"/>
      <c r="C11" s="22" t="s">
        <v>68</v>
      </c>
      <c r="D11" s="21" t="s">
        <v>69</v>
      </c>
      <c r="E11" s="21" t="s">
        <v>70</v>
      </c>
      <c r="F11" s="22" t="s">
        <v>71</v>
      </c>
      <c r="G11" s="108"/>
      <c r="H11" s="111"/>
      <c r="I11" s="114"/>
      <c r="J11" s="104"/>
      <c r="K11" s="106"/>
      <c r="L11" s="104"/>
      <c r="M11" s="102"/>
      <c r="N11" s="104"/>
      <c r="O11" s="102"/>
      <c r="P11" s="104"/>
      <c r="Q11" s="102"/>
      <c r="R11" s="104"/>
      <c r="S11" s="102"/>
      <c r="T11" s="104"/>
      <c r="U11" s="102"/>
      <c r="V11" s="104"/>
      <c r="W11" s="102"/>
      <c r="X11" s="104"/>
      <c r="Y11" s="102"/>
      <c r="Z11" s="104"/>
      <c r="AA11" s="102"/>
      <c r="AB11" s="104"/>
      <c r="AC11" s="102"/>
      <c r="AD11" s="104"/>
      <c r="AE11" s="102"/>
      <c r="AF11" s="104"/>
      <c r="AG11" s="102"/>
      <c r="AH11" s="104"/>
      <c r="AI11" s="102"/>
      <c r="AJ11" s="104"/>
      <c r="AK11" s="102"/>
      <c r="AL11" s="104"/>
      <c r="AM11" s="102"/>
      <c r="AN11" s="104"/>
      <c r="AO11" s="102"/>
      <c r="AP11" s="104"/>
      <c r="AQ11" s="102"/>
      <c r="AR11" s="104"/>
      <c r="AS11" s="102"/>
      <c r="AT11" s="104"/>
      <c r="AU11" s="102"/>
      <c r="AV11" s="139"/>
      <c r="AW11" s="102"/>
      <c r="AX11" s="21" t="s">
        <v>72</v>
      </c>
    </row>
    <row r="12" spans="1:50" ht="20" customHeight="1" x14ac:dyDescent="0.2">
      <c r="A12" s="36"/>
      <c r="B12" s="95"/>
      <c r="C12" s="20" t="s">
        <v>220</v>
      </c>
      <c r="D12" s="19" t="s">
        <v>73</v>
      </c>
      <c r="E12" s="19" t="s">
        <v>74</v>
      </c>
      <c r="F12" s="20">
        <v>2015</v>
      </c>
      <c r="G12" s="20">
        <v>3</v>
      </c>
      <c r="H12" s="85">
        <v>100</v>
      </c>
      <c r="I12" s="86" t="s">
        <v>75</v>
      </c>
      <c r="J12" s="38">
        <v>13</v>
      </c>
      <c r="K12" s="51">
        <f>IF((ISERROR((J12/$H12)*100)), "", IF(AND(NOT(ISERROR((J12/$H12)*100)),((J12/$H12)*100) &lt;&gt; 0), (J12/$H12)*100, ""))</f>
        <v>13</v>
      </c>
      <c r="L12" s="38">
        <v>1</v>
      </c>
      <c r="M12" s="51">
        <f>IF((ISERROR((L12/$H12)*100)), "", IF(AND(NOT(ISERROR((L12/$H12)*100)),((L12/$H12)*100) &lt;&gt; 0), (L12/$H12)*100, ""))</f>
        <v>1</v>
      </c>
      <c r="N12" s="38"/>
      <c r="O12" s="51" t="str">
        <f t="shared" ref="O12:O52" si="0">IF((ISERROR((N12/$H12)*100)), "", IF(AND(NOT(ISERROR((N12/$H12)*100)),((N12/$H12)*100) &lt;&gt; 0), (N12/$H12)*100, ""))</f>
        <v/>
      </c>
      <c r="P12" s="38"/>
      <c r="Q12" s="51" t="str">
        <f t="shared" ref="Q12:Q52" si="1">IF((ISERROR((P12/$H12)*100)), "", IF(AND(NOT(ISERROR((P12/$H12)*100)),((P12/$H12)*100) &lt;&gt; 0), (P12/$H12)*100, ""))</f>
        <v/>
      </c>
      <c r="R12" s="38"/>
      <c r="S12" s="51" t="str">
        <f t="shared" ref="S12:S52" si="2">IF((ISERROR((R12/$H12)*100)), "", IF(AND(NOT(ISERROR((R12/$H12)*100)),((R12/$H12)*100) &lt;&gt; 0), (R12/$H12)*100, ""))</f>
        <v/>
      </c>
      <c r="T12" s="38"/>
      <c r="U12" s="51" t="str">
        <f t="shared" ref="U12:U52" si="3">IF((ISERROR((T12/$H12)*100)), "", IF(AND(NOT(ISERROR((T12/$H12)*100)),((T12/$H12)*100) &lt;&gt; 0), (T12/$H12)*100, ""))</f>
        <v/>
      </c>
      <c r="V12" s="38"/>
      <c r="W12" s="51" t="str">
        <f t="shared" ref="W12:W52" si="4">IF((ISERROR((V12/$H12)*100)), "", IF(AND(NOT(ISERROR((V12/$H12)*100)),((V12/$H12)*100) &lt;&gt; 0), (V12/$H12)*100, ""))</f>
        <v/>
      </c>
      <c r="X12" s="38"/>
      <c r="Y12" s="55" t="str">
        <f t="shared" ref="Y12:Y52" si="5">IF((ISERROR((X12/$H12)*100)), "", IF(AND(NOT(ISERROR((X12/$H12)*100)),((X12/$H12)*100) &lt;&gt; 0), (X12/$H12)*100, ""))</f>
        <v/>
      </c>
      <c r="Z12" s="46"/>
      <c r="AA12" s="55" t="str">
        <f t="shared" ref="AA12:AA52" si="6">IF((ISERROR((Z12/$H12)*100)), "", IF(AND(NOT(ISERROR((Z12/$H12)*100)),((Z12/$H12)*100) &lt;&gt; 0), (Z12/$H12)*100, ""))</f>
        <v/>
      </c>
      <c r="AB12" s="47"/>
      <c r="AC12" s="56" t="str">
        <f t="shared" ref="AC12:AC52" si="7">IF((ISERROR((AB12/$H12)*100)), "", IF(AND(NOT(ISERROR((AB12/$H12)*100)),((AB12/$H12)*100) &lt;&gt; 0), (AB12/$H12)*100, ""))</f>
        <v/>
      </c>
      <c r="AD12" s="47"/>
      <c r="AE12" s="56" t="str">
        <f t="shared" ref="AE12:AE52" si="8">IF((ISERROR((AD12/$H12)*100)), "", IF(AND(NOT(ISERROR((AD12/$H12)*100)),((AD12/$H12)*100) &lt;&gt; 0), (AD12/$H12)*100, ""))</f>
        <v/>
      </c>
      <c r="AF12" s="47"/>
      <c r="AG12" s="56" t="str">
        <f t="shared" ref="AG12:AG52" si="9">IF((ISERROR((AF12/$H12)*100)), "", IF(AND(NOT(ISERROR((AF12/$H12)*100)),((AF12/$H12)*100) &lt;&gt; 0), (AF12/$H12)*100, ""))</f>
        <v/>
      </c>
      <c r="AH12" s="47"/>
      <c r="AI12" s="56" t="str">
        <f t="shared" ref="AI12:AI52" si="10">IF((ISERROR((AH12/$H12)*100)), "", IF(AND(NOT(ISERROR((AH12/$H12)*100)),((AH12/$H12)*100) &lt;&gt; 0), (AH12/$H12)*100, ""))</f>
        <v/>
      </c>
      <c r="AJ12" s="47"/>
      <c r="AK12" s="56" t="str">
        <f t="shared" ref="AK12:AK52" si="11">IF((ISERROR((AJ12/$H12)*100)), "", IF(AND(NOT(ISERROR((AJ12/$H12)*100)),((AJ12/$H12)*100) &lt;&gt; 0), (AJ12/$H12)*100, ""))</f>
        <v/>
      </c>
      <c r="AL12" s="47"/>
      <c r="AM12" s="56" t="str">
        <f t="shared" ref="AM12:AM52" si="12">IF((ISERROR((AL12/$H12)*100)), "", IF(AND(NOT(ISERROR((AL12/$H12)*100)),((AL12/$H12)*100) &lt;&gt; 0), (AL12/$H12)*100, ""))</f>
        <v/>
      </c>
      <c r="AN12" s="47"/>
      <c r="AO12" s="56" t="str">
        <f t="shared" ref="AO12:AO52" si="13">IF((ISERROR((AN12/$H12)*100)), "", IF(AND(NOT(ISERROR((AN12/$H12)*100)),((AN12/$H12)*100) &lt;&gt; 0), (AN12/$H12)*100, ""))</f>
        <v/>
      </c>
      <c r="AP12" s="47"/>
      <c r="AQ12" s="56" t="str">
        <f t="shared" ref="AQ12:AQ52" si="14">IF((ISERROR((AP12/$H12)*100)), "", IF(AND(NOT(ISERROR((AP12/$H12)*100)),((AP12/$H12)*100) &lt;&gt; 0), (AP12/$H12)*100, ""))</f>
        <v/>
      </c>
      <c r="AR12" s="47"/>
      <c r="AS12" s="56" t="str">
        <f t="shared" ref="AS12:AS52" si="15">IF((ISERROR((AR12/$H12)*100)), "", IF(AND(NOT(ISERROR((AR12/$H12)*100)),((AR12/$H12)*100) &lt;&gt; 0), (AR12/$H12)*100, ""))</f>
        <v/>
      </c>
      <c r="AT12" s="47"/>
      <c r="AU12" s="56" t="str">
        <f t="shared" ref="AU12:AU52" si="16">IF((ISERROR((AT12/$H12)*100)), "", IF(AND(NOT(ISERROR((AT12/$H12)*100)),((AT12/$H12)*100) &lt;&gt; 0), (AT12/$H12)*100, ""))</f>
        <v/>
      </c>
      <c r="AV12" s="45"/>
      <c r="AW12" s="56" t="str">
        <f t="shared" ref="AW12:AW52" si="17">IF((ISERROR((AV12/$H12)*100)), "", IF(AND(NOT(ISERROR((AV12/$H12)*100)),((AV12/$H12)*100) &lt;&gt; 0), (AV12/$H12)*100, ""))</f>
        <v/>
      </c>
      <c r="AX12" s="19" t="s">
        <v>218</v>
      </c>
    </row>
    <row r="13" spans="1:50" ht="20" customHeight="1" x14ac:dyDescent="0.2">
      <c r="A13" s="36"/>
      <c r="B13" s="95"/>
      <c r="C13" s="20" t="s">
        <v>220</v>
      </c>
      <c r="D13" s="19" t="s">
        <v>76</v>
      </c>
      <c r="E13" s="19" t="s">
        <v>77</v>
      </c>
      <c r="F13" s="20">
        <v>2014</v>
      </c>
      <c r="G13" s="20">
        <v>9</v>
      </c>
      <c r="H13" s="87">
        <v>82</v>
      </c>
      <c r="I13" s="88"/>
      <c r="J13" s="38">
        <v>8</v>
      </c>
      <c r="K13" s="51">
        <f t="shared" ref="K13" si="18">IF((ISERROR((J13/H13)*100)), "", IF(AND(NOT(ISERROR((J13/H13)*100)),((J13/H13)*100) &lt;&gt; 0), (J13/H13)*100, ""))</f>
        <v>9.7560975609756095</v>
      </c>
      <c r="L13" s="38"/>
      <c r="M13" s="51" t="str">
        <f t="shared" ref="M13:M52" si="19">IF((ISERROR((L13/$H13)*100)), "", IF(AND(NOT(ISERROR((L13/$H13)*100)),((L13/$H13)*100) &lt;&gt; 0), (L13/$H13)*100, ""))</f>
        <v/>
      </c>
      <c r="N13" s="38"/>
      <c r="O13" s="51" t="str">
        <f t="shared" si="0"/>
        <v/>
      </c>
      <c r="P13" s="38"/>
      <c r="Q13" s="51" t="str">
        <f t="shared" si="1"/>
        <v/>
      </c>
      <c r="R13" s="38"/>
      <c r="S13" s="51" t="str">
        <f t="shared" si="2"/>
        <v/>
      </c>
      <c r="T13" s="38"/>
      <c r="U13" s="51" t="str">
        <f t="shared" si="3"/>
        <v/>
      </c>
      <c r="V13" s="38"/>
      <c r="W13" s="51" t="str">
        <f t="shared" si="4"/>
        <v/>
      </c>
      <c r="X13" s="38"/>
      <c r="Y13" s="51" t="str">
        <f t="shared" si="5"/>
        <v/>
      </c>
      <c r="Z13" s="38"/>
      <c r="AA13" s="51" t="str">
        <f t="shared" si="6"/>
        <v/>
      </c>
      <c r="AB13" s="38"/>
      <c r="AC13" s="51" t="str">
        <f t="shared" si="7"/>
        <v/>
      </c>
      <c r="AD13" s="38"/>
      <c r="AE13" s="51" t="str">
        <f t="shared" si="8"/>
        <v/>
      </c>
      <c r="AF13" s="38"/>
      <c r="AG13" s="51" t="str">
        <f t="shared" si="9"/>
        <v/>
      </c>
      <c r="AH13" s="38"/>
      <c r="AI13" s="51" t="str">
        <f t="shared" si="10"/>
        <v/>
      </c>
      <c r="AJ13" s="38"/>
      <c r="AK13" s="51" t="str">
        <f t="shared" si="11"/>
        <v/>
      </c>
      <c r="AL13" s="38"/>
      <c r="AM13" s="51" t="str">
        <f t="shared" si="12"/>
        <v/>
      </c>
      <c r="AN13" s="38"/>
      <c r="AO13" s="51" t="str">
        <f t="shared" si="13"/>
        <v/>
      </c>
      <c r="AP13" s="38"/>
      <c r="AQ13" s="51" t="str">
        <f t="shared" si="14"/>
        <v/>
      </c>
      <c r="AR13" s="38"/>
      <c r="AS13" s="51" t="str">
        <f t="shared" si="15"/>
        <v/>
      </c>
      <c r="AT13" s="38"/>
      <c r="AU13" s="51" t="str">
        <f t="shared" si="16"/>
        <v/>
      </c>
      <c r="AV13" s="42"/>
      <c r="AW13" s="51" t="str">
        <f t="shared" si="17"/>
        <v/>
      </c>
      <c r="AX13" s="27" t="s">
        <v>219</v>
      </c>
    </row>
    <row r="14" spans="1:50" ht="20" customHeight="1" x14ac:dyDescent="0.2">
      <c r="A14" s="33"/>
      <c r="D14" s="19" t="s">
        <v>79</v>
      </c>
      <c r="E14" s="19" t="s">
        <v>80</v>
      </c>
      <c r="F14" s="20">
        <v>2013</v>
      </c>
      <c r="G14" s="20">
        <v>15</v>
      </c>
      <c r="H14" s="87"/>
      <c r="I14" s="88"/>
      <c r="J14" s="38"/>
      <c r="K14" s="51" t="str">
        <f>IF((ISERROR((J14/H14)*100)), "", IF(AND(NOT(ISERROR((J14/H14)*100)),((J14/H14)*100) &lt;&gt; 0), (J14/H14)*100, ""))</f>
        <v/>
      </c>
      <c r="L14" s="38"/>
      <c r="M14" s="51" t="str">
        <f t="shared" si="19"/>
        <v/>
      </c>
      <c r="N14" s="38"/>
      <c r="O14" s="51" t="str">
        <f t="shared" si="0"/>
        <v/>
      </c>
      <c r="P14" s="38"/>
      <c r="Q14" s="51" t="str">
        <f t="shared" si="1"/>
        <v/>
      </c>
      <c r="R14" s="38"/>
      <c r="S14" s="51" t="str">
        <f t="shared" si="2"/>
        <v/>
      </c>
      <c r="T14" s="38"/>
      <c r="U14" s="51" t="str">
        <f t="shared" si="3"/>
        <v/>
      </c>
      <c r="V14" s="38"/>
      <c r="W14" s="51" t="str">
        <f t="shared" si="4"/>
        <v/>
      </c>
      <c r="X14" s="38"/>
      <c r="Y14" s="51" t="str">
        <f t="shared" si="5"/>
        <v/>
      </c>
      <c r="Z14" s="38"/>
      <c r="AA14" s="51" t="str">
        <f t="shared" si="6"/>
        <v/>
      </c>
      <c r="AB14" s="38"/>
      <c r="AC14" s="51" t="str">
        <f t="shared" si="7"/>
        <v/>
      </c>
      <c r="AD14" s="38"/>
      <c r="AE14" s="51" t="str">
        <f t="shared" si="8"/>
        <v/>
      </c>
      <c r="AF14" s="38"/>
      <c r="AG14" s="51" t="str">
        <f t="shared" si="9"/>
        <v/>
      </c>
      <c r="AH14" s="38"/>
      <c r="AI14" s="51" t="str">
        <f t="shared" si="10"/>
        <v/>
      </c>
      <c r="AJ14" s="38"/>
      <c r="AK14" s="51" t="str">
        <f t="shared" si="11"/>
        <v/>
      </c>
      <c r="AL14" s="38"/>
      <c r="AM14" s="51" t="str">
        <f t="shared" si="12"/>
        <v/>
      </c>
      <c r="AN14" s="38"/>
      <c r="AO14" s="51" t="str">
        <f t="shared" si="13"/>
        <v/>
      </c>
      <c r="AP14" s="38"/>
      <c r="AQ14" s="51" t="str">
        <f t="shared" si="14"/>
        <v/>
      </c>
      <c r="AR14" s="38"/>
      <c r="AS14" s="51" t="str">
        <f t="shared" si="15"/>
        <v/>
      </c>
      <c r="AT14" s="38"/>
      <c r="AU14" s="51" t="str">
        <f t="shared" si="16"/>
        <v/>
      </c>
      <c r="AV14" s="42"/>
      <c r="AW14" s="51" t="str">
        <f t="shared" si="17"/>
        <v/>
      </c>
      <c r="AX14" s="27" t="s">
        <v>78</v>
      </c>
    </row>
    <row r="15" spans="1:50" ht="20" customHeight="1" x14ac:dyDescent="0.2">
      <c r="A15" s="33"/>
      <c r="C15" s="20" t="s">
        <v>220</v>
      </c>
      <c r="D15" s="19" t="s">
        <v>81</v>
      </c>
      <c r="E15" s="19" t="s">
        <v>82</v>
      </c>
      <c r="F15" s="20">
        <v>1986</v>
      </c>
      <c r="G15" s="20">
        <v>146</v>
      </c>
      <c r="H15" s="87">
        <v>13</v>
      </c>
      <c r="I15" s="88" t="s">
        <v>83</v>
      </c>
      <c r="J15" s="38"/>
      <c r="K15" s="51" t="str">
        <f t="shared" ref="K15:K52" si="20">IF((ISERROR((J15/H15)*100)), "", IF(AND(NOT(ISERROR((J15/H15)*100)),((J15/H15)*100) &lt;&gt; 0), (J15/H15)*100, ""))</f>
        <v/>
      </c>
      <c r="L15" s="38"/>
      <c r="M15" s="51" t="str">
        <f t="shared" si="19"/>
        <v/>
      </c>
      <c r="N15" s="38">
        <v>13</v>
      </c>
      <c r="O15" s="51">
        <f t="shared" si="0"/>
        <v>100</v>
      </c>
      <c r="P15" s="38"/>
      <c r="Q15" s="51" t="str">
        <f t="shared" si="1"/>
        <v/>
      </c>
      <c r="R15" s="38"/>
      <c r="S15" s="51" t="str">
        <f t="shared" si="2"/>
        <v/>
      </c>
      <c r="T15" s="38"/>
      <c r="U15" s="51" t="str">
        <f t="shared" si="3"/>
        <v/>
      </c>
      <c r="V15" s="38"/>
      <c r="W15" s="51" t="str">
        <f t="shared" si="4"/>
        <v/>
      </c>
      <c r="X15" s="38"/>
      <c r="Y15" s="51" t="str">
        <f t="shared" si="5"/>
        <v/>
      </c>
      <c r="Z15" s="38"/>
      <c r="AA15" s="51" t="str">
        <f t="shared" si="6"/>
        <v/>
      </c>
      <c r="AB15" s="38"/>
      <c r="AC15" s="51" t="str">
        <f t="shared" si="7"/>
        <v/>
      </c>
      <c r="AD15" s="38"/>
      <c r="AE15" s="51" t="str">
        <f t="shared" si="8"/>
        <v/>
      </c>
      <c r="AF15" s="38"/>
      <c r="AG15" s="51" t="str">
        <f t="shared" si="9"/>
        <v/>
      </c>
      <c r="AH15" s="38"/>
      <c r="AI15" s="51" t="str">
        <f t="shared" si="10"/>
        <v/>
      </c>
      <c r="AJ15" s="38"/>
      <c r="AK15" s="51" t="str">
        <f t="shared" si="11"/>
        <v/>
      </c>
      <c r="AL15" s="38"/>
      <c r="AM15" s="51" t="str">
        <f t="shared" si="12"/>
        <v/>
      </c>
      <c r="AN15" s="38"/>
      <c r="AO15" s="51" t="str">
        <f t="shared" si="13"/>
        <v/>
      </c>
      <c r="AP15" s="38"/>
      <c r="AQ15" s="51" t="str">
        <f t="shared" si="14"/>
        <v/>
      </c>
      <c r="AR15" s="38"/>
      <c r="AS15" s="51" t="str">
        <f t="shared" si="15"/>
        <v/>
      </c>
      <c r="AT15" s="38"/>
      <c r="AU15" s="51" t="str">
        <f t="shared" si="16"/>
        <v/>
      </c>
      <c r="AV15" s="42"/>
      <c r="AW15" s="51" t="str">
        <f t="shared" si="17"/>
        <v/>
      </c>
      <c r="AX15" s="27" t="s">
        <v>221</v>
      </c>
    </row>
    <row r="16" spans="1:50" ht="20" customHeight="1" x14ac:dyDescent="0.2">
      <c r="A16" s="33"/>
      <c r="D16" s="19" t="s">
        <v>85</v>
      </c>
      <c r="E16" s="19" t="s">
        <v>86</v>
      </c>
      <c r="F16" s="20">
        <v>2008</v>
      </c>
      <c r="G16" s="20">
        <v>33</v>
      </c>
      <c r="H16" s="87">
        <v>101</v>
      </c>
      <c r="I16" s="88"/>
      <c r="J16" s="38">
        <v>6</v>
      </c>
      <c r="K16" s="51">
        <f t="shared" si="20"/>
        <v>5.9405940594059405</v>
      </c>
      <c r="L16" s="38">
        <v>6</v>
      </c>
      <c r="M16" s="51">
        <f t="shared" si="19"/>
        <v>5.9405940594059405</v>
      </c>
      <c r="N16" s="38"/>
      <c r="O16" s="51" t="str">
        <f t="shared" si="0"/>
        <v/>
      </c>
      <c r="P16" s="38"/>
      <c r="Q16" s="51" t="str">
        <f t="shared" si="1"/>
        <v/>
      </c>
      <c r="R16" s="38"/>
      <c r="S16" s="51" t="str">
        <f t="shared" si="2"/>
        <v/>
      </c>
      <c r="T16" s="38"/>
      <c r="U16" s="51" t="str">
        <f t="shared" si="3"/>
        <v/>
      </c>
      <c r="V16" s="38"/>
      <c r="W16" s="51" t="str">
        <f t="shared" si="4"/>
        <v/>
      </c>
      <c r="X16" s="38"/>
      <c r="Y16" s="51" t="str">
        <f t="shared" si="5"/>
        <v/>
      </c>
      <c r="Z16" s="38"/>
      <c r="AA16" s="51" t="str">
        <f t="shared" si="6"/>
        <v/>
      </c>
      <c r="AB16" s="38"/>
      <c r="AC16" s="51" t="str">
        <f t="shared" si="7"/>
        <v/>
      </c>
      <c r="AD16" s="38"/>
      <c r="AE16" s="51" t="str">
        <f t="shared" si="8"/>
        <v/>
      </c>
      <c r="AF16" s="38"/>
      <c r="AG16" s="51" t="str">
        <f t="shared" si="9"/>
        <v/>
      </c>
      <c r="AH16" s="38"/>
      <c r="AI16" s="51" t="str">
        <f t="shared" si="10"/>
        <v/>
      </c>
      <c r="AJ16" s="38"/>
      <c r="AK16" s="51" t="str">
        <f t="shared" si="11"/>
        <v/>
      </c>
      <c r="AL16" s="38"/>
      <c r="AM16" s="51" t="str">
        <f t="shared" si="12"/>
        <v/>
      </c>
      <c r="AN16" s="38"/>
      <c r="AO16" s="51" t="str">
        <f t="shared" si="13"/>
        <v/>
      </c>
      <c r="AP16" s="38"/>
      <c r="AQ16" s="51" t="str">
        <f t="shared" si="14"/>
        <v/>
      </c>
      <c r="AR16" s="38"/>
      <c r="AS16" s="51" t="str">
        <f t="shared" si="15"/>
        <v/>
      </c>
      <c r="AT16" s="38"/>
      <c r="AU16" s="51" t="str">
        <f t="shared" si="16"/>
        <v/>
      </c>
      <c r="AV16" s="42"/>
      <c r="AW16" s="51" t="str">
        <f t="shared" si="17"/>
        <v/>
      </c>
      <c r="AX16" s="19" t="s">
        <v>87</v>
      </c>
    </row>
    <row r="17" spans="1:50" ht="20" customHeight="1" x14ac:dyDescent="0.2">
      <c r="A17" s="36"/>
      <c r="B17" s="95"/>
      <c r="D17" s="19" t="s">
        <v>88</v>
      </c>
      <c r="E17" s="19" t="s">
        <v>89</v>
      </c>
      <c r="F17" s="20">
        <v>2011</v>
      </c>
      <c r="H17" s="87">
        <v>1</v>
      </c>
      <c r="I17" s="88"/>
      <c r="J17" s="38">
        <v>1</v>
      </c>
      <c r="K17" s="51">
        <f t="shared" si="20"/>
        <v>100</v>
      </c>
      <c r="L17" s="38"/>
      <c r="M17" s="51" t="str">
        <f t="shared" si="19"/>
        <v/>
      </c>
      <c r="N17" s="38"/>
      <c r="O17" s="51" t="str">
        <f t="shared" si="0"/>
        <v/>
      </c>
      <c r="P17" s="38">
        <v>1</v>
      </c>
      <c r="Q17" s="51">
        <f t="shared" si="1"/>
        <v>100</v>
      </c>
      <c r="R17" s="38">
        <v>1</v>
      </c>
      <c r="S17" s="51">
        <f t="shared" si="2"/>
        <v>100</v>
      </c>
      <c r="T17" s="38">
        <v>1</v>
      </c>
      <c r="U17" s="51">
        <f t="shared" si="3"/>
        <v>100</v>
      </c>
      <c r="V17" s="38"/>
      <c r="W17" s="51" t="str">
        <f t="shared" si="4"/>
        <v/>
      </c>
      <c r="X17" s="38"/>
      <c r="Y17" s="51" t="str">
        <f t="shared" si="5"/>
        <v/>
      </c>
      <c r="Z17" s="38"/>
      <c r="AA17" s="51" t="str">
        <f t="shared" si="6"/>
        <v/>
      </c>
      <c r="AB17" s="38"/>
      <c r="AC17" s="51" t="str">
        <f t="shared" si="7"/>
        <v/>
      </c>
      <c r="AD17" s="38"/>
      <c r="AE17" s="51" t="str">
        <f t="shared" si="8"/>
        <v/>
      </c>
      <c r="AF17" s="38"/>
      <c r="AG17" s="51" t="str">
        <f t="shared" si="9"/>
        <v/>
      </c>
      <c r="AH17" s="38"/>
      <c r="AI17" s="51" t="str">
        <f t="shared" si="10"/>
        <v/>
      </c>
      <c r="AJ17" s="38"/>
      <c r="AK17" s="51" t="str">
        <f t="shared" si="11"/>
        <v/>
      </c>
      <c r="AL17" s="38"/>
      <c r="AM17" s="51" t="str">
        <f t="shared" si="12"/>
        <v/>
      </c>
      <c r="AN17" s="38"/>
      <c r="AO17" s="51" t="str">
        <f t="shared" si="13"/>
        <v/>
      </c>
      <c r="AP17" s="38"/>
      <c r="AQ17" s="51" t="str">
        <f t="shared" si="14"/>
        <v/>
      </c>
      <c r="AR17" s="38"/>
      <c r="AS17" s="51" t="str">
        <f t="shared" si="15"/>
        <v/>
      </c>
      <c r="AT17" s="38"/>
      <c r="AU17" s="51" t="str">
        <f t="shared" si="16"/>
        <v/>
      </c>
      <c r="AV17" s="42"/>
      <c r="AW17" s="51" t="str">
        <f t="shared" si="17"/>
        <v/>
      </c>
      <c r="AX17" s="19" t="s">
        <v>90</v>
      </c>
    </row>
    <row r="18" spans="1:50" ht="20" customHeight="1" x14ac:dyDescent="0.2">
      <c r="A18" s="33"/>
      <c r="D18" s="19" t="s">
        <v>91</v>
      </c>
      <c r="E18" s="19" t="s">
        <v>92</v>
      </c>
      <c r="F18" s="20">
        <v>2010</v>
      </c>
      <c r="G18" s="20">
        <v>17</v>
      </c>
      <c r="H18" s="87">
        <v>83</v>
      </c>
      <c r="I18" s="88"/>
      <c r="J18" s="38"/>
      <c r="K18" s="51" t="str">
        <f t="shared" si="20"/>
        <v/>
      </c>
      <c r="L18" s="38"/>
      <c r="M18" s="51" t="str">
        <f t="shared" si="19"/>
        <v/>
      </c>
      <c r="N18" s="38"/>
      <c r="O18" s="51" t="str">
        <f t="shared" si="0"/>
        <v/>
      </c>
      <c r="P18" s="38"/>
      <c r="Q18" s="51" t="str">
        <f t="shared" si="1"/>
        <v/>
      </c>
      <c r="R18" s="38"/>
      <c r="S18" s="51" t="str">
        <f t="shared" si="2"/>
        <v/>
      </c>
      <c r="T18" s="38"/>
      <c r="U18" s="51" t="str">
        <f t="shared" si="3"/>
        <v/>
      </c>
      <c r="V18" s="38"/>
      <c r="W18" s="51" t="str">
        <f t="shared" si="4"/>
        <v/>
      </c>
      <c r="X18" s="38"/>
      <c r="Y18" s="51" t="str">
        <f t="shared" si="5"/>
        <v/>
      </c>
      <c r="Z18" s="38"/>
      <c r="AA18" s="51" t="str">
        <f t="shared" si="6"/>
        <v/>
      </c>
      <c r="AB18" s="38"/>
      <c r="AC18" s="51" t="str">
        <f t="shared" si="7"/>
        <v/>
      </c>
      <c r="AD18" s="38"/>
      <c r="AE18" s="51" t="str">
        <f t="shared" si="8"/>
        <v/>
      </c>
      <c r="AF18" s="38"/>
      <c r="AG18" s="51" t="str">
        <f t="shared" si="9"/>
        <v/>
      </c>
      <c r="AH18" s="38"/>
      <c r="AI18" s="51" t="str">
        <f t="shared" si="10"/>
        <v/>
      </c>
      <c r="AJ18" s="38"/>
      <c r="AK18" s="51" t="str">
        <f t="shared" si="11"/>
        <v/>
      </c>
      <c r="AL18" s="38"/>
      <c r="AM18" s="51" t="str">
        <f t="shared" si="12"/>
        <v/>
      </c>
      <c r="AN18" s="38"/>
      <c r="AO18" s="51" t="str">
        <f t="shared" si="13"/>
        <v/>
      </c>
      <c r="AP18" s="38"/>
      <c r="AQ18" s="51" t="str">
        <f t="shared" si="14"/>
        <v/>
      </c>
      <c r="AR18" s="38"/>
      <c r="AS18" s="51" t="str">
        <f t="shared" si="15"/>
        <v/>
      </c>
      <c r="AT18" s="38"/>
      <c r="AU18" s="51" t="str">
        <f t="shared" si="16"/>
        <v/>
      </c>
      <c r="AV18" s="42"/>
      <c r="AW18" s="51" t="str">
        <f t="shared" si="17"/>
        <v/>
      </c>
      <c r="AX18" s="19" t="s">
        <v>93</v>
      </c>
    </row>
    <row r="19" spans="1:50" ht="20" customHeight="1" x14ac:dyDescent="0.2">
      <c r="A19" s="33"/>
      <c r="D19" s="19" t="s">
        <v>94</v>
      </c>
      <c r="E19" s="19" t="s">
        <v>95</v>
      </c>
      <c r="F19" s="20">
        <v>2013</v>
      </c>
      <c r="G19" s="20">
        <v>13</v>
      </c>
      <c r="H19" s="87">
        <v>201</v>
      </c>
      <c r="I19" s="88"/>
      <c r="J19" s="38">
        <v>16</v>
      </c>
      <c r="K19" s="51">
        <f t="shared" si="20"/>
        <v>7.9601990049751246</v>
      </c>
      <c r="L19" s="38"/>
      <c r="M19" s="51" t="str">
        <f t="shared" si="19"/>
        <v/>
      </c>
      <c r="N19" s="38"/>
      <c r="O19" s="51" t="str">
        <f t="shared" si="0"/>
        <v/>
      </c>
      <c r="P19" s="38"/>
      <c r="Q19" s="51" t="str">
        <f t="shared" si="1"/>
        <v/>
      </c>
      <c r="R19" s="38"/>
      <c r="S19" s="51" t="str">
        <f t="shared" si="2"/>
        <v/>
      </c>
      <c r="T19" s="38"/>
      <c r="U19" s="51" t="str">
        <f t="shared" si="3"/>
        <v/>
      </c>
      <c r="V19" s="38"/>
      <c r="W19" s="51" t="str">
        <f t="shared" si="4"/>
        <v/>
      </c>
      <c r="X19" s="38"/>
      <c r="Y19" s="51" t="str">
        <f t="shared" si="5"/>
        <v/>
      </c>
      <c r="Z19" s="38"/>
      <c r="AA19" s="51" t="str">
        <f t="shared" si="6"/>
        <v/>
      </c>
      <c r="AB19" s="38"/>
      <c r="AC19" s="51" t="str">
        <f t="shared" si="7"/>
        <v/>
      </c>
      <c r="AD19" s="38"/>
      <c r="AE19" s="51" t="str">
        <f t="shared" si="8"/>
        <v/>
      </c>
      <c r="AF19" s="38"/>
      <c r="AG19" s="51" t="str">
        <f t="shared" si="9"/>
        <v/>
      </c>
      <c r="AH19" s="38"/>
      <c r="AI19" s="51" t="str">
        <f t="shared" si="10"/>
        <v/>
      </c>
      <c r="AJ19" s="38"/>
      <c r="AK19" s="51" t="str">
        <f t="shared" si="11"/>
        <v/>
      </c>
      <c r="AL19" s="38"/>
      <c r="AM19" s="51" t="str">
        <f t="shared" si="12"/>
        <v/>
      </c>
      <c r="AN19" s="38"/>
      <c r="AO19" s="51" t="str">
        <f t="shared" si="13"/>
        <v/>
      </c>
      <c r="AP19" s="38"/>
      <c r="AQ19" s="51" t="str">
        <f t="shared" si="14"/>
        <v/>
      </c>
      <c r="AR19" s="38"/>
      <c r="AS19" s="51" t="str">
        <f t="shared" si="15"/>
        <v/>
      </c>
      <c r="AT19" s="38"/>
      <c r="AU19" s="51" t="str">
        <f t="shared" si="16"/>
        <v/>
      </c>
      <c r="AV19" s="42"/>
      <c r="AW19" s="51" t="str">
        <f t="shared" si="17"/>
        <v/>
      </c>
      <c r="AX19" s="27" t="s">
        <v>78</v>
      </c>
    </row>
    <row r="20" spans="1:50" ht="20" customHeight="1" x14ac:dyDescent="0.2">
      <c r="A20" s="36"/>
      <c r="B20" s="95"/>
      <c r="D20" s="19" t="s">
        <v>96</v>
      </c>
      <c r="E20" s="19" t="s">
        <v>97</v>
      </c>
      <c r="F20" s="20">
        <v>2013</v>
      </c>
      <c r="G20" s="20">
        <v>12</v>
      </c>
      <c r="H20" s="87">
        <v>304</v>
      </c>
      <c r="I20" s="88" t="s">
        <v>98</v>
      </c>
      <c r="J20" s="38">
        <v>14</v>
      </c>
      <c r="K20" s="51">
        <f t="shared" si="20"/>
        <v>4.6052631578947363</v>
      </c>
      <c r="L20" s="38"/>
      <c r="M20" s="51" t="str">
        <f t="shared" si="19"/>
        <v/>
      </c>
      <c r="N20" s="38"/>
      <c r="O20" s="51" t="str">
        <f t="shared" si="0"/>
        <v/>
      </c>
      <c r="P20" s="38"/>
      <c r="Q20" s="51" t="str">
        <f t="shared" si="1"/>
        <v/>
      </c>
      <c r="R20" s="38"/>
      <c r="S20" s="51" t="str">
        <f t="shared" si="2"/>
        <v/>
      </c>
      <c r="T20" s="38"/>
      <c r="U20" s="51" t="str">
        <f t="shared" si="3"/>
        <v/>
      </c>
      <c r="V20" s="38"/>
      <c r="W20" s="51" t="str">
        <f t="shared" si="4"/>
        <v/>
      </c>
      <c r="X20" s="38"/>
      <c r="Y20" s="51" t="str">
        <f t="shared" si="5"/>
        <v/>
      </c>
      <c r="Z20" s="38"/>
      <c r="AA20" s="51" t="str">
        <f t="shared" si="6"/>
        <v/>
      </c>
      <c r="AB20" s="38"/>
      <c r="AC20" s="51" t="str">
        <f t="shared" si="7"/>
        <v/>
      </c>
      <c r="AD20" s="38"/>
      <c r="AE20" s="51" t="str">
        <f t="shared" si="8"/>
        <v/>
      </c>
      <c r="AF20" s="38"/>
      <c r="AG20" s="51" t="str">
        <f t="shared" si="9"/>
        <v/>
      </c>
      <c r="AH20" s="38"/>
      <c r="AI20" s="51" t="str">
        <f t="shared" si="10"/>
        <v/>
      </c>
      <c r="AJ20" s="38"/>
      <c r="AK20" s="51" t="str">
        <f t="shared" si="11"/>
        <v/>
      </c>
      <c r="AL20" s="38"/>
      <c r="AM20" s="51" t="str">
        <f t="shared" si="12"/>
        <v/>
      </c>
      <c r="AN20" s="38"/>
      <c r="AO20" s="51" t="str">
        <f t="shared" si="13"/>
        <v/>
      </c>
      <c r="AP20" s="38"/>
      <c r="AQ20" s="51" t="str">
        <f t="shared" si="14"/>
        <v/>
      </c>
      <c r="AR20" s="38"/>
      <c r="AS20" s="51" t="str">
        <f t="shared" si="15"/>
        <v/>
      </c>
      <c r="AT20" s="38"/>
      <c r="AU20" s="51" t="str">
        <f t="shared" si="16"/>
        <v/>
      </c>
      <c r="AV20" s="42"/>
      <c r="AW20" s="51" t="str">
        <f t="shared" si="17"/>
        <v/>
      </c>
    </row>
    <row r="21" spans="1:50" ht="20" customHeight="1" x14ac:dyDescent="0.2">
      <c r="A21" s="36"/>
      <c r="B21" s="94"/>
      <c r="D21" s="19" t="s">
        <v>99</v>
      </c>
      <c r="E21" s="19" t="s">
        <v>100</v>
      </c>
      <c r="F21" s="20">
        <v>2010</v>
      </c>
      <c r="G21" s="20">
        <v>28</v>
      </c>
      <c r="H21" s="87">
        <v>597</v>
      </c>
      <c r="I21" s="88"/>
      <c r="J21" s="38">
        <v>14</v>
      </c>
      <c r="K21" s="51">
        <f t="shared" si="20"/>
        <v>2.3450586264656614</v>
      </c>
      <c r="L21" s="38">
        <v>12</v>
      </c>
      <c r="M21" s="51">
        <f t="shared" si="19"/>
        <v>2.0100502512562812</v>
      </c>
      <c r="N21" s="38"/>
      <c r="O21" s="51" t="str">
        <f t="shared" si="0"/>
        <v/>
      </c>
      <c r="P21" s="38"/>
      <c r="Q21" s="51" t="str">
        <f t="shared" si="1"/>
        <v/>
      </c>
      <c r="R21" s="38"/>
      <c r="S21" s="51" t="str">
        <f t="shared" si="2"/>
        <v/>
      </c>
      <c r="T21" s="38"/>
      <c r="U21" s="51" t="str">
        <f t="shared" si="3"/>
        <v/>
      </c>
      <c r="V21" s="38"/>
      <c r="W21" s="51" t="str">
        <f t="shared" si="4"/>
        <v/>
      </c>
      <c r="X21" s="38"/>
      <c r="Y21" s="51" t="str">
        <f t="shared" si="5"/>
        <v/>
      </c>
      <c r="Z21" s="38"/>
      <c r="AA21" s="51" t="str">
        <f t="shared" si="6"/>
        <v/>
      </c>
      <c r="AB21" s="38"/>
      <c r="AC21" s="51" t="str">
        <f t="shared" si="7"/>
        <v/>
      </c>
      <c r="AD21" s="38"/>
      <c r="AE21" s="51" t="str">
        <f t="shared" si="8"/>
        <v/>
      </c>
      <c r="AF21" s="38"/>
      <c r="AG21" s="51" t="str">
        <f t="shared" si="9"/>
        <v/>
      </c>
      <c r="AH21" s="38"/>
      <c r="AI21" s="51" t="str">
        <f t="shared" si="10"/>
        <v/>
      </c>
      <c r="AJ21" s="38"/>
      <c r="AK21" s="51" t="str">
        <f t="shared" si="11"/>
        <v/>
      </c>
      <c r="AL21" s="38"/>
      <c r="AM21" s="51" t="str">
        <f t="shared" si="12"/>
        <v/>
      </c>
      <c r="AN21" s="38"/>
      <c r="AO21" s="51" t="str">
        <f t="shared" si="13"/>
        <v/>
      </c>
      <c r="AP21" s="38"/>
      <c r="AQ21" s="51" t="str">
        <f t="shared" si="14"/>
        <v/>
      </c>
      <c r="AR21" s="38"/>
      <c r="AS21" s="51" t="str">
        <f t="shared" si="15"/>
        <v/>
      </c>
      <c r="AT21" s="38"/>
      <c r="AU21" s="51" t="str">
        <f t="shared" si="16"/>
        <v/>
      </c>
      <c r="AV21" s="42"/>
      <c r="AW21" s="51" t="str">
        <f t="shared" si="17"/>
        <v/>
      </c>
      <c r="AX21" s="19" t="s">
        <v>222</v>
      </c>
    </row>
    <row r="22" spans="1:50" ht="20" customHeight="1" x14ac:dyDescent="0.2">
      <c r="A22" s="36"/>
      <c r="B22" s="94"/>
      <c r="D22" s="19" t="s">
        <v>101</v>
      </c>
      <c r="E22" s="19" t="s">
        <v>102</v>
      </c>
      <c r="F22" s="20">
        <v>2012</v>
      </c>
      <c r="G22" s="20">
        <v>22</v>
      </c>
      <c r="H22" s="87">
        <v>19</v>
      </c>
      <c r="I22" s="88" t="s">
        <v>103</v>
      </c>
      <c r="J22" s="38"/>
      <c r="K22" s="51" t="str">
        <f t="shared" si="20"/>
        <v/>
      </c>
      <c r="L22" s="38"/>
      <c r="M22" s="51" t="str">
        <f t="shared" si="19"/>
        <v/>
      </c>
      <c r="N22" s="39"/>
      <c r="O22" s="51" t="str">
        <f t="shared" si="0"/>
        <v/>
      </c>
      <c r="P22" s="38"/>
      <c r="Q22" s="51" t="str">
        <f t="shared" si="1"/>
        <v/>
      </c>
      <c r="R22" s="38"/>
      <c r="S22" s="51" t="str">
        <f t="shared" si="2"/>
        <v/>
      </c>
      <c r="T22" s="38"/>
      <c r="U22" s="51" t="str">
        <f t="shared" si="3"/>
        <v/>
      </c>
      <c r="V22" s="38"/>
      <c r="W22" s="51" t="str">
        <f t="shared" si="4"/>
        <v/>
      </c>
      <c r="X22" s="38"/>
      <c r="Y22" s="51" t="str">
        <f t="shared" si="5"/>
        <v/>
      </c>
      <c r="Z22" s="38"/>
      <c r="AA22" s="51" t="str">
        <f t="shared" si="6"/>
        <v/>
      </c>
      <c r="AB22" s="38"/>
      <c r="AC22" s="51" t="str">
        <f t="shared" si="7"/>
        <v/>
      </c>
      <c r="AD22" s="39"/>
      <c r="AE22" s="51" t="str">
        <f t="shared" si="8"/>
        <v/>
      </c>
      <c r="AF22" s="38"/>
      <c r="AG22" s="51" t="str">
        <f t="shared" si="9"/>
        <v/>
      </c>
      <c r="AH22" s="38"/>
      <c r="AI22" s="51" t="str">
        <f t="shared" si="10"/>
        <v/>
      </c>
      <c r="AJ22" s="38"/>
      <c r="AK22" s="51" t="str">
        <f t="shared" si="11"/>
        <v/>
      </c>
      <c r="AL22" s="38"/>
      <c r="AM22" s="51" t="str">
        <f t="shared" si="12"/>
        <v/>
      </c>
      <c r="AN22" s="38"/>
      <c r="AO22" s="51" t="str">
        <f t="shared" si="13"/>
        <v/>
      </c>
      <c r="AP22" s="39"/>
      <c r="AQ22" s="51" t="str">
        <f t="shared" si="14"/>
        <v/>
      </c>
      <c r="AR22" s="38"/>
      <c r="AS22" s="51" t="str">
        <f t="shared" si="15"/>
        <v/>
      </c>
      <c r="AT22" s="38"/>
      <c r="AU22" s="51" t="str">
        <f t="shared" si="16"/>
        <v/>
      </c>
      <c r="AV22" s="44"/>
      <c r="AW22" s="51" t="str">
        <f t="shared" si="17"/>
        <v/>
      </c>
      <c r="AX22" s="19" t="s">
        <v>104</v>
      </c>
    </row>
    <row r="23" spans="1:50" ht="20" customHeight="1" x14ac:dyDescent="0.2">
      <c r="A23" s="36"/>
      <c r="B23" s="94"/>
      <c r="D23" s="48" t="s">
        <v>223</v>
      </c>
      <c r="E23" s="48" t="s">
        <v>102</v>
      </c>
      <c r="F23" s="49">
        <v>2013</v>
      </c>
      <c r="G23" s="49">
        <v>12</v>
      </c>
      <c r="H23" s="89">
        <v>19</v>
      </c>
      <c r="I23" s="90"/>
      <c r="J23" s="38"/>
      <c r="K23" s="51" t="str">
        <f t="shared" si="20"/>
        <v/>
      </c>
      <c r="L23" s="38"/>
      <c r="M23" s="51" t="str">
        <f t="shared" si="19"/>
        <v/>
      </c>
      <c r="N23" s="39"/>
      <c r="O23" s="51" t="str">
        <f t="shared" si="0"/>
        <v/>
      </c>
      <c r="P23" s="38"/>
      <c r="Q23" s="51" t="str">
        <f t="shared" si="1"/>
        <v/>
      </c>
      <c r="R23" s="38"/>
      <c r="S23" s="51" t="str">
        <f t="shared" si="2"/>
        <v/>
      </c>
      <c r="T23" s="38"/>
      <c r="U23" s="51" t="str">
        <f t="shared" si="3"/>
        <v/>
      </c>
      <c r="V23" s="38"/>
      <c r="W23" s="51" t="str">
        <f t="shared" si="4"/>
        <v/>
      </c>
      <c r="X23" s="38"/>
      <c r="Y23" s="51" t="str">
        <f t="shared" si="5"/>
        <v/>
      </c>
      <c r="Z23" s="38"/>
      <c r="AA23" s="51" t="str">
        <f t="shared" si="6"/>
        <v/>
      </c>
      <c r="AB23" s="38"/>
      <c r="AC23" s="51" t="str">
        <f t="shared" si="7"/>
        <v/>
      </c>
      <c r="AD23" s="39"/>
      <c r="AE23" s="51" t="str">
        <f t="shared" si="8"/>
        <v/>
      </c>
      <c r="AF23" s="38"/>
      <c r="AG23" s="51" t="str">
        <f t="shared" si="9"/>
        <v/>
      </c>
      <c r="AH23" s="38"/>
      <c r="AI23" s="51" t="str">
        <f t="shared" si="10"/>
        <v/>
      </c>
      <c r="AJ23" s="38"/>
      <c r="AK23" s="51" t="str">
        <f t="shared" si="11"/>
        <v/>
      </c>
      <c r="AL23" s="38"/>
      <c r="AM23" s="51" t="str">
        <f t="shared" si="12"/>
        <v/>
      </c>
      <c r="AN23" s="38"/>
      <c r="AO23" s="51" t="str">
        <f t="shared" si="13"/>
        <v/>
      </c>
      <c r="AP23" s="39"/>
      <c r="AQ23" s="51" t="str">
        <f t="shared" si="14"/>
        <v/>
      </c>
      <c r="AR23" s="38"/>
      <c r="AS23" s="51" t="str">
        <f t="shared" si="15"/>
        <v/>
      </c>
      <c r="AT23" s="38"/>
      <c r="AU23" s="51" t="str">
        <f t="shared" si="16"/>
        <v/>
      </c>
      <c r="AV23" s="44"/>
      <c r="AW23" s="51" t="str">
        <f t="shared" si="17"/>
        <v/>
      </c>
      <c r="AX23" s="19" t="s">
        <v>185</v>
      </c>
    </row>
    <row r="24" spans="1:50" ht="20" customHeight="1" x14ac:dyDescent="0.2">
      <c r="A24" s="36"/>
      <c r="B24" s="94"/>
      <c r="D24" s="19" t="s">
        <v>106</v>
      </c>
      <c r="E24" s="19" t="s">
        <v>107</v>
      </c>
      <c r="F24" s="20">
        <v>2007</v>
      </c>
      <c r="G24" s="20">
        <v>41</v>
      </c>
      <c r="H24" s="87">
        <v>71</v>
      </c>
      <c r="I24" s="88"/>
      <c r="J24" s="38"/>
      <c r="K24" s="51" t="str">
        <f t="shared" si="20"/>
        <v/>
      </c>
      <c r="L24" s="38"/>
      <c r="M24" s="51" t="str">
        <f t="shared" si="19"/>
        <v/>
      </c>
      <c r="N24" s="38"/>
      <c r="O24" s="51" t="str">
        <f t="shared" si="0"/>
        <v/>
      </c>
      <c r="P24" s="38"/>
      <c r="Q24" s="51" t="str">
        <f t="shared" si="1"/>
        <v/>
      </c>
      <c r="R24" s="38"/>
      <c r="S24" s="51" t="str">
        <f t="shared" si="2"/>
        <v/>
      </c>
      <c r="T24" s="38"/>
      <c r="U24" s="51" t="str">
        <f t="shared" si="3"/>
        <v/>
      </c>
      <c r="V24" s="38"/>
      <c r="W24" s="51" t="str">
        <f t="shared" si="4"/>
        <v/>
      </c>
      <c r="X24" s="38"/>
      <c r="Y24" s="51" t="str">
        <f t="shared" si="5"/>
        <v/>
      </c>
      <c r="Z24" s="38"/>
      <c r="AA24" s="51" t="str">
        <f t="shared" si="6"/>
        <v/>
      </c>
      <c r="AB24" s="38"/>
      <c r="AC24" s="51" t="str">
        <f t="shared" si="7"/>
        <v/>
      </c>
      <c r="AD24" s="38"/>
      <c r="AE24" s="51" t="str">
        <f t="shared" si="8"/>
        <v/>
      </c>
      <c r="AF24" s="38"/>
      <c r="AG24" s="51" t="str">
        <f t="shared" si="9"/>
        <v/>
      </c>
      <c r="AH24" s="38"/>
      <c r="AI24" s="51" t="str">
        <f t="shared" si="10"/>
        <v/>
      </c>
      <c r="AJ24" s="38"/>
      <c r="AK24" s="51" t="str">
        <f t="shared" si="11"/>
        <v/>
      </c>
      <c r="AL24" s="38"/>
      <c r="AM24" s="51" t="str">
        <f t="shared" si="12"/>
        <v/>
      </c>
      <c r="AN24" s="38"/>
      <c r="AO24" s="51" t="str">
        <f t="shared" si="13"/>
        <v/>
      </c>
      <c r="AP24" s="38"/>
      <c r="AQ24" s="51" t="str">
        <f t="shared" si="14"/>
        <v/>
      </c>
      <c r="AR24" s="38"/>
      <c r="AS24" s="51" t="str">
        <f t="shared" si="15"/>
        <v/>
      </c>
      <c r="AT24" s="38"/>
      <c r="AU24" s="51" t="str">
        <f t="shared" si="16"/>
        <v/>
      </c>
      <c r="AV24" s="42"/>
      <c r="AW24" s="51" t="str">
        <f t="shared" si="17"/>
        <v/>
      </c>
      <c r="AX24" s="19" t="s">
        <v>108</v>
      </c>
    </row>
    <row r="25" spans="1:50" ht="20" customHeight="1" x14ac:dyDescent="0.2">
      <c r="A25" s="36"/>
      <c r="B25" s="35"/>
      <c r="D25" s="48" t="s">
        <v>109</v>
      </c>
      <c r="E25" s="48" t="s">
        <v>110</v>
      </c>
      <c r="F25" s="49">
        <v>2007</v>
      </c>
      <c r="G25" s="49">
        <v>140</v>
      </c>
      <c r="H25" s="89">
        <v>71</v>
      </c>
      <c r="I25" s="88"/>
      <c r="J25" s="38"/>
      <c r="K25" s="51" t="str">
        <f t="shared" si="20"/>
        <v/>
      </c>
      <c r="L25" s="38"/>
      <c r="M25" s="51" t="str">
        <f t="shared" si="19"/>
        <v/>
      </c>
      <c r="N25" s="38"/>
      <c r="O25" s="51" t="str">
        <f t="shared" si="0"/>
        <v/>
      </c>
      <c r="P25" s="38"/>
      <c r="Q25" s="51" t="str">
        <f t="shared" si="1"/>
        <v/>
      </c>
      <c r="R25" s="38"/>
      <c r="S25" s="51" t="str">
        <f t="shared" si="2"/>
        <v/>
      </c>
      <c r="T25" s="38"/>
      <c r="U25" s="51" t="str">
        <f t="shared" si="3"/>
        <v/>
      </c>
      <c r="V25" s="38"/>
      <c r="W25" s="51" t="str">
        <f t="shared" si="4"/>
        <v/>
      </c>
      <c r="X25" s="38"/>
      <c r="Y25" s="51" t="str">
        <f t="shared" si="5"/>
        <v/>
      </c>
      <c r="Z25" s="38"/>
      <c r="AA25" s="51" t="str">
        <f t="shared" si="6"/>
        <v/>
      </c>
      <c r="AB25" s="38"/>
      <c r="AC25" s="51" t="str">
        <f t="shared" si="7"/>
        <v/>
      </c>
      <c r="AD25" s="38"/>
      <c r="AE25" s="51" t="str">
        <f t="shared" si="8"/>
        <v/>
      </c>
      <c r="AF25" s="38"/>
      <c r="AG25" s="51" t="str">
        <f t="shared" si="9"/>
        <v/>
      </c>
      <c r="AH25" s="38"/>
      <c r="AI25" s="51" t="str">
        <f t="shared" si="10"/>
        <v/>
      </c>
      <c r="AJ25" s="38"/>
      <c r="AK25" s="51" t="str">
        <f t="shared" si="11"/>
        <v/>
      </c>
      <c r="AL25" s="38"/>
      <c r="AM25" s="51" t="str">
        <f t="shared" si="12"/>
        <v/>
      </c>
      <c r="AN25" s="38"/>
      <c r="AO25" s="51" t="str">
        <f t="shared" si="13"/>
        <v/>
      </c>
      <c r="AP25" s="38"/>
      <c r="AQ25" s="51" t="str">
        <f t="shared" si="14"/>
        <v/>
      </c>
      <c r="AR25" s="38"/>
      <c r="AS25" s="51" t="str">
        <f t="shared" si="15"/>
        <v/>
      </c>
      <c r="AT25" s="38"/>
      <c r="AU25" s="51" t="str">
        <f t="shared" si="16"/>
        <v/>
      </c>
      <c r="AV25" s="42"/>
      <c r="AW25" s="51" t="str">
        <f t="shared" si="17"/>
        <v/>
      </c>
      <c r="AX25" s="19" t="s">
        <v>111</v>
      </c>
    </row>
    <row r="26" spans="1:50" ht="20" customHeight="1" x14ac:dyDescent="0.2">
      <c r="A26" s="33"/>
      <c r="D26" s="19" t="s">
        <v>112</v>
      </c>
      <c r="E26" s="19" t="s">
        <v>113</v>
      </c>
      <c r="F26" s="20">
        <v>2015</v>
      </c>
      <c r="G26" s="20">
        <v>8</v>
      </c>
      <c r="H26" s="87">
        <v>255</v>
      </c>
      <c r="I26" s="88" t="s">
        <v>114</v>
      </c>
      <c r="J26" s="39"/>
      <c r="K26" s="51" t="str">
        <f t="shared" si="20"/>
        <v/>
      </c>
      <c r="L26" s="38"/>
      <c r="M26" s="51" t="str">
        <f t="shared" si="19"/>
        <v/>
      </c>
      <c r="N26" s="38"/>
      <c r="O26" s="51" t="str">
        <f t="shared" si="0"/>
        <v/>
      </c>
      <c r="P26" s="38"/>
      <c r="Q26" s="51" t="str">
        <f t="shared" si="1"/>
        <v/>
      </c>
      <c r="R26" s="38"/>
      <c r="S26" s="51" t="str">
        <f t="shared" si="2"/>
        <v/>
      </c>
      <c r="T26" s="38"/>
      <c r="U26" s="51" t="str">
        <f t="shared" si="3"/>
        <v/>
      </c>
      <c r="V26" s="38"/>
      <c r="W26" s="51" t="str">
        <f t="shared" si="4"/>
        <v/>
      </c>
      <c r="X26" s="38"/>
      <c r="Y26" s="51" t="str">
        <f t="shared" si="5"/>
        <v/>
      </c>
      <c r="Z26" s="38"/>
      <c r="AA26" s="51" t="str">
        <f t="shared" si="6"/>
        <v/>
      </c>
      <c r="AB26" s="38"/>
      <c r="AC26" s="51" t="str">
        <f t="shared" si="7"/>
        <v/>
      </c>
      <c r="AD26" s="38"/>
      <c r="AE26" s="51" t="str">
        <f t="shared" si="8"/>
        <v/>
      </c>
      <c r="AF26" s="38"/>
      <c r="AG26" s="51" t="str">
        <f t="shared" si="9"/>
        <v/>
      </c>
      <c r="AH26" s="38"/>
      <c r="AI26" s="51" t="str">
        <f t="shared" si="10"/>
        <v/>
      </c>
      <c r="AJ26" s="38"/>
      <c r="AK26" s="51" t="str">
        <f t="shared" si="11"/>
        <v/>
      </c>
      <c r="AL26" s="38"/>
      <c r="AM26" s="51" t="str">
        <f t="shared" si="12"/>
        <v/>
      </c>
      <c r="AN26" s="38"/>
      <c r="AO26" s="51" t="str">
        <f t="shared" si="13"/>
        <v/>
      </c>
      <c r="AP26" s="38"/>
      <c r="AQ26" s="51" t="str">
        <f t="shared" si="14"/>
        <v/>
      </c>
      <c r="AR26" s="38"/>
      <c r="AS26" s="51" t="str">
        <f t="shared" si="15"/>
        <v/>
      </c>
      <c r="AT26" s="38"/>
      <c r="AU26" s="51" t="str">
        <f t="shared" si="16"/>
        <v/>
      </c>
      <c r="AV26" s="42"/>
      <c r="AW26" s="51" t="str">
        <f t="shared" si="17"/>
        <v/>
      </c>
      <c r="AX26" s="19" t="s">
        <v>115</v>
      </c>
    </row>
    <row r="27" spans="1:50" ht="20" customHeight="1" x14ac:dyDescent="0.2">
      <c r="A27" s="36"/>
      <c r="B27" s="94"/>
      <c r="D27" s="19" t="s">
        <v>116</v>
      </c>
      <c r="E27" s="19" t="s">
        <v>117</v>
      </c>
      <c r="F27" s="20">
        <v>1993</v>
      </c>
      <c r="G27" s="20">
        <v>56</v>
      </c>
      <c r="H27" s="87">
        <v>128</v>
      </c>
      <c r="I27" s="88"/>
      <c r="J27" s="38">
        <v>8</v>
      </c>
      <c r="K27" s="51">
        <f t="shared" si="20"/>
        <v>6.25</v>
      </c>
      <c r="L27" s="38"/>
      <c r="M27" s="51" t="str">
        <f t="shared" si="19"/>
        <v/>
      </c>
      <c r="N27" s="38"/>
      <c r="O27" s="51" t="str">
        <f t="shared" si="0"/>
        <v/>
      </c>
      <c r="P27" s="38"/>
      <c r="Q27" s="51" t="str">
        <f t="shared" si="1"/>
        <v/>
      </c>
      <c r="R27" s="38"/>
      <c r="S27" s="51" t="str">
        <f t="shared" si="2"/>
        <v/>
      </c>
      <c r="T27" s="38">
        <v>1</v>
      </c>
      <c r="U27" s="51">
        <f t="shared" si="3"/>
        <v>0.78125</v>
      </c>
      <c r="V27" s="38">
        <v>15</v>
      </c>
      <c r="W27" s="51">
        <f t="shared" si="4"/>
        <v>11.71875</v>
      </c>
      <c r="X27" s="38">
        <v>6</v>
      </c>
      <c r="Y27" s="51">
        <f t="shared" si="5"/>
        <v>4.6875</v>
      </c>
      <c r="Z27" s="38">
        <v>4</v>
      </c>
      <c r="AA27" s="51">
        <f t="shared" si="6"/>
        <v>3.125</v>
      </c>
      <c r="AB27" s="38">
        <v>5</v>
      </c>
      <c r="AC27" s="51">
        <f t="shared" si="7"/>
        <v>3.90625</v>
      </c>
      <c r="AD27" s="38"/>
      <c r="AE27" s="51" t="str">
        <f t="shared" si="8"/>
        <v/>
      </c>
      <c r="AF27" s="38"/>
      <c r="AG27" s="51" t="str">
        <f t="shared" si="9"/>
        <v/>
      </c>
      <c r="AH27" s="38">
        <v>1</v>
      </c>
      <c r="AI27" s="51">
        <f t="shared" si="10"/>
        <v>0.78125</v>
      </c>
      <c r="AJ27" s="38">
        <v>2</v>
      </c>
      <c r="AK27" s="51">
        <f t="shared" si="11"/>
        <v>1.5625</v>
      </c>
      <c r="AL27" s="38"/>
      <c r="AM27" s="51" t="str">
        <f t="shared" si="12"/>
        <v/>
      </c>
      <c r="AN27" s="38"/>
      <c r="AO27" s="51" t="str">
        <f t="shared" si="13"/>
        <v/>
      </c>
      <c r="AP27" s="38"/>
      <c r="AQ27" s="51" t="str">
        <f t="shared" si="14"/>
        <v/>
      </c>
      <c r="AR27" s="38"/>
      <c r="AS27" s="51" t="str">
        <f t="shared" si="15"/>
        <v/>
      </c>
      <c r="AT27" s="38">
        <v>4</v>
      </c>
      <c r="AU27" s="51">
        <f t="shared" si="16"/>
        <v>3.125</v>
      </c>
      <c r="AV27" s="42">
        <v>11</v>
      </c>
      <c r="AW27" s="51">
        <f t="shared" si="17"/>
        <v>8.59375</v>
      </c>
      <c r="AX27" s="19" t="s">
        <v>238</v>
      </c>
    </row>
    <row r="28" spans="1:50" ht="20" customHeight="1" x14ac:dyDescent="0.2">
      <c r="A28" s="36"/>
      <c r="B28" s="95"/>
      <c r="D28" s="19" t="s">
        <v>118</v>
      </c>
      <c r="E28" s="19" t="s">
        <v>119</v>
      </c>
      <c r="F28" s="20">
        <v>2009</v>
      </c>
      <c r="H28" s="87">
        <v>170</v>
      </c>
      <c r="I28" s="88" t="s">
        <v>120</v>
      </c>
      <c r="J28" s="38">
        <v>33</v>
      </c>
      <c r="K28" s="51">
        <f t="shared" si="20"/>
        <v>19.411764705882355</v>
      </c>
      <c r="L28" s="38"/>
      <c r="M28" s="51" t="str">
        <f t="shared" si="19"/>
        <v/>
      </c>
      <c r="N28" s="38"/>
      <c r="O28" s="51" t="str">
        <f t="shared" si="0"/>
        <v/>
      </c>
      <c r="P28" s="38">
        <v>8</v>
      </c>
      <c r="Q28" s="51">
        <f t="shared" si="1"/>
        <v>4.7058823529411766</v>
      </c>
      <c r="R28" s="38">
        <v>15</v>
      </c>
      <c r="S28" s="51">
        <f t="shared" si="2"/>
        <v>8.8235294117647065</v>
      </c>
      <c r="T28" s="38"/>
      <c r="U28" s="51" t="str">
        <f t="shared" si="3"/>
        <v/>
      </c>
      <c r="V28" s="38"/>
      <c r="W28" s="51" t="str">
        <f t="shared" si="4"/>
        <v/>
      </c>
      <c r="X28" s="38"/>
      <c r="Y28" s="51" t="str">
        <f t="shared" si="5"/>
        <v/>
      </c>
      <c r="Z28" s="38"/>
      <c r="AA28" s="51" t="str">
        <f t="shared" si="6"/>
        <v/>
      </c>
      <c r="AB28" s="38"/>
      <c r="AC28" s="51" t="str">
        <f t="shared" si="7"/>
        <v/>
      </c>
      <c r="AD28" s="38"/>
      <c r="AE28" s="51" t="str">
        <f t="shared" si="8"/>
        <v/>
      </c>
      <c r="AF28" s="38"/>
      <c r="AG28" s="51" t="str">
        <f t="shared" si="9"/>
        <v/>
      </c>
      <c r="AH28" s="38"/>
      <c r="AI28" s="51" t="str">
        <f t="shared" si="10"/>
        <v/>
      </c>
      <c r="AJ28" s="38"/>
      <c r="AK28" s="51" t="str">
        <f t="shared" si="11"/>
        <v/>
      </c>
      <c r="AL28" s="38"/>
      <c r="AM28" s="51" t="str">
        <f t="shared" si="12"/>
        <v/>
      </c>
      <c r="AN28" s="38"/>
      <c r="AO28" s="51" t="str">
        <f t="shared" si="13"/>
        <v/>
      </c>
      <c r="AP28" s="38"/>
      <c r="AQ28" s="51" t="str">
        <f t="shared" si="14"/>
        <v/>
      </c>
      <c r="AR28" s="38"/>
      <c r="AS28" s="51" t="str">
        <f t="shared" si="15"/>
        <v/>
      </c>
      <c r="AT28" s="38"/>
      <c r="AU28" s="51" t="str">
        <f t="shared" si="16"/>
        <v/>
      </c>
      <c r="AV28" s="42"/>
      <c r="AW28" s="51" t="str">
        <f t="shared" si="17"/>
        <v/>
      </c>
    </row>
    <row r="29" spans="1:50" ht="20" customHeight="1" x14ac:dyDescent="0.2">
      <c r="A29" s="36"/>
      <c r="B29" s="19"/>
      <c r="D29" s="19" t="s">
        <v>224</v>
      </c>
      <c r="E29" s="19" t="s">
        <v>225</v>
      </c>
      <c r="F29" s="20">
        <v>2013</v>
      </c>
      <c r="H29" s="87">
        <v>98</v>
      </c>
      <c r="I29" s="88"/>
      <c r="J29" s="38">
        <v>14</v>
      </c>
      <c r="K29" s="51">
        <f t="shared" si="20"/>
        <v>14.285714285714285</v>
      </c>
      <c r="L29" s="38"/>
      <c r="M29" s="51" t="str">
        <f t="shared" si="19"/>
        <v/>
      </c>
      <c r="N29" s="38"/>
      <c r="O29" s="51" t="str">
        <f t="shared" si="0"/>
        <v/>
      </c>
      <c r="P29" s="38"/>
      <c r="Q29" s="51"/>
      <c r="R29" s="38"/>
      <c r="S29" s="51"/>
      <c r="T29" s="38"/>
      <c r="U29" s="51" t="str">
        <f t="shared" si="3"/>
        <v/>
      </c>
      <c r="V29" s="38"/>
      <c r="W29" s="51" t="str">
        <f t="shared" si="4"/>
        <v/>
      </c>
      <c r="X29" s="38"/>
      <c r="Y29" s="51" t="str">
        <f t="shared" si="5"/>
        <v/>
      </c>
      <c r="Z29" s="38"/>
      <c r="AA29" s="51" t="str">
        <f t="shared" si="6"/>
        <v/>
      </c>
      <c r="AB29" s="38"/>
      <c r="AC29" s="51" t="str">
        <f t="shared" si="7"/>
        <v/>
      </c>
      <c r="AD29" s="38"/>
      <c r="AE29" s="51" t="str">
        <f t="shared" si="8"/>
        <v/>
      </c>
      <c r="AF29" s="38"/>
      <c r="AG29" s="51" t="str">
        <f t="shared" si="9"/>
        <v/>
      </c>
      <c r="AH29" s="38"/>
      <c r="AI29" s="51" t="str">
        <f t="shared" si="10"/>
        <v/>
      </c>
      <c r="AJ29" s="38"/>
      <c r="AK29" s="51" t="str">
        <f t="shared" si="11"/>
        <v/>
      </c>
      <c r="AL29" s="38"/>
      <c r="AM29" s="51" t="str">
        <f t="shared" si="12"/>
        <v/>
      </c>
      <c r="AN29" s="38"/>
      <c r="AO29" s="51" t="str">
        <f t="shared" si="13"/>
        <v/>
      </c>
      <c r="AP29" s="38"/>
      <c r="AQ29" s="51" t="str">
        <f t="shared" si="14"/>
        <v/>
      </c>
      <c r="AR29" s="38"/>
      <c r="AS29" s="51" t="str">
        <f t="shared" si="15"/>
        <v/>
      </c>
      <c r="AT29" s="38"/>
      <c r="AU29" s="51" t="str">
        <f t="shared" si="16"/>
        <v/>
      </c>
      <c r="AV29" s="42"/>
      <c r="AW29" s="51" t="str">
        <f t="shared" si="17"/>
        <v/>
      </c>
    </row>
    <row r="30" spans="1:50" ht="20" customHeight="1" x14ac:dyDescent="0.2">
      <c r="A30" s="36"/>
      <c r="D30" s="19" t="s">
        <v>121</v>
      </c>
      <c r="E30" s="19" t="s">
        <v>122</v>
      </c>
      <c r="F30" s="20">
        <v>2008</v>
      </c>
      <c r="G30" s="20">
        <v>21</v>
      </c>
      <c r="H30" s="87">
        <v>227</v>
      </c>
      <c r="I30" s="88" t="s">
        <v>123</v>
      </c>
      <c r="J30" s="38">
        <v>3</v>
      </c>
      <c r="K30" s="51">
        <f t="shared" si="20"/>
        <v>1.3215859030837005</v>
      </c>
      <c r="L30" s="38"/>
      <c r="M30" s="51" t="str">
        <f t="shared" si="19"/>
        <v/>
      </c>
      <c r="N30" s="38"/>
      <c r="O30" s="51" t="str">
        <f t="shared" si="0"/>
        <v/>
      </c>
      <c r="P30" s="38"/>
      <c r="Q30" s="51" t="str">
        <f t="shared" si="1"/>
        <v/>
      </c>
      <c r="R30" s="38"/>
      <c r="S30" s="51" t="str">
        <f t="shared" si="2"/>
        <v/>
      </c>
      <c r="T30" s="38"/>
      <c r="U30" s="51" t="str">
        <f t="shared" si="3"/>
        <v/>
      </c>
      <c r="V30" s="38"/>
      <c r="W30" s="51" t="str">
        <f t="shared" si="4"/>
        <v/>
      </c>
      <c r="X30" s="38"/>
      <c r="Y30" s="51" t="str">
        <f t="shared" si="5"/>
        <v/>
      </c>
      <c r="Z30" s="38"/>
      <c r="AA30" s="51" t="str">
        <f t="shared" si="6"/>
        <v/>
      </c>
      <c r="AB30" s="38"/>
      <c r="AC30" s="51" t="str">
        <f t="shared" si="7"/>
        <v/>
      </c>
      <c r="AD30" s="38"/>
      <c r="AE30" s="51" t="str">
        <f t="shared" si="8"/>
        <v/>
      </c>
      <c r="AF30" s="38"/>
      <c r="AG30" s="51" t="str">
        <f t="shared" si="9"/>
        <v/>
      </c>
      <c r="AH30" s="38"/>
      <c r="AI30" s="51" t="str">
        <f t="shared" si="10"/>
        <v/>
      </c>
      <c r="AJ30" s="38"/>
      <c r="AK30" s="51" t="str">
        <f t="shared" si="11"/>
        <v/>
      </c>
      <c r="AL30" s="38"/>
      <c r="AM30" s="51" t="str">
        <f t="shared" si="12"/>
        <v/>
      </c>
      <c r="AN30" s="38"/>
      <c r="AO30" s="51" t="str">
        <f t="shared" si="13"/>
        <v/>
      </c>
      <c r="AP30" s="38"/>
      <c r="AQ30" s="51" t="str">
        <f t="shared" si="14"/>
        <v/>
      </c>
      <c r="AR30" s="38"/>
      <c r="AS30" s="51" t="str">
        <f t="shared" si="15"/>
        <v/>
      </c>
      <c r="AT30" s="38"/>
      <c r="AU30" s="51" t="str">
        <f t="shared" si="16"/>
        <v/>
      </c>
      <c r="AV30" s="42"/>
      <c r="AW30" s="51" t="str">
        <f t="shared" si="17"/>
        <v/>
      </c>
    </row>
    <row r="31" spans="1:50" ht="20" customHeight="1" x14ac:dyDescent="0.2">
      <c r="A31" s="36"/>
      <c r="B31" s="94"/>
      <c r="D31" s="19" t="s">
        <v>124</v>
      </c>
      <c r="E31" s="19" t="s">
        <v>125</v>
      </c>
      <c r="F31" s="20">
        <v>2005</v>
      </c>
      <c r="G31" s="20">
        <v>23</v>
      </c>
      <c r="H31" s="87">
        <v>174</v>
      </c>
      <c r="I31" s="88"/>
      <c r="J31" s="39"/>
      <c r="K31" s="51" t="str">
        <f t="shared" si="20"/>
        <v/>
      </c>
      <c r="L31" s="38"/>
      <c r="M31" s="51" t="str">
        <f t="shared" si="19"/>
        <v/>
      </c>
      <c r="N31" s="39"/>
      <c r="O31" s="51" t="str">
        <f t="shared" si="0"/>
        <v/>
      </c>
      <c r="P31" s="39"/>
      <c r="Q31" s="54" t="str">
        <f t="shared" si="1"/>
        <v/>
      </c>
      <c r="R31" s="38"/>
      <c r="S31" s="51" t="str">
        <f t="shared" si="2"/>
        <v/>
      </c>
      <c r="T31" s="38"/>
      <c r="U31" s="51" t="str">
        <f t="shared" si="3"/>
        <v/>
      </c>
      <c r="V31" s="39"/>
      <c r="W31" s="51" t="str">
        <f t="shared" si="4"/>
        <v/>
      </c>
      <c r="X31" s="39"/>
      <c r="Y31" s="51" t="str">
        <f t="shared" si="5"/>
        <v/>
      </c>
      <c r="Z31" s="38"/>
      <c r="AA31" s="51" t="str">
        <f t="shared" si="6"/>
        <v/>
      </c>
      <c r="AB31" s="38"/>
      <c r="AC31" s="51" t="str">
        <f t="shared" si="7"/>
        <v/>
      </c>
      <c r="AD31" s="38"/>
      <c r="AE31" s="51" t="str">
        <f t="shared" si="8"/>
        <v/>
      </c>
      <c r="AF31" s="39"/>
      <c r="AG31" s="51" t="str">
        <f t="shared" si="9"/>
        <v/>
      </c>
      <c r="AH31" s="38"/>
      <c r="AI31" s="51" t="str">
        <f t="shared" si="10"/>
        <v/>
      </c>
      <c r="AJ31" s="38"/>
      <c r="AK31" s="51" t="str">
        <f t="shared" si="11"/>
        <v/>
      </c>
      <c r="AL31" s="38"/>
      <c r="AM31" s="51" t="str">
        <f t="shared" si="12"/>
        <v/>
      </c>
      <c r="AN31" s="38"/>
      <c r="AO31" s="51" t="str">
        <f t="shared" si="13"/>
        <v/>
      </c>
      <c r="AP31" s="38"/>
      <c r="AQ31" s="51" t="str">
        <f t="shared" si="14"/>
        <v/>
      </c>
      <c r="AR31" s="38"/>
      <c r="AS31" s="51" t="str">
        <f t="shared" si="15"/>
        <v/>
      </c>
      <c r="AT31" s="38"/>
      <c r="AU31" s="51" t="str">
        <f t="shared" si="16"/>
        <v/>
      </c>
      <c r="AV31" s="42"/>
      <c r="AW31" s="51" t="str">
        <f t="shared" si="17"/>
        <v/>
      </c>
      <c r="AX31" s="19" t="s">
        <v>126</v>
      </c>
    </row>
    <row r="32" spans="1:50" ht="20" customHeight="1" x14ac:dyDescent="0.2">
      <c r="A32" s="36"/>
      <c r="B32" s="95"/>
      <c r="D32" s="19" t="s">
        <v>127</v>
      </c>
      <c r="E32" s="19" t="s">
        <v>128</v>
      </c>
      <c r="F32" s="20">
        <v>2015</v>
      </c>
      <c r="G32" s="20">
        <v>7</v>
      </c>
      <c r="H32" s="87">
        <v>388</v>
      </c>
      <c r="I32" s="88"/>
      <c r="J32" s="38">
        <v>10</v>
      </c>
      <c r="K32" s="51">
        <f t="shared" si="20"/>
        <v>2.5773195876288657</v>
      </c>
      <c r="L32" s="38">
        <v>16</v>
      </c>
      <c r="M32" s="51">
        <f t="shared" si="19"/>
        <v>4.1237113402061851</v>
      </c>
      <c r="N32" s="38"/>
      <c r="O32" s="51" t="str">
        <f t="shared" si="0"/>
        <v/>
      </c>
      <c r="P32" s="38"/>
      <c r="Q32" s="51" t="str">
        <f t="shared" si="1"/>
        <v/>
      </c>
      <c r="R32" s="38"/>
      <c r="S32" s="51" t="str">
        <f t="shared" si="2"/>
        <v/>
      </c>
      <c r="T32" s="38"/>
      <c r="U32" s="51" t="str">
        <f t="shared" si="3"/>
        <v/>
      </c>
      <c r="V32" s="38"/>
      <c r="W32" s="51" t="str">
        <f t="shared" si="4"/>
        <v/>
      </c>
      <c r="X32" s="38"/>
      <c r="Y32" s="51" t="str">
        <f t="shared" si="5"/>
        <v/>
      </c>
      <c r="Z32" s="38"/>
      <c r="AA32" s="51" t="str">
        <f t="shared" si="6"/>
        <v/>
      </c>
      <c r="AB32" s="38"/>
      <c r="AC32" s="51" t="str">
        <f t="shared" si="7"/>
        <v/>
      </c>
      <c r="AD32" s="38"/>
      <c r="AE32" s="51" t="str">
        <f t="shared" si="8"/>
        <v/>
      </c>
      <c r="AF32" s="38"/>
      <c r="AG32" s="51" t="str">
        <f t="shared" si="9"/>
        <v/>
      </c>
      <c r="AH32" s="38"/>
      <c r="AI32" s="51" t="str">
        <f t="shared" si="10"/>
        <v/>
      </c>
      <c r="AJ32" s="38"/>
      <c r="AK32" s="51" t="str">
        <f t="shared" si="11"/>
        <v/>
      </c>
      <c r="AL32" s="38"/>
      <c r="AM32" s="51" t="str">
        <f t="shared" si="12"/>
        <v/>
      </c>
      <c r="AN32" s="38"/>
      <c r="AO32" s="51" t="str">
        <f t="shared" si="13"/>
        <v/>
      </c>
      <c r="AP32" s="38"/>
      <c r="AQ32" s="51" t="str">
        <f t="shared" si="14"/>
        <v/>
      </c>
      <c r="AR32" s="38"/>
      <c r="AS32" s="51" t="str">
        <f t="shared" si="15"/>
        <v/>
      </c>
      <c r="AT32" s="38"/>
      <c r="AU32" s="51" t="str">
        <f t="shared" si="16"/>
        <v/>
      </c>
      <c r="AV32" s="42"/>
      <c r="AW32" s="51" t="str">
        <f t="shared" si="17"/>
        <v/>
      </c>
    </row>
    <row r="33" spans="1:50" ht="20" customHeight="1" x14ac:dyDescent="0.2">
      <c r="A33" s="36"/>
      <c r="B33" s="94"/>
      <c r="D33" s="19" t="s">
        <v>129</v>
      </c>
      <c r="E33" s="19" t="s">
        <v>130</v>
      </c>
      <c r="F33" s="20">
        <v>2011</v>
      </c>
      <c r="G33" s="20">
        <v>12</v>
      </c>
      <c r="H33" s="87">
        <v>11</v>
      </c>
      <c r="I33" s="88" t="s">
        <v>131</v>
      </c>
      <c r="J33" s="38"/>
      <c r="K33" s="51" t="str">
        <f t="shared" si="20"/>
        <v/>
      </c>
      <c r="L33" s="38"/>
      <c r="M33" s="51" t="str">
        <f t="shared" si="19"/>
        <v/>
      </c>
      <c r="N33" s="38"/>
      <c r="O33" s="51" t="str">
        <f t="shared" si="0"/>
        <v/>
      </c>
      <c r="P33" s="38"/>
      <c r="Q33" s="51" t="str">
        <f t="shared" si="1"/>
        <v/>
      </c>
      <c r="R33" s="38"/>
      <c r="S33" s="51" t="str">
        <f t="shared" si="2"/>
        <v/>
      </c>
      <c r="T33" s="38"/>
      <c r="U33" s="51" t="str">
        <f t="shared" si="3"/>
        <v/>
      </c>
      <c r="V33" s="38"/>
      <c r="W33" s="51" t="str">
        <f t="shared" si="4"/>
        <v/>
      </c>
      <c r="X33" s="38"/>
      <c r="Y33" s="51" t="str">
        <f t="shared" si="5"/>
        <v/>
      </c>
      <c r="Z33" s="38"/>
      <c r="AA33" s="51" t="str">
        <f t="shared" si="6"/>
        <v/>
      </c>
      <c r="AB33" s="38"/>
      <c r="AC33" s="51" t="str">
        <f t="shared" si="7"/>
        <v/>
      </c>
      <c r="AD33" s="38"/>
      <c r="AE33" s="51" t="str">
        <f t="shared" si="8"/>
        <v/>
      </c>
      <c r="AF33" s="38"/>
      <c r="AG33" s="51" t="str">
        <f t="shared" si="9"/>
        <v/>
      </c>
      <c r="AH33" s="38"/>
      <c r="AI33" s="51" t="str">
        <f t="shared" si="10"/>
        <v/>
      </c>
      <c r="AJ33" s="38"/>
      <c r="AK33" s="51" t="str">
        <f t="shared" si="11"/>
        <v/>
      </c>
      <c r="AL33" s="38"/>
      <c r="AM33" s="51" t="str">
        <f t="shared" si="12"/>
        <v/>
      </c>
      <c r="AN33" s="38"/>
      <c r="AO33" s="51" t="str">
        <f t="shared" si="13"/>
        <v/>
      </c>
      <c r="AP33" s="38"/>
      <c r="AQ33" s="51" t="str">
        <f t="shared" si="14"/>
        <v/>
      </c>
      <c r="AR33" s="38"/>
      <c r="AS33" s="51" t="str">
        <f t="shared" si="15"/>
        <v/>
      </c>
      <c r="AT33" s="38"/>
      <c r="AU33" s="51" t="str">
        <f t="shared" si="16"/>
        <v/>
      </c>
      <c r="AV33" s="42"/>
      <c r="AW33" s="51" t="str">
        <f t="shared" si="17"/>
        <v/>
      </c>
      <c r="AX33" s="19" t="s">
        <v>132</v>
      </c>
    </row>
    <row r="34" spans="1:50" ht="20" customHeight="1" x14ac:dyDescent="0.2">
      <c r="A34" s="36"/>
      <c r="B34" s="95"/>
      <c r="D34" s="19" t="s">
        <v>133</v>
      </c>
      <c r="E34" s="19" t="s">
        <v>134</v>
      </c>
      <c r="F34" s="20">
        <v>2017</v>
      </c>
      <c r="H34" s="87">
        <v>124</v>
      </c>
      <c r="I34" s="88" t="s">
        <v>120</v>
      </c>
      <c r="J34" s="38">
        <v>4</v>
      </c>
      <c r="K34" s="51">
        <f t="shared" si="20"/>
        <v>3.225806451612903</v>
      </c>
      <c r="L34" s="38"/>
      <c r="M34" s="51" t="str">
        <f t="shared" si="19"/>
        <v/>
      </c>
      <c r="N34" s="38"/>
      <c r="O34" s="51" t="str">
        <f t="shared" si="0"/>
        <v/>
      </c>
      <c r="P34" s="38"/>
      <c r="Q34" s="51" t="str">
        <f t="shared" si="1"/>
        <v/>
      </c>
      <c r="R34" s="38"/>
      <c r="S34" s="51" t="str">
        <f t="shared" si="2"/>
        <v/>
      </c>
      <c r="T34" s="38"/>
      <c r="U34" s="51" t="str">
        <f t="shared" si="3"/>
        <v/>
      </c>
      <c r="V34" s="38"/>
      <c r="W34" s="51" t="str">
        <f t="shared" si="4"/>
        <v/>
      </c>
      <c r="X34" s="38"/>
      <c r="Y34" s="51" t="str">
        <f t="shared" si="5"/>
        <v/>
      </c>
      <c r="Z34" s="38"/>
      <c r="AA34" s="51" t="str">
        <f t="shared" si="6"/>
        <v/>
      </c>
      <c r="AB34" s="38"/>
      <c r="AC34" s="51" t="str">
        <f t="shared" si="7"/>
        <v/>
      </c>
      <c r="AD34" s="38"/>
      <c r="AE34" s="51" t="str">
        <f t="shared" si="8"/>
        <v/>
      </c>
      <c r="AF34" s="38"/>
      <c r="AG34" s="51" t="str">
        <f t="shared" si="9"/>
        <v/>
      </c>
      <c r="AH34" s="38"/>
      <c r="AI34" s="51" t="str">
        <f t="shared" si="10"/>
        <v/>
      </c>
      <c r="AJ34" s="38"/>
      <c r="AK34" s="51" t="str">
        <f t="shared" si="11"/>
        <v/>
      </c>
      <c r="AL34" s="38"/>
      <c r="AM34" s="51" t="str">
        <f t="shared" si="12"/>
        <v/>
      </c>
      <c r="AN34" s="38"/>
      <c r="AO34" s="51" t="str">
        <f t="shared" si="13"/>
        <v/>
      </c>
      <c r="AP34" s="38"/>
      <c r="AQ34" s="51" t="str">
        <f t="shared" si="14"/>
        <v/>
      </c>
      <c r="AR34" s="38"/>
      <c r="AS34" s="51" t="str">
        <f t="shared" si="15"/>
        <v/>
      </c>
      <c r="AT34" s="38"/>
      <c r="AU34" s="51" t="str">
        <f t="shared" si="16"/>
        <v/>
      </c>
      <c r="AV34" s="42"/>
      <c r="AW34" s="51" t="str">
        <f t="shared" si="17"/>
        <v/>
      </c>
    </row>
    <row r="35" spans="1:50" ht="20" customHeight="1" x14ac:dyDescent="0.2">
      <c r="A35" s="36"/>
      <c r="B35" s="94"/>
      <c r="D35" s="19" t="s">
        <v>135</v>
      </c>
      <c r="E35" s="19" t="s">
        <v>136</v>
      </c>
      <c r="F35" s="20">
        <v>2010</v>
      </c>
      <c r="G35" s="20">
        <v>61</v>
      </c>
      <c r="H35" s="87">
        <v>142</v>
      </c>
      <c r="I35" s="88"/>
      <c r="J35" s="38"/>
      <c r="K35" s="51" t="str">
        <f t="shared" si="20"/>
        <v/>
      </c>
      <c r="L35" s="38"/>
      <c r="M35" s="51" t="str">
        <f t="shared" si="19"/>
        <v/>
      </c>
      <c r="N35" s="38"/>
      <c r="O35" s="51" t="str">
        <f t="shared" si="0"/>
        <v/>
      </c>
      <c r="P35" s="38"/>
      <c r="Q35" s="51" t="str">
        <f t="shared" si="1"/>
        <v/>
      </c>
      <c r="R35" s="38"/>
      <c r="S35" s="51" t="str">
        <f t="shared" si="2"/>
        <v/>
      </c>
      <c r="T35" s="38"/>
      <c r="U35" s="51" t="str">
        <f t="shared" si="3"/>
        <v/>
      </c>
      <c r="V35" s="38">
        <v>19</v>
      </c>
      <c r="W35" s="51">
        <f t="shared" si="4"/>
        <v>13.380281690140844</v>
      </c>
      <c r="X35" s="38">
        <v>19</v>
      </c>
      <c r="Y35" s="51">
        <f t="shared" si="5"/>
        <v>13.380281690140844</v>
      </c>
      <c r="Z35" s="38">
        <v>16</v>
      </c>
      <c r="AA35" s="51">
        <f t="shared" si="6"/>
        <v>11.267605633802818</v>
      </c>
      <c r="AB35" s="38"/>
      <c r="AC35" s="51" t="str">
        <f t="shared" si="7"/>
        <v/>
      </c>
      <c r="AD35" s="38"/>
      <c r="AE35" s="51" t="str">
        <f t="shared" si="8"/>
        <v/>
      </c>
      <c r="AF35" s="38"/>
      <c r="AG35" s="51" t="str">
        <f t="shared" si="9"/>
        <v/>
      </c>
      <c r="AH35" s="38"/>
      <c r="AI35" s="51" t="str">
        <f t="shared" si="10"/>
        <v/>
      </c>
      <c r="AJ35" s="38"/>
      <c r="AK35" s="51" t="str">
        <f t="shared" si="11"/>
        <v/>
      </c>
      <c r="AL35" s="38"/>
      <c r="AM35" s="51" t="str">
        <f t="shared" si="12"/>
        <v/>
      </c>
      <c r="AN35" s="38"/>
      <c r="AO35" s="51" t="str">
        <f t="shared" si="13"/>
        <v/>
      </c>
      <c r="AP35" s="38"/>
      <c r="AQ35" s="51" t="str">
        <f t="shared" si="14"/>
        <v/>
      </c>
      <c r="AR35" s="38"/>
      <c r="AS35" s="51" t="str">
        <f t="shared" si="15"/>
        <v/>
      </c>
      <c r="AT35" s="38"/>
      <c r="AU35" s="51" t="str">
        <f t="shared" si="16"/>
        <v/>
      </c>
      <c r="AV35" s="42"/>
      <c r="AW35" s="51" t="str">
        <f t="shared" si="17"/>
        <v/>
      </c>
      <c r="AX35" s="19" t="s">
        <v>193</v>
      </c>
    </row>
    <row r="36" spans="1:50" ht="20" customHeight="1" x14ac:dyDescent="0.2">
      <c r="A36" s="33"/>
      <c r="D36" s="19" t="s">
        <v>173</v>
      </c>
      <c r="E36" s="19" t="s">
        <v>137</v>
      </c>
      <c r="F36" s="20">
        <v>2008</v>
      </c>
      <c r="G36" s="20">
        <v>78</v>
      </c>
      <c r="H36" s="87">
        <v>143</v>
      </c>
      <c r="I36" s="88"/>
      <c r="J36" s="38"/>
      <c r="K36" s="51" t="str">
        <f t="shared" si="20"/>
        <v/>
      </c>
      <c r="L36" s="38"/>
      <c r="M36" s="51" t="str">
        <f t="shared" si="19"/>
        <v/>
      </c>
      <c r="N36" s="38"/>
      <c r="O36" s="51" t="str">
        <f t="shared" si="0"/>
        <v/>
      </c>
      <c r="P36" s="38"/>
      <c r="Q36" s="51" t="str">
        <f t="shared" si="1"/>
        <v/>
      </c>
      <c r="R36" s="38"/>
      <c r="S36" s="51" t="str">
        <f t="shared" si="2"/>
        <v/>
      </c>
      <c r="T36" s="38"/>
      <c r="U36" s="51" t="str">
        <f t="shared" si="3"/>
        <v/>
      </c>
      <c r="V36" s="38"/>
      <c r="W36" s="51" t="str">
        <f t="shared" si="4"/>
        <v/>
      </c>
      <c r="X36" s="38"/>
      <c r="Y36" s="51" t="str">
        <f t="shared" si="5"/>
        <v/>
      </c>
      <c r="Z36" s="38"/>
      <c r="AA36" s="51" t="str">
        <f t="shared" si="6"/>
        <v/>
      </c>
      <c r="AB36" s="38"/>
      <c r="AC36" s="51" t="str">
        <f t="shared" si="7"/>
        <v/>
      </c>
      <c r="AD36" s="38"/>
      <c r="AE36" s="51" t="str">
        <f t="shared" si="8"/>
        <v/>
      </c>
      <c r="AF36" s="38"/>
      <c r="AG36" s="51" t="str">
        <f t="shared" si="9"/>
        <v/>
      </c>
      <c r="AH36" s="38"/>
      <c r="AI36" s="51" t="str">
        <f t="shared" si="10"/>
        <v/>
      </c>
      <c r="AJ36" s="38"/>
      <c r="AK36" s="51" t="str">
        <f t="shared" si="11"/>
        <v/>
      </c>
      <c r="AL36" s="38"/>
      <c r="AM36" s="51" t="str">
        <f t="shared" si="12"/>
        <v/>
      </c>
      <c r="AN36" s="38"/>
      <c r="AO36" s="51" t="str">
        <f t="shared" si="13"/>
        <v/>
      </c>
      <c r="AP36" s="38"/>
      <c r="AQ36" s="51" t="str">
        <f t="shared" si="14"/>
        <v/>
      </c>
      <c r="AR36" s="38"/>
      <c r="AS36" s="51" t="str">
        <f t="shared" si="15"/>
        <v/>
      </c>
      <c r="AT36" s="38"/>
      <c r="AU36" s="51" t="str">
        <f t="shared" si="16"/>
        <v/>
      </c>
      <c r="AV36" s="42"/>
      <c r="AW36" s="51" t="str">
        <f t="shared" si="17"/>
        <v/>
      </c>
      <c r="AX36" s="27" t="s">
        <v>195</v>
      </c>
    </row>
    <row r="37" spans="1:50" ht="20" customHeight="1" x14ac:dyDescent="0.2">
      <c r="A37" s="33"/>
      <c r="D37" s="19" t="s">
        <v>138</v>
      </c>
      <c r="E37" s="19" t="s">
        <v>139</v>
      </c>
      <c r="F37" s="20">
        <v>2017</v>
      </c>
      <c r="H37" s="87">
        <v>150</v>
      </c>
      <c r="I37" s="88"/>
      <c r="J37" s="38"/>
      <c r="K37" s="51" t="str">
        <f t="shared" si="20"/>
        <v/>
      </c>
      <c r="L37" s="38"/>
      <c r="M37" s="51" t="str">
        <f t="shared" si="19"/>
        <v/>
      </c>
      <c r="N37" s="38"/>
      <c r="O37" s="51" t="str">
        <f t="shared" si="0"/>
        <v/>
      </c>
      <c r="P37" s="38"/>
      <c r="Q37" s="51" t="str">
        <f t="shared" si="1"/>
        <v/>
      </c>
      <c r="R37" s="38"/>
      <c r="S37" s="51" t="str">
        <f t="shared" si="2"/>
        <v/>
      </c>
      <c r="T37" s="38"/>
      <c r="U37" s="51" t="str">
        <f t="shared" si="3"/>
        <v/>
      </c>
      <c r="V37" s="38"/>
      <c r="W37" s="51" t="str">
        <f t="shared" si="4"/>
        <v/>
      </c>
      <c r="X37" s="38"/>
      <c r="Y37" s="51" t="str">
        <f t="shared" si="5"/>
        <v/>
      </c>
      <c r="Z37" s="38"/>
      <c r="AA37" s="51" t="str">
        <f t="shared" si="6"/>
        <v/>
      </c>
      <c r="AB37" s="38"/>
      <c r="AC37" s="51" t="str">
        <f t="shared" si="7"/>
        <v/>
      </c>
      <c r="AD37" s="39"/>
      <c r="AE37" s="51" t="str">
        <f t="shared" si="8"/>
        <v/>
      </c>
      <c r="AF37" s="38"/>
      <c r="AG37" s="51" t="str">
        <f t="shared" si="9"/>
        <v/>
      </c>
      <c r="AH37" s="38"/>
      <c r="AI37" s="51" t="str">
        <f t="shared" si="10"/>
        <v/>
      </c>
      <c r="AJ37" s="38"/>
      <c r="AK37" s="51" t="str">
        <f t="shared" si="11"/>
        <v/>
      </c>
      <c r="AL37" s="38"/>
      <c r="AM37" s="51" t="str">
        <f t="shared" si="12"/>
        <v/>
      </c>
      <c r="AN37" s="38"/>
      <c r="AO37" s="51" t="str">
        <f t="shared" si="13"/>
        <v/>
      </c>
      <c r="AP37" s="38"/>
      <c r="AQ37" s="51" t="str">
        <f t="shared" si="14"/>
        <v/>
      </c>
      <c r="AR37" s="38"/>
      <c r="AS37" s="51" t="str">
        <f t="shared" si="15"/>
        <v/>
      </c>
      <c r="AT37" s="38"/>
      <c r="AU37" s="51" t="str">
        <f t="shared" si="16"/>
        <v/>
      </c>
      <c r="AV37" s="42"/>
      <c r="AW37" s="51" t="str">
        <f t="shared" si="17"/>
        <v/>
      </c>
      <c r="AX37" s="27" t="s">
        <v>78</v>
      </c>
    </row>
    <row r="38" spans="1:50" ht="20" customHeight="1" x14ac:dyDescent="0.2">
      <c r="A38" s="36"/>
      <c r="B38" s="94"/>
      <c r="D38" s="19" t="s">
        <v>196</v>
      </c>
      <c r="E38" s="19" t="s">
        <v>197</v>
      </c>
      <c r="F38" s="20">
        <v>2006</v>
      </c>
      <c r="H38" s="87">
        <v>9</v>
      </c>
      <c r="I38" s="88"/>
      <c r="J38" s="38">
        <v>2</v>
      </c>
      <c r="K38" s="51">
        <f t="shared" si="20"/>
        <v>22.222222222222221</v>
      </c>
      <c r="L38" s="38"/>
      <c r="M38" s="51" t="str">
        <f t="shared" si="19"/>
        <v/>
      </c>
      <c r="N38" s="38">
        <v>1</v>
      </c>
      <c r="O38" s="51">
        <f t="shared" si="0"/>
        <v>11.111111111111111</v>
      </c>
      <c r="P38" s="38"/>
      <c r="Q38" s="51" t="str">
        <f t="shared" si="1"/>
        <v/>
      </c>
      <c r="R38" s="38"/>
      <c r="S38" s="51" t="str">
        <f t="shared" si="2"/>
        <v/>
      </c>
      <c r="T38" s="38"/>
      <c r="U38" s="51" t="str">
        <f t="shared" si="3"/>
        <v/>
      </c>
      <c r="V38" s="38">
        <v>1</v>
      </c>
      <c r="W38" s="51">
        <f t="shared" si="4"/>
        <v>11.111111111111111</v>
      </c>
      <c r="X38" s="38"/>
      <c r="Y38" s="51" t="str">
        <f t="shared" si="5"/>
        <v/>
      </c>
      <c r="Z38" s="38"/>
      <c r="AA38" s="51" t="str">
        <f t="shared" si="6"/>
        <v/>
      </c>
      <c r="AB38" s="38"/>
      <c r="AC38" s="51" t="str">
        <f t="shared" si="7"/>
        <v/>
      </c>
      <c r="AD38" s="38">
        <v>4</v>
      </c>
      <c r="AE38" s="51">
        <f t="shared" si="8"/>
        <v>44.444444444444443</v>
      </c>
      <c r="AF38" s="38"/>
      <c r="AG38" s="51" t="str">
        <f t="shared" si="9"/>
        <v/>
      </c>
      <c r="AH38" s="38"/>
      <c r="AI38" s="51" t="str">
        <f t="shared" si="10"/>
        <v/>
      </c>
      <c r="AJ38" s="38">
        <v>1</v>
      </c>
      <c r="AK38" s="51">
        <f t="shared" si="11"/>
        <v>11.111111111111111</v>
      </c>
      <c r="AL38" s="38"/>
      <c r="AM38" s="51" t="str">
        <f t="shared" si="12"/>
        <v/>
      </c>
      <c r="AN38" s="38"/>
      <c r="AO38" s="51" t="str">
        <f t="shared" si="13"/>
        <v/>
      </c>
      <c r="AP38" s="38">
        <v>1</v>
      </c>
      <c r="AQ38" s="51">
        <f t="shared" si="14"/>
        <v>11.111111111111111</v>
      </c>
      <c r="AR38" s="38"/>
      <c r="AS38" s="51" t="str">
        <f t="shared" si="15"/>
        <v/>
      </c>
      <c r="AT38" s="38"/>
      <c r="AU38" s="51" t="str">
        <f t="shared" si="16"/>
        <v/>
      </c>
      <c r="AV38" s="42">
        <v>13</v>
      </c>
      <c r="AW38" s="51">
        <f t="shared" si="17"/>
        <v>144.44444444444443</v>
      </c>
      <c r="AX38" s="19" t="s">
        <v>242</v>
      </c>
    </row>
    <row r="39" spans="1:50" ht="20" customHeight="1" x14ac:dyDescent="0.2">
      <c r="A39" s="36"/>
      <c r="B39" s="94"/>
      <c r="D39" s="19" t="s">
        <v>140</v>
      </c>
      <c r="E39" s="19" t="s">
        <v>141</v>
      </c>
      <c r="F39" s="20">
        <v>2009</v>
      </c>
      <c r="G39" s="20">
        <v>31</v>
      </c>
      <c r="H39" s="87">
        <v>225</v>
      </c>
      <c r="I39" s="88"/>
      <c r="J39" s="38">
        <v>65</v>
      </c>
      <c r="K39" s="51">
        <f t="shared" si="20"/>
        <v>28.888888888888886</v>
      </c>
      <c r="L39" s="38"/>
      <c r="M39" s="51" t="str">
        <f t="shared" si="19"/>
        <v/>
      </c>
      <c r="N39" s="38"/>
      <c r="O39" s="51" t="str">
        <f t="shared" si="0"/>
        <v/>
      </c>
      <c r="P39" s="38">
        <v>59</v>
      </c>
      <c r="Q39" s="51">
        <f t="shared" si="1"/>
        <v>26.222222222222225</v>
      </c>
      <c r="R39" s="38"/>
      <c r="S39" s="51" t="str">
        <f t="shared" si="2"/>
        <v/>
      </c>
      <c r="T39" s="38">
        <v>66</v>
      </c>
      <c r="U39" s="51">
        <f t="shared" si="3"/>
        <v>29.333333333333332</v>
      </c>
      <c r="V39" s="38">
        <v>65</v>
      </c>
      <c r="W39" s="51">
        <f t="shared" si="4"/>
        <v>28.888888888888886</v>
      </c>
      <c r="X39" s="38"/>
      <c r="Y39" s="51" t="str">
        <f t="shared" si="5"/>
        <v/>
      </c>
      <c r="Z39" s="38">
        <v>103</v>
      </c>
      <c r="AA39" s="51">
        <f t="shared" si="6"/>
        <v>45.777777777777779</v>
      </c>
      <c r="AB39" s="38">
        <v>154</v>
      </c>
      <c r="AC39" s="51">
        <f t="shared" si="7"/>
        <v>68.444444444444443</v>
      </c>
      <c r="AD39" s="38"/>
      <c r="AE39" s="51" t="str">
        <f t="shared" si="8"/>
        <v/>
      </c>
      <c r="AF39" s="38">
        <v>66</v>
      </c>
      <c r="AG39" s="51">
        <f t="shared" si="9"/>
        <v>29.333333333333332</v>
      </c>
      <c r="AH39" s="38">
        <v>20</v>
      </c>
      <c r="AI39" s="51">
        <f t="shared" si="10"/>
        <v>8.8888888888888893</v>
      </c>
      <c r="AJ39" s="38">
        <v>85</v>
      </c>
      <c r="AK39" s="51">
        <f t="shared" si="11"/>
        <v>37.777777777777779</v>
      </c>
      <c r="AL39" s="38"/>
      <c r="AM39" s="51" t="str">
        <f t="shared" si="12"/>
        <v/>
      </c>
      <c r="AN39" s="38"/>
      <c r="AO39" s="51" t="str">
        <f t="shared" si="13"/>
        <v/>
      </c>
      <c r="AP39" s="38"/>
      <c r="AQ39" s="51" t="str">
        <f t="shared" si="14"/>
        <v/>
      </c>
      <c r="AR39" s="38"/>
      <c r="AS39" s="51" t="str">
        <f t="shared" si="15"/>
        <v/>
      </c>
      <c r="AT39" s="38">
        <v>117</v>
      </c>
      <c r="AU39" s="51">
        <f t="shared" si="16"/>
        <v>52</v>
      </c>
      <c r="AV39" s="42">
        <v>152</v>
      </c>
      <c r="AW39" s="51">
        <f t="shared" si="17"/>
        <v>67.555555555555557</v>
      </c>
      <c r="AX39" s="19" t="s">
        <v>244</v>
      </c>
    </row>
    <row r="40" spans="1:50" ht="20" customHeight="1" x14ac:dyDescent="0.2">
      <c r="A40" s="36"/>
      <c r="B40" s="94"/>
      <c r="D40" s="19" t="s">
        <v>143</v>
      </c>
      <c r="E40" s="19" t="s">
        <v>141</v>
      </c>
      <c r="F40" s="20">
        <v>2009</v>
      </c>
      <c r="G40" s="20">
        <v>6</v>
      </c>
      <c r="H40" s="87">
        <v>78</v>
      </c>
      <c r="I40" s="88"/>
      <c r="J40" s="38">
        <v>20</v>
      </c>
      <c r="K40" s="51">
        <f t="shared" si="20"/>
        <v>25.641025641025639</v>
      </c>
      <c r="L40" s="38"/>
      <c r="M40" s="51" t="str">
        <f t="shared" si="19"/>
        <v/>
      </c>
      <c r="N40" s="38"/>
      <c r="O40" s="51" t="str">
        <f t="shared" si="0"/>
        <v/>
      </c>
      <c r="P40" s="38">
        <v>10</v>
      </c>
      <c r="Q40" s="51">
        <f t="shared" si="1"/>
        <v>12.820512820512819</v>
      </c>
      <c r="R40" s="38"/>
      <c r="S40" s="51" t="str">
        <f t="shared" si="2"/>
        <v/>
      </c>
      <c r="T40" s="38">
        <v>17</v>
      </c>
      <c r="U40" s="51">
        <f t="shared" si="3"/>
        <v>21.794871794871796</v>
      </c>
      <c r="V40" s="38">
        <v>34</v>
      </c>
      <c r="W40" s="51">
        <f t="shared" si="4"/>
        <v>43.589743589743591</v>
      </c>
      <c r="X40" s="38"/>
      <c r="Y40" s="51" t="str">
        <f t="shared" si="5"/>
        <v/>
      </c>
      <c r="Z40" s="38">
        <v>32</v>
      </c>
      <c r="AA40" s="51">
        <f t="shared" si="6"/>
        <v>41.025641025641022</v>
      </c>
      <c r="AB40" s="38">
        <v>33</v>
      </c>
      <c r="AC40" s="51">
        <f t="shared" si="7"/>
        <v>42.307692307692307</v>
      </c>
      <c r="AD40" s="38"/>
      <c r="AE40" s="51" t="str">
        <f t="shared" si="8"/>
        <v/>
      </c>
      <c r="AF40" s="38">
        <v>25</v>
      </c>
      <c r="AG40" s="51">
        <f t="shared" si="9"/>
        <v>32.051282051282051</v>
      </c>
      <c r="AH40" s="38">
        <v>7</v>
      </c>
      <c r="AI40" s="51">
        <f t="shared" si="10"/>
        <v>8.9743589743589745</v>
      </c>
      <c r="AJ40" s="38">
        <v>24</v>
      </c>
      <c r="AK40" s="51">
        <f t="shared" si="11"/>
        <v>30.76923076923077</v>
      </c>
      <c r="AL40" s="38"/>
      <c r="AM40" s="51" t="str">
        <f t="shared" si="12"/>
        <v/>
      </c>
      <c r="AN40" s="38"/>
      <c r="AO40" s="51" t="str">
        <f t="shared" si="13"/>
        <v/>
      </c>
      <c r="AP40" s="38"/>
      <c r="AQ40" s="51" t="str">
        <f t="shared" si="14"/>
        <v/>
      </c>
      <c r="AR40" s="38"/>
      <c r="AS40" s="51" t="str">
        <f t="shared" si="15"/>
        <v/>
      </c>
      <c r="AT40" s="38">
        <v>33</v>
      </c>
      <c r="AU40" s="51">
        <f t="shared" si="16"/>
        <v>42.307692307692307</v>
      </c>
      <c r="AV40" s="42">
        <v>50</v>
      </c>
      <c r="AW40" s="51">
        <f t="shared" si="17"/>
        <v>64.102564102564102</v>
      </c>
      <c r="AX40" s="19" t="s">
        <v>243</v>
      </c>
    </row>
    <row r="41" spans="1:50" ht="20" customHeight="1" x14ac:dyDescent="0.2">
      <c r="A41" s="36"/>
      <c r="B41" s="35"/>
      <c r="D41" s="19" t="s">
        <v>145</v>
      </c>
      <c r="E41" s="19" t="s">
        <v>146</v>
      </c>
      <c r="F41" s="20">
        <v>1997</v>
      </c>
      <c r="G41" s="20">
        <v>94</v>
      </c>
      <c r="H41" s="87">
        <v>562</v>
      </c>
      <c r="I41" s="88"/>
      <c r="J41" s="39"/>
      <c r="K41" s="51" t="str">
        <f t="shared" si="20"/>
        <v/>
      </c>
      <c r="L41" s="38"/>
      <c r="M41" s="51" t="str">
        <f t="shared" si="19"/>
        <v/>
      </c>
      <c r="N41" s="38"/>
      <c r="O41" s="51" t="str">
        <f t="shared" si="0"/>
        <v/>
      </c>
      <c r="P41" s="39"/>
      <c r="Q41" s="54" t="str">
        <f t="shared" si="1"/>
        <v/>
      </c>
      <c r="R41" s="38"/>
      <c r="S41" s="51" t="str">
        <f t="shared" si="2"/>
        <v/>
      </c>
      <c r="T41" s="38"/>
      <c r="U41" s="51" t="str">
        <f t="shared" si="3"/>
        <v/>
      </c>
      <c r="V41" s="38"/>
      <c r="W41" s="51" t="str">
        <f t="shared" si="4"/>
        <v/>
      </c>
      <c r="X41" s="38"/>
      <c r="Y41" s="51" t="str">
        <f t="shared" si="5"/>
        <v/>
      </c>
      <c r="Z41" s="38"/>
      <c r="AA41" s="51" t="str">
        <f t="shared" si="6"/>
        <v/>
      </c>
      <c r="AB41" s="39"/>
      <c r="AC41" s="51" t="str">
        <f t="shared" si="7"/>
        <v/>
      </c>
      <c r="AD41" s="38"/>
      <c r="AE41" s="51" t="str">
        <f t="shared" si="8"/>
        <v/>
      </c>
      <c r="AF41" s="38"/>
      <c r="AG41" s="51" t="str">
        <f t="shared" si="9"/>
        <v/>
      </c>
      <c r="AH41" s="38"/>
      <c r="AI41" s="51" t="str">
        <f t="shared" si="10"/>
        <v/>
      </c>
      <c r="AJ41" s="38"/>
      <c r="AK41" s="51" t="str">
        <f t="shared" si="11"/>
        <v/>
      </c>
      <c r="AL41" s="38"/>
      <c r="AM41" s="51" t="str">
        <f t="shared" si="12"/>
        <v/>
      </c>
      <c r="AN41" s="38"/>
      <c r="AO41" s="51" t="str">
        <f t="shared" si="13"/>
        <v/>
      </c>
      <c r="AP41" s="38"/>
      <c r="AQ41" s="51" t="str">
        <f t="shared" si="14"/>
        <v/>
      </c>
      <c r="AR41" s="38"/>
      <c r="AS41" s="51" t="str">
        <f t="shared" si="15"/>
        <v/>
      </c>
      <c r="AT41" s="38"/>
      <c r="AU41" s="51" t="str">
        <f t="shared" si="16"/>
        <v/>
      </c>
      <c r="AV41" s="42"/>
      <c r="AW41" s="51" t="str">
        <f t="shared" si="17"/>
        <v/>
      </c>
    </row>
    <row r="42" spans="1:50" ht="20" customHeight="1" x14ac:dyDescent="0.2">
      <c r="A42" s="36"/>
      <c r="B42" s="94"/>
      <c r="D42" s="19" t="s">
        <v>147</v>
      </c>
      <c r="E42" s="19" t="s">
        <v>148</v>
      </c>
      <c r="F42" s="20">
        <v>2009</v>
      </c>
      <c r="G42" s="20">
        <v>38</v>
      </c>
      <c r="H42" s="87">
        <v>100</v>
      </c>
      <c r="I42" s="88"/>
      <c r="J42" s="38">
        <v>2</v>
      </c>
      <c r="K42" s="51">
        <f t="shared" si="20"/>
        <v>2</v>
      </c>
      <c r="L42" s="38"/>
      <c r="M42" s="51" t="str">
        <f t="shared" si="19"/>
        <v/>
      </c>
      <c r="N42" s="38">
        <v>9</v>
      </c>
      <c r="O42" s="51">
        <f t="shared" si="0"/>
        <v>9</v>
      </c>
      <c r="P42" s="38">
        <v>3</v>
      </c>
      <c r="Q42" s="51">
        <f t="shared" si="1"/>
        <v>3</v>
      </c>
      <c r="R42" s="38"/>
      <c r="S42" s="51" t="str">
        <f t="shared" si="2"/>
        <v/>
      </c>
      <c r="T42" s="38"/>
      <c r="U42" s="51" t="str">
        <f t="shared" si="3"/>
        <v/>
      </c>
      <c r="V42" s="38"/>
      <c r="W42" s="51" t="str">
        <f t="shared" si="4"/>
        <v/>
      </c>
      <c r="X42" s="38"/>
      <c r="Y42" s="51" t="str">
        <f t="shared" si="5"/>
        <v/>
      </c>
      <c r="Z42" s="38"/>
      <c r="AA42" s="51" t="str">
        <f t="shared" si="6"/>
        <v/>
      </c>
      <c r="AB42" s="38"/>
      <c r="AC42" s="51" t="str">
        <f t="shared" si="7"/>
        <v/>
      </c>
      <c r="AD42" s="38">
        <v>7</v>
      </c>
      <c r="AE42" s="51">
        <f t="shared" si="8"/>
        <v>7.0000000000000009</v>
      </c>
      <c r="AF42" s="38">
        <v>7</v>
      </c>
      <c r="AG42" s="51">
        <f t="shared" si="9"/>
        <v>7.0000000000000009</v>
      </c>
      <c r="AH42" s="38">
        <v>13</v>
      </c>
      <c r="AI42" s="51">
        <f t="shared" si="10"/>
        <v>13</v>
      </c>
      <c r="AJ42" s="38">
        <v>4</v>
      </c>
      <c r="AK42" s="51">
        <f t="shared" si="11"/>
        <v>4</v>
      </c>
      <c r="AL42" s="38"/>
      <c r="AM42" s="51" t="str">
        <f t="shared" si="12"/>
        <v/>
      </c>
      <c r="AN42" s="38"/>
      <c r="AO42" s="51" t="str">
        <f t="shared" si="13"/>
        <v/>
      </c>
      <c r="AP42" s="38"/>
      <c r="AQ42" s="51" t="str">
        <f t="shared" si="14"/>
        <v/>
      </c>
      <c r="AR42" s="38"/>
      <c r="AS42" s="51" t="str">
        <f t="shared" si="15"/>
        <v/>
      </c>
      <c r="AT42" s="38">
        <v>11</v>
      </c>
      <c r="AU42" s="51">
        <f t="shared" si="16"/>
        <v>11</v>
      </c>
      <c r="AV42" s="42">
        <v>19</v>
      </c>
      <c r="AW42" s="51">
        <f t="shared" si="17"/>
        <v>19</v>
      </c>
      <c r="AX42" s="19" t="s">
        <v>226</v>
      </c>
    </row>
    <row r="43" spans="1:50" ht="20" customHeight="1" x14ac:dyDescent="0.2">
      <c r="A43" s="36"/>
      <c r="B43" s="94"/>
      <c r="D43" s="19" t="s">
        <v>149</v>
      </c>
      <c r="E43" s="19" t="s">
        <v>150</v>
      </c>
      <c r="F43" s="20">
        <v>2006</v>
      </c>
      <c r="G43" s="20">
        <v>56</v>
      </c>
      <c r="H43" s="87">
        <v>500</v>
      </c>
      <c r="I43" s="88"/>
      <c r="J43" s="38">
        <v>6</v>
      </c>
      <c r="K43" s="51">
        <f t="shared" si="20"/>
        <v>1.2</v>
      </c>
      <c r="L43" s="38"/>
      <c r="M43" s="51" t="str">
        <f t="shared" si="19"/>
        <v/>
      </c>
      <c r="N43" s="38"/>
      <c r="O43" s="51" t="str">
        <f t="shared" si="0"/>
        <v/>
      </c>
      <c r="P43" s="38">
        <v>2</v>
      </c>
      <c r="Q43" s="51">
        <f t="shared" si="1"/>
        <v>0.4</v>
      </c>
      <c r="R43" s="38"/>
      <c r="S43" s="51" t="str">
        <f t="shared" si="2"/>
        <v/>
      </c>
      <c r="T43" s="38"/>
      <c r="U43" s="51" t="str">
        <f t="shared" si="3"/>
        <v/>
      </c>
      <c r="V43" s="38">
        <v>1</v>
      </c>
      <c r="W43" s="51">
        <f t="shared" si="4"/>
        <v>0.2</v>
      </c>
      <c r="X43" s="38"/>
      <c r="Y43" s="51" t="str">
        <f t="shared" si="5"/>
        <v/>
      </c>
      <c r="Z43" s="38">
        <v>1</v>
      </c>
      <c r="AA43" s="51">
        <f t="shared" si="6"/>
        <v>0.2</v>
      </c>
      <c r="AB43" s="38"/>
      <c r="AC43" s="51" t="str">
        <f t="shared" si="7"/>
        <v/>
      </c>
      <c r="AD43" s="38">
        <v>2</v>
      </c>
      <c r="AE43" s="51">
        <f t="shared" si="8"/>
        <v>0.4</v>
      </c>
      <c r="AF43" s="38">
        <v>1</v>
      </c>
      <c r="AG43" s="51">
        <f t="shared" si="9"/>
        <v>0.2</v>
      </c>
      <c r="AH43" s="38"/>
      <c r="AI43" s="51" t="str">
        <f t="shared" si="10"/>
        <v/>
      </c>
      <c r="AJ43" s="38"/>
      <c r="AK43" s="51" t="str">
        <f t="shared" si="11"/>
        <v/>
      </c>
      <c r="AL43" s="38"/>
      <c r="AM43" s="51" t="str">
        <f t="shared" si="12"/>
        <v/>
      </c>
      <c r="AN43" s="38">
        <v>10</v>
      </c>
      <c r="AO43" s="51">
        <f t="shared" si="13"/>
        <v>2</v>
      </c>
      <c r="AP43" s="38">
        <v>2</v>
      </c>
      <c r="AQ43" s="51">
        <f t="shared" si="14"/>
        <v>0.4</v>
      </c>
      <c r="AR43" s="38"/>
      <c r="AS43" s="51" t="str">
        <f t="shared" si="15"/>
        <v/>
      </c>
      <c r="AT43" s="38"/>
      <c r="AU43" s="51" t="str">
        <f t="shared" si="16"/>
        <v/>
      </c>
      <c r="AV43" s="42">
        <v>9</v>
      </c>
      <c r="AW43" s="51">
        <f t="shared" si="17"/>
        <v>1.7999999999999998</v>
      </c>
      <c r="AX43" s="19" t="s">
        <v>241</v>
      </c>
    </row>
    <row r="44" spans="1:50" ht="20" customHeight="1" x14ac:dyDescent="0.2">
      <c r="A44" s="33"/>
      <c r="B44" s="95"/>
      <c r="D44" s="19" t="s">
        <v>151</v>
      </c>
      <c r="E44" s="19" t="s">
        <v>152</v>
      </c>
      <c r="F44" s="20">
        <v>2016</v>
      </c>
      <c r="G44" s="20">
        <v>2</v>
      </c>
      <c r="H44" s="87">
        <v>177</v>
      </c>
      <c r="I44" s="88"/>
      <c r="J44" s="38">
        <v>3</v>
      </c>
      <c r="K44" s="51">
        <f t="shared" si="20"/>
        <v>1.6949152542372881</v>
      </c>
      <c r="L44" s="38"/>
      <c r="M44" s="51" t="str">
        <f t="shared" si="19"/>
        <v/>
      </c>
      <c r="N44" s="38"/>
      <c r="O44" s="51" t="str">
        <f t="shared" si="0"/>
        <v/>
      </c>
      <c r="P44" s="38"/>
      <c r="Q44" s="51" t="str">
        <f t="shared" si="1"/>
        <v/>
      </c>
      <c r="R44" s="38"/>
      <c r="S44" s="51" t="str">
        <f t="shared" si="2"/>
        <v/>
      </c>
      <c r="T44" s="38"/>
      <c r="U44" s="51" t="str">
        <f t="shared" si="3"/>
        <v/>
      </c>
      <c r="V44" s="38"/>
      <c r="W44" s="51" t="str">
        <f t="shared" si="4"/>
        <v/>
      </c>
      <c r="X44" s="38"/>
      <c r="Y44" s="51" t="str">
        <f t="shared" si="5"/>
        <v/>
      </c>
      <c r="Z44" s="38"/>
      <c r="AA44" s="51" t="str">
        <f t="shared" si="6"/>
        <v/>
      </c>
      <c r="AB44" s="38"/>
      <c r="AC44" s="51" t="str">
        <f t="shared" si="7"/>
        <v/>
      </c>
      <c r="AD44" s="38"/>
      <c r="AE44" s="51" t="str">
        <f t="shared" si="8"/>
        <v/>
      </c>
      <c r="AF44" s="38"/>
      <c r="AG44" s="51" t="str">
        <f t="shared" si="9"/>
        <v/>
      </c>
      <c r="AH44" s="38"/>
      <c r="AI44" s="51" t="str">
        <f t="shared" si="10"/>
        <v/>
      </c>
      <c r="AJ44" s="38"/>
      <c r="AK44" s="51" t="str">
        <f t="shared" si="11"/>
        <v/>
      </c>
      <c r="AL44" s="38"/>
      <c r="AM44" s="51" t="str">
        <f t="shared" si="12"/>
        <v/>
      </c>
      <c r="AN44" s="38"/>
      <c r="AO44" s="51" t="str">
        <f t="shared" si="13"/>
        <v/>
      </c>
      <c r="AP44" s="38"/>
      <c r="AQ44" s="51" t="str">
        <f t="shared" si="14"/>
        <v/>
      </c>
      <c r="AR44" s="38"/>
      <c r="AS44" s="51" t="str">
        <f t="shared" si="15"/>
        <v/>
      </c>
      <c r="AT44" s="38"/>
      <c r="AU44" s="51" t="str">
        <f t="shared" si="16"/>
        <v/>
      </c>
      <c r="AV44" s="42"/>
      <c r="AW44" s="51" t="str">
        <f t="shared" si="17"/>
        <v/>
      </c>
    </row>
    <row r="45" spans="1:50" ht="20" customHeight="1" x14ac:dyDescent="0.2">
      <c r="A45" s="36"/>
      <c r="B45" s="35"/>
      <c r="D45" s="19" t="s">
        <v>153</v>
      </c>
      <c r="E45" s="19" t="s">
        <v>154</v>
      </c>
      <c r="F45" s="20">
        <v>2009</v>
      </c>
      <c r="H45" s="87">
        <v>293</v>
      </c>
      <c r="I45" s="88" t="s">
        <v>204</v>
      </c>
      <c r="J45" s="38">
        <v>6</v>
      </c>
      <c r="K45" s="51">
        <f t="shared" si="20"/>
        <v>2.0477815699658701</v>
      </c>
      <c r="L45" s="38"/>
      <c r="M45" s="51" t="str">
        <f t="shared" si="19"/>
        <v/>
      </c>
      <c r="N45" s="38">
        <v>1</v>
      </c>
      <c r="O45" s="51">
        <f t="shared" si="0"/>
        <v>0.34129692832764508</v>
      </c>
      <c r="P45" s="38"/>
      <c r="Q45" s="51" t="str">
        <f t="shared" si="1"/>
        <v/>
      </c>
      <c r="R45" s="38"/>
      <c r="S45" s="51" t="str">
        <f t="shared" si="2"/>
        <v/>
      </c>
      <c r="T45" s="38"/>
      <c r="U45" s="51" t="str">
        <f t="shared" si="3"/>
        <v/>
      </c>
      <c r="V45" s="38">
        <v>5</v>
      </c>
      <c r="W45" s="51">
        <f t="shared" si="4"/>
        <v>1.7064846416382253</v>
      </c>
      <c r="X45" s="38">
        <v>2</v>
      </c>
      <c r="Y45" s="51">
        <f t="shared" si="5"/>
        <v>0.68259385665529015</v>
      </c>
      <c r="Z45" s="38">
        <v>2</v>
      </c>
      <c r="AA45" s="51">
        <f t="shared" si="6"/>
        <v>0.68259385665529015</v>
      </c>
      <c r="AB45" s="38"/>
      <c r="AC45" s="51" t="str">
        <f t="shared" si="7"/>
        <v/>
      </c>
      <c r="AD45" s="38"/>
      <c r="AE45" s="51" t="str">
        <f t="shared" si="8"/>
        <v/>
      </c>
      <c r="AF45" s="38"/>
      <c r="AG45" s="51" t="str">
        <f t="shared" si="9"/>
        <v/>
      </c>
      <c r="AH45" s="38">
        <v>1</v>
      </c>
      <c r="AI45" s="51">
        <f t="shared" si="10"/>
        <v>0.34129692832764508</v>
      </c>
      <c r="AJ45" s="38">
        <v>2</v>
      </c>
      <c r="AK45" s="51">
        <f t="shared" si="11"/>
        <v>0.68259385665529015</v>
      </c>
      <c r="AL45" s="38">
        <v>1</v>
      </c>
      <c r="AM45" s="51">
        <f t="shared" si="12"/>
        <v>0.34129692832764508</v>
      </c>
      <c r="AN45" s="38">
        <v>1</v>
      </c>
      <c r="AO45" s="51">
        <f t="shared" si="13"/>
        <v>0.34129692832764508</v>
      </c>
      <c r="AP45" s="38">
        <v>2</v>
      </c>
      <c r="AQ45" s="51">
        <f t="shared" si="14"/>
        <v>0.68259385665529015</v>
      </c>
      <c r="AR45" s="38">
        <v>1</v>
      </c>
      <c r="AS45" s="51">
        <f t="shared" si="15"/>
        <v>0.34129692832764508</v>
      </c>
      <c r="AT45" s="38"/>
      <c r="AU45" s="51" t="str">
        <f t="shared" si="16"/>
        <v/>
      </c>
      <c r="AV45" s="42"/>
      <c r="AW45" s="51" t="str">
        <f t="shared" si="17"/>
        <v/>
      </c>
    </row>
    <row r="46" spans="1:50" ht="20" customHeight="1" x14ac:dyDescent="0.2">
      <c r="A46" s="36"/>
      <c r="B46" s="95"/>
      <c r="D46" s="19" t="s">
        <v>155</v>
      </c>
      <c r="E46" s="19" t="s">
        <v>156</v>
      </c>
      <c r="F46" s="20">
        <v>2007</v>
      </c>
      <c r="G46" s="20">
        <v>34</v>
      </c>
      <c r="H46" s="87">
        <v>109</v>
      </c>
      <c r="I46" s="88" t="s">
        <v>120</v>
      </c>
      <c r="J46" s="38">
        <v>3</v>
      </c>
      <c r="K46" s="51">
        <f t="shared" si="20"/>
        <v>2.7522935779816518</v>
      </c>
      <c r="L46" s="38">
        <v>4</v>
      </c>
      <c r="M46" s="51">
        <f t="shared" si="19"/>
        <v>3.669724770642202</v>
      </c>
      <c r="N46" s="38"/>
      <c r="O46" s="51" t="str">
        <f t="shared" si="0"/>
        <v/>
      </c>
      <c r="P46" s="38">
        <v>4</v>
      </c>
      <c r="Q46" s="51">
        <f t="shared" si="1"/>
        <v>3.669724770642202</v>
      </c>
      <c r="R46" s="38">
        <v>1</v>
      </c>
      <c r="S46" s="51">
        <f t="shared" si="2"/>
        <v>0.91743119266055051</v>
      </c>
      <c r="T46" s="38"/>
      <c r="U46" s="51" t="str">
        <f t="shared" si="3"/>
        <v/>
      </c>
      <c r="V46" s="38"/>
      <c r="W46" s="51" t="str">
        <f t="shared" si="4"/>
        <v/>
      </c>
      <c r="X46" s="38"/>
      <c r="Y46" s="51" t="str">
        <f t="shared" si="5"/>
        <v/>
      </c>
      <c r="Z46" s="38"/>
      <c r="AA46" s="51" t="str">
        <f t="shared" si="6"/>
        <v/>
      </c>
      <c r="AB46" s="38"/>
      <c r="AC46" s="51" t="str">
        <f t="shared" si="7"/>
        <v/>
      </c>
      <c r="AD46" s="38"/>
      <c r="AE46" s="51" t="str">
        <f t="shared" si="8"/>
        <v/>
      </c>
      <c r="AF46" s="38"/>
      <c r="AG46" s="51" t="str">
        <f t="shared" si="9"/>
        <v/>
      </c>
      <c r="AH46" s="38"/>
      <c r="AI46" s="51" t="str">
        <f t="shared" si="10"/>
        <v/>
      </c>
      <c r="AJ46" s="38"/>
      <c r="AK46" s="51" t="str">
        <f t="shared" si="11"/>
        <v/>
      </c>
      <c r="AL46" s="38"/>
      <c r="AM46" s="51" t="str">
        <f t="shared" si="12"/>
        <v/>
      </c>
      <c r="AN46" s="38"/>
      <c r="AO46" s="51" t="str">
        <f t="shared" si="13"/>
        <v/>
      </c>
      <c r="AP46" s="38"/>
      <c r="AQ46" s="51" t="str">
        <f t="shared" si="14"/>
        <v/>
      </c>
      <c r="AR46" s="38"/>
      <c r="AS46" s="51" t="str">
        <f t="shared" si="15"/>
        <v/>
      </c>
      <c r="AT46" s="38"/>
      <c r="AU46" s="51" t="str">
        <f t="shared" si="16"/>
        <v/>
      </c>
      <c r="AV46" s="42">
        <v>8</v>
      </c>
      <c r="AW46" s="51">
        <f t="shared" si="17"/>
        <v>7.3394495412844041</v>
      </c>
      <c r="AX46" s="19" t="s">
        <v>207</v>
      </c>
    </row>
    <row r="47" spans="1:50" ht="20" customHeight="1" x14ac:dyDescent="0.2">
      <c r="A47" s="36"/>
      <c r="B47" s="95"/>
      <c r="D47" s="19" t="s">
        <v>157</v>
      </c>
      <c r="E47" s="19" t="s">
        <v>158</v>
      </c>
      <c r="F47" s="20">
        <v>2010</v>
      </c>
      <c r="G47" s="20">
        <v>50</v>
      </c>
      <c r="H47" s="87">
        <v>56</v>
      </c>
      <c r="I47" s="88"/>
      <c r="J47" s="38">
        <v>2</v>
      </c>
      <c r="K47" s="51">
        <f t="shared" si="20"/>
        <v>3.5714285714285712</v>
      </c>
      <c r="L47" s="38"/>
      <c r="M47" s="51" t="str">
        <f t="shared" si="19"/>
        <v/>
      </c>
      <c r="N47" s="38"/>
      <c r="O47" s="51" t="str">
        <f t="shared" si="0"/>
        <v/>
      </c>
      <c r="P47" s="38"/>
      <c r="Q47" s="51" t="str">
        <f t="shared" si="1"/>
        <v/>
      </c>
      <c r="R47" s="38"/>
      <c r="S47" s="51" t="str">
        <f t="shared" si="2"/>
        <v/>
      </c>
      <c r="T47" s="38"/>
      <c r="U47" s="51" t="str">
        <f t="shared" si="3"/>
        <v/>
      </c>
      <c r="V47" s="38"/>
      <c r="W47" s="51" t="str">
        <f t="shared" si="4"/>
        <v/>
      </c>
      <c r="X47" s="38"/>
      <c r="Y47" s="51" t="str">
        <f t="shared" si="5"/>
        <v/>
      </c>
      <c r="Z47" s="38"/>
      <c r="AA47" s="51" t="str">
        <f t="shared" si="6"/>
        <v/>
      </c>
      <c r="AB47" s="38"/>
      <c r="AC47" s="51" t="str">
        <f t="shared" si="7"/>
        <v/>
      </c>
      <c r="AD47" s="38"/>
      <c r="AE47" s="51" t="str">
        <f t="shared" si="8"/>
        <v/>
      </c>
      <c r="AF47" s="38"/>
      <c r="AG47" s="51" t="str">
        <f t="shared" si="9"/>
        <v/>
      </c>
      <c r="AH47" s="38"/>
      <c r="AI47" s="51" t="str">
        <f t="shared" si="10"/>
        <v/>
      </c>
      <c r="AJ47" s="38"/>
      <c r="AK47" s="51" t="str">
        <f t="shared" si="11"/>
        <v/>
      </c>
      <c r="AL47" s="38"/>
      <c r="AM47" s="51" t="str">
        <f t="shared" si="12"/>
        <v/>
      </c>
      <c r="AN47" s="38"/>
      <c r="AO47" s="51" t="str">
        <f t="shared" si="13"/>
        <v/>
      </c>
      <c r="AP47" s="38"/>
      <c r="AQ47" s="51" t="str">
        <f t="shared" si="14"/>
        <v/>
      </c>
      <c r="AR47" s="38"/>
      <c r="AS47" s="51" t="str">
        <f t="shared" si="15"/>
        <v/>
      </c>
      <c r="AT47" s="38"/>
      <c r="AU47" s="51" t="str">
        <f t="shared" si="16"/>
        <v/>
      </c>
      <c r="AV47" s="42"/>
      <c r="AW47" s="51" t="str">
        <f t="shared" si="17"/>
        <v/>
      </c>
    </row>
    <row r="48" spans="1:50" ht="20" customHeight="1" x14ac:dyDescent="0.2">
      <c r="A48" s="33"/>
      <c r="D48" s="19" t="s">
        <v>159</v>
      </c>
      <c r="E48" s="19" t="s">
        <v>160</v>
      </c>
      <c r="F48" s="20">
        <v>2011</v>
      </c>
      <c r="G48" s="20">
        <v>33</v>
      </c>
      <c r="H48" s="87">
        <v>130</v>
      </c>
      <c r="I48" s="88" t="s">
        <v>208</v>
      </c>
      <c r="J48" s="39"/>
      <c r="K48" s="51" t="str">
        <f t="shared" si="20"/>
        <v/>
      </c>
      <c r="L48" s="38"/>
      <c r="M48" s="51" t="str">
        <f t="shared" si="19"/>
        <v/>
      </c>
      <c r="N48" s="38"/>
      <c r="O48" s="51" t="str">
        <f t="shared" si="0"/>
        <v/>
      </c>
      <c r="P48" s="38"/>
      <c r="Q48" s="51" t="str">
        <f t="shared" si="1"/>
        <v/>
      </c>
      <c r="R48" s="38"/>
      <c r="S48" s="51" t="str">
        <f t="shared" si="2"/>
        <v/>
      </c>
      <c r="T48" s="38"/>
      <c r="U48" s="51" t="str">
        <f t="shared" si="3"/>
        <v/>
      </c>
      <c r="V48" s="38"/>
      <c r="W48" s="51" t="str">
        <f t="shared" si="4"/>
        <v/>
      </c>
      <c r="X48" s="38"/>
      <c r="Y48" s="51" t="str">
        <f t="shared" si="5"/>
        <v/>
      </c>
      <c r="Z48" s="38"/>
      <c r="AA48" s="51" t="str">
        <f t="shared" si="6"/>
        <v/>
      </c>
      <c r="AB48" s="38"/>
      <c r="AC48" s="51" t="str">
        <f t="shared" si="7"/>
        <v/>
      </c>
      <c r="AD48" s="38"/>
      <c r="AE48" s="51" t="str">
        <f t="shared" si="8"/>
        <v/>
      </c>
      <c r="AF48" s="38"/>
      <c r="AG48" s="51" t="str">
        <f t="shared" si="9"/>
        <v/>
      </c>
      <c r="AH48" s="38"/>
      <c r="AI48" s="51" t="str">
        <f t="shared" si="10"/>
        <v/>
      </c>
      <c r="AJ48" s="38"/>
      <c r="AK48" s="51" t="str">
        <f t="shared" si="11"/>
        <v/>
      </c>
      <c r="AL48" s="38"/>
      <c r="AM48" s="51" t="str">
        <f t="shared" si="12"/>
        <v/>
      </c>
      <c r="AN48" s="38"/>
      <c r="AO48" s="51" t="str">
        <f t="shared" si="13"/>
        <v/>
      </c>
      <c r="AP48" s="38"/>
      <c r="AQ48" s="51" t="str">
        <f t="shared" si="14"/>
        <v/>
      </c>
      <c r="AR48" s="38"/>
      <c r="AS48" s="51" t="str">
        <f t="shared" si="15"/>
        <v/>
      </c>
      <c r="AT48" s="38"/>
      <c r="AU48" s="51" t="str">
        <f t="shared" si="16"/>
        <v/>
      </c>
      <c r="AV48" s="42"/>
      <c r="AW48" s="51" t="str">
        <f t="shared" si="17"/>
        <v/>
      </c>
      <c r="AX48" s="27" t="s">
        <v>209</v>
      </c>
    </row>
    <row r="49" spans="1:50" ht="20" customHeight="1" x14ac:dyDescent="0.2">
      <c r="A49" s="36"/>
      <c r="B49" s="35"/>
      <c r="D49" s="19" t="s">
        <v>161</v>
      </c>
      <c r="E49" s="19" t="s">
        <v>162</v>
      </c>
      <c r="F49" s="20">
        <v>2014</v>
      </c>
      <c r="G49" s="20">
        <v>9</v>
      </c>
      <c r="H49" s="87">
        <v>1109</v>
      </c>
      <c r="I49" s="88" t="s">
        <v>163</v>
      </c>
      <c r="J49" s="38">
        <v>21</v>
      </c>
      <c r="K49" s="51">
        <f t="shared" si="20"/>
        <v>1.8935978358881875</v>
      </c>
      <c r="L49" s="38">
        <v>38</v>
      </c>
      <c r="M49" s="51">
        <f t="shared" si="19"/>
        <v>3.4265103697024344</v>
      </c>
      <c r="N49" s="38"/>
      <c r="O49" s="51" t="str">
        <f t="shared" si="0"/>
        <v/>
      </c>
      <c r="P49" s="38"/>
      <c r="Q49" s="51" t="str">
        <f t="shared" si="1"/>
        <v/>
      </c>
      <c r="R49" s="38"/>
      <c r="S49" s="51" t="str">
        <f t="shared" si="2"/>
        <v/>
      </c>
      <c r="T49" s="38"/>
      <c r="U49" s="51" t="str">
        <f t="shared" si="3"/>
        <v/>
      </c>
      <c r="V49" s="38"/>
      <c r="W49" s="51" t="str">
        <f t="shared" si="4"/>
        <v/>
      </c>
      <c r="X49" s="38"/>
      <c r="Y49" s="51" t="str">
        <f t="shared" si="5"/>
        <v/>
      </c>
      <c r="Z49" s="38"/>
      <c r="AA49" s="51" t="str">
        <f t="shared" si="6"/>
        <v/>
      </c>
      <c r="AB49" s="38"/>
      <c r="AC49" s="51" t="str">
        <f t="shared" si="7"/>
        <v/>
      </c>
      <c r="AD49" s="38"/>
      <c r="AE49" s="51" t="str">
        <f t="shared" si="8"/>
        <v/>
      </c>
      <c r="AF49" s="38"/>
      <c r="AG49" s="51" t="str">
        <f t="shared" si="9"/>
        <v/>
      </c>
      <c r="AH49" s="38"/>
      <c r="AI49" s="51" t="str">
        <f t="shared" si="10"/>
        <v/>
      </c>
      <c r="AJ49" s="38"/>
      <c r="AK49" s="51" t="str">
        <f t="shared" si="11"/>
        <v/>
      </c>
      <c r="AL49" s="38"/>
      <c r="AM49" s="51" t="str">
        <f t="shared" si="12"/>
        <v/>
      </c>
      <c r="AN49" s="38"/>
      <c r="AO49" s="51" t="str">
        <f t="shared" si="13"/>
        <v/>
      </c>
      <c r="AP49" s="38"/>
      <c r="AQ49" s="51" t="str">
        <f t="shared" si="14"/>
        <v/>
      </c>
      <c r="AR49" s="38"/>
      <c r="AS49" s="51" t="str">
        <f t="shared" si="15"/>
        <v/>
      </c>
      <c r="AT49" s="38"/>
      <c r="AU49" s="51" t="str">
        <f t="shared" si="16"/>
        <v/>
      </c>
      <c r="AV49" s="42"/>
      <c r="AW49" s="51" t="str">
        <f t="shared" si="17"/>
        <v/>
      </c>
      <c r="AX49" s="19" t="s">
        <v>164</v>
      </c>
    </row>
    <row r="50" spans="1:50" ht="20" customHeight="1" x14ac:dyDescent="0.2">
      <c r="A50" s="33"/>
      <c r="D50" s="19" t="s">
        <v>165</v>
      </c>
      <c r="E50" s="19" t="s">
        <v>166</v>
      </c>
      <c r="F50" s="20">
        <v>2014</v>
      </c>
      <c r="G50" s="20">
        <v>4</v>
      </c>
      <c r="H50" s="87">
        <v>1109</v>
      </c>
      <c r="I50" s="88"/>
      <c r="J50" s="38">
        <v>99</v>
      </c>
      <c r="K50" s="51">
        <f t="shared" si="20"/>
        <v>8.9269612263300271</v>
      </c>
      <c r="L50" s="38"/>
      <c r="M50" s="51" t="str">
        <f t="shared" si="19"/>
        <v/>
      </c>
      <c r="N50" s="38"/>
      <c r="O50" s="51" t="str">
        <f t="shared" si="0"/>
        <v/>
      </c>
      <c r="P50" s="38"/>
      <c r="Q50" s="51" t="str">
        <f t="shared" si="1"/>
        <v/>
      </c>
      <c r="R50" s="38"/>
      <c r="S50" s="51" t="str">
        <f t="shared" si="2"/>
        <v/>
      </c>
      <c r="T50" s="38"/>
      <c r="U50" s="51" t="str">
        <f t="shared" si="3"/>
        <v/>
      </c>
      <c r="V50" s="38"/>
      <c r="W50" s="51" t="str">
        <f t="shared" si="4"/>
        <v/>
      </c>
      <c r="X50" s="38"/>
      <c r="Y50" s="51" t="str">
        <f t="shared" si="5"/>
        <v/>
      </c>
      <c r="Z50" s="38"/>
      <c r="AA50" s="51" t="str">
        <f t="shared" si="6"/>
        <v/>
      </c>
      <c r="AB50" s="38"/>
      <c r="AC50" s="51" t="str">
        <f t="shared" si="7"/>
        <v/>
      </c>
      <c r="AD50" s="38"/>
      <c r="AE50" s="51" t="str">
        <f t="shared" si="8"/>
        <v/>
      </c>
      <c r="AF50" s="38"/>
      <c r="AG50" s="51" t="str">
        <f t="shared" si="9"/>
        <v/>
      </c>
      <c r="AH50" s="38"/>
      <c r="AI50" s="51" t="str">
        <f t="shared" si="10"/>
        <v/>
      </c>
      <c r="AJ50" s="38"/>
      <c r="AK50" s="51" t="str">
        <f t="shared" si="11"/>
        <v/>
      </c>
      <c r="AL50" s="38"/>
      <c r="AM50" s="51" t="str">
        <f t="shared" si="12"/>
        <v/>
      </c>
      <c r="AN50" s="38"/>
      <c r="AO50" s="51" t="str">
        <f t="shared" si="13"/>
        <v/>
      </c>
      <c r="AP50" s="38"/>
      <c r="AQ50" s="51" t="str">
        <f t="shared" si="14"/>
        <v/>
      </c>
      <c r="AR50" s="38"/>
      <c r="AS50" s="51" t="str">
        <f t="shared" si="15"/>
        <v/>
      </c>
      <c r="AT50" s="38"/>
      <c r="AU50" s="51" t="str">
        <f t="shared" si="16"/>
        <v/>
      </c>
      <c r="AV50" s="42"/>
      <c r="AW50" s="51" t="str">
        <f t="shared" si="17"/>
        <v/>
      </c>
      <c r="AX50" s="19" t="s">
        <v>167</v>
      </c>
    </row>
    <row r="51" spans="1:50" ht="20" customHeight="1" x14ac:dyDescent="0.2">
      <c r="A51" s="33"/>
      <c r="B51" s="95"/>
      <c r="D51" s="19" t="s">
        <v>168</v>
      </c>
      <c r="E51" s="19" t="s">
        <v>169</v>
      </c>
      <c r="F51" s="20">
        <v>2005</v>
      </c>
      <c r="G51" s="20">
        <v>36</v>
      </c>
      <c r="H51" s="87">
        <v>11</v>
      </c>
      <c r="I51" s="88"/>
      <c r="J51" s="38">
        <v>11</v>
      </c>
      <c r="K51" s="51">
        <f t="shared" si="20"/>
        <v>100</v>
      </c>
      <c r="L51" s="38">
        <v>4</v>
      </c>
      <c r="M51" s="51">
        <f t="shared" si="19"/>
        <v>36.363636363636367</v>
      </c>
      <c r="N51" s="38"/>
      <c r="O51" s="51" t="str">
        <f t="shared" si="0"/>
        <v/>
      </c>
      <c r="P51" s="38"/>
      <c r="Q51" s="51" t="str">
        <f t="shared" si="1"/>
        <v/>
      </c>
      <c r="R51" s="38"/>
      <c r="S51" s="51" t="str">
        <f t="shared" si="2"/>
        <v/>
      </c>
      <c r="T51" s="38"/>
      <c r="U51" s="51" t="str">
        <f t="shared" si="3"/>
        <v/>
      </c>
      <c r="V51" s="38"/>
      <c r="W51" s="51" t="str">
        <f t="shared" si="4"/>
        <v/>
      </c>
      <c r="X51" s="38"/>
      <c r="Y51" s="51" t="str">
        <f t="shared" si="5"/>
        <v/>
      </c>
      <c r="Z51" s="38"/>
      <c r="AA51" s="51" t="str">
        <f t="shared" si="6"/>
        <v/>
      </c>
      <c r="AB51" s="38"/>
      <c r="AC51" s="51" t="str">
        <f t="shared" si="7"/>
        <v/>
      </c>
      <c r="AD51" s="38"/>
      <c r="AE51" s="51" t="str">
        <f t="shared" si="8"/>
        <v/>
      </c>
      <c r="AF51" s="38"/>
      <c r="AG51" s="51" t="str">
        <f t="shared" si="9"/>
        <v/>
      </c>
      <c r="AH51" s="38"/>
      <c r="AI51" s="51" t="str">
        <f t="shared" si="10"/>
        <v/>
      </c>
      <c r="AJ51" s="38"/>
      <c r="AK51" s="51" t="str">
        <f t="shared" si="11"/>
        <v/>
      </c>
      <c r="AL51" s="38"/>
      <c r="AM51" s="51" t="str">
        <f t="shared" si="12"/>
        <v/>
      </c>
      <c r="AN51" s="38"/>
      <c r="AO51" s="51" t="str">
        <f t="shared" si="13"/>
        <v/>
      </c>
      <c r="AP51" s="38"/>
      <c r="AQ51" s="51" t="str">
        <f t="shared" si="14"/>
        <v/>
      </c>
      <c r="AR51" s="38"/>
      <c r="AS51" s="51" t="str">
        <f t="shared" si="15"/>
        <v/>
      </c>
      <c r="AT51" s="38"/>
      <c r="AU51" s="51" t="str">
        <f t="shared" si="16"/>
        <v/>
      </c>
      <c r="AV51" s="42"/>
      <c r="AW51" s="51" t="str">
        <f t="shared" si="17"/>
        <v/>
      </c>
      <c r="AX51" s="27" t="s">
        <v>78</v>
      </c>
    </row>
    <row r="52" spans="1:50" ht="20" customHeight="1" thickBot="1" x14ac:dyDescent="0.25">
      <c r="A52" s="33"/>
      <c r="D52" s="19" t="s">
        <v>170</v>
      </c>
      <c r="E52" s="19" t="s">
        <v>171</v>
      </c>
      <c r="F52" s="20">
        <v>2014</v>
      </c>
      <c r="H52" s="91">
        <v>3</v>
      </c>
      <c r="I52" s="92"/>
      <c r="J52" s="40"/>
      <c r="K52" s="41" t="str">
        <f t="shared" si="20"/>
        <v/>
      </c>
      <c r="L52" s="40"/>
      <c r="M52" s="41" t="str">
        <f t="shared" si="19"/>
        <v/>
      </c>
      <c r="N52" s="40"/>
      <c r="O52" s="52" t="str">
        <f t="shared" si="0"/>
        <v/>
      </c>
      <c r="P52" s="40"/>
      <c r="Q52" s="52" t="str">
        <f t="shared" si="1"/>
        <v/>
      </c>
      <c r="R52" s="40"/>
      <c r="S52" s="52" t="str">
        <f t="shared" si="2"/>
        <v/>
      </c>
      <c r="T52" s="40"/>
      <c r="U52" s="52" t="str">
        <f t="shared" si="3"/>
        <v/>
      </c>
      <c r="V52" s="40"/>
      <c r="W52" s="52" t="str">
        <f t="shared" si="4"/>
        <v/>
      </c>
      <c r="X52" s="40"/>
      <c r="Y52" s="52" t="str">
        <f t="shared" si="5"/>
        <v/>
      </c>
      <c r="Z52" s="40"/>
      <c r="AA52" s="52" t="str">
        <f t="shared" si="6"/>
        <v/>
      </c>
      <c r="AB52" s="40"/>
      <c r="AC52" s="52" t="str">
        <f t="shared" si="7"/>
        <v/>
      </c>
      <c r="AD52" s="40"/>
      <c r="AE52" s="52" t="str">
        <f t="shared" si="8"/>
        <v/>
      </c>
      <c r="AF52" s="40"/>
      <c r="AG52" s="52" t="str">
        <f t="shared" si="9"/>
        <v/>
      </c>
      <c r="AH52" s="40"/>
      <c r="AI52" s="52" t="str">
        <f t="shared" si="10"/>
        <v/>
      </c>
      <c r="AJ52" s="40"/>
      <c r="AK52" s="52" t="str">
        <f t="shared" si="11"/>
        <v/>
      </c>
      <c r="AL52" s="40"/>
      <c r="AM52" s="52" t="str">
        <f t="shared" si="12"/>
        <v/>
      </c>
      <c r="AN52" s="40"/>
      <c r="AO52" s="52" t="str">
        <f t="shared" si="13"/>
        <v/>
      </c>
      <c r="AP52" s="40"/>
      <c r="AQ52" s="52" t="str">
        <f t="shared" si="14"/>
        <v/>
      </c>
      <c r="AR52" s="40"/>
      <c r="AS52" s="52" t="str">
        <f t="shared" si="15"/>
        <v/>
      </c>
      <c r="AT52" s="40"/>
      <c r="AU52" s="52" t="str">
        <f t="shared" si="16"/>
        <v/>
      </c>
      <c r="AV52" s="43"/>
      <c r="AW52" s="52" t="str">
        <f t="shared" si="17"/>
        <v/>
      </c>
      <c r="AX52" s="27" t="s">
        <v>78</v>
      </c>
    </row>
    <row r="53" spans="1:50" x14ac:dyDescent="0.2">
      <c r="D53" s="155" t="s">
        <v>216</v>
      </c>
      <c r="E53" s="155"/>
      <c r="F53" s="155"/>
      <c r="G53" s="156"/>
      <c r="H53" s="61">
        <f>SUM(H12:H52) - (H23 + H25)</f>
        <v>8053</v>
      </c>
      <c r="I53" s="62" t="s">
        <v>211</v>
      </c>
      <c r="J53" s="65">
        <f>IF((SUM(J12:J52)&lt;&gt;0),SUMIF($H12:$H52, "&gt;0", J12:J52), "")</f>
        <v>384</v>
      </c>
      <c r="K53" s="66">
        <f>IF(ISERROR((J53/$H53)*100), "", IF(((J53/$H53)*100) &lt;&gt; 0, (J53/$H53)*100, ""))</f>
        <v>4.7684092884639266</v>
      </c>
      <c r="L53" s="63">
        <f>IF((SUM(L12:L52)&lt;&gt;0),SUMIF($H12:$H52, "&gt;0", L12:L52), "")</f>
        <v>81</v>
      </c>
      <c r="M53" s="64">
        <f>IF(ISERROR((L53/$H53)*100), "", IF(((L53/$H53)*100) &lt;&gt; 0, (L53/$H53)*100, ""))</f>
        <v>1.0058363342853596</v>
      </c>
      <c r="N53" s="65">
        <f>IF((SUM(N12:N52)&lt;&gt;0),SUMIF($H12:$H52, "&gt;0", N12:N52), "")</f>
        <v>24</v>
      </c>
      <c r="O53" s="66">
        <f>IF(ISERROR((N53/$H53)*100), "", IF(((N53/$H53)*100) &lt;&gt; 0, (N53/$H53)*100, ""))</f>
        <v>0.29802558052899542</v>
      </c>
      <c r="P53" s="65">
        <f>IF((SUM(P12:P52)&lt;&gt;0),SUMIF($H12:$H52, "&gt;0", P12:P52), "")</f>
        <v>87</v>
      </c>
      <c r="Q53" s="66">
        <f>IF(ISERROR((P53/$H53)*100), "", IF(((P53/$H53)*100) &lt;&gt; 0, (P53/$H53)*100, ""))</f>
        <v>1.0803427294176084</v>
      </c>
      <c r="R53" s="63">
        <f>IF((SUM(R12:R52)&lt;&gt;0),SUMIF($H12:$H52, "&gt;0", R12:R52), "")</f>
        <v>17</v>
      </c>
      <c r="S53" s="64">
        <f>IF(ISERROR((R53/$H53)*100), "", IF(((R53/$H53)*100) &lt;&gt; 0, (R53/$H53)*100, ""))</f>
        <v>0.21110145287470511</v>
      </c>
      <c r="T53" s="63">
        <f>IF((SUM(T12:T52)&lt;&gt;0),SUMIF($H12:$H52, "&gt;0", T12:T52), "")</f>
        <v>85</v>
      </c>
      <c r="U53" s="64">
        <f>IF(ISERROR((T53/$H53)*100), "", IF(((T53/$H53)*100) &lt;&gt; 0, (T53/$H53)*100, ""))</f>
        <v>1.0555072643735255</v>
      </c>
      <c r="V53" s="65">
        <f>IF((SUM(V12:V52)&lt;&gt;0),SUMIF($H12:$H52, "&gt;0", V12:V52), "")</f>
        <v>140</v>
      </c>
      <c r="W53" s="66">
        <f>IF(ISERROR((V53/$H53)*100), "", IF(((V53/$H53)*100) &lt;&gt; 0, (V53/$H53)*100, ""))</f>
        <v>1.7384825530858066</v>
      </c>
      <c r="X53" s="65">
        <f>IF((SUM(X12:X52)&lt;&gt;0),SUMIF($H12:$H52, "&gt;0", X12:X52), "")</f>
        <v>27</v>
      </c>
      <c r="Y53" s="66">
        <f>IF(ISERROR((X53/$H53)*100), "", IF(((X53/$H53)*100) &lt;&gt; 0, (X53/$H53)*100, ""))</f>
        <v>0.3352787780951198</v>
      </c>
      <c r="Z53" s="65">
        <f>IF((SUM(Z12:Z52)&lt;&gt;0),SUMIF($H12:$H52, "&gt;0", Z12:Z52), "")</f>
        <v>158</v>
      </c>
      <c r="AA53" s="66">
        <f>IF(ISERROR((Z53/$H53)*100), "", IF(((Z53/$H53)*100) &lt;&gt; 0, (Z53/$H53)*100, ""))</f>
        <v>1.9620017384825532</v>
      </c>
      <c r="AB53" s="65">
        <f>IF((SUM(AB12:AB52)&lt;&gt;0),SUMIF($H12:$H52, "&gt;0", AB12:AB52), "")</f>
        <v>192</v>
      </c>
      <c r="AC53" s="66">
        <f>IF(ISERROR((AB53/$H53)*100), "", IF(((AB53/$H53)*100) &lt;&gt; 0, (AB53/$H53)*100, ""))</f>
        <v>2.3842046442319633</v>
      </c>
      <c r="AD53" s="65">
        <f>IF((SUM(AD12:AD52)&lt;&gt;0),SUMIF($H12:$H52, "&gt;0", AD12:AD52), "")</f>
        <v>13</v>
      </c>
      <c r="AE53" s="66">
        <f>IF(ISERROR((AD53/$H53)*100), "", IF(((AD53/$H53)*100) &lt;&gt; 0, (AD53/$H53)*100, ""))</f>
        <v>0.16143052278653919</v>
      </c>
      <c r="AF53" s="65">
        <f>IF((SUM(AF12:AF52)&lt;&gt;0),SUMIF($H12:$H52, "&gt;0", AF12:AF52), "")</f>
        <v>99</v>
      </c>
      <c r="AG53" s="66">
        <f>IF(ISERROR((AF53/$H53)*100), "", IF(((AF53/$H53)*100) &lt;&gt; 0, (AF53/$H53)*100, ""))</f>
        <v>1.229355519682106</v>
      </c>
      <c r="AH53" s="63">
        <f>IF((SUM(AH12:AH52)&lt;&gt;0),SUMIF($H12:$H52, "&gt;0", AH12:AH52), "")</f>
        <v>42</v>
      </c>
      <c r="AI53" s="64">
        <f>IF(ISERROR((AH53/$H53)*100), "", IF(((AH53/$H53)*100) &lt;&gt; 0, (AH53/$H53)*100, ""))</f>
        <v>0.52154476592574195</v>
      </c>
      <c r="AJ53" s="63">
        <f>IF((SUM(AJ12:AJ52)&lt;&gt;0),SUMIF($H12:$H52, "&gt;0", AJ12:AJ52), "")</f>
        <v>118</v>
      </c>
      <c r="AK53" s="64">
        <f>IF(ISERROR((AJ53/$H53)*100), "", IF(((AJ53/$H53)*100) &lt;&gt; 0, (AJ53/$H53)*100, ""))</f>
        <v>1.465292437600894</v>
      </c>
      <c r="AL53" s="63">
        <f>IF((SUM(AL12:AL52)&lt;&gt;0),SUMIF($H12:$H52, "&gt;0", AL12:AL52), "")</f>
        <v>1</v>
      </c>
      <c r="AM53" s="64">
        <f>IF(ISERROR((AL53/$H53)*100), "", IF(((AL53/$H53)*100) &lt;&gt; 0, (AL53/$H53)*100, ""))</f>
        <v>1.2417732522041475E-2</v>
      </c>
      <c r="AN53" s="63">
        <f>IF((SUM(AN12:AN52)&lt;&gt;0),SUMIF($H12:$H52, "&gt;0", AN12:AN52), "")</f>
        <v>11</v>
      </c>
      <c r="AO53" s="64">
        <f>IF(ISERROR((AN53/$H53)*100), "", IF(((AN53/$H53)*100) &lt;&gt; 0, (AN53/$H53)*100, ""))</f>
        <v>0.13659505774245623</v>
      </c>
      <c r="AP53" s="65">
        <f>IF((SUM(AP12:AP52)&lt;&gt;0),SUMIF($H12:$H52, "&gt;0", AP12:AP52), "")</f>
        <v>5</v>
      </c>
      <c r="AQ53" s="66">
        <f>IF(ISERROR((AP53/$H53)*100), "", IF(((AP53/$H53)*100) &lt;&gt; 0, (AP53/$H53)*100, ""))</f>
        <v>6.208866261020738E-2</v>
      </c>
      <c r="AR53" s="63">
        <f>IF((SUM(AR12:AR52)&lt;&gt;0),SUMIF($H12:$H52, "&gt;0", AR12:AR52), "")</f>
        <v>1</v>
      </c>
      <c r="AS53" s="64">
        <f>IF(ISERROR((AR53/$H53)*100), "", IF(((AR53/$H53)*100) &lt;&gt; 0, (AR53/$H53)*100, ""))</f>
        <v>1.2417732522041475E-2</v>
      </c>
      <c r="AT53" s="65">
        <f>IF((SUM(AT12:AT52)&lt;&gt;0),SUMIF($H12:$H52, "&gt;0", AT12:AT52), "")</f>
        <v>165</v>
      </c>
      <c r="AU53" s="66">
        <f>IF(ISERROR((AT53/$H53)*100), "", IF(((AT53/$H53)*100) &lt;&gt; 0, (AT53/$H53)*100, ""))</f>
        <v>2.0489258661368437</v>
      </c>
      <c r="AV53" s="70">
        <f>IF((SUM(AV12:AV52)&lt;&gt;0),SUMIF($H12:$H52, "&gt;0", AV12:AV52), "")</f>
        <v>262</v>
      </c>
      <c r="AW53" s="71">
        <f>IF(ISERROR((AV53/$H53)*100), "", IF(((AV53/$H53)*100) &lt;&gt; 0, (AV53/$H53)*100, ""))</f>
        <v>3.2534459207748667</v>
      </c>
    </row>
    <row r="54" spans="1:50" ht="16" customHeight="1" x14ac:dyDescent="0.2">
      <c r="D54" s="155" t="s">
        <v>217</v>
      </c>
      <c r="E54" s="155"/>
      <c r="F54" s="155"/>
      <c r="G54" s="156"/>
      <c r="H54" s="57" t="s">
        <v>212</v>
      </c>
      <c r="I54" s="58" t="s">
        <v>211</v>
      </c>
      <c r="J54" s="67">
        <f>IF(SUMIF(J12:J52, "&gt;0", $H12:$H52) &gt; 0, SUMIF(J12:J52, "&gt;0", $H12:$H52), "")</f>
        <v>6297</v>
      </c>
      <c r="K54" s="68">
        <f>J53/J54*100</f>
        <v>6.0981419723677943</v>
      </c>
      <c r="L54" s="59">
        <f>IF(SUMIF(L12:L52, "&gt;0", $H12:$H52) &gt; 0, SUMIF(L12:L52, "&gt;0", $H12:$H52), "")</f>
        <v>2415</v>
      </c>
      <c r="M54" s="60">
        <f>L53/L54*100</f>
        <v>3.354037267080745</v>
      </c>
      <c r="N54" s="67">
        <f>IF(SUMIF(N12:N52, "&gt;0", $H12:$H52) &gt; 0, SUMIF(N12:N52, "&gt;0", $H12:$H52), "")</f>
        <v>415</v>
      </c>
      <c r="O54" s="68">
        <f>N53/N54*100</f>
        <v>5.7831325301204819</v>
      </c>
      <c r="P54" s="67">
        <f>IF(SUMIF(P12:P52, "&gt;0", $H12:$H52) &gt; 0, SUMIF(P12:P52, "&gt;0", $H12:$H52), "")</f>
        <v>1183</v>
      </c>
      <c r="Q54" s="68">
        <f>P53/P54*100</f>
        <v>7.3541842772611998</v>
      </c>
      <c r="R54" s="59">
        <f>IF(SUMIF(R12:R52, "&gt;0", $H12:$H52) &gt; 0, SUMIF(R12:R52, "&gt;0", $H12:$H52), "")</f>
        <v>280</v>
      </c>
      <c r="S54" s="60">
        <f>R53/R54*100</f>
        <v>6.0714285714285712</v>
      </c>
      <c r="T54" s="59">
        <f>IF(SUMIF(T12:T52, "&gt;0", $H12:$H52) &gt; 0, SUMIF(T12:T52, "&gt;0", $H12:$H52), "")</f>
        <v>432</v>
      </c>
      <c r="U54" s="60">
        <f>T53/T54*100</f>
        <v>19.675925925925927</v>
      </c>
      <c r="V54" s="67">
        <f>IF(SUMIF(V12:V52, "&gt;0", $H12:$H52) &gt; 0, SUMIF(V12:V52, "&gt;0", $H12:$H52), "")</f>
        <v>1375</v>
      </c>
      <c r="W54" s="68">
        <f>V53/V54*100</f>
        <v>10.181818181818182</v>
      </c>
      <c r="X54" s="67">
        <f>IF(SUMIF(X12:X52, "&gt;0", $H12:$H52) &gt; 0, SUMIF(X12:X52, "&gt;0", $H12:$H52), "")</f>
        <v>563</v>
      </c>
      <c r="Y54" s="68">
        <f>X53/X54*100</f>
        <v>4.7957371225577266</v>
      </c>
      <c r="Z54" s="67">
        <f>IF(SUMIF(Z12:Z52, "&gt;0", $H12:$H52) &gt; 0, SUMIF(Z12:Z52, "&gt;0", $H12:$H52), "")</f>
        <v>1366</v>
      </c>
      <c r="AA54" s="68">
        <f>Z53/Z54*100</f>
        <v>11.566617862371888</v>
      </c>
      <c r="AB54" s="67">
        <f>IF(SUMIF(AB12:AB52, "&gt;0", $H12:$H52) &gt; 0, SUMIF(AB12:AB52, "&gt;0", $H12:$H52), "")</f>
        <v>431</v>
      </c>
      <c r="AC54" s="69"/>
      <c r="AD54" s="67">
        <f>IF(SUMIF(AD12:AD52, "&gt;0", $H12:$H52) &gt; 0, SUMIF(AD12:AD52, "&gt;0", $H12:$H52), "")</f>
        <v>609</v>
      </c>
      <c r="AE54" s="68">
        <f>AD53/AD54*100</f>
        <v>2.1346469622331692</v>
      </c>
      <c r="AF54" s="67">
        <f>IF(SUMIF(AF12:AF52, "&gt;0", $H12:$H52) &gt; 0, SUMIF(AF12:AF52, "&gt;0", $H12:$H52), "")</f>
        <v>903</v>
      </c>
      <c r="AG54" s="68">
        <f>AF53/AF54*100</f>
        <v>10.963455149501661</v>
      </c>
      <c r="AH54" s="59">
        <f>IF(SUMIF(AH12:AH52, "&gt;0", $H12:$H52) &gt; 0, SUMIF(AH12:AH52, "&gt;0", $H12:$H52), "")</f>
        <v>824</v>
      </c>
      <c r="AI54" s="60">
        <f>AH53/AH54*100</f>
        <v>5.0970873786407767</v>
      </c>
      <c r="AJ54" s="59">
        <f>IF(SUMIF(AJ12:AJ52, "&gt;0", $H12:$H52) &gt; 0, SUMIF(AJ12:AJ52, "&gt;0", $H12:$H52), "")</f>
        <v>833</v>
      </c>
      <c r="AK54" s="60">
        <f>AJ53/AJ54*100</f>
        <v>14.165666266506602</v>
      </c>
      <c r="AL54" s="59">
        <f>IF(SUMIF(AL12:AL52, "&gt;0", $H12:$H52) &gt; 0, SUMIF(AL12:AL52, "&gt;0", $H12:$H52), "")</f>
        <v>293</v>
      </c>
      <c r="AM54" s="60">
        <f>AL53/AL54*100</f>
        <v>0.34129692832764508</v>
      </c>
      <c r="AN54" s="59">
        <f>IF(SUMIF(AN12:AN52, "&gt;0", $H12:$H52) &gt; 0, SUMIF(AN12:AN52, "&gt;0", $H12:$H52), "")</f>
        <v>793</v>
      </c>
      <c r="AO54" s="60">
        <f>AN53/AN54*100</f>
        <v>1.3871374527112232</v>
      </c>
      <c r="AP54" s="67">
        <f>IF(SUMIF(AP12:AP52, "&gt;0", $H12:$H52) &gt; 0, SUMIF(AP12:AP52, "&gt;0", $H12:$H52), "")</f>
        <v>802</v>
      </c>
      <c r="AQ54" s="68">
        <f>AP53/AP54*100</f>
        <v>0.62344139650872821</v>
      </c>
      <c r="AR54" s="59">
        <f>IF(SUMIF(AR12:AR52, "&gt;0", $H12:$H52) &gt; 0, SUMIF(AR12:AR52, "&gt;0", $H12:$H52), "")</f>
        <v>293</v>
      </c>
      <c r="AS54" s="60">
        <f>AR53/AR54*100</f>
        <v>0.34129692832764508</v>
      </c>
      <c r="AT54" s="67">
        <f>IF(SUMIF(AT12:AT52, "&gt;0", $H12:$H52) &gt; 0, SUMIF(AT12:AT52, "&gt;0", $H12:$H52), "")</f>
        <v>531</v>
      </c>
      <c r="AU54" s="68">
        <f>AT53/AT54*100</f>
        <v>31.073446327683619</v>
      </c>
      <c r="AV54" s="72">
        <f>IF(SUMIF(AV12:AV52, "&gt;0", $H12:$H52) &gt; 0, SUMIF(AV12:AV52, "&gt;0", $H12:$H52), "")</f>
        <v>1149</v>
      </c>
      <c r="AW54" s="68">
        <f>AV53/AV54*100</f>
        <v>22.802436901653611</v>
      </c>
    </row>
    <row r="55" spans="1:50" ht="16" customHeight="1" thickBot="1" x14ac:dyDescent="0.25">
      <c r="E55" s="73"/>
      <c r="F55" s="73"/>
      <c r="G55" s="74"/>
      <c r="H55" s="157" t="s">
        <v>215</v>
      </c>
      <c r="I55" s="160"/>
      <c r="J55" s="143" t="s">
        <v>212</v>
      </c>
      <c r="K55" s="146" t="s">
        <v>211</v>
      </c>
      <c r="L55" s="143" t="s">
        <v>212</v>
      </c>
      <c r="M55" s="149" t="s">
        <v>211</v>
      </c>
      <c r="N55" s="143" t="s">
        <v>212</v>
      </c>
      <c r="O55" s="149" t="s">
        <v>211</v>
      </c>
      <c r="P55" s="143" t="s">
        <v>212</v>
      </c>
      <c r="Q55" s="149" t="s">
        <v>211</v>
      </c>
      <c r="R55" s="143" t="s">
        <v>212</v>
      </c>
      <c r="S55" s="149" t="s">
        <v>211</v>
      </c>
      <c r="T55" s="143" t="s">
        <v>212</v>
      </c>
      <c r="U55" s="149" t="s">
        <v>211</v>
      </c>
      <c r="V55" s="143" t="s">
        <v>212</v>
      </c>
      <c r="W55" s="149" t="s">
        <v>211</v>
      </c>
      <c r="X55" s="143" t="s">
        <v>212</v>
      </c>
      <c r="Y55" s="149" t="s">
        <v>211</v>
      </c>
      <c r="Z55" s="143" t="s">
        <v>212</v>
      </c>
      <c r="AA55" s="149" t="s">
        <v>211</v>
      </c>
      <c r="AB55" s="143" t="s">
        <v>212</v>
      </c>
      <c r="AC55" s="149" t="s">
        <v>211</v>
      </c>
      <c r="AD55" s="143" t="s">
        <v>212</v>
      </c>
      <c r="AE55" s="149" t="s">
        <v>211</v>
      </c>
      <c r="AF55" s="143" t="s">
        <v>212</v>
      </c>
      <c r="AG55" s="149" t="s">
        <v>211</v>
      </c>
      <c r="AH55" s="143" t="s">
        <v>212</v>
      </c>
      <c r="AI55" s="149" t="s">
        <v>211</v>
      </c>
      <c r="AJ55" s="143" t="s">
        <v>212</v>
      </c>
      <c r="AK55" s="149" t="s">
        <v>211</v>
      </c>
      <c r="AL55" s="143" t="s">
        <v>212</v>
      </c>
      <c r="AM55" s="149" t="s">
        <v>211</v>
      </c>
      <c r="AN55" s="143" t="s">
        <v>212</v>
      </c>
      <c r="AO55" s="149" t="s">
        <v>211</v>
      </c>
      <c r="AP55" s="143" t="s">
        <v>212</v>
      </c>
      <c r="AQ55" s="149" t="s">
        <v>211</v>
      </c>
      <c r="AR55" s="143" t="s">
        <v>212</v>
      </c>
      <c r="AS55" s="149" t="s">
        <v>211</v>
      </c>
      <c r="AT55" s="143" t="s">
        <v>212</v>
      </c>
      <c r="AU55" s="149" t="s">
        <v>211</v>
      </c>
      <c r="AV55" s="168" t="s">
        <v>212</v>
      </c>
      <c r="AW55" s="149" t="s">
        <v>211</v>
      </c>
    </row>
    <row r="56" spans="1:50" ht="16" customHeight="1" x14ac:dyDescent="0.2">
      <c r="E56" s="162" t="s">
        <v>227</v>
      </c>
      <c r="F56" s="163"/>
      <c r="H56" s="158"/>
      <c r="I56" s="160"/>
      <c r="J56" s="144"/>
      <c r="K56" s="147"/>
      <c r="L56" s="144"/>
      <c r="M56" s="150"/>
      <c r="N56" s="144"/>
      <c r="O56" s="150"/>
      <c r="P56" s="144"/>
      <c r="Q56" s="150"/>
      <c r="R56" s="144"/>
      <c r="S56" s="150"/>
      <c r="T56" s="144"/>
      <c r="U56" s="150"/>
      <c r="V56" s="144"/>
      <c r="W56" s="150"/>
      <c r="X56" s="144"/>
      <c r="Y56" s="150"/>
      <c r="Z56" s="144"/>
      <c r="AA56" s="150"/>
      <c r="AB56" s="144"/>
      <c r="AC56" s="150"/>
      <c r="AD56" s="144"/>
      <c r="AE56" s="150"/>
      <c r="AF56" s="144"/>
      <c r="AG56" s="150"/>
      <c r="AH56" s="144"/>
      <c r="AI56" s="150"/>
      <c r="AJ56" s="144"/>
      <c r="AK56" s="150"/>
      <c r="AL56" s="144"/>
      <c r="AM56" s="150"/>
      <c r="AN56" s="144"/>
      <c r="AO56" s="150"/>
      <c r="AP56" s="144"/>
      <c r="AQ56" s="150"/>
      <c r="AR56" s="144"/>
      <c r="AS56" s="150"/>
      <c r="AT56" s="144"/>
      <c r="AU56" s="150"/>
      <c r="AV56" s="169"/>
      <c r="AW56" s="150"/>
    </row>
    <row r="57" spans="1:50" x14ac:dyDescent="0.2">
      <c r="E57" s="164"/>
      <c r="F57" s="165"/>
      <c r="H57" s="158"/>
      <c r="I57" s="160"/>
      <c r="J57" s="144"/>
      <c r="K57" s="147"/>
      <c r="L57" s="144"/>
      <c r="M57" s="150"/>
      <c r="N57" s="144"/>
      <c r="O57" s="150"/>
      <c r="P57" s="144"/>
      <c r="Q57" s="150"/>
      <c r="R57" s="144"/>
      <c r="S57" s="150"/>
      <c r="T57" s="144"/>
      <c r="U57" s="150"/>
      <c r="V57" s="144"/>
      <c r="W57" s="150"/>
      <c r="X57" s="144"/>
      <c r="Y57" s="150"/>
      <c r="Z57" s="144"/>
      <c r="AA57" s="150"/>
      <c r="AB57" s="144"/>
      <c r="AC57" s="150"/>
      <c r="AD57" s="144"/>
      <c r="AE57" s="150"/>
      <c r="AF57" s="144"/>
      <c r="AG57" s="150"/>
      <c r="AH57" s="144"/>
      <c r="AI57" s="150"/>
      <c r="AJ57" s="144"/>
      <c r="AK57" s="150"/>
      <c r="AL57" s="144"/>
      <c r="AM57" s="150"/>
      <c r="AN57" s="144"/>
      <c r="AO57" s="150"/>
      <c r="AP57" s="144"/>
      <c r="AQ57" s="150"/>
      <c r="AR57" s="144"/>
      <c r="AS57" s="150"/>
      <c r="AT57" s="144"/>
      <c r="AU57" s="150"/>
      <c r="AV57" s="169"/>
      <c r="AW57" s="150"/>
    </row>
    <row r="58" spans="1:50" x14ac:dyDescent="0.2">
      <c r="E58" s="164"/>
      <c r="F58" s="165"/>
      <c r="H58" s="158"/>
      <c r="I58" s="160"/>
      <c r="J58" s="145"/>
      <c r="K58" s="148"/>
      <c r="L58" s="145"/>
      <c r="M58" s="151"/>
      <c r="N58" s="145"/>
      <c r="O58" s="151"/>
      <c r="P58" s="145"/>
      <c r="Q58" s="151"/>
      <c r="R58" s="145"/>
      <c r="S58" s="151"/>
      <c r="T58" s="145"/>
      <c r="U58" s="151"/>
      <c r="V58" s="145"/>
      <c r="W58" s="151"/>
      <c r="X58" s="145"/>
      <c r="Y58" s="151"/>
      <c r="Z58" s="145"/>
      <c r="AA58" s="151"/>
      <c r="AB58" s="145"/>
      <c r="AC58" s="151"/>
      <c r="AD58" s="145"/>
      <c r="AE58" s="151"/>
      <c r="AF58" s="145"/>
      <c r="AG58" s="151"/>
      <c r="AH58" s="145"/>
      <c r="AI58" s="151"/>
      <c r="AJ58" s="145"/>
      <c r="AK58" s="151"/>
      <c r="AL58" s="145"/>
      <c r="AM58" s="151"/>
      <c r="AN58" s="145"/>
      <c r="AO58" s="151"/>
      <c r="AP58" s="145"/>
      <c r="AQ58" s="151"/>
      <c r="AR58" s="145"/>
      <c r="AS58" s="151"/>
      <c r="AT58" s="145"/>
      <c r="AU58" s="151"/>
      <c r="AV58" s="170"/>
      <c r="AW58" s="151"/>
    </row>
    <row r="59" spans="1:50" ht="16" customHeight="1" x14ac:dyDescent="0.2">
      <c r="E59" s="164"/>
      <c r="F59" s="165"/>
      <c r="H59" s="158"/>
      <c r="I59" s="160"/>
      <c r="J59" s="123" t="s">
        <v>49</v>
      </c>
      <c r="K59" s="124"/>
      <c r="L59" s="123" t="s">
        <v>50</v>
      </c>
      <c r="M59" s="124"/>
      <c r="N59" s="123" t="s">
        <v>51</v>
      </c>
      <c r="O59" s="124"/>
      <c r="P59" s="123" t="s">
        <v>214</v>
      </c>
      <c r="Q59" s="124"/>
      <c r="R59" s="123" t="s">
        <v>53</v>
      </c>
      <c r="S59" s="124"/>
      <c r="T59" s="123" t="s">
        <v>54</v>
      </c>
      <c r="U59" s="124"/>
      <c r="V59" s="123" t="s">
        <v>55</v>
      </c>
      <c r="W59" s="124"/>
      <c r="X59" s="123" t="s">
        <v>56</v>
      </c>
      <c r="Y59" s="124"/>
      <c r="Z59" s="123" t="s">
        <v>57</v>
      </c>
      <c r="AA59" s="124"/>
      <c r="AB59" s="123" t="s">
        <v>58</v>
      </c>
      <c r="AC59" s="124"/>
      <c r="AD59" s="123" t="s">
        <v>210</v>
      </c>
      <c r="AE59" s="124"/>
      <c r="AF59" s="123" t="s">
        <v>60</v>
      </c>
      <c r="AG59" s="124"/>
      <c r="AH59" s="123" t="s">
        <v>61</v>
      </c>
      <c r="AI59" s="124"/>
      <c r="AJ59" s="123" t="s">
        <v>62</v>
      </c>
      <c r="AK59" s="124"/>
      <c r="AL59" s="123" t="s">
        <v>63</v>
      </c>
      <c r="AM59" s="124"/>
      <c r="AN59" s="123" t="s">
        <v>64</v>
      </c>
      <c r="AO59" s="124"/>
      <c r="AP59" s="123" t="s">
        <v>65</v>
      </c>
      <c r="AQ59" s="124"/>
      <c r="AR59" s="123" t="s">
        <v>66</v>
      </c>
      <c r="AS59" s="124"/>
      <c r="AT59" s="123" t="s">
        <v>213</v>
      </c>
      <c r="AU59" s="124"/>
      <c r="AV59" s="140" t="s">
        <v>184</v>
      </c>
      <c r="AW59" s="124"/>
    </row>
    <row r="60" spans="1:50" x14ac:dyDescent="0.2">
      <c r="E60" s="164"/>
      <c r="F60" s="165"/>
      <c r="H60" s="158"/>
      <c r="I60" s="160"/>
      <c r="J60" s="123"/>
      <c r="K60" s="124"/>
      <c r="L60" s="123"/>
      <c r="M60" s="124"/>
      <c r="N60" s="123"/>
      <c r="O60" s="124"/>
      <c r="P60" s="123"/>
      <c r="Q60" s="124"/>
      <c r="R60" s="123"/>
      <c r="S60" s="124"/>
      <c r="T60" s="123"/>
      <c r="U60" s="124"/>
      <c r="V60" s="123"/>
      <c r="W60" s="124"/>
      <c r="X60" s="123"/>
      <c r="Y60" s="124"/>
      <c r="Z60" s="123"/>
      <c r="AA60" s="124"/>
      <c r="AB60" s="123"/>
      <c r="AC60" s="124"/>
      <c r="AD60" s="123"/>
      <c r="AE60" s="124"/>
      <c r="AF60" s="123"/>
      <c r="AG60" s="124"/>
      <c r="AH60" s="123"/>
      <c r="AI60" s="124"/>
      <c r="AJ60" s="123"/>
      <c r="AK60" s="124"/>
      <c r="AL60" s="123"/>
      <c r="AM60" s="124"/>
      <c r="AN60" s="123"/>
      <c r="AO60" s="124"/>
      <c r="AP60" s="123"/>
      <c r="AQ60" s="124"/>
      <c r="AR60" s="123"/>
      <c r="AS60" s="124"/>
      <c r="AT60" s="123"/>
      <c r="AU60" s="124"/>
      <c r="AV60" s="140"/>
      <c r="AW60" s="124"/>
    </row>
    <row r="61" spans="1:50" ht="17" thickBot="1" x14ac:dyDescent="0.25">
      <c r="E61" s="166"/>
      <c r="F61" s="167"/>
      <c r="H61" s="158"/>
      <c r="I61" s="160"/>
      <c r="J61" s="136"/>
      <c r="K61" s="137"/>
      <c r="L61" s="136"/>
      <c r="M61" s="137"/>
      <c r="N61" s="136"/>
      <c r="O61" s="137"/>
      <c r="P61" s="136"/>
      <c r="Q61" s="137"/>
      <c r="R61" s="136"/>
      <c r="S61" s="137"/>
      <c r="T61" s="136"/>
      <c r="U61" s="137"/>
      <c r="V61" s="136"/>
      <c r="W61" s="137"/>
      <c r="X61" s="136"/>
      <c r="Y61" s="137"/>
      <c r="Z61" s="136"/>
      <c r="AA61" s="137"/>
      <c r="AB61" s="136"/>
      <c r="AC61" s="137"/>
      <c r="AD61" s="136"/>
      <c r="AE61" s="137"/>
      <c r="AF61" s="136"/>
      <c r="AG61" s="137"/>
      <c r="AH61" s="136"/>
      <c r="AI61" s="137"/>
      <c r="AJ61" s="136"/>
      <c r="AK61" s="137"/>
      <c r="AL61" s="136"/>
      <c r="AM61" s="137"/>
      <c r="AN61" s="136"/>
      <c r="AO61" s="137"/>
      <c r="AP61" s="136"/>
      <c r="AQ61" s="137"/>
      <c r="AR61" s="136"/>
      <c r="AS61" s="137"/>
      <c r="AT61" s="136"/>
      <c r="AU61" s="137"/>
      <c r="AV61" s="142"/>
      <c r="AW61" s="137"/>
    </row>
    <row r="62" spans="1:50" ht="17" thickBot="1" x14ac:dyDescent="0.25">
      <c r="F62" s="19"/>
      <c r="H62" s="159"/>
      <c r="I62" s="161"/>
      <c r="J62" s="133" t="s">
        <v>44</v>
      </c>
      <c r="K62" s="134"/>
      <c r="L62" s="134"/>
      <c r="M62" s="134"/>
      <c r="N62" s="134"/>
      <c r="O62" s="134"/>
      <c r="P62" s="134"/>
      <c r="Q62" s="134"/>
      <c r="R62" s="134"/>
      <c r="S62" s="134"/>
      <c r="T62" s="134"/>
      <c r="U62" s="134"/>
      <c r="V62" s="134"/>
      <c r="W62" s="134"/>
      <c r="X62" s="134"/>
      <c r="Y62" s="134"/>
      <c r="Z62" s="134"/>
      <c r="AA62" s="134"/>
      <c r="AB62" s="134"/>
      <c r="AC62" s="134"/>
      <c r="AD62" s="134"/>
      <c r="AE62" s="134"/>
      <c r="AF62" s="134"/>
      <c r="AG62" s="134"/>
      <c r="AH62" s="134"/>
      <c r="AI62" s="134"/>
      <c r="AJ62" s="134"/>
      <c r="AK62" s="134"/>
      <c r="AL62" s="134"/>
      <c r="AM62" s="134"/>
      <c r="AN62" s="134"/>
      <c r="AO62" s="134"/>
      <c r="AP62" s="134"/>
      <c r="AQ62" s="134"/>
      <c r="AR62" s="134"/>
      <c r="AS62" s="134"/>
      <c r="AT62" s="134"/>
      <c r="AU62" s="134"/>
      <c r="AV62" s="134"/>
      <c r="AW62" s="135"/>
    </row>
  </sheetData>
  <mergeCells count="134">
    <mergeCell ref="D3:D5"/>
    <mergeCell ref="B7:B11"/>
    <mergeCell ref="D53:G53"/>
    <mergeCell ref="D54:G54"/>
    <mergeCell ref="H55:H62"/>
    <mergeCell ref="I55:I62"/>
    <mergeCell ref="E56:F61"/>
    <mergeCell ref="AV55:AV58"/>
    <mergeCell ref="AW55:AW58"/>
    <mergeCell ref="AP55:AP58"/>
    <mergeCell ref="AQ55:AQ58"/>
    <mergeCell ref="AR55:AR58"/>
    <mergeCell ref="AS55:AS58"/>
    <mergeCell ref="AT55:AT58"/>
    <mergeCell ref="AU55:AU58"/>
    <mergeCell ref="AJ55:AJ58"/>
    <mergeCell ref="AK55:AK58"/>
    <mergeCell ref="AL55:AL58"/>
    <mergeCell ref="AM55:AM58"/>
    <mergeCell ref="AN55:AN58"/>
    <mergeCell ref="AO55:AO58"/>
    <mergeCell ref="AD55:AD58"/>
    <mergeCell ref="AE55:AE58"/>
    <mergeCell ref="AF55:AF58"/>
    <mergeCell ref="R55:R58"/>
    <mergeCell ref="S55:S58"/>
    <mergeCell ref="T55:T58"/>
    <mergeCell ref="AN59:AO61"/>
    <mergeCell ref="AP59:AQ61"/>
    <mergeCell ref="AR59:AS61"/>
    <mergeCell ref="AG55:AG58"/>
    <mergeCell ref="AH55:AH58"/>
    <mergeCell ref="AI55:AI58"/>
    <mergeCell ref="X55:X58"/>
    <mergeCell ref="Y55:Y58"/>
    <mergeCell ref="Z55:Z58"/>
    <mergeCell ref="AA55:AA58"/>
    <mergeCell ref="AB55:AB58"/>
    <mergeCell ref="AC55:AC58"/>
    <mergeCell ref="AT59:AU61"/>
    <mergeCell ref="AV59:AW61"/>
    <mergeCell ref="J55:J58"/>
    <mergeCell ref="K55:K58"/>
    <mergeCell ref="L55:L58"/>
    <mergeCell ref="M55:M58"/>
    <mergeCell ref="N55:N58"/>
    <mergeCell ref="R59:S61"/>
    <mergeCell ref="T59:U61"/>
    <mergeCell ref="V59:W61"/>
    <mergeCell ref="X59:Y61"/>
    <mergeCell ref="Z59:AA61"/>
    <mergeCell ref="AB59:AC61"/>
    <mergeCell ref="AF59:AG61"/>
    <mergeCell ref="AH59:AI61"/>
    <mergeCell ref="AJ59:AK61"/>
    <mergeCell ref="AL59:AM61"/>
    <mergeCell ref="AD59:AE61"/>
    <mergeCell ref="U55:U58"/>
    <mergeCell ref="V55:V58"/>
    <mergeCell ref="W55:W58"/>
    <mergeCell ref="O55:O58"/>
    <mergeCell ref="P55:P58"/>
    <mergeCell ref="Q55:Q58"/>
    <mergeCell ref="J62:AW62"/>
    <mergeCell ref="J59:K61"/>
    <mergeCell ref="L59:M61"/>
    <mergeCell ref="N59:O61"/>
    <mergeCell ref="P59:Q61"/>
    <mergeCell ref="AP4:AQ6"/>
    <mergeCell ref="AR4:AS6"/>
    <mergeCell ref="AT4:AU6"/>
    <mergeCell ref="AV7:AV11"/>
    <mergeCell ref="AV4:AW6"/>
    <mergeCell ref="Z4:AA6"/>
    <mergeCell ref="AB4:AC6"/>
    <mergeCell ref="Y7:Y11"/>
    <mergeCell ref="AA7:AA11"/>
    <mergeCell ref="AP7:AP11"/>
    <mergeCell ref="AR7:AR11"/>
    <mergeCell ref="AK7:AK11"/>
    <mergeCell ref="AM7:AM11"/>
    <mergeCell ref="AO7:AO11"/>
    <mergeCell ref="AQ7:AQ11"/>
    <mergeCell ref="M7:M11"/>
    <mergeCell ref="O7:O11"/>
    <mergeCell ref="Q7:Q11"/>
    <mergeCell ref="S7:S11"/>
    <mergeCell ref="J2:AW2"/>
    <mergeCell ref="J3:AW3"/>
    <mergeCell ref="AU7:AU11"/>
    <mergeCell ref="AW7:AW11"/>
    <mergeCell ref="AD4:AE6"/>
    <mergeCell ref="AF4:AG6"/>
    <mergeCell ref="AH4:AI6"/>
    <mergeCell ref="AJ4:AK6"/>
    <mergeCell ref="AL4:AM6"/>
    <mergeCell ref="AN4:AO6"/>
    <mergeCell ref="AS7:AS11"/>
    <mergeCell ref="AT7:AT11"/>
    <mergeCell ref="J4:K6"/>
    <mergeCell ref="L4:M6"/>
    <mergeCell ref="N4:O6"/>
    <mergeCell ref="P4:Q6"/>
    <mergeCell ref="R4:S6"/>
    <mergeCell ref="T4:U6"/>
    <mergeCell ref="AC7:AC11"/>
    <mergeCell ref="AE7:AE11"/>
    <mergeCell ref="AG7:AG11"/>
    <mergeCell ref="AI7:AI11"/>
    <mergeCell ref="V4:W6"/>
    <mergeCell ref="X4:Y6"/>
    <mergeCell ref="U7:U11"/>
    <mergeCell ref="W7:W11"/>
    <mergeCell ref="AJ7:AJ11"/>
    <mergeCell ref="AL7:AL11"/>
    <mergeCell ref="AN7:AN11"/>
    <mergeCell ref="K7:K11"/>
    <mergeCell ref="A7:A11"/>
    <mergeCell ref="H7:H11"/>
    <mergeCell ref="I7:I11"/>
    <mergeCell ref="J7:J11"/>
    <mergeCell ref="G7:G11"/>
    <mergeCell ref="L7:L11"/>
    <mergeCell ref="N7:N11"/>
    <mergeCell ref="P7:P11"/>
    <mergeCell ref="R7:R11"/>
    <mergeCell ref="T7:T11"/>
    <mergeCell ref="AB7:AB11"/>
    <mergeCell ref="AD7:AD11"/>
    <mergeCell ref="AF7:AF11"/>
    <mergeCell ref="AH7:AH11"/>
    <mergeCell ref="V7:V11"/>
    <mergeCell ref="X7:X11"/>
    <mergeCell ref="Z7:Z11"/>
  </mergeCells>
  <pageMargins left="0.7" right="0.7" top="0.75" bottom="0.75" header="0.3" footer="0.3"/>
  <ignoredErrors>
    <ignoredError sqref="K53 M53 O53 Q53 S53 U53"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64"/>
  <sheetViews>
    <sheetView showRuler="0" workbookViewId="0"/>
  </sheetViews>
  <sheetFormatPr baseColWidth="10" defaultRowHeight="16" x14ac:dyDescent="0.2"/>
  <cols>
    <col min="1" max="1" width="5.6640625" style="19" customWidth="1"/>
    <col min="2" max="2" width="5.6640625"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10" width="6.6640625" style="20" customWidth="1"/>
    <col min="11" max="11" width="6.6640625" style="50" customWidth="1"/>
    <col min="12" max="49" width="6.6640625" style="20" customWidth="1"/>
    <col min="50" max="50" width="113.83203125" style="19" customWidth="1"/>
    <col min="51" max="16384" width="10.83203125" style="19"/>
  </cols>
  <sheetData>
    <row r="1" spans="1:50" ht="17" thickBot="1" x14ac:dyDescent="0.25">
      <c r="D1" s="37"/>
    </row>
    <row r="2" spans="1:50" ht="19" x14ac:dyDescent="0.25">
      <c r="D2" s="96" t="s">
        <v>228</v>
      </c>
      <c r="J2" s="115" t="s">
        <v>44</v>
      </c>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7"/>
    </row>
    <row r="3" spans="1:50" ht="19" customHeight="1" thickBot="1" x14ac:dyDescent="0.25">
      <c r="D3" s="152" t="s">
        <v>231</v>
      </c>
      <c r="J3" s="118" t="s">
        <v>45</v>
      </c>
      <c r="K3" s="119"/>
      <c r="L3" s="119"/>
      <c r="M3" s="119"/>
      <c r="N3" s="119"/>
      <c r="O3" s="119"/>
      <c r="P3" s="119"/>
      <c r="Q3" s="119"/>
      <c r="R3" s="119"/>
      <c r="S3" s="119"/>
      <c r="T3" s="119"/>
      <c r="U3" s="119"/>
      <c r="V3" s="119"/>
      <c r="W3" s="119"/>
      <c r="X3" s="119"/>
      <c r="Y3" s="119"/>
      <c r="Z3" s="119"/>
      <c r="AA3" s="119"/>
      <c r="AB3" s="119"/>
      <c r="AC3" s="119"/>
      <c r="AD3" s="119"/>
      <c r="AE3" s="119"/>
      <c r="AF3" s="119"/>
      <c r="AG3" s="119"/>
      <c r="AH3" s="119"/>
      <c r="AI3" s="119"/>
      <c r="AJ3" s="119"/>
      <c r="AK3" s="119"/>
      <c r="AL3" s="119"/>
      <c r="AM3" s="119"/>
      <c r="AN3" s="119"/>
      <c r="AO3" s="119"/>
      <c r="AP3" s="119"/>
      <c r="AQ3" s="119"/>
      <c r="AR3" s="119"/>
      <c r="AS3" s="119"/>
      <c r="AT3" s="119"/>
      <c r="AU3" s="119"/>
      <c r="AV3" s="119"/>
      <c r="AW3" s="120"/>
    </row>
    <row r="4" spans="1:50" ht="19" customHeight="1" x14ac:dyDescent="0.2">
      <c r="B4" s="95"/>
      <c r="D4" s="153"/>
      <c r="J4" s="121" t="s">
        <v>54</v>
      </c>
      <c r="K4" s="122"/>
      <c r="L4" s="121" t="s">
        <v>184</v>
      </c>
      <c r="M4" s="122"/>
      <c r="N4" s="121" t="s">
        <v>213</v>
      </c>
      <c r="O4" s="122"/>
      <c r="P4" s="121" t="s">
        <v>210</v>
      </c>
      <c r="Q4" s="122"/>
      <c r="R4" s="121" t="s">
        <v>60</v>
      </c>
      <c r="S4" s="122"/>
      <c r="T4" s="121" t="s">
        <v>53</v>
      </c>
      <c r="U4" s="122"/>
      <c r="V4" s="127" t="s">
        <v>51</v>
      </c>
      <c r="W4" s="128"/>
      <c r="X4" s="121" t="s">
        <v>55</v>
      </c>
      <c r="Y4" s="122"/>
      <c r="Z4" s="127" t="s">
        <v>49</v>
      </c>
      <c r="AA4" s="128"/>
      <c r="AB4" s="121" t="s">
        <v>56</v>
      </c>
      <c r="AC4" s="122"/>
      <c r="AD4" s="121" t="s">
        <v>214</v>
      </c>
      <c r="AE4" s="122"/>
      <c r="AF4" s="121" t="s">
        <v>57</v>
      </c>
      <c r="AG4" s="122"/>
      <c r="AH4" s="121" t="s">
        <v>61</v>
      </c>
      <c r="AI4" s="122"/>
      <c r="AJ4" s="127" t="s">
        <v>50</v>
      </c>
      <c r="AK4" s="128"/>
      <c r="AL4" s="121" t="s">
        <v>62</v>
      </c>
      <c r="AM4" s="122"/>
      <c r="AN4" s="121" t="s">
        <v>65</v>
      </c>
      <c r="AO4" s="122"/>
      <c r="AP4" s="121" t="s">
        <v>63</v>
      </c>
      <c r="AQ4" s="122"/>
      <c r="AR4" s="121" t="s">
        <v>64</v>
      </c>
      <c r="AS4" s="122"/>
      <c r="AT4" s="121" t="s">
        <v>66</v>
      </c>
      <c r="AU4" s="122"/>
      <c r="AV4" s="121" t="s">
        <v>58</v>
      </c>
      <c r="AW4" s="122"/>
    </row>
    <row r="5" spans="1:50" ht="19" customHeight="1" thickBot="1" x14ac:dyDescent="0.25">
      <c r="A5" s="33"/>
      <c r="B5" s="35"/>
      <c r="D5" s="154"/>
      <c r="J5" s="123"/>
      <c r="K5" s="124"/>
      <c r="L5" s="123"/>
      <c r="M5" s="124"/>
      <c r="N5" s="123"/>
      <c r="O5" s="124"/>
      <c r="P5" s="123"/>
      <c r="Q5" s="124"/>
      <c r="R5" s="123"/>
      <c r="S5" s="124"/>
      <c r="T5" s="123"/>
      <c r="U5" s="124"/>
      <c r="V5" s="129"/>
      <c r="W5" s="130"/>
      <c r="X5" s="123"/>
      <c r="Y5" s="124"/>
      <c r="Z5" s="129"/>
      <c r="AA5" s="130"/>
      <c r="AB5" s="123"/>
      <c r="AC5" s="124"/>
      <c r="AD5" s="123"/>
      <c r="AE5" s="124"/>
      <c r="AF5" s="123"/>
      <c r="AG5" s="124"/>
      <c r="AH5" s="123"/>
      <c r="AI5" s="124"/>
      <c r="AJ5" s="129"/>
      <c r="AK5" s="130"/>
      <c r="AL5" s="123"/>
      <c r="AM5" s="124"/>
      <c r="AN5" s="123"/>
      <c r="AO5" s="124"/>
      <c r="AP5" s="123"/>
      <c r="AQ5" s="124"/>
      <c r="AR5" s="123"/>
      <c r="AS5" s="124"/>
      <c r="AT5" s="123"/>
      <c r="AU5" s="124"/>
      <c r="AV5" s="123"/>
      <c r="AW5" s="124"/>
    </row>
    <row r="6" spans="1:50" ht="19" customHeight="1" thickBot="1" x14ac:dyDescent="0.25">
      <c r="A6" s="34"/>
      <c r="B6" s="94"/>
      <c r="G6" s="19"/>
      <c r="H6" s="19"/>
      <c r="I6" s="19"/>
      <c r="J6" s="125"/>
      <c r="K6" s="126"/>
      <c r="L6" s="125"/>
      <c r="M6" s="126"/>
      <c r="N6" s="125"/>
      <c r="O6" s="126"/>
      <c r="P6" s="125"/>
      <c r="Q6" s="126"/>
      <c r="R6" s="125"/>
      <c r="S6" s="126"/>
      <c r="T6" s="125"/>
      <c r="U6" s="126"/>
      <c r="V6" s="131"/>
      <c r="W6" s="132"/>
      <c r="X6" s="125"/>
      <c r="Y6" s="126"/>
      <c r="Z6" s="131"/>
      <c r="AA6" s="132"/>
      <c r="AB6" s="125"/>
      <c r="AC6" s="126"/>
      <c r="AD6" s="125"/>
      <c r="AE6" s="126"/>
      <c r="AF6" s="125"/>
      <c r="AG6" s="126"/>
      <c r="AH6" s="125"/>
      <c r="AI6" s="126"/>
      <c r="AJ6" s="131"/>
      <c r="AK6" s="132"/>
      <c r="AL6" s="125"/>
      <c r="AM6" s="126"/>
      <c r="AN6" s="125"/>
      <c r="AO6" s="126"/>
      <c r="AP6" s="125"/>
      <c r="AQ6" s="126"/>
      <c r="AR6" s="125"/>
      <c r="AS6" s="126"/>
      <c r="AT6" s="125"/>
      <c r="AU6" s="126"/>
      <c r="AV6" s="125"/>
      <c r="AW6" s="126"/>
    </row>
    <row r="7" spans="1:50" ht="20" customHeight="1" x14ac:dyDescent="0.2">
      <c r="A7" s="107" t="s">
        <v>201</v>
      </c>
      <c r="B7" s="107" t="s">
        <v>233</v>
      </c>
      <c r="G7" s="107" t="s">
        <v>46</v>
      </c>
      <c r="H7" s="109" t="s">
        <v>47</v>
      </c>
      <c r="I7" s="112" t="s">
        <v>48</v>
      </c>
      <c r="J7" s="103" t="s">
        <v>212</v>
      </c>
      <c r="K7" s="101" t="s">
        <v>211</v>
      </c>
      <c r="L7" s="138" t="s">
        <v>212</v>
      </c>
      <c r="M7" s="101" t="s">
        <v>211</v>
      </c>
      <c r="N7" s="103" t="s">
        <v>212</v>
      </c>
      <c r="O7" s="101" t="s">
        <v>211</v>
      </c>
      <c r="P7" s="103" t="s">
        <v>212</v>
      </c>
      <c r="Q7" s="101" t="s">
        <v>211</v>
      </c>
      <c r="R7" s="103" t="s">
        <v>212</v>
      </c>
      <c r="S7" s="101" t="s">
        <v>211</v>
      </c>
      <c r="T7" s="103" t="s">
        <v>212</v>
      </c>
      <c r="U7" s="101" t="s">
        <v>211</v>
      </c>
      <c r="V7" s="103" t="s">
        <v>212</v>
      </c>
      <c r="W7" s="101" t="s">
        <v>211</v>
      </c>
      <c r="X7" s="103" t="s">
        <v>212</v>
      </c>
      <c r="Y7" s="101" t="s">
        <v>211</v>
      </c>
      <c r="Z7" s="103" t="s">
        <v>212</v>
      </c>
      <c r="AA7" s="105" t="s">
        <v>211</v>
      </c>
      <c r="AB7" s="103" t="s">
        <v>212</v>
      </c>
      <c r="AC7" s="101" t="s">
        <v>211</v>
      </c>
      <c r="AD7" s="103" t="s">
        <v>212</v>
      </c>
      <c r="AE7" s="101" t="s">
        <v>211</v>
      </c>
      <c r="AF7" s="103" t="s">
        <v>212</v>
      </c>
      <c r="AG7" s="101" t="s">
        <v>211</v>
      </c>
      <c r="AH7" s="103" t="s">
        <v>212</v>
      </c>
      <c r="AI7" s="101" t="s">
        <v>211</v>
      </c>
      <c r="AJ7" s="103" t="s">
        <v>212</v>
      </c>
      <c r="AK7" s="101" t="s">
        <v>211</v>
      </c>
      <c r="AL7" s="103" t="s">
        <v>212</v>
      </c>
      <c r="AM7" s="101" t="s">
        <v>211</v>
      </c>
      <c r="AN7" s="103" t="s">
        <v>212</v>
      </c>
      <c r="AO7" s="101" t="s">
        <v>211</v>
      </c>
      <c r="AP7" s="103" t="s">
        <v>212</v>
      </c>
      <c r="AQ7" s="101" t="s">
        <v>211</v>
      </c>
      <c r="AR7" s="103" t="s">
        <v>212</v>
      </c>
      <c r="AS7" s="101" t="s">
        <v>211</v>
      </c>
      <c r="AT7" s="103" t="s">
        <v>212</v>
      </c>
      <c r="AU7" s="101" t="s">
        <v>211</v>
      </c>
      <c r="AV7" s="103" t="s">
        <v>212</v>
      </c>
      <c r="AW7" s="101" t="s">
        <v>211</v>
      </c>
    </row>
    <row r="8" spans="1:50" ht="20" customHeight="1" x14ac:dyDescent="0.2">
      <c r="A8" s="107"/>
      <c r="B8" s="107"/>
      <c r="G8" s="107"/>
      <c r="H8" s="110"/>
      <c r="I8" s="113"/>
      <c r="J8" s="103"/>
      <c r="K8" s="101"/>
      <c r="L8" s="138"/>
      <c r="M8" s="101"/>
      <c r="N8" s="103"/>
      <c r="O8" s="101"/>
      <c r="P8" s="103"/>
      <c r="Q8" s="101"/>
      <c r="R8" s="103"/>
      <c r="S8" s="101"/>
      <c r="T8" s="103"/>
      <c r="U8" s="101"/>
      <c r="V8" s="103"/>
      <c r="W8" s="101"/>
      <c r="X8" s="103"/>
      <c r="Y8" s="101"/>
      <c r="Z8" s="103"/>
      <c r="AA8" s="105"/>
      <c r="AB8" s="103"/>
      <c r="AC8" s="101"/>
      <c r="AD8" s="103"/>
      <c r="AE8" s="101"/>
      <c r="AF8" s="103"/>
      <c r="AG8" s="101"/>
      <c r="AH8" s="103"/>
      <c r="AI8" s="101"/>
      <c r="AJ8" s="103"/>
      <c r="AK8" s="101"/>
      <c r="AL8" s="103"/>
      <c r="AM8" s="101"/>
      <c r="AN8" s="103"/>
      <c r="AO8" s="101"/>
      <c r="AP8" s="103"/>
      <c r="AQ8" s="101"/>
      <c r="AR8" s="103"/>
      <c r="AS8" s="101"/>
      <c r="AT8" s="103"/>
      <c r="AU8" s="101"/>
      <c r="AV8" s="103"/>
      <c r="AW8" s="101"/>
    </row>
    <row r="9" spans="1:50" ht="20" customHeight="1" x14ac:dyDescent="0.2">
      <c r="A9" s="107"/>
      <c r="B9" s="107"/>
      <c r="G9" s="107"/>
      <c r="H9" s="110"/>
      <c r="I9" s="113"/>
      <c r="J9" s="103"/>
      <c r="K9" s="101"/>
      <c r="L9" s="138"/>
      <c r="M9" s="101"/>
      <c r="N9" s="103"/>
      <c r="O9" s="101"/>
      <c r="P9" s="103"/>
      <c r="Q9" s="101"/>
      <c r="R9" s="103"/>
      <c r="S9" s="101"/>
      <c r="T9" s="103"/>
      <c r="U9" s="101"/>
      <c r="V9" s="103"/>
      <c r="W9" s="101"/>
      <c r="X9" s="103"/>
      <c r="Y9" s="101"/>
      <c r="Z9" s="103"/>
      <c r="AA9" s="105"/>
      <c r="AB9" s="103"/>
      <c r="AC9" s="101"/>
      <c r="AD9" s="103"/>
      <c r="AE9" s="101"/>
      <c r="AF9" s="103"/>
      <c r="AG9" s="101"/>
      <c r="AH9" s="103"/>
      <c r="AI9" s="101"/>
      <c r="AJ9" s="103"/>
      <c r="AK9" s="101"/>
      <c r="AL9" s="103"/>
      <c r="AM9" s="101"/>
      <c r="AN9" s="103"/>
      <c r="AO9" s="101"/>
      <c r="AP9" s="103"/>
      <c r="AQ9" s="101"/>
      <c r="AR9" s="103"/>
      <c r="AS9" s="101"/>
      <c r="AT9" s="103"/>
      <c r="AU9" s="101"/>
      <c r="AV9" s="103"/>
      <c r="AW9" s="101"/>
    </row>
    <row r="10" spans="1:50" ht="20" customHeight="1" x14ac:dyDescent="0.2">
      <c r="A10" s="107"/>
      <c r="B10" s="107"/>
      <c r="G10" s="107"/>
      <c r="H10" s="110"/>
      <c r="I10" s="113"/>
      <c r="J10" s="103"/>
      <c r="K10" s="101"/>
      <c r="L10" s="138"/>
      <c r="M10" s="101"/>
      <c r="N10" s="103"/>
      <c r="O10" s="101"/>
      <c r="P10" s="103"/>
      <c r="Q10" s="101"/>
      <c r="R10" s="103"/>
      <c r="S10" s="101"/>
      <c r="T10" s="103"/>
      <c r="U10" s="101"/>
      <c r="V10" s="103"/>
      <c r="W10" s="101"/>
      <c r="X10" s="103"/>
      <c r="Y10" s="101"/>
      <c r="Z10" s="103"/>
      <c r="AA10" s="105"/>
      <c r="AB10" s="103"/>
      <c r="AC10" s="101"/>
      <c r="AD10" s="103"/>
      <c r="AE10" s="101"/>
      <c r="AF10" s="103"/>
      <c r="AG10" s="101"/>
      <c r="AH10" s="103"/>
      <c r="AI10" s="101"/>
      <c r="AJ10" s="103"/>
      <c r="AK10" s="101"/>
      <c r="AL10" s="103"/>
      <c r="AM10" s="101"/>
      <c r="AN10" s="103"/>
      <c r="AO10" s="101"/>
      <c r="AP10" s="103"/>
      <c r="AQ10" s="101"/>
      <c r="AR10" s="103"/>
      <c r="AS10" s="101"/>
      <c r="AT10" s="103"/>
      <c r="AU10" s="101"/>
      <c r="AV10" s="103"/>
      <c r="AW10" s="101"/>
    </row>
    <row r="11" spans="1:50" s="23" customFormat="1" ht="20" customHeight="1" thickBot="1" x14ac:dyDescent="0.25">
      <c r="A11" s="108"/>
      <c r="B11" s="108"/>
      <c r="C11" s="22" t="s">
        <v>68</v>
      </c>
      <c r="D11" s="21" t="s">
        <v>69</v>
      </c>
      <c r="E11" s="21" t="s">
        <v>70</v>
      </c>
      <c r="F11" s="22" t="s">
        <v>71</v>
      </c>
      <c r="G11" s="108"/>
      <c r="H11" s="111"/>
      <c r="I11" s="114"/>
      <c r="J11" s="104"/>
      <c r="K11" s="102"/>
      <c r="L11" s="139"/>
      <c r="M11" s="102"/>
      <c r="N11" s="104"/>
      <c r="O11" s="102"/>
      <c r="P11" s="104"/>
      <c r="Q11" s="102"/>
      <c r="R11" s="104"/>
      <c r="S11" s="102"/>
      <c r="T11" s="104"/>
      <c r="U11" s="102"/>
      <c r="V11" s="104"/>
      <c r="W11" s="102"/>
      <c r="X11" s="104"/>
      <c r="Y11" s="102"/>
      <c r="Z11" s="104"/>
      <c r="AA11" s="106"/>
      <c r="AB11" s="104"/>
      <c r="AC11" s="102"/>
      <c r="AD11" s="104"/>
      <c r="AE11" s="102"/>
      <c r="AF11" s="104"/>
      <c r="AG11" s="102"/>
      <c r="AH11" s="104"/>
      <c r="AI11" s="102"/>
      <c r="AJ11" s="104"/>
      <c r="AK11" s="102"/>
      <c r="AL11" s="104"/>
      <c r="AM11" s="102"/>
      <c r="AN11" s="104"/>
      <c r="AO11" s="102"/>
      <c r="AP11" s="104"/>
      <c r="AQ11" s="102"/>
      <c r="AR11" s="104"/>
      <c r="AS11" s="102"/>
      <c r="AT11" s="104"/>
      <c r="AU11" s="102"/>
      <c r="AV11" s="104"/>
      <c r="AW11" s="102"/>
      <c r="AX11" s="21" t="s">
        <v>72</v>
      </c>
    </row>
    <row r="12" spans="1:50" ht="20" customHeight="1" x14ac:dyDescent="0.2">
      <c r="A12" s="36"/>
      <c r="B12" s="95"/>
      <c r="C12" s="20" t="s">
        <v>220</v>
      </c>
      <c r="D12" s="19" t="s">
        <v>73</v>
      </c>
      <c r="E12" s="19" t="s">
        <v>74</v>
      </c>
      <c r="F12" s="20">
        <v>2015</v>
      </c>
      <c r="G12" s="20">
        <v>3</v>
      </c>
      <c r="H12" s="85">
        <v>100</v>
      </c>
      <c r="I12" s="86" t="s">
        <v>75</v>
      </c>
      <c r="J12" s="38"/>
      <c r="K12" s="51" t="str">
        <f t="shared" ref="K12:K52" si="0">IF((ISERROR((J12/$H12)*100)), "", IF(AND(NOT(ISERROR((J12/$H12)*100)),((J12/$H12)*100) &lt;&gt; 0), (J12/$H12)*100, ""))</f>
        <v/>
      </c>
      <c r="L12" s="45"/>
      <c r="M12" s="56" t="str">
        <f t="shared" ref="M12:M52" si="1">IF((ISERROR((L12/$H12)*100)), "", IF(AND(NOT(ISERROR((L12/$H12)*100)),((L12/$H12)*100) &lt;&gt; 0), (L12/$H12)*100, ""))</f>
        <v/>
      </c>
      <c r="N12" s="47"/>
      <c r="O12" s="56" t="str">
        <f t="shared" ref="O12:O52" si="2">IF((ISERROR((N12/$H12)*100)), "", IF(AND(NOT(ISERROR((N12/$H12)*100)),((N12/$H12)*100) &lt;&gt; 0), (N12/$H12)*100, ""))</f>
        <v/>
      </c>
      <c r="P12" s="47"/>
      <c r="Q12" s="56" t="str">
        <f t="shared" ref="Q12:Q52" si="3">IF((ISERROR((P12/$H12)*100)), "", IF(AND(NOT(ISERROR((P12/$H12)*100)),((P12/$H12)*100) &lt;&gt; 0), (P12/$H12)*100, ""))</f>
        <v/>
      </c>
      <c r="R12" s="47"/>
      <c r="S12" s="56" t="str">
        <f t="shared" ref="S12:S52" si="4">IF((ISERROR((R12/$H12)*100)), "", IF(AND(NOT(ISERROR((R12/$H12)*100)),((R12/$H12)*100) &lt;&gt; 0), (R12/$H12)*100, ""))</f>
        <v/>
      </c>
      <c r="T12" s="38"/>
      <c r="U12" s="51" t="str">
        <f t="shared" ref="U12:U28" si="5">IF((ISERROR((T12/$H12)*100)), "", IF(AND(NOT(ISERROR((T12/$H12)*100)),((T12/$H12)*100) &lt;&gt; 0), (T12/$H12)*100, ""))</f>
        <v/>
      </c>
      <c r="V12" s="38"/>
      <c r="W12" s="51" t="str">
        <f t="shared" ref="W12:W52" si="6">IF((ISERROR((V12/$H12)*100)), "", IF(AND(NOT(ISERROR((V12/$H12)*100)),((V12/$H12)*100) &lt;&gt; 0), (V12/$H12)*100, ""))</f>
        <v/>
      </c>
      <c r="X12" s="38"/>
      <c r="Y12" s="51" t="str">
        <f t="shared" ref="Y12:Y52" si="7">IF((ISERROR((X12/$H12)*100)), "", IF(AND(NOT(ISERROR((X12/$H12)*100)),((X12/$H12)*100) &lt;&gt; 0), (X12/$H12)*100, ""))</f>
        <v/>
      </c>
      <c r="Z12" s="38">
        <v>13</v>
      </c>
      <c r="AA12" s="51">
        <f>IF((ISERROR((Z12/$H12)*100)), "", IF(AND(NOT(ISERROR((Z12/$H12)*100)),((Z12/$H12)*100) &lt;&gt; 0), (Z12/$H12)*100, ""))</f>
        <v>13</v>
      </c>
      <c r="AB12" s="38"/>
      <c r="AC12" s="55" t="str">
        <f t="shared" ref="AC12:AC52" si="8">IF((ISERROR((AB12/$H12)*100)), "", IF(AND(NOT(ISERROR((AB12/$H12)*100)),((AB12/$H12)*100) &lt;&gt; 0), (AB12/$H12)*100, ""))</f>
        <v/>
      </c>
      <c r="AD12" s="38"/>
      <c r="AE12" s="51" t="str">
        <f t="shared" ref="AE12:AE52" si="9">IF((ISERROR((AD12/$H12)*100)), "", IF(AND(NOT(ISERROR((AD12/$H12)*100)),((AD12/$H12)*100) &lt;&gt; 0), (AD12/$H12)*100, ""))</f>
        <v/>
      </c>
      <c r="AF12" s="46"/>
      <c r="AG12" s="55" t="str">
        <f t="shared" ref="AG12:AG52" si="10">IF((ISERROR((AF12/$H12)*100)), "", IF(AND(NOT(ISERROR((AF12/$H12)*100)),((AF12/$H12)*100) &lt;&gt; 0), (AF12/$H12)*100, ""))</f>
        <v/>
      </c>
      <c r="AH12" s="47"/>
      <c r="AI12" s="56" t="str">
        <f t="shared" ref="AI12:AI52" si="11">IF((ISERROR((AH12/$H12)*100)), "", IF(AND(NOT(ISERROR((AH12/$H12)*100)),((AH12/$H12)*100) &lt;&gt; 0), (AH12/$H12)*100, ""))</f>
        <v/>
      </c>
      <c r="AJ12" s="38">
        <v>1</v>
      </c>
      <c r="AK12" s="51">
        <f t="shared" ref="AK12:AK52" si="12">IF((ISERROR((AJ12/$H12)*100)), "", IF(AND(NOT(ISERROR((AJ12/$H12)*100)),((AJ12/$H12)*100) &lt;&gt; 0), (AJ12/$H12)*100, ""))</f>
        <v>1</v>
      </c>
      <c r="AL12" s="47"/>
      <c r="AM12" s="56" t="str">
        <f t="shared" ref="AM12:AM52" si="13">IF((ISERROR((AL12/$H12)*100)), "", IF(AND(NOT(ISERROR((AL12/$H12)*100)),((AL12/$H12)*100) &lt;&gt; 0), (AL12/$H12)*100, ""))</f>
        <v/>
      </c>
      <c r="AN12" s="47"/>
      <c r="AO12" s="56" t="str">
        <f t="shared" ref="AO12:AO52" si="14">IF((ISERROR((AN12/$H12)*100)), "", IF(AND(NOT(ISERROR((AN12/$H12)*100)),((AN12/$H12)*100) &lt;&gt; 0), (AN12/$H12)*100, ""))</f>
        <v/>
      </c>
      <c r="AP12" s="47"/>
      <c r="AQ12" s="56" t="str">
        <f t="shared" ref="AQ12:AQ52" si="15">IF((ISERROR((AP12/$H12)*100)), "", IF(AND(NOT(ISERROR((AP12/$H12)*100)),((AP12/$H12)*100) &lt;&gt; 0), (AP12/$H12)*100, ""))</f>
        <v/>
      </c>
      <c r="AR12" s="47"/>
      <c r="AS12" s="56" t="str">
        <f t="shared" ref="AS12:AS52" si="16">IF((ISERROR((AR12/$H12)*100)), "", IF(AND(NOT(ISERROR((AR12/$H12)*100)),((AR12/$H12)*100) &lt;&gt; 0), (AR12/$H12)*100, ""))</f>
        <v/>
      </c>
      <c r="AT12" s="47"/>
      <c r="AU12" s="56" t="str">
        <f t="shared" ref="AU12:AU52" si="17">IF((ISERROR((AT12/$H12)*100)), "", IF(AND(NOT(ISERROR((AT12/$H12)*100)),((AT12/$H12)*100) &lt;&gt; 0), (AT12/$H12)*100, ""))</f>
        <v/>
      </c>
      <c r="AV12" s="47"/>
      <c r="AW12" s="56" t="str">
        <f t="shared" ref="AW12:AW52" si="18">IF((ISERROR((AV12/$H12)*100)), "", IF(AND(NOT(ISERROR((AV12/$H12)*100)),((AV12/$H12)*100) &lt;&gt; 0), (AV12/$H12)*100, ""))</f>
        <v/>
      </c>
      <c r="AX12" s="19" t="s">
        <v>218</v>
      </c>
    </row>
    <row r="13" spans="1:50" ht="20" customHeight="1" x14ac:dyDescent="0.2">
      <c r="A13" s="36"/>
      <c r="B13" s="95"/>
      <c r="C13" s="20" t="s">
        <v>220</v>
      </c>
      <c r="D13" s="19" t="s">
        <v>76</v>
      </c>
      <c r="E13" s="19" t="s">
        <v>77</v>
      </c>
      <c r="F13" s="20">
        <v>2014</v>
      </c>
      <c r="G13" s="20">
        <v>9</v>
      </c>
      <c r="H13" s="87">
        <v>82</v>
      </c>
      <c r="I13" s="88"/>
      <c r="J13" s="38"/>
      <c r="K13" s="51" t="str">
        <f t="shared" si="0"/>
        <v/>
      </c>
      <c r="L13" s="42"/>
      <c r="M13" s="51" t="str">
        <f t="shared" si="1"/>
        <v/>
      </c>
      <c r="N13" s="38"/>
      <c r="O13" s="51" t="str">
        <f t="shared" si="2"/>
        <v/>
      </c>
      <c r="P13" s="38"/>
      <c r="Q13" s="51" t="str">
        <f t="shared" si="3"/>
        <v/>
      </c>
      <c r="R13" s="38"/>
      <c r="S13" s="51" t="str">
        <f t="shared" si="4"/>
        <v/>
      </c>
      <c r="T13" s="38"/>
      <c r="U13" s="51" t="str">
        <f t="shared" si="5"/>
        <v/>
      </c>
      <c r="V13" s="38"/>
      <c r="W13" s="51" t="str">
        <f t="shared" si="6"/>
        <v/>
      </c>
      <c r="X13" s="38"/>
      <c r="Y13" s="51" t="str">
        <f t="shared" si="7"/>
        <v/>
      </c>
      <c r="Z13" s="38">
        <v>8</v>
      </c>
      <c r="AA13" s="51">
        <f t="shared" ref="AA13:AA52" si="19">IF((ISERROR((Z13/H13)*100)), "", IF(AND(NOT(ISERROR((Z13/H13)*100)),((Z13/H13)*100) &lt;&gt; 0), (Z13/H13)*100, ""))</f>
        <v>9.7560975609756095</v>
      </c>
      <c r="AB13" s="38"/>
      <c r="AC13" s="51" t="str">
        <f t="shared" si="8"/>
        <v/>
      </c>
      <c r="AD13" s="38"/>
      <c r="AE13" s="51" t="str">
        <f t="shared" si="9"/>
        <v/>
      </c>
      <c r="AF13" s="38"/>
      <c r="AG13" s="51" t="str">
        <f t="shared" si="10"/>
        <v/>
      </c>
      <c r="AH13" s="38"/>
      <c r="AI13" s="51" t="str">
        <f t="shared" si="11"/>
        <v/>
      </c>
      <c r="AJ13" s="38"/>
      <c r="AK13" s="51" t="str">
        <f t="shared" si="12"/>
        <v/>
      </c>
      <c r="AL13" s="38"/>
      <c r="AM13" s="51" t="str">
        <f t="shared" si="13"/>
        <v/>
      </c>
      <c r="AN13" s="38"/>
      <c r="AO13" s="51" t="str">
        <f t="shared" si="14"/>
        <v/>
      </c>
      <c r="AP13" s="38"/>
      <c r="AQ13" s="51" t="str">
        <f t="shared" si="15"/>
        <v/>
      </c>
      <c r="AR13" s="38"/>
      <c r="AS13" s="51" t="str">
        <f t="shared" si="16"/>
        <v/>
      </c>
      <c r="AT13" s="38"/>
      <c r="AU13" s="51" t="str">
        <f t="shared" si="17"/>
        <v/>
      </c>
      <c r="AV13" s="38"/>
      <c r="AW13" s="51" t="str">
        <f t="shared" si="18"/>
        <v/>
      </c>
      <c r="AX13" s="27" t="s">
        <v>219</v>
      </c>
    </row>
    <row r="14" spans="1:50" ht="20" customHeight="1" x14ac:dyDescent="0.2">
      <c r="A14" s="33"/>
      <c r="D14" s="19" t="s">
        <v>79</v>
      </c>
      <c r="E14" s="19" t="s">
        <v>80</v>
      </c>
      <c r="F14" s="20">
        <v>2013</v>
      </c>
      <c r="G14" s="20">
        <v>15</v>
      </c>
      <c r="H14" s="87"/>
      <c r="I14" s="88"/>
      <c r="J14" s="38"/>
      <c r="K14" s="51" t="str">
        <f t="shared" si="0"/>
        <v/>
      </c>
      <c r="L14" s="42"/>
      <c r="M14" s="51" t="str">
        <f t="shared" si="1"/>
        <v/>
      </c>
      <c r="N14" s="38"/>
      <c r="O14" s="51" t="str">
        <f t="shared" si="2"/>
        <v/>
      </c>
      <c r="P14" s="38"/>
      <c r="Q14" s="51" t="str">
        <f t="shared" si="3"/>
        <v/>
      </c>
      <c r="R14" s="38"/>
      <c r="S14" s="51" t="str">
        <f t="shared" si="4"/>
        <v/>
      </c>
      <c r="T14" s="38"/>
      <c r="U14" s="51" t="str">
        <f t="shared" si="5"/>
        <v/>
      </c>
      <c r="V14" s="38"/>
      <c r="W14" s="51" t="str">
        <f t="shared" si="6"/>
        <v/>
      </c>
      <c r="X14" s="38"/>
      <c r="Y14" s="51" t="str">
        <f t="shared" si="7"/>
        <v/>
      </c>
      <c r="Z14" s="38"/>
      <c r="AA14" s="51" t="str">
        <f t="shared" si="19"/>
        <v/>
      </c>
      <c r="AB14" s="38"/>
      <c r="AC14" s="51" t="str">
        <f t="shared" si="8"/>
        <v/>
      </c>
      <c r="AD14" s="38"/>
      <c r="AE14" s="51" t="str">
        <f t="shared" si="9"/>
        <v/>
      </c>
      <c r="AF14" s="38"/>
      <c r="AG14" s="51" t="str">
        <f t="shared" si="10"/>
        <v/>
      </c>
      <c r="AH14" s="38"/>
      <c r="AI14" s="51" t="str">
        <f t="shared" si="11"/>
        <v/>
      </c>
      <c r="AJ14" s="38"/>
      <c r="AK14" s="51" t="str">
        <f t="shared" si="12"/>
        <v/>
      </c>
      <c r="AL14" s="38"/>
      <c r="AM14" s="51" t="str">
        <f t="shared" si="13"/>
        <v/>
      </c>
      <c r="AN14" s="38"/>
      <c r="AO14" s="51" t="str">
        <f t="shared" si="14"/>
        <v/>
      </c>
      <c r="AP14" s="38"/>
      <c r="AQ14" s="51" t="str">
        <f t="shared" si="15"/>
        <v/>
      </c>
      <c r="AR14" s="38"/>
      <c r="AS14" s="51" t="str">
        <f t="shared" si="16"/>
        <v/>
      </c>
      <c r="AT14" s="38"/>
      <c r="AU14" s="51" t="str">
        <f t="shared" si="17"/>
        <v/>
      </c>
      <c r="AV14" s="38"/>
      <c r="AW14" s="51" t="str">
        <f t="shared" si="18"/>
        <v/>
      </c>
      <c r="AX14" s="27" t="s">
        <v>78</v>
      </c>
    </row>
    <row r="15" spans="1:50" ht="20" customHeight="1" x14ac:dyDescent="0.2">
      <c r="A15" s="33"/>
      <c r="C15" s="20" t="s">
        <v>220</v>
      </c>
      <c r="D15" s="19" t="s">
        <v>81</v>
      </c>
      <c r="E15" s="19" t="s">
        <v>82</v>
      </c>
      <c r="F15" s="20">
        <v>1986</v>
      </c>
      <c r="G15" s="20">
        <v>146</v>
      </c>
      <c r="H15" s="87">
        <v>13</v>
      </c>
      <c r="I15" s="88" t="s">
        <v>83</v>
      </c>
      <c r="J15" s="38"/>
      <c r="K15" s="51" t="str">
        <f t="shared" si="0"/>
        <v/>
      </c>
      <c r="L15" s="42"/>
      <c r="M15" s="51" t="str">
        <f t="shared" si="1"/>
        <v/>
      </c>
      <c r="N15" s="38"/>
      <c r="O15" s="51" t="str">
        <f t="shared" si="2"/>
        <v/>
      </c>
      <c r="P15" s="38"/>
      <c r="Q15" s="51" t="str">
        <f t="shared" si="3"/>
        <v/>
      </c>
      <c r="R15" s="38"/>
      <c r="S15" s="51" t="str">
        <f t="shared" si="4"/>
        <v/>
      </c>
      <c r="T15" s="38"/>
      <c r="U15" s="51" t="str">
        <f t="shared" si="5"/>
        <v/>
      </c>
      <c r="V15" s="38">
        <v>13</v>
      </c>
      <c r="W15" s="51">
        <f t="shared" si="6"/>
        <v>100</v>
      </c>
      <c r="X15" s="38"/>
      <c r="Y15" s="51" t="str">
        <f t="shared" si="7"/>
        <v/>
      </c>
      <c r="Z15" s="38"/>
      <c r="AA15" s="51" t="str">
        <f t="shared" si="19"/>
        <v/>
      </c>
      <c r="AB15" s="38"/>
      <c r="AC15" s="51" t="str">
        <f t="shared" si="8"/>
        <v/>
      </c>
      <c r="AD15" s="38"/>
      <c r="AE15" s="51" t="str">
        <f t="shared" si="9"/>
        <v/>
      </c>
      <c r="AF15" s="38"/>
      <c r="AG15" s="51" t="str">
        <f t="shared" si="10"/>
        <v/>
      </c>
      <c r="AH15" s="38"/>
      <c r="AI15" s="51" t="str">
        <f t="shared" si="11"/>
        <v/>
      </c>
      <c r="AJ15" s="38"/>
      <c r="AK15" s="51" t="str">
        <f t="shared" si="12"/>
        <v/>
      </c>
      <c r="AL15" s="38"/>
      <c r="AM15" s="51" t="str">
        <f t="shared" si="13"/>
        <v/>
      </c>
      <c r="AN15" s="38"/>
      <c r="AO15" s="51" t="str">
        <f t="shared" si="14"/>
        <v/>
      </c>
      <c r="AP15" s="38"/>
      <c r="AQ15" s="51" t="str">
        <f t="shared" si="15"/>
        <v/>
      </c>
      <c r="AR15" s="38"/>
      <c r="AS15" s="51" t="str">
        <f t="shared" si="16"/>
        <v/>
      </c>
      <c r="AT15" s="38"/>
      <c r="AU15" s="51" t="str">
        <f t="shared" si="17"/>
        <v/>
      </c>
      <c r="AV15" s="38"/>
      <c r="AW15" s="51" t="str">
        <f t="shared" si="18"/>
        <v/>
      </c>
      <c r="AX15" s="27" t="s">
        <v>221</v>
      </c>
    </row>
    <row r="16" spans="1:50" ht="20" customHeight="1" x14ac:dyDescent="0.2">
      <c r="A16" s="33"/>
      <c r="D16" s="19" t="s">
        <v>85</v>
      </c>
      <c r="E16" s="19" t="s">
        <v>86</v>
      </c>
      <c r="F16" s="20">
        <v>2008</v>
      </c>
      <c r="G16" s="20">
        <v>33</v>
      </c>
      <c r="H16" s="87">
        <v>101</v>
      </c>
      <c r="I16" s="88"/>
      <c r="J16" s="38"/>
      <c r="K16" s="51" t="str">
        <f t="shared" si="0"/>
        <v/>
      </c>
      <c r="L16" s="42"/>
      <c r="M16" s="51" t="str">
        <f t="shared" si="1"/>
        <v/>
      </c>
      <c r="N16" s="38"/>
      <c r="O16" s="51" t="str">
        <f t="shared" si="2"/>
        <v/>
      </c>
      <c r="P16" s="38"/>
      <c r="Q16" s="51" t="str">
        <f t="shared" si="3"/>
        <v/>
      </c>
      <c r="R16" s="38"/>
      <c r="S16" s="51" t="str">
        <f t="shared" si="4"/>
        <v/>
      </c>
      <c r="T16" s="38"/>
      <c r="U16" s="51" t="str">
        <f t="shared" si="5"/>
        <v/>
      </c>
      <c r="V16" s="38"/>
      <c r="W16" s="51" t="str">
        <f t="shared" si="6"/>
        <v/>
      </c>
      <c r="X16" s="38"/>
      <c r="Y16" s="51" t="str">
        <f t="shared" si="7"/>
        <v/>
      </c>
      <c r="Z16" s="38">
        <v>6</v>
      </c>
      <c r="AA16" s="51">
        <f t="shared" si="19"/>
        <v>5.9405940594059405</v>
      </c>
      <c r="AB16" s="38"/>
      <c r="AC16" s="51" t="str">
        <f t="shared" si="8"/>
        <v/>
      </c>
      <c r="AD16" s="38"/>
      <c r="AE16" s="51" t="str">
        <f t="shared" si="9"/>
        <v/>
      </c>
      <c r="AF16" s="38"/>
      <c r="AG16" s="51" t="str">
        <f t="shared" si="10"/>
        <v/>
      </c>
      <c r="AH16" s="38"/>
      <c r="AI16" s="51" t="str">
        <f t="shared" si="11"/>
        <v/>
      </c>
      <c r="AJ16" s="38">
        <v>6</v>
      </c>
      <c r="AK16" s="51">
        <f t="shared" si="12"/>
        <v>5.9405940594059405</v>
      </c>
      <c r="AL16" s="38"/>
      <c r="AM16" s="51" t="str">
        <f t="shared" si="13"/>
        <v/>
      </c>
      <c r="AN16" s="38"/>
      <c r="AO16" s="51" t="str">
        <f t="shared" si="14"/>
        <v/>
      </c>
      <c r="AP16" s="38"/>
      <c r="AQ16" s="51" t="str">
        <f t="shared" si="15"/>
        <v/>
      </c>
      <c r="AR16" s="38"/>
      <c r="AS16" s="51" t="str">
        <f t="shared" si="16"/>
        <v/>
      </c>
      <c r="AT16" s="38"/>
      <c r="AU16" s="51" t="str">
        <f t="shared" si="17"/>
        <v/>
      </c>
      <c r="AV16" s="38"/>
      <c r="AW16" s="51" t="str">
        <f t="shared" si="18"/>
        <v/>
      </c>
      <c r="AX16" s="19" t="s">
        <v>87</v>
      </c>
    </row>
    <row r="17" spans="1:50" ht="20" customHeight="1" x14ac:dyDescent="0.2">
      <c r="A17" s="36"/>
      <c r="B17" s="95"/>
      <c r="D17" s="19" t="s">
        <v>88</v>
      </c>
      <c r="E17" s="19" t="s">
        <v>89</v>
      </c>
      <c r="F17" s="20">
        <v>2011</v>
      </c>
      <c r="H17" s="87">
        <v>1</v>
      </c>
      <c r="I17" s="88"/>
      <c r="J17" s="38">
        <v>1</v>
      </c>
      <c r="K17" s="51">
        <f t="shared" si="0"/>
        <v>100</v>
      </c>
      <c r="L17" s="42"/>
      <c r="M17" s="51" t="str">
        <f t="shared" si="1"/>
        <v/>
      </c>
      <c r="N17" s="38"/>
      <c r="O17" s="51" t="str">
        <f t="shared" si="2"/>
        <v/>
      </c>
      <c r="P17" s="38"/>
      <c r="Q17" s="51" t="str">
        <f t="shared" si="3"/>
        <v/>
      </c>
      <c r="R17" s="38"/>
      <c r="S17" s="51" t="str">
        <f t="shared" si="4"/>
        <v/>
      </c>
      <c r="T17" s="38">
        <v>1</v>
      </c>
      <c r="U17" s="51">
        <f t="shared" si="5"/>
        <v>100</v>
      </c>
      <c r="V17" s="38"/>
      <c r="W17" s="51" t="str">
        <f t="shared" si="6"/>
        <v/>
      </c>
      <c r="X17" s="38"/>
      <c r="Y17" s="51" t="str">
        <f t="shared" si="7"/>
        <v/>
      </c>
      <c r="Z17" s="38">
        <v>1</v>
      </c>
      <c r="AA17" s="51">
        <f t="shared" si="19"/>
        <v>100</v>
      </c>
      <c r="AB17" s="38"/>
      <c r="AC17" s="51" t="str">
        <f t="shared" si="8"/>
        <v/>
      </c>
      <c r="AD17" s="38">
        <v>1</v>
      </c>
      <c r="AE17" s="51">
        <f t="shared" si="9"/>
        <v>100</v>
      </c>
      <c r="AF17" s="38"/>
      <c r="AG17" s="51" t="str">
        <f t="shared" si="10"/>
        <v/>
      </c>
      <c r="AH17" s="38"/>
      <c r="AI17" s="51" t="str">
        <f t="shared" si="11"/>
        <v/>
      </c>
      <c r="AJ17" s="38"/>
      <c r="AK17" s="51" t="str">
        <f t="shared" si="12"/>
        <v/>
      </c>
      <c r="AL17" s="38"/>
      <c r="AM17" s="51" t="str">
        <f t="shared" si="13"/>
        <v/>
      </c>
      <c r="AN17" s="38"/>
      <c r="AO17" s="51" t="str">
        <f t="shared" si="14"/>
        <v/>
      </c>
      <c r="AP17" s="38"/>
      <c r="AQ17" s="51" t="str">
        <f t="shared" si="15"/>
        <v/>
      </c>
      <c r="AR17" s="38"/>
      <c r="AS17" s="51" t="str">
        <f t="shared" si="16"/>
        <v/>
      </c>
      <c r="AT17" s="38"/>
      <c r="AU17" s="51" t="str">
        <f t="shared" si="17"/>
        <v/>
      </c>
      <c r="AV17" s="38"/>
      <c r="AW17" s="51" t="str">
        <f t="shared" si="18"/>
        <v/>
      </c>
      <c r="AX17" s="19" t="s">
        <v>90</v>
      </c>
    </row>
    <row r="18" spans="1:50" ht="20" customHeight="1" x14ac:dyDescent="0.2">
      <c r="A18" s="33"/>
      <c r="D18" s="19" t="s">
        <v>91</v>
      </c>
      <c r="E18" s="19" t="s">
        <v>92</v>
      </c>
      <c r="F18" s="20">
        <v>2010</v>
      </c>
      <c r="G18" s="20">
        <v>17</v>
      </c>
      <c r="H18" s="87">
        <v>83</v>
      </c>
      <c r="I18" s="88"/>
      <c r="J18" s="38"/>
      <c r="K18" s="51" t="str">
        <f t="shared" si="0"/>
        <v/>
      </c>
      <c r="L18" s="42"/>
      <c r="M18" s="51" t="str">
        <f t="shared" si="1"/>
        <v/>
      </c>
      <c r="N18" s="38"/>
      <c r="O18" s="51" t="str">
        <f t="shared" si="2"/>
        <v/>
      </c>
      <c r="P18" s="38"/>
      <c r="Q18" s="51" t="str">
        <f t="shared" si="3"/>
        <v/>
      </c>
      <c r="R18" s="38"/>
      <c r="S18" s="51" t="str">
        <f t="shared" si="4"/>
        <v/>
      </c>
      <c r="T18" s="38"/>
      <c r="U18" s="51" t="str">
        <f t="shared" si="5"/>
        <v/>
      </c>
      <c r="V18" s="38"/>
      <c r="W18" s="51" t="str">
        <f t="shared" si="6"/>
        <v/>
      </c>
      <c r="X18" s="38"/>
      <c r="Y18" s="51" t="str">
        <f t="shared" si="7"/>
        <v/>
      </c>
      <c r="Z18" s="38"/>
      <c r="AA18" s="51" t="str">
        <f t="shared" si="19"/>
        <v/>
      </c>
      <c r="AB18" s="38"/>
      <c r="AC18" s="51" t="str">
        <f t="shared" si="8"/>
        <v/>
      </c>
      <c r="AD18" s="38"/>
      <c r="AE18" s="51" t="str">
        <f t="shared" si="9"/>
        <v/>
      </c>
      <c r="AF18" s="38"/>
      <c r="AG18" s="51" t="str">
        <f t="shared" si="10"/>
        <v/>
      </c>
      <c r="AH18" s="38"/>
      <c r="AI18" s="51" t="str">
        <f t="shared" si="11"/>
        <v/>
      </c>
      <c r="AJ18" s="38"/>
      <c r="AK18" s="51" t="str">
        <f t="shared" si="12"/>
        <v/>
      </c>
      <c r="AL18" s="38"/>
      <c r="AM18" s="51" t="str">
        <f t="shared" si="13"/>
        <v/>
      </c>
      <c r="AN18" s="38"/>
      <c r="AO18" s="51" t="str">
        <f t="shared" si="14"/>
        <v/>
      </c>
      <c r="AP18" s="38"/>
      <c r="AQ18" s="51" t="str">
        <f t="shared" si="15"/>
        <v/>
      </c>
      <c r="AR18" s="38"/>
      <c r="AS18" s="51" t="str">
        <f t="shared" si="16"/>
        <v/>
      </c>
      <c r="AT18" s="38"/>
      <c r="AU18" s="51" t="str">
        <f t="shared" si="17"/>
        <v/>
      </c>
      <c r="AV18" s="38"/>
      <c r="AW18" s="51" t="str">
        <f t="shared" si="18"/>
        <v/>
      </c>
      <c r="AX18" s="19" t="s">
        <v>93</v>
      </c>
    </row>
    <row r="19" spans="1:50" ht="20" customHeight="1" x14ac:dyDescent="0.2">
      <c r="A19" s="33"/>
      <c r="D19" s="19" t="s">
        <v>94</v>
      </c>
      <c r="E19" s="19" t="s">
        <v>95</v>
      </c>
      <c r="F19" s="20">
        <v>2013</v>
      </c>
      <c r="G19" s="20">
        <v>13</v>
      </c>
      <c r="H19" s="87">
        <v>201</v>
      </c>
      <c r="I19" s="88"/>
      <c r="J19" s="38"/>
      <c r="K19" s="51" t="str">
        <f t="shared" si="0"/>
        <v/>
      </c>
      <c r="L19" s="42"/>
      <c r="M19" s="51" t="str">
        <f t="shared" si="1"/>
        <v/>
      </c>
      <c r="N19" s="38"/>
      <c r="O19" s="51" t="str">
        <f t="shared" si="2"/>
        <v/>
      </c>
      <c r="P19" s="38"/>
      <c r="Q19" s="51" t="str">
        <f t="shared" si="3"/>
        <v/>
      </c>
      <c r="R19" s="38"/>
      <c r="S19" s="51" t="str">
        <f t="shared" si="4"/>
        <v/>
      </c>
      <c r="T19" s="38"/>
      <c r="U19" s="51" t="str">
        <f t="shared" si="5"/>
        <v/>
      </c>
      <c r="V19" s="38"/>
      <c r="W19" s="51" t="str">
        <f t="shared" si="6"/>
        <v/>
      </c>
      <c r="X19" s="38"/>
      <c r="Y19" s="51" t="str">
        <f t="shared" si="7"/>
        <v/>
      </c>
      <c r="Z19" s="38">
        <v>16</v>
      </c>
      <c r="AA19" s="51">
        <f t="shared" si="19"/>
        <v>7.9601990049751246</v>
      </c>
      <c r="AB19" s="38"/>
      <c r="AC19" s="51" t="str">
        <f t="shared" si="8"/>
        <v/>
      </c>
      <c r="AD19" s="38"/>
      <c r="AE19" s="51" t="str">
        <f t="shared" si="9"/>
        <v/>
      </c>
      <c r="AF19" s="38"/>
      <c r="AG19" s="51" t="str">
        <f t="shared" si="10"/>
        <v/>
      </c>
      <c r="AH19" s="38"/>
      <c r="AI19" s="51" t="str">
        <f t="shared" si="11"/>
        <v/>
      </c>
      <c r="AJ19" s="38"/>
      <c r="AK19" s="51" t="str">
        <f t="shared" si="12"/>
        <v/>
      </c>
      <c r="AL19" s="38"/>
      <c r="AM19" s="51" t="str">
        <f t="shared" si="13"/>
        <v/>
      </c>
      <c r="AN19" s="38"/>
      <c r="AO19" s="51" t="str">
        <f t="shared" si="14"/>
        <v/>
      </c>
      <c r="AP19" s="38"/>
      <c r="AQ19" s="51" t="str">
        <f t="shared" si="15"/>
        <v/>
      </c>
      <c r="AR19" s="38"/>
      <c r="AS19" s="51" t="str">
        <f t="shared" si="16"/>
        <v/>
      </c>
      <c r="AT19" s="38"/>
      <c r="AU19" s="51" t="str">
        <f t="shared" si="17"/>
        <v/>
      </c>
      <c r="AV19" s="38"/>
      <c r="AW19" s="51" t="str">
        <f t="shared" si="18"/>
        <v/>
      </c>
      <c r="AX19" s="27" t="s">
        <v>78</v>
      </c>
    </row>
    <row r="20" spans="1:50" ht="20" customHeight="1" x14ac:dyDescent="0.2">
      <c r="A20" s="36"/>
      <c r="B20" s="95"/>
      <c r="D20" s="19" t="s">
        <v>96</v>
      </c>
      <c r="E20" s="19" t="s">
        <v>97</v>
      </c>
      <c r="F20" s="20">
        <v>2013</v>
      </c>
      <c r="G20" s="20">
        <v>12</v>
      </c>
      <c r="H20" s="87">
        <v>304</v>
      </c>
      <c r="I20" s="88" t="s">
        <v>98</v>
      </c>
      <c r="J20" s="38"/>
      <c r="K20" s="51" t="str">
        <f t="shared" si="0"/>
        <v/>
      </c>
      <c r="L20" s="42"/>
      <c r="M20" s="51" t="str">
        <f t="shared" si="1"/>
        <v/>
      </c>
      <c r="N20" s="38"/>
      <c r="O20" s="51" t="str">
        <f t="shared" si="2"/>
        <v/>
      </c>
      <c r="P20" s="38"/>
      <c r="Q20" s="51" t="str">
        <f t="shared" si="3"/>
        <v/>
      </c>
      <c r="R20" s="38"/>
      <c r="S20" s="51" t="str">
        <f t="shared" si="4"/>
        <v/>
      </c>
      <c r="T20" s="38"/>
      <c r="U20" s="51" t="str">
        <f t="shared" si="5"/>
        <v/>
      </c>
      <c r="V20" s="38"/>
      <c r="W20" s="51" t="str">
        <f t="shared" si="6"/>
        <v/>
      </c>
      <c r="X20" s="38"/>
      <c r="Y20" s="51" t="str">
        <f t="shared" si="7"/>
        <v/>
      </c>
      <c r="Z20" s="38">
        <v>14</v>
      </c>
      <c r="AA20" s="51">
        <f t="shared" si="19"/>
        <v>4.6052631578947363</v>
      </c>
      <c r="AB20" s="38"/>
      <c r="AC20" s="51" t="str">
        <f t="shared" si="8"/>
        <v/>
      </c>
      <c r="AD20" s="38"/>
      <c r="AE20" s="51" t="str">
        <f t="shared" si="9"/>
        <v/>
      </c>
      <c r="AF20" s="38"/>
      <c r="AG20" s="51" t="str">
        <f t="shared" si="10"/>
        <v/>
      </c>
      <c r="AH20" s="38"/>
      <c r="AI20" s="51" t="str">
        <f t="shared" si="11"/>
        <v/>
      </c>
      <c r="AJ20" s="38"/>
      <c r="AK20" s="51" t="str">
        <f t="shared" si="12"/>
        <v/>
      </c>
      <c r="AL20" s="38"/>
      <c r="AM20" s="51" t="str">
        <f t="shared" si="13"/>
        <v/>
      </c>
      <c r="AN20" s="38"/>
      <c r="AO20" s="51" t="str">
        <f t="shared" si="14"/>
        <v/>
      </c>
      <c r="AP20" s="38"/>
      <c r="AQ20" s="51" t="str">
        <f t="shared" si="15"/>
        <v/>
      </c>
      <c r="AR20" s="38"/>
      <c r="AS20" s="51" t="str">
        <f t="shared" si="16"/>
        <v/>
      </c>
      <c r="AT20" s="38"/>
      <c r="AU20" s="51" t="str">
        <f t="shared" si="17"/>
        <v/>
      </c>
      <c r="AV20" s="38"/>
      <c r="AW20" s="51" t="str">
        <f t="shared" si="18"/>
        <v/>
      </c>
    </row>
    <row r="21" spans="1:50" ht="20" customHeight="1" x14ac:dyDescent="0.2">
      <c r="A21" s="36"/>
      <c r="B21" s="94"/>
      <c r="D21" s="19" t="s">
        <v>99</v>
      </c>
      <c r="E21" s="19" t="s">
        <v>100</v>
      </c>
      <c r="F21" s="20">
        <v>2010</v>
      </c>
      <c r="G21" s="20">
        <v>28</v>
      </c>
      <c r="H21" s="87">
        <v>597</v>
      </c>
      <c r="I21" s="88"/>
      <c r="J21" s="38"/>
      <c r="K21" s="51" t="str">
        <f t="shared" si="0"/>
        <v/>
      </c>
      <c r="L21" s="42"/>
      <c r="M21" s="51" t="str">
        <f t="shared" si="1"/>
        <v/>
      </c>
      <c r="N21" s="38"/>
      <c r="O21" s="51" t="str">
        <f t="shared" si="2"/>
        <v/>
      </c>
      <c r="P21" s="38"/>
      <c r="Q21" s="51" t="str">
        <f t="shared" si="3"/>
        <v/>
      </c>
      <c r="R21" s="38"/>
      <c r="S21" s="51" t="str">
        <f t="shared" si="4"/>
        <v/>
      </c>
      <c r="T21" s="38"/>
      <c r="U21" s="51" t="str">
        <f t="shared" si="5"/>
        <v/>
      </c>
      <c r="V21" s="38"/>
      <c r="W21" s="51" t="str">
        <f t="shared" si="6"/>
        <v/>
      </c>
      <c r="X21" s="38"/>
      <c r="Y21" s="51" t="str">
        <f t="shared" si="7"/>
        <v/>
      </c>
      <c r="Z21" s="38">
        <v>14</v>
      </c>
      <c r="AA21" s="51">
        <f t="shared" si="19"/>
        <v>2.3450586264656614</v>
      </c>
      <c r="AB21" s="38"/>
      <c r="AC21" s="51" t="str">
        <f t="shared" si="8"/>
        <v/>
      </c>
      <c r="AD21" s="38"/>
      <c r="AE21" s="51" t="str">
        <f t="shared" si="9"/>
        <v/>
      </c>
      <c r="AF21" s="38"/>
      <c r="AG21" s="51" t="str">
        <f t="shared" si="10"/>
        <v/>
      </c>
      <c r="AH21" s="38"/>
      <c r="AI21" s="51" t="str">
        <f t="shared" si="11"/>
        <v/>
      </c>
      <c r="AJ21" s="38">
        <v>12</v>
      </c>
      <c r="AK21" s="51">
        <f t="shared" si="12"/>
        <v>2.0100502512562812</v>
      </c>
      <c r="AL21" s="38"/>
      <c r="AM21" s="51" t="str">
        <f t="shared" si="13"/>
        <v/>
      </c>
      <c r="AN21" s="38"/>
      <c r="AO21" s="51" t="str">
        <f t="shared" si="14"/>
        <v/>
      </c>
      <c r="AP21" s="38"/>
      <c r="AQ21" s="51" t="str">
        <f t="shared" si="15"/>
        <v/>
      </c>
      <c r="AR21" s="38"/>
      <c r="AS21" s="51" t="str">
        <f t="shared" si="16"/>
        <v/>
      </c>
      <c r="AT21" s="38"/>
      <c r="AU21" s="51" t="str">
        <f t="shared" si="17"/>
        <v/>
      </c>
      <c r="AV21" s="38"/>
      <c r="AW21" s="51" t="str">
        <f t="shared" si="18"/>
        <v/>
      </c>
      <c r="AX21" s="19" t="s">
        <v>222</v>
      </c>
    </row>
    <row r="22" spans="1:50" ht="20" customHeight="1" x14ac:dyDescent="0.2">
      <c r="A22" s="36"/>
      <c r="B22" s="94"/>
      <c r="D22" s="19" t="s">
        <v>101</v>
      </c>
      <c r="E22" s="19" t="s">
        <v>102</v>
      </c>
      <c r="F22" s="20">
        <v>2012</v>
      </c>
      <c r="G22" s="20">
        <v>22</v>
      </c>
      <c r="H22" s="87">
        <v>19</v>
      </c>
      <c r="I22" s="88" t="s">
        <v>103</v>
      </c>
      <c r="J22" s="38"/>
      <c r="K22" s="51" t="str">
        <f t="shared" si="0"/>
        <v/>
      </c>
      <c r="L22" s="44"/>
      <c r="M22" s="51" t="str">
        <f t="shared" si="1"/>
        <v/>
      </c>
      <c r="N22" s="38"/>
      <c r="O22" s="51" t="str">
        <f t="shared" si="2"/>
        <v/>
      </c>
      <c r="P22" s="39"/>
      <c r="Q22" s="51" t="str">
        <f t="shared" si="3"/>
        <v/>
      </c>
      <c r="R22" s="38"/>
      <c r="S22" s="51" t="str">
        <f t="shared" si="4"/>
        <v/>
      </c>
      <c r="T22" s="38"/>
      <c r="U22" s="51" t="str">
        <f t="shared" si="5"/>
        <v/>
      </c>
      <c r="V22" s="39"/>
      <c r="W22" s="51" t="str">
        <f t="shared" si="6"/>
        <v/>
      </c>
      <c r="X22" s="38"/>
      <c r="Y22" s="51" t="str">
        <f t="shared" si="7"/>
        <v/>
      </c>
      <c r="Z22" s="38"/>
      <c r="AA22" s="51" t="str">
        <f t="shared" si="19"/>
        <v/>
      </c>
      <c r="AB22" s="38"/>
      <c r="AC22" s="51" t="str">
        <f t="shared" si="8"/>
        <v/>
      </c>
      <c r="AD22" s="38"/>
      <c r="AE22" s="51" t="str">
        <f t="shared" si="9"/>
        <v/>
      </c>
      <c r="AF22" s="38"/>
      <c r="AG22" s="51" t="str">
        <f t="shared" si="10"/>
        <v/>
      </c>
      <c r="AH22" s="38"/>
      <c r="AI22" s="51" t="str">
        <f t="shared" si="11"/>
        <v/>
      </c>
      <c r="AJ22" s="38"/>
      <c r="AK22" s="51" t="str">
        <f t="shared" si="12"/>
        <v/>
      </c>
      <c r="AL22" s="38"/>
      <c r="AM22" s="51" t="str">
        <f t="shared" si="13"/>
        <v/>
      </c>
      <c r="AN22" s="39"/>
      <c r="AO22" s="51" t="str">
        <f t="shared" si="14"/>
        <v/>
      </c>
      <c r="AP22" s="38"/>
      <c r="AQ22" s="51" t="str">
        <f t="shared" si="15"/>
        <v/>
      </c>
      <c r="AR22" s="38"/>
      <c r="AS22" s="51" t="str">
        <f t="shared" si="16"/>
        <v/>
      </c>
      <c r="AT22" s="38"/>
      <c r="AU22" s="51" t="str">
        <f t="shared" si="17"/>
        <v/>
      </c>
      <c r="AV22" s="38"/>
      <c r="AW22" s="51" t="str">
        <f t="shared" si="18"/>
        <v/>
      </c>
      <c r="AX22" s="19" t="s">
        <v>104</v>
      </c>
    </row>
    <row r="23" spans="1:50" ht="20" customHeight="1" x14ac:dyDescent="0.2">
      <c r="A23" s="36"/>
      <c r="B23" s="94"/>
      <c r="D23" s="48" t="s">
        <v>223</v>
      </c>
      <c r="E23" s="48" t="s">
        <v>102</v>
      </c>
      <c r="F23" s="49">
        <v>2013</v>
      </c>
      <c r="G23" s="49">
        <v>12</v>
      </c>
      <c r="H23" s="89">
        <v>19</v>
      </c>
      <c r="I23" s="90"/>
      <c r="J23" s="38"/>
      <c r="K23" s="51" t="str">
        <f t="shared" si="0"/>
        <v/>
      </c>
      <c r="L23" s="44"/>
      <c r="M23" s="51" t="str">
        <f t="shared" si="1"/>
        <v/>
      </c>
      <c r="N23" s="38"/>
      <c r="O23" s="51" t="str">
        <f t="shared" si="2"/>
        <v/>
      </c>
      <c r="P23" s="39"/>
      <c r="Q23" s="51" t="str">
        <f t="shared" si="3"/>
        <v/>
      </c>
      <c r="R23" s="38"/>
      <c r="S23" s="51" t="str">
        <f t="shared" si="4"/>
        <v/>
      </c>
      <c r="T23" s="38"/>
      <c r="U23" s="51" t="str">
        <f t="shared" si="5"/>
        <v/>
      </c>
      <c r="V23" s="39"/>
      <c r="W23" s="51" t="str">
        <f t="shared" si="6"/>
        <v/>
      </c>
      <c r="X23" s="38"/>
      <c r="Y23" s="51" t="str">
        <f t="shared" si="7"/>
        <v/>
      </c>
      <c r="Z23" s="38"/>
      <c r="AA23" s="51" t="str">
        <f t="shared" si="19"/>
        <v/>
      </c>
      <c r="AB23" s="38"/>
      <c r="AC23" s="51" t="str">
        <f t="shared" si="8"/>
        <v/>
      </c>
      <c r="AD23" s="38"/>
      <c r="AE23" s="51" t="str">
        <f t="shared" si="9"/>
        <v/>
      </c>
      <c r="AF23" s="38"/>
      <c r="AG23" s="51" t="str">
        <f t="shared" si="10"/>
        <v/>
      </c>
      <c r="AH23" s="38"/>
      <c r="AI23" s="51" t="str">
        <f t="shared" si="11"/>
        <v/>
      </c>
      <c r="AJ23" s="38"/>
      <c r="AK23" s="51" t="str">
        <f t="shared" si="12"/>
        <v/>
      </c>
      <c r="AL23" s="38"/>
      <c r="AM23" s="51" t="str">
        <f t="shared" si="13"/>
        <v/>
      </c>
      <c r="AN23" s="39"/>
      <c r="AO23" s="51" t="str">
        <f t="shared" si="14"/>
        <v/>
      </c>
      <c r="AP23" s="38"/>
      <c r="AQ23" s="51" t="str">
        <f t="shared" si="15"/>
        <v/>
      </c>
      <c r="AR23" s="38"/>
      <c r="AS23" s="51" t="str">
        <f t="shared" si="16"/>
        <v/>
      </c>
      <c r="AT23" s="38"/>
      <c r="AU23" s="51" t="str">
        <f t="shared" si="17"/>
        <v/>
      </c>
      <c r="AV23" s="38"/>
      <c r="AW23" s="51" t="str">
        <f t="shared" si="18"/>
        <v/>
      </c>
      <c r="AX23" s="19" t="s">
        <v>185</v>
      </c>
    </row>
    <row r="24" spans="1:50" ht="20" customHeight="1" x14ac:dyDescent="0.2">
      <c r="A24" s="36"/>
      <c r="B24" s="94"/>
      <c r="D24" s="19" t="s">
        <v>106</v>
      </c>
      <c r="E24" s="19" t="s">
        <v>107</v>
      </c>
      <c r="F24" s="20">
        <v>2007</v>
      </c>
      <c r="G24" s="20">
        <v>41</v>
      </c>
      <c r="H24" s="87">
        <v>71</v>
      </c>
      <c r="I24" s="88"/>
      <c r="J24" s="38"/>
      <c r="K24" s="51" t="str">
        <f t="shared" si="0"/>
        <v/>
      </c>
      <c r="L24" s="42"/>
      <c r="M24" s="51" t="str">
        <f t="shared" si="1"/>
        <v/>
      </c>
      <c r="N24" s="38"/>
      <c r="O24" s="51" t="str">
        <f t="shared" si="2"/>
        <v/>
      </c>
      <c r="P24" s="38"/>
      <c r="Q24" s="51" t="str">
        <f t="shared" si="3"/>
        <v/>
      </c>
      <c r="R24" s="38"/>
      <c r="S24" s="51" t="str">
        <f t="shared" si="4"/>
        <v/>
      </c>
      <c r="T24" s="38"/>
      <c r="U24" s="51" t="str">
        <f t="shared" si="5"/>
        <v/>
      </c>
      <c r="V24" s="38"/>
      <c r="W24" s="51" t="str">
        <f t="shared" si="6"/>
        <v/>
      </c>
      <c r="X24" s="38"/>
      <c r="Y24" s="51" t="str">
        <f t="shared" si="7"/>
        <v/>
      </c>
      <c r="Z24" s="38"/>
      <c r="AA24" s="51" t="str">
        <f t="shared" si="19"/>
        <v/>
      </c>
      <c r="AB24" s="38"/>
      <c r="AC24" s="51" t="str">
        <f t="shared" si="8"/>
        <v/>
      </c>
      <c r="AD24" s="38"/>
      <c r="AE24" s="51" t="str">
        <f t="shared" si="9"/>
        <v/>
      </c>
      <c r="AF24" s="38"/>
      <c r="AG24" s="51" t="str">
        <f t="shared" si="10"/>
        <v/>
      </c>
      <c r="AH24" s="38"/>
      <c r="AI24" s="51" t="str">
        <f t="shared" si="11"/>
        <v/>
      </c>
      <c r="AJ24" s="38"/>
      <c r="AK24" s="51" t="str">
        <f t="shared" si="12"/>
        <v/>
      </c>
      <c r="AL24" s="38"/>
      <c r="AM24" s="51" t="str">
        <f t="shared" si="13"/>
        <v/>
      </c>
      <c r="AN24" s="38"/>
      <c r="AO24" s="51" t="str">
        <f t="shared" si="14"/>
        <v/>
      </c>
      <c r="AP24" s="38"/>
      <c r="AQ24" s="51" t="str">
        <f t="shared" si="15"/>
        <v/>
      </c>
      <c r="AR24" s="38"/>
      <c r="AS24" s="51" t="str">
        <f t="shared" si="16"/>
        <v/>
      </c>
      <c r="AT24" s="38"/>
      <c r="AU24" s="51" t="str">
        <f t="shared" si="17"/>
        <v/>
      </c>
      <c r="AV24" s="38"/>
      <c r="AW24" s="51" t="str">
        <f t="shared" si="18"/>
        <v/>
      </c>
      <c r="AX24" s="19" t="s">
        <v>108</v>
      </c>
    </row>
    <row r="25" spans="1:50" ht="20" customHeight="1" x14ac:dyDescent="0.2">
      <c r="A25" s="36"/>
      <c r="B25" s="35"/>
      <c r="D25" s="48" t="s">
        <v>109</v>
      </c>
      <c r="E25" s="48" t="s">
        <v>110</v>
      </c>
      <c r="F25" s="49">
        <v>2007</v>
      </c>
      <c r="G25" s="49">
        <v>140</v>
      </c>
      <c r="H25" s="89">
        <v>71</v>
      </c>
      <c r="I25" s="88"/>
      <c r="J25" s="38"/>
      <c r="K25" s="51" t="str">
        <f t="shared" si="0"/>
        <v/>
      </c>
      <c r="L25" s="42"/>
      <c r="M25" s="51" t="str">
        <f t="shared" si="1"/>
        <v/>
      </c>
      <c r="N25" s="38"/>
      <c r="O25" s="51" t="str">
        <f t="shared" si="2"/>
        <v/>
      </c>
      <c r="P25" s="38"/>
      <c r="Q25" s="51" t="str">
        <f t="shared" si="3"/>
        <v/>
      </c>
      <c r="R25" s="38"/>
      <c r="S25" s="51" t="str">
        <f t="shared" si="4"/>
        <v/>
      </c>
      <c r="T25" s="38"/>
      <c r="U25" s="51" t="str">
        <f t="shared" si="5"/>
        <v/>
      </c>
      <c r="V25" s="38"/>
      <c r="W25" s="51" t="str">
        <f t="shared" si="6"/>
        <v/>
      </c>
      <c r="X25" s="38"/>
      <c r="Y25" s="51" t="str">
        <f t="shared" si="7"/>
        <v/>
      </c>
      <c r="Z25" s="38"/>
      <c r="AA25" s="51" t="str">
        <f t="shared" si="19"/>
        <v/>
      </c>
      <c r="AB25" s="38"/>
      <c r="AC25" s="51" t="str">
        <f t="shared" si="8"/>
        <v/>
      </c>
      <c r="AD25" s="38"/>
      <c r="AE25" s="51" t="str">
        <f t="shared" si="9"/>
        <v/>
      </c>
      <c r="AF25" s="38"/>
      <c r="AG25" s="51" t="str">
        <f t="shared" si="10"/>
        <v/>
      </c>
      <c r="AH25" s="38"/>
      <c r="AI25" s="51" t="str">
        <f t="shared" si="11"/>
        <v/>
      </c>
      <c r="AJ25" s="38"/>
      <c r="AK25" s="51" t="str">
        <f t="shared" si="12"/>
        <v/>
      </c>
      <c r="AL25" s="38"/>
      <c r="AM25" s="51" t="str">
        <f t="shared" si="13"/>
        <v/>
      </c>
      <c r="AN25" s="38"/>
      <c r="AO25" s="51" t="str">
        <f t="shared" si="14"/>
        <v/>
      </c>
      <c r="AP25" s="38"/>
      <c r="AQ25" s="51" t="str">
        <f t="shared" si="15"/>
        <v/>
      </c>
      <c r="AR25" s="38"/>
      <c r="AS25" s="51" t="str">
        <f t="shared" si="16"/>
        <v/>
      </c>
      <c r="AT25" s="38"/>
      <c r="AU25" s="51" t="str">
        <f t="shared" si="17"/>
        <v/>
      </c>
      <c r="AV25" s="38"/>
      <c r="AW25" s="51" t="str">
        <f t="shared" si="18"/>
        <v/>
      </c>
      <c r="AX25" s="19" t="s">
        <v>111</v>
      </c>
    </row>
    <row r="26" spans="1:50" ht="20" customHeight="1" x14ac:dyDescent="0.2">
      <c r="A26" s="33"/>
      <c r="D26" s="19" t="s">
        <v>112</v>
      </c>
      <c r="E26" s="19" t="s">
        <v>113</v>
      </c>
      <c r="F26" s="20">
        <v>2015</v>
      </c>
      <c r="G26" s="20">
        <v>8</v>
      </c>
      <c r="H26" s="87">
        <v>255</v>
      </c>
      <c r="I26" s="88" t="s">
        <v>114</v>
      </c>
      <c r="J26" s="38"/>
      <c r="K26" s="51" t="str">
        <f t="shared" si="0"/>
        <v/>
      </c>
      <c r="L26" s="42"/>
      <c r="M26" s="51" t="str">
        <f t="shared" si="1"/>
        <v/>
      </c>
      <c r="N26" s="38"/>
      <c r="O26" s="51" t="str">
        <f t="shared" si="2"/>
        <v/>
      </c>
      <c r="P26" s="38"/>
      <c r="Q26" s="51" t="str">
        <f t="shared" si="3"/>
        <v/>
      </c>
      <c r="R26" s="38"/>
      <c r="S26" s="51" t="str">
        <f t="shared" si="4"/>
        <v/>
      </c>
      <c r="T26" s="38"/>
      <c r="U26" s="51" t="str">
        <f t="shared" si="5"/>
        <v/>
      </c>
      <c r="V26" s="38"/>
      <c r="W26" s="51" t="str">
        <f t="shared" si="6"/>
        <v/>
      </c>
      <c r="X26" s="38"/>
      <c r="Y26" s="51" t="str">
        <f t="shared" si="7"/>
        <v/>
      </c>
      <c r="Z26" s="39"/>
      <c r="AA26" s="51" t="str">
        <f t="shared" si="19"/>
        <v/>
      </c>
      <c r="AB26" s="38"/>
      <c r="AC26" s="51" t="str">
        <f t="shared" si="8"/>
        <v/>
      </c>
      <c r="AD26" s="38"/>
      <c r="AE26" s="51" t="str">
        <f t="shared" si="9"/>
        <v/>
      </c>
      <c r="AF26" s="38"/>
      <c r="AG26" s="51" t="str">
        <f t="shared" si="10"/>
        <v/>
      </c>
      <c r="AH26" s="38"/>
      <c r="AI26" s="51" t="str">
        <f t="shared" si="11"/>
        <v/>
      </c>
      <c r="AJ26" s="38"/>
      <c r="AK26" s="51" t="str">
        <f t="shared" si="12"/>
        <v/>
      </c>
      <c r="AL26" s="38"/>
      <c r="AM26" s="51" t="str">
        <f t="shared" si="13"/>
        <v/>
      </c>
      <c r="AN26" s="38"/>
      <c r="AO26" s="51" t="str">
        <f t="shared" si="14"/>
        <v/>
      </c>
      <c r="AP26" s="38"/>
      <c r="AQ26" s="51" t="str">
        <f t="shared" si="15"/>
        <v/>
      </c>
      <c r="AR26" s="38"/>
      <c r="AS26" s="51" t="str">
        <f t="shared" si="16"/>
        <v/>
      </c>
      <c r="AT26" s="38"/>
      <c r="AU26" s="51" t="str">
        <f t="shared" si="17"/>
        <v/>
      </c>
      <c r="AV26" s="38"/>
      <c r="AW26" s="51" t="str">
        <f t="shared" si="18"/>
        <v/>
      </c>
      <c r="AX26" s="19" t="s">
        <v>115</v>
      </c>
    </row>
    <row r="27" spans="1:50" ht="20" customHeight="1" x14ac:dyDescent="0.2">
      <c r="A27" s="36"/>
      <c r="B27" s="94"/>
      <c r="D27" s="19" t="s">
        <v>116</v>
      </c>
      <c r="E27" s="19" t="s">
        <v>117</v>
      </c>
      <c r="F27" s="20">
        <v>1993</v>
      </c>
      <c r="G27" s="20">
        <v>56</v>
      </c>
      <c r="H27" s="87">
        <v>128</v>
      </c>
      <c r="I27" s="88"/>
      <c r="J27" s="38">
        <v>1</v>
      </c>
      <c r="K27" s="51">
        <f t="shared" si="0"/>
        <v>0.78125</v>
      </c>
      <c r="L27" s="42">
        <v>11</v>
      </c>
      <c r="M27" s="51">
        <f t="shared" si="1"/>
        <v>8.59375</v>
      </c>
      <c r="N27" s="38">
        <v>4</v>
      </c>
      <c r="O27" s="51">
        <f t="shared" si="2"/>
        <v>3.125</v>
      </c>
      <c r="P27" s="38"/>
      <c r="Q27" s="51" t="str">
        <f t="shared" si="3"/>
        <v/>
      </c>
      <c r="R27" s="38"/>
      <c r="S27" s="51" t="str">
        <f t="shared" si="4"/>
        <v/>
      </c>
      <c r="T27" s="38"/>
      <c r="U27" s="51" t="str">
        <f t="shared" si="5"/>
        <v/>
      </c>
      <c r="V27" s="38"/>
      <c r="W27" s="51" t="str">
        <f t="shared" si="6"/>
        <v/>
      </c>
      <c r="X27" s="38">
        <v>15</v>
      </c>
      <c r="Y27" s="51">
        <f t="shared" si="7"/>
        <v>11.71875</v>
      </c>
      <c r="Z27" s="38">
        <v>8</v>
      </c>
      <c r="AA27" s="51">
        <f t="shared" si="19"/>
        <v>6.25</v>
      </c>
      <c r="AB27" s="38">
        <v>6</v>
      </c>
      <c r="AC27" s="51">
        <f t="shared" si="8"/>
        <v>4.6875</v>
      </c>
      <c r="AD27" s="38"/>
      <c r="AE27" s="51" t="str">
        <f t="shared" si="9"/>
        <v/>
      </c>
      <c r="AF27" s="38">
        <v>4</v>
      </c>
      <c r="AG27" s="51">
        <f t="shared" si="10"/>
        <v>3.125</v>
      </c>
      <c r="AH27" s="38">
        <v>1</v>
      </c>
      <c r="AI27" s="51">
        <f t="shared" si="11"/>
        <v>0.78125</v>
      </c>
      <c r="AJ27" s="38"/>
      <c r="AK27" s="51" t="str">
        <f t="shared" si="12"/>
        <v/>
      </c>
      <c r="AL27" s="38">
        <v>2</v>
      </c>
      <c r="AM27" s="51">
        <f t="shared" si="13"/>
        <v>1.5625</v>
      </c>
      <c r="AN27" s="38"/>
      <c r="AO27" s="51" t="str">
        <f t="shared" si="14"/>
        <v/>
      </c>
      <c r="AP27" s="38"/>
      <c r="AQ27" s="51" t="str">
        <f t="shared" si="15"/>
        <v/>
      </c>
      <c r="AR27" s="38"/>
      <c r="AS27" s="51" t="str">
        <f t="shared" si="16"/>
        <v/>
      </c>
      <c r="AT27" s="38"/>
      <c r="AU27" s="51" t="str">
        <f t="shared" si="17"/>
        <v/>
      </c>
      <c r="AV27" s="38">
        <v>5</v>
      </c>
      <c r="AW27" s="51">
        <f t="shared" si="18"/>
        <v>3.90625</v>
      </c>
      <c r="AX27" s="19" t="s">
        <v>238</v>
      </c>
    </row>
    <row r="28" spans="1:50" ht="20" customHeight="1" x14ac:dyDescent="0.2">
      <c r="A28" s="36"/>
      <c r="B28" s="95"/>
      <c r="D28" s="19" t="s">
        <v>118</v>
      </c>
      <c r="E28" s="19" t="s">
        <v>119</v>
      </c>
      <c r="F28" s="20">
        <v>2009</v>
      </c>
      <c r="H28" s="87">
        <v>170</v>
      </c>
      <c r="I28" s="88" t="s">
        <v>120</v>
      </c>
      <c r="J28" s="38"/>
      <c r="K28" s="51" t="str">
        <f t="shared" si="0"/>
        <v/>
      </c>
      <c r="L28" s="42"/>
      <c r="M28" s="51" t="str">
        <f t="shared" si="1"/>
        <v/>
      </c>
      <c r="N28" s="38"/>
      <c r="O28" s="51" t="str">
        <f t="shared" si="2"/>
        <v/>
      </c>
      <c r="P28" s="38"/>
      <c r="Q28" s="51" t="str">
        <f t="shared" si="3"/>
        <v/>
      </c>
      <c r="R28" s="38"/>
      <c r="S28" s="51" t="str">
        <f t="shared" si="4"/>
        <v/>
      </c>
      <c r="T28" s="38">
        <v>15</v>
      </c>
      <c r="U28" s="51">
        <f t="shared" si="5"/>
        <v>8.8235294117647065</v>
      </c>
      <c r="V28" s="38"/>
      <c r="W28" s="51" t="str">
        <f t="shared" si="6"/>
        <v/>
      </c>
      <c r="X28" s="38"/>
      <c r="Y28" s="51" t="str">
        <f t="shared" si="7"/>
        <v/>
      </c>
      <c r="Z28" s="38">
        <v>33</v>
      </c>
      <c r="AA28" s="51">
        <f t="shared" si="19"/>
        <v>19.411764705882355</v>
      </c>
      <c r="AB28" s="38"/>
      <c r="AC28" s="51" t="str">
        <f t="shared" si="8"/>
        <v/>
      </c>
      <c r="AD28" s="38">
        <v>8</v>
      </c>
      <c r="AE28" s="51">
        <f t="shared" si="9"/>
        <v>4.7058823529411766</v>
      </c>
      <c r="AF28" s="38"/>
      <c r="AG28" s="51" t="str">
        <f t="shared" si="10"/>
        <v/>
      </c>
      <c r="AH28" s="38"/>
      <c r="AI28" s="51" t="str">
        <f t="shared" si="11"/>
        <v/>
      </c>
      <c r="AJ28" s="38"/>
      <c r="AK28" s="51" t="str">
        <f t="shared" si="12"/>
        <v/>
      </c>
      <c r="AL28" s="38"/>
      <c r="AM28" s="51" t="str">
        <f t="shared" si="13"/>
        <v/>
      </c>
      <c r="AN28" s="38"/>
      <c r="AO28" s="51" t="str">
        <f t="shared" si="14"/>
        <v/>
      </c>
      <c r="AP28" s="38"/>
      <c r="AQ28" s="51" t="str">
        <f t="shared" si="15"/>
        <v/>
      </c>
      <c r="AR28" s="38"/>
      <c r="AS28" s="51" t="str">
        <f t="shared" si="16"/>
        <v/>
      </c>
      <c r="AT28" s="38"/>
      <c r="AU28" s="51" t="str">
        <f t="shared" si="17"/>
        <v/>
      </c>
      <c r="AV28" s="38"/>
      <c r="AW28" s="51" t="str">
        <f t="shared" si="18"/>
        <v/>
      </c>
    </row>
    <row r="29" spans="1:50" ht="20" customHeight="1" x14ac:dyDescent="0.2">
      <c r="A29" s="36"/>
      <c r="B29" s="19"/>
      <c r="D29" s="19" t="s">
        <v>224</v>
      </c>
      <c r="E29" s="19" t="s">
        <v>225</v>
      </c>
      <c r="F29" s="20">
        <v>2013</v>
      </c>
      <c r="H29" s="87">
        <v>98</v>
      </c>
      <c r="I29" s="88"/>
      <c r="J29" s="38"/>
      <c r="K29" s="51" t="str">
        <f t="shared" si="0"/>
        <v/>
      </c>
      <c r="L29" s="42"/>
      <c r="M29" s="51" t="str">
        <f t="shared" si="1"/>
        <v/>
      </c>
      <c r="N29" s="38"/>
      <c r="O29" s="51" t="str">
        <f t="shared" si="2"/>
        <v/>
      </c>
      <c r="P29" s="38"/>
      <c r="Q29" s="51" t="str">
        <f t="shared" si="3"/>
        <v/>
      </c>
      <c r="R29" s="38"/>
      <c r="S29" s="51" t="str">
        <f t="shared" si="4"/>
        <v/>
      </c>
      <c r="T29" s="38"/>
      <c r="U29" s="51"/>
      <c r="V29" s="38"/>
      <c r="W29" s="51" t="str">
        <f t="shared" si="6"/>
        <v/>
      </c>
      <c r="X29" s="38"/>
      <c r="Y29" s="51" t="str">
        <f t="shared" si="7"/>
        <v/>
      </c>
      <c r="Z29" s="38">
        <v>14</v>
      </c>
      <c r="AA29" s="51">
        <f t="shared" si="19"/>
        <v>14.285714285714285</v>
      </c>
      <c r="AB29" s="38"/>
      <c r="AC29" s="51" t="str">
        <f t="shared" si="8"/>
        <v/>
      </c>
      <c r="AD29" s="38"/>
      <c r="AE29" s="51"/>
      <c r="AF29" s="38"/>
      <c r="AG29" s="51" t="str">
        <f t="shared" si="10"/>
        <v/>
      </c>
      <c r="AH29" s="38"/>
      <c r="AI29" s="51" t="str">
        <f t="shared" si="11"/>
        <v/>
      </c>
      <c r="AJ29" s="38"/>
      <c r="AK29" s="51" t="str">
        <f t="shared" si="12"/>
        <v/>
      </c>
      <c r="AL29" s="38"/>
      <c r="AM29" s="51" t="str">
        <f t="shared" si="13"/>
        <v/>
      </c>
      <c r="AN29" s="38"/>
      <c r="AO29" s="51" t="str">
        <f t="shared" si="14"/>
        <v/>
      </c>
      <c r="AP29" s="38"/>
      <c r="AQ29" s="51" t="str">
        <f t="shared" si="15"/>
        <v/>
      </c>
      <c r="AR29" s="38"/>
      <c r="AS29" s="51" t="str">
        <f t="shared" si="16"/>
        <v/>
      </c>
      <c r="AT29" s="38"/>
      <c r="AU29" s="51" t="str">
        <f t="shared" si="17"/>
        <v/>
      </c>
      <c r="AV29" s="38"/>
      <c r="AW29" s="51" t="str">
        <f t="shared" si="18"/>
        <v/>
      </c>
    </row>
    <row r="30" spans="1:50" ht="20" customHeight="1" x14ac:dyDescent="0.2">
      <c r="A30" s="36"/>
      <c r="D30" s="19" t="s">
        <v>121</v>
      </c>
      <c r="E30" s="19" t="s">
        <v>122</v>
      </c>
      <c r="F30" s="20">
        <v>2008</v>
      </c>
      <c r="G30" s="20">
        <v>21</v>
      </c>
      <c r="H30" s="87">
        <v>227</v>
      </c>
      <c r="I30" s="88" t="s">
        <v>123</v>
      </c>
      <c r="J30" s="38"/>
      <c r="K30" s="51" t="str">
        <f t="shared" si="0"/>
        <v/>
      </c>
      <c r="L30" s="42"/>
      <c r="M30" s="51" t="str">
        <f t="shared" si="1"/>
        <v/>
      </c>
      <c r="N30" s="38"/>
      <c r="O30" s="51" t="str">
        <f t="shared" si="2"/>
        <v/>
      </c>
      <c r="P30" s="38"/>
      <c r="Q30" s="51" t="str">
        <f t="shared" si="3"/>
        <v/>
      </c>
      <c r="R30" s="38"/>
      <c r="S30" s="51" t="str">
        <f t="shared" si="4"/>
        <v/>
      </c>
      <c r="T30" s="38"/>
      <c r="U30" s="51" t="str">
        <f t="shared" ref="U30:U52" si="20">IF((ISERROR((T30/$H30)*100)), "", IF(AND(NOT(ISERROR((T30/$H30)*100)),((T30/$H30)*100) &lt;&gt; 0), (T30/$H30)*100, ""))</f>
        <v/>
      </c>
      <c r="V30" s="38"/>
      <c r="W30" s="51" t="str">
        <f t="shared" si="6"/>
        <v/>
      </c>
      <c r="X30" s="38"/>
      <c r="Y30" s="51" t="str">
        <f t="shared" si="7"/>
        <v/>
      </c>
      <c r="Z30" s="38">
        <v>3</v>
      </c>
      <c r="AA30" s="51">
        <f t="shared" si="19"/>
        <v>1.3215859030837005</v>
      </c>
      <c r="AB30" s="38"/>
      <c r="AC30" s="51" t="str">
        <f t="shared" si="8"/>
        <v/>
      </c>
      <c r="AD30" s="38"/>
      <c r="AE30" s="51" t="str">
        <f t="shared" si="9"/>
        <v/>
      </c>
      <c r="AF30" s="38"/>
      <c r="AG30" s="51" t="str">
        <f t="shared" si="10"/>
        <v/>
      </c>
      <c r="AH30" s="38"/>
      <c r="AI30" s="51" t="str">
        <f t="shared" si="11"/>
        <v/>
      </c>
      <c r="AJ30" s="38"/>
      <c r="AK30" s="51" t="str">
        <f t="shared" si="12"/>
        <v/>
      </c>
      <c r="AL30" s="38"/>
      <c r="AM30" s="51" t="str">
        <f t="shared" si="13"/>
        <v/>
      </c>
      <c r="AN30" s="38"/>
      <c r="AO30" s="51" t="str">
        <f t="shared" si="14"/>
        <v/>
      </c>
      <c r="AP30" s="38"/>
      <c r="AQ30" s="51" t="str">
        <f t="shared" si="15"/>
        <v/>
      </c>
      <c r="AR30" s="38"/>
      <c r="AS30" s="51" t="str">
        <f t="shared" si="16"/>
        <v/>
      </c>
      <c r="AT30" s="38"/>
      <c r="AU30" s="51" t="str">
        <f t="shared" si="17"/>
        <v/>
      </c>
      <c r="AV30" s="38"/>
      <c r="AW30" s="51" t="str">
        <f t="shared" si="18"/>
        <v/>
      </c>
    </row>
    <row r="31" spans="1:50" ht="20" customHeight="1" x14ac:dyDescent="0.2">
      <c r="A31" s="36"/>
      <c r="B31" s="94"/>
      <c r="D31" s="19" t="s">
        <v>124</v>
      </c>
      <c r="E31" s="19" t="s">
        <v>125</v>
      </c>
      <c r="F31" s="20">
        <v>2005</v>
      </c>
      <c r="G31" s="20">
        <v>23</v>
      </c>
      <c r="H31" s="87">
        <v>174</v>
      </c>
      <c r="I31" s="88"/>
      <c r="J31" s="38"/>
      <c r="K31" s="51" t="str">
        <f t="shared" si="0"/>
        <v/>
      </c>
      <c r="L31" s="42"/>
      <c r="M31" s="51" t="str">
        <f t="shared" si="1"/>
        <v/>
      </c>
      <c r="N31" s="38"/>
      <c r="O31" s="51" t="str">
        <f t="shared" si="2"/>
        <v/>
      </c>
      <c r="P31" s="38"/>
      <c r="Q31" s="51" t="str">
        <f t="shared" si="3"/>
        <v/>
      </c>
      <c r="R31" s="39"/>
      <c r="S31" s="51" t="str">
        <f t="shared" si="4"/>
        <v/>
      </c>
      <c r="T31" s="38"/>
      <c r="U31" s="51" t="str">
        <f t="shared" si="20"/>
        <v/>
      </c>
      <c r="V31" s="39"/>
      <c r="W31" s="51" t="str">
        <f t="shared" si="6"/>
        <v/>
      </c>
      <c r="X31" s="39"/>
      <c r="Y31" s="51" t="str">
        <f t="shared" si="7"/>
        <v/>
      </c>
      <c r="Z31" s="39"/>
      <c r="AA31" s="51" t="str">
        <f t="shared" si="19"/>
        <v/>
      </c>
      <c r="AB31" s="39"/>
      <c r="AC31" s="51" t="str">
        <f t="shared" si="8"/>
        <v/>
      </c>
      <c r="AD31" s="39"/>
      <c r="AE31" s="54" t="str">
        <f t="shared" si="9"/>
        <v/>
      </c>
      <c r="AF31" s="38"/>
      <c r="AG31" s="51" t="str">
        <f t="shared" si="10"/>
        <v/>
      </c>
      <c r="AH31" s="38"/>
      <c r="AI31" s="51" t="str">
        <f t="shared" si="11"/>
        <v/>
      </c>
      <c r="AJ31" s="38"/>
      <c r="AK31" s="51" t="str">
        <f t="shared" si="12"/>
        <v/>
      </c>
      <c r="AL31" s="38"/>
      <c r="AM31" s="51" t="str">
        <f t="shared" si="13"/>
        <v/>
      </c>
      <c r="AN31" s="38"/>
      <c r="AO31" s="51" t="str">
        <f t="shared" si="14"/>
        <v/>
      </c>
      <c r="AP31" s="38"/>
      <c r="AQ31" s="51" t="str">
        <f t="shared" si="15"/>
        <v/>
      </c>
      <c r="AR31" s="38"/>
      <c r="AS31" s="51" t="str">
        <f t="shared" si="16"/>
        <v/>
      </c>
      <c r="AT31" s="38"/>
      <c r="AU31" s="51" t="str">
        <f t="shared" si="17"/>
        <v/>
      </c>
      <c r="AV31" s="38"/>
      <c r="AW31" s="51" t="str">
        <f t="shared" si="18"/>
        <v/>
      </c>
      <c r="AX31" s="19" t="s">
        <v>126</v>
      </c>
    </row>
    <row r="32" spans="1:50" ht="20" customHeight="1" x14ac:dyDescent="0.2">
      <c r="A32" s="36"/>
      <c r="B32" s="95"/>
      <c r="D32" s="19" t="s">
        <v>127</v>
      </c>
      <c r="E32" s="19" t="s">
        <v>128</v>
      </c>
      <c r="F32" s="20">
        <v>2015</v>
      </c>
      <c r="G32" s="20">
        <v>7</v>
      </c>
      <c r="H32" s="87">
        <v>388</v>
      </c>
      <c r="I32" s="88"/>
      <c r="J32" s="38"/>
      <c r="K32" s="51" t="str">
        <f t="shared" si="0"/>
        <v/>
      </c>
      <c r="L32" s="42"/>
      <c r="M32" s="51" t="str">
        <f t="shared" si="1"/>
        <v/>
      </c>
      <c r="N32" s="38"/>
      <c r="O32" s="51" t="str">
        <f t="shared" si="2"/>
        <v/>
      </c>
      <c r="P32" s="38"/>
      <c r="Q32" s="51" t="str">
        <f t="shared" si="3"/>
        <v/>
      </c>
      <c r="R32" s="38"/>
      <c r="S32" s="51" t="str">
        <f t="shared" si="4"/>
        <v/>
      </c>
      <c r="T32" s="38"/>
      <c r="U32" s="51" t="str">
        <f t="shared" si="20"/>
        <v/>
      </c>
      <c r="V32" s="38"/>
      <c r="W32" s="51" t="str">
        <f t="shared" si="6"/>
        <v/>
      </c>
      <c r="X32" s="38"/>
      <c r="Y32" s="51" t="str">
        <f t="shared" si="7"/>
        <v/>
      </c>
      <c r="Z32" s="38">
        <v>10</v>
      </c>
      <c r="AA32" s="51">
        <f t="shared" si="19"/>
        <v>2.5773195876288657</v>
      </c>
      <c r="AB32" s="38"/>
      <c r="AC32" s="51" t="str">
        <f t="shared" si="8"/>
        <v/>
      </c>
      <c r="AD32" s="38"/>
      <c r="AE32" s="51" t="str">
        <f t="shared" si="9"/>
        <v/>
      </c>
      <c r="AF32" s="38"/>
      <c r="AG32" s="51" t="str">
        <f t="shared" si="10"/>
        <v/>
      </c>
      <c r="AH32" s="38"/>
      <c r="AI32" s="51" t="str">
        <f t="shared" si="11"/>
        <v/>
      </c>
      <c r="AJ32" s="38">
        <v>16</v>
      </c>
      <c r="AK32" s="51">
        <f t="shared" si="12"/>
        <v>4.1237113402061851</v>
      </c>
      <c r="AL32" s="38"/>
      <c r="AM32" s="51" t="str">
        <f t="shared" si="13"/>
        <v/>
      </c>
      <c r="AN32" s="38"/>
      <c r="AO32" s="51" t="str">
        <f t="shared" si="14"/>
        <v/>
      </c>
      <c r="AP32" s="38"/>
      <c r="AQ32" s="51" t="str">
        <f t="shared" si="15"/>
        <v/>
      </c>
      <c r="AR32" s="38"/>
      <c r="AS32" s="51" t="str">
        <f t="shared" si="16"/>
        <v/>
      </c>
      <c r="AT32" s="38"/>
      <c r="AU32" s="51" t="str">
        <f t="shared" si="17"/>
        <v/>
      </c>
      <c r="AV32" s="38"/>
      <c r="AW32" s="51" t="str">
        <f t="shared" si="18"/>
        <v/>
      </c>
    </row>
    <row r="33" spans="1:50" ht="20" customHeight="1" x14ac:dyDescent="0.2">
      <c r="A33" s="36"/>
      <c r="B33" s="94"/>
      <c r="D33" s="19" t="s">
        <v>129</v>
      </c>
      <c r="E33" s="19" t="s">
        <v>130</v>
      </c>
      <c r="F33" s="20">
        <v>2011</v>
      </c>
      <c r="G33" s="20">
        <v>12</v>
      </c>
      <c r="H33" s="87">
        <v>11</v>
      </c>
      <c r="I33" s="88" t="s">
        <v>131</v>
      </c>
      <c r="J33" s="38"/>
      <c r="K33" s="51" t="str">
        <f t="shared" si="0"/>
        <v/>
      </c>
      <c r="L33" s="42"/>
      <c r="M33" s="51" t="str">
        <f t="shared" si="1"/>
        <v/>
      </c>
      <c r="N33" s="38"/>
      <c r="O33" s="51" t="str">
        <f t="shared" si="2"/>
        <v/>
      </c>
      <c r="P33" s="38"/>
      <c r="Q33" s="51" t="str">
        <f t="shared" si="3"/>
        <v/>
      </c>
      <c r="R33" s="38"/>
      <c r="S33" s="51" t="str">
        <f t="shared" si="4"/>
        <v/>
      </c>
      <c r="T33" s="38"/>
      <c r="U33" s="51" t="str">
        <f t="shared" si="20"/>
        <v/>
      </c>
      <c r="V33" s="38"/>
      <c r="W33" s="51" t="str">
        <f t="shared" si="6"/>
        <v/>
      </c>
      <c r="X33" s="38"/>
      <c r="Y33" s="51" t="str">
        <f t="shared" si="7"/>
        <v/>
      </c>
      <c r="Z33" s="38"/>
      <c r="AA33" s="51" t="str">
        <f t="shared" si="19"/>
        <v/>
      </c>
      <c r="AB33" s="38"/>
      <c r="AC33" s="51" t="str">
        <f t="shared" si="8"/>
        <v/>
      </c>
      <c r="AD33" s="38"/>
      <c r="AE33" s="51" t="str">
        <f t="shared" si="9"/>
        <v/>
      </c>
      <c r="AF33" s="38"/>
      <c r="AG33" s="51" t="str">
        <f t="shared" si="10"/>
        <v/>
      </c>
      <c r="AH33" s="38"/>
      <c r="AI33" s="51" t="str">
        <f t="shared" si="11"/>
        <v/>
      </c>
      <c r="AJ33" s="38"/>
      <c r="AK33" s="51" t="str">
        <f t="shared" si="12"/>
        <v/>
      </c>
      <c r="AL33" s="38"/>
      <c r="AM33" s="51" t="str">
        <f t="shared" si="13"/>
        <v/>
      </c>
      <c r="AN33" s="38"/>
      <c r="AO33" s="51" t="str">
        <f t="shared" si="14"/>
        <v/>
      </c>
      <c r="AP33" s="38"/>
      <c r="AQ33" s="51" t="str">
        <f t="shared" si="15"/>
        <v/>
      </c>
      <c r="AR33" s="38"/>
      <c r="AS33" s="51" t="str">
        <f t="shared" si="16"/>
        <v/>
      </c>
      <c r="AT33" s="38"/>
      <c r="AU33" s="51" t="str">
        <f t="shared" si="17"/>
        <v/>
      </c>
      <c r="AV33" s="38"/>
      <c r="AW33" s="51" t="str">
        <f t="shared" si="18"/>
        <v/>
      </c>
      <c r="AX33" s="19" t="s">
        <v>132</v>
      </c>
    </row>
    <row r="34" spans="1:50" ht="20" customHeight="1" x14ac:dyDescent="0.2">
      <c r="A34" s="36"/>
      <c r="B34" s="95"/>
      <c r="D34" s="19" t="s">
        <v>133</v>
      </c>
      <c r="E34" s="19" t="s">
        <v>134</v>
      </c>
      <c r="F34" s="20">
        <v>2017</v>
      </c>
      <c r="H34" s="87">
        <v>124</v>
      </c>
      <c r="I34" s="88" t="s">
        <v>120</v>
      </c>
      <c r="J34" s="38"/>
      <c r="K34" s="51" t="str">
        <f t="shared" si="0"/>
        <v/>
      </c>
      <c r="L34" s="42"/>
      <c r="M34" s="51" t="str">
        <f t="shared" si="1"/>
        <v/>
      </c>
      <c r="N34" s="38"/>
      <c r="O34" s="51" t="str">
        <f t="shared" si="2"/>
        <v/>
      </c>
      <c r="P34" s="38"/>
      <c r="Q34" s="51" t="str">
        <f t="shared" si="3"/>
        <v/>
      </c>
      <c r="R34" s="38"/>
      <c r="S34" s="51" t="str">
        <f t="shared" si="4"/>
        <v/>
      </c>
      <c r="T34" s="38"/>
      <c r="U34" s="51" t="str">
        <f t="shared" si="20"/>
        <v/>
      </c>
      <c r="V34" s="38"/>
      <c r="W34" s="51" t="str">
        <f t="shared" si="6"/>
        <v/>
      </c>
      <c r="X34" s="38"/>
      <c r="Y34" s="51" t="str">
        <f t="shared" si="7"/>
        <v/>
      </c>
      <c r="Z34" s="38">
        <v>4</v>
      </c>
      <c r="AA34" s="51">
        <f t="shared" si="19"/>
        <v>3.225806451612903</v>
      </c>
      <c r="AB34" s="38"/>
      <c r="AC34" s="51" t="str">
        <f t="shared" si="8"/>
        <v/>
      </c>
      <c r="AD34" s="38"/>
      <c r="AE34" s="51" t="str">
        <f t="shared" si="9"/>
        <v/>
      </c>
      <c r="AF34" s="38"/>
      <c r="AG34" s="51" t="str">
        <f t="shared" si="10"/>
        <v/>
      </c>
      <c r="AH34" s="38"/>
      <c r="AI34" s="51" t="str">
        <f t="shared" si="11"/>
        <v/>
      </c>
      <c r="AJ34" s="38"/>
      <c r="AK34" s="51" t="str">
        <f t="shared" si="12"/>
        <v/>
      </c>
      <c r="AL34" s="38"/>
      <c r="AM34" s="51" t="str">
        <f t="shared" si="13"/>
        <v/>
      </c>
      <c r="AN34" s="38"/>
      <c r="AO34" s="51" t="str">
        <f t="shared" si="14"/>
        <v/>
      </c>
      <c r="AP34" s="38"/>
      <c r="AQ34" s="51" t="str">
        <f t="shared" si="15"/>
        <v/>
      </c>
      <c r="AR34" s="38"/>
      <c r="AS34" s="51" t="str">
        <f t="shared" si="16"/>
        <v/>
      </c>
      <c r="AT34" s="38"/>
      <c r="AU34" s="51" t="str">
        <f t="shared" si="17"/>
        <v/>
      </c>
      <c r="AV34" s="38"/>
      <c r="AW34" s="51" t="str">
        <f t="shared" si="18"/>
        <v/>
      </c>
    </row>
    <row r="35" spans="1:50" ht="20" customHeight="1" x14ac:dyDescent="0.2">
      <c r="A35" s="36"/>
      <c r="B35" s="94"/>
      <c r="D35" s="19" t="s">
        <v>135</v>
      </c>
      <c r="E35" s="19" t="s">
        <v>136</v>
      </c>
      <c r="F35" s="20">
        <v>2010</v>
      </c>
      <c r="G35" s="20">
        <v>61</v>
      </c>
      <c r="H35" s="87">
        <v>142</v>
      </c>
      <c r="I35" s="88"/>
      <c r="J35" s="38"/>
      <c r="K35" s="51" t="str">
        <f t="shared" si="0"/>
        <v/>
      </c>
      <c r="L35" s="42"/>
      <c r="M35" s="51" t="str">
        <f t="shared" si="1"/>
        <v/>
      </c>
      <c r="N35" s="38"/>
      <c r="O35" s="51" t="str">
        <f t="shared" si="2"/>
        <v/>
      </c>
      <c r="P35" s="38"/>
      <c r="Q35" s="51" t="str">
        <f t="shared" si="3"/>
        <v/>
      </c>
      <c r="R35" s="38"/>
      <c r="S35" s="51" t="str">
        <f t="shared" si="4"/>
        <v/>
      </c>
      <c r="T35" s="38"/>
      <c r="U35" s="51" t="str">
        <f t="shared" si="20"/>
        <v/>
      </c>
      <c r="V35" s="38"/>
      <c r="W35" s="51" t="str">
        <f t="shared" si="6"/>
        <v/>
      </c>
      <c r="X35" s="38">
        <v>19</v>
      </c>
      <c r="Y35" s="51">
        <f t="shared" si="7"/>
        <v>13.380281690140844</v>
      </c>
      <c r="Z35" s="38"/>
      <c r="AA35" s="51" t="str">
        <f t="shared" si="19"/>
        <v/>
      </c>
      <c r="AB35" s="38">
        <v>19</v>
      </c>
      <c r="AC35" s="51">
        <f t="shared" si="8"/>
        <v>13.380281690140844</v>
      </c>
      <c r="AD35" s="38"/>
      <c r="AE35" s="51" t="str">
        <f t="shared" si="9"/>
        <v/>
      </c>
      <c r="AF35" s="38">
        <v>16</v>
      </c>
      <c r="AG35" s="51">
        <f t="shared" si="10"/>
        <v>11.267605633802818</v>
      </c>
      <c r="AH35" s="38"/>
      <c r="AI35" s="51" t="str">
        <f t="shared" si="11"/>
        <v/>
      </c>
      <c r="AJ35" s="38"/>
      <c r="AK35" s="51" t="str">
        <f t="shared" si="12"/>
        <v/>
      </c>
      <c r="AL35" s="38"/>
      <c r="AM35" s="51" t="str">
        <f t="shared" si="13"/>
        <v/>
      </c>
      <c r="AN35" s="38"/>
      <c r="AO35" s="51" t="str">
        <f t="shared" si="14"/>
        <v/>
      </c>
      <c r="AP35" s="38"/>
      <c r="AQ35" s="51" t="str">
        <f t="shared" si="15"/>
        <v/>
      </c>
      <c r="AR35" s="38"/>
      <c r="AS35" s="51" t="str">
        <f t="shared" si="16"/>
        <v/>
      </c>
      <c r="AT35" s="38"/>
      <c r="AU35" s="51" t="str">
        <f t="shared" si="17"/>
        <v/>
      </c>
      <c r="AV35" s="38"/>
      <c r="AW35" s="51" t="str">
        <f t="shared" si="18"/>
        <v/>
      </c>
      <c r="AX35" s="19" t="s">
        <v>193</v>
      </c>
    </row>
    <row r="36" spans="1:50" ht="20" customHeight="1" x14ac:dyDescent="0.2">
      <c r="A36" s="33"/>
      <c r="D36" s="19" t="s">
        <v>173</v>
      </c>
      <c r="E36" s="19" t="s">
        <v>137</v>
      </c>
      <c r="F36" s="20">
        <v>2008</v>
      </c>
      <c r="G36" s="20">
        <v>78</v>
      </c>
      <c r="H36" s="87">
        <v>143</v>
      </c>
      <c r="I36" s="88"/>
      <c r="J36" s="38"/>
      <c r="K36" s="51" t="str">
        <f t="shared" si="0"/>
        <v/>
      </c>
      <c r="L36" s="42"/>
      <c r="M36" s="51" t="str">
        <f t="shared" si="1"/>
        <v/>
      </c>
      <c r="N36" s="38"/>
      <c r="O36" s="51" t="str">
        <f t="shared" si="2"/>
        <v/>
      </c>
      <c r="P36" s="38"/>
      <c r="Q36" s="51" t="str">
        <f t="shared" si="3"/>
        <v/>
      </c>
      <c r="R36" s="38"/>
      <c r="S36" s="51" t="str">
        <f t="shared" si="4"/>
        <v/>
      </c>
      <c r="T36" s="38"/>
      <c r="U36" s="51" t="str">
        <f t="shared" si="20"/>
        <v/>
      </c>
      <c r="V36" s="38"/>
      <c r="W36" s="51" t="str">
        <f t="shared" si="6"/>
        <v/>
      </c>
      <c r="X36" s="38"/>
      <c r="Y36" s="51" t="str">
        <f t="shared" si="7"/>
        <v/>
      </c>
      <c r="Z36" s="38"/>
      <c r="AA36" s="51" t="str">
        <f t="shared" si="19"/>
        <v/>
      </c>
      <c r="AB36" s="38"/>
      <c r="AC36" s="51" t="str">
        <f t="shared" si="8"/>
        <v/>
      </c>
      <c r="AD36" s="38"/>
      <c r="AE36" s="51" t="str">
        <f t="shared" si="9"/>
        <v/>
      </c>
      <c r="AF36" s="38"/>
      <c r="AG36" s="51" t="str">
        <f t="shared" si="10"/>
        <v/>
      </c>
      <c r="AH36" s="38"/>
      <c r="AI36" s="51" t="str">
        <f t="shared" si="11"/>
        <v/>
      </c>
      <c r="AJ36" s="38"/>
      <c r="AK36" s="51" t="str">
        <f t="shared" si="12"/>
        <v/>
      </c>
      <c r="AL36" s="38"/>
      <c r="AM36" s="51" t="str">
        <f t="shared" si="13"/>
        <v/>
      </c>
      <c r="AN36" s="38"/>
      <c r="AO36" s="51" t="str">
        <f t="shared" si="14"/>
        <v/>
      </c>
      <c r="AP36" s="38"/>
      <c r="AQ36" s="51" t="str">
        <f t="shared" si="15"/>
        <v/>
      </c>
      <c r="AR36" s="38"/>
      <c r="AS36" s="51" t="str">
        <f t="shared" si="16"/>
        <v/>
      </c>
      <c r="AT36" s="38"/>
      <c r="AU36" s="51" t="str">
        <f t="shared" si="17"/>
        <v/>
      </c>
      <c r="AV36" s="38"/>
      <c r="AW36" s="51" t="str">
        <f t="shared" si="18"/>
        <v/>
      </c>
      <c r="AX36" s="27" t="s">
        <v>195</v>
      </c>
    </row>
    <row r="37" spans="1:50" ht="20" customHeight="1" x14ac:dyDescent="0.2">
      <c r="A37" s="33"/>
      <c r="D37" s="19" t="s">
        <v>138</v>
      </c>
      <c r="E37" s="19" t="s">
        <v>139</v>
      </c>
      <c r="F37" s="20">
        <v>2017</v>
      </c>
      <c r="H37" s="87">
        <v>150</v>
      </c>
      <c r="I37" s="88"/>
      <c r="J37" s="38"/>
      <c r="K37" s="51" t="str">
        <f t="shared" si="0"/>
        <v/>
      </c>
      <c r="L37" s="42"/>
      <c r="M37" s="51" t="str">
        <f t="shared" si="1"/>
        <v/>
      </c>
      <c r="N37" s="38"/>
      <c r="O37" s="51" t="str">
        <f t="shared" si="2"/>
        <v/>
      </c>
      <c r="P37" s="39"/>
      <c r="Q37" s="51" t="str">
        <f t="shared" si="3"/>
        <v/>
      </c>
      <c r="R37" s="38"/>
      <c r="S37" s="51" t="str">
        <f t="shared" si="4"/>
        <v/>
      </c>
      <c r="T37" s="38"/>
      <c r="U37" s="51" t="str">
        <f t="shared" si="20"/>
        <v/>
      </c>
      <c r="V37" s="38"/>
      <c r="W37" s="51" t="str">
        <f t="shared" si="6"/>
        <v/>
      </c>
      <c r="X37" s="38"/>
      <c r="Y37" s="51" t="str">
        <f t="shared" si="7"/>
        <v/>
      </c>
      <c r="Z37" s="38"/>
      <c r="AA37" s="51" t="str">
        <f t="shared" si="19"/>
        <v/>
      </c>
      <c r="AB37" s="38"/>
      <c r="AC37" s="51" t="str">
        <f t="shared" si="8"/>
        <v/>
      </c>
      <c r="AD37" s="38"/>
      <c r="AE37" s="51" t="str">
        <f t="shared" si="9"/>
        <v/>
      </c>
      <c r="AF37" s="38"/>
      <c r="AG37" s="51" t="str">
        <f t="shared" si="10"/>
        <v/>
      </c>
      <c r="AH37" s="38"/>
      <c r="AI37" s="51" t="str">
        <f t="shared" si="11"/>
        <v/>
      </c>
      <c r="AJ37" s="38"/>
      <c r="AK37" s="51" t="str">
        <f t="shared" si="12"/>
        <v/>
      </c>
      <c r="AL37" s="38"/>
      <c r="AM37" s="51" t="str">
        <f t="shared" si="13"/>
        <v/>
      </c>
      <c r="AN37" s="38"/>
      <c r="AO37" s="51" t="str">
        <f t="shared" si="14"/>
        <v/>
      </c>
      <c r="AP37" s="38"/>
      <c r="AQ37" s="51" t="str">
        <f t="shared" si="15"/>
        <v/>
      </c>
      <c r="AR37" s="38"/>
      <c r="AS37" s="51" t="str">
        <f t="shared" si="16"/>
        <v/>
      </c>
      <c r="AT37" s="38"/>
      <c r="AU37" s="51" t="str">
        <f t="shared" si="17"/>
        <v/>
      </c>
      <c r="AV37" s="38"/>
      <c r="AW37" s="51" t="str">
        <f t="shared" si="18"/>
        <v/>
      </c>
      <c r="AX37" s="27" t="s">
        <v>78</v>
      </c>
    </row>
    <row r="38" spans="1:50" ht="20" customHeight="1" x14ac:dyDescent="0.2">
      <c r="A38" s="36"/>
      <c r="B38" s="94"/>
      <c r="D38" s="19" t="s">
        <v>196</v>
      </c>
      <c r="E38" s="19" t="s">
        <v>197</v>
      </c>
      <c r="F38" s="20">
        <v>2006</v>
      </c>
      <c r="H38" s="87">
        <v>9</v>
      </c>
      <c r="I38" s="88"/>
      <c r="J38" s="38"/>
      <c r="K38" s="51" t="str">
        <f t="shared" si="0"/>
        <v/>
      </c>
      <c r="L38" s="42">
        <v>13</v>
      </c>
      <c r="M38" s="51">
        <f t="shared" si="1"/>
        <v>144.44444444444443</v>
      </c>
      <c r="N38" s="38"/>
      <c r="O38" s="51" t="str">
        <f t="shared" si="2"/>
        <v/>
      </c>
      <c r="P38" s="38">
        <v>4</v>
      </c>
      <c r="Q38" s="51">
        <f t="shared" si="3"/>
        <v>44.444444444444443</v>
      </c>
      <c r="R38" s="38"/>
      <c r="S38" s="51" t="str">
        <f t="shared" si="4"/>
        <v/>
      </c>
      <c r="T38" s="38"/>
      <c r="U38" s="51" t="str">
        <f t="shared" si="20"/>
        <v/>
      </c>
      <c r="V38" s="38">
        <v>1</v>
      </c>
      <c r="W38" s="51">
        <f t="shared" si="6"/>
        <v>11.111111111111111</v>
      </c>
      <c r="X38" s="38">
        <v>1</v>
      </c>
      <c r="Y38" s="51">
        <f t="shared" si="7"/>
        <v>11.111111111111111</v>
      </c>
      <c r="Z38" s="38">
        <v>2</v>
      </c>
      <c r="AA38" s="51">
        <f t="shared" si="19"/>
        <v>22.222222222222221</v>
      </c>
      <c r="AB38" s="38"/>
      <c r="AC38" s="51" t="str">
        <f t="shared" si="8"/>
        <v/>
      </c>
      <c r="AD38" s="38"/>
      <c r="AE38" s="51" t="str">
        <f t="shared" si="9"/>
        <v/>
      </c>
      <c r="AF38" s="38"/>
      <c r="AG38" s="51" t="str">
        <f t="shared" si="10"/>
        <v/>
      </c>
      <c r="AH38" s="38"/>
      <c r="AI38" s="51" t="str">
        <f t="shared" si="11"/>
        <v/>
      </c>
      <c r="AJ38" s="38"/>
      <c r="AK38" s="51" t="str">
        <f t="shared" si="12"/>
        <v/>
      </c>
      <c r="AL38" s="38">
        <v>1</v>
      </c>
      <c r="AM38" s="51">
        <f t="shared" si="13"/>
        <v>11.111111111111111</v>
      </c>
      <c r="AN38" s="38">
        <v>1</v>
      </c>
      <c r="AO38" s="51">
        <f t="shared" si="14"/>
        <v>11.111111111111111</v>
      </c>
      <c r="AP38" s="38"/>
      <c r="AQ38" s="51" t="str">
        <f t="shared" si="15"/>
        <v/>
      </c>
      <c r="AR38" s="38"/>
      <c r="AS38" s="51" t="str">
        <f t="shared" si="16"/>
        <v/>
      </c>
      <c r="AT38" s="38"/>
      <c r="AU38" s="51" t="str">
        <f t="shared" si="17"/>
        <v/>
      </c>
      <c r="AV38" s="38"/>
      <c r="AW38" s="51" t="str">
        <f t="shared" si="18"/>
        <v/>
      </c>
      <c r="AX38" s="19" t="s">
        <v>242</v>
      </c>
    </row>
    <row r="39" spans="1:50" ht="20" customHeight="1" x14ac:dyDescent="0.2">
      <c r="A39" s="36"/>
      <c r="B39" s="94"/>
      <c r="D39" s="19" t="s">
        <v>140</v>
      </c>
      <c r="E39" s="19" t="s">
        <v>141</v>
      </c>
      <c r="F39" s="20">
        <v>2009</v>
      </c>
      <c r="G39" s="20">
        <v>31</v>
      </c>
      <c r="H39" s="87">
        <v>225</v>
      </c>
      <c r="I39" s="88"/>
      <c r="J39" s="38">
        <v>66</v>
      </c>
      <c r="K39" s="51">
        <f t="shared" si="0"/>
        <v>29.333333333333332</v>
      </c>
      <c r="L39" s="42">
        <v>152</v>
      </c>
      <c r="M39" s="51">
        <f t="shared" si="1"/>
        <v>67.555555555555557</v>
      </c>
      <c r="N39" s="38">
        <v>117</v>
      </c>
      <c r="O39" s="51">
        <f t="shared" si="2"/>
        <v>52</v>
      </c>
      <c r="P39" s="38"/>
      <c r="Q39" s="51" t="str">
        <f t="shared" si="3"/>
        <v/>
      </c>
      <c r="R39" s="38">
        <v>66</v>
      </c>
      <c r="S39" s="51">
        <f t="shared" si="4"/>
        <v>29.333333333333332</v>
      </c>
      <c r="T39" s="38"/>
      <c r="U39" s="51" t="str">
        <f t="shared" si="20"/>
        <v/>
      </c>
      <c r="V39" s="38"/>
      <c r="W39" s="51" t="str">
        <f t="shared" si="6"/>
        <v/>
      </c>
      <c r="X39" s="38">
        <v>65</v>
      </c>
      <c r="Y39" s="51">
        <f t="shared" si="7"/>
        <v>28.888888888888886</v>
      </c>
      <c r="Z39" s="38">
        <v>65</v>
      </c>
      <c r="AA39" s="51">
        <f t="shared" si="19"/>
        <v>28.888888888888886</v>
      </c>
      <c r="AB39" s="38"/>
      <c r="AC39" s="51" t="str">
        <f t="shared" si="8"/>
        <v/>
      </c>
      <c r="AD39" s="38">
        <v>59</v>
      </c>
      <c r="AE39" s="51">
        <f t="shared" si="9"/>
        <v>26.222222222222225</v>
      </c>
      <c r="AF39" s="38">
        <v>103</v>
      </c>
      <c r="AG39" s="51">
        <f t="shared" si="10"/>
        <v>45.777777777777779</v>
      </c>
      <c r="AH39" s="38">
        <v>20</v>
      </c>
      <c r="AI39" s="51">
        <f t="shared" si="11"/>
        <v>8.8888888888888893</v>
      </c>
      <c r="AJ39" s="38"/>
      <c r="AK39" s="51" t="str">
        <f t="shared" si="12"/>
        <v/>
      </c>
      <c r="AL39" s="38">
        <v>85</v>
      </c>
      <c r="AM39" s="51">
        <f t="shared" si="13"/>
        <v>37.777777777777779</v>
      </c>
      <c r="AN39" s="38"/>
      <c r="AO39" s="51" t="str">
        <f t="shared" si="14"/>
        <v/>
      </c>
      <c r="AP39" s="38"/>
      <c r="AQ39" s="51" t="str">
        <f t="shared" si="15"/>
        <v/>
      </c>
      <c r="AR39" s="38"/>
      <c r="AS39" s="51" t="str">
        <f t="shared" si="16"/>
        <v/>
      </c>
      <c r="AT39" s="38"/>
      <c r="AU39" s="51" t="str">
        <f t="shared" si="17"/>
        <v/>
      </c>
      <c r="AV39" s="38">
        <v>154</v>
      </c>
      <c r="AW39" s="51">
        <f t="shared" si="18"/>
        <v>68.444444444444443</v>
      </c>
      <c r="AX39" s="19" t="s">
        <v>244</v>
      </c>
    </row>
    <row r="40" spans="1:50" ht="20" customHeight="1" x14ac:dyDescent="0.2">
      <c r="A40" s="36"/>
      <c r="B40" s="94"/>
      <c r="D40" s="19" t="s">
        <v>143</v>
      </c>
      <c r="E40" s="19" t="s">
        <v>141</v>
      </c>
      <c r="F40" s="20">
        <v>2009</v>
      </c>
      <c r="G40" s="20">
        <v>6</v>
      </c>
      <c r="H40" s="87">
        <v>78</v>
      </c>
      <c r="I40" s="88"/>
      <c r="J40" s="38">
        <v>17</v>
      </c>
      <c r="K40" s="51">
        <f t="shared" si="0"/>
        <v>21.794871794871796</v>
      </c>
      <c r="L40" s="42">
        <v>50</v>
      </c>
      <c r="M40" s="51">
        <f t="shared" si="1"/>
        <v>64.102564102564102</v>
      </c>
      <c r="N40" s="38">
        <v>33</v>
      </c>
      <c r="O40" s="51">
        <f t="shared" si="2"/>
        <v>42.307692307692307</v>
      </c>
      <c r="P40" s="38"/>
      <c r="Q40" s="51" t="str">
        <f t="shared" si="3"/>
        <v/>
      </c>
      <c r="R40" s="38">
        <v>25</v>
      </c>
      <c r="S40" s="51">
        <f t="shared" si="4"/>
        <v>32.051282051282051</v>
      </c>
      <c r="T40" s="38"/>
      <c r="U40" s="51" t="str">
        <f t="shared" si="20"/>
        <v/>
      </c>
      <c r="V40" s="38"/>
      <c r="W40" s="51" t="str">
        <f t="shared" si="6"/>
        <v/>
      </c>
      <c r="X40" s="38">
        <v>34</v>
      </c>
      <c r="Y40" s="51">
        <f t="shared" si="7"/>
        <v>43.589743589743591</v>
      </c>
      <c r="Z40" s="38">
        <v>20</v>
      </c>
      <c r="AA40" s="51">
        <f t="shared" si="19"/>
        <v>25.641025641025639</v>
      </c>
      <c r="AB40" s="38"/>
      <c r="AC40" s="51" t="str">
        <f t="shared" si="8"/>
        <v/>
      </c>
      <c r="AD40" s="38">
        <v>10</v>
      </c>
      <c r="AE40" s="51">
        <f t="shared" si="9"/>
        <v>12.820512820512819</v>
      </c>
      <c r="AF40" s="38">
        <v>32</v>
      </c>
      <c r="AG40" s="51">
        <f t="shared" si="10"/>
        <v>41.025641025641022</v>
      </c>
      <c r="AH40" s="38">
        <v>7</v>
      </c>
      <c r="AI40" s="51">
        <f t="shared" si="11"/>
        <v>8.9743589743589745</v>
      </c>
      <c r="AJ40" s="38"/>
      <c r="AK40" s="51" t="str">
        <f t="shared" si="12"/>
        <v/>
      </c>
      <c r="AL40" s="38">
        <v>24</v>
      </c>
      <c r="AM40" s="51">
        <f t="shared" si="13"/>
        <v>30.76923076923077</v>
      </c>
      <c r="AN40" s="38"/>
      <c r="AO40" s="51" t="str">
        <f t="shared" si="14"/>
        <v/>
      </c>
      <c r="AP40" s="38"/>
      <c r="AQ40" s="51" t="str">
        <f t="shared" si="15"/>
        <v/>
      </c>
      <c r="AR40" s="38"/>
      <c r="AS40" s="51" t="str">
        <f t="shared" si="16"/>
        <v/>
      </c>
      <c r="AT40" s="38"/>
      <c r="AU40" s="51" t="str">
        <f t="shared" si="17"/>
        <v/>
      </c>
      <c r="AV40" s="38">
        <v>33</v>
      </c>
      <c r="AW40" s="51">
        <f t="shared" si="18"/>
        <v>42.307692307692307</v>
      </c>
      <c r="AX40" s="19" t="s">
        <v>240</v>
      </c>
    </row>
    <row r="41" spans="1:50" ht="20" customHeight="1" x14ac:dyDescent="0.2">
      <c r="A41" s="36"/>
      <c r="B41" s="35"/>
      <c r="D41" s="19" t="s">
        <v>145</v>
      </c>
      <c r="E41" s="19" t="s">
        <v>146</v>
      </c>
      <c r="F41" s="20">
        <v>1997</v>
      </c>
      <c r="G41" s="20">
        <v>94</v>
      </c>
      <c r="H41" s="87">
        <v>562</v>
      </c>
      <c r="I41" s="88"/>
      <c r="J41" s="38"/>
      <c r="K41" s="51" t="str">
        <f t="shared" si="0"/>
        <v/>
      </c>
      <c r="L41" s="42"/>
      <c r="M41" s="51" t="str">
        <f t="shared" si="1"/>
        <v/>
      </c>
      <c r="N41" s="38"/>
      <c r="O41" s="51" t="str">
        <f t="shared" si="2"/>
        <v/>
      </c>
      <c r="P41" s="38"/>
      <c r="Q41" s="51" t="str">
        <f t="shared" si="3"/>
        <v/>
      </c>
      <c r="R41" s="38"/>
      <c r="S41" s="51" t="str">
        <f t="shared" si="4"/>
        <v/>
      </c>
      <c r="T41" s="38"/>
      <c r="U41" s="51" t="str">
        <f t="shared" si="20"/>
        <v/>
      </c>
      <c r="V41" s="38"/>
      <c r="W41" s="51" t="str">
        <f t="shared" si="6"/>
        <v/>
      </c>
      <c r="X41" s="38"/>
      <c r="Y41" s="51" t="str">
        <f t="shared" si="7"/>
        <v/>
      </c>
      <c r="Z41" s="39"/>
      <c r="AA41" s="51" t="str">
        <f t="shared" si="19"/>
        <v/>
      </c>
      <c r="AB41" s="38"/>
      <c r="AC41" s="51" t="str">
        <f t="shared" si="8"/>
        <v/>
      </c>
      <c r="AD41" s="39"/>
      <c r="AE41" s="54" t="str">
        <f t="shared" si="9"/>
        <v/>
      </c>
      <c r="AF41" s="38"/>
      <c r="AG41" s="51" t="str">
        <f t="shared" si="10"/>
        <v/>
      </c>
      <c r="AH41" s="38"/>
      <c r="AI41" s="51" t="str">
        <f t="shared" si="11"/>
        <v/>
      </c>
      <c r="AJ41" s="38"/>
      <c r="AK41" s="51" t="str">
        <f t="shared" si="12"/>
        <v/>
      </c>
      <c r="AL41" s="38"/>
      <c r="AM41" s="51" t="str">
        <f t="shared" si="13"/>
        <v/>
      </c>
      <c r="AN41" s="38"/>
      <c r="AO41" s="51" t="str">
        <f t="shared" si="14"/>
        <v/>
      </c>
      <c r="AP41" s="38"/>
      <c r="AQ41" s="51" t="str">
        <f t="shared" si="15"/>
        <v/>
      </c>
      <c r="AR41" s="38"/>
      <c r="AS41" s="51" t="str">
        <f t="shared" si="16"/>
        <v/>
      </c>
      <c r="AT41" s="38"/>
      <c r="AU41" s="51" t="str">
        <f t="shared" si="17"/>
        <v/>
      </c>
      <c r="AV41" s="39"/>
      <c r="AW41" s="51" t="str">
        <f t="shared" si="18"/>
        <v/>
      </c>
    </row>
    <row r="42" spans="1:50" ht="20" customHeight="1" x14ac:dyDescent="0.2">
      <c r="A42" s="36"/>
      <c r="B42" s="94"/>
      <c r="D42" s="19" t="s">
        <v>147</v>
      </c>
      <c r="E42" s="19" t="s">
        <v>148</v>
      </c>
      <c r="F42" s="20">
        <v>2009</v>
      </c>
      <c r="G42" s="20">
        <v>38</v>
      </c>
      <c r="H42" s="87">
        <v>100</v>
      </c>
      <c r="I42" s="88"/>
      <c r="J42" s="38"/>
      <c r="K42" s="51" t="str">
        <f t="shared" si="0"/>
        <v/>
      </c>
      <c r="L42" s="42">
        <v>19</v>
      </c>
      <c r="M42" s="51">
        <f t="shared" si="1"/>
        <v>19</v>
      </c>
      <c r="N42" s="38">
        <v>11</v>
      </c>
      <c r="O42" s="51">
        <f t="shared" si="2"/>
        <v>11</v>
      </c>
      <c r="P42" s="38">
        <v>7</v>
      </c>
      <c r="Q42" s="51">
        <f t="shared" si="3"/>
        <v>7.0000000000000009</v>
      </c>
      <c r="R42" s="38">
        <v>7</v>
      </c>
      <c r="S42" s="51">
        <f t="shared" si="4"/>
        <v>7.0000000000000009</v>
      </c>
      <c r="T42" s="38"/>
      <c r="U42" s="51" t="str">
        <f t="shared" si="20"/>
        <v/>
      </c>
      <c r="V42" s="38">
        <v>9</v>
      </c>
      <c r="W42" s="51">
        <f t="shared" si="6"/>
        <v>9</v>
      </c>
      <c r="X42" s="38"/>
      <c r="Y42" s="51" t="str">
        <f t="shared" si="7"/>
        <v/>
      </c>
      <c r="Z42" s="38">
        <v>2</v>
      </c>
      <c r="AA42" s="51">
        <f t="shared" si="19"/>
        <v>2</v>
      </c>
      <c r="AB42" s="38"/>
      <c r="AC42" s="51" t="str">
        <f t="shared" si="8"/>
        <v/>
      </c>
      <c r="AD42" s="38">
        <v>3</v>
      </c>
      <c r="AE42" s="51">
        <f t="shared" si="9"/>
        <v>3</v>
      </c>
      <c r="AF42" s="38"/>
      <c r="AG42" s="51" t="str">
        <f t="shared" si="10"/>
        <v/>
      </c>
      <c r="AH42" s="38">
        <v>13</v>
      </c>
      <c r="AI42" s="51">
        <f t="shared" si="11"/>
        <v>13</v>
      </c>
      <c r="AJ42" s="38"/>
      <c r="AK42" s="51" t="str">
        <f t="shared" si="12"/>
        <v/>
      </c>
      <c r="AL42" s="38">
        <v>4</v>
      </c>
      <c r="AM42" s="51">
        <f t="shared" si="13"/>
        <v>4</v>
      </c>
      <c r="AN42" s="38"/>
      <c r="AO42" s="51" t="str">
        <f t="shared" si="14"/>
        <v/>
      </c>
      <c r="AP42" s="38"/>
      <c r="AQ42" s="51" t="str">
        <f t="shared" si="15"/>
        <v/>
      </c>
      <c r="AR42" s="38"/>
      <c r="AS42" s="51" t="str">
        <f t="shared" si="16"/>
        <v/>
      </c>
      <c r="AT42" s="38"/>
      <c r="AU42" s="51" t="str">
        <f t="shared" si="17"/>
        <v/>
      </c>
      <c r="AV42" s="38"/>
      <c r="AW42" s="51" t="str">
        <f t="shared" si="18"/>
        <v/>
      </c>
      <c r="AX42" s="19" t="s">
        <v>226</v>
      </c>
    </row>
    <row r="43" spans="1:50" ht="20" customHeight="1" x14ac:dyDescent="0.2">
      <c r="A43" s="36"/>
      <c r="B43" s="94"/>
      <c r="D43" s="19" t="s">
        <v>149</v>
      </c>
      <c r="E43" s="19" t="s">
        <v>150</v>
      </c>
      <c r="F43" s="20">
        <v>2006</v>
      </c>
      <c r="G43" s="20">
        <v>56</v>
      </c>
      <c r="H43" s="87">
        <v>500</v>
      </c>
      <c r="I43" s="88"/>
      <c r="J43" s="38"/>
      <c r="K43" s="51" t="str">
        <f t="shared" si="0"/>
        <v/>
      </c>
      <c r="L43" s="42">
        <v>9</v>
      </c>
      <c r="M43" s="51">
        <f t="shared" si="1"/>
        <v>1.7999999999999998</v>
      </c>
      <c r="N43" s="38"/>
      <c r="O43" s="51" t="str">
        <f t="shared" si="2"/>
        <v/>
      </c>
      <c r="P43" s="38">
        <v>2</v>
      </c>
      <c r="Q43" s="51">
        <f t="shared" si="3"/>
        <v>0.4</v>
      </c>
      <c r="R43" s="38">
        <v>1</v>
      </c>
      <c r="S43" s="51">
        <f t="shared" si="4"/>
        <v>0.2</v>
      </c>
      <c r="T43" s="38"/>
      <c r="U43" s="51" t="str">
        <f t="shared" si="20"/>
        <v/>
      </c>
      <c r="V43" s="38"/>
      <c r="W43" s="51" t="str">
        <f t="shared" si="6"/>
        <v/>
      </c>
      <c r="X43" s="38">
        <v>1</v>
      </c>
      <c r="Y43" s="51">
        <f t="shared" si="7"/>
        <v>0.2</v>
      </c>
      <c r="Z43" s="38">
        <v>6</v>
      </c>
      <c r="AA43" s="51">
        <f t="shared" si="19"/>
        <v>1.2</v>
      </c>
      <c r="AB43" s="38"/>
      <c r="AC43" s="51" t="str">
        <f t="shared" si="8"/>
        <v/>
      </c>
      <c r="AD43" s="38">
        <v>2</v>
      </c>
      <c r="AE43" s="51">
        <f t="shared" si="9"/>
        <v>0.4</v>
      </c>
      <c r="AF43" s="38">
        <v>1</v>
      </c>
      <c r="AG43" s="51">
        <f t="shared" si="10"/>
        <v>0.2</v>
      </c>
      <c r="AH43" s="38"/>
      <c r="AI43" s="51" t="str">
        <f t="shared" si="11"/>
        <v/>
      </c>
      <c r="AJ43" s="38"/>
      <c r="AK43" s="51" t="str">
        <f t="shared" si="12"/>
        <v/>
      </c>
      <c r="AL43" s="38"/>
      <c r="AM43" s="51" t="str">
        <f t="shared" si="13"/>
        <v/>
      </c>
      <c r="AN43" s="38">
        <v>2</v>
      </c>
      <c r="AO43" s="51">
        <f t="shared" si="14"/>
        <v>0.4</v>
      </c>
      <c r="AP43" s="38"/>
      <c r="AQ43" s="51" t="str">
        <f t="shared" si="15"/>
        <v/>
      </c>
      <c r="AR43" s="38">
        <v>10</v>
      </c>
      <c r="AS43" s="51">
        <f t="shared" si="16"/>
        <v>2</v>
      </c>
      <c r="AT43" s="38"/>
      <c r="AU43" s="51" t="str">
        <f t="shared" si="17"/>
        <v/>
      </c>
      <c r="AV43" s="38"/>
      <c r="AW43" s="51" t="str">
        <f t="shared" si="18"/>
        <v/>
      </c>
      <c r="AX43" s="19" t="s">
        <v>241</v>
      </c>
    </row>
    <row r="44" spans="1:50" ht="20" customHeight="1" x14ac:dyDescent="0.2">
      <c r="A44" s="33"/>
      <c r="B44" s="95"/>
      <c r="D44" s="19" t="s">
        <v>151</v>
      </c>
      <c r="E44" s="19" t="s">
        <v>152</v>
      </c>
      <c r="F44" s="20">
        <v>2016</v>
      </c>
      <c r="G44" s="20">
        <v>2</v>
      </c>
      <c r="H44" s="87">
        <v>177</v>
      </c>
      <c r="I44" s="88"/>
      <c r="J44" s="38"/>
      <c r="K44" s="51" t="str">
        <f t="shared" si="0"/>
        <v/>
      </c>
      <c r="L44" s="42"/>
      <c r="M44" s="51" t="str">
        <f t="shared" si="1"/>
        <v/>
      </c>
      <c r="N44" s="38"/>
      <c r="O44" s="51" t="str">
        <f t="shared" si="2"/>
        <v/>
      </c>
      <c r="P44" s="38"/>
      <c r="Q44" s="51" t="str">
        <f t="shared" si="3"/>
        <v/>
      </c>
      <c r="R44" s="38"/>
      <c r="S44" s="51" t="str">
        <f t="shared" si="4"/>
        <v/>
      </c>
      <c r="T44" s="38"/>
      <c r="U44" s="51" t="str">
        <f t="shared" si="20"/>
        <v/>
      </c>
      <c r="V44" s="38"/>
      <c r="W44" s="51" t="str">
        <f t="shared" si="6"/>
        <v/>
      </c>
      <c r="X44" s="38"/>
      <c r="Y44" s="51" t="str">
        <f t="shared" si="7"/>
        <v/>
      </c>
      <c r="Z44" s="38">
        <v>3</v>
      </c>
      <c r="AA44" s="51">
        <f t="shared" si="19"/>
        <v>1.6949152542372881</v>
      </c>
      <c r="AB44" s="38"/>
      <c r="AC44" s="51" t="str">
        <f t="shared" si="8"/>
        <v/>
      </c>
      <c r="AD44" s="38"/>
      <c r="AE44" s="51" t="str">
        <f t="shared" si="9"/>
        <v/>
      </c>
      <c r="AF44" s="38"/>
      <c r="AG44" s="51" t="str">
        <f t="shared" si="10"/>
        <v/>
      </c>
      <c r="AH44" s="38"/>
      <c r="AI44" s="51" t="str">
        <f t="shared" si="11"/>
        <v/>
      </c>
      <c r="AJ44" s="38"/>
      <c r="AK44" s="51" t="str">
        <f t="shared" si="12"/>
        <v/>
      </c>
      <c r="AL44" s="38"/>
      <c r="AM44" s="51" t="str">
        <f t="shared" si="13"/>
        <v/>
      </c>
      <c r="AN44" s="38"/>
      <c r="AO44" s="51" t="str">
        <f t="shared" si="14"/>
        <v/>
      </c>
      <c r="AP44" s="38"/>
      <c r="AQ44" s="51" t="str">
        <f t="shared" si="15"/>
        <v/>
      </c>
      <c r="AR44" s="38"/>
      <c r="AS44" s="51" t="str">
        <f t="shared" si="16"/>
        <v/>
      </c>
      <c r="AT44" s="38"/>
      <c r="AU44" s="51" t="str">
        <f t="shared" si="17"/>
        <v/>
      </c>
      <c r="AV44" s="38"/>
      <c r="AW44" s="51" t="str">
        <f t="shared" si="18"/>
        <v/>
      </c>
    </row>
    <row r="45" spans="1:50" ht="20" customHeight="1" x14ac:dyDescent="0.2">
      <c r="A45" s="36"/>
      <c r="B45" s="35"/>
      <c r="D45" s="19" t="s">
        <v>153</v>
      </c>
      <c r="E45" s="19" t="s">
        <v>154</v>
      </c>
      <c r="F45" s="20">
        <v>2009</v>
      </c>
      <c r="H45" s="87">
        <v>293</v>
      </c>
      <c r="I45" s="88" t="s">
        <v>204</v>
      </c>
      <c r="J45" s="38"/>
      <c r="K45" s="51" t="str">
        <f t="shared" si="0"/>
        <v/>
      </c>
      <c r="L45" s="42"/>
      <c r="M45" s="51" t="str">
        <f t="shared" si="1"/>
        <v/>
      </c>
      <c r="N45" s="38"/>
      <c r="O45" s="51" t="str">
        <f t="shared" si="2"/>
        <v/>
      </c>
      <c r="P45" s="38"/>
      <c r="Q45" s="51" t="str">
        <f t="shared" si="3"/>
        <v/>
      </c>
      <c r="R45" s="38"/>
      <c r="S45" s="51" t="str">
        <f t="shared" si="4"/>
        <v/>
      </c>
      <c r="T45" s="38"/>
      <c r="U45" s="51" t="str">
        <f t="shared" si="20"/>
        <v/>
      </c>
      <c r="V45" s="38">
        <v>1</v>
      </c>
      <c r="W45" s="51">
        <f t="shared" si="6"/>
        <v>0.34129692832764508</v>
      </c>
      <c r="X45" s="38">
        <v>5</v>
      </c>
      <c r="Y45" s="51">
        <f t="shared" si="7"/>
        <v>1.7064846416382253</v>
      </c>
      <c r="Z45" s="38">
        <v>6</v>
      </c>
      <c r="AA45" s="51">
        <f t="shared" si="19"/>
        <v>2.0477815699658701</v>
      </c>
      <c r="AB45" s="38">
        <v>2</v>
      </c>
      <c r="AC45" s="51">
        <f t="shared" si="8"/>
        <v>0.68259385665529015</v>
      </c>
      <c r="AD45" s="38"/>
      <c r="AE45" s="51" t="str">
        <f t="shared" si="9"/>
        <v/>
      </c>
      <c r="AF45" s="38">
        <v>2</v>
      </c>
      <c r="AG45" s="51">
        <f t="shared" si="10"/>
        <v>0.68259385665529015</v>
      </c>
      <c r="AH45" s="38">
        <v>1</v>
      </c>
      <c r="AI45" s="51">
        <f t="shared" si="11"/>
        <v>0.34129692832764508</v>
      </c>
      <c r="AJ45" s="38"/>
      <c r="AK45" s="51" t="str">
        <f t="shared" si="12"/>
        <v/>
      </c>
      <c r="AL45" s="38">
        <v>2</v>
      </c>
      <c r="AM45" s="51">
        <f t="shared" si="13"/>
        <v>0.68259385665529015</v>
      </c>
      <c r="AN45" s="38">
        <v>2</v>
      </c>
      <c r="AO45" s="51">
        <f t="shared" si="14"/>
        <v>0.68259385665529015</v>
      </c>
      <c r="AP45" s="38">
        <v>1</v>
      </c>
      <c r="AQ45" s="51">
        <f t="shared" si="15"/>
        <v>0.34129692832764508</v>
      </c>
      <c r="AR45" s="38">
        <v>1</v>
      </c>
      <c r="AS45" s="51">
        <f t="shared" si="16"/>
        <v>0.34129692832764508</v>
      </c>
      <c r="AT45" s="38">
        <v>1</v>
      </c>
      <c r="AU45" s="51">
        <f t="shared" si="17"/>
        <v>0.34129692832764508</v>
      </c>
      <c r="AV45" s="38"/>
      <c r="AW45" s="51" t="str">
        <f t="shared" si="18"/>
        <v/>
      </c>
    </row>
    <row r="46" spans="1:50" ht="20" customHeight="1" x14ac:dyDescent="0.2">
      <c r="A46" s="36"/>
      <c r="B46" s="95"/>
      <c r="D46" s="19" t="s">
        <v>155</v>
      </c>
      <c r="E46" s="19" t="s">
        <v>156</v>
      </c>
      <c r="F46" s="20">
        <v>2007</v>
      </c>
      <c r="G46" s="20">
        <v>34</v>
      </c>
      <c r="H46" s="87">
        <v>109</v>
      </c>
      <c r="I46" s="88" t="s">
        <v>120</v>
      </c>
      <c r="J46" s="38"/>
      <c r="K46" s="51" t="str">
        <f t="shared" si="0"/>
        <v/>
      </c>
      <c r="L46" s="42">
        <v>8</v>
      </c>
      <c r="M46" s="51">
        <f t="shared" si="1"/>
        <v>7.3394495412844041</v>
      </c>
      <c r="N46" s="38"/>
      <c r="O46" s="51" t="str">
        <f t="shared" si="2"/>
        <v/>
      </c>
      <c r="P46" s="38"/>
      <c r="Q46" s="51" t="str">
        <f t="shared" si="3"/>
        <v/>
      </c>
      <c r="R46" s="38"/>
      <c r="S46" s="51" t="str">
        <f t="shared" si="4"/>
        <v/>
      </c>
      <c r="T46" s="38">
        <v>1</v>
      </c>
      <c r="U46" s="51">
        <f t="shared" si="20"/>
        <v>0.91743119266055051</v>
      </c>
      <c r="V46" s="38"/>
      <c r="W46" s="51" t="str">
        <f t="shared" si="6"/>
        <v/>
      </c>
      <c r="X46" s="38"/>
      <c r="Y46" s="51" t="str">
        <f t="shared" si="7"/>
        <v/>
      </c>
      <c r="Z46" s="38">
        <v>3</v>
      </c>
      <c r="AA46" s="51">
        <f t="shared" si="19"/>
        <v>2.7522935779816518</v>
      </c>
      <c r="AB46" s="38"/>
      <c r="AC46" s="51" t="str">
        <f t="shared" si="8"/>
        <v/>
      </c>
      <c r="AD46" s="38">
        <v>4</v>
      </c>
      <c r="AE46" s="51">
        <f t="shared" si="9"/>
        <v>3.669724770642202</v>
      </c>
      <c r="AF46" s="38"/>
      <c r="AG46" s="51" t="str">
        <f t="shared" si="10"/>
        <v/>
      </c>
      <c r="AH46" s="38"/>
      <c r="AI46" s="51" t="str">
        <f t="shared" si="11"/>
        <v/>
      </c>
      <c r="AJ46" s="38">
        <v>4</v>
      </c>
      <c r="AK46" s="51">
        <f t="shared" si="12"/>
        <v>3.669724770642202</v>
      </c>
      <c r="AL46" s="38"/>
      <c r="AM46" s="51" t="str">
        <f t="shared" si="13"/>
        <v/>
      </c>
      <c r="AN46" s="38"/>
      <c r="AO46" s="51" t="str">
        <f t="shared" si="14"/>
        <v/>
      </c>
      <c r="AP46" s="38"/>
      <c r="AQ46" s="51" t="str">
        <f t="shared" si="15"/>
        <v/>
      </c>
      <c r="AR46" s="38"/>
      <c r="AS46" s="51" t="str">
        <f t="shared" si="16"/>
        <v/>
      </c>
      <c r="AT46" s="38"/>
      <c r="AU46" s="51" t="str">
        <f t="shared" si="17"/>
        <v/>
      </c>
      <c r="AV46" s="38"/>
      <c r="AW46" s="51" t="str">
        <f t="shared" si="18"/>
        <v/>
      </c>
      <c r="AX46" s="19" t="s">
        <v>207</v>
      </c>
    </row>
    <row r="47" spans="1:50" ht="20" customHeight="1" x14ac:dyDescent="0.2">
      <c r="A47" s="36"/>
      <c r="B47" s="95"/>
      <c r="D47" s="19" t="s">
        <v>157</v>
      </c>
      <c r="E47" s="19" t="s">
        <v>158</v>
      </c>
      <c r="F47" s="20">
        <v>2010</v>
      </c>
      <c r="G47" s="20">
        <v>50</v>
      </c>
      <c r="H47" s="87">
        <v>56</v>
      </c>
      <c r="I47" s="88"/>
      <c r="J47" s="38"/>
      <c r="K47" s="51" t="str">
        <f t="shared" si="0"/>
        <v/>
      </c>
      <c r="L47" s="42"/>
      <c r="M47" s="51" t="str">
        <f t="shared" si="1"/>
        <v/>
      </c>
      <c r="N47" s="38"/>
      <c r="O47" s="51" t="str">
        <f t="shared" si="2"/>
        <v/>
      </c>
      <c r="P47" s="38"/>
      <c r="Q47" s="51" t="str">
        <f t="shared" si="3"/>
        <v/>
      </c>
      <c r="R47" s="38"/>
      <c r="S47" s="51" t="str">
        <f t="shared" si="4"/>
        <v/>
      </c>
      <c r="T47" s="38"/>
      <c r="U47" s="51" t="str">
        <f t="shared" si="20"/>
        <v/>
      </c>
      <c r="V47" s="38"/>
      <c r="W47" s="51" t="str">
        <f t="shared" si="6"/>
        <v/>
      </c>
      <c r="X47" s="38"/>
      <c r="Y47" s="51" t="str">
        <f t="shared" si="7"/>
        <v/>
      </c>
      <c r="Z47" s="38">
        <v>2</v>
      </c>
      <c r="AA47" s="51">
        <f t="shared" si="19"/>
        <v>3.5714285714285712</v>
      </c>
      <c r="AB47" s="38"/>
      <c r="AC47" s="51" t="str">
        <f t="shared" si="8"/>
        <v/>
      </c>
      <c r="AD47" s="38"/>
      <c r="AE47" s="51" t="str">
        <f t="shared" si="9"/>
        <v/>
      </c>
      <c r="AF47" s="38"/>
      <c r="AG47" s="51" t="str">
        <f t="shared" si="10"/>
        <v/>
      </c>
      <c r="AH47" s="38"/>
      <c r="AI47" s="51" t="str">
        <f t="shared" si="11"/>
        <v/>
      </c>
      <c r="AJ47" s="38"/>
      <c r="AK47" s="51" t="str">
        <f t="shared" si="12"/>
        <v/>
      </c>
      <c r="AL47" s="38"/>
      <c r="AM47" s="51" t="str">
        <f t="shared" si="13"/>
        <v/>
      </c>
      <c r="AN47" s="38"/>
      <c r="AO47" s="51" t="str">
        <f t="shared" si="14"/>
        <v/>
      </c>
      <c r="AP47" s="38"/>
      <c r="AQ47" s="51" t="str">
        <f t="shared" si="15"/>
        <v/>
      </c>
      <c r="AR47" s="38"/>
      <c r="AS47" s="51" t="str">
        <f t="shared" si="16"/>
        <v/>
      </c>
      <c r="AT47" s="38"/>
      <c r="AU47" s="51" t="str">
        <f t="shared" si="17"/>
        <v/>
      </c>
      <c r="AV47" s="38"/>
      <c r="AW47" s="51" t="str">
        <f t="shared" si="18"/>
        <v/>
      </c>
    </row>
    <row r="48" spans="1:50" ht="20" customHeight="1" x14ac:dyDescent="0.2">
      <c r="A48" s="33"/>
      <c r="D48" s="19" t="s">
        <v>159</v>
      </c>
      <c r="E48" s="19" t="s">
        <v>160</v>
      </c>
      <c r="F48" s="20">
        <v>2011</v>
      </c>
      <c r="G48" s="20">
        <v>33</v>
      </c>
      <c r="H48" s="87">
        <v>130</v>
      </c>
      <c r="I48" s="88" t="s">
        <v>208</v>
      </c>
      <c r="J48" s="38"/>
      <c r="K48" s="51" t="str">
        <f t="shared" si="0"/>
        <v/>
      </c>
      <c r="L48" s="42"/>
      <c r="M48" s="51" t="str">
        <f t="shared" si="1"/>
        <v/>
      </c>
      <c r="N48" s="38"/>
      <c r="O48" s="51" t="str">
        <f t="shared" si="2"/>
        <v/>
      </c>
      <c r="P48" s="38"/>
      <c r="Q48" s="51" t="str">
        <f t="shared" si="3"/>
        <v/>
      </c>
      <c r="R48" s="38"/>
      <c r="S48" s="51" t="str">
        <f t="shared" si="4"/>
        <v/>
      </c>
      <c r="T48" s="38"/>
      <c r="U48" s="51" t="str">
        <f t="shared" si="20"/>
        <v/>
      </c>
      <c r="V48" s="38"/>
      <c r="W48" s="51" t="str">
        <f t="shared" si="6"/>
        <v/>
      </c>
      <c r="X48" s="38"/>
      <c r="Y48" s="51" t="str">
        <f t="shared" si="7"/>
        <v/>
      </c>
      <c r="Z48" s="39"/>
      <c r="AA48" s="51" t="str">
        <f t="shared" si="19"/>
        <v/>
      </c>
      <c r="AB48" s="38"/>
      <c r="AC48" s="51" t="str">
        <f t="shared" si="8"/>
        <v/>
      </c>
      <c r="AD48" s="38"/>
      <c r="AE48" s="51" t="str">
        <f t="shared" si="9"/>
        <v/>
      </c>
      <c r="AF48" s="38"/>
      <c r="AG48" s="51" t="str">
        <f t="shared" si="10"/>
        <v/>
      </c>
      <c r="AH48" s="38"/>
      <c r="AI48" s="51" t="str">
        <f t="shared" si="11"/>
        <v/>
      </c>
      <c r="AJ48" s="38"/>
      <c r="AK48" s="51" t="str">
        <f t="shared" si="12"/>
        <v/>
      </c>
      <c r="AL48" s="38"/>
      <c r="AM48" s="51" t="str">
        <f t="shared" si="13"/>
        <v/>
      </c>
      <c r="AN48" s="38"/>
      <c r="AO48" s="51" t="str">
        <f t="shared" si="14"/>
        <v/>
      </c>
      <c r="AP48" s="38"/>
      <c r="AQ48" s="51" t="str">
        <f t="shared" si="15"/>
        <v/>
      </c>
      <c r="AR48" s="38"/>
      <c r="AS48" s="51" t="str">
        <f t="shared" si="16"/>
        <v/>
      </c>
      <c r="AT48" s="38"/>
      <c r="AU48" s="51" t="str">
        <f t="shared" si="17"/>
        <v/>
      </c>
      <c r="AV48" s="38"/>
      <c r="AW48" s="51" t="str">
        <f t="shared" si="18"/>
        <v/>
      </c>
      <c r="AX48" s="27" t="s">
        <v>209</v>
      </c>
    </row>
    <row r="49" spans="1:50" ht="20" customHeight="1" x14ac:dyDescent="0.2">
      <c r="A49" s="36"/>
      <c r="B49" s="35"/>
      <c r="D49" s="19" t="s">
        <v>161</v>
      </c>
      <c r="E49" s="19" t="s">
        <v>162</v>
      </c>
      <c r="F49" s="20">
        <v>2014</v>
      </c>
      <c r="G49" s="20">
        <v>9</v>
      </c>
      <c r="H49" s="87">
        <v>1109</v>
      </c>
      <c r="I49" s="88" t="s">
        <v>163</v>
      </c>
      <c r="J49" s="38"/>
      <c r="K49" s="51" t="str">
        <f t="shared" si="0"/>
        <v/>
      </c>
      <c r="L49" s="42"/>
      <c r="M49" s="51" t="str">
        <f t="shared" si="1"/>
        <v/>
      </c>
      <c r="N49" s="38"/>
      <c r="O49" s="51" t="str">
        <f t="shared" si="2"/>
        <v/>
      </c>
      <c r="P49" s="38"/>
      <c r="Q49" s="51" t="str">
        <f t="shared" si="3"/>
        <v/>
      </c>
      <c r="R49" s="38"/>
      <c r="S49" s="51" t="str">
        <f t="shared" si="4"/>
        <v/>
      </c>
      <c r="T49" s="38"/>
      <c r="U49" s="51" t="str">
        <f t="shared" si="20"/>
        <v/>
      </c>
      <c r="V49" s="38"/>
      <c r="W49" s="51" t="str">
        <f t="shared" si="6"/>
        <v/>
      </c>
      <c r="X49" s="38"/>
      <c r="Y49" s="51" t="str">
        <f t="shared" si="7"/>
        <v/>
      </c>
      <c r="Z49" s="38">
        <v>21</v>
      </c>
      <c r="AA49" s="51">
        <f t="shared" si="19"/>
        <v>1.8935978358881875</v>
      </c>
      <c r="AB49" s="38"/>
      <c r="AC49" s="51" t="str">
        <f t="shared" si="8"/>
        <v/>
      </c>
      <c r="AD49" s="38"/>
      <c r="AE49" s="51" t="str">
        <f t="shared" si="9"/>
        <v/>
      </c>
      <c r="AF49" s="38"/>
      <c r="AG49" s="51" t="str">
        <f t="shared" si="10"/>
        <v/>
      </c>
      <c r="AH49" s="38"/>
      <c r="AI49" s="51" t="str">
        <f t="shared" si="11"/>
        <v/>
      </c>
      <c r="AJ49" s="38">
        <v>38</v>
      </c>
      <c r="AK49" s="51">
        <f t="shared" si="12"/>
        <v>3.4265103697024344</v>
      </c>
      <c r="AL49" s="38"/>
      <c r="AM49" s="51" t="str">
        <f t="shared" si="13"/>
        <v/>
      </c>
      <c r="AN49" s="38"/>
      <c r="AO49" s="51" t="str">
        <f t="shared" si="14"/>
        <v/>
      </c>
      <c r="AP49" s="38"/>
      <c r="AQ49" s="51" t="str">
        <f t="shared" si="15"/>
        <v/>
      </c>
      <c r="AR49" s="38"/>
      <c r="AS49" s="51" t="str">
        <f t="shared" si="16"/>
        <v/>
      </c>
      <c r="AT49" s="38"/>
      <c r="AU49" s="51" t="str">
        <f t="shared" si="17"/>
        <v/>
      </c>
      <c r="AV49" s="38"/>
      <c r="AW49" s="51" t="str">
        <f t="shared" si="18"/>
        <v/>
      </c>
      <c r="AX49" s="19" t="s">
        <v>164</v>
      </c>
    </row>
    <row r="50" spans="1:50" ht="20" customHeight="1" x14ac:dyDescent="0.2">
      <c r="A50" s="33"/>
      <c r="D50" s="19" t="s">
        <v>165</v>
      </c>
      <c r="E50" s="19" t="s">
        <v>166</v>
      </c>
      <c r="F50" s="20">
        <v>2014</v>
      </c>
      <c r="G50" s="20">
        <v>4</v>
      </c>
      <c r="H50" s="87">
        <v>1109</v>
      </c>
      <c r="I50" s="88"/>
      <c r="J50" s="38"/>
      <c r="K50" s="51" t="str">
        <f t="shared" si="0"/>
        <v/>
      </c>
      <c r="L50" s="42"/>
      <c r="M50" s="51" t="str">
        <f t="shared" si="1"/>
        <v/>
      </c>
      <c r="N50" s="38"/>
      <c r="O50" s="51" t="str">
        <f t="shared" si="2"/>
        <v/>
      </c>
      <c r="P50" s="38"/>
      <c r="Q50" s="51" t="str">
        <f t="shared" si="3"/>
        <v/>
      </c>
      <c r="R50" s="38"/>
      <c r="S50" s="51" t="str">
        <f t="shared" si="4"/>
        <v/>
      </c>
      <c r="T50" s="38"/>
      <c r="U50" s="51" t="str">
        <f t="shared" si="20"/>
        <v/>
      </c>
      <c r="V50" s="38"/>
      <c r="W50" s="51" t="str">
        <f t="shared" si="6"/>
        <v/>
      </c>
      <c r="X50" s="38"/>
      <c r="Y50" s="51" t="str">
        <f t="shared" si="7"/>
        <v/>
      </c>
      <c r="Z50" s="38">
        <v>99</v>
      </c>
      <c r="AA50" s="51">
        <f t="shared" si="19"/>
        <v>8.9269612263300271</v>
      </c>
      <c r="AB50" s="38"/>
      <c r="AC50" s="51" t="str">
        <f t="shared" si="8"/>
        <v/>
      </c>
      <c r="AD50" s="38"/>
      <c r="AE50" s="51" t="str">
        <f t="shared" si="9"/>
        <v/>
      </c>
      <c r="AF50" s="38"/>
      <c r="AG50" s="51" t="str">
        <f t="shared" si="10"/>
        <v/>
      </c>
      <c r="AH50" s="38"/>
      <c r="AI50" s="51" t="str">
        <f t="shared" si="11"/>
        <v/>
      </c>
      <c r="AJ50" s="38"/>
      <c r="AK50" s="51" t="str">
        <f t="shared" si="12"/>
        <v/>
      </c>
      <c r="AL50" s="38"/>
      <c r="AM50" s="51" t="str">
        <f t="shared" si="13"/>
        <v/>
      </c>
      <c r="AN50" s="38"/>
      <c r="AO50" s="51" t="str">
        <f t="shared" si="14"/>
        <v/>
      </c>
      <c r="AP50" s="38"/>
      <c r="AQ50" s="51" t="str">
        <f t="shared" si="15"/>
        <v/>
      </c>
      <c r="AR50" s="38"/>
      <c r="AS50" s="51" t="str">
        <f t="shared" si="16"/>
        <v/>
      </c>
      <c r="AT50" s="38"/>
      <c r="AU50" s="51" t="str">
        <f t="shared" si="17"/>
        <v/>
      </c>
      <c r="AV50" s="38"/>
      <c r="AW50" s="51" t="str">
        <f t="shared" si="18"/>
        <v/>
      </c>
      <c r="AX50" s="19" t="s">
        <v>167</v>
      </c>
    </row>
    <row r="51" spans="1:50" ht="20" customHeight="1" x14ac:dyDescent="0.2">
      <c r="A51" s="33"/>
      <c r="B51" s="95"/>
      <c r="D51" s="19" t="s">
        <v>168</v>
      </c>
      <c r="E51" s="19" t="s">
        <v>169</v>
      </c>
      <c r="F51" s="20">
        <v>2005</v>
      </c>
      <c r="G51" s="20">
        <v>36</v>
      </c>
      <c r="H51" s="87">
        <v>11</v>
      </c>
      <c r="I51" s="88"/>
      <c r="J51" s="38"/>
      <c r="K51" s="51" t="str">
        <f t="shared" si="0"/>
        <v/>
      </c>
      <c r="L51" s="42"/>
      <c r="M51" s="51" t="str">
        <f t="shared" si="1"/>
        <v/>
      </c>
      <c r="N51" s="38"/>
      <c r="O51" s="51" t="str">
        <f t="shared" si="2"/>
        <v/>
      </c>
      <c r="P51" s="38"/>
      <c r="Q51" s="51" t="str">
        <f t="shared" si="3"/>
        <v/>
      </c>
      <c r="R51" s="38"/>
      <c r="S51" s="51" t="str">
        <f t="shared" si="4"/>
        <v/>
      </c>
      <c r="T51" s="38"/>
      <c r="U51" s="51" t="str">
        <f t="shared" si="20"/>
        <v/>
      </c>
      <c r="V51" s="38"/>
      <c r="W51" s="51" t="str">
        <f t="shared" si="6"/>
        <v/>
      </c>
      <c r="X51" s="38"/>
      <c r="Y51" s="51" t="str">
        <f t="shared" si="7"/>
        <v/>
      </c>
      <c r="Z51" s="38">
        <v>11</v>
      </c>
      <c r="AA51" s="51">
        <f t="shared" si="19"/>
        <v>100</v>
      </c>
      <c r="AB51" s="38"/>
      <c r="AC51" s="51" t="str">
        <f t="shared" si="8"/>
        <v/>
      </c>
      <c r="AD51" s="38"/>
      <c r="AE51" s="51" t="str">
        <f t="shared" si="9"/>
        <v/>
      </c>
      <c r="AF51" s="38"/>
      <c r="AG51" s="51" t="str">
        <f t="shared" si="10"/>
        <v/>
      </c>
      <c r="AH51" s="38"/>
      <c r="AI51" s="51" t="str">
        <f t="shared" si="11"/>
        <v/>
      </c>
      <c r="AJ51" s="38">
        <v>4</v>
      </c>
      <c r="AK51" s="51">
        <f t="shared" si="12"/>
        <v>36.363636363636367</v>
      </c>
      <c r="AL51" s="38"/>
      <c r="AM51" s="51" t="str">
        <f t="shared" si="13"/>
        <v/>
      </c>
      <c r="AN51" s="38"/>
      <c r="AO51" s="51" t="str">
        <f t="shared" si="14"/>
        <v/>
      </c>
      <c r="AP51" s="38"/>
      <c r="AQ51" s="51" t="str">
        <f t="shared" si="15"/>
        <v/>
      </c>
      <c r="AR51" s="38"/>
      <c r="AS51" s="51" t="str">
        <f t="shared" si="16"/>
        <v/>
      </c>
      <c r="AT51" s="38"/>
      <c r="AU51" s="51" t="str">
        <f t="shared" si="17"/>
        <v/>
      </c>
      <c r="AV51" s="38"/>
      <c r="AW51" s="51" t="str">
        <f t="shared" si="18"/>
        <v/>
      </c>
      <c r="AX51" s="27" t="s">
        <v>78</v>
      </c>
    </row>
    <row r="52" spans="1:50" ht="20" customHeight="1" thickBot="1" x14ac:dyDescent="0.25">
      <c r="A52" s="33"/>
      <c r="D52" s="19" t="s">
        <v>170</v>
      </c>
      <c r="E52" s="19" t="s">
        <v>171</v>
      </c>
      <c r="F52" s="20">
        <v>2014</v>
      </c>
      <c r="H52" s="91">
        <v>3</v>
      </c>
      <c r="I52" s="92"/>
      <c r="J52" s="40"/>
      <c r="K52" s="52" t="str">
        <f t="shared" si="0"/>
        <v/>
      </c>
      <c r="L52" s="43"/>
      <c r="M52" s="52" t="str">
        <f t="shared" si="1"/>
        <v/>
      </c>
      <c r="N52" s="40"/>
      <c r="O52" s="52" t="str">
        <f t="shared" si="2"/>
        <v/>
      </c>
      <c r="P52" s="40"/>
      <c r="Q52" s="52" t="str">
        <f t="shared" si="3"/>
        <v/>
      </c>
      <c r="R52" s="40"/>
      <c r="S52" s="52" t="str">
        <f t="shared" si="4"/>
        <v/>
      </c>
      <c r="T52" s="40"/>
      <c r="U52" s="52" t="str">
        <f t="shared" si="20"/>
        <v/>
      </c>
      <c r="V52" s="40"/>
      <c r="W52" s="52" t="str">
        <f t="shared" si="6"/>
        <v/>
      </c>
      <c r="X52" s="40"/>
      <c r="Y52" s="52" t="str">
        <f t="shared" si="7"/>
        <v/>
      </c>
      <c r="Z52" s="40"/>
      <c r="AA52" s="41" t="str">
        <f t="shared" si="19"/>
        <v/>
      </c>
      <c r="AB52" s="40"/>
      <c r="AC52" s="52" t="str">
        <f t="shared" si="8"/>
        <v/>
      </c>
      <c r="AD52" s="40"/>
      <c r="AE52" s="52" t="str">
        <f t="shared" si="9"/>
        <v/>
      </c>
      <c r="AF52" s="40"/>
      <c r="AG52" s="52" t="str">
        <f t="shared" si="10"/>
        <v/>
      </c>
      <c r="AH52" s="40"/>
      <c r="AI52" s="52" t="str">
        <f t="shared" si="11"/>
        <v/>
      </c>
      <c r="AJ52" s="40"/>
      <c r="AK52" s="41" t="str">
        <f t="shared" si="12"/>
        <v/>
      </c>
      <c r="AL52" s="40"/>
      <c r="AM52" s="52" t="str">
        <f t="shared" si="13"/>
        <v/>
      </c>
      <c r="AN52" s="40"/>
      <c r="AO52" s="52" t="str">
        <f t="shared" si="14"/>
        <v/>
      </c>
      <c r="AP52" s="40"/>
      <c r="AQ52" s="52" t="str">
        <f t="shared" si="15"/>
        <v/>
      </c>
      <c r="AR52" s="40"/>
      <c r="AS52" s="52" t="str">
        <f t="shared" si="16"/>
        <v/>
      </c>
      <c r="AT52" s="40"/>
      <c r="AU52" s="52" t="str">
        <f t="shared" si="17"/>
        <v/>
      </c>
      <c r="AV52" s="40"/>
      <c r="AW52" s="52" t="str">
        <f t="shared" si="18"/>
        <v/>
      </c>
      <c r="AX52" s="27" t="s">
        <v>78</v>
      </c>
    </row>
    <row r="53" spans="1:50" x14ac:dyDescent="0.2">
      <c r="H53" s="19"/>
      <c r="I53" s="19"/>
      <c r="J53" s="19"/>
      <c r="K53" s="19"/>
      <c r="L53" s="19"/>
      <c r="M53" s="19"/>
      <c r="N53" s="19"/>
      <c r="O53" s="19"/>
      <c r="P53" s="19"/>
      <c r="Q53" s="19"/>
      <c r="R53" s="19"/>
      <c r="S53" s="19"/>
      <c r="T53" s="19"/>
      <c r="U53" s="19"/>
      <c r="V53" s="19"/>
      <c r="W53" s="19"/>
      <c r="X53" s="19"/>
      <c r="Y53" s="19"/>
      <c r="Z53" s="19"/>
      <c r="AA53" s="53"/>
      <c r="AB53" s="19"/>
      <c r="AC53" s="19"/>
      <c r="AD53" s="19"/>
      <c r="AE53" s="19"/>
      <c r="AF53" s="19"/>
      <c r="AG53" s="19"/>
      <c r="AH53" s="19"/>
      <c r="AI53" s="19"/>
      <c r="AJ53" s="19"/>
      <c r="AK53" s="19"/>
      <c r="AL53" s="19"/>
      <c r="AM53" s="19"/>
      <c r="AN53" s="19"/>
      <c r="AO53" s="19"/>
      <c r="AP53" s="19"/>
      <c r="AQ53" s="19"/>
      <c r="AR53" s="19"/>
      <c r="AS53" s="19"/>
      <c r="AT53" s="19"/>
      <c r="AU53" s="19"/>
      <c r="AV53" s="19"/>
      <c r="AW53" s="19"/>
    </row>
    <row r="54" spans="1:50" ht="17" thickBot="1" x14ac:dyDescent="0.25">
      <c r="K54" s="20"/>
      <c r="AA54" s="50"/>
    </row>
    <row r="55" spans="1:50" x14ac:dyDescent="0.2">
      <c r="D55" s="155" t="s">
        <v>216</v>
      </c>
      <c r="E55" s="155"/>
      <c r="F55" s="155"/>
      <c r="G55" s="156"/>
      <c r="H55" s="61">
        <f>SUM(H12:H52) - (H23 + H25)</f>
        <v>8053</v>
      </c>
      <c r="I55" s="62" t="s">
        <v>211</v>
      </c>
      <c r="J55" s="63">
        <f>IF((SUM(J12:J52)&lt;&gt;0),SUMIF($H12:$H52, "&gt;0", J12:J52), "")</f>
        <v>85</v>
      </c>
      <c r="K55" s="64">
        <f>IF(ISERROR((J55/$H55)*100), "", IF(((J55/$H55)*100) &lt;&gt; 0, (J55/$H55)*100, ""))</f>
        <v>1.0555072643735255</v>
      </c>
      <c r="L55" s="70">
        <f>IF((SUM(L12:L52)&lt;&gt;0),SUMIF($H12:$H52, "&gt;0", L12:L52), "")</f>
        <v>262</v>
      </c>
      <c r="M55" s="71">
        <f>IF(ISERROR((L55/$H55)*100), "", IF(((L55/$H55)*100) &lt;&gt; 0, (L55/$H55)*100, ""))</f>
        <v>3.2534459207748667</v>
      </c>
      <c r="N55" s="65">
        <f>IF((SUM(N12:N52)&lt;&gt;0),SUMIF($H12:$H52, "&gt;0", N12:N52), "")</f>
        <v>165</v>
      </c>
      <c r="O55" s="66">
        <f>IF(ISERROR((N55/$H55)*100), "", IF(((N55/$H55)*100) &lt;&gt; 0, (N55/$H55)*100, ""))</f>
        <v>2.0489258661368437</v>
      </c>
      <c r="P55" s="65">
        <f>IF((SUM(P12:P52)&lt;&gt;0),SUMIF($H12:$H52, "&gt;0", P12:P52), "")</f>
        <v>13</v>
      </c>
      <c r="Q55" s="66">
        <f>IF(ISERROR((P55/$H55)*100), "", IF(((P55/$H55)*100) &lt;&gt; 0, (P55/$H55)*100, ""))</f>
        <v>0.16143052278653919</v>
      </c>
      <c r="R55" s="65">
        <f>IF((SUM(R12:R52)&lt;&gt;0),SUMIF($H12:$H52, "&gt;0", R12:R52), "")</f>
        <v>99</v>
      </c>
      <c r="S55" s="66">
        <f>IF(ISERROR((R55/$H55)*100), "", IF(((R55/$H55)*100) &lt;&gt; 0, (R55/$H55)*100, ""))</f>
        <v>1.229355519682106</v>
      </c>
      <c r="T55" s="63">
        <f>IF((SUM(T12:T52)&lt;&gt;0),SUMIF($H12:$H52, "&gt;0", T12:T52), "")</f>
        <v>17</v>
      </c>
      <c r="U55" s="64">
        <f>IF(ISERROR((T55/$H55)*100), "", IF(((T55/$H55)*100) &lt;&gt; 0, (T55/$H55)*100, ""))</f>
        <v>0.21110145287470511</v>
      </c>
      <c r="V55" s="65">
        <f>IF((SUM(V12:V52)&lt;&gt;0),SUMIF($H12:$H52, "&gt;0", V12:V52), "")</f>
        <v>24</v>
      </c>
      <c r="W55" s="66">
        <f>IF(ISERROR((V55/$H55)*100), "", IF(((V55/$H55)*100) &lt;&gt; 0, (V55/$H55)*100, ""))</f>
        <v>0.29802558052899542</v>
      </c>
      <c r="X55" s="65">
        <f>IF((SUM(X12:X52)&lt;&gt;0),SUMIF($H12:$H52, "&gt;0", X12:X52), "")</f>
        <v>140</v>
      </c>
      <c r="Y55" s="66">
        <f>IF(ISERROR((X55/$H55)*100), "", IF(((X55/$H55)*100) &lt;&gt; 0, (X55/$H55)*100, ""))</f>
        <v>1.7384825530858066</v>
      </c>
      <c r="Z55" s="65">
        <f>IF((SUM(Z12:Z52)&lt;&gt;0),SUMIF($H12:$H52, "&gt;0", Z12:Z52), "")</f>
        <v>384</v>
      </c>
      <c r="AA55" s="66">
        <f>IF(ISERROR((Z55/$H55)*100), "", IF(((Z55/$H55)*100) &lt;&gt; 0, (Z55/$H55)*100, ""))</f>
        <v>4.7684092884639266</v>
      </c>
      <c r="AB55" s="65">
        <f>IF((SUM(AB12:AB52)&lt;&gt;0),SUMIF($H12:$H52, "&gt;0", AB12:AB52), "")</f>
        <v>27</v>
      </c>
      <c r="AC55" s="66">
        <f>IF(ISERROR((AB55/$H55)*100), "", IF(((AB55/$H55)*100) &lt;&gt; 0, (AB55/$H55)*100, ""))</f>
        <v>0.3352787780951198</v>
      </c>
      <c r="AD55" s="65">
        <f>IF((SUM(AD12:AD52)&lt;&gt;0),SUMIF($H12:$H52, "&gt;0", AD12:AD52), "")</f>
        <v>87</v>
      </c>
      <c r="AE55" s="66">
        <f>IF(ISERROR((AD55/$H55)*100), "", IF(((AD55/$H55)*100) &lt;&gt; 0, (AD55/$H55)*100, ""))</f>
        <v>1.0803427294176084</v>
      </c>
      <c r="AF55" s="65">
        <f>IF((SUM(AF12:AF52)&lt;&gt;0),SUMIF($H12:$H52, "&gt;0", AF12:AF52), "")</f>
        <v>158</v>
      </c>
      <c r="AG55" s="66">
        <f>IF(ISERROR((AF55/$H55)*100), "", IF(((AF55/$H55)*100) &lt;&gt; 0, (AF55/$H55)*100, ""))</f>
        <v>1.9620017384825532</v>
      </c>
      <c r="AH55" s="63">
        <f>IF((SUM(AH12:AH52)&lt;&gt;0),SUMIF($H12:$H52, "&gt;0", AH12:AH52), "")</f>
        <v>42</v>
      </c>
      <c r="AI55" s="64">
        <f>IF(ISERROR((AH55/$H55)*100), "", IF(((AH55/$H55)*100) &lt;&gt; 0, (AH55/$H55)*100, ""))</f>
        <v>0.52154476592574195</v>
      </c>
      <c r="AJ55" s="63">
        <f>IF((SUM(AJ12:AJ52)&lt;&gt;0),SUMIF($H12:$H52, "&gt;0", AJ12:AJ52), "")</f>
        <v>81</v>
      </c>
      <c r="AK55" s="64">
        <f>IF(ISERROR((AJ55/$H55)*100), "", IF(((AJ55/$H55)*100) &lt;&gt; 0, (AJ55/$H55)*100, ""))</f>
        <v>1.0058363342853596</v>
      </c>
      <c r="AL55" s="63">
        <f>IF((SUM(AL12:AL52)&lt;&gt;0),SUMIF($H12:$H52, "&gt;0", AL12:AL52), "")</f>
        <v>118</v>
      </c>
      <c r="AM55" s="64">
        <f>IF(ISERROR((AL55/$H55)*100), "", IF(((AL55/$H55)*100) &lt;&gt; 0, (AL55/$H55)*100, ""))</f>
        <v>1.465292437600894</v>
      </c>
      <c r="AN55" s="65">
        <f>IF((SUM(AN12:AN52)&lt;&gt;0),SUMIF($H12:$H52, "&gt;0", AN12:AN52), "")</f>
        <v>5</v>
      </c>
      <c r="AO55" s="66">
        <f>IF(ISERROR((AN55/$H55)*100), "", IF(((AN55/$H55)*100) &lt;&gt; 0, (AN55/$H55)*100, ""))</f>
        <v>6.208866261020738E-2</v>
      </c>
      <c r="AP55" s="63">
        <f>IF((SUM(AP12:AP52)&lt;&gt;0),SUMIF($H12:$H52, "&gt;0", AP12:AP52), "")</f>
        <v>1</v>
      </c>
      <c r="AQ55" s="64">
        <f>IF(ISERROR((AP55/$H55)*100), "", IF(((AP55/$H55)*100) &lt;&gt; 0, (AP55/$H55)*100, ""))</f>
        <v>1.2417732522041475E-2</v>
      </c>
      <c r="AR55" s="63">
        <f>IF((SUM(AR12:AR52)&lt;&gt;0),SUMIF($H12:$H52, "&gt;0", AR12:AR52), "")</f>
        <v>11</v>
      </c>
      <c r="AS55" s="64">
        <f>IF(ISERROR((AR55/$H55)*100), "", IF(((AR55/$H55)*100) &lt;&gt; 0, (AR55/$H55)*100, ""))</f>
        <v>0.13659505774245623</v>
      </c>
      <c r="AT55" s="63">
        <f>IF((SUM(AT12:AT52)&lt;&gt;0),SUMIF($H12:$H52, "&gt;0", AT12:AT52), "")</f>
        <v>1</v>
      </c>
      <c r="AU55" s="64">
        <f>IF(ISERROR((AT55/$H55)*100), "", IF(((AT55/$H55)*100) &lt;&gt; 0, (AT55/$H55)*100, ""))</f>
        <v>1.2417732522041475E-2</v>
      </c>
      <c r="AV55" s="65">
        <f>IF((SUM(AV12:AV52)&lt;&gt;0),SUMIF($H12:$H52, "&gt;0", AV12:AV52), "")</f>
        <v>192</v>
      </c>
      <c r="AW55" s="66">
        <f>IF(ISERROR((AV55/$H55)*100), "", IF(((AV55/$H55)*100) &lt;&gt; 0, (AV55/$H55)*100, ""))</f>
        <v>2.3842046442319633</v>
      </c>
    </row>
    <row r="56" spans="1:50" ht="16" customHeight="1" x14ac:dyDescent="0.2">
      <c r="D56" s="155" t="s">
        <v>217</v>
      </c>
      <c r="E56" s="155"/>
      <c r="F56" s="155"/>
      <c r="G56" s="156"/>
      <c r="H56" s="57" t="s">
        <v>212</v>
      </c>
      <c r="I56" s="58" t="s">
        <v>211</v>
      </c>
      <c r="J56" s="59">
        <f>IF(SUMIF(J12:J52, "&gt;0", $H12:$H52) &gt; 0, SUMIF(J12:J52, "&gt;0", $H12:$H52), "")</f>
        <v>432</v>
      </c>
      <c r="K56" s="60">
        <f>J55/J56*100</f>
        <v>19.675925925925927</v>
      </c>
      <c r="L56" s="72">
        <f>IF(SUMIF(L12:L52, "&gt;0", $H12:$H52) &gt; 0, SUMIF(L12:L52, "&gt;0", $H12:$H52), "")</f>
        <v>1149</v>
      </c>
      <c r="M56" s="68">
        <f>L55/L56*100</f>
        <v>22.802436901653611</v>
      </c>
      <c r="N56" s="67">
        <f>IF(SUMIF(N12:N52, "&gt;0", $H12:$H52) &gt; 0, SUMIF(N12:N52, "&gt;0", $H12:$H52), "")</f>
        <v>531</v>
      </c>
      <c r="O56" s="68">
        <f>N55/N56*100</f>
        <v>31.073446327683619</v>
      </c>
      <c r="P56" s="67">
        <f>IF(SUMIF(P12:P52, "&gt;0", $H12:$H52) &gt; 0, SUMIF(P12:P52, "&gt;0", $H12:$H52), "")</f>
        <v>609</v>
      </c>
      <c r="Q56" s="68">
        <f>P55/P56*100</f>
        <v>2.1346469622331692</v>
      </c>
      <c r="R56" s="67">
        <f>IF(SUMIF(R12:R52, "&gt;0", $H12:$H52) &gt; 0, SUMIF(R12:R52, "&gt;0", $H12:$H52), "")</f>
        <v>903</v>
      </c>
      <c r="S56" s="68">
        <f>R55/R56*100</f>
        <v>10.963455149501661</v>
      </c>
      <c r="T56" s="59">
        <f>IF(SUMIF(T12:T52, "&gt;0", $H12:$H52) &gt; 0, SUMIF(T12:T52, "&gt;0", $H12:$H52), "")</f>
        <v>280</v>
      </c>
      <c r="U56" s="60">
        <f>T55/T56*100</f>
        <v>6.0714285714285712</v>
      </c>
      <c r="V56" s="67">
        <f>IF(SUMIF(V12:V52, "&gt;0", $H12:$H52) &gt; 0, SUMIF(V12:V52, "&gt;0", $H12:$H52), "")</f>
        <v>415</v>
      </c>
      <c r="W56" s="68">
        <f>V55/V56*100</f>
        <v>5.7831325301204819</v>
      </c>
      <c r="X56" s="67">
        <f>IF(SUMIF(X12:X52, "&gt;0", $H12:$H52) &gt; 0, SUMIF(X12:X52, "&gt;0", $H12:$H52), "")</f>
        <v>1375</v>
      </c>
      <c r="Y56" s="68">
        <f>X55/X56*100</f>
        <v>10.181818181818182</v>
      </c>
      <c r="Z56" s="67">
        <f>IF(SUMIF(Z12:Z52, "&gt;0", $H12:$H52) &gt; 0, SUMIF(Z12:Z52, "&gt;0", $H12:$H52), "")</f>
        <v>6297</v>
      </c>
      <c r="AA56" s="68">
        <f>Z55/Z56*100</f>
        <v>6.0981419723677943</v>
      </c>
      <c r="AB56" s="67">
        <f>IF(SUMIF(AB12:AB52, "&gt;0", $H12:$H52) &gt; 0, SUMIF(AB12:AB52, "&gt;0", $H12:$H52), "")</f>
        <v>563</v>
      </c>
      <c r="AC56" s="68">
        <f>AB55/AB56*100</f>
        <v>4.7957371225577266</v>
      </c>
      <c r="AD56" s="67">
        <f>IF(SUMIF(AD12:AD52, "&gt;0", $H12:$H52) &gt; 0, SUMIF(AD12:AD52, "&gt;0", $H12:$H52), "")</f>
        <v>1183</v>
      </c>
      <c r="AE56" s="68">
        <f>AD55/AD56*100</f>
        <v>7.3541842772611998</v>
      </c>
      <c r="AF56" s="67">
        <f>IF(SUMIF(AF12:AF52, "&gt;0", $H12:$H52) &gt; 0, SUMIF(AF12:AF52, "&gt;0", $H12:$H52), "")</f>
        <v>1366</v>
      </c>
      <c r="AG56" s="68">
        <f>AF55/AF56*100</f>
        <v>11.566617862371888</v>
      </c>
      <c r="AH56" s="59">
        <f>IF(SUMIF(AH12:AH52, "&gt;0", $H12:$H52) &gt; 0, SUMIF(AH12:AH52, "&gt;0", $H12:$H52), "")</f>
        <v>824</v>
      </c>
      <c r="AI56" s="60">
        <f>AH55/AH56*100</f>
        <v>5.0970873786407767</v>
      </c>
      <c r="AJ56" s="59">
        <f>IF(SUMIF(AJ12:AJ52, "&gt;0", $H12:$H52) &gt; 0, SUMIF(AJ12:AJ52, "&gt;0", $H12:$H52), "")</f>
        <v>2415</v>
      </c>
      <c r="AK56" s="60">
        <f>AJ55/AJ56*100</f>
        <v>3.354037267080745</v>
      </c>
      <c r="AL56" s="59">
        <f>IF(SUMIF(AL12:AL52, "&gt;0", $H12:$H52) &gt; 0, SUMIF(AL12:AL52, "&gt;0", $H12:$H52), "")</f>
        <v>833</v>
      </c>
      <c r="AM56" s="60">
        <f>AL55/AL56*100</f>
        <v>14.165666266506602</v>
      </c>
      <c r="AN56" s="67">
        <f>IF(SUMIF(AN12:AN52, "&gt;0", $H12:$H52) &gt; 0, SUMIF(AN12:AN52, "&gt;0", $H12:$H52), "")</f>
        <v>802</v>
      </c>
      <c r="AO56" s="68">
        <f>AN55/AN56*100</f>
        <v>0.62344139650872821</v>
      </c>
      <c r="AP56" s="59">
        <f>IF(SUMIF(AP12:AP52, "&gt;0", $H12:$H52) &gt; 0, SUMIF(AP12:AP52, "&gt;0", $H12:$H52), "")</f>
        <v>293</v>
      </c>
      <c r="AQ56" s="60">
        <f>AP55/AP56*100</f>
        <v>0.34129692832764508</v>
      </c>
      <c r="AR56" s="59">
        <f>IF(SUMIF(AR12:AR52, "&gt;0", $H12:$H52) &gt; 0, SUMIF(AR12:AR52, "&gt;0", $H12:$H52), "")</f>
        <v>793</v>
      </c>
      <c r="AS56" s="60">
        <f>AR55/AR56*100</f>
        <v>1.3871374527112232</v>
      </c>
      <c r="AT56" s="59">
        <f>IF(SUMIF(AT12:AT52, "&gt;0", $H12:$H52) &gt; 0, SUMIF(AT12:AT52, "&gt;0", $H12:$H52), "")</f>
        <v>293</v>
      </c>
      <c r="AU56" s="60">
        <f>AT55/AT56*100</f>
        <v>0.34129692832764508</v>
      </c>
      <c r="AV56" s="67">
        <f>IF(SUMIF(AV12:AV52, "&gt;0", $H12:$H52) &gt; 0, SUMIF(AV12:AV52, "&gt;0", $H12:$H52), "")</f>
        <v>431</v>
      </c>
      <c r="AW56" s="69"/>
    </row>
    <row r="57" spans="1:50" ht="16" customHeight="1" thickBot="1" x14ac:dyDescent="0.25">
      <c r="E57" s="73"/>
      <c r="F57" s="73"/>
      <c r="G57" s="74"/>
      <c r="H57" s="157" t="s">
        <v>215</v>
      </c>
      <c r="I57" s="160"/>
      <c r="J57" s="143" t="s">
        <v>212</v>
      </c>
      <c r="K57" s="149" t="s">
        <v>211</v>
      </c>
      <c r="L57" s="168" t="s">
        <v>212</v>
      </c>
      <c r="M57" s="149" t="s">
        <v>211</v>
      </c>
      <c r="N57" s="143" t="s">
        <v>212</v>
      </c>
      <c r="O57" s="149" t="s">
        <v>211</v>
      </c>
      <c r="P57" s="143" t="s">
        <v>212</v>
      </c>
      <c r="Q57" s="149" t="s">
        <v>211</v>
      </c>
      <c r="R57" s="143" t="s">
        <v>212</v>
      </c>
      <c r="S57" s="149" t="s">
        <v>211</v>
      </c>
      <c r="T57" s="143" t="s">
        <v>212</v>
      </c>
      <c r="U57" s="149" t="s">
        <v>211</v>
      </c>
      <c r="V57" s="143" t="s">
        <v>212</v>
      </c>
      <c r="W57" s="149" t="s">
        <v>211</v>
      </c>
      <c r="X57" s="143" t="s">
        <v>212</v>
      </c>
      <c r="Y57" s="149" t="s">
        <v>211</v>
      </c>
      <c r="Z57" s="143" t="s">
        <v>212</v>
      </c>
      <c r="AA57" s="146" t="s">
        <v>211</v>
      </c>
      <c r="AB57" s="143" t="s">
        <v>212</v>
      </c>
      <c r="AC57" s="149" t="s">
        <v>211</v>
      </c>
      <c r="AD57" s="143" t="s">
        <v>212</v>
      </c>
      <c r="AE57" s="149" t="s">
        <v>211</v>
      </c>
      <c r="AF57" s="143" t="s">
        <v>212</v>
      </c>
      <c r="AG57" s="149" t="s">
        <v>211</v>
      </c>
      <c r="AH57" s="143" t="s">
        <v>212</v>
      </c>
      <c r="AI57" s="149" t="s">
        <v>211</v>
      </c>
      <c r="AJ57" s="143" t="s">
        <v>212</v>
      </c>
      <c r="AK57" s="149" t="s">
        <v>211</v>
      </c>
      <c r="AL57" s="143" t="s">
        <v>212</v>
      </c>
      <c r="AM57" s="149" t="s">
        <v>211</v>
      </c>
      <c r="AN57" s="143" t="s">
        <v>212</v>
      </c>
      <c r="AO57" s="149" t="s">
        <v>211</v>
      </c>
      <c r="AP57" s="143" t="s">
        <v>212</v>
      </c>
      <c r="AQ57" s="149" t="s">
        <v>211</v>
      </c>
      <c r="AR57" s="143" t="s">
        <v>212</v>
      </c>
      <c r="AS57" s="149" t="s">
        <v>211</v>
      </c>
      <c r="AT57" s="143" t="s">
        <v>212</v>
      </c>
      <c r="AU57" s="149" t="s">
        <v>211</v>
      </c>
      <c r="AV57" s="143" t="s">
        <v>212</v>
      </c>
      <c r="AW57" s="149" t="s">
        <v>211</v>
      </c>
    </row>
    <row r="58" spans="1:50" ht="16" customHeight="1" x14ac:dyDescent="0.2">
      <c r="E58" s="162" t="s">
        <v>227</v>
      </c>
      <c r="F58" s="163"/>
      <c r="H58" s="158"/>
      <c r="I58" s="160"/>
      <c r="J58" s="144"/>
      <c r="K58" s="150"/>
      <c r="L58" s="169"/>
      <c r="M58" s="150"/>
      <c r="N58" s="144"/>
      <c r="O58" s="150"/>
      <c r="P58" s="144"/>
      <c r="Q58" s="150"/>
      <c r="R58" s="144"/>
      <c r="S58" s="150"/>
      <c r="T58" s="144"/>
      <c r="U58" s="150"/>
      <c r="V58" s="144"/>
      <c r="W58" s="150"/>
      <c r="X58" s="144"/>
      <c r="Y58" s="150"/>
      <c r="Z58" s="144"/>
      <c r="AA58" s="147"/>
      <c r="AB58" s="144"/>
      <c r="AC58" s="150"/>
      <c r="AD58" s="144"/>
      <c r="AE58" s="150"/>
      <c r="AF58" s="144"/>
      <c r="AG58" s="150"/>
      <c r="AH58" s="144"/>
      <c r="AI58" s="150"/>
      <c r="AJ58" s="144"/>
      <c r="AK58" s="150"/>
      <c r="AL58" s="144"/>
      <c r="AM58" s="150"/>
      <c r="AN58" s="144"/>
      <c r="AO58" s="150"/>
      <c r="AP58" s="144"/>
      <c r="AQ58" s="150"/>
      <c r="AR58" s="144"/>
      <c r="AS58" s="150"/>
      <c r="AT58" s="144"/>
      <c r="AU58" s="150"/>
      <c r="AV58" s="144"/>
      <c r="AW58" s="150"/>
    </row>
    <row r="59" spans="1:50" x14ac:dyDescent="0.2">
      <c r="E59" s="164"/>
      <c r="F59" s="165"/>
      <c r="H59" s="158"/>
      <c r="I59" s="160"/>
      <c r="J59" s="144"/>
      <c r="K59" s="150"/>
      <c r="L59" s="169"/>
      <c r="M59" s="150"/>
      <c r="N59" s="144"/>
      <c r="O59" s="150"/>
      <c r="P59" s="144"/>
      <c r="Q59" s="150"/>
      <c r="R59" s="144"/>
      <c r="S59" s="150"/>
      <c r="T59" s="144"/>
      <c r="U59" s="150"/>
      <c r="V59" s="144"/>
      <c r="W59" s="150"/>
      <c r="X59" s="144"/>
      <c r="Y59" s="150"/>
      <c r="Z59" s="144"/>
      <c r="AA59" s="147"/>
      <c r="AB59" s="144"/>
      <c r="AC59" s="150"/>
      <c r="AD59" s="144"/>
      <c r="AE59" s="150"/>
      <c r="AF59" s="144"/>
      <c r="AG59" s="150"/>
      <c r="AH59" s="144"/>
      <c r="AI59" s="150"/>
      <c r="AJ59" s="144"/>
      <c r="AK59" s="150"/>
      <c r="AL59" s="144"/>
      <c r="AM59" s="150"/>
      <c r="AN59" s="144"/>
      <c r="AO59" s="150"/>
      <c r="AP59" s="144"/>
      <c r="AQ59" s="150"/>
      <c r="AR59" s="144"/>
      <c r="AS59" s="150"/>
      <c r="AT59" s="144"/>
      <c r="AU59" s="150"/>
      <c r="AV59" s="144"/>
      <c r="AW59" s="150"/>
    </row>
    <row r="60" spans="1:50" x14ac:dyDescent="0.2">
      <c r="E60" s="164"/>
      <c r="F60" s="165"/>
      <c r="H60" s="158"/>
      <c r="I60" s="160"/>
      <c r="J60" s="145"/>
      <c r="K60" s="151"/>
      <c r="L60" s="170"/>
      <c r="M60" s="151"/>
      <c r="N60" s="145"/>
      <c r="O60" s="151"/>
      <c r="P60" s="145"/>
      <c r="Q60" s="151"/>
      <c r="R60" s="145"/>
      <c r="S60" s="151"/>
      <c r="T60" s="145"/>
      <c r="U60" s="151"/>
      <c r="V60" s="145"/>
      <c r="W60" s="151"/>
      <c r="X60" s="145"/>
      <c r="Y60" s="151"/>
      <c r="Z60" s="145"/>
      <c r="AA60" s="148"/>
      <c r="AB60" s="145"/>
      <c r="AC60" s="151"/>
      <c r="AD60" s="145"/>
      <c r="AE60" s="151"/>
      <c r="AF60" s="145"/>
      <c r="AG60" s="151"/>
      <c r="AH60" s="145"/>
      <c r="AI60" s="151"/>
      <c r="AJ60" s="145"/>
      <c r="AK60" s="151"/>
      <c r="AL60" s="145"/>
      <c r="AM60" s="151"/>
      <c r="AN60" s="145"/>
      <c r="AO60" s="151"/>
      <c r="AP60" s="145"/>
      <c r="AQ60" s="151"/>
      <c r="AR60" s="145"/>
      <c r="AS60" s="151"/>
      <c r="AT60" s="145"/>
      <c r="AU60" s="151"/>
      <c r="AV60" s="145"/>
      <c r="AW60" s="151"/>
    </row>
    <row r="61" spans="1:50" ht="16" customHeight="1" x14ac:dyDescent="0.2">
      <c r="E61" s="164"/>
      <c r="F61" s="165"/>
      <c r="H61" s="158"/>
      <c r="I61" s="160"/>
      <c r="J61" s="123" t="s">
        <v>54</v>
      </c>
      <c r="K61" s="124"/>
      <c r="L61" s="140" t="s">
        <v>184</v>
      </c>
      <c r="M61" s="124"/>
      <c r="N61" s="123" t="s">
        <v>213</v>
      </c>
      <c r="O61" s="124"/>
      <c r="P61" s="123" t="s">
        <v>210</v>
      </c>
      <c r="Q61" s="124"/>
      <c r="R61" s="123" t="s">
        <v>60</v>
      </c>
      <c r="S61" s="124"/>
      <c r="T61" s="123" t="s">
        <v>53</v>
      </c>
      <c r="U61" s="124"/>
      <c r="V61" s="123" t="s">
        <v>51</v>
      </c>
      <c r="W61" s="124"/>
      <c r="X61" s="123" t="s">
        <v>55</v>
      </c>
      <c r="Y61" s="124"/>
      <c r="Z61" s="123" t="s">
        <v>49</v>
      </c>
      <c r="AA61" s="124"/>
      <c r="AB61" s="123" t="s">
        <v>56</v>
      </c>
      <c r="AC61" s="124"/>
      <c r="AD61" s="123" t="s">
        <v>214</v>
      </c>
      <c r="AE61" s="124"/>
      <c r="AF61" s="123" t="s">
        <v>57</v>
      </c>
      <c r="AG61" s="124"/>
      <c r="AH61" s="123" t="s">
        <v>61</v>
      </c>
      <c r="AI61" s="124"/>
      <c r="AJ61" s="123" t="s">
        <v>50</v>
      </c>
      <c r="AK61" s="124"/>
      <c r="AL61" s="123" t="s">
        <v>62</v>
      </c>
      <c r="AM61" s="124"/>
      <c r="AN61" s="123" t="s">
        <v>65</v>
      </c>
      <c r="AO61" s="124"/>
      <c r="AP61" s="123" t="s">
        <v>63</v>
      </c>
      <c r="AQ61" s="124"/>
      <c r="AR61" s="123" t="s">
        <v>64</v>
      </c>
      <c r="AS61" s="124"/>
      <c r="AT61" s="123" t="s">
        <v>66</v>
      </c>
      <c r="AU61" s="124"/>
      <c r="AV61" s="123" t="s">
        <v>58</v>
      </c>
      <c r="AW61" s="124"/>
    </row>
    <row r="62" spans="1:50" x14ac:dyDescent="0.2">
      <c r="E62" s="164"/>
      <c r="F62" s="165"/>
      <c r="H62" s="158"/>
      <c r="I62" s="160"/>
      <c r="J62" s="123"/>
      <c r="K62" s="124"/>
      <c r="L62" s="140"/>
      <c r="M62" s="124"/>
      <c r="N62" s="123"/>
      <c r="O62" s="124"/>
      <c r="P62" s="123"/>
      <c r="Q62" s="124"/>
      <c r="R62" s="123"/>
      <c r="S62" s="124"/>
      <c r="T62" s="123"/>
      <c r="U62" s="124"/>
      <c r="V62" s="123"/>
      <c r="W62" s="124"/>
      <c r="X62" s="123"/>
      <c r="Y62" s="124"/>
      <c r="Z62" s="123"/>
      <c r="AA62" s="124"/>
      <c r="AB62" s="123"/>
      <c r="AC62" s="124"/>
      <c r="AD62" s="123"/>
      <c r="AE62" s="124"/>
      <c r="AF62" s="123"/>
      <c r="AG62" s="124"/>
      <c r="AH62" s="123"/>
      <c r="AI62" s="124"/>
      <c r="AJ62" s="123"/>
      <c r="AK62" s="124"/>
      <c r="AL62" s="123"/>
      <c r="AM62" s="124"/>
      <c r="AN62" s="123"/>
      <c r="AO62" s="124"/>
      <c r="AP62" s="123"/>
      <c r="AQ62" s="124"/>
      <c r="AR62" s="123"/>
      <c r="AS62" s="124"/>
      <c r="AT62" s="123"/>
      <c r="AU62" s="124"/>
      <c r="AV62" s="123"/>
      <c r="AW62" s="124"/>
    </row>
    <row r="63" spans="1:50" ht="17" thickBot="1" x14ac:dyDescent="0.25">
      <c r="E63" s="166"/>
      <c r="F63" s="167"/>
      <c r="H63" s="158"/>
      <c r="I63" s="160"/>
      <c r="J63" s="136"/>
      <c r="K63" s="137"/>
      <c r="L63" s="142"/>
      <c r="M63" s="137"/>
      <c r="N63" s="136"/>
      <c r="O63" s="137"/>
      <c r="P63" s="136"/>
      <c r="Q63" s="137"/>
      <c r="R63" s="136"/>
      <c r="S63" s="137"/>
      <c r="T63" s="136"/>
      <c r="U63" s="137"/>
      <c r="V63" s="136"/>
      <c r="W63" s="137"/>
      <c r="X63" s="136"/>
      <c r="Y63" s="137"/>
      <c r="Z63" s="136"/>
      <c r="AA63" s="137"/>
      <c r="AB63" s="136"/>
      <c r="AC63" s="137"/>
      <c r="AD63" s="136"/>
      <c r="AE63" s="137"/>
      <c r="AF63" s="136"/>
      <c r="AG63" s="137"/>
      <c r="AH63" s="136"/>
      <c r="AI63" s="137"/>
      <c r="AJ63" s="136"/>
      <c r="AK63" s="137"/>
      <c r="AL63" s="136"/>
      <c r="AM63" s="137"/>
      <c r="AN63" s="136"/>
      <c r="AO63" s="137"/>
      <c r="AP63" s="136"/>
      <c r="AQ63" s="137"/>
      <c r="AR63" s="136"/>
      <c r="AS63" s="137"/>
      <c r="AT63" s="136"/>
      <c r="AU63" s="137"/>
      <c r="AV63" s="136"/>
      <c r="AW63" s="137"/>
    </row>
    <row r="64" spans="1:50" ht="17" thickBot="1" x14ac:dyDescent="0.25">
      <c r="F64" s="19"/>
      <c r="H64" s="159"/>
      <c r="I64" s="161"/>
      <c r="J64" s="133" t="s">
        <v>44</v>
      </c>
      <c r="K64" s="134"/>
      <c r="L64" s="134"/>
      <c r="M64" s="134"/>
      <c r="N64" s="134"/>
      <c r="O64" s="134"/>
      <c r="P64" s="134"/>
      <c r="Q64" s="134"/>
      <c r="R64" s="134"/>
      <c r="S64" s="134"/>
      <c r="T64" s="134"/>
      <c r="U64" s="134"/>
      <c r="V64" s="134"/>
      <c r="W64" s="134"/>
      <c r="X64" s="134"/>
      <c r="Y64" s="134"/>
      <c r="Z64" s="134"/>
      <c r="AA64" s="134"/>
      <c r="AB64" s="134"/>
      <c r="AC64" s="134"/>
      <c r="AD64" s="134"/>
      <c r="AE64" s="134"/>
      <c r="AF64" s="134"/>
      <c r="AG64" s="134"/>
      <c r="AH64" s="134"/>
      <c r="AI64" s="134"/>
      <c r="AJ64" s="134"/>
      <c r="AK64" s="134"/>
      <c r="AL64" s="134"/>
      <c r="AM64" s="134"/>
      <c r="AN64" s="134"/>
      <c r="AO64" s="134"/>
      <c r="AP64" s="134"/>
      <c r="AQ64" s="134"/>
      <c r="AR64" s="134"/>
      <c r="AS64" s="134"/>
      <c r="AT64" s="134"/>
      <c r="AU64" s="134"/>
      <c r="AV64" s="134"/>
      <c r="AW64" s="135"/>
    </row>
  </sheetData>
  <mergeCells count="134">
    <mergeCell ref="J64:AW64"/>
    <mergeCell ref="AL61:AM63"/>
    <mergeCell ref="AP61:AQ63"/>
    <mergeCell ref="AR61:AS63"/>
    <mergeCell ref="AN61:AO63"/>
    <mergeCell ref="AT61:AU63"/>
    <mergeCell ref="N61:O63"/>
    <mergeCell ref="AB61:AC63"/>
    <mergeCell ref="AF61:AG63"/>
    <mergeCell ref="AV61:AW63"/>
    <mergeCell ref="P61:Q63"/>
    <mergeCell ref="R61:S63"/>
    <mergeCell ref="AH61:AI63"/>
    <mergeCell ref="L57:L60"/>
    <mergeCell ref="M57:M60"/>
    <mergeCell ref="E58:F63"/>
    <mergeCell ref="Z61:AA63"/>
    <mergeCell ref="AJ61:AK63"/>
    <mergeCell ref="V61:W63"/>
    <mergeCell ref="AD61:AE63"/>
    <mergeCell ref="T61:U63"/>
    <mergeCell ref="J61:K63"/>
    <mergeCell ref="X61:Y63"/>
    <mergeCell ref="L61:M63"/>
    <mergeCell ref="AR57:AR60"/>
    <mergeCell ref="AS57:AS60"/>
    <mergeCell ref="P57:P60"/>
    <mergeCell ref="Q57:Q60"/>
    <mergeCell ref="R57:R60"/>
    <mergeCell ref="S57:S60"/>
    <mergeCell ref="AH57:AH60"/>
    <mergeCell ref="AI57:AI60"/>
    <mergeCell ref="AB57:AB60"/>
    <mergeCell ref="AC57:AC60"/>
    <mergeCell ref="AF57:AF60"/>
    <mergeCell ref="AG57:AG60"/>
    <mergeCell ref="AV57:AV60"/>
    <mergeCell ref="AW57:AW60"/>
    <mergeCell ref="T57:T60"/>
    <mergeCell ref="U57:U60"/>
    <mergeCell ref="J57:J60"/>
    <mergeCell ref="K57:K60"/>
    <mergeCell ref="X57:X60"/>
    <mergeCell ref="Y57:Y60"/>
    <mergeCell ref="AJ57:AJ60"/>
    <mergeCell ref="AK57:AK60"/>
    <mergeCell ref="V57:V60"/>
    <mergeCell ref="W57:W60"/>
    <mergeCell ref="AD57:AD60"/>
    <mergeCell ref="AE57:AE60"/>
    <mergeCell ref="AN57:AN60"/>
    <mergeCell ref="AO57:AO60"/>
    <mergeCell ref="AT57:AT60"/>
    <mergeCell ref="AU57:AU60"/>
    <mergeCell ref="N57:N60"/>
    <mergeCell ref="O57:O60"/>
    <mergeCell ref="AL57:AL60"/>
    <mergeCell ref="AM57:AM60"/>
    <mergeCell ref="AP57:AP60"/>
    <mergeCell ref="AQ57:AQ60"/>
    <mergeCell ref="D55:G55"/>
    <mergeCell ref="D56:G56"/>
    <mergeCell ref="H57:H64"/>
    <mergeCell ref="I57:I64"/>
    <mergeCell ref="Z57:Z60"/>
    <mergeCell ref="AA57:AA60"/>
    <mergeCell ref="AT7:AT11"/>
    <mergeCell ref="AU7:AU11"/>
    <mergeCell ref="N7:N11"/>
    <mergeCell ref="O7:O11"/>
    <mergeCell ref="L7:L11"/>
    <mergeCell ref="M7:M11"/>
    <mergeCell ref="AP7:AP11"/>
    <mergeCell ref="AQ7:AQ11"/>
    <mergeCell ref="AR7:AR11"/>
    <mergeCell ref="AS7:AS11"/>
    <mergeCell ref="AN7:AN11"/>
    <mergeCell ref="AO7:AO11"/>
    <mergeCell ref="R7:R11"/>
    <mergeCell ref="S7:S11"/>
    <mergeCell ref="AH7:AH11"/>
    <mergeCell ref="AI7:AI11"/>
    <mergeCell ref="AL7:AL11"/>
    <mergeCell ref="AM7:AM11"/>
    <mergeCell ref="AV7:AV11"/>
    <mergeCell ref="AW7:AW11"/>
    <mergeCell ref="P7:P11"/>
    <mergeCell ref="Q7:Q11"/>
    <mergeCell ref="J7:J11"/>
    <mergeCell ref="K7:K11"/>
    <mergeCell ref="X7:X11"/>
    <mergeCell ref="Y7:Y11"/>
    <mergeCell ref="AB7:AB11"/>
    <mergeCell ref="AC7:AC11"/>
    <mergeCell ref="V7:V11"/>
    <mergeCell ref="W7:W11"/>
    <mergeCell ref="AD7:AD11"/>
    <mergeCell ref="AE7:AE11"/>
    <mergeCell ref="T7:T11"/>
    <mergeCell ref="U7:U11"/>
    <mergeCell ref="AK7:AK11"/>
    <mergeCell ref="A7:A11"/>
    <mergeCell ref="B7:B11"/>
    <mergeCell ref="G7:G11"/>
    <mergeCell ref="H7:H11"/>
    <mergeCell ref="I7:I11"/>
    <mergeCell ref="Z7:Z11"/>
    <mergeCell ref="AA7:AA11"/>
    <mergeCell ref="AJ7:AJ11"/>
    <mergeCell ref="AF7:AF11"/>
    <mergeCell ref="AG7:AG11"/>
    <mergeCell ref="J2:AW2"/>
    <mergeCell ref="D3:D5"/>
    <mergeCell ref="J3:AW3"/>
    <mergeCell ref="Z4:AA6"/>
    <mergeCell ref="AJ4:AK6"/>
    <mergeCell ref="V4:W6"/>
    <mergeCell ref="AD4:AE6"/>
    <mergeCell ref="T4:U6"/>
    <mergeCell ref="J4:K6"/>
    <mergeCell ref="X4:Y6"/>
    <mergeCell ref="AL4:AM6"/>
    <mergeCell ref="AP4:AQ6"/>
    <mergeCell ref="AR4:AS6"/>
    <mergeCell ref="AN4:AO6"/>
    <mergeCell ref="AT4:AU6"/>
    <mergeCell ref="N4:O6"/>
    <mergeCell ref="AB4:AC6"/>
    <mergeCell ref="AF4:AG6"/>
    <mergeCell ref="AV4:AW6"/>
    <mergeCell ref="P4:Q6"/>
    <mergeCell ref="R4:S6"/>
    <mergeCell ref="AH4:AI6"/>
    <mergeCell ref="L4:M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133"/>
  <sheetViews>
    <sheetView showRuler="0" workbookViewId="0"/>
  </sheetViews>
  <sheetFormatPr baseColWidth="10" defaultRowHeight="16" x14ac:dyDescent="0.2"/>
  <cols>
    <col min="1" max="1" width="5.6640625" style="19" customWidth="1"/>
    <col min="2" max="2" width="5.6640625"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10" width="6.6640625" style="20" customWidth="1"/>
    <col min="11" max="11" width="6.6640625" style="50" customWidth="1"/>
    <col min="12" max="27" width="6.6640625" style="20" customWidth="1"/>
    <col min="28" max="31" width="6.6640625" style="19" customWidth="1"/>
    <col min="32" max="16384" width="10.83203125" style="19"/>
  </cols>
  <sheetData>
    <row r="1" spans="1:39" ht="17" thickBot="1" x14ac:dyDescent="0.25">
      <c r="D1" s="37"/>
    </row>
    <row r="2" spans="1:39" ht="20" customHeight="1" x14ac:dyDescent="0.25">
      <c r="D2" s="75" t="s">
        <v>228</v>
      </c>
      <c r="J2" s="171" t="s">
        <v>229</v>
      </c>
      <c r="K2" s="172"/>
      <c r="L2" s="172"/>
      <c r="M2" s="172"/>
      <c r="N2" s="172"/>
      <c r="O2" s="172"/>
      <c r="P2" s="172"/>
      <c r="Q2" s="172"/>
      <c r="R2" s="172"/>
      <c r="S2" s="172"/>
      <c r="T2" s="172"/>
      <c r="U2" s="172"/>
      <c r="V2" s="172"/>
      <c r="W2" s="172"/>
      <c r="X2" s="172"/>
      <c r="Y2" s="172"/>
      <c r="Z2" s="172"/>
      <c r="AA2" s="173"/>
    </row>
    <row r="3" spans="1:39" ht="20" customHeight="1" thickBot="1" x14ac:dyDescent="0.25">
      <c r="D3" s="174" t="s">
        <v>232</v>
      </c>
      <c r="J3" s="118" t="s">
        <v>45</v>
      </c>
      <c r="K3" s="119"/>
      <c r="L3" s="119"/>
      <c r="M3" s="119"/>
      <c r="N3" s="119"/>
      <c r="O3" s="119"/>
      <c r="P3" s="119"/>
      <c r="Q3" s="119"/>
      <c r="R3" s="119"/>
      <c r="S3" s="119"/>
      <c r="T3" s="119"/>
      <c r="U3" s="119"/>
      <c r="V3" s="119"/>
      <c r="W3" s="119"/>
      <c r="X3" s="119"/>
      <c r="Y3" s="119"/>
      <c r="Z3" s="119"/>
      <c r="AA3" s="120"/>
    </row>
    <row r="4" spans="1:39" ht="20" customHeight="1" x14ac:dyDescent="0.2">
      <c r="B4" s="95"/>
      <c r="D4" s="175"/>
      <c r="J4" s="121" t="s">
        <v>54</v>
      </c>
      <c r="K4" s="122"/>
      <c r="L4" s="140" t="s">
        <v>184</v>
      </c>
      <c r="M4" s="124"/>
      <c r="N4" s="121" t="s">
        <v>213</v>
      </c>
      <c r="O4" s="122"/>
      <c r="P4" s="121" t="s">
        <v>210</v>
      </c>
      <c r="Q4" s="122"/>
      <c r="R4" s="121" t="s">
        <v>60</v>
      </c>
      <c r="S4" s="122"/>
      <c r="T4" s="121" t="s">
        <v>53</v>
      </c>
      <c r="U4" s="122"/>
      <c r="V4" s="127" t="s">
        <v>51</v>
      </c>
      <c r="W4" s="128"/>
      <c r="X4" s="121" t="s">
        <v>55</v>
      </c>
      <c r="Y4" s="122"/>
      <c r="Z4" s="127" t="s">
        <v>49</v>
      </c>
      <c r="AA4" s="128"/>
    </row>
    <row r="5" spans="1:39" ht="20" customHeight="1" x14ac:dyDescent="0.2">
      <c r="A5" s="33"/>
      <c r="B5" s="35"/>
      <c r="D5" s="175"/>
      <c r="J5" s="123"/>
      <c r="K5" s="124"/>
      <c r="L5" s="140"/>
      <c r="M5" s="124"/>
      <c r="N5" s="123"/>
      <c r="O5" s="124"/>
      <c r="P5" s="123"/>
      <c r="Q5" s="124"/>
      <c r="R5" s="123"/>
      <c r="S5" s="124"/>
      <c r="T5" s="123"/>
      <c r="U5" s="124"/>
      <c r="V5" s="129"/>
      <c r="W5" s="130"/>
      <c r="X5" s="123"/>
      <c r="Y5" s="124"/>
      <c r="Z5" s="129"/>
      <c r="AA5" s="130"/>
    </row>
    <row r="6" spans="1:39" ht="20" customHeight="1" thickBot="1" x14ac:dyDescent="0.25">
      <c r="A6" s="34"/>
      <c r="B6" s="94"/>
      <c r="D6" s="175"/>
      <c r="G6" s="19"/>
      <c r="H6" s="19"/>
      <c r="I6" s="19"/>
      <c r="J6" s="125"/>
      <c r="K6" s="126"/>
      <c r="L6" s="141"/>
      <c r="M6" s="126"/>
      <c r="N6" s="125"/>
      <c r="O6" s="126"/>
      <c r="P6" s="125"/>
      <c r="Q6" s="126"/>
      <c r="R6" s="125"/>
      <c r="S6" s="126"/>
      <c r="T6" s="125"/>
      <c r="U6" s="126"/>
      <c r="V6" s="131"/>
      <c r="W6" s="132"/>
      <c r="X6" s="125"/>
      <c r="Y6" s="126"/>
      <c r="Z6" s="131"/>
      <c r="AA6" s="132"/>
    </row>
    <row r="7" spans="1:39" ht="20" customHeight="1" thickBot="1" x14ac:dyDescent="0.25">
      <c r="A7" s="107" t="s">
        <v>201</v>
      </c>
      <c r="B7" s="107" t="s">
        <v>233</v>
      </c>
      <c r="D7" s="176"/>
      <c r="G7" s="107" t="s">
        <v>46</v>
      </c>
      <c r="H7" s="109" t="s">
        <v>47</v>
      </c>
      <c r="I7" s="112" t="s">
        <v>48</v>
      </c>
      <c r="J7" s="103" t="s">
        <v>212</v>
      </c>
      <c r="K7" s="101" t="s">
        <v>211</v>
      </c>
      <c r="L7" s="138" t="s">
        <v>212</v>
      </c>
      <c r="M7" s="101" t="s">
        <v>211</v>
      </c>
      <c r="N7" s="103" t="s">
        <v>212</v>
      </c>
      <c r="O7" s="101" t="s">
        <v>211</v>
      </c>
      <c r="P7" s="103" t="s">
        <v>212</v>
      </c>
      <c r="Q7" s="101" t="s">
        <v>211</v>
      </c>
      <c r="R7" s="103" t="s">
        <v>212</v>
      </c>
      <c r="S7" s="101" t="s">
        <v>211</v>
      </c>
      <c r="T7" s="103" t="s">
        <v>212</v>
      </c>
      <c r="U7" s="101" t="s">
        <v>211</v>
      </c>
      <c r="V7" s="103" t="s">
        <v>212</v>
      </c>
      <c r="W7" s="101" t="s">
        <v>211</v>
      </c>
      <c r="X7" s="103" t="s">
        <v>212</v>
      </c>
      <c r="Y7" s="101" t="s">
        <v>211</v>
      </c>
      <c r="Z7" s="103" t="s">
        <v>212</v>
      </c>
      <c r="AA7" s="105" t="s">
        <v>211</v>
      </c>
    </row>
    <row r="8" spans="1:39" ht="20" customHeight="1" x14ac:dyDescent="0.2">
      <c r="A8" s="107"/>
      <c r="B8" s="107"/>
      <c r="G8" s="107"/>
      <c r="H8" s="110"/>
      <c r="I8" s="113"/>
      <c r="J8" s="103"/>
      <c r="K8" s="101"/>
      <c r="L8" s="138"/>
      <c r="M8" s="101"/>
      <c r="N8" s="103"/>
      <c r="O8" s="101"/>
      <c r="P8" s="103"/>
      <c r="Q8" s="101"/>
      <c r="R8" s="103"/>
      <c r="S8" s="101"/>
      <c r="T8" s="103"/>
      <c r="U8" s="101"/>
      <c r="V8" s="103"/>
      <c r="W8" s="101"/>
      <c r="X8" s="103"/>
      <c r="Y8" s="101"/>
      <c r="Z8" s="103"/>
      <c r="AA8" s="105"/>
    </row>
    <row r="9" spans="1:39" ht="20" customHeight="1" x14ac:dyDescent="0.2">
      <c r="A9" s="107"/>
      <c r="B9" s="107"/>
      <c r="G9" s="107"/>
      <c r="H9" s="110"/>
      <c r="I9" s="113"/>
      <c r="J9" s="103"/>
      <c r="K9" s="101"/>
      <c r="L9" s="138"/>
      <c r="M9" s="101"/>
      <c r="N9" s="103"/>
      <c r="O9" s="101"/>
      <c r="P9" s="103"/>
      <c r="Q9" s="101"/>
      <c r="R9" s="103"/>
      <c r="S9" s="101"/>
      <c r="T9" s="103"/>
      <c r="U9" s="101"/>
      <c r="V9" s="103"/>
      <c r="W9" s="101"/>
      <c r="X9" s="103"/>
      <c r="Y9" s="101"/>
      <c r="Z9" s="103"/>
      <c r="AA9" s="105"/>
    </row>
    <row r="10" spans="1:39" ht="20" customHeight="1" x14ac:dyDescent="0.2">
      <c r="A10" s="107"/>
      <c r="B10" s="107"/>
      <c r="D10" s="93"/>
      <c r="G10" s="107"/>
      <c r="H10" s="110"/>
      <c r="I10" s="113"/>
      <c r="J10" s="103"/>
      <c r="K10" s="101"/>
      <c r="L10" s="138"/>
      <c r="M10" s="101"/>
      <c r="N10" s="103"/>
      <c r="O10" s="101"/>
      <c r="P10" s="103"/>
      <c r="Q10" s="101"/>
      <c r="R10" s="103"/>
      <c r="S10" s="101"/>
      <c r="T10" s="103"/>
      <c r="U10" s="101"/>
      <c r="V10" s="103"/>
      <c r="W10" s="101"/>
      <c r="X10" s="103"/>
      <c r="Y10" s="101"/>
      <c r="Z10" s="103"/>
      <c r="AA10" s="105"/>
    </row>
    <row r="11" spans="1:39" s="23" customFormat="1" ht="20" customHeight="1" thickBot="1" x14ac:dyDescent="0.25">
      <c r="A11" s="108"/>
      <c r="B11" s="108"/>
      <c r="C11" s="22" t="s">
        <v>68</v>
      </c>
      <c r="D11" s="21" t="s">
        <v>69</v>
      </c>
      <c r="E11" s="21" t="s">
        <v>70</v>
      </c>
      <c r="F11" s="22" t="s">
        <v>71</v>
      </c>
      <c r="G11" s="108"/>
      <c r="H11" s="111"/>
      <c r="I11" s="114"/>
      <c r="J11" s="104"/>
      <c r="K11" s="102"/>
      <c r="L11" s="139"/>
      <c r="M11" s="102"/>
      <c r="N11" s="104"/>
      <c r="O11" s="102"/>
      <c r="P11" s="104"/>
      <c r="Q11" s="102"/>
      <c r="R11" s="104"/>
      <c r="S11" s="102"/>
      <c r="T11" s="104"/>
      <c r="U11" s="102"/>
      <c r="V11" s="104"/>
      <c r="W11" s="102"/>
      <c r="X11" s="104"/>
      <c r="Y11" s="102"/>
      <c r="Z11" s="104"/>
      <c r="AA11" s="106"/>
      <c r="AB11" s="76" t="s">
        <v>72</v>
      </c>
      <c r="AC11" s="77"/>
      <c r="AD11" s="77"/>
      <c r="AE11" s="77"/>
      <c r="AF11" s="77"/>
      <c r="AG11" s="77"/>
      <c r="AH11" s="77"/>
      <c r="AI11" s="77"/>
      <c r="AJ11" s="77"/>
      <c r="AK11" s="77"/>
      <c r="AL11" s="77"/>
      <c r="AM11" s="77"/>
    </row>
    <row r="12" spans="1:39" ht="20" customHeight="1" x14ac:dyDescent="0.2">
      <c r="A12" s="36"/>
      <c r="B12" s="95"/>
      <c r="C12" s="20" t="s">
        <v>220</v>
      </c>
      <c r="D12" s="19" t="s">
        <v>73</v>
      </c>
      <c r="E12" s="19" t="s">
        <v>74</v>
      </c>
      <c r="F12" s="20">
        <v>2015</v>
      </c>
      <c r="G12" s="20">
        <v>3</v>
      </c>
      <c r="H12" s="85">
        <v>100</v>
      </c>
      <c r="I12" s="86" t="s">
        <v>75</v>
      </c>
      <c r="J12" s="38"/>
      <c r="K12" s="51" t="str">
        <f t="shared" ref="K12:K52" si="0">IF((ISERROR((J12/$H12)*100)), "", IF(AND(NOT(ISERROR((J12/$H12)*100)),((J12/$H12)*100) &lt;&gt; 0), (J12/$H12)*100, ""))</f>
        <v/>
      </c>
      <c r="L12" s="45"/>
      <c r="M12" s="56" t="str">
        <f t="shared" ref="M12:M52" si="1">IF((ISERROR((L12/$H12)*100)), "", IF(AND(NOT(ISERROR((L12/$H12)*100)),((L12/$H12)*100) &lt;&gt; 0), (L12/$H12)*100, ""))</f>
        <v/>
      </c>
      <c r="N12" s="47"/>
      <c r="O12" s="56" t="str">
        <f t="shared" ref="O12:O52" si="2">IF((ISERROR((N12/$H12)*100)), "", IF(AND(NOT(ISERROR((N12/$H12)*100)),((N12/$H12)*100) &lt;&gt; 0), (N12/$H12)*100, ""))</f>
        <v/>
      </c>
      <c r="P12" s="47"/>
      <c r="Q12" s="56" t="str">
        <f t="shared" ref="Q12:Q52" si="3">IF((ISERROR((P12/$H12)*100)), "", IF(AND(NOT(ISERROR((P12/$H12)*100)),((P12/$H12)*100) &lt;&gt; 0), (P12/$H12)*100, ""))</f>
        <v/>
      </c>
      <c r="R12" s="47"/>
      <c r="S12" s="56" t="str">
        <f t="shared" ref="S12:S52" si="4">IF((ISERROR((R12/$H12)*100)), "", IF(AND(NOT(ISERROR((R12/$H12)*100)),((R12/$H12)*100) &lt;&gt; 0), (R12/$H12)*100, ""))</f>
        <v/>
      </c>
      <c r="T12" s="38"/>
      <c r="U12" s="51" t="str">
        <f t="shared" ref="U12:U28" si="5">IF((ISERROR((T12/$H12)*100)), "", IF(AND(NOT(ISERROR((T12/$H12)*100)),((T12/$H12)*100) &lt;&gt; 0), (T12/$H12)*100, ""))</f>
        <v/>
      </c>
      <c r="V12" s="38"/>
      <c r="W12" s="51" t="str">
        <f t="shared" ref="W12:W52" si="6">IF((ISERROR((V12/$H12)*100)), "", IF(AND(NOT(ISERROR((V12/$H12)*100)),((V12/$H12)*100) &lt;&gt; 0), (V12/$H12)*100, ""))</f>
        <v/>
      </c>
      <c r="X12" s="38"/>
      <c r="Y12" s="51" t="str">
        <f t="shared" ref="Y12:Y52" si="7">IF((ISERROR((X12/$H12)*100)), "", IF(AND(NOT(ISERROR((X12/$H12)*100)),((X12/$H12)*100) &lt;&gt; 0), (X12/$H12)*100, ""))</f>
        <v/>
      </c>
      <c r="Z12" s="38">
        <v>13</v>
      </c>
      <c r="AA12" s="51">
        <f>IF((ISERROR((Z12/$H12)*100)), "", IF(AND(NOT(ISERROR((Z12/$H12)*100)),((Z12/$H12)*100) &lt;&gt; 0), (Z12/$H12)*100, ""))</f>
        <v>13</v>
      </c>
      <c r="AB12" s="19" t="s">
        <v>218</v>
      </c>
    </row>
    <row r="13" spans="1:39" ht="20" customHeight="1" x14ac:dyDescent="0.2">
      <c r="A13" s="36"/>
      <c r="B13" s="95"/>
      <c r="C13" s="20" t="s">
        <v>220</v>
      </c>
      <c r="D13" s="19" t="s">
        <v>76</v>
      </c>
      <c r="E13" s="19" t="s">
        <v>77</v>
      </c>
      <c r="F13" s="20">
        <v>2014</v>
      </c>
      <c r="G13" s="20">
        <v>9</v>
      </c>
      <c r="H13" s="87">
        <v>82</v>
      </c>
      <c r="I13" s="88"/>
      <c r="J13" s="38"/>
      <c r="K13" s="51" t="str">
        <f t="shared" si="0"/>
        <v/>
      </c>
      <c r="L13" s="42"/>
      <c r="M13" s="51" t="str">
        <f t="shared" si="1"/>
        <v/>
      </c>
      <c r="N13" s="38"/>
      <c r="O13" s="51" t="str">
        <f t="shared" si="2"/>
        <v/>
      </c>
      <c r="P13" s="38"/>
      <c r="Q13" s="51" t="str">
        <f t="shared" si="3"/>
        <v/>
      </c>
      <c r="R13" s="38"/>
      <c r="S13" s="51" t="str">
        <f t="shared" si="4"/>
        <v/>
      </c>
      <c r="T13" s="38"/>
      <c r="U13" s="51" t="str">
        <f t="shared" si="5"/>
        <v/>
      </c>
      <c r="V13" s="38"/>
      <c r="W13" s="51" t="str">
        <f t="shared" si="6"/>
        <v/>
      </c>
      <c r="X13" s="38"/>
      <c r="Y13" s="51" t="str">
        <f t="shared" si="7"/>
        <v/>
      </c>
      <c r="Z13" s="38">
        <v>8</v>
      </c>
      <c r="AA13" s="51">
        <f t="shared" ref="AA13:AA52" si="8">IF((ISERROR((Z13/H13)*100)), "", IF(AND(NOT(ISERROR((Z13/H13)*100)),((Z13/H13)*100) &lt;&gt; 0), (Z13/H13)*100, ""))</f>
        <v>9.7560975609756095</v>
      </c>
      <c r="AB13" s="27" t="s">
        <v>219</v>
      </c>
    </row>
    <row r="14" spans="1:39" ht="20" customHeight="1" x14ac:dyDescent="0.2">
      <c r="A14" s="33"/>
      <c r="D14" s="19" t="s">
        <v>79</v>
      </c>
      <c r="E14" s="19" t="s">
        <v>80</v>
      </c>
      <c r="F14" s="20">
        <v>2013</v>
      </c>
      <c r="G14" s="20">
        <v>15</v>
      </c>
      <c r="H14" s="87"/>
      <c r="I14" s="88"/>
      <c r="J14" s="38"/>
      <c r="K14" s="51" t="str">
        <f t="shared" si="0"/>
        <v/>
      </c>
      <c r="L14" s="42"/>
      <c r="M14" s="51" t="str">
        <f t="shared" si="1"/>
        <v/>
      </c>
      <c r="N14" s="38"/>
      <c r="O14" s="51" t="str">
        <f t="shared" si="2"/>
        <v/>
      </c>
      <c r="P14" s="38"/>
      <c r="Q14" s="51" t="str">
        <f t="shared" si="3"/>
        <v/>
      </c>
      <c r="R14" s="38"/>
      <c r="S14" s="51" t="str">
        <f t="shared" si="4"/>
        <v/>
      </c>
      <c r="T14" s="38"/>
      <c r="U14" s="51" t="str">
        <f t="shared" si="5"/>
        <v/>
      </c>
      <c r="V14" s="38"/>
      <c r="W14" s="51" t="str">
        <f t="shared" si="6"/>
        <v/>
      </c>
      <c r="X14" s="38"/>
      <c r="Y14" s="51" t="str">
        <f t="shared" si="7"/>
        <v/>
      </c>
      <c r="Z14" s="38"/>
      <c r="AA14" s="51" t="str">
        <f t="shared" si="8"/>
        <v/>
      </c>
      <c r="AB14" s="27" t="s">
        <v>78</v>
      </c>
    </row>
    <row r="15" spans="1:39" ht="20" customHeight="1" x14ac:dyDescent="0.2">
      <c r="A15" s="33"/>
      <c r="C15" s="20" t="s">
        <v>220</v>
      </c>
      <c r="D15" s="19" t="s">
        <v>81</v>
      </c>
      <c r="E15" s="19" t="s">
        <v>82</v>
      </c>
      <c r="F15" s="20">
        <v>1986</v>
      </c>
      <c r="G15" s="20">
        <v>146</v>
      </c>
      <c r="H15" s="87">
        <v>13</v>
      </c>
      <c r="I15" s="88" t="s">
        <v>83</v>
      </c>
      <c r="J15" s="38"/>
      <c r="K15" s="51" t="str">
        <f t="shared" si="0"/>
        <v/>
      </c>
      <c r="L15" s="42"/>
      <c r="M15" s="51" t="str">
        <f t="shared" si="1"/>
        <v/>
      </c>
      <c r="N15" s="38"/>
      <c r="O15" s="51" t="str">
        <f t="shared" si="2"/>
        <v/>
      </c>
      <c r="P15" s="38"/>
      <c r="Q15" s="51" t="str">
        <f t="shared" si="3"/>
        <v/>
      </c>
      <c r="R15" s="38"/>
      <c r="S15" s="51" t="str">
        <f t="shared" si="4"/>
        <v/>
      </c>
      <c r="T15" s="38"/>
      <c r="U15" s="51" t="str">
        <f t="shared" si="5"/>
        <v/>
      </c>
      <c r="V15" s="38">
        <v>13</v>
      </c>
      <c r="W15" s="51">
        <f t="shared" si="6"/>
        <v>100</v>
      </c>
      <c r="X15" s="38"/>
      <c r="Y15" s="51" t="str">
        <f t="shared" si="7"/>
        <v/>
      </c>
      <c r="Z15" s="38"/>
      <c r="AA15" s="51" t="str">
        <f t="shared" si="8"/>
        <v/>
      </c>
      <c r="AB15" s="27" t="s">
        <v>221</v>
      </c>
    </row>
    <row r="16" spans="1:39" ht="20" customHeight="1" x14ac:dyDescent="0.2">
      <c r="A16" s="33"/>
      <c r="D16" s="19" t="s">
        <v>85</v>
      </c>
      <c r="E16" s="19" t="s">
        <v>86</v>
      </c>
      <c r="F16" s="20">
        <v>2008</v>
      </c>
      <c r="G16" s="20">
        <v>33</v>
      </c>
      <c r="H16" s="87">
        <v>101</v>
      </c>
      <c r="I16" s="88"/>
      <c r="J16" s="38"/>
      <c r="K16" s="51" t="str">
        <f t="shared" si="0"/>
        <v/>
      </c>
      <c r="L16" s="42"/>
      <c r="M16" s="51" t="str">
        <f t="shared" si="1"/>
        <v/>
      </c>
      <c r="N16" s="38"/>
      <c r="O16" s="51" t="str">
        <f t="shared" si="2"/>
        <v/>
      </c>
      <c r="P16" s="38"/>
      <c r="Q16" s="51" t="str">
        <f t="shared" si="3"/>
        <v/>
      </c>
      <c r="R16" s="38"/>
      <c r="S16" s="51" t="str">
        <f t="shared" si="4"/>
        <v/>
      </c>
      <c r="T16" s="38"/>
      <c r="U16" s="51" t="str">
        <f t="shared" si="5"/>
        <v/>
      </c>
      <c r="V16" s="38"/>
      <c r="W16" s="51" t="str">
        <f t="shared" si="6"/>
        <v/>
      </c>
      <c r="X16" s="38"/>
      <c r="Y16" s="51" t="str">
        <f t="shared" si="7"/>
        <v/>
      </c>
      <c r="Z16" s="38">
        <v>6</v>
      </c>
      <c r="AA16" s="51">
        <f t="shared" si="8"/>
        <v>5.9405940594059405</v>
      </c>
      <c r="AB16" s="19" t="s">
        <v>87</v>
      </c>
    </row>
    <row r="17" spans="1:28" ht="20" customHeight="1" x14ac:dyDescent="0.2">
      <c r="A17" s="36"/>
      <c r="B17" s="95"/>
      <c r="D17" s="19" t="s">
        <v>88</v>
      </c>
      <c r="E17" s="19" t="s">
        <v>89</v>
      </c>
      <c r="F17" s="20">
        <v>2011</v>
      </c>
      <c r="H17" s="87">
        <v>1</v>
      </c>
      <c r="I17" s="88"/>
      <c r="J17" s="38">
        <v>1</v>
      </c>
      <c r="K17" s="51">
        <f t="shared" si="0"/>
        <v>100</v>
      </c>
      <c r="L17" s="42"/>
      <c r="M17" s="51" t="str">
        <f t="shared" si="1"/>
        <v/>
      </c>
      <c r="N17" s="38"/>
      <c r="O17" s="51" t="str">
        <f t="shared" si="2"/>
        <v/>
      </c>
      <c r="P17" s="38"/>
      <c r="Q17" s="51" t="str">
        <f t="shared" si="3"/>
        <v/>
      </c>
      <c r="R17" s="38"/>
      <c r="S17" s="51" t="str">
        <f t="shared" si="4"/>
        <v/>
      </c>
      <c r="T17" s="38">
        <v>1</v>
      </c>
      <c r="U17" s="51">
        <f t="shared" si="5"/>
        <v>100</v>
      </c>
      <c r="V17" s="38"/>
      <c r="W17" s="51" t="str">
        <f t="shared" si="6"/>
        <v/>
      </c>
      <c r="X17" s="38"/>
      <c r="Y17" s="51" t="str">
        <f t="shared" si="7"/>
        <v/>
      </c>
      <c r="Z17" s="38">
        <v>1</v>
      </c>
      <c r="AA17" s="51">
        <f t="shared" si="8"/>
        <v>100</v>
      </c>
      <c r="AB17" s="19" t="s">
        <v>90</v>
      </c>
    </row>
    <row r="18" spans="1:28" ht="20" customHeight="1" x14ac:dyDescent="0.2">
      <c r="A18" s="33"/>
      <c r="D18" s="19" t="s">
        <v>91</v>
      </c>
      <c r="E18" s="19" t="s">
        <v>92</v>
      </c>
      <c r="F18" s="20">
        <v>2010</v>
      </c>
      <c r="G18" s="20">
        <v>17</v>
      </c>
      <c r="H18" s="87">
        <v>83</v>
      </c>
      <c r="I18" s="88"/>
      <c r="J18" s="38"/>
      <c r="K18" s="51" t="str">
        <f t="shared" si="0"/>
        <v/>
      </c>
      <c r="L18" s="42"/>
      <c r="M18" s="51" t="str">
        <f t="shared" si="1"/>
        <v/>
      </c>
      <c r="N18" s="38"/>
      <c r="O18" s="51" t="str">
        <f t="shared" si="2"/>
        <v/>
      </c>
      <c r="P18" s="38"/>
      <c r="Q18" s="51" t="str">
        <f t="shared" si="3"/>
        <v/>
      </c>
      <c r="R18" s="38"/>
      <c r="S18" s="51" t="str">
        <f t="shared" si="4"/>
        <v/>
      </c>
      <c r="T18" s="38"/>
      <c r="U18" s="51" t="str">
        <f t="shared" si="5"/>
        <v/>
      </c>
      <c r="V18" s="38"/>
      <c r="W18" s="51" t="str">
        <f t="shared" si="6"/>
        <v/>
      </c>
      <c r="X18" s="38"/>
      <c r="Y18" s="51" t="str">
        <f t="shared" si="7"/>
        <v/>
      </c>
      <c r="Z18" s="38"/>
      <c r="AA18" s="51" t="str">
        <f t="shared" si="8"/>
        <v/>
      </c>
      <c r="AB18" s="19" t="s">
        <v>93</v>
      </c>
    </row>
    <row r="19" spans="1:28" ht="20" customHeight="1" x14ac:dyDescent="0.2">
      <c r="A19" s="33"/>
      <c r="D19" s="19" t="s">
        <v>94</v>
      </c>
      <c r="E19" s="19" t="s">
        <v>95</v>
      </c>
      <c r="F19" s="20">
        <v>2013</v>
      </c>
      <c r="G19" s="20">
        <v>13</v>
      </c>
      <c r="H19" s="87">
        <v>201</v>
      </c>
      <c r="I19" s="88"/>
      <c r="J19" s="38"/>
      <c r="K19" s="51" t="str">
        <f t="shared" si="0"/>
        <v/>
      </c>
      <c r="L19" s="42"/>
      <c r="M19" s="51" t="str">
        <f t="shared" si="1"/>
        <v/>
      </c>
      <c r="N19" s="38"/>
      <c r="O19" s="51" t="str">
        <f t="shared" si="2"/>
        <v/>
      </c>
      <c r="P19" s="38"/>
      <c r="Q19" s="51" t="str">
        <f t="shared" si="3"/>
        <v/>
      </c>
      <c r="R19" s="38"/>
      <c r="S19" s="51" t="str">
        <f t="shared" si="4"/>
        <v/>
      </c>
      <c r="T19" s="38"/>
      <c r="U19" s="51" t="str">
        <f t="shared" si="5"/>
        <v/>
      </c>
      <c r="V19" s="38"/>
      <c r="W19" s="51" t="str">
        <f t="shared" si="6"/>
        <v/>
      </c>
      <c r="X19" s="38"/>
      <c r="Y19" s="51" t="str">
        <f t="shared" si="7"/>
        <v/>
      </c>
      <c r="Z19" s="38">
        <v>16</v>
      </c>
      <c r="AA19" s="51">
        <f t="shared" si="8"/>
        <v>7.9601990049751246</v>
      </c>
      <c r="AB19" s="27" t="s">
        <v>78</v>
      </c>
    </row>
    <row r="20" spans="1:28" ht="20" customHeight="1" x14ac:dyDescent="0.2">
      <c r="A20" s="36"/>
      <c r="B20" s="95"/>
      <c r="D20" s="19" t="s">
        <v>96</v>
      </c>
      <c r="E20" s="19" t="s">
        <v>97</v>
      </c>
      <c r="F20" s="20">
        <v>2013</v>
      </c>
      <c r="G20" s="20">
        <v>12</v>
      </c>
      <c r="H20" s="87">
        <v>304</v>
      </c>
      <c r="I20" s="88" t="s">
        <v>98</v>
      </c>
      <c r="J20" s="38"/>
      <c r="K20" s="51" t="str">
        <f t="shared" si="0"/>
        <v/>
      </c>
      <c r="L20" s="42"/>
      <c r="M20" s="51" t="str">
        <f t="shared" si="1"/>
        <v/>
      </c>
      <c r="N20" s="38"/>
      <c r="O20" s="51" t="str">
        <f t="shared" si="2"/>
        <v/>
      </c>
      <c r="P20" s="38"/>
      <c r="Q20" s="51" t="str">
        <f t="shared" si="3"/>
        <v/>
      </c>
      <c r="R20" s="38"/>
      <c r="S20" s="51" t="str">
        <f t="shared" si="4"/>
        <v/>
      </c>
      <c r="T20" s="38"/>
      <c r="U20" s="51" t="str">
        <f t="shared" si="5"/>
        <v/>
      </c>
      <c r="V20" s="38"/>
      <c r="W20" s="51" t="str">
        <f t="shared" si="6"/>
        <v/>
      </c>
      <c r="X20" s="38"/>
      <c r="Y20" s="51" t="str">
        <f t="shared" si="7"/>
        <v/>
      </c>
      <c r="Z20" s="38">
        <v>14</v>
      </c>
      <c r="AA20" s="51">
        <f t="shared" si="8"/>
        <v>4.6052631578947363</v>
      </c>
    </row>
    <row r="21" spans="1:28" ht="20" customHeight="1" x14ac:dyDescent="0.2">
      <c r="A21" s="36"/>
      <c r="B21" s="94"/>
      <c r="D21" s="19" t="s">
        <v>99</v>
      </c>
      <c r="E21" s="19" t="s">
        <v>100</v>
      </c>
      <c r="F21" s="20">
        <v>2010</v>
      </c>
      <c r="G21" s="20">
        <v>28</v>
      </c>
      <c r="H21" s="87">
        <v>597</v>
      </c>
      <c r="I21" s="88"/>
      <c r="J21" s="38"/>
      <c r="K21" s="51" t="str">
        <f t="shared" si="0"/>
        <v/>
      </c>
      <c r="L21" s="42"/>
      <c r="M21" s="51" t="str">
        <f t="shared" si="1"/>
        <v/>
      </c>
      <c r="N21" s="38"/>
      <c r="O21" s="51" t="str">
        <f t="shared" si="2"/>
        <v/>
      </c>
      <c r="P21" s="38"/>
      <c r="Q21" s="51" t="str">
        <f t="shared" si="3"/>
        <v/>
      </c>
      <c r="R21" s="38"/>
      <c r="S21" s="51" t="str">
        <f t="shared" si="4"/>
        <v/>
      </c>
      <c r="T21" s="38"/>
      <c r="U21" s="51" t="str">
        <f t="shared" si="5"/>
        <v/>
      </c>
      <c r="V21" s="38"/>
      <c r="W21" s="51" t="str">
        <f t="shared" si="6"/>
        <v/>
      </c>
      <c r="X21" s="38"/>
      <c r="Y21" s="51" t="str">
        <f t="shared" si="7"/>
        <v/>
      </c>
      <c r="Z21" s="38">
        <v>14</v>
      </c>
      <c r="AA21" s="51">
        <f t="shared" si="8"/>
        <v>2.3450586264656614</v>
      </c>
      <c r="AB21" s="19" t="s">
        <v>222</v>
      </c>
    </row>
    <row r="22" spans="1:28" ht="20" customHeight="1" x14ac:dyDescent="0.2">
      <c r="A22" s="36"/>
      <c r="B22" s="94"/>
      <c r="D22" s="19" t="s">
        <v>101</v>
      </c>
      <c r="E22" s="19" t="s">
        <v>102</v>
      </c>
      <c r="F22" s="20">
        <v>2012</v>
      </c>
      <c r="G22" s="20">
        <v>22</v>
      </c>
      <c r="H22" s="87">
        <v>19</v>
      </c>
      <c r="I22" s="88" t="s">
        <v>103</v>
      </c>
      <c r="J22" s="38"/>
      <c r="K22" s="51" t="str">
        <f t="shared" si="0"/>
        <v/>
      </c>
      <c r="L22" s="44"/>
      <c r="M22" s="51" t="str">
        <f t="shared" si="1"/>
        <v/>
      </c>
      <c r="N22" s="38"/>
      <c r="O22" s="51" t="str">
        <f t="shared" si="2"/>
        <v/>
      </c>
      <c r="P22" s="39"/>
      <c r="Q22" s="51" t="str">
        <f t="shared" si="3"/>
        <v/>
      </c>
      <c r="R22" s="38"/>
      <c r="S22" s="51" t="str">
        <f t="shared" si="4"/>
        <v/>
      </c>
      <c r="T22" s="38"/>
      <c r="U22" s="51" t="str">
        <f t="shared" si="5"/>
        <v/>
      </c>
      <c r="V22" s="39"/>
      <c r="W22" s="51" t="str">
        <f t="shared" si="6"/>
        <v/>
      </c>
      <c r="X22" s="38"/>
      <c r="Y22" s="51" t="str">
        <f t="shared" si="7"/>
        <v/>
      </c>
      <c r="Z22" s="38"/>
      <c r="AA22" s="51" t="str">
        <f t="shared" si="8"/>
        <v/>
      </c>
      <c r="AB22" s="19" t="s">
        <v>104</v>
      </c>
    </row>
    <row r="23" spans="1:28" ht="20" customHeight="1" x14ac:dyDescent="0.2">
      <c r="A23" s="36"/>
      <c r="B23" s="94"/>
      <c r="D23" s="48" t="s">
        <v>223</v>
      </c>
      <c r="E23" s="48" t="s">
        <v>102</v>
      </c>
      <c r="F23" s="49">
        <v>2013</v>
      </c>
      <c r="G23" s="49">
        <v>12</v>
      </c>
      <c r="H23" s="89">
        <v>19</v>
      </c>
      <c r="I23" s="90"/>
      <c r="J23" s="38"/>
      <c r="K23" s="51" t="str">
        <f t="shared" si="0"/>
        <v/>
      </c>
      <c r="L23" s="44"/>
      <c r="M23" s="51" t="str">
        <f t="shared" si="1"/>
        <v/>
      </c>
      <c r="N23" s="38"/>
      <c r="O23" s="51" t="str">
        <f t="shared" si="2"/>
        <v/>
      </c>
      <c r="P23" s="39"/>
      <c r="Q23" s="51" t="str">
        <f t="shared" si="3"/>
        <v/>
      </c>
      <c r="R23" s="38"/>
      <c r="S23" s="51" t="str">
        <f t="shared" si="4"/>
        <v/>
      </c>
      <c r="T23" s="38"/>
      <c r="U23" s="51" t="str">
        <f t="shared" si="5"/>
        <v/>
      </c>
      <c r="V23" s="39"/>
      <c r="W23" s="51" t="str">
        <f t="shared" si="6"/>
        <v/>
      </c>
      <c r="X23" s="38"/>
      <c r="Y23" s="51" t="str">
        <f t="shared" si="7"/>
        <v/>
      </c>
      <c r="Z23" s="38"/>
      <c r="AA23" s="51" t="str">
        <f t="shared" si="8"/>
        <v/>
      </c>
      <c r="AB23" s="19" t="s">
        <v>185</v>
      </c>
    </row>
    <row r="24" spans="1:28" ht="20" customHeight="1" x14ac:dyDescent="0.2">
      <c r="A24" s="36"/>
      <c r="B24" s="94"/>
      <c r="D24" s="19" t="s">
        <v>106</v>
      </c>
      <c r="E24" s="19" t="s">
        <v>107</v>
      </c>
      <c r="F24" s="20">
        <v>2007</v>
      </c>
      <c r="G24" s="20">
        <v>41</v>
      </c>
      <c r="H24" s="87">
        <v>71</v>
      </c>
      <c r="I24" s="88"/>
      <c r="J24" s="38"/>
      <c r="K24" s="51" t="str">
        <f t="shared" si="0"/>
        <v/>
      </c>
      <c r="L24" s="42"/>
      <c r="M24" s="51" t="str">
        <f t="shared" si="1"/>
        <v/>
      </c>
      <c r="N24" s="38"/>
      <c r="O24" s="51" t="str">
        <f t="shared" si="2"/>
        <v/>
      </c>
      <c r="P24" s="38"/>
      <c r="Q24" s="51" t="str">
        <f t="shared" si="3"/>
        <v/>
      </c>
      <c r="R24" s="38"/>
      <c r="S24" s="51" t="str">
        <f t="shared" si="4"/>
        <v/>
      </c>
      <c r="T24" s="38"/>
      <c r="U24" s="51" t="str">
        <f t="shared" si="5"/>
        <v/>
      </c>
      <c r="V24" s="38"/>
      <c r="W24" s="51" t="str">
        <f t="shared" si="6"/>
        <v/>
      </c>
      <c r="X24" s="38"/>
      <c r="Y24" s="51" t="str">
        <f t="shared" si="7"/>
        <v/>
      </c>
      <c r="Z24" s="38"/>
      <c r="AA24" s="51" t="str">
        <f t="shared" si="8"/>
        <v/>
      </c>
      <c r="AB24" s="19" t="s">
        <v>108</v>
      </c>
    </row>
    <row r="25" spans="1:28" ht="20" customHeight="1" x14ac:dyDescent="0.2">
      <c r="A25" s="36"/>
      <c r="B25" s="35"/>
      <c r="D25" s="48" t="s">
        <v>109</v>
      </c>
      <c r="E25" s="48" t="s">
        <v>110</v>
      </c>
      <c r="F25" s="49">
        <v>2007</v>
      </c>
      <c r="G25" s="49">
        <v>140</v>
      </c>
      <c r="H25" s="89">
        <v>71</v>
      </c>
      <c r="I25" s="88"/>
      <c r="J25" s="38"/>
      <c r="K25" s="51" t="str">
        <f t="shared" si="0"/>
        <v/>
      </c>
      <c r="L25" s="42"/>
      <c r="M25" s="51" t="str">
        <f t="shared" si="1"/>
        <v/>
      </c>
      <c r="N25" s="38"/>
      <c r="O25" s="51" t="str">
        <f t="shared" si="2"/>
        <v/>
      </c>
      <c r="P25" s="38"/>
      <c r="Q25" s="51" t="str">
        <f t="shared" si="3"/>
        <v/>
      </c>
      <c r="R25" s="38"/>
      <c r="S25" s="51" t="str">
        <f t="shared" si="4"/>
        <v/>
      </c>
      <c r="T25" s="38"/>
      <c r="U25" s="51" t="str">
        <f t="shared" si="5"/>
        <v/>
      </c>
      <c r="V25" s="38"/>
      <c r="W25" s="51" t="str">
        <f t="shared" si="6"/>
        <v/>
      </c>
      <c r="X25" s="38"/>
      <c r="Y25" s="51" t="str">
        <f t="shared" si="7"/>
        <v/>
      </c>
      <c r="Z25" s="38"/>
      <c r="AA25" s="51" t="str">
        <f t="shared" si="8"/>
        <v/>
      </c>
      <c r="AB25" s="19" t="s">
        <v>111</v>
      </c>
    </row>
    <row r="26" spans="1:28" ht="20" customHeight="1" x14ac:dyDescent="0.2">
      <c r="A26" s="33"/>
      <c r="D26" s="19" t="s">
        <v>112</v>
      </c>
      <c r="E26" s="19" t="s">
        <v>113</v>
      </c>
      <c r="F26" s="20">
        <v>2015</v>
      </c>
      <c r="G26" s="20">
        <v>8</v>
      </c>
      <c r="H26" s="87">
        <v>255</v>
      </c>
      <c r="I26" s="88" t="s">
        <v>114</v>
      </c>
      <c r="J26" s="38"/>
      <c r="K26" s="51" t="str">
        <f t="shared" si="0"/>
        <v/>
      </c>
      <c r="L26" s="42"/>
      <c r="M26" s="51" t="str">
        <f t="shared" si="1"/>
        <v/>
      </c>
      <c r="N26" s="38"/>
      <c r="O26" s="51" t="str">
        <f t="shared" si="2"/>
        <v/>
      </c>
      <c r="P26" s="38"/>
      <c r="Q26" s="51" t="str">
        <f t="shared" si="3"/>
        <v/>
      </c>
      <c r="R26" s="38"/>
      <c r="S26" s="51" t="str">
        <f t="shared" si="4"/>
        <v/>
      </c>
      <c r="T26" s="38"/>
      <c r="U26" s="51" t="str">
        <f t="shared" si="5"/>
        <v/>
      </c>
      <c r="V26" s="38"/>
      <c r="W26" s="51" t="str">
        <f t="shared" si="6"/>
        <v/>
      </c>
      <c r="X26" s="38"/>
      <c r="Y26" s="51" t="str">
        <f t="shared" si="7"/>
        <v/>
      </c>
      <c r="Z26" s="39"/>
      <c r="AA26" s="51" t="str">
        <f t="shared" si="8"/>
        <v/>
      </c>
      <c r="AB26" s="19" t="s">
        <v>115</v>
      </c>
    </row>
    <row r="27" spans="1:28" ht="20" customHeight="1" x14ac:dyDescent="0.2">
      <c r="A27" s="36"/>
      <c r="B27" s="94"/>
      <c r="D27" s="19" t="s">
        <v>116</v>
      </c>
      <c r="E27" s="19" t="s">
        <v>117</v>
      </c>
      <c r="F27" s="20">
        <v>1993</v>
      </c>
      <c r="G27" s="20">
        <v>56</v>
      </c>
      <c r="H27" s="87">
        <v>128</v>
      </c>
      <c r="I27" s="88"/>
      <c r="J27" s="38">
        <v>1</v>
      </c>
      <c r="K27" s="51">
        <f t="shared" si="0"/>
        <v>0.78125</v>
      </c>
      <c r="L27" s="42">
        <v>11</v>
      </c>
      <c r="M27" s="51">
        <f t="shared" si="1"/>
        <v>8.59375</v>
      </c>
      <c r="N27" s="38">
        <v>4</v>
      </c>
      <c r="O27" s="51">
        <f t="shared" si="2"/>
        <v>3.125</v>
      </c>
      <c r="P27" s="38"/>
      <c r="Q27" s="51" t="str">
        <f t="shared" si="3"/>
        <v/>
      </c>
      <c r="R27" s="38"/>
      <c r="S27" s="51" t="str">
        <f t="shared" si="4"/>
        <v/>
      </c>
      <c r="T27" s="38"/>
      <c r="U27" s="51" t="str">
        <f t="shared" si="5"/>
        <v/>
      </c>
      <c r="V27" s="38"/>
      <c r="W27" s="51" t="str">
        <f t="shared" si="6"/>
        <v/>
      </c>
      <c r="X27" s="38">
        <v>15</v>
      </c>
      <c r="Y27" s="51">
        <f t="shared" si="7"/>
        <v>11.71875</v>
      </c>
      <c r="Z27" s="38">
        <v>8</v>
      </c>
      <c r="AA27" s="51">
        <f t="shared" si="8"/>
        <v>6.25</v>
      </c>
      <c r="AB27" s="19" t="s">
        <v>238</v>
      </c>
    </row>
    <row r="28" spans="1:28" ht="20" customHeight="1" x14ac:dyDescent="0.2">
      <c r="A28" s="36"/>
      <c r="B28" s="95"/>
      <c r="D28" s="19" t="s">
        <v>118</v>
      </c>
      <c r="E28" s="19" t="s">
        <v>119</v>
      </c>
      <c r="F28" s="20">
        <v>2009</v>
      </c>
      <c r="H28" s="87">
        <v>170</v>
      </c>
      <c r="I28" s="88" t="s">
        <v>120</v>
      </c>
      <c r="J28" s="38"/>
      <c r="K28" s="51" t="str">
        <f t="shared" si="0"/>
        <v/>
      </c>
      <c r="L28" s="42"/>
      <c r="M28" s="51" t="str">
        <f t="shared" si="1"/>
        <v/>
      </c>
      <c r="N28" s="38"/>
      <c r="O28" s="51" t="str">
        <f t="shared" si="2"/>
        <v/>
      </c>
      <c r="P28" s="38"/>
      <c r="Q28" s="51" t="str">
        <f t="shared" si="3"/>
        <v/>
      </c>
      <c r="R28" s="38"/>
      <c r="S28" s="51" t="str">
        <f t="shared" si="4"/>
        <v/>
      </c>
      <c r="T28" s="38">
        <v>15</v>
      </c>
      <c r="U28" s="51">
        <f t="shared" si="5"/>
        <v>8.8235294117647065</v>
      </c>
      <c r="V28" s="38"/>
      <c r="W28" s="51" t="str">
        <f t="shared" si="6"/>
        <v/>
      </c>
      <c r="X28" s="38"/>
      <c r="Y28" s="51" t="str">
        <f t="shared" si="7"/>
        <v/>
      </c>
      <c r="Z28" s="38">
        <v>33</v>
      </c>
      <c r="AA28" s="51">
        <f t="shared" si="8"/>
        <v>19.411764705882355</v>
      </c>
    </row>
    <row r="29" spans="1:28" ht="20" customHeight="1" x14ac:dyDescent="0.2">
      <c r="A29" s="36"/>
      <c r="B29" s="19"/>
      <c r="D29" s="19" t="s">
        <v>224</v>
      </c>
      <c r="E29" s="19" t="s">
        <v>225</v>
      </c>
      <c r="F29" s="20">
        <v>2013</v>
      </c>
      <c r="H29" s="87">
        <v>98</v>
      </c>
      <c r="I29" s="88"/>
      <c r="J29" s="38"/>
      <c r="K29" s="51" t="str">
        <f t="shared" si="0"/>
        <v/>
      </c>
      <c r="L29" s="42"/>
      <c r="M29" s="51" t="str">
        <f t="shared" si="1"/>
        <v/>
      </c>
      <c r="N29" s="38"/>
      <c r="O29" s="51" t="str">
        <f t="shared" si="2"/>
        <v/>
      </c>
      <c r="P29" s="38"/>
      <c r="Q29" s="51" t="str">
        <f t="shared" si="3"/>
        <v/>
      </c>
      <c r="R29" s="38"/>
      <c r="S29" s="51" t="str">
        <f t="shared" si="4"/>
        <v/>
      </c>
      <c r="T29" s="38"/>
      <c r="U29" s="51"/>
      <c r="V29" s="38"/>
      <c r="W29" s="51" t="str">
        <f t="shared" si="6"/>
        <v/>
      </c>
      <c r="X29" s="38"/>
      <c r="Y29" s="51" t="str">
        <f t="shared" si="7"/>
        <v/>
      </c>
      <c r="Z29" s="38">
        <v>14</v>
      </c>
      <c r="AA29" s="51">
        <f t="shared" si="8"/>
        <v>14.285714285714285</v>
      </c>
    </row>
    <row r="30" spans="1:28" ht="20" customHeight="1" x14ac:dyDescent="0.2">
      <c r="A30" s="36"/>
      <c r="D30" s="19" t="s">
        <v>121</v>
      </c>
      <c r="E30" s="19" t="s">
        <v>122</v>
      </c>
      <c r="F30" s="20">
        <v>2008</v>
      </c>
      <c r="G30" s="20">
        <v>21</v>
      </c>
      <c r="H30" s="87">
        <v>227</v>
      </c>
      <c r="I30" s="88" t="s">
        <v>123</v>
      </c>
      <c r="J30" s="38"/>
      <c r="K30" s="51" t="str">
        <f t="shared" si="0"/>
        <v/>
      </c>
      <c r="L30" s="42"/>
      <c r="M30" s="51" t="str">
        <f t="shared" si="1"/>
        <v/>
      </c>
      <c r="N30" s="38"/>
      <c r="O30" s="51" t="str">
        <f t="shared" si="2"/>
        <v/>
      </c>
      <c r="P30" s="38"/>
      <c r="Q30" s="51" t="str">
        <f t="shared" si="3"/>
        <v/>
      </c>
      <c r="R30" s="38"/>
      <c r="S30" s="51" t="str">
        <f t="shared" si="4"/>
        <v/>
      </c>
      <c r="T30" s="38"/>
      <c r="U30" s="51" t="str">
        <f t="shared" ref="U30:U52" si="9">IF((ISERROR((T30/$H30)*100)), "", IF(AND(NOT(ISERROR((T30/$H30)*100)),((T30/$H30)*100) &lt;&gt; 0), (T30/$H30)*100, ""))</f>
        <v/>
      </c>
      <c r="V30" s="38"/>
      <c r="W30" s="51" t="str">
        <f t="shared" si="6"/>
        <v/>
      </c>
      <c r="X30" s="38"/>
      <c r="Y30" s="51" t="str">
        <f t="shared" si="7"/>
        <v/>
      </c>
      <c r="Z30" s="38">
        <v>3</v>
      </c>
      <c r="AA30" s="51">
        <f t="shared" si="8"/>
        <v>1.3215859030837005</v>
      </c>
    </row>
    <row r="31" spans="1:28" ht="20" customHeight="1" x14ac:dyDescent="0.2">
      <c r="A31" s="36"/>
      <c r="B31" s="35"/>
      <c r="D31" s="19" t="s">
        <v>124</v>
      </c>
      <c r="E31" s="19" t="s">
        <v>125</v>
      </c>
      <c r="F31" s="20">
        <v>2005</v>
      </c>
      <c r="G31" s="20">
        <v>23</v>
      </c>
      <c r="H31" s="87">
        <v>174</v>
      </c>
      <c r="I31" s="88"/>
      <c r="J31" s="38"/>
      <c r="K31" s="51" t="str">
        <f t="shared" si="0"/>
        <v/>
      </c>
      <c r="L31" s="42"/>
      <c r="M31" s="51" t="str">
        <f t="shared" si="1"/>
        <v/>
      </c>
      <c r="N31" s="38"/>
      <c r="O31" s="51" t="str">
        <f t="shared" si="2"/>
        <v/>
      </c>
      <c r="P31" s="38"/>
      <c r="Q31" s="51" t="str">
        <f t="shared" si="3"/>
        <v/>
      </c>
      <c r="R31" s="39"/>
      <c r="S31" s="51" t="str">
        <f t="shared" si="4"/>
        <v/>
      </c>
      <c r="T31" s="38"/>
      <c r="U31" s="51" t="str">
        <f t="shared" si="9"/>
        <v/>
      </c>
      <c r="V31" s="39"/>
      <c r="W31" s="51" t="str">
        <f t="shared" si="6"/>
        <v/>
      </c>
      <c r="X31" s="39"/>
      <c r="Y31" s="51" t="str">
        <f t="shared" si="7"/>
        <v/>
      </c>
      <c r="Z31" s="39"/>
      <c r="AA31" s="51" t="str">
        <f t="shared" si="8"/>
        <v/>
      </c>
      <c r="AB31" s="19" t="s">
        <v>126</v>
      </c>
    </row>
    <row r="32" spans="1:28" ht="20" customHeight="1" x14ac:dyDescent="0.2">
      <c r="A32" s="36"/>
      <c r="B32" s="95"/>
      <c r="D32" s="19" t="s">
        <v>127</v>
      </c>
      <c r="E32" s="19" t="s">
        <v>128</v>
      </c>
      <c r="F32" s="20">
        <v>2015</v>
      </c>
      <c r="G32" s="20">
        <v>7</v>
      </c>
      <c r="H32" s="87">
        <v>388</v>
      </c>
      <c r="I32" s="88"/>
      <c r="J32" s="38"/>
      <c r="K32" s="51" t="str">
        <f t="shared" si="0"/>
        <v/>
      </c>
      <c r="L32" s="42"/>
      <c r="M32" s="51" t="str">
        <f t="shared" si="1"/>
        <v/>
      </c>
      <c r="N32" s="38"/>
      <c r="O32" s="51" t="str">
        <f t="shared" si="2"/>
        <v/>
      </c>
      <c r="P32" s="38"/>
      <c r="Q32" s="51" t="str">
        <f t="shared" si="3"/>
        <v/>
      </c>
      <c r="R32" s="38"/>
      <c r="S32" s="51" t="str">
        <f t="shared" si="4"/>
        <v/>
      </c>
      <c r="T32" s="38"/>
      <c r="U32" s="51" t="str">
        <f t="shared" si="9"/>
        <v/>
      </c>
      <c r="V32" s="38"/>
      <c r="W32" s="51" t="str">
        <f t="shared" si="6"/>
        <v/>
      </c>
      <c r="X32" s="38"/>
      <c r="Y32" s="51" t="str">
        <f t="shared" si="7"/>
        <v/>
      </c>
      <c r="Z32" s="38">
        <v>10</v>
      </c>
      <c r="AA32" s="51">
        <f t="shared" si="8"/>
        <v>2.5773195876288657</v>
      </c>
    </row>
    <row r="33" spans="1:28" ht="20" customHeight="1" x14ac:dyDescent="0.2">
      <c r="A33" s="36"/>
      <c r="B33" s="94"/>
      <c r="D33" s="19" t="s">
        <v>129</v>
      </c>
      <c r="E33" s="19" t="s">
        <v>130</v>
      </c>
      <c r="F33" s="20">
        <v>2011</v>
      </c>
      <c r="G33" s="20">
        <v>12</v>
      </c>
      <c r="H33" s="87">
        <v>11</v>
      </c>
      <c r="I33" s="88" t="s">
        <v>131</v>
      </c>
      <c r="J33" s="38"/>
      <c r="K33" s="51" t="str">
        <f t="shared" si="0"/>
        <v/>
      </c>
      <c r="L33" s="42"/>
      <c r="M33" s="51" t="str">
        <f t="shared" si="1"/>
        <v/>
      </c>
      <c r="N33" s="38"/>
      <c r="O33" s="51" t="str">
        <f t="shared" si="2"/>
        <v/>
      </c>
      <c r="P33" s="38"/>
      <c r="Q33" s="51" t="str">
        <f t="shared" si="3"/>
        <v/>
      </c>
      <c r="R33" s="38"/>
      <c r="S33" s="51" t="str">
        <f t="shared" si="4"/>
        <v/>
      </c>
      <c r="T33" s="38"/>
      <c r="U33" s="51" t="str">
        <f t="shared" si="9"/>
        <v/>
      </c>
      <c r="V33" s="38"/>
      <c r="W33" s="51" t="str">
        <f t="shared" si="6"/>
        <v/>
      </c>
      <c r="X33" s="38"/>
      <c r="Y33" s="51" t="str">
        <f t="shared" si="7"/>
        <v/>
      </c>
      <c r="Z33" s="38"/>
      <c r="AA33" s="51" t="str">
        <f t="shared" si="8"/>
        <v/>
      </c>
      <c r="AB33" s="19" t="s">
        <v>132</v>
      </c>
    </row>
    <row r="34" spans="1:28" ht="20" customHeight="1" x14ac:dyDescent="0.2">
      <c r="A34" s="36"/>
      <c r="B34" s="95"/>
      <c r="D34" s="19" t="s">
        <v>133</v>
      </c>
      <c r="E34" s="19" t="s">
        <v>134</v>
      </c>
      <c r="F34" s="20">
        <v>2017</v>
      </c>
      <c r="H34" s="87">
        <v>124</v>
      </c>
      <c r="I34" s="88" t="s">
        <v>120</v>
      </c>
      <c r="J34" s="38"/>
      <c r="K34" s="51" t="str">
        <f t="shared" si="0"/>
        <v/>
      </c>
      <c r="L34" s="42"/>
      <c r="M34" s="51" t="str">
        <f t="shared" si="1"/>
        <v/>
      </c>
      <c r="N34" s="38"/>
      <c r="O34" s="51" t="str">
        <f t="shared" si="2"/>
        <v/>
      </c>
      <c r="P34" s="38"/>
      <c r="Q34" s="51" t="str">
        <f t="shared" si="3"/>
        <v/>
      </c>
      <c r="R34" s="38"/>
      <c r="S34" s="51" t="str">
        <f t="shared" si="4"/>
        <v/>
      </c>
      <c r="T34" s="38"/>
      <c r="U34" s="51" t="str">
        <f t="shared" si="9"/>
        <v/>
      </c>
      <c r="V34" s="38"/>
      <c r="W34" s="51" t="str">
        <f t="shared" si="6"/>
        <v/>
      </c>
      <c r="X34" s="38"/>
      <c r="Y34" s="51" t="str">
        <f t="shared" si="7"/>
        <v/>
      </c>
      <c r="Z34" s="38">
        <v>4</v>
      </c>
      <c r="AA34" s="51">
        <f t="shared" si="8"/>
        <v>3.225806451612903</v>
      </c>
    </row>
    <row r="35" spans="1:28" ht="20" customHeight="1" x14ac:dyDescent="0.2">
      <c r="A35" s="36"/>
      <c r="B35" s="35"/>
      <c r="D35" s="19" t="s">
        <v>135</v>
      </c>
      <c r="E35" s="19" t="s">
        <v>136</v>
      </c>
      <c r="F35" s="20">
        <v>2010</v>
      </c>
      <c r="G35" s="20">
        <v>61</v>
      </c>
      <c r="H35" s="87">
        <v>142</v>
      </c>
      <c r="I35" s="88"/>
      <c r="J35" s="38"/>
      <c r="K35" s="51" t="str">
        <f t="shared" si="0"/>
        <v/>
      </c>
      <c r="L35" s="42"/>
      <c r="M35" s="51" t="str">
        <f t="shared" si="1"/>
        <v/>
      </c>
      <c r="N35" s="38"/>
      <c r="O35" s="51" t="str">
        <f t="shared" si="2"/>
        <v/>
      </c>
      <c r="P35" s="38"/>
      <c r="Q35" s="51" t="str">
        <f t="shared" si="3"/>
        <v/>
      </c>
      <c r="R35" s="38"/>
      <c r="S35" s="51" t="str">
        <f t="shared" si="4"/>
        <v/>
      </c>
      <c r="T35" s="38"/>
      <c r="U35" s="51" t="str">
        <f t="shared" si="9"/>
        <v/>
      </c>
      <c r="V35" s="38"/>
      <c r="W35" s="51" t="str">
        <f t="shared" si="6"/>
        <v/>
      </c>
      <c r="X35" s="38">
        <v>19</v>
      </c>
      <c r="Y35" s="51">
        <f t="shared" si="7"/>
        <v>13.380281690140844</v>
      </c>
      <c r="Z35" s="38"/>
      <c r="AA35" s="51" t="str">
        <f t="shared" si="8"/>
        <v/>
      </c>
      <c r="AB35" s="19" t="s">
        <v>193</v>
      </c>
    </row>
    <row r="36" spans="1:28" ht="20" customHeight="1" x14ac:dyDescent="0.2">
      <c r="A36" s="33"/>
      <c r="D36" s="19" t="s">
        <v>173</v>
      </c>
      <c r="E36" s="19" t="s">
        <v>137</v>
      </c>
      <c r="F36" s="20">
        <v>2008</v>
      </c>
      <c r="G36" s="20">
        <v>78</v>
      </c>
      <c r="H36" s="87">
        <v>143</v>
      </c>
      <c r="I36" s="88"/>
      <c r="J36" s="38"/>
      <c r="K36" s="51" t="str">
        <f t="shared" si="0"/>
        <v/>
      </c>
      <c r="L36" s="42"/>
      <c r="M36" s="51" t="str">
        <f t="shared" si="1"/>
        <v/>
      </c>
      <c r="N36" s="38"/>
      <c r="O36" s="51" t="str">
        <f t="shared" si="2"/>
        <v/>
      </c>
      <c r="P36" s="38"/>
      <c r="Q36" s="51" t="str">
        <f t="shared" si="3"/>
        <v/>
      </c>
      <c r="R36" s="38"/>
      <c r="S36" s="51" t="str">
        <f t="shared" si="4"/>
        <v/>
      </c>
      <c r="T36" s="38"/>
      <c r="U36" s="51" t="str">
        <f t="shared" si="9"/>
        <v/>
      </c>
      <c r="V36" s="38"/>
      <c r="W36" s="51" t="str">
        <f t="shared" si="6"/>
        <v/>
      </c>
      <c r="X36" s="38"/>
      <c r="Y36" s="51" t="str">
        <f t="shared" si="7"/>
        <v/>
      </c>
      <c r="Z36" s="38"/>
      <c r="AA36" s="51" t="str">
        <f t="shared" si="8"/>
        <v/>
      </c>
      <c r="AB36" s="27" t="s">
        <v>195</v>
      </c>
    </row>
    <row r="37" spans="1:28" ht="20" customHeight="1" x14ac:dyDescent="0.2">
      <c r="A37" s="33"/>
      <c r="D37" s="19" t="s">
        <v>138</v>
      </c>
      <c r="E37" s="19" t="s">
        <v>139</v>
      </c>
      <c r="F37" s="20">
        <v>2017</v>
      </c>
      <c r="H37" s="87">
        <v>150</v>
      </c>
      <c r="I37" s="88"/>
      <c r="J37" s="38"/>
      <c r="K37" s="51" t="str">
        <f t="shared" si="0"/>
        <v/>
      </c>
      <c r="L37" s="42"/>
      <c r="M37" s="51" t="str">
        <f t="shared" si="1"/>
        <v/>
      </c>
      <c r="N37" s="38"/>
      <c r="O37" s="51" t="str">
        <f t="shared" si="2"/>
        <v/>
      </c>
      <c r="P37" s="39"/>
      <c r="Q37" s="51" t="str">
        <f t="shared" si="3"/>
        <v/>
      </c>
      <c r="R37" s="38"/>
      <c r="S37" s="51" t="str">
        <f t="shared" si="4"/>
        <v/>
      </c>
      <c r="T37" s="38"/>
      <c r="U37" s="51" t="str">
        <f t="shared" si="9"/>
        <v/>
      </c>
      <c r="V37" s="38"/>
      <c r="W37" s="51" t="str">
        <f t="shared" si="6"/>
        <v/>
      </c>
      <c r="X37" s="38"/>
      <c r="Y37" s="51" t="str">
        <f t="shared" si="7"/>
        <v/>
      </c>
      <c r="Z37" s="38"/>
      <c r="AA37" s="51" t="str">
        <f t="shared" si="8"/>
        <v/>
      </c>
      <c r="AB37" s="27" t="s">
        <v>78</v>
      </c>
    </row>
    <row r="38" spans="1:28" ht="20" customHeight="1" x14ac:dyDescent="0.2">
      <c r="A38" s="36"/>
      <c r="B38" s="94"/>
      <c r="D38" s="19" t="s">
        <v>196</v>
      </c>
      <c r="E38" s="19" t="s">
        <v>197</v>
      </c>
      <c r="F38" s="20">
        <v>2006</v>
      </c>
      <c r="H38" s="87">
        <v>9</v>
      </c>
      <c r="I38" s="88"/>
      <c r="J38" s="38"/>
      <c r="K38" s="51" t="str">
        <f t="shared" si="0"/>
        <v/>
      </c>
      <c r="L38" s="42">
        <v>13</v>
      </c>
      <c r="M38" s="51">
        <f t="shared" si="1"/>
        <v>144.44444444444443</v>
      </c>
      <c r="N38" s="38"/>
      <c r="O38" s="51" t="str">
        <f t="shared" si="2"/>
        <v/>
      </c>
      <c r="P38" s="38">
        <v>4</v>
      </c>
      <c r="Q38" s="51">
        <f t="shared" si="3"/>
        <v>44.444444444444443</v>
      </c>
      <c r="R38" s="38"/>
      <c r="S38" s="51" t="str">
        <f t="shared" si="4"/>
        <v/>
      </c>
      <c r="T38" s="38"/>
      <c r="U38" s="51" t="str">
        <f t="shared" si="9"/>
        <v/>
      </c>
      <c r="V38" s="38">
        <v>1</v>
      </c>
      <c r="W38" s="51">
        <f t="shared" si="6"/>
        <v>11.111111111111111</v>
      </c>
      <c r="X38" s="38">
        <v>1</v>
      </c>
      <c r="Y38" s="51">
        <f t="shared" si="7"/>
        <v>11.111111111111111</v>
      </c>
      <c r="Z38" s="38">
        <v>2</v>
      </c>
      <c r="AA38" s="51">
        <f t="shared" si="8"/>
        <v>22.222222222222221</v>
      </c>
      <c r="AB38" s="19" t="s">
        <v>242</v>
      </c>
    </row>
    <row r="39" spans="1:28" ht="20" customHeight="1" x14ac:dyDescent="0.2">
      <c r="A39" s="36"/>
      <c r="B39" s="94"/>
      <c r="D39" s="19" t="s">
        <v>140</v>
      </c>
      <c r="E39" s="19" t="s">
        <v>141</v>
      </c>
      <c r="F39" s="20">
        <v>2009</v>
      </c>
      <c r="G39" s="20">
        <v>31</v>
      </c>
      <c r="H39" s="87">
        <v>225</v>
      </c>
      <c r="I39" s="88"/>
      <c r="J39" s="38">
        <v>66</v>
      </c>
      <c r="K39" s="51">
        <f t="shared" si="0"/>
        <v>29.333333333333332</v>
      </c>
      <c r="L39" s="42">
        <v>152</v>
      </c>
      <c r="M39" s="51">
        <f t="shared" si="1"/>
        <v>67.555555555555557</v>
      </c>
      <c r="N39" s="38">
        <v>117</v>
      </c>
      <c r="O39" s="51">
        <f t="shared" si="2"/>
        <v>52</v>
      </c>
      <c r="P39" s="38"/>
      <c r="Q39" s="51" t="str">
        <f t="shared" si="3"/>
        <v/>
      </c>
      <c r="R39" s="38">
        <v>66</v>
      </c>
      <c r="S39" s="51">
        <f t="shared" si="4"/>
        <v>29.333333333333332</v>
      </c>
      <c r="T39" s="38"/>
      <c r="U39" s="51" t="str">
        <f t="shared" si="9"/>
        <v/>
      </c>
      <c r="V39" s="38"/>
      <c r="W39" s="51" t="str">
        <f t="shared" si="6"/>
        <v/>
      </c>
      <c r="X39" s="38">
        <v>65</v>
      </c>
      <c r="Y39" s="51">
        <f t="shared" si="7"/>
        <v>28.888888888888886</v>
      </c>
      <c r="Z39" s="38">
        <v>65</v>
      </c>
      <c r="AA39" s="51">
        <f t="shared" si="8"/>
        <v>28.888888888888886</v>
      </c>
      <c r="AB39" s="19" t="s">
        <v>244</v>
      </c>
    </row>
    <row r="40" spans="1:28" ht="20" customHeight="1" x14ac:dyDescent="0.2">
      <c r="A40" s="36"/>
      <c r="B40" s="94"/>
      <c r="D40" s="19" t="s">
        <v>143</v>
      </c>
      <c r="E40" s="19" t="s">
        <v>141</v>
      </c>
      <c r="F40" s="20">
        <v>2009</v>
      </c>
      <c r="G40" s="20">
        <v>6</v>
      </c>
      <c r="H40" s="87">
        <v>78</v>
      </c>
      <c r="I40" s="88"/>
      <c r="J40" s="38">
        <v>17</v>
      </c>
      <c r="K40" s="51">
        <f t="shared" si="0"/>
        <v>21.794871794871796</v>
      </c>
      <c r="L40" s="42">
        <v>50</v>
      </c>
      <c r="M40" s="51">
        <f t="shared" si="1"/>
        <v>64.102564102564102</v>
      </c>
      <c r="N40" s="38">
        <v>33</v>
      </c>
      <c r="O40" s="51">
        <f t="shared" si="2"/>
        <v>42.307692307692307</v>
      </c>
      <c r="P40" s="38"/>
      <c r="Q40" s="51" t="str">
        <f t="shared" si="3"/>
        <v/>
      </c>
      <c r="R40" s="38">
        <v>25</v>
      </c>
      <c r="S40" s="51">
        <f t="shared" si="4"/>
        <v>32.051282051282051</v>
      </c>
      <c r="T40" s="38"/>
      <c r="U40" s="51" t="str">
        <f t="shared" si="9"/>
        <v/>
      </c>
      <c r="V40" s="38"/>
      <c r="W40" s="51" t="str">
        <f t="shared" si="6"/>
        <v/>
      </c>
      <c r="X40" s="38">
        <v>34</v>
      </c>
      <c r="Y40" s="51">
        <f t="shared" si="7"/>
        <v>43.589743589743591</v>
      </c>
      <c r="Z40" s="38">
        <v>20</v>
      </c>
      <c r="AA40" s="51">
        <f t="shared" si="8"/>
        <v>25.641025641025639</v>
      </c>
      <c r="AB40" s="19" t="s">
        <v>240</v>
      </c>
    </row>
    <row r="41" spans="1:28" ht="20" customHeight="1" x14ac:dyDescent="0.2">
      <c r="A41" s="36"/>
      <c r="B41" s="35"/>
      <c r="D41" s="19" t="s">
        <v>145</v>
      </c>
      <c r="E41" s="19" t="s">
        <v>146</v>
      </c>
      <c r="F41" s="20">
        <v>1997</v>
      </c>
      <c r="G41" s="20">
        <v>94</v>
      </c>
      <c r="H41" s="87">
        <v>562</v>
      </c>
      <c r="I41" s="88"/>
      <c r="J41" s="38"/>
      <c r="K41" s="51" t="str">
        <f t="shared" si="0"/>
        <v/>
      </c>
      <c r="L41" s="42"/>
      <c r="M41" s="51" t="str">
        <f t="shared" si="1"/>
        <v/>
      </c>
      <c r="N41" s="38"/>
      <c r="O41" s="51" t="str">
        <f t="shared" si="2"/>
        <v/>
      </c>
      <c r="P41" s="38"/>
      <c r="Q41" s="51" t="str">
        <f t="shared" si="3"/>
        <v/>
      </c>
      <c r="R41" s="38"/>
      <c r="S41" s="51" t="str">
        <f t="shared" si="4"/>
        <v/>
      </c>
      <c r="T41" s="38"/>
      <c r="U41" s="51" t="str">
        <f t="shared" si="9"/>
        <v/>
      </c>
      <c r="V41" s="38"/>
      <c r="W41" s="51" t="str">
        <f t="shared" si="6"/>
        <v/>
      </c>
      <c r="X41" s="38"/>
      <c r="Y41" s="51" t="str">
        <f t="shared" si="7"/>
        <v/>
      </c>
      <c r="Z41" s="39"/>
      <c r="AA41" s="51" t="str">
        <f t="shared" si="8"/>
        <v/>
      </c>
    </row>
    <row r="42" spans="1:28" ht="20" customHeight="1" x14ac:dyDescent="0.2">
      <c r="A42" s="36"/>
      <c r="B42" s="94"/>
      <c r="D42" s="19" t="s">
        <v>147</v>
      </c>
      <c r="E42" s="19" t="s">
        <v>148</v>
      </c>
      <c r="F42" s="20">
        <v>2009</v>
      </c>
      <c r="G42" s="20">
        <v>38</v>
      </c>
      <c r="H42" s="87">
        <v>100</v>
      </c>
      <c r="I42" s="88"/>
      <c r="J42" s="38"/>
      <c r="K42" s="51" t="str">
        <f t="shared" si="0"/>
        <v/>
      </c>
      <c r="L42" s="42">
        <v>19</v>
      </c>
      <c r="M42" s="51">
        <f t="shared" si="1"/>
        <v>19</v>
      </c>
      <c r="N42" s="38">
        <v>11</v>
      </c>
      <c r="O42" s="51">
        <f t="shared" si="2"/>
        <v>11</v>
      </c>
      <c r="P42" s="38">
        <v>7</v>
      </c>
      <c r="Q42" s="51">
        <f t="shared" si="3"/>
        <v>7.0000000000000009</v>
      </c>
      <c r="R42" s="38">
        <v>7</v>
      </c>
      <c r="S42" s="51">
        <f t="shared" si="4"/>
        <v>7.0000000000000009</v>
      </c>
      <c r="T42" s="38"/>
      <c r="U42" s="51" t="str">
        <f t="shared" si="9"/>
        <v/>
      </c>
      <c r="V42" s="38">
        <v>9</v>
      </c>
      <c r="W42" s="51">
        <f t="shared" si="6"/>
        <v>9</v>
      </c>
      <c r="X42" s="38"/>
      <c r="Y42" s="51" t="str">
        <f t="shared" si="7"/>
        <v/>
      </c>
      <c r="Z42" s="38">
        <v>2</v>
      </c>
      <c r="AA42" s="51">
        <f t="shared" si="8"/>
        <v>2</v>
      </c>
      <c r="AB42" s="19" t="s">
        <v>226</v>
      </c>
    </row>
    <row r="43" spans="1:28" ht="20" customHeight="1" x14ac:dyDescent="0.2">
      <c r="A43" s="36"/>
      <c r="B43" s="94"/>
      <c r="D43" s="19" t="s">
        <v>149</v>
      </c>
      <c r="E43" s="19" t="s">
        <v>150</v>
      </c>
      <c r="F43" s="20">
        <v>2006</v>
      </c>
      <c r="G43" s="20">
        <v>56</v>
      </c>
      <c r="H43" s="87">
        <v>500</v>
      </c>
      <c r="I43" s="88"/>
      <c r="J43" s="38"/>
      <c r="K43" s="51" t="str">
        <f t="shared" si="0"/>
        <v/>
      </c>
      <c r="L43" s="42">
        <v>9</v>
      </c>
      <c r="M43" s="51">
        <f t="shared" si="1"/>
        <v>1.7999999999999998</v>
      </c>
      <c r="N43" s="38"/>
      <c r="O43" s="51" t="str">
        <f t="shared" si="2"/>
        <v/>
      </c>
      <c r="P43" s="38">
        <v>2</v>
      </c>
      <c r="Q43" s="51">
        <f t="shared" si="3"/>
        <v>0.4</v>
      </c>
      <c r="R43" s="38">
        <v>1</v>
      </c>
      <c r="S43" s="51">
        <f t="shared" si="4"/>
        <v>0.2</v>
      </c>
      <c r="T43" s="38"/>
      <c r="U43" s="51" t="str">
        <f t="shared" si="9"/>
        <v/>
      </c>
      <c r="V43" s="38"/>
      <c r="W43" s="51" t="str">
        <f t="shared" si="6"/>
        <v/>
      </c>
      <c r="X43" s="38">
        <v>1</v>
      </c>
      <c r="Y43" s="51">
        <f t="shared" si="7"/>
        <v>0.2</v>
      </c>
      <c r="Z43" s="38">
        <v>6</v>
      </c>
      <c r="AA43" s="51">
        <f t="shared" si="8"/>
        <v>1.2</v>
      </c>
      <c r="AB43" s="19" t="s">
        <v>241</v>
      </c>
    </row>
    <row r="44" spans="1:28" ht="20" customHeight="1" x14ac:dyDescent="0.2">
      <c r="A44" s="33"/>
      <c r="B44" s="95"/>
      <c r="D44" s="19" t="s">
        <v>151</v>
      </c>
      <c r="E44" s="19" t="s">
        <v>152</v>
      </c>
      <c r="F44" s="20">
        <v>2016</v>
      </c>
      <c r="G44" s="20">
        <v>2</v>
      </c>
      <c r="H44" s="87">
        <v>177</v>
      </c>
      <c r="I44" s="88"/>
      <c r="J44" s="38"/>
      <c r="K44" s="51" t="str">
        <f t="shared" si="0"/>
        <v/>
      </c>
      <c r="L44" s="42"/>
      <c r="M44" s="51" t="str">
        <f t="shared" si="1"/>
        <v/>
      </c>
      <c r="N44" s="38"/>
      <c r="O44" s="51" t="str">
        <f t="shared" si="2"/>
        <v/>
      </c>
      <c r="P44" s="38"/>
      <c r="Q44" s="51" t="str">
        <f t="shared" si="3"/>
        <v/>
      </c>
      <c r="R44" s="38"/>
      <c r="S44" s="51" t="str">
        <f t="shared" si="4"/>
        <v/>
      </c>
      <c r="T44" s="38"/>
      <c r="U44" s="51" t="str">
        <f t="shared" si="9"/>
        <v/>
      </c>
      <c r="V44" s="38"/>
      <c r="W44" s="51" t="str">
        <f t="shared" si="6"/>
        <v/>
      </c>
      <c r="X44" s="38"/>
      <c r="Y44" s="51" t="str">
        <f t="shared" si="7"/>
        <v/>
      </c>
      <c r="Z44" s="38">
        <v>3</v>
      </c>
      <c r="AA44" s="51">
        <f t="shared" si="8"/>
        <v>1.6949152542372881</v>
      </c>
    </row>
    <row r="45" spans="1:28" ht="20" customHeight="1" x14ac:dyDescent="0.2">
      <c r="A45" s="36"/>
      <c r="B45" s="35"/>
      <c r="D45" s="19" t="s">
        <v>153</v>
      </c>
      <c r="E45" s="19" t="s">
        <v>154</v>
      </c>
      <c r="F45" s="20">
        <v>2009</v>
      </c>
      <c r="H45" s="87">
        <v>293</v>
      </c>
      <c r="I45" s="88" t="s">
        <v>204</v>
      </c>
      <c r="J45" s="38"/>
      <c r="K45" s="51" t="str">
        <f t="shared" si="0"/>
        <v/>
      </c>
      <c r="L45" s="42"/>
      <c r="M45" s="51" t="str">
        <f t="shared" si="1"/>
        <v/>
      </c>
      <c r="N45" s="38"/>
      <c r="O45" s="51" t="str">
        <f t="shared" si="2"/>
        <v/>
      </c>
      <c r="P45" s="38"/>
      <c r="Q45" s="51" t="str">
        <f t="shared" si="3"/>
        <v/>
      </c>
      <c r="R45" s="38"/>
      <c r="S45" s="51" t="str">
        <f t="shared" si="4"/>
        <v/>
      </c>
      <c r="T45" s="38"/>
      <c r="U45" s="51" t="str">
        <f t="shared" si="9"/>
        <v/>
      </c>
      <c r="V45" s="38">
        <v>1</v>
      </c>
      <c r="W45" s="51">
        <f t="shared" si="6"/>
        <v>0.34129692832764508</v>
      </c>
      <c r="X45" s="38">
        <v>5</v>
      </c>
      <c r="Y45" s="51">
        <f t="shared" si="7"/>
        <v>1.7064846416382253</v>
      </c>
      <c r="Z45" s="38">
        <v>6</v>
      </c>
      <c r="AA45" s="51">
        <f t="shared" si="8"/>
        <v>2.0477815699658701</v>
      </c>
    </row>
    <row r="46" spans="1:28" ht="20" customHeight="1" x14ac:dyDescent="0.2">
      <c r="A46" s="36"/>
      <c r="B46" s="95"/>
      <c r="D46" s="19" t="s">
        <v>155</v>
      </c>
      <c r="E46" s="19" t="s">
        <v>156</v>
      </c>
      <c r="F46" s="20">
        <v>2007</v>
      </c>
      <c r="G46" s="20">
        <v>34</v>
      </c>
      <c r="H46" s="87">
        <v>109</v>
      </c>
      <c r="I46" s="88" t="s">
        <v>120</v>
      </c>
      <c r="J46" s="38"/>
      <c r="K46" s="51" t="str">
        <f t="shared" si="0"/>
        <v/>
      </c>
      <c r="L46" s="42">
        <v>8</v>
      </c>
      <c r="M46" s="51">
        <f t="shared" si="1"/>
        <v>7.3394495412844041</v>
      </c>
      <c r="N46" s="38"/>
      <c r="O46" s="51" t="str">
        <f t="shared" si="2"/>
        <v/>
      </c>
      <c r="P46" s="38"/>
      <c r="Q46" s="51" t="str">
        <f t="shared" si="3"/>
        <v/>
      </c>
      <c r="R46" s="38"/>
      <c r="S46" s="51" t="str">
        <f t="shared" si="4"/>
        <v/>
      </c>
      <c r="T46" s="38">
        <v>1</v>
      </c>
      <c r="U46" s="51">
        <f t="shared" si="9"/>
        <v>0.91743119266055051</v>
      </c>
      <c r="V46" s="38"/>
      <c r="W46" s="51" t="str">
        <f t="shared" si="6"/>
        <v/>
      </c>
      <c r="X46" s="38"/>
      <c r="Y46" s="51" t="str">
        <f t="shared" si="7"/>
        <v/>
      </c>
      <c r="Z46" s="38">
        <v>3</v>
      </c>
      <c r="AA46" s="51">
        <f t="shared" si="8"/>
        <v>2.7522935779816518</v>
      </c>
      <c r="AB46" s="19" t="s">
        <v>207</v>
      </c>
    </row>
    <row r="47" spans="1:28" ht="20" customHeight="1" x14ac:dyDescent="0.2">
      <c r="A47" s="36"/>
      <c r="B47" s="95"/>
      <c r="D47" s="19" t="s">
        <v>157</v>
      </c>
      <c r="E47" s="19" t="s">
        <v>158</v>
      </c>
      <c r="F47" s="20">
        <v>2010</v>
      </c>
      <c r="G47" s="20">
        <v>50</v>
      </c>
      <c r="H47" s="87">
        <v>56</v>
      </c>
      <c r="I47" s="88"/>
      <c r="J47" s="38"/>
      <c r="K47" s="51" t="str">
        <f t="shared" si="0"/>
        <v/>
      </c>
      <c r="L47" s="42"/>
      <c r="M47" s="51" t="str">
        <f t="shared" si="1"/>
        <v/>
      </c>
      <c r="N47" s="38"/>
      <c r="O47" s="51" t="str">
        <f t="shared" si="2"/>
        <v/>
      </c>
      <c r="P47" s="38"/>
      <c r="Q47" s="51" t="str">
        <f t="shared" si="3"/>
        <v/>
      </c>
      <c r="R47" s="38"/>
      <c r="S47" s="51" t="str">
        <f t="shared" si="4"/>
        <v/>
      </c>
      <c r="T47" s="38"/>
      <c r="U47" s="51" t="str">
        <f t="shared" si="9"/>
        <v/>
      </c>
      <c r="V47" s="38"/>
      <c r="W47" s="51" t="str">
        <f t="shared" si="6"/>
        <v/>
      </c>
      <c r="X47" s="38"/>
      <c r="Y47" s="51" t="str">
        <f t="shared" si="7"/>
        <v/>
      </c>
      <c r="Z47" s="38">
        <v>2</v>
      </c>
      <c r="AA47" s="51">
        <f t="shared" si="8"/>
        <v>3.5714285714285712</v>
      </c>
    </row>
    <row r="48" spans="1:28" ht="20" customHeight="1" x14ac:dyDescent="0.2">
      <c r="A48" s="33"/>
      <c r="D48" s="19" t="s">
        <v>159</v>
      </c>
      <c r="E48" s="19" t="s">
        <v>160</v>
      </c>
      <c r="F48" s="20">
        <v>2011</v>
      </c>
      <c r="G48" s="20">
        <v>33</v>
      </c>
      <c r="H48" s="87">
        <v>130</v>
      </c>
      <c r="I48" s="88" t="s">
        <v>208</v>
      </c>
      <c r="J48" s="38"/>
      <c r="K48" s="51" t="str">
        <f t="shared" si="0"/>
        <v/>
      </c>
      <c r="L48" s="42"/>
      <c r="M48" s="51" t="str">
        <f t="shared" si="1"/>
        <v/>
      </c>
      <c r="N48" s="38"/>
      <c r="O48" s="51" t="str">
        <f t="shared" si="2"/>
        <v/>
      </c>
      <c r="P48" s="38"/>
      <c r="Q48" s="51" t="str">
        <f t="shared" si="3"/>
        <v/>
      </c>
      <c r="R48" s="38"/>
      <c r="S48" s="51" t="str">
        <f t="shared" si="4"/>
        <v/>
      </c>
      <c r="T48" s="38"/>
      <c r="U48" s="51" t="str">
        <f t="shared" si="9"/>
        <v/>
      </c>
      <c r="V48" s="38"/>
      <c r="W48" s="51" t="str">
        <f t="shared" si="6"/>
        <v/>
      </c>
      <c r="X48" s="38"/>
      <c r="Y48" s="51" t="str">
        <f t="shared" si="7"/>
        <v/>
      </c>
      <c r="Z48" s="39"/>
      <c r="AA48" s="51" t="str">
        <f t="shared" si="8"/>
        <v/>
      </c>
      <c r="AB48" s="27" t="s">
        <v>209</v>
      </c>
    </row>
    <row r="49" spans="1:28" ht="20" customHeight="1" x14ac:dyDescent="0.2">
      <c r="A49" s="36"/>
      <c r="B49" s="35"/>
      <c r="D49" s="19" t="s">
        <v>161</v>
      </c>
      <c r="E49" s="19" t="s">
        <v>162</v>
      </c>
      <c r="F49" s="20">
        <v>2014</v>
      </c>
      <c r="G49" s="20">
        <v>9</v>
      </c>
      <c r="H49" s="87">
        <v>1109</v>
      </c>
      <c r="I49" s="88" t="s">
        <v>163</v>
      </c>
      <c r="J49" s="38"/>
      <c r="K49" s="51" t="str">
        <f t="shared" si="0"/>
        <v/>
      </c>
      <c r="L49" s="42"/>
      <c r="M49" s="51" t="str">
        <f t="shared" si="1"/>
        <v/>
      </c>
      <c r="N49" s="38"/>
      <c r="O49" s="51" t="str">
        <f t="shared" si="2"/>
        <v/>
      </c>
      <c r="P49" s="38"/>
      <c r="Q49" s="51" t="str">
        <f t="shared" si="3"/>
        <v/>
      </c>
      <c r="R49" s="38"/>
      <c r="S49" s="51" t="str">
        <f t="shared" si="4"/>
        <v/>
      </c>
      <c r="T49" s="38"/>
      <c r="U49" s="51" t="str">
        <f t="shared" si="9"/>
        <v/>
      </c>
      <c r="V49" s="38"/>
      <c r="W49" s="51" t="str">
        <f t="shared" si="6"/>
        <v/>
      </c>
      <c r="X49" s="38"/>
      <c r="Y49" s="51" t="str">
        <f t="shared" si="7"/>
        <v/>
      </c>
      <c r="Z49" s="38">
        <v>21</v>
      </c>
      <c r="AA49" s="51">
        <f t="shared" si="8"/>
        <v>1.8935978358881875</v>
      </c>
      <c r="AB49" s="19" t="s">
        <v>164</v>
      </c>
    </row>
    <row r="50" spans="1:28" ht="20" customHeight="1" x14ac:dyDescent="0.2">
      <c r="A50" s="33"/>
      <c r="D50" s="19" t="s">
        <v>165</v>
      </c>
      <c r="E50" s="19" t="s">
        <v>166</v>
      </c>
      <c r="F50" s="20">
        <v>2014</v>
      </c>
      <c r="G50" s="20">
        <v>4</v>
      </c>
      <c r="H50" s="87">
        <v>1109</v>
      </c>
      <c r="I50" s="88"/>
      <c r="J50" s="38"/>
      <c r="K50" s="51" t="str">
        <f t="shared" si="0"/>
        <v/>
      </c>
      <c r="L50" s="42"/>
      <c r="M50" s="51" t="str">
        <f t="shared" si="1"/>
        <v/>
      </c>
      <c r="N50" s="38"/>
      <c r="O50" s="51" t="str">
        <f t="shared" si="2"/>
        <v/>
      </c>
      <c r="P50" s="38"/>
      <c r="Q50" s="51" t="str">
        <f t="shared" si="3"/>
        <v/>
      </c>
      <c r="R50" s="38"/>
      <c r="S50" s="51" t="str">
        <f t="shared" si="4"/>
        <v/>
      </c>
      <c r="T50" s="38"/>
      <c r="U50" s="51" t="str">
        <f t="shared" si="9"/>
        <v/>
      </c>
      <c r="V50" s="38"/>
      <c r="W50" s="51" t="str">
        <f t="shared" si="6"/>
        <v/>
      </c>
      <c r="X50" s="38"/>
      <c r="Y50" s="51" t="str">
        <f t="shared" si="7"/>
        <v/>
      </c>
      <c r="Z50" s="38">
        <v>99</v>
      </c>
      <c r="AA50" s="51">
        <f t="shared" si="8"/>
        <v>8.9269612263300271</v>
      </c>
      <c r="AB50" s="19" t="s">
        <v>167</v>
      </c>
    </row>
    <row r="51" spans="1:28" ht="20" customHeight="1" x14ac:dyDescent="0.2">
      <c r="A51" s="33"/>
      <c r="B51" s="95"/>
      <c r="D51" s="19" t="s">
        <v>168</v>
      </c>
      <c r="E51" s="19" t="s">
        <v>169</v>
      </c>
      <c r="F51" s="20">
        <v>2005</v>
      </c>
      <c r="G51" s="20">
        <v>36</v>
      </c>
      <c r="H51" s="87">
        <v>11</v>
      </c>
      <c r="I51" s="88"/>
      <c r="J51" s="38"/>
      <c r="K51" s="51" t="str">
        <f t="shared" si="0"/>
        <v/>
      </c>
      <c r="L51" s="42"/>
      <c r="M51" s="51" t="str">
        <f t="shared" si="1"/>
        <v/>
      </c>
      <c r="N51" s="38"/>
      <c r="O51" s="51" t="str">
        <f t="shared" si="2"/>
        <v/>
      </c>
      <c r="P51" s="38"/>
      <c r="Q51" s="51" t="str">
        <f t="shared" si="3"/>
        <v/>
      </c>
      <c r="R51" s="38"/>
      <c r="S51" s="51" t="str">
        <f t="shared" si="4"/>
        <v/>
      </c>
      <c r="T51" s="38"/>
      <c r="U51" s="51" t="str">
        <f t="shared" si="9"/>
        <v/>
      </c>
      <c r="V51" s="38"/>
      <c r="W51" s="51" t="str">
        <f t="shared" si="6"/>
        <v/>
      </c>
      <c r="X51" s="38"/>
      <c r="Y51" s="51" t="str">
        <f t="shared" si="7"/>
        <v/>
      </c>
      <c r="Z51" s="38">
        <v>11</v>
      </c>
      <c r="AA51" s="51">
        <f t="shared" si="8"/>
        <v>100</v>
      </c>
      <c r="AB51" s="27" t="s">
        <v>78</v>
      </c>
    </row>
    <row r="52" spans="1:28" ht="20" customHeight="1" thickBot="1" x14ac:dyDescent="0.25">
      <c r="A52" s="33"/>
      <c r="D52" s="19" t="s">
        <v>170</v>
      </c>
      <c r="E52" s="19" t="s">
        <v>171</v>
      </c>
      <c r="F52" s="20">
        <v>2014</v>
      </c>
      <c r="H52" s="91">
        <v>3</v>
      </c>
      <c r="I52" s="92"/>
      <c r="J52" s="40"/>
      <c r="K52" s="52" t="str">
        <f t="shared" si="0"/>
        <v/>
      </c>
      <c r="L52" s="43"/>
      <c r="M52" s="52" t="str">
        <f t="shared" si="1"/>
        <v/>
      </c>
      <c r="N52" s="40"/>
      <c r="O52" s="52" t="str">
        <f t="shared" si="2"/>
        <v/>
      </c>
      <c r="P52" s="40"/>
      <c r="Q52" s="52" t="str">
        <f t="shared" si="3"/>
        <v/>
      </c>
      <c r="R52" s="40"/>
      <c r="S52" s="52" t="str">
        <f t="shared" si="4"/>
        <v/>
      </c>
      <c r="T52" s="40"/>
      <c r="U52" s="52" t="str">
        <f t="shared" si="9"/>
        <v/>
      </c>
      <c r="V52" s="40"/>
      <c r="W52" s="52" t="str">
        <f t="shared" si="6"/>
        <v/>
      </c>
      <c r="X52" s="40"/>
      <c r="Y52" s="52" t="str">
        <f t="shared" si="7"/>
        <v/>
      </c>
      <c r="Z52" s="40"/>
      <c r="AA52" s="41" t="str">
        <f t="shared" si="8"/>
        <v/>
      </c>
      <c r="AB52" s="27" t="s">
        <v>78</v>
      </c>
    </row>
    <row r="53" spans="1:28" x14ac:dyDescent="0.2">
      <c r="H53" s="19"/>
      <c r="I53" s="19"/>
      <c r="J53" s="19"/>
      <c r="K53" s="19"/>
      <c r="L53" s="19"/>
      <c r="M53" s="19"/>
      <c r="N53" s="19"/>
      <c r="O53" s="19"/>
      <c r="P53" s="19"/>
      <c r="Q53" s="19"/>
      <c r="R53" s="19"/>
      <c r="S53" s="19"/>
      <c r="T53" s="19"/>
      <c r="U53" s="19"/>
      <c r="V53" s="19"/>
      <c r="W53" s="19"/>
      <c r="X53" s="19"/>
      <c r="Y53" s="19"/>
      <c r="Z53" s="19"/>
      <c r="AA53" s="53"/>
    </row>
    <row r="54" spans="1:28" ht="17" thickBot="1" x14ac:dyDescent="0.25">
      <c r="K54" s="20"/>
      <c r="AA54" s="50"/>
    </row>
    <row r="55" spans="1:28" x14ac:dyDescent="0.2">
      <c r="D55" s="155" t="s">
        <v>216</v>
      </c>
      <c r="E55" s="155"/>
      <c r="F55" s="155"/>
      <c r="G55" s="156"/>
      <c r="H55" s="61">
        <f>SUM(H12:H52) - (H23 + H25)</f>
        <v>8053</v>
      </c>
      <c r="I55" s="62" t="s">
        <v>211</v>
      </c>
      <c r="J55" s="63">
        <f>IF((SUM(J12:J52)&lt;&gt;0),SUMIF($H12:$H52, "&gt;0", J12:J52), "")</f>
        <v>85</v>
      </c>
      <c r="K55" s="64">
        <f>IF(ISERROR((J55/$H55)*100), "", IF(((J55/$H55)*100) &lt;&gt; 0, (J55/$H55)*100, ""))</f>
        <v>1.0555072643735255</v>
      </c>
      <c r="L55" s="70">
        <f>IF((SUM(L12:L52)&lt;&gt;0),SUMIF($H12:$H52, "&gt;0", L12:L52), "")</f>
        <v>262</v>
      </c>
      <c r="M55" s="71">
        <f>IF(ISERROR((L55/$H55)*100), "", IF(((L55/$H55)*100) &lt;&gt; 0, (L55/$H55)*100, ""))</f>
        <v>3.2534459207748667</v>
      </c>
      <c r="N55" s="65">
        <f>IF((SUM(N12:N52)&lt;&gt;0),SUMIF($H12:$H52, "&gt;0", N12:N52), "")</f>
        <v>165</v>
      </c>
      <c r="O55" s="66">
        <f>IF(ISERROR((N55/$H55)*100), "", IF(((N55/$H55)*100) &lt;&gt; 0, (N55/$H55)*100, ""))</f>
        <v>2.0489258661368437</v>
      </c>
      <c r="P55" s="65">
        <f>IF((SUM(P12:P52)&lt;&gt;0),SUMIF($H12:$H52, "&gt;0", P12:P52), "")</f>
        <v>13</v>
      </c>
      <c r="Q55" s="66">
        <f>IF(ISERROR((P55/$H55)*100), "", IF(((P55/$H55)*100) &lt;&gt; 0, (P55/$H55)*100, ""))</f>
        <v>0.16143052278653919</v>
      </c>
      <c r="R55" s="65">
        <f>IF((SUM(R12:R52)&lt;&gt;0),SUMIF($H12:$H52, "&gt;0", R12:R52), "")</f>
        <v>99</v>
      </c>
      <c r="S55" s="66">
        <f>IF(ISERROR((R55/$H55)*100), "", IF(((R55/$H55)*100) &lt;&gt; 0, (R55/$H55)*100, ""))</f>
        <v>1.229355519682106</v>
      </c>
      <c r="T55" s="63">
        <f>IF((SUM(T12:T52)&lt;&gt;0),SUMIF($H12:$H52, "&gt;0", T12:T52), "")</f>
        <v>17</v>
      </c>
      <c r="U55" s="64">
        <f>IF(ISERROR((T55/$H55)*100), "", IF(((T55/$H55)*100) &lt;&gt; 0, (T55/$H55)*100, ""))</f>
        <v>0.21110145287470511</v>
      </c>
      <c r="V55" s="65">
        <f>IF((SUM(V12:V52)&lt;&gt;0),SUMIF($H12:$H52, "&gt;0", V12:V52), "")</f>
        <v>24</v>
      </c>
      <c r="W55" s="66">
        <f>IF(ISERROR((V55/$H55)*100), "", IF(((V55/$H55)*100) &lt;&gt; 0, (V55/$H55)*100, ""))</f>
        <v>0.29802558052899542</v>
      </c>
      <c r="X55" s="65">
        <f>IF((SUM(X12:X52)&lt;&gt;0),SUMIF($H12:$H52, "&gt;0", X12:X52), "")</f>
        <v>140</v>
      </c>
      <c r="Y55" s="66">
        <f>IF(ISERROR((X55/$H55)*100), "", IF(((X55/$H55)*100) &lt;&gt; 0, (X55/$H55)*100, ""))</f>
        <v>1.7384825530858066</v>
      </c>
      <c r="Z55" s="65">
        <f>IF((SUM(Z12:Z52)&lt;&gt;0),SUMIF($H12:$H52, "&gt;0", Z12:Z52), "")</f>
        <v>384</v>
      </c>
      <c r="AA55" s="66">
        <f>IF(ISERROR((Z55/$H55)*100), "", IF(((Z55/$H55)*100) &lt;&gt; 0, (Z55/$H55)*100, ""))</f>
        <v>4.7684092884639266</v>
      </c>
    </row>
    <row r="56" spans="1:28" ht="16" customHeight="1" x14ac:dyDescent="0.2">
      <c r="D56" s="155" t="s">
        <v>217</v>
      </c>
      <c r="E56" s="155"/>
      <c r="F56" s="155"/>
      <c r="G56" s="156"/>
      <c r="H56" s="57" t="s">
        <v>212</v>
      </c>
      <c r="I56" s="58" t="s">
        <v>211</v>
      </c>
      <c r="J56" s="59">
        <f>IF(SUMIF(J12:J52, "&gt;0", $H12:$H52) &gt; 0, SUMIF(J12:J52, "&gt;0", $H12:$H52), "")</f>
        <v>432</v>
      </c>
      <c r="K56" s="60">
        <f>J55/J56*100</f>
        <v>19.675925925925927</v>
      </c>
      <c r="L56" s="72">
        <f>IF(SUMIF(L12:L52, "&gt;0", $H12:$H52) &gt; 0, SUMIF(L12:L52, "&gt;0", $H12:$H52), "")</f>
        <v>1149</v>
      </c>
      <c r="M56" s="68">
        <f>L55/L56*100</f>
        <v>22.802436901653611</v>
      </c>
      <c r="N56" s="67">
        <f>IF(SUMIF(N12:N52, "&gt;0", $H12:$H52) &gt; 0, SUMIF(N12:N52, "&gt;0", $H12:$H52), "")</f>
        <v>531</v>
      </c>
      <c r="O56" s="68">
        <f>N55/N56*100</f>
        <v>31.073446327683619</v>
      </c>
      <c r="P56" s="67">
        <f>IF(SUMIF(P12:P52, "&gt;0", $H12:$H52) &gt; 0, SUMIF(P12:P52, "&gt;0", $H12:$H52), "")</f>
        <v>609</v>
      </c>
      <c r="Q56" s="68">
        <f>P55/P56*100</f>
        <v>2.1346469622331692</v>
      </c>
      <c r="R56" s="67">
        <f>IF(SUMIF(R12:R52, "&gt;0", $H12:$H52) &gt; 0, SUMIF(R12:R52, "&gt;0", $H12:$H52), "")</f>
        <v>903</v>
      </c>
      <c r="S56" s="68">
        <f>R55/R56*100</f>
        <v>10.963455149501661</v>
      </c>
      <c r="T56" s="59">
        <f>IF(SUMIF(T12:T52, "&gt;0", $H12:$H52) &gt; 0, SUMIF(T12:T52, "&gt;0", $H12:$H52), "")</f>
        <v>280</v>
      </c>
      <c r="U56" s="60">
        <f>T55/T56*100</f>
        <v>6.0714285714285712</v>
      </c>
      <c r="V56" s="67">
        <f>IF(SUMIF(V12:V52, "&gt;0", $H12:$H52) &gt; 0, SUMIF(V12:V52, "&gt;0", $H12:$H52), "")</f>
        <v>415</v>
      </c>
      <c r="W56" s="68">
        <f>V55/V56*100</f>
        <v>5.7831325301204819</v>
      </c>
      <c r="X56" s="67">
        <f>IF(SUMIF(X12:X52, "&gt;0", $H12:$H52) &gt; 0, SUMIF(X12:X52, "&gt;0", $H12:$H52), "")</f>
        <v>1375</v>
      </c>
      <c r="Y56" s="68">
        <f>X55/X56*100</f>
        <v>10.181818181818182</v>
      </c>
      <c r="Z56" s="67">
        <f>IF(SUMIF(Z12:Z52, "&gt;0", $H12:$H52) &gt; 0, SUMIF(Z12:Z52, "&gt;0", $H12:$H52), "")</f>
        <v>6297</v>
      </c>
      <c r="AA56" s="68">
        <f>Z55/Z56*100</f>
        <v>6.0981419723677943</v>
      </c>
    </row>
    <row r="57" spans="1:28" ht="16" customHeight="1" thickBot="1" x14ac:dyDescent="0.25">
      <c r="E57" s="73"/>
      <c r="F57" s="73"/>
      <c r="G57" s="74"/>
      <c r="H57" s="157" t="s">
        <v>215</v>
      </c>
      <c r="I57" s="160"/>
      <c r="J57" s="143" t="s">
        <v>212</v>
      </c>
      <c r="K57" s="149" t="s">
        <v>211</v>
      </c>
      <c r="L57" s="168" t="s">
        <v>212</v>
      </c>
      <c r="M57" s="149" t="s">
        <v>211</v>
      </c>
      <c r="N57" s="143" t="s">
        <v>212</v>
      </c>
      <c r="O57" s="149" t="s">
        <v>211</v>
      </c>
      <c r="P57" s="143" t="s">
        <v>212</v>
      </c>
      <c r="Q57" s="149" t="s">
        <v>211</v>
      </c>
      <c r="R57" s="143" t="s">
        <v>212</v>
      </c>
      <c r="S57" s="149" t="s">
        <v>211</v>
      </c>
      <c r="T57" s="143" t="s">
        <v>212</v>
      </c>
      <c r="U57" s="149" t="s">
        <v>211</v>
      </c>
      <c r="V57" s="143" t="s">
        <v>212</v>
      </c>
      <c r="W57" s="149" t="s">
        <v>211</v>
      </c>
      <c r="X57" s="143" t="s">
        <v>212</v>
      </c>
      <c r="Y57" s="149" t="s">
        <v>211</v>
      </c>
      <c r="Z57" s="143" t="s">
        <v>212</v>
      </c>
      <c r="AA57" s="146" t="s">
        <v>211</v>
      </c>
    </row>
    <row r="58" spans="1:28" ht="16" customHeight="1" x14ac:dyDescent="0.2">
      <c r="E58" s="162" t="s">
        <v>227</v>
      </c>
      <c r="F58" s="163"/>
      <c r="H58" s="158"/>
      <c r="I58" s="160"/>
      <c r="J58" s="144"/>
      <c r="K58" s="150"/>
      <c r="L58" s="169"/>
      <c r="M58" s="150"/>
      <c r="N58" s="144"/>
      <c r="O58" s="150"/>
      <c r="P58" s="144"/>
      <c r="Q58" s="150"/>
      <c r="R58" s="144"/>
      <c r="S58" s="150"/>
      <c r="T58" s="144"/>
      <c r="U58" s="150"/>
      <c r="V58" s="144"/>
      <c r="W58" s="150"/>
      <c r="X58" s="144"/>
      <c r="Y58" s="150"/>
      <c r="Z58" s="144"/>
      <c r="AA58" s="147"/>
    </row>
    <row r="59" spans="1:28" x14ac:dyDescent="0.2">
      <c r="E59" s="164"/>
      <c r="F59" s="165"/>
      <c r="H59" s="158"/>
      <c r="I59" s="160"/>
      <c r="J59" s="144"/>
      <c r="K59" s="150"/>
      <c r="L59" s="169"/>
      <c r="M59" s="150"/>
      <c r="N59" s="144"/>
      <c r="O59" s="150"/>
      <c r="P59" s="144"/>
      <c r="Q59" s="150"/>
      <c r="R59" s="144"/>
      <c r="S59" s="150"/>
      <c r="T59" s="144"/>
      <c r="U59" s="150"/>
      <c r="V59" s="144"/>
      <c r="W59" s="150"/>
      <c r="X59" s="144"/>
      <c r="Y59" s="150"/>
      <c r="Z59" s="144"/>
      <c r="AA59" s="147"/>
    </row>
    <row r="60" spans="1:28" x14ac:dyDescent="0.2">
      <c r="E60" s="164"/>
      <c r="F60" s="165"/>
      <c r="H60" s="158"/>
      <c r="I60" s="160"/>
      <c r="J60" s="145"/>
      <c r="K60" s="151"/>
      <c r="L60" s="170"/>
      <c r="M60" s="151"/>
      <c r="N60" s="145"/>
      <c r="O60" s="151"/>
      <c r="P60" s="145"/>
      <c r="Q60" s="151"/>
      <c r="R60" s="145"/>
      <c r="S60" s="151"/>
      <c r="T60" s="145"/>
      <c r="U60" s="151"/>
      <c r="V60" s="145"/>
      <c r="W60" s="151"/>
      <c r="X60" s="145"/>
      <c r="Y60" s="151"/>
      <c r="Z60" s="145"/>
      <c r="AA60" s="148"/>
    </row>
    <row r="61" spans="1:28" ht="16" customHeight="1" x14ac:dyDescent="0.2">
      <c r="E61" s="164"/>
      <c r="F61" s="165"/>
      <c r="H61" s="158"/>
      <c r="I61" s="160"/>
      <c r="J61" s="123" t="s">
        <v>54</v>
      </c>
      <c r="K61" s="124"/>
      <c r="L61" s="140" t="s">
        <v>184</v>
      </c>
      <c r="M61" s="124"/>
      <c r="N61" s="123" t="s">
        <v>213</v>
      </c>
      <c r="O61" s="124"/>
      <c r="P61" s="123" t="s">
        <v>210</v>
      </c>
      <c r="Q61" s="124"/>
      <c r="R61" s="123" t="s">
        <v>60</v>
      </c>
      <c r="S61" s="124"/>
      <c r="T61" s="123" t="s">
        <v>53</v>
      </c>
      <c r="U61" s="124"/>
      <c r="V61" s="123" t="s">
        <v>51</v>
      </c>
      <c r="W61" s="124"/>
      <c r="X61" s="123" t="s">
        <v>55</v>
      </c>
      <c r="Y61" s="124"/>
      <c r="Z61" s="123" t="s">
        <v>49</v>
      </c>
      <c r="AA61" s="124"/>
    </row>
    <row r="62" spans="1:28" x14ac:dyDescent="0.2">
      <c r="E62" s="164"/>
      <c r="F62" s="165"/>
      <c r="H62" s="158"/>
      <c r="I62" s="160"/>
      <c r="J62" s="123"/>
      <c r="K62" s="124"/>
      <c r="L62" s="140"/>
      <c r="M62" s="124"/>
      <c r="N62" s="123"/>
      <c r="O62" s="124"/>
      <c r="P62" s="123"/>
      <c r="Q62" s="124"/>
      <c r="R62" s="123"/>
      <c r="S62" s="124"/>
      <c r="T62" s="123"/>
      <c r="U62" s="124"/>
      <c r="V62" s="123"/>
      <c r="W62" s="124"/>
      <c r="X62" s="123"/>
      <c r="Y62" s="124"/>
      <c r="Z62" s="123"/>
      <c r="AA62" s="124"/>
    </row>
    <row r="63" spans="1:28" ht="17" thickBot="1" x14ac:dyDescent="0.25">
      <c r="E63" s="166"/>
      <c r="F63" s="167"/>
      <c r="H63" s="158"/>
      <c r="I63" s="160"/>
      <c r="J63" s="136"/>
      <c r="K63" s="137"/>
      <c r="L63" s="142"/>
      <c r="M63" s="137"/>
      <c r="N63" s="136"/>
      <c r="O63" s="137"/>
      <c r="P63" s="136"/>
      <c r="Q63" s="137"/>
      <c r="R63" s="136"/>
      <c r="S63" s="137"/>
      <c r="T63" s="136"/>
      <c r="U63" s="137"/>
      <c r="V63" s="136"/>
      <c r="W63" s="137"/>
      <c r="X63" s="136"/>
      <c r="Y63" s="137"/>
      <c r="Z63" s="136"/>
      <c r="AA63" s="137"/>
    </row>
    <row r="64" spans="1:28" ht="17" thickBot="1" x14ac:dyDescent="0.25">
      <c r="F64" s="19"/>
      <c r="H64" s="159"/>
      <c r="I64" s="161"/>
      <c r="J64" s="133" t="s">
        <v>229</v>
      </c>
      <c r="K64" s="134"/>
      <c r="L64" s="134"/>
      <c r="M64" s="134"/>
      <c r="N64" s="134"/>
      <c r="O64" s="134"/>
      <c r="P64" s="134"/>
      <c r="Q64" s="134"/>
      <c r="R64" s="134"/>
      <c r="S64" s="134"/>
      <c r="T64" s="134"/>
      <c r="U64" s="134"/>
      <c r="V64" s="134"/>
      <c r="W64" s="134"/>
      <c r="X64" s="134"/>
      <c r="Y64" s="134"/>
      <c r="Z64" s="134"/>
      <c r="AA64" s="135"/>
    </row>
    <row r="70" spans="1:49" ht="17" thickBot="1" x14ac:dyDescent="0.25">
      <c r="D70" s="37"/>
      <c r="AB70" s="20"/>
      <c r="AC70" s="20"/>
      <c r="AD70" s="20"/>
      <c r="AE70" s="20"/>
      <c r="AF70" s="20"/>
      <c r="AG70" s="20"/>
      <c r="AH70" s="20"/>
      <c r="AI70" s="20"/>
      <c r="AJ70" s="20"/>
      <c r="AK70" s="20"/>
      <c r="AL70" s="20"/>
      <c r="AM70" s="20"/>
      <c r="AN70" s="20"/>
      <c r="AO70" s="20"/>
      <c r="AP70" s="20"/>
      <c r="AQ70" s="20"/>
      <c r="AR70" s="20"/>
      <c r="AS70" s="20"/>
      <c r="AT70" s="20"/>
      <c r="AU70" s="20"/>
      <c r="AV70" s="20"/>
      <c r="AW70" s="20"/>
    </row>
    <row r="71" spans="1:49" ht="20" customHeight="1" x14ac:dyDescent="0.25">
      <c r="D71" s="75" t="s">
        <v>228</v>
      </c>
      <c r="J71" s="171" t="s">
        <v>230</v>
      </c>
      <c r="K71" s="172"/>
      <c r="L71" s="172"/>
      <c r="M71" s="172"/>
      <c r="N71" s="172"/>
      <c r="O71" s="172"/>
      <c r="P71" s="172"/>
      <c r="Q71" s="172"/>
      <c r="R71" s="172"/>
      <c r="S71" s="172"/>
      <c r="T71" s="172"/>
      <c r="U71" s="172"/>
      <c r="V71" s="172"/>
      <c r="W71" s="172"/>
      <c r="X71" s="172"/>
      <c r="Y71" s="172"/>
      <c r="Z71" s="172"/>
      <c r="AA71" s="172"/>
      <c r="AB71" s="172"/>
      <c r="AC71" s="172"/>
      <c r="AD71" s="172"/>
      <c r="AE71" s="173"/>
    </row>
    <row r="72" spans="1:49" ht="20" customHeight="1" thickBot="1" x14ac:dyDescent="0.25">
      <c r="D72" s="174" t="s">
        <v>232</v>
      </c>
      <c r="J72" s="118" t="s">
        <v>45</v>
      </c>
      <c r="K72" s="119"/>
      <c r="L72" s="119"/>
      <c r="M72" s="119"/>
      <c r="N72" s="119"/>
      <c r="O72" s="119"/>
      <c r="P72" s="119"/>
      <c r="Q72" s="119"/>
      <c r="R72" s="119"/>
      <c r="S72" s="119"/>
      <c r="T72" s="119"/>
      <c r="U72" s="119"/>
      <c r="V72" s="119"/>
      <c r="W72" s="119"/>
      <c r="X72" s="119"/>
      <c r="Y72" s="119"/>
      <c r="Z72" s="119"/>
      <c r="AA72" s="119"/>
      <c r="AB72" s="119"/>
      <c r="AC72" s="119"/>
      <c r="AD72" s="119"/>
      <c r="AE72" s="120"/>
    </row>
    <row r="73" spans="1:49" ht="20" customHeight="1" x14ac:dyDescent="0.2">
      <c r="B73" s="95"/>
      <c r="D73" s="175"/>
      <c r="J73" s="121" t="s">
        <v>56</v>
      </c>
      <c r="K73" s="122"/>
      <c r="L73" s="121" t="s">
        <v>214</v>
      </c>
      <c r="M73" s="122"/>
      <c r="N73" s="121" t="s">
        <v>57</v>
      </c>
      <c r="O73" s="122"/>
      <c r="P73" s="121" t="s">
        <v>61</v>
      </c>
      <c r="Q73" s="122"/>
      <c r="R73" s="127" t="s">
        <v>50</v>
      </c>
      <c r="S73" s="128"/>
      <c r="T73" s="121" t="s">
        <v>62</v>
      </c>
      <c r="U73" s="122"/>
      <c r="V73" s="121" t="s">
        <v>65</v>
      </c>
      <c r="W73" s="122"/>
      <c r="X73" s="121" t="s">
        <v>63</v>
      </c>
      <c r="Y73" s="122"/>
      <c r="Z73" s="121" t="s">
        <v>64</v>
      </c>
      <c r="AA73" s="122"/>
      <c r="AB73" s="121" t="s">
        <v>66</v>
      </c>
      <c r="AC73" s="122"/>
      <c r="AD73" s="121" t="s">
        <v>58</v>
      </c>
      <c r="AE73" s="122"/>
    </row>
    <row r="74" spans="1:49" ht="20" customHeight="1" x14ac:dyDescent="0.2">
      <c r="A74" s="33"/>
      <c r="B74" s="35"/>
      <c r="D74" s="175"/>
      <c r="J74" s="123"/>
      <c r="K74" s="124"/>
      <c r="L74" s="123"/>
      <c r="M74" s="124"/>
      <c r="N74" s="123"/>
      <c r="O74" s="124"/>
      <c r="P74" s="123"/>
      <c r="Q74" s="124"/>
      <c r="R74" s="129"/>
      <c r="S74" s="130"/>
      <c r="T74" s="123"/>
      <c r="U74" s="124"/>
      <c r="V74" s="123"/>
      <c r="W74" s="124"/>
      <c r="X74" s="123"/>
      <c r="Y74" s="124"/>
      <c r="Z74" s="123"/>
      <c r="AA74" s="124"/>
      <c r="AB74" s="123"/>
      <c r="AC74" s="124"/>
      <c r="AD74" s="123"/>
      <c r="AE74" s="124"/>
    </row>
    <row r="75" spans="1:49" ht="20" customHeight="1" thickBot="1" x14ac:dyDescent="0.25">
      <c r="A75" s="34"/>
      <c r="B75" s="94"/>
      <c r="D75" s="175"/>
      <c r="G75" s="19"/>
      <c r="H75" s="19"/>
      <c r="I75" s="19"/>
      <c r="J75" s="125"/>
      <c r="K75" s="126"/>
      <c r="L75" s="125"/>
      <c r="M75" s="126"/>
      <c r="N75" s="125"/>
      <c r="O75" s="126"/>
      <c r="P75" s="125"/>
      <c r="Q75" s="126"/>
      <c r="R75" s="131"/>
      <c r="S75" s="132"/>
      <c r="T75" s="125"/>
      <c r="U75" s="126"/>
      <c r="V75" s="125"/>
      <c r="W75" s="126"/>
      <c r="X75" s="125"/>
      <c r="Y75" s="126"/>
      <c r="Z75" s="125"/>
      <c r="AA75" s="126"/>
      <c r="AB75" s="125"/>
      <c r="AC75" s="126"/>
      <c r="AD75" s="125"/>
      <c r="AE75" s="126"/>
    </row>
    <row r="76" spans="1:49" ht="20" customHeight="1" thickBot="1" x14ac:dyDescent="0.25">
      <c r="A76" s="107" t="s">
        <v>201</v>
      </c>
      <c r="B76" s="107" t="s">
        <v>233</v>
      </c>
      <c r="D76" s="176"/>
      <c r="G76" s="107" t="s">
        <v>46</v>
      </c>
      <c r="H76" s="109" t="s">
        <v>47</v>
      </c>
      <c r="I76" s="112" t="s">
        <v>48</v>
      </c>
      <c r="J76" s="103" t="s">
        <v>212</v>
      </c>
      <c r="K76" s="101" t="s">
        <v>211</v>
      </c>
      <c r="L76" s="103" t="s">
        <v>212</v>
      </c>
      <c r="M76" s="101" t="s">
        <v>211</v>
      </c>
      <c r="N76" s="103" t="s">
        <v>212</v>
      </c>
      <c r="O76" s="101" t="s">
        <v>211</v>
      </c>
      <c r="P76" s="103" t="s">
        <v>212</v>
      </c>
      <c r="Q76" s="101" t="s">
        <v>211</v>
      </c>
      <c r="R76" s="103" t="s">
        <v>212</v>
      </c>
      <c r="S76" s="101" t="s">
        <v>211</v>
      </c>
      <c r="T76" s="103" t="s">
        <v>212</v>
      </c>
      <c r="U76" s="101" t="s">
        <v>211</v>
      </c>
      <c r="V76" s="103" t="s">
        <v>212</v>
      </c>
      <c r="W76" s="101" t="s">
        <v>211</v>
      </c>
      <c r="X76" s="103" t="s">
        <v>212</v>
      </c>
      <c r="Y76" s="101" t="s">
        <v>211</v>
      </c>
      <c r="Z76" s="103" t="s">
        <v>212</v>
      </c>
      <c r="AA76" s="101" t="s">
        <v>211</v>
      </c>
      <c r="AB76" s="103" t="s">
        <v>212</v>
      </c>
      <c r="AC76" s="101" t="s">
        <v>211</v>
      </c>
      <c r="AD76" s="103" t="s">
        <v>212</v>
      </c>
      <c r="AE76" s="101" t="s">
        <v>211</v>
      </c>
    </row>
    <row r="77" spans="1:49" ht="20" customHeight="1" x14ac:dyDescent="0.2">
      <c r="A77" s="107"/>
      <c r="B77" s="107"/>
      <c r="G77" s="107"/>
      <c r="H77" s="110"/>
      <c r="I77" s="113"/>
      <c r="J77" s="103"/>
      <c r="K77" s="101"/>
      <c r="L77" s="103"/>
      <c r="M77" s="101"/>
      <c r="N77" s="103"/>
      <c r="O77" s="101"/>
      <c r="P77" s="103"/>
      <c r="Q77" s="101"/>
      <c r="R77" s="103"/>
      <c r="S77" s="101"/>
      <c r="T77" s="103"/>
      <c r="U77" s="101"/>
      <c r="V77" s="103"/>
      <c r="W77" s="101"/>
      <c r="X77" s="103"/>
      <c r="Y77" s="101"/>
      <c r="Z77" s="103"/>
      <c r="AA77" s="101"/>
      <c r="AB77" s="103"/>
      <c r="AC77" s="101"/>
      <c r="AD77" s="103"/>
      <c r="AE77" s="101"/>
    </row>
    <row r="78" spans="1:49" ht="20" customHeight="1" x14ac:dyDescent="0.2">
      <c r="A78" s="107"/>
      <c r="B78" s="107"/>
      <c r="G78" s="107"/>
      <c r="H78" s="110"/>
      <c r="I78" s="113"/>
      <c r="J78" s="103"/>
      <c r="K78" s="101"/>
      <c r="L78" s="103"/>
      <c r="M78" s="101"/>
      <c r="N78" s="103"/>
      <c r="O78" s="101"/>
      <c r="P78" s="103"/>
      <c r="Q78" s="101"/>
      <c r="R78" s="103"/>
      <c r="S78" s="101"/>
      <c r="T78" s="103"/>
      <c r="U78" s="101"/>
      <c r="V78" s="103"/>
      <c r="W78" s="101"/>
      <c r="X78" s="103"/>
      <c r="Y78" s="101"/>
      <c r="Z78" s="103"/>
      <c r="AA78" s="101"/>
      <c r="AB78" s="103"/>
      <c r="AC78" s="101"/>
      <c r="AD78" s="103"/>
      <c r="AE78" s="101"/>
    </row>
    <row r="79" spans="1:49" ht="20" customHeight="1" x14ac:dyDescent="0.2">
      <c r="A79" s="107"/>
      <c r="B79" s="107"/>
      <c r="G79" s="107"/>
      <c r="H79" s="110"/>
      <c r="I79" s="113"/>
      <c r="J79" s="103"/>
      <c r="K79" s="101"/>
      <c r="L79" s="103"/>
      <c r="M79" s="101"/>
      <c r="N79" s="103"/>
      <c r="O79" s="101"/>
      <c r="P79" s="103"/>
      <c r="Q79" s="101"/>
      <c r="R79" s="103"/>
      <c r="S79" s="101"/>
      <c r="T79" s="103"/>
      <c r="U79" s="101"/>
      <c r="V79" s="103"/>
      <c r="W79" s="101"/>
      <c r="X79" s="103"/>
      <c r="Y79" s="101"/>
      <c r="Z79" s="103"/>
      <c r="AA79" s="101"/>
      <c r="AB79" s="103"/>
      <c r="AC79" s="101"/>
      <c r="AD79" s="103"/>
      <c r="AE79" s="101"/>
    </row>
    <row r="80" spans="1:49" ht="20" customHeight="1" thickBot="1" x14ac:dyDescent="0.25">
      <c r="A80" s="108"/>
      <c r="B80" s="108"/>
      <c r="C80" s="22" t="s">
        <v>68</v>
      </c>
      <c r="D80" s="21" t="s">
        <v>69</v>
      </c>
      <c r="E80" s="21" t="s">
        <v>70</v>
      </c>
      <c r="F80" s="22" t="s">
        <v>71</v>
      </c>
      <c r="G80" s="108"/>
      <c r="H80" s="111"/>
      <c r="I80" s="114"/>
      <c r="J80" s="104"/>
      <c r="K80" s="102"/>
      <c r="L80" s="104"/>
      <c r="M80" s="102"/>
      <c r="N80" s="104"/>
      <c r="O80" s="102"/>
      <c r="P80" s="104"/>
      <c r="Q80" s="102"/>
      <c r="R80" s="104"/>
      <c r="S80" s="102"/>
      <c r="T80" s="104"/>
      <c r="U80" s="102"/>
      <c r="V80" s="104"/>
      <c r="W80" s="102"/>
      <c r="X80" s="104"/>
      <c r="Y80" s="102"/>
      <c r="Z80" s="104"/>
      <c r="AA80" s="102"/>
      <c r="AB80" s="104"/>
      <c r="AC80" s="102"/>
      <c r="AD80" s="104"/>
      <c r="AE80" s="102"/>
      <c r="AF80" s="76" t="s">
        <v>72</v>
      </c>
      <c r="AG80" s="78"/>
      <c r="AH80" s="78"/>
      <c r="AI80" s="78"/>
      <c r="AJ80" s="78"/>
      <c r="AK80" s="78"/>
      <c r="AL80" s="78"/>
      <c r="AM80" s="78"/>
    </row>
    <row r="81" spans="1:32" ht="20" customHeight="1" x14ac:dyDescent="0.2">
      <c r="A81" s="36"/>
      <c r="B81" s="95"/>
      <c r="C81" s="20" t="s">
        <v>220</v>
      </c>
      <c r="D81" s="19" t="s">
        <v>73</v>
      </c>
      <c r="E81" s="19" t="s">
        <v>74</v>
      </c>
      <c r="F81" s="20">
        <v>2015</v>
      </c>
      <c r="G81" s="20">
        <v>3</v>
      </c>
      <c r="H81" s="85">
        <v>100</v>
      </c>
      <c r="I81" s="86" t="s">
        <v>75</v>
      </c>
      <c r="J81" s="38"/>
      <c r="K81" s="55" t="str">
        <f t="shared" ref="K81:K121" si="10">IF((ISERROR((J81/$H81)*100)), "", IF(AND(NOT(ISERROR((J81/$H81)*100)),((J81/$H81)*100) &lt;&gt; 0), (J81/$H81)*100, ""))</f>
        <v/>
      </c>
      <c r="L81" s="38"/>
      <c r="M81" s="51" t="str">
        <f t="shared" ref="M81:M97" si="11">IF((ISERROR((L81/$H81)*100)), "", IF(AND(NOT(ISERROR((L81/$H81)*100)),((L81/$H81)*100) &lt;&gt; 0), (L81/$H81)*100, ""))</f>
        <v/>
      </c>
      <c r="N81" s="46"/>
      <c r="O81" s="55" t="str">
        <f t="shared" ref="O81:O121" si="12">IF((ISERROR((N81/$H81)*100)), "", IF(AND(NOT(ISERROR((N81/$H81)*100)),((N81/$H81)*100) &lt;&gt; 0), (N81/$H81)*100, ""))</f>
        <v/>
      </c>
      <c r="P81" s="47"/>
      <c r="Q81" s="56" t="str">
        <f t="shared" ref="Q81:Q121" si="13">IF((ISERROR((P81/$H81)*100)), "", IF(AND(NOT(ISERROR((P81/$H81)*100)),((P81/$H81)*100) &lt;&gt; 0), (P81/$H81)*100, ""))</f>
        <v/>
      </c>
      <c r="R81" s="38">
        <v>1</v>
      </c>
      <c r="S81" s="51">
        <f>IF((ISERROR((R81/$H81)*100)), "", IF(AND(NOT(ISERROR((R81/$H81)*100)),((R81/$H81)*100) &lt;&gt; 0), (R81/$H81)*100, ""))</f>
        <v>1</v>
      </c>
      <c r="T81" s="47"/>
      <c r="U81" s="56" t="str">
        <f t="shared" ref="U81:U121" si="14">IF((ISERROR((T81/$H81)*100)), "", IF(AND(NOT(ISERROR((T81/$H81)*100)),((T81/$H81)*100) &lt;&gt; 0), (T81/$H81)*100, ""))</f>
        <v/>
      </c>
      <c r="V81" s="47"/>
      <c r="W81" s="56" t="str">
        <f t="shared" ref="W81:W121" si="15">IF((ISERROR((V81/$H81)*100)), "", IF(AND(NOT(ISERROR((V81/$H81)*100)),((V81/$H81)*100) &lt;&gt; 0), (V81/$H81)*100, ""))</f>
        <v/>
      </c>
      <c r="X81" s="47"/>
      <c r="Y81" s="56" t="str">
        <f t="shared" ref="Y81:Y121" si="16">IF((ISERROR((X81/$H81)*100)), "", IF(AND(NOT(ISERROR((X81/$H81)*100)),((X81/$H81)*100) &lt;&gt; 0), (X81/$H81)*100, ""))</f>
        <v/>
      </c>
      <c r="Z81" s="47"/>
      <c r="AA81" s="56" t="str">
        <f t="shared" ref="AA81:AA121" si="17">IF((ISERROR((Z81/$H81)*100)), "", IF(AND(NOT(ISERROR((Z81/$H81)*100)),((Z81/$H81)*100) &lt;&gt; 0), (Z81/$H81)*100, ""))</f>
        <v/>
      </c>
      <c r="AB81" s="47"/>
      <c r="AC81" s="56" t="str">
        <f t="shared" ref="AC81:AC121" si="18">IF((ISERROR((AB81/$H81)*100)), "", IF(AND(NOT(ISERROR((AB81/$H81)*100)),((AB81/$H81)*100) &lt;&gt; 0), (AB81/$H81)*100, ""))</f>
        <v/>
      </c>
      <c r="AD81" s="47"/>
      <c r="AE81" s="56" t="str">
        <f t="shared" ref="AE81:AE121" si="19">IF((ISERROR((AD81/$H81)*100)), "", IF(AND(NOT(ISERROR((AD81/$H81)*100)),((AD81/$H81)*100) &lt;&gt; 0), (AD81/$H81)*100, ""))</f>
        <v/>
      </c>
      <c r="AF81" s="19" t="s">
        <v>218</v>
      </c>
    </row>
    <row r="82" spans="1:32" ht="20" customHeight="1" x14ac:dyDescent="0.2">
      <c r="A82" s="36"/>
      <c r="B82" s="95"/>
      <c r="C82" s="20" t="s">
        <v>220</v>
      </c>
      <c r="D82" s="19" t="s">
        <v>76</v>
      </c>
      <c r="E82" s="19" t="s">
        <v>77</v>
      </c>
      <c r="F82" s="20">
        <v>2014</v>
      </c>
      <c r="G82" s="20">
        <v>9</v>
      </c>
      <c r="H82" s="87">
        <v>82</v>
      </c>
      <c r="I82" s="88"/>
      <c r="J82" s="38"/>
      <c r="K82" s="51" t="str">
        <f t="shared" si="10"/>
        <v/>
      </c>
      <c r="L82" s="38"/>
      <c r="M82" s="51" t="str">
        <f t="shared" si="11"/>
        <v/>
      </c>
      <c r="N82" s="38"/>
      <c r="O82" s="51" t="str">
        <f t="shared" si="12"/>
        <v/>
      </c>
      <c r="P82" s="38"/>
      <c r="Q82" s="51" t="str">
        <f t="shared" si="13"/>
        <v/>
      </c>
      <c r="R82" s="38"/>
      <c r="S82" s="51" t="str">
        <f t="shared" ref="S82:S121" si="20">IF((ISERROR((R82/$H82)*100)), "", IF(AND(NOT(ISERROR((R82/$H82)*100)),((R82/$H82)*100) &lt;&gt; 0), (R82/$H82)*100, ""))</f>
        <v/>
      </c>
      <c r="T82" s="38"/>
      <c r="U82" s="51" t="str">
        <f t="shared" si="14"/>
        <v/>
      </c>
      <c r="V82" s="38"/>
      <c r="W82" s="51" t="str">
        <f t="shared" si="15"/>
        <v/>
      </c>
      <c r="X82" s="38"/>
      <c r="Y82" s="51" t="str">
        <f t="shared" si="16"/>
        <v/>
      </c>
      <c r="Z82" s="38"/>
      <c r="AA82" s="51" t="str">
        <f t="shared" si="17"/>
        <v/>
      </c>
      <c r="AB82" s="38"/>
      <c r="AC82" s="51" t="str">
        <f t="shared" si="18"/>
        <v/>
      </c>
      <c r="AD82" s="38"/>
      <c r="AE82" s="51" t="str">
        <f t="shared" si="19"/>
        <v/>
      </c>
      <c r="AF82" s="27" t="s">
        <v>219</v>
      </c>
    </row>
    <row r="83" spans="1:32" ht="20" customHeight="1" x14ac:dyDescent="0.2">
      <c r="A83" s="33"/>
      <c r="D83" s="19" t="s">
        <v>79</v>
      </c>
      <c r="E83" s="19" t="s">
        <v>80</v>
      </c>
      <c r="F83" s="20">
        <v>2013</v>
      </c>
      <c r="G83" s="20">
        <v>15</v>
      </c>
      <c r="H83" s="87"/>
      <c r="I83" s="88"/>
      <c r="J83" s="38"/>
      <c r="K83" s="51" t="str">
        <f t="shared" si="10"/>
        <v/>
      </c>
      <c r="L83" s="38"/>
      <c r="M83" s="51" t="str">
        <f t="shared" si="11"/>
        <v/>
      </c>
      <c r="N83" s="38"/>
      <c r="O83" s="51" t="str">
        <f t="shared" si="12"/>
        <v/>
      </c>
      <c r="P83" s="38"/>
      <c r="Q83" s="51" t="str">
        <f t="shared" si="13"/>
        <v/>
      </c>
      <c r="R83" s="38"/>
      <c r="S83" s="51" t="str">
        <f t="shared" si="20"/>
        <v/>
      </c>
      <c r="T83" s="38"/>
      <c r="U83" s="51" t="str">
        <f t="shared" si="14"/>
        <v/>
      </c>
      <c r="V83" s="38"/>
      <c r="W83" s="51" t="str">
        <f t="shared" si="15"/>
        <v/>
      </c>
      <c r="X83" s="38"/>
      <c r="Y83" s="51" t="str">
        <f t="shared" si="16"/>
        <v/>
      </c>
      <c r="Z83" s="38"/>
      <c r="AA83" s="51" t="str">
        <f t="shared" si="17"/>
        <v/>
      </c>
      <c r="AB83" s="38"/>
      <c r="AC83" s="51" t="str">
        <f t="shared" si="18"/>
        <v/>
      </c>
      <c r="AD83" s="38"/>
      <c r="AE83" s="51" t="str">
        <f t="shared" si="19"/>
        <v/>
      </c>
      <c r="AF83" s="27" t="s">
        <v>78</v>
      </c>
    </row>
    <row r="84" spans="1:32" ht="20" customHeight="1" x14ac:dyDescent="0.2">
      <c r="A84" s="33"/>
      <c r="C84" s="20" t="s">
        <v>220</v>
      </c>
      <c r="D84" s="19" t="s">
        <v>81</v>
      </c>
      <c r="E84" s="19" t="s">
        <v>82</v>
      </c>
      <c r="F84" s="20">
        <v>1986</v>
      </c>
      <c r="G84" s="20">
        <v>146</v>
      </c>
      <c r="H84" s="87">
        <v>13</v>
      </c>
      <c r="I84" s="88" t="s">
        <v>83</v>
      </c>
      <c r="J84" s="38"/>
      <c r="K84" s="51" t="str">
        <f t="shared" si="10"/>
        <v/>
      </c>
      <c r="L84" s="38"/>
      <c r="M84" s="51" t="str">
        <f t="shared" si="11"/>
        <v/>
      </c>
      <c r="N84" s="38"/>
      <c r="O84" s="51" t="str">
        <f t="shared" si="12"/>
        <v/>
      </c>
      <c r="P84" s="38"/>
      <c r="Q84" s="51" t="str">
        <f t="shared" si="13"/>
        <v/>
      </c>
      <c r="R84" s="38"/>
      <c r="S84" s="51" t="str">
        <f t="shared" si="20"/>
        <v/>
      </c>
      <c r="T84" s="38"/>
      <c r="U84" s="51" t="str">
        <f t="shared" si="14"/>
        <v/>
      </c>
      <c r="V84" s="38"/>
      <c r="W84" s="51" t="str">
        <f t="shared" si="15"/>
        <v/>
      </c>
      <c r="X84" s="38"/>
      <c r="Y84" s="51" t="str">
        <f t="shared" si="16"/>
        <v/>
      </c>
      <c r="Z84" s="38"/>
      <c r="AA84" s="51" t="str">
        <f t="shared" si="17"/>
        <v/>
      </c>
      <c r="AB84" s="38"/>
      <c r="AC84" s="51" t="str">
        <f t="shared" si="18"/>
        <v/>
      </c>
      <c r="AD84" s="38"/>
      <c r="AE84" s="51" t="str">
        <f t="shared" si="19"/>
        <v/>
      </c>
      <c r="AF84" s="27" t="s">
        <v>221</v>
      </c>
    </row>
    <row r="85" spans="1:32" ht="20" customHeight="1" x14ac:dyDescent="0.2">
      <c r="A85" s="33"/>
      <c r="D85" s="19" t="s">
        <v>85</v>
      </c>
      <c r="E85" s="19" t="s">
        <v>86</v>
      </c>
      <c r="F85" s="20">
        <v>2008</v>
      </c>
      <c r="G85" s="20">
        <v>33</v>
      </c>
      <c r="H85" s="87">
        <v>101</v>
      </c>
      <c r="I85" s="88"/>
      <c r="J85" s="38"/>
      <c r="K85" s="51" t="str">
        <f t="shared" si="10"/>
        <v/>
      </c>
      <c r="L85" s="38"/>
      <c r="M85" s="51" t="str">
        <f t="shared" si="11"/>
        <v/>
      </c>
      <c r="N85" s="38"/>
      <c r="O85" s="51" t="str">
        <f t="shared" si="12"/>
        <v/>
      </c>
      <c r="P85" s="38"/>
      <c r="Q85" s="51" t="str">
        <f t="shared" si="13"/>
        <v/>
      </c>
      <c r="R85" s="38">
        <v>6</v>
      </c>
      <c r="S85" s="51">
        <f t="shared" si="20"/>
        <v>5.9405940594059405</v>
      </c>
      <c r="T85" s="38"/>
      <c r="U85" s="51" t="str">
        <f t="shared" si="14"/>
        <v/>
      </c>
      <c r="V85" s="38"/>
      <c r="W85" s="51" t="str">
        <f t="shared" si="15"/>
        <v/>
      </c>
      <c r="X85" s="38"/>
      <c r="Y85" s="51" t="str">
        <f t="shared" si="16"/>
        <v/>
      </c>
      <c r="Z85" s="38"/>
      <c r="AA85" s="51" t="str">
        <f t="shared" si="17"/>
        <v/>
      </c>
      <c r="AB85" s="38"/>
      <c r="AC85" s="51" t="str">
        <f t="shared" si="18"/>
        <v/>
      </c>
      <c r="AD85" s="38"/>
      <c r="AE85" s="51" t="str">
        <f t="shared" si="19"/>
        <v/>
      </c>
      <c r="AF85" s="19" t="s">
        <v>87</v>
      </c>
    </row>
    <row r="86" spans="1:32" ht="20" customHeight="1" x14ac:dyDescent="0.2">
      <c r="A86" s="36"/>
      <c r="B86" s="95"/>
      <c r="D86" s="19" t="s">
        <v>88</v>
      </c>
      <c r="E86" s="19" t="s">
        <v>89</v>
      </c>
      <c r="F86" s="20">
        <v>2011</v>
      </c>
      <c r="H86" s="87">
        <v>1</v>
      </c>
      <c r="I86" s="88"/>
      <c r="J86" s="38"/>
      <c r="K86" s="51" t="str">
        <f t="shared" si="10"/>
        <v/>
      </c>
      <c r="L86" s="38">
        <v>1</v>
      </c>
      <c r="M86" s="51">
        <f t="shared" si="11"/>
        <v>100</v>
      </c>
      <c r="N86" s="38"/>
      <c r="O86" s="51" t="str">
        <f t="shared" si="12"/>
        <v/>
      </c>
      <c r="P86" s="38"/>
      <c r="Q86" s="51" t="str">
        <f t="shared" si="13"/>
        <v/>
      </c>
      <c r="R86" s="38"/>
      <c r="S86" s="51" t="str">
        <f t="shared" si="20"/>
        <v/>
      </c>
      <c r="T86" s="38"/>
      <c r="U86" s="51" t="str">
        <f t="shared" si="14"/>
        <v/>
      </c>
      <c r="V86" s="38"/>
      <c r="W86" s="51" t="str">
        <f t="shared" si="15"/>
        <v/>
      </c>
      <c r="X86" s="38"/>
      <c r="Y86" s="51" t="str">
        <f t="shared" si="16"/>
        <v/>
      </c>
      <c r="Z86" s="38"/>
      <c r="AA86" s="51" t="str">
        <f t="shared" si="17"/>
        <v/>
      </c>
      <c r="AB86" s="38"/>
      <c r="AC86" s="51" t="str">
        <f t="shared" si="18"/>
        <v/>
      </c>
      <c r="AD86" s="38"/>
      <c r="AE86" s="51" t="str">
        <f t="shared" si="19"/>
        <v/>
      </c>
      <c r="AF86" s="19" t="s">
        <v>90</v>
      </c>
    </row>
    <row r="87" spans="1:32" ht="20" customHeight="1" x14ac:dyDescent="0.2">
      <c r="A87" s="33"/>
      <c r="D87" s="19" t="s">
        <v>91</v>
      </c>
      <c r="E87" s="19" t="s">
        <v>92</v>
      </c>
      <c r="F87" s="20">
        <v>2010</v>
      </c>
      <c r="G87" s="20">
        <v>17</v>
      </c>
      <c r="H87" s="87">
        <v>83</v>
      </c>
      <c r="I87" s="88"/>
      <c r="J87" s="38"/>
      <c r="K87" s="51" t="str">
        <f t="shared" si="10"/>
        <v/>
      </c>
      <c r="L87" s="38"/>
      <c r="M87" s="51" t="str">
        <f t="shared" si="11"/>
        <v/>
      </c>
      <c r="N87" s="38"/>
      <c r="O87" s="51" t="str">
        <f t="shared" si="12"/>
        <v/>
      </c>
      <c r="P87" s="38"/>
      <c r="Q87" s="51" t="str">
        <f t="shared" si="13"/>
        <v/>
      </c>
      <c r="R87" s="38"/>
      <c r="S87" s="51" t="str">
        <f t="shared" si="20"/>
        <v/>
      </c>
      <c r="T87" s="38"/>
      <c r="U87" s="51" t="str">
        <f t="shared" si="14"/>
        <v/>
      </c>
      <c r="V87" s="38"/>
      <c r="W87" s="51" t="str">
        <f t="shared" si="15"/>
        <v/>
      </c>
      <c r="X87" s="38"/>
      <c r="Y87" s="51" t="str">
        <f t="shared" si="16"/>
        <v/>
      </c>
      <c r="Z87" s="38"/>
      <c r="AA87" s="51" t="str">
        <f t="shared" si="17"/>
        <v/>
      </c>
      <c r="AB87" s="38"/>
      <c r="AC87" s="51" t="str">
        <f t="shared" si="18"/>
        <v/>
      </c>
      <c r="AD87" s="38"/>
      <c r="AE87" s="51" t="str">
        <f t="shared" si="19"/>
        <v/>
      </c>
      <c r="AF87" s="19" t="s">
        <v>93</v>
      </c>
    </row>
    <row r="88" spans="1:32" ht="20" customHeight="1" x14ac:dyDescent="0.2">
      <c r="A88" s="33"/>
      <c r="D88" s="19" t="s">
        <v>94</v>
      </c>
      <c r="E88" s="19" t="s">
        <v>95</v>
      </c>
      <c r="F88" s="20">
        <v>2013</v>
      </c>
      <c r="G88" s="20">
        <v>13</v>
      </c>
      <c r="H88" s="87">
        <v>201</v>
      </c>
      <c r="I88" s="88"/>
      <c r="J88" s="38"/>
      <c r="K88" s="51" t="str">
        <f t="shared" si="10"/>
        <v/>
      </c>
      <c r="L88" s="38"/>
      <c r="M88" s="51" t="str">
        <f t="shared" si="11"/>
        <v/>
      </c>
      <c r="N88" s="38"/>
      <c r="O88" s="51" t="str">
        <f t="shared" si="12"/>
        <v/>
      </c>
      <c r="P88" s="38"/>
      <c r="Q88" s="51" t="str">
        <f t="shared" si="13"/>
        <v/>
      </c>
      <c r="R88" s="38"/>
      <c r="S88" s="51" t="str">
        <f t="shared" si="20"/>
        <v/>
      </c>
      <c r="T88" s="38"/>
      <c r="U88" s="51" t="str">
        <f t="shared" si="14"/>
        <v/>
      </c>
      <c r="V88" s="38"/>
      <c r="W88" s="51" t="str">
        <f t="shared" si="15"/>
        <v/>
      </c>
      <c r="X88" s="38"/>
      <c r="Y88" s="51" t="str">
        <f t="shared" si="16"/>
        <v/>
      </c>
      <c r="Z88" s="38"/>
      <c r="AA88" s="51" t="str">
        <f t="shared" si="17"/>
        <v/>
      </c>
      <c r="AB88" s="38"/>
      <c r="AC88" s="51" t="str">
        <f t="shared" si="18"/>
        <v/>
      </c>
      <c r="AD88" s="38"/>
      <c r="AE88" s="51" t="str">
        <f t="shared" si="19"/>
        <v/>
      </c>
      <c r="AF88" s="27" t="s">
        <v>78</v>
      </c>
    </row>
    <row r="89" spans="1:32" ht="20" customHeight="1" x14ac:dyDescent="0.2">
      <c r="A89" s="36"/>
      <c r="B89" s="95"/>
      <c r="D89" s="19" t="s">
        <v>96</v>
      </c>
      <c r="E89" s="19" t="s">
        <v>97</v>
      </c>
      <c r="F89" s="20">
        <v>2013</v>
      </c>
      <c r="G89" s="20">
        <v>12</v>
      </c>
      <c r="H89" s="87">
        <v>304</v>
      </c>
      <c r="I89" s="88" t="s">
        <v>98</v>
      </c>
      <c r="J89" s="38"/>
      <c r="K89" s="51" t="str">
        <f t="shared" si="10"/>
        <v/>
      </c>
      <c r="L89" s="38"/>
      <c r="M89" s="51" t="str">
        <f t="shared" si="11"/>
        <v/>
      </c>
      <c r="N89" s="38"/>
      <c r="O89" s="51" t="str">
        <f t="shared" si="12"/>
        <v/>
      </c>
      <c r="P89" s="38"/>
      <c r="Q89" s="51" t="str">
        <f t="shared" si="13"/>
        <v/>
      </c>
      <c r="R89" s="38"/>
      <c r="S89" s="51" t="str">
        <f t="shared" si="20"/>
        <v/>
      </c>
      <c r="T89" s="38"/>
      <c r="U89" s="51" t="str">
        <f t="shared" si="14"/>
        <v/>
      </c>
      <c r="V89" s="38"/>
      <c r="W89" s="51" t="str">
        <f t="shared" si="15"/>
        <v/>
      </c>
      <c r="X89" s="38"/>
      <c r="Y89" s="51" t="str">
        <f t="shared" si="16"/>
        <v/>
      </c>
      <c r="Z89" s="38"/>
      <c r="AA89" s="51" t="str">
        <f t="shared" si="17"/>
        <v/>
      </c>
      <c r="AB89" s="38"/>
      <c r="AC89" s="51" t="str">
        <f t="shared" si="18"/>
        <v/>
      </c>
      <c r="AD89" s="38"/>
      <c r="AE89" s="51" t="str">
        <f t="shared" si="19"/>
        <v/>
      </c>
    </row>
    <row r="90" spans="1:32" ht="20" customHeight="1" x14ac:dyDescent="0.2">
      <c r="A90" s="36"/>
      <c r="B90" s="94"/>
      <c r="D90" s="19" t="s">
        <v>99</v>
      </c>
      <c r="E90" s="19" t="s">
        <v>100</v>
      </c>
      <c r="F90" s="20">
        <v>2010</v>
      </c>
      <c r="G90" s="20">
        <v>28</v>
      </c>
      <c r="H90" s="87">
        <v>597</v>
      </c>
      <c r="I90" s="88"/>
      <c r="J90" s="38"/>
      <c r="K90" s="51" t="str">
        <f t="shared" si="10"/>
        <v/>
      </c>
      <c r="L90" s="38"/>
      <c r="M90" s="51" t="str">
        <f t="shared" si="11"/>
        <v/>
      </c>
      <c r="N90" s="38"/>
      <c r="O90" s="51" t="str">
        <f t="shared" si="12"/>
        <v/>
      </c>
      <c r="P90" s="38"/>
      <c r="Q90" s="51" t="str">
        <f t="shared" si="13"/>
        <v/>
      </c>
      <c r="R90" s="38">
        <v>12</v>
      </c>
      <c r="S90" s="51">
        <f t="shared" si="20"/>
        <v>2.0100502512562812</v>
      </c>
      <c r="T90" s="38"/>
      <c r="U90" s="51" t="str">
        <f t="shared" si="14"/>
        <v/>
      </c>
      <c r="V90" s="38"/>
      <c r="W90" s="51" t="str">
        <f t="shared" si="15"/>
        <v/>
      </c>
      <c r="X90" s="38"/>
      <c r="Y90" s="51" t="str">
        <f t="shared" si="16"/>
        <v/>
      </c>
      <c r="Z90" s="38"/>
      <c r="AA90" s="51" t="str">
        <f t="shared" si="17"/>
        <v/>
      </c>
      <c r="AB90" s="38"/>
      <c r="AC90" s="51" t="str">
        <f t="shared" si="18"/>
        <v/>
      </c>
      <c r="AD90" s="38"/>
      <c r="AE90" s="51" t="str">
        <f t="shared" si="19"/>
        <v/>
      </c>
      <c r="AF90" s="19" t="s">
        <v>222</v>
      </c>
    </row>
    <row r="91" spans="1:32" ht="20" customHeight="1" x14ac:dyDescent="0.2">
      <c r="A91" s="36"/>
      <c r="B91" s="94"/>
      <c r="D91" s="19" t="s">
        <v>101</v>
      </c>
      <c r="E91" s="19" t="s">
        <v>102</v>
      </c>
      <c r="F91" s="20">
        <v>2012</v>
      </c>
      <c r="G91" s="20">
        <v>22</v>
      </c>
      <c r="H91" s="87">
        <v>19</v>
      </c>
      <c r="I91" s="88" t="s">
        <v>103</v>
      </c>
      <c r="J91" s="38"/>
      <c r="K91" s="51" t="str">
        <f t="shared" si="10"/>
        <v/>
      </c>
      <c r="L91" s="38"/>
      <c r="M91" s="51" t="str">
        <f t="shared" si="11"/>
        <v/>
      </c>
      <c r="N91" s="38"/>
      <c r="O91" s="51" t="str">
        <f t="shared" si="12"/>
        <v/>
      </c>
      <c r="P91" s="38"/>
      <c r="Q91" s="51" t="str">
        <f t="shared" si="13"/>
        <v/>
      </c>
      <c r="R91" s="38"/>
      <c r="S91" s="51" t="str">
        <f t="shared" si="20"/>
        <v/>
      </c>
      <c r="T91" s="38"/>
      <c r="U91" s="51" t="str">
        <f t="shared" si="14"/>
        <v/>
      </c>
      <c r="V91" s="39"/>
      <c r="W91" s="51" t="str">
        <f t="shared" si="15"/>
        <v/>
      </c>
      <c r="X91" s="38"/>
      <c r="Y91" s="51" t="str">
        <f t="shared" si="16"/>
        <v/>
      </c>
      <c r="Z91" s="38"/>
      <c r="AA91" s="51" t="str">
        <f t="shared" si="17"/>
        <v/>
      </c>
      <c r="AB91" s="38"/>
      <c r="AC91" s="51" t="str">
        <f t="shared" si="18"/>
        <v/>
      </c>
      <c r="AD91" s="38"/>
      <c r="AE91" s="51" t="str">
        <f t="shared" si="19"/>
        <v/>
      </c>
      <c r="AF91" s="19" t="s">
        <v>104</v>
      </c>
    </row>
    <row r="92" spans="1:32" ht="20" customHeight="1" x14ac:dyDescent="0.2">
      <c r="A92" s="36"/>
      <c r="B92" s="94"/>
      <c r="D92" s="48" t="s">
        <v>223</v>
      </c>
      <c r="E92" s="48" t="s">
        <v>102</v>
      </c>
      <c r="F92" s="49">
        <v>2013</v>
      </c>
      <c r="G92" s="49">
        <v>12</v>
      </c>
      <c r="H92" s="89">
        <v>19</v>
      </c>
      <c r="I92" s="90"/>
      <c r="J92" s="38"/>
      <c r="K92" s="51" t="str">
        <f t="shared" si="10"/>
        <v/>
      </c>
      <c r="L92" s="38"/>
      <c r="M92" s="51" t="str">
        <f t="shared" si="11"/>
        <v/>
      </c>
      <c r="N92" s="38"/>
      <c r="O92" s="51" t="str">
        <f t="shared" si="12"/>
        <v/>
      </c>
      <c r="P92" s="38"/>
      <c r="Q92" s="51" t="str">
        <f t="shared" si="13"/>
        <v/>
      </c>
      <c r="R92" s="38"/>
      <c r="S92" s="51" t="str">
        <f t="shared" si="20"/>
        <v/>
      </c>
      <c r="T92" s="38"/>
      <c r="U92" s="51" t="str">
        <f t="shared" si="14"/>
        <v/>
      </c>
      <c r="V92" s="39"/>
      <c r="W92" s="51" t="str">
        <f t="shared" si="15"/>
        <v/>
      </c>
      <c r="X92" s="38"/>
      <c r="Y92" s="51" t="str">
        <f t="shared" si="16"/>
        <v/>
      </c>
      <c r="Z92" s="38"/>
      <c r="AA92" s="51" t="str">
        <f t="shared" si="17"/>
        <v/>
      </c>
      <c r="AB92" s="38"/>
      <c r="AC92" s="51" t="str">
        <f t="shared" si="18"/>
        <v/>
      </c>
      <c r="AD92" s="38"/>
      <c r="AE92" s="51" t="str">
        <f t="shared" si="19"/>
        <v/>
      </c>
      <c r="AF92" s="19" t="s">
        <v>185</v>
      </c>
    </row>
    <row r="93" spans="1:32" ht="20" customHeight="1" x14ac:dyDescent="0.2">
      <c r="A93" s="36"/>
      <c r="B93" s="94"/>
      <c r="D93" s="19" t="s">
        <v>106</v>
      </c>
      <c r="E93" s="19" t="s">
        <v>107</v>
      </c>
      <c r="F93" s="20">
        <v>2007</v>
      </c>
      <c r="G93" s="20">
        <v>41</v>
      </c>
      <c r="H93" s="87">
        <v>71</v>
      </c>
      <c r="I93" s="88"/>
      <c r="J93" s="38"/>
      <c r="K93" s="51" t="str">
        <f t="shared" si="10"/>
        <v/>
      </c>
      <c r="L93" s="38"/>
      <c r="M93" s="51" t="str">
        <f t="shared" si="11"/>
        <v/>
      </c>
      <c r="N93" s="38"/>
      <c r="O93" s="51" t="str">
        <f t="shared" si="12"/>
        <v/>
      </c>
      <c r="P93" s="38"/>
      <c r="Q93" s="51" t="str">
        <f t="shared" si="13"/>
        <v/>
      </c>
      <c r="R93" s="38"/>
      <c r="S93" s="51" t="str">
        <f t="shared" si="20"/>
        <v/>
      </c>
      <c r="T93" s="38"/>
      <c r="U93" s="51" t="str">
        <f t="shared" si="14"/>
        <v/>
      </c>
      <c r="V93" s="38"/>
      <c r="W93" s="51" t="str">
        <f t="shared" si="15"/>
        <v/>
      </c>
      <c r="X93" s="38"/>
      <c r="Y93" s="51" t="str">
        <f t="shared" si="16"/>
        <v/>
      </c>
      <c r="Z93" s="38"/>
      <c r="AA93" s="51" t="str">
        <f t="shared" si="17"/>
        <v/>
      </c>
      <c r="AB93" s="38"/>
      <c r="AC93" s="51" t="str">
        <f t="shared" si="18"/>
        <v/>
      </c>
      <c r="AD93" s="38"/>
      <c r="AE93" s="51" t="str">
        <f t="shared" si="19"/>
        <v/>
      </c>
      <c r="AF93" s="19" t="s">
        <v>108</v>
      </c>
    </row>
    <row r="94" spans="1:32" ht="20" customHeight="1" x14ac:dyDescent="0.2">
      <c r="A94" s="36"/>
      <c r="B94" s="94"/>
      <c r="D94" s="48" t="s">
        <v>109</v>
      </c>
      <c r="E94" s="48" t="s">
        <v>110</v>
      </c>
      <c r="F94" s="49">
        <v>2007</v>
      </c>
      <c r="G94" s="49">
        <v>140</v>
      </c>
      <c r="H94" s="89">
        <v>71</v>
      </c>
      <c r="I94" s="88"/>
      <c r="J94" s="38"/>
      <c r="K94" s="51" t="str">
        <f t="shared" si="10"/>
        <v/>
      </c>
      <c r="L94" s="38"/>
      <c r="M94" s="51" t="str">
        <f t="shared" si="11"/>
        <v/>
      </c>
      <c r="N94" s="38"/>
      <c r="O94" s="51" t="str">
        <f t="shared" si="12"/>
        <v/>
      </c>
      <c r="P94" s="38"/>
      <c r="Q94" s="51" t="str">
        <f t="shared" si="13"/>
        <v/>
      </c>
      <c r="R94" s="38"/>
      <c r="S94" s="51" t="str">
        <f t="shared" si="20"/>
        <v/>
      </c>
      <c r="T94" s="38"/>
      <c r="U94" s="51" t="str">
        <f t="shared" si="14"/>
        <v/>
      </c>
      <c r="V94" s="38"/>
      <c r="W94" s="51" t="str">
        <f t="shared" si="15"/>
        <v/>
      </c>
      <c r="X94" s="38"/>
      <c r="Y94" s="51" t="str">
        <f t="shared" si="16"/>
        <v/>
      </c>
      <c r="Z94" s="38"/>
      <c r="AA94" s="51" t="str">
        <f t="shared" si="17"/>
        <v/>
      </c>
      <c r="AB94" s="38"/>
      <c r="AC94" s="51" t="str">
        <f t="shared" si="18"/>
        <v/>
      </c>
      <c r="AD94" s="38"/>
      <c r="AE94" s="51" t="str">
        <f t="shared" si="19"/>
        <v/>
      </c>
      <c r="AF94" s="19" t="s">
        <v>111</v>
      </c>
    </row>
    <row r="95" spans="1:32" ht="20" customHeight="1" x14ac:dyDescent="0.2">
      <c r="A95" s="33"/>
      <c r="D95" s="19" t="s">
        <v>112</v>
      </c>
      <c r="E95" s="19" t="s">
        <v>113</v>
      </c>
      <c r="F95" s="20">
        <v>2015</v>
      </c>
      <c r="G95" s="20">
        <v>8</v>
      </c>
      <c r="H95" s="87">
        <v>255</v>
      </c>
      <c r="I95" s="88" t="s">
        <v>114</v>
      </c>
      <c r="J95" s="38"/>
      <c r="K95" s="51" t="str">
        <f t="shared" si="10"/>
        <v/>
      </c>
      <c r="L95" s="38"/>
      <c r="M95" s="51" t="str">
        <f t="shared" si="11"/>
        <v/>
      </c>
      <c r="N95" s="38"/>
      <c r="O95" s="51" t="str">
        <f t="shared" si="12"/>
        <v/>
      </c>
      <c r="P95" s="38"/>
      <c r="Q95" s="51" t="str">
        <f t="shared" si="13"/>
        <v/>
      </c>
      <c r="R95" s="38"/>
      <c r="S95" s="51" t="str">
        <f t="shared" si="20"/>
        <v/>
      </c>
      <c r="T95" s="38"/>
      <c r="U95" s="51" t="str">
        <f t="shared" si="14"/>
        <v/>
      </c>
      <c r="V95" s="38"/>
      <c r="W95" s="51" t="str">
        <f t="shared" si="15"/>
        <v/>
      </c>
      <c r="X95" s="38"/>
      <c r="Y95" s="51" t="str">
        <f t="shared" si="16"/>
        <v/>
      </c>
      <c r="Z95" s="38"/>
      <c r="AA95" s="51" t="str">
        <f t="shared" si="17"/>
        <v/>
      </c>
      <c r="AB95" s="38"/>
      <c r="AC95" s="51" t="str">
        <f t="shared" si="18"/>
        <v/>
      </c>
      <c r="AD95" s="38"/>
      <c r="AE95" s="51" t="str">
        <f t="shared" si="19"/>
        <v/>
      </c>
      <c r="AF95" s="19" t="s">
        <v>115</v>
      </c>
    </row>
    <row r="96" spans="1:32" ht="20" customHeight="1" x14ac:dyDescent="0.2">
      <c r="A96" s="36"/>
      <c r="B96" s="94"/>
      <c r="D96" s="19" t="s">
        <v>116</v>
      </c>
      <c r="E96" s="19" t="s">
        <v>117</v>
      </c>
      <c r="F96" s="20">
        <v>1993</v>
      </c>
      <c r="G96" s="20">
        <v>56</v>
      </c>
      <c r="H96" s="87">
        <v>128</v>
      </c>
      <c r="I96" s="88"/>
      <c r="J96" s="38">
        <v>6</v>
      </c>
      <c r="K96" s="51">
        <f t="shared" si="10"/>
        <v>4.6875</v>
      </c>
      <c r="L96" s="38"/>
      <c r="M96" s="51" t="str">
        <f t="shared" si="11"/>
        <v/>
      </c>
      <c r="N96" s="38">
        <v>4</v>
      </c>
      <c r="O96" s="51">
        <f t="shared" si="12"/>
        <v>3.125</v>
      </c>
      <c r="P96" s="38">
        <v>1</v>
      </c>
      <c r="Q96" s="51">
        <f t="shared" si="13"/>
        <v>0.78125</v>
      </c>
      <c r="R96" s="38"/>
      <c r="S96" s="51" t="str">
        <f t="shared" si="20"/>
        <v/>
      </c>
      <c r="T96" s="38">
        <v>2</v>
      </c>
      <c r="U96" s="51">
        <f t="shared" si="14"/>
        <v>1.5625</v>
      </c>
      <c r="V96" s="38"/>
      <c r="W96" s="51" t="str">
        <f t="shared" si="15"/>
        <v/>
      </c>
      <c r="X96" s="38"/>
      <c r="Y96" s="51" t="str">
        <f t="shared" si="16"/>
        <v/>
      </c>
      <c r="Z96" s="38"/>
      <c r="AA96" s="51" t="str">
        <f t="shared" si="17"/>
        <v/>
      </c>
      <c r="AB96" s="38"/>
      <c r="AC96" s="51" t="str">
        <f t="shared" si="18"/>
        <v/>
      </c>
      <c r="AD96" s="38">
        <v>5</v>
      </c>
      <c r="AE96" s="51">
        <f t="shared" si="19"/>
        <v>3.90625</v>
      </c>
      <c r="AF96" s="19" t="s">
        <v>238</v>
      </c>
    </row>
    <row r="97" spans="1:32" ht="20" customHeight="1" x14ac:dyDescent="0.2">
      <c r="A97" s="36"/>
      <c r="B97" s="95"/>
      <c r="D97" s="19" t="s">
        <v>118</v>
      </c>
      <c r="E97" s="19" t="s">
        <v>119</v>
      </c>
      <c r="F97" s="20">
        <v>2009</v>
      </c>
      <c r="H97" s="87">
        <v>170</v>
      </c>
      <c r="I97" s="88" t="s">
        <v>120</v>
      </c>
      <c r="J97" s="38"/>
      <c r="K97" s="51" t="str">
        <f t="shared" si="10"/>
        <v/>
      </c>
      <c r="L97" s="38">
        <v>8</v>
      </c>
      <c r="M97" s="51">
        <f t="shared" si="11"/>
        <v>4.7058823529411766</v>
      </c>
      <c r="N97" s="38"/>
      <c r="O97" s="51" t="str">
        <f t="shared" si="12"/>
        <v/>
      </c>
      <c r="P97" s="38"/>
      <c r="Q97" s="51" t="str">
        <f t="shared" si="13"/>
        <v/>
      </c>
      <c r="R97" s="38"/>
      <c r="S97" s="51" t="str">
        <f t="shared" si="20"/>
        <v/>
      </c>
      <c r="T97" s="38"/>
      <c r="U97" s="51" t="str">
        <f t="shared" si="14"/>
        <v/>
      </c>
      <c r="V97" s="38"/>
      <c r="W97" s="51" t="str">
        <f t="shared" si="15"/>
        <v/>
      </c>
      <c r="X97" s="38"/>
      <c r="Y97" s="51" t="str">
        <f t="shared" si="16"/>
        <v/>
      </c>
      <c r="Z97" s="38"/>
      <c r="AA97" s="51" t="str">
        <f t="shared" si="17"/>
        <v/>
      </c>
      <c r="AB97" s="38"/>
      <c r="AC97" s="51" t="str">
        <f t="shared" si="18"/>
        <v/>
      </c>
      <c r="AD97" s="38"/>
      <c r="AE97" s="51" t="str">
        <f t="shared" si="19"/>
        <v/>
      </c>
    </row>
    <row r="98" spans="1:32" ht="20" customHeight="1" x14ac:dyDescent="0.2">
      <c r="A98" s="36"/>
      <c r="B98" s="19"/>
      <c r="D98" s="19" t="s">
        <v>224</v>
      </c>
      <c r="E98" s="19" t="s">
        <v>225</v>
      </c>
      <c r="F98" s="20">
        <v>2013</v>
      </c>
      <c r="H98" s="87">
        <v>98</v>
      </c>
      <c r="I98" s="88"/>
      <c r="J98" s="38"/>
      <c r="K98" s="51" t="str">
        <f t="shared" si="10"/>
        <v/>
      </c>
      <c r="L98" s="38"/>
      <c r="M98" s="51"/>
      <c r="N98" s="38"/>
      <c r="O98" s="51" t="str">
        <f t="shared" si="12"/>
        <v/>
      </c>
      <c r="P98" s="38"/>
      <c r="Q98" s="51" t="str">
        <f t="shared" si="13"/>
        <v/>
      </c>
      <c r="R98" s="38"/>
      <c r="S98" s="51" t="str">
        <f t="shared" si="20"/>
        <v/>
      </c>
      <c r="T98" s="38"/>
      <c r="U98" s="51" t="str">
        <f t="shared" si="14"/>
        <v/>
      </c>
      <c r="V98" s="38"/>
      <c r="W98" s="51" t="str">
        <f t="shared" si="15"/>
        <v/>
      </c>
      <c r="X98" s="38"/>
      <c r="Y98" s="51" t="str">
        <f t="shared" si="16"/>
        <v/>
      </c>
      <c r="Z98" s="38"/>
      <c r="AA98" s="51" t="str">
        <f t="shared" si="17"/>
        <v/>
      </c>
      <c r="AB98" s="38"/>
      <c r="AC98" s="51" t="str">
        <f t="shared" si="18"/>
        <v/>
      </c>
      <c r="AD98" s="38"/>
      <c r="AE98" s="51" t="str">
        <f t="shared" si="19"/>
        <v/>
      </c>
    </row>
    <row r="99" spans="1:32" ht="20" customHeight="1" x14ac:dyDescent="0.2">
      <c r="A99" s="36"/>
      <c r="D99" s="19" t="s">
        <v>121</v>
      </c>
      <c r="E99" s="19" t="s">
        <v>122</v>
      </c>
      <c r="F99" s="20">
        <v>2008</v>
      </c>
      <c r="G99" s="20">
        <v>21</v>
      </c>
      <c r="H99" s="87">
        <v>227</v>
      </c>
      <c r="I99" s="88" t="s">
        <v>123</v>
      </c>
      <c r="J99" s="38"/>
      <c r="K99" s="51" t="str">
        <f t="shared" si="10"/>
        <v/>
      </c>
      <c r="L99" s="38"/>
      <c r="M99" s="51" t="str">
        <f t="shared" ref="M99:M121" si="21">IF((ISERROR((L99/$H99)*100)), "", IF(AND(NOT(ISERROR((L99/$H99)*100)),((L99/$H99)*100) &lt;&gt; 0), (L99/$H99)*100, ""))</f>
        <v/>
      </c>
      <c r="N99" s="38"/>
      <c r="O99" s="51" t="str">
        <f t="shared" si="12"/>
        <v/>
      </c>
      <c r="P99" s="38"/>
      <c r="Q99" s="51" t="str">
        <f t="shared" si="13"/>
        <v/>
      </c>
      <c r="R99" s="38"/>
      <c r="S99" s="51" t="str">
        <f t="shared" si="20"/>
        <v/>
      </c>
      <c r="T99" s="38"/>
      <c r="U99" s="51" t="str">
        <f t="shared" si="14"/>
        <v/>
      </c>
      <c r="V99" s="38"/>
      <c r="W99" s="51" t="str">
        <f t="shared" si="15"/>
        <v/>
      </c>
      <c r="X99" s="38"/>
      <c r="Y99" s="51" t="str">
        <f t="shared" si="16"/>
        <v/>
      </c>
      <c r="Z99" s="38"/>
      <c r="AA99" s="51" t="str">
        <f t="shared" si="17"/>
        <v/>
      </c>
      <c r="AB99" s="38"/>
      <c r="AC99" s="51" t="str">
        <f t="shared" si="18"/>
        <v/>
      </c>
      <c r="AD99" s="38"/>
      <c r="AE99" s="51" t="str">
        <f t="shared" si="19"/>
        <v/>
      </c>
    </row>
    <row r="100" spans="1:32" ht="20" customHeight="1" x14ac:dyDescent="0.2">
      <c r="A100" s="36"/>
      <c r="B100" s="35"/>
      <c r="D100" s="19" t="s">
        <v>124</v>
      </c>
      <c r="E100" s="19" t="s">
        <v>125</v>
      </c>
      <c r="F100" s="20">
        <v>2005</v>
      </c>
      <c r="G100" s="20">
        <v>23</v>
      </c>
      <c r="H100" s="87">
        <v>174</v>
      </c>
      <c r="I100" s="88"/>
      <c r="J100" s="39"/>
      <c r="K100" s="51" t="str">
        <f t="shared" si="10"/>
        <v/>
      </c>
      <c r="L100" s="39"/>
      <c r="M100" s="54" t="str">
        <f t="shared" si="21"/>
        <v/>
      </c>
      <c r="N100" s="38"/>
      <c r="O100" s="51" t="str">
        <f t="shared" si="12"/>
        <v/>
      </c>
      <c r="P100" s="38"/>
      <c r="Q100" s="51" t="str">
        <f t="shared" si="13"/>
        <v/>
      </c>
      <c r="R100" s="38"/>
      <c r="S100" s="51" t="str">
        <f t="shared" si="20"/>
        <v/>
      </c>
      <c r="T100" s="38"/>
      <c r="U100" s="51" t="str">
        <f t="shared" si="14"/>
        <v/>
      </c>
      <c r="V100" s="38"/>
      <c r="W100" s="51" t="str">
        <f t="shared" si="15"/>
        <v/>
      </c>
      <c r="X100" s="38"/>
      <c r="Y100" s="51" t="str">
        <f t="shared" si="16"/>
        <v/>
      </c>
      <c r="Z100" s="38"/>
      <c r="AA100" s="51" t="str">
        <f t="shared" si="17"/>
        <v/>
      </c>
      <c r="AB100" s="38"/>
      <c r="AC100" s="51" t="str">
        <f t="shared" si="18"/>
        <v/>
      </c>
      <c r="AD100" s="38"/>
      <c r="AE100" s="51" t="str">
        <f t="shared" si="19"/>
        <v/>
      </c>
      <c r="AF100" s="19" t="s">
        <v>126</v>
      </c>
    </row>
    <row r="101" spans="1:32" ht="20" customHeight="1" x14ac:dyDescent="0.2">
      <c r="A101" s="36"/>
      <c r="B101" s="95"/>
      <c r="D101" s="19" t="s">
        <v>127</v>
      </c>
      <c r="E101" s="19" t="s">
        <v>128</v>
      </c>
      <c r="F101" s="20">
        <v>2015</v>
      </c>
      <c r="G101" s="20">
        <v>7</v>
      </c>
      <c r="H101" s="87">
        <v>388</v>
      </c>
      <c r="I101" s="88"/>
      <c r="J101" s="38"/>
      <c r="K101" s="51" t="str">
        <f t="shared" si="10"/>
        <v/>
      </c>
      <c r="L101" s="38"/>
      <c r="M101" s="51" t="str">
        <f t="shared" si="21"/>
        <v/>
      </c>
      <c r="N101" s="38"/>
      <c r="O101" s="51" t="str">
        <f t="shared" si="12"/>
        <v/>
      </c>
      <c r="P101" s="38"/>
      <c r="Q101" s="51" t="str">
        <f t="shared" si="13"/>
        <v/>
      </c>
      <c r="R101" s="38">
        <v>16</v>
      </c>
      <c r="S101" s="51">
        <f t="shared" si="20"/>
        <v>4.1237113402061851</v>
      </c>
      <c r="T101" s="38"/>
      <c r="U101" s="51" t="str">
        <f t="shared" si="14"/>
        <v/>
      </c>
      <c r="V101" s="38"/>
      <c r="W101" s="51" t="str">
        <f t="shared" si="15"/>
        <v/>
      </c>
      <c r="X101" s="38"/>
      <c r="Y101" s="51" t="str">
        <f t="shared" si="16"/>
        <v/>
      </c>
      <c r="Z101" s="38"/>
      <c r="AA101" s="51" t="str">
        <f t="shared" si="17"/>
        <v/>
      </c>
      <c r="AB101" s="38"/>
      <c r="AC101" s="51" t="str">
        <f t="shared" si="18"/>
        <v/>
      </c>
      <c r="AD101" s="38"/>
      <c r="AE101" s="51" t="str">
        <f t="shared" si="19"/>
        <v/>
      </c>
    </row>
    <row r="102" spans="1:32" ht="20" customHeight="1" x14ac:dyDescent="0.2">
      <c r="A102" s="36"/>
      <c r="B102" s="94"/>
      <c r="D102" s="19" t="s">
        <v>129</v>
      </c>
      <c r="E102" s="19" t="s">
        <v>130</v>
      </c>
      <c r="F102" s="20">
        <v>2011</v>
      </c>
      <c r="G102" s="20">
        <v>12</v>
      </c>
      <c r="H102" s="87">
        <v>11</v>
      </c>
      <c r="I102" s="88" t="s">
        <v>131</v>
      </c>
      <c r="J102" s="38"/>
      <c r="K102" s="51" t="str">
        <f t="shared" si="10"/>
        <v/>
      </c>
      <c r="L102" s="38"/>
      <c r="M102" s="51" t="str">
        <f t="shared" si="21"/>
        <v/>
      </c>
      <c r="N102" s="38"/>
      <c r="O102" s="51" t="str">
        <f t="shared" si="12"/>
        <v/>
      </c>
      <c r="P102" s="38"/>
      <c r="Q102" s="51" t="str">
        <f t="shared" si="13"/>
        <v/>
      </c>
      <c r="R102" s="38"/>
      <c r="S102" s="51" t="str">
        <f t="shared" si="20"/>
        <v/>
      </c>
      <c r="T102" s="38"/>
      <c r="U102" s="51" t="str">
        <f t="shared" si="14"/>
        <v/>
      </c>
      <c r="V102" s="38"/>
      <c r="W102" s="51" t="str">
        <f t="shared" si="15"/>
        <v/>
      </c>
      <c r="X102" s="38"/>
      <c r="Y102" s="51" t="str">
        <f t="shared" si="16"/>
        <v/>
      </c>
      <c r="Z102" s="38"/>
      <c r="AA102" s="51" t="str">
        <f t="shared" si="17"/>
        <v/>
      </c>
      <c r="AB102" s="38"/>
      <c r="AC102" s="51" t="str">
        <f t="shared" si="18"/>
        <v/>
      </c>
      <c r="AD102" s="38"/>
      <c r="AE102" s="51" t="str">
        <f t="shared" si="19"/>
        <v/>
      </c>
      <c r="AF102" s="19" t="s">
        <v>132</v>
      </c>
    </row>
    <row r="103" spans="1:32" ht="20" customHeight="1" x14ac:dyDescent="0.2">
      <c r="A103" s="36"/>
      <c r="B103" s="95"/>
      <c r="D103" s="19" t="s">
        <v>133</v>
      </c>
      <c r="E103" s="19" t="s">
        <v>134</v>
      </c>
      <c r="F103" s="20">
        <v>2017</v>
      </c>
      <c r="H103" s="87">
        <v>124</v>
      </c>
      <c r="I103" s="88" t="s">
        <v>120</v>
      </c>
      <c r="J103" s="38"/>
      <c r="K103" s="51" t="str">
        <f t="shared" si="10"/>
        <v/>
      </c>
      <c r="L103" s="38"/>
      <c r="M103" s="51" t="str">
        <f t="shared" si="21"/>
        <v/>
      </c>
      <c r="N103" s="38"/>
      <c r="O103" s="51" t="str">
        <f t="shared" si="12"/>
        <v/>
      </c>
      <c r="P103" s="38"/>
      <c r="Q103" s="51" t="str">
        <f t="shared" si="13"/>
        <v/>
      </c>
      <c r="R103" s="38"/>
      <c r="S103" s="51" t="str">
        <f t="shared" si="20"/>
        <v/>
      </c>
      <c r="T103" s="38"/>
      <c r="U103" s="51" t="str">
        <f t="shared" si="14"/>
        <v/>
      </c>
      <c r="V103" s="38"/>
      <c r="W103" s="51" t="str">
        <f t="shared" si="15"/>
        <v/>
      </c>
      <c r="X103" s="38"/>
      <c r="Y103" s="51" t="str">
        <f t="shared" si="16"/>
        <v/>
      </c>
      <c r="Z103" s="38"/>
      <c r="AA103" s="51" t="str">
        <f t="shared" si="17"/>
        <v/>
      </c>
      <c r="AB103" s="38"/>
      <c r="AC103" s="51" t="str">
        <f t="shared" si="18"/>
        <v/>
      </c>
      <c r="AD103" s="38"/>
      <c r="AE103" s="51" t="str">
        <f t="shared" si="19"/>
        <v/>
      </c>
    </row>
    <row r="104" spans="1:32" ht="20" customHeight="1" x14ac:dyDescent="0.2">
      <c r="A104" s="36"/>
      <c r="B104" s="35"/>
      <c r="D104" s="19" t="s">
        <v>135</v>
      </c>
      <c r="E104" s="19" t="s">
        <v>136</v>
      </c>
      <c r="F104" s="20">
        <v>2010</v>
      </c>
      <c r="G104" s="20">
        <v>61</v>
      </c>
      <c r="H104" s="87">
        <v>142</v>
      </c>
      <c r="I104" s="88"/>
      <c r="J104" s="38">
        <v>19</v>
      </c>
      <c r="K104" s="51">
        <f t="shared" si="10"/>
        <v>13.380281690140844</v>
      </c>
      <c r="L104" s="38"/>
      <c r="M104" s="51" t="str">
        <f t="shared" si="21"/>
        <v/>
      </c>
      <c r="N104" s="38">
        <v>16</v>
      </c>
      <c r="O104" s="51">
        <f t="shared" si="12"/>
        <v>11.267605633802818</v>
      </c>
      <c r="P104" s="38"/>
      <c r="Q104" s="51" t="str">
        <f t="shared" si="13"/>
        <v/>
      </c>
      <c r="R104" s="38"/>
      <c r="S104" s="51" t="str">
        <f t="shared" si="20"/>
        <v/>
      </c>
      <c r="T104" s="38"/>
      <c r="U104" s="51" t="str">
        <f t="shared" si="14"/>
        <v/>
      </c>
      <c r="V104" s="38"/>
      <c r="W104" s="51" t="str">
        <f t="shared" si="15"/>
        <v/>
      </c>
      <c r="X104" s="38"/>
      <c r="Y104" s="51" t="str">
        <f t="shared" si="16"/>
        <v/>
      </c>
      <c r="Z104" s="38"/>
      <c r="AA104" s="51" t="str">
        <f t="shared" si="17"/>
        <v/>
      </c>
      <c r="AB104" s="38"/>
      <c r="AC104" s="51" t="str">
        <f t="shared" si="18"/>
        <v/>
      </c>
      <c r="AD104" s="38"/>
      <c r="AE104" s="51" t="str">
        <f t="shared" si="19"/>
        <v/>
      </c>
      <c r="AF104" s="19" t="s">
        <v>193</v>
      </c>
    </row>
    <row r="105" spans="1:32" ht="20" customHeight="1" x14ac:dyDescent="0.2">
      <c r="A105" s="33"/>
      <c r="D105" s="19" t="s">
        <v>173</v>
      </c>
      <c r="E105" s="19" t="s">
        <v>137</v>
      </c>
      <c r="F105" s="20">
        <v>2008</v>
      </c>
      <c r="G105" s="20">
        <v>78</v>
      </c>
      <c r="H105" s="87">
        <v>143</v>
      </c>
      <c r="I105" s="88"/>
      <c r="J105" s="38"/>
      <c r="K105" s="51" t="str">
        <f t="shared" si="10"/>
        <v/>
      </c>
      <c r="L105" s="38"/>
      <c r="M105" s="51" t="str">
        <f t="shared" si="21"/>
        <v/>
      </c>
      <c r="N105" s="38"/>
      <c r="O105" s="51" t="str">
        <f t="shared" si="12"/>
        <v/>
      </c>
      <c r="P105" s="38"/>
      <c r="Q105" s="51" t="str">
        <f t="shared" si="13"/>
        <v/>
      </c>
      <c r="R105" s="38"/>
      <c r="S105" s="51" t="str">
        <f t="shared" si="20"/>
        <v/>
      </c>
      <c r="T105" s="38"/>
      <c r="U105" s="51" t="str">
        <f t="shared" si="14"/>
        <v/>
      </c>
      <c r="V105" s="38"/>
      <c r="W105" s="51" t="str">
        <f t="shared" si="15"/>
        <v/>
      </c>
      <c r="X105" s="38"/>
      <c r="Y105" s="51" t="str">
        <f t="shared" si="16"/>
        <v/>
      </c>
      <c r="Z105" s="38"/>
      <c r="AA105" s="51" t="str">
        <f t="shared" si="17"/>
        <v/>
      </c>
      <c r="AB105" s="38"/>
      <c r="AC105" s="51" t="str">
        <f t="shared" si="18"/>
        <v/>
      </c>
      <c r="AD105" s="38"/>
      <c r="AE105" s="51" t="str">
        <f t="shared" si="19"/>
        <v/>
      </c>
      <c r="AF105" s="27" t="s">
        <v>195</v>
      </c>
    </row>
    <row r="106" spans="1:32" ht="20" customHeight="1" x14ac:dyDescent="0.2">
      <c r="A106" s="33"/>
      <c r="D106" s="19" t="s">
        <v>138</v>
      </c>
      <c r="E106" s="19" t="s">
        <v>139</v>
      </c>
      <c r="F106" s="20">
        <v>2017</v>
      </c>
      <c r="H106" s="87">
        <v>150</v>
      </c>
      <c r="I106" s="88"/>
      <c r="J106" s="38"/>
      <c r="K106" s="51" t="str">
        <f t="shared" si="10"/>
        <v/>
      </c>
      <c r="L106" s="38"/>
      <c r="M106" s="51" t="str">
        <f t="shared" si="21"/>
        <v/>
      </c>
      <c r="N106" s="38"/>
      <c r="O106" s="51" t="str">
        <f t="shared" si="12"/>
        <v/>
      </c>
      <c r="P106" s="38"/>
      <c r="Q106" s="51" t="str">
        <f t="shared" si="13"/>
        <v/>
      </c>
      <c r="R106" s="38"/>
      <c r="S106" s="51" t="str">
        <f t="shared" si="20"/>
        <v/>
      </c>
      <c r="T106" s="38"/>
      <c r="U106" s="51" t="str">
        <f t="shared" si="14"/>
        <v/>
      </c>
      <c r="V106" s="38"/>
      <c r="W106" s="51" t="str">
        <f t="shared" si="15"/>
        <v/>
      </c>
      <c r="X106" s="38"/>
      <c r="Y106" s="51" t="str">
        <f t="shared" si="16"/>
        <v/>
      </c>
      <c r="Z106" s="38"/>
      <c r="AA106" s="51" t="str">
        <f t="shared" si="17"/>
        <v/>
      </c>
      <c r="AB106" s="38"/>
      <c r="AC106" s="51" t="str">
        <f t="shared" si="18"/>
        <v/>
      </c>
      <c r="AD106" s="38"/>
      <c r="AE106" s="51" t="str">
        <f t="shared" si="19"/>
        <v/>
      </c>
      <c r="AF106" s="27" t="s">
        <v>78</v>
      </c>
    </row>
    <row r="107" spans="1:32" ht="20" customHeight="1" x14ac:dyDescent="0.2">
      <c r="A107" s="36"/>
      <c r="B107" s="94"/>
      <c r="D107" s="19" t="s">
        <v>196</v>
      </c>
      <c r="E107" s="19" t="s">
        <v>197</v>
      </c>
      <c r="F107" s="20">
        <v>2006</v>
      </c>
      <c r="H107" s="87">
        <v>9</v>
      </c>
      <c r="I107" s="88"/>
      <c r="J107" s="38"/>
      <c r="K107" s="51" t="str">
        <f t="shared" si="10"/>
        <v/>
      </c>
      <c r="L107" s="38"/>
      <c r="M107" s="51" t="str">
        <f t="shared" si="21"/>
        <v/>
      </c>
      <c r="N107" s="38"/>
      <c r="O107" s="51" t="str">
        <f t="shared" si="12"/>
        <v/>
      </c>
      <c r="P107" s="38"/>
      <c r="Q107" s="51" t="str">
        <f t="shared" si="13"/>
        <v/>
      </c>
      <c r="R107" s="38"/>
      <c r="S107" s="51" t="str">
        <f t="shared" si="20"/>
        <v/>
      </c>
      <c r="T107" s="38">
        <v>1</v>
      </c>
      <c r="U107" s="51">
        <f t="shared" si="14"/>
        <v>11.111111111111111</v>
      </c>
      <c r="V107" s="38">
        <v>1</v>
      </c>
      <c r="W107" s="51">
        <f t="shared" si="15"/>
        <v>11.111111111111111</v>
      </c>
      <c r="X107" s="38"/>
      <c r="Y107" s="51" t="str">
        <f t="shared" si="16"/>
        <v/>
      </c>
      <c r="Z107" s="38"/>
      <c r="AA107" s="51" t="str">
        <f t="shared" si="17"/>
        <v/>
      </c>
      <c r="AB107" s="38"/>
      <c r="AC107" s="51" t="str">
        <f t="shared" si="18"/>
        <v/>
      </c>
      <c r="AD107" s="38"/>
      <c r="AE107" s="51" t="str">
        <f t="shared" si="19"/>
        <v/>
      </c>
      <c r="AF107" s="19" t="s">
        <v>242</v>
      </c>
    </row>
    <row r="108" spans="1:32" ht="20" customHeight="1" x14ac:dyDescent="0.2">
      <c r="A108" s="36"/>
      <c r="B108" s="94"/>
      <c r="D108" s="19" t="s">
        <v>140</v>
      </c>
      <c r="E108" s="19" t="s">
        <v>141</v>
      </c>
      <c r="F108" s="20">
        <v>2009</v>
      </c>
      <c r="G108" s="20">
        <v>31</v>
      </c>
      <c r="H108" s="87">
        <v>225</v>
      </c>
      <c r="I108" s="88"/>
      <c r="J108" s="38"/>
      <c r="K108" s="51" t="str">
        <f t="shared" si="10"/>
        <v/>
      </c>
      <c r="L108" s="38">
        <v>59</v>
      </c>
      <c r="M108" s="51">
        <f t="shared" si="21"/>
        <v>26.222222222222225</v>
      </c>
      <c r="N108" s="38">
        <v>103</v>
      </c>
      <c r="O108" s="51">
        <f t="shared" si="12"/>
        <v>45.777777777777779</v>
      </c>
      <c r="P108" s="38">
        <v>20</v>
      </c>
      <c r="Q108" s="51">
        <f t="shared" si="13"/>
        <v>8.8888888888888893</v>
      </c>
      <c r="R108" s="38"/>
      <c r="S108" s="51" t="str">
        <f t="shared" si="20"/>
        <v/>
      </c>
      <c r="T108" s="38">
        <v>85</v>
      </c>
      <c r="U108" s="51">
        <f t="shared" si="14"/>
        <v>37.777777777777779</v>
      </c>
      <c r="V108" s="38"/>
      <c r="W108" s="51" t="str">
        <f t="shared" si="15"/>
        <v/>
      </c>
      <c r="X108" s="38"/>
      <c r="Y108" s="51" t="str">
        <f t="shared" si="16"/>
        <v/>
      </c>
      <c r="Z108" s="38"/>
      <c r="AA108" s="51" t="str">
        <f t="shared" si="17"/>
        <v/>
      </c>
      <c r="AB108" s="38"/>
      <c r="AC108" s="51" t="str">
        <f t="shared" si="18"/>
        <v/>
      </c>
      <c r="AD108" s="38">
        <v>154</v>
      </c>
      <c r="AE108" s="51">
        <f t="shared" si="19"/>
        <v>68.444444444444443</v>
      </c>
      <c r="AF108" s="19" t="s">
        <v>244</v>
      </c>
    </row>
    <row r="109" spans="1:32" ht="20" customHeight="1" x14ac:dyDescent="0.2">
      <c r="A109" s="36"/>
      <c r="B109" s="94"/>
      <c r="D109" s="19" t="s">
        <v>143</v>
      </c>
      <c r="E109" s="19" t="s">
        <v>141</v>
      </c>
      <c r="F109" s="20">
        <v>2009</v>
      </c>
      <c r="G109" s="20">
        <v>6</v>
      </c>
      <c r="H109" s="87">
        <v>78</v>
      </c>
      <c r="I109" s="88"/>
      <c r="J109" s="38"/>
      <c r="K109" s="51" t="str">
        <f t="shared" si="10"/>
        <v/>
      </c>
      <c r="L109" s="38">
        <v>10</v>
      </c>
      <c r="M109" s="51">
        <f t="shared" si="21"/>
        <v>12.820512820512819</v>
      </c>
      <c r="N109" s="38">
        <v>32</v>
      </c>
      <c r="O109" s="51">
        <f t="shared" si="12"/>
        <v>41.025641025641022</v>
      </c>
      <c r="P109" s="38">
        <v>7</v>
      </c>
      <c r="Q109" s="51">
        <f t="shared" si="13"/>
        <v>8.9743589743589745</v>
      </c>
      <c r="R109" s="38"/>
      <c r="S109" s="51" t="str">
        <f t="shared" si="20"/>
        <v/>
      </c>
      <c r="T109" s="38">
        <v>24</v>
      </c>
      <c r="U109" s="51">
        <f t="shared" si="14"/>
        <v>30.76923076923077</v>
      </c>
      <c r="V109" s="38"/>
      <c r="W109" s="51" t="str">
        <f t="shared" si="15"/>
        <v/>
      </c>
      <c r="X109" s="38"/>
      <c r="Y109" s="51" t="str">
        <f t="shared" si="16"/>
        <v/>
      </c>
      <c r="Z109" s="38"/>
      <c r="AA109" s="51" t="str">
        <f t="shared" si="17"/>
        <v/>
      </c>
      <c r="AB109" s="38"/>
      <c r="AC109" s="51" t="str">
        <f t="shared" si="18"/>
        <v/>
      </c>
      <c r="AD109" s="38">
        <v>33</v>
      </c>
      <c r="AE109" s="51">
        <f t="shared" si="19"/>
        <v>42.307692307692307</v>
      </c>
      <c r="AF109" s="19" t="s">
        <v>240</v>
      </c>
    </row>
    <row r="110" spans="1:32" ht="20" customHeight="1" x14ac:dyDescent="0.2">
      <c r="A110" s="36"/>
      <c r="B110" s="35"/>
      <c r="D110" s="19" t="s">
        <v>145</v>
      </c>
      <c r="E110" s="19" t="s">
        <v>146</v>
      </c>
      <c r="F110" s="20">
        <v>1997</v>
      </c>
      <c r="G110" s="20">
        <v>94</v>
      </c>
      <c r="H110" s="87">
        <v>562</v>
      </c>
      <c r="I110" s="88"/>
      <c r="J110" s="38"/>
      <c r="K110" s="51" t="str">
        <f t="shared" si="10"/>
        <v/>
      </c>
      <c r="L110" s="39"/>
      <c r="M110" s="54" t="str">
        <f t="shared" si="21"/>
        <v/>
      </c>
      <c r="N110" s="38"/>
      <c r="O110" s="51" t="str">
        <f t="shared" si="12"/>
        <v/>
      </c>
      <c r="P110" s="38"/>
      <c r="Q110" s="51" t="str">
        <f t="shared" si="13"/>
        <v/>
      </c>
      <c r="R110" s="38"/>
      <c r="S110" s="51" t="str">
        <f t="shared" si="20"/>
        <v/>
      </c>
      <c r="T110" s="38"/>
      <c r="U110" s="51" t="str">
        <f t="shared" si="14"/>
        <v/>
      </c>
      <c r="V110" s="38"/>
      <c r="W110" s="51" t="str">
        <f t="shared" si="15"/>
        <v/>
      </c>
      <c r="X110" s="38"/>
      <c r="Y110" s="51" t="str">
        <f t="shared" si="16"/>
        <v/>
      </c>
      <c r="Z110" s="38"/>
      <c r="AA110" s="51" t="str">
        <f t="shared" si="17"/>
        <v/>
      </c>
      <c r="AB110" s="38"/>
      <c r="AC110" s="51" t="str">
        <f t="shared" si="18"/>
        <v/>
      </c>
      <c r="AD110" s="39"/>
      <c r="AE110" s="51" t="str">
        <f t="shared" si="19"/>
        <v/>
      </c>
    </row>
    <row r="111" spans="1:32" ht="20" customHeight="1" x14ac:dyDescent="0.2">
      <c r="A111" s="36"/>
      <c r="B111" s="94"/>
      <c r="D111" s="19" t="s">
        <v>147</v>
      </c>
      <c r="E111" s="19" t="s">
        <v>148</v>
      </c>
      <c r="F111" s="20">
        <v>2009</v>
      </c>
      <c r="G111" s="20">
        <v>38</v>
      </c>
      <c r="H111" s="87">
        <v>100</v>
      </c>
      <c r="I111" s="88"/>
      <c r="J111" s="38"/>
      <c r="K111" s="51" t="str">
        <f t="shared" si="10"/>
        <v/>
      </c>
      <c r="L111" s="38">
        <v>3</v>
      </c>
      <c r="M111" s="51">
        <f t="shared" si="21"/>
        <v>3</v>
      </c>
      <c r="N111" s="38"/>
      <c r="O111" s="51" t="str">
        <f t="shared" si="12"/>
        <v/>
      </c>
      <c r="P111" s="38">
        <v>13</v>
      </c>
      <c r="Q111" s="51">
        <f t="shared" si="13"/>
        <v>13</v>
      </c>
      <c r="R111" s="38"/>
      <c r="S111" s="51" t="str">
        <f t="shared" si="20"/>
        <v/>
      </c>
      <c r="T111" s="38">
        <v>4</v>
      </c>
      <c r="U111" s="51">
        <f t="shared" si="14"/>
        <v>4</v>
      </c>
      <c r="V111" s="38"/>
      <c r="W111" s="51" t="str">
        <f t="shared" si="15"/>
        <v/>
      </c>
      <c r="X111" s="38"/>
      <c r="Y111" s="51" t="str">
        <f t="shared" si="16"/>
        <v/>
      </c>
      <c r="Z111" s="38"/>
      <c r="AA111" s="51" t="str">
        <f t="shared" si="17"/>
        <v/>
      </c>
      <c r="AB111" s="38"/>
      <c r="AC111" s="51" t="str">
        <f t="shared" si="18"/>
        <v/>
      </c>
      <c r="AD111" s="38"/>
      <c r="AE111" s="51" t="str">
        <f t="shared" si="19"/>
        <v/>
      </c>
      <c r="AF111" s="19" t="s">
        <v>226</v>
      </c>
    </row>
    <row r="112" spans="1:32" ht="20" customHeight="1" x14ac:dyDescent="0.2">
      <c r="A112" s="36"/>
      <c r="B112" s="94"/>
      <c r="D112" s="19" t="s">
        <v>149</v>
      </c>
      <c r="E112" s="19" t="s">
        <v>150</v>
      </c>
      <c r="F112" s="20">
        <v>2006</v>
      </c>
      <c r="G112" s="20">
        <v>56</v>
      </c>
      <c r="H112" s="87">
        <v>500</v>
      </c>
      <c r="I112" s="88"/>
      <c r="J112" s="38"/>
      <c r="K112" s="51" t="str">
        <f t="shared" si="10"/>
        <v/>
      </c>
      <c r="L112" s="38">
        <v>2</v>
      </c>
      <c r="M112" s="51">
        <f t="shared" si="21"/>
        <v>0.4</v>
      </c>
      <c r="N112" s="38">
        <v>1</v>
      </c>
      <c r="O112" s="51">
        <f t="shared" si="12"/>
        <v>0.2</v>
      </c>
      <c r="P112" s="38"/>
      <c r="Q112" s="51" t="str">
        <f t="shared" si="13"/>
        <v/>
      </c>
      <c r="R112" s="38"/>
      <c r="S112" s="51" t="str">
        <f t="shared" si="20"/>
        <v/>
      </c>
      <c r="T112" s="38"/>
      <c r="U112" s="51" t="str">
        <f t="shared" si="14"/>
        <v/>
      </c>
      <c r="V112" s="38">
        <v>2</v>
      </c>
      <c r="W112" s="51">
        <f t="shared" si="15"/>
        <v>0.4</v>
      </c>
      <c r="X112" s="38"/>
      <c r="Y112" s="51" t="str">
        <f t="shared" si="16"/>
        <v/>
      </c>
      <c r="Z112" s="38">
        <v>10</v>
      </c>
      <c r="AA112" s="51">
        <f t="shared" si="17"/>
        <v>2</v>
      </c>
      <c r="AB112" s="38"/>
      <c r="AC112" s="51" t="str">
        <f t="shared" si="18"/>
        <v/>
      </c>
      <c r="AD112" s="38"/>
      <c r="AE112" s="51" t="str">
        <f t="shared" si="19"/>
        <v/>
      </c>
      <c r="AF112" s="19" t="s">
        <v>241</v>
      </c>
    </row>
    <row r="113" spans="1:32" ht="20" customHeight="1" x14ac:dyDescent="0.2">
      <c r="A113" s="33"/>
      <c r="B113" s="95"/>
      <c r="D113" s="19" t="s">
        <v>151</v>
      </c>
      <c r="E113" s="19" t="s">
        <v>152</v>
      </c>
      <c r="F113" s="20">
        <v>2016</v>
      </c>
      <c r="G113" s="20">
        <v>2</v>
      </c>
      <c r="H113" s="87">
        <v>177</v>
      </c>
      <c r="I113" s="88"/>
      <c r="J113" s="38"/>
      <c r="K113" s="51" t="str">
        <f t="shared" si="10"/>
        <v/>
      </c>
      <c r="L113" s="38"/>
      <c r="M113" s="51" t="str">
        <f t="shared" si="21"/>
        <v/>
      </c>
      <c r="N113" s="38"/>
      <c r="O113" s="51" t="str">
        <f t="shared" si="12"/>
        <v/>
      </c>
      <c r="P113" s="38"/>
      <c r="Q113" s="51" t="str">
        <f t="shared" si="13"/>
        <v/>
      </c>
      <c r="R113" s="38"/>
      <c r="S113" s="51" t="str">
        <f t="shared" si="20"/>
        <v/>
      </c>
      <c r="T113" s="38"/>
      <c r="U113" s="51" t="str">
        <f t="shared" si="14"/>
        <v/>
      </c>
      <c r="V113" s="38"/>
      <c r="W113" s="51" t="str">
        <f t="shared" si="15"/>
        <v/>
      </c>
      <c r="X113" s="38"/>
      <c r="Y113" s="51" t="str">
        <f t="shared" si="16"/>
        <v/>
      </c>
      <c r="Z113" s="38"/>
      <c r="AA113" s="51" t="str">
        <f t="shared" si="17"/>
        <v/>
      </c>
      <c r="AB113" s="38"/>
      <c r="AC113" s="51" t="str">
        <f t="shared" si="18"/>
        <v/>
      </c>
      <c r="AD113" s="38"/>
      <c r="AE113" s="51" t="str">
        <f t="shared" si="19"/>
        <v/>
      </c>
    </row>
    <row r="114" spans="1:32" ht="20" customHeight="1" x14ac:dyDescent="0.2">
      <c r="A114" s="36"/>
      <c r="B114" s="35"/>
      <c r="D114" s="19" t="s">
        <v>153</v>
      </c>
      <c r="E114" s="19" t="s">
        <v>154</v>
      </c>
      <c r="F114" s="20">
        <v>2009</v>
      </c>
      <c r="H114" s="87">
        <v>293</v>
      </c>
      <c r="I114" s="88" t="s">
        <v>204</v>
      </c>
      <c r="J114" s="38">
        <v>2</v>
      </c>
      <c r="K114" s="51">
        <f t="shared" si="10"/>
        <v>0.68259385665529015</v>
      </c>
      <c r="L114" s="38"/>
      <c r="M114" s="51" t="str">
        <f t="shared" si="21"/>
        <v/>
      </c>
      <c r="N114" s="38">
        <v>2</v>
      </c>
      <c r="O114" s="51">
        <f t="shared" si="12"/>
        <v>0.68259385665529015</v>
      </c>
      <c r="P114" s="38">
        <v>1</v>
      </c>
      <c r="Q114" s="51">
        <f t="shared" si="13"/>
        <v>0.34129692832764508</v>
      </c>
      <c r="R114" s="38"/>
      <c r="S114" s="51" t="str">
        <f t="shared" si="20"/>
        <v/>
      </c>
      <c r="T114" s="38">
        <v>2</v>
      </c>
      <c r="U114" s="51">
        <f t="shared" si="14"/>
        <v>0.68259385665529015</v>
      </c>
      <c r="V114" s="38">
        <v>2</v>
      </c>
      <c r="W114" s="51">
        <f t="shared" si="15"/>
        <v>0.68259385665529015</v>
      </c>
      <c r="X114" s="38">
        <v>1</v>
      </c>
      <c r="Y114" s="51">
        <f t="shared" si="16"/>
        <v>0.34129692832764508</v>
      </c>
      <c r="Z114" s="38">
        <v>1</v>
      </c>
      <c r="AA114" s="51">
        <f t="shared" si="17"/>
        <v>0.34129692832764508</v>
      </c>
      <c r="AB114" s="38">
        <v>1</v>
      </c>
      <c r="AC114" s="51">
        <f t="shared" si="18"/>
        <v>0.34129692832764508</v>
      </c>
      <c r="AD114" s="38"/>
      <c r="AE114" s="51" t="str">
        <f t="shared" si="19"/>
        <v/>
      </c>
    </row>
    <row r="115" spans="1:32" ht="20" customHeight="1" x14ac:dyDescent="0.2">
      <c r="A115" s="36"/>
      <c r="B115" s="95"/>
      <c r="D115" s="19" t="s">
        <v>155</v>
      </c>
      <c r="E115" s="19" t="s">
        <v>156</v>
      </c>
      <c r="F115" s="20">
        <v>2007</v>
      </c>
      <c r="G115" s="20">
        <v>34</v>
      </c>
      <c r="H115" s="87">
        <v>109</v>
      </c>
      <c r="I115" s="88" t="s">
        <v>120</v>
      </c>
      <c r="J115" s="38"/>
      <c r="K115" s="51" t="str">
        <f t="shared" si="10"/>
        <v/>
      </c>
      <c r="L115" s="38">
        <v>4</v>
      </c>
      <c r="M115" s="51">
        <f t="shared" si="21"/>
        <v>3.669724770642202</v>
      </c>
      <c r="N115" s="38"/>
      <c r="O115" s="51" t="str">
        <f t="shared" si="12"/>
        <v/>
      </c>
      <c r="P115" s="38"/>
      <c r="Q115" s="51" t="str">
        <f t="shared" si="13"/>
        <v/>
      </c>
      <c r="R115" s="38">
        <v>4</v>
      </c>
      <c r="S115" s="51">
        <f t="shared" si="20"/>
        <v>3.669724770642202</v>
      </c>
      <c r="T115" s="38"/>
      <c r="U115" s="51" t="str">
        <f t="shared" si="14"/>
        <v/>
      </c>
      <c r="V115" s="38"/>
      <c r="W115" s="51" t="str">
        <f t="shared" si="15"/>
        <v/>
      </c>
      <c r="X115" s="38"/>
      <c r="Y115" s="51" t="str">
        <f t="shared" si="16"/>
        <v/>
      </c>
      <c r="Z115" s="38"/>
      <c r="AA115" s="51" t="str">
        <f t="shared" si="17"/>
        <v/>
      </c>
      <c r="AB115" s="38"/>
      <c r="AC115" s="51" t="str">
        <f t="shared" si="18"/>
        <v/>
      </c>
      <c r="AD115" s="38"/>
      <c r="AE115" s="51" t="str">
        <f t="shared" si="19"/>
        <v/>
      </c>
      <c r="AF115" s="19" t="s">
        <v>207</v>
      </c>
    </row>
    <row r="116" spans="1:32" ht="20" customHeight="1" x14ac:dyDescent="0.2">
      <c r="A116" s="36"/>
      <c r="B116" s="95"/>
      <c r="D116" s="19" t="s">
        <v>157</v>
      </c>
      <c r="E116" s="19" t="s">
        <v>158</v>
      </c>
      <c r="F116" s="20">
        <v>2010</v>
      </c>
      <c r="G116" s="20">
        <v>50</v>
      </c>
      <c r="H116" s="87">
        <v>56</v>
      </c>
      <c r="I116" s="88"/>
      <c r="J116" s="38"/>
      <c r="K116" s="51" t="str">
        <f t="shared" si="10"/>
        <v/>
      </c>
      <c r="L116" s="38"/>
      <c r="M116" s="51" t="str">
        <f t="shared" si="21"/>
        <v/>
      </c>
      <c r="N116" s="38"/>
      <c r="O116" s="51" t="str">
        <f t="shared" si="12"/>
        <v/>
      </c>
      <c r="P116" s="38"/>
      <c r="Q116" s="51" t="str">
        <f t="shared" si="13"/>
        <v/>
      </c>
      <c r="R116" s="38"/>
      <c r="S116" s="51" t="str">
        <f t="shared" si="20"/>
        <v/>
      </c>
      <c r="T116" s="38"/>
      <c r="U116" s="51" t="str">
        <f t="shared" si="14"/>
        <v/>
      </c>
      <c r="V116" s="38"/>
      <c r="W116" s="51" t="str">
        <f t="shared" si="15"/>
        <v/>
      </c>
      <c r="X116" s="38"/>
      <c r="Y116" s="51" t="str">
        <f t="shared" si="16"/>
        <v/>
      </c>
      <c r="Z116" s="38"/>
      <c r="AA116" s="51" t="str">
        <f t="shared" si="17"/>
        <v/>
      </c>
      <c r="AB116" s="38"/>
      <c r="AC116" s="51" t="str">
        <f t="shared" si="18"/>
        <v/>
      </c>
      <c r="AD116" s="38"/>
      <c r="AE116" s="51" t="str">
        <f t="shared" si="19"/>
        <v/>
      </c>
    </row>
    <row r="117" spans="1:32" ht="20" customHeight="1" x14ac:dyDescent="0.2">
      <c r="A117" s="33"/>
      <c r="D117" s="19" t="s">
        <v>159</v>
      </c>
      <c r="E117" s="19" t="s">
        <v>160</v>
      </c>
      <c r="F117" s="20">
        <v>2011</v>
      </c>
      <c r="G117" s="20">
        <v>33</v>
      </c>
      <c r="H117" s="87">
        <v>130</v>
      </c>
      <c r="I117" s="88" t="s">
        <v>208</v>
      </c>
      <c r="J117" s="38"/>
      <c r="K117" s="51" t="str">
        <f t="shared" si="10"/>
        <v/>
      </c>
      <c r="L117" s="38"/>
      <c r="M117" s="51" t="str">
        <f t="shared" si="21"/>
        <v/>
      </c>
      <c r="N117" s="38"/>
      <c r="O117" s="51" t="str">
        <f t="shared" si="12"/>
        <v/>
      </c>
      <c r="P117" s="38"/>
      <c r="Q117" s="51" t="str">
        <f t="shared" si="13"/>
        <v/>
      </c>
      <c r="R117" s="38"/>
      <c r="S117" s="51" t="str">
        <f t="shared" si="20"/>
        <v/>
      </c>
      <c r="T117" s="38"/>
      <c r="U117" s="51" t="str">
        <f t="shared" si="14"/>
        <v/>
      </c>
      <c r="V117" s="38"/>
      <c r="W117" s="51" t="str">
        <f t="shared" si="15"/>
        <v/>
      </c>
      <c r="X117" s="38"/>
      <c r="Y117" s="51" t="str">
        <f t="shared" si="16"/>
        <v/>
      </c>
      <c r="Z117" s="38"/>
      <c r="AA117" s="51" t="str">
        <f t="shared" si="17"/>
        <v/>
      </c>
      <c r="AB117" s="38"/>
      <c r="AC117" s="51" t="str">
        <f t="shared" si="18"/>
        <v/>
      </c>
      <c r="AD117" s="38"/>
      <c r="AE117" s="51" t="str">
        <f t="shared" si="19"/>
        <v/>
      </c>
      <c r="AF117" s="27" t="s">
        <v>209</v>
      </c>
    </row>
    <row r="118" spans="1:32" ht="20" customHeight="1" x14ac:dyDescent="0.2">
      <c r="A118" s="36"/>
      <c r="B118" s="35"/>
      <c r="D118" s="19" t="s">
        <v>161</v>
      </c>
      <c r="E118" s="19" t="s">
        <v>162</v>
      </c>
      <c r="F118" s="20">
        <v>2014</v>
      </c>
      <c r="G118" s="20">
        <v>9</v>
      </c>
      <c r="H118" s="87">
        <v>1109</v>
      </c>
      <c r="I118" s="88" t="s">
        <v>163</v>
      </c>
      <c r="J118" s="38"/>
      <c r="K118" s="51" t="str">
        <f t="shared" si="10"/>
        <v/>
      </c>
      <c r="L118" s="38"/>
      <c r="M118" s="51" t="str">
        <f t="shared" si="21"/>
        <v/>
      </c>
      <c r="N118" s="38"/>
      <c r="O118" s="51" t="str">
        <f t="shared" si="12"/>
        <v/>
      </c>
      <c r="P118" s="38"/>
      <c r="Q118" s="51" t="str">
        <f t="shared" si="13"/>
        <v/>
      </c>
      <c r="R118" s="38">
        <v>38</v>
      </c>
      <c r="S118" s="51">
        <f t="shared" si="20"/>
        <v>3.4265103697024344</v>
      </c>
      <c r="T118" s="38"/>
      <c r="U118" s="51" t="str">
        <f t="shared" si="14"/>
        <v/>
      </c>
      <c r="V118" s="38"/>
      <c r="W118" s="51" t="str">
        <f t="shared" si="15"/>
        <v/>
      </c>
      <c r="X118" s="38"/>
      <c r="Y118" s="51" t="str">
        <f t="shared" si="16"/>
        <v/>
      </c>
      <c r="Z118" s="38"/>
      <c r="AA118" s="51" t="str">
        <f t="shared" si="17"/>
        <v/>
      </c>
      <c r="AB118" s="38"/>
      <c r="AC118" s="51" t="str">
        <f t="shared" si="18"/>
        <v/>
      </c>
      <c r="AD118" s="38"/>
      <c r="AE118" s="51" t="str">
        <f t="shared" si="19"/>
        <v/>
      </c>
      <c r="AF118" s="19" t="s">
        <v>164</v>
      </c>
    </row>
    <row r="119" spans="1:32" ht="20" customHeight="1" x14ac:dyDescent="0.2">
      <c r="A119" s="33"/>
      <c r="D119" s="19" t="s">
        <v>165</v>
      </c>
      <c r="E119" s="19" t="s">
        <v>166</v>
      </c>
      <c r="F119" s="20">
        <v>2014</v>
      </c>
      <c r="G119" s="20">
        <v>4</v>
      </c>
      <c r="H119" s="87">
        <v>1109</v>
      </c>
      <c r="I119" s="88"/>
      <c r="J119" s="38"/>
      <c r="K119" s="51" t="str">
        <f t="shared" si="10"/>
        <v/>
      </c>
      <c r="L119" s="38"/>
      <c r="M119" s="51" t="str">
        <f t="shared" si="21"/>
        <v/>
      </c>
      <c r="N119" s="38"/>
      <c r="O119" s="51" t="str">
        <f t="shared" si="12"/>
        <v/>
      </c>
      <c r="P119" s="38"/>
      <c r="Q119" s="51" t="str">
        <f t="shared" si="13"/>
        <v/>
      </c>
      <c r="R119" s="38"/>
      <c r="S119" s="51" t="str">
        <f t="shared" si="20"/>
        <v/>
      </c>
      <c r="T119" s="38"/>
      <c r="U119" s="51" t="str">
        <f t="shared" si="14"/>
        <v/>
      </c>
      <c r="V119" s="38"/>
      <c r="W119" s="51" t="str">
        <f t="shared" si="15"/>
        <v/>
      </c>
      <c r="X119" s="38"/>
      <c r="Y119" s="51" t="str">
        <f t="shared" si="16"/>
        <v/>
      </c>
      <c r="Z119" s="38"/>
      <c r="AA119" s="51" t="str">
        <f t="shared" si="17"/>
        <v/>
      </c>
      <c r="AB119" s="38"/>
      <c r="AC119" s="51" t="str">
        <f t="shared" si="18"/>
        <v/>
      </c>
      <c r="AD119" s="38"/>
      <c r="AE119" s="51" t="str">
        <f t="shared" si="19"/>
        <v/>
      </c>
      <c r="AF119" s="19" t="s">
        <v>167</v>
      </c>
    </row>
    <row r="120" spans="1:32" ht="20" customHeight="1" x14ac:dyDescent="0.2">
      <c r="A120" s="33"/>
      <c r="B120" s="95"/>
      <c r="D120" s="19" t="s">
        <v>168</v>
      </c>
      <c r="E120" s="19" t="s">
        <v>169</v>
      </c>
      <c r="F120" s="20">
        <v>2005</v>
      </c>
      <c r="G120" s="20">
        <v>36</v>
      </c>
      <c r="H120" s="87">
        <v>11</v>
      </c>
      <c r="I120" s="88"/>
      <c r="J120" s="38"/>
      <c r="K120" s="51" t="str">
        <f t="shared" si="10"/>
        <v/>
      </c>
      <c r="L120" s="38"/>
      <c r="M120" s="51" t="str">
        <f t="shared" si="21"/>
        <v/>
      </c>
      <c r="N120" s="38"/>
      <c r="O120" s="51" t="str">
        <f t="shared" si="12"/>
        <v/>
      </c>
      <c r="P120" s="38"/>
      <c r="Q120" s="51" t="str">
        <f t="shared" si="13"/>
        <v/>
      </c>
      <c r="R120" s="38">
        <v>4</v>
      </c>
      <c r="S120" s="51">
        <f t="shared" si="20"/>
        <v>36.363636363636367</v>
      </c>
      <c r="T120" s="38"/>
      <c r="U120" s="51" t="str">
        <f t="shared" si="14"/>
        <v/>
      </c>
      <c r="V120" s="38"/>
      <c r="W120" s="51" t="str">
        <f t="shared" si="15"/>
        <v/>
      </c>
      <c r="X120" s="38"/>
      <c r="Y120" s="51" t="str">
        <f t="shared" si="16"/>
        <v/>
      </c>
      <c r="Z120" s="38"/>
      <c r="AA120" s="51" t="str">
        <f t="shared" si="17"/>
        <v/>
      </c>
      <c r="AB120" s="38"/>
      <c r="AC120" s="51" t="str">
        <f t="shared" si="18"/>
        <v/>
      </c>
      <c r="AD120" s="38"/>
      <c r="AE120" s="51" t="str">
        <f t="shared" si="19"/>
        <v/>
      </c>
      <c r="AF120" s="27" t="s">
        <v>78</v>
      </c>
    </row>
    <row r="121" spans="1:32" ht="20" customHeight="1" thickBot="1" x14ac:dyDescent="0.25">
      <c r="A121" s="33"/>
      <c r="D121" s="19" t="s">
        <v>170</v>
      </c>
      <c r="E121" s="19" t="s">
        <v>171</v>
      </c>
      <c r="F121" s="20">
        <v>2014</v>
      </c>
      <c r="H121" s="91">
        <v>3</v>
      </c>
      <c r="I121" s="92"/>
      <c r="J121" s="40"/>
      <c r="K121" s="52" t="str">
        <f t="shared" si="10"/>
        <v/>
      </c>
      <c r="L121" s="40"/>
      <c r="M121" s="52" t="str">
        <f t="shared" si="21"/>
        <v/>
      </c>
      <c r="N121" s="40"/>
      <c r="O121" s="52" t="str">
        <f t="shared" si="12"/>
        <v/>
      </c>
      <c r="P121" s="40"/>
      <c r="Q121" s="52" t="str">
        <f t="shared" si="13"/>
        <v/>
      </c>
      <c r="R121" s="40"/>
      <c r="S121" s="41" t="str">
        <f t="shared" si="20"/>
        <v/>
      </c>
      <c r="T121" s="40"/>
      <c r="U121" s="52" t="str">
        <f t="shared" si="14"/>
        <v/>
      </c>
      <c r="V121" s="40"/>
      <c r="W121" s="52" t="str">
        <f t="shared" si="15"/>
        <v/>
      </c>
      <c r="X121" s="40"/>
      <c r="Y121" s="52" t="str">
        <f t="shared" si="16"/>
        <v/>
      </c>
      <c r="Z121" s="40"/>
      <c r="AA121" s="52" t="str">
        <f t="shared" si="17"/>
        <v/>
      </c>
      <c r="AB121" s="40"/>
      <c r="AC121" s="52" t="str">
        <f t="shared" si="18"/>
        <v/>
      </c>
      <c r="AD121" s="40"/>
      <c r="AE121" s="52" t="str">
        <f t="shared" si="19"/>
        <v/>
      </c>
      <c r="AF121" s="27" t="s">
        <v>78</v>
      </c>
    </row>
    <row r="122" spans="1:32" ht="20" customHeight="1" x14ac:dyDescent="0.2">
      <c r="H122" s="19"/>
      <c r="I122" s="19"/>
      <c r="J122" s="19"/>
      <c r="K122" s="19"/>
      <c r="L122" s="19"/>
      <c r="M122" s="19"/>
      <c r="N122" s="19"/>
      <c r="O122" s="19"/>
      <c r="P122" s="19"/>
      <c r="Q122" s="19"/>
      <c r="R122" s="19"/>
      <c r="S122" s="19"/>
      <c r="T122" s="19"/>
      <c r="U122" s="19"/>
      <c r="V122" s="19"/>
      <c r="W122" s="19"/>
      <c r="X122" s="19"/>
      <c r="Y122" s="19"/>
      <c r="Z122" s="19"/>
      <c r="AA122" s="19"/>
    </row>
    <row r="123" spans="1:32" ht="20" customHeight="1" thickBot="1" x14ac:dyDescent="0.25">
      <c r="K123" s="20"/>
      <c r="AB123" s="20"/>
      <c r="AC123" s="20"/>
      <c r="AD123" s="20"/>
      <c r="AE123" s="20"/>
    </row>
    <row r="124" spans="1:32" ht="17" customHeight="1" x14ac:dyDescent="0.2">
      <c r="D124" s="155" t="s">
        <v>216</v>
      </c>
      <c r="E124" s="155"/>
      <c r="F124" s="155"/>
      <c r="G124" s="156"/>
      <c r="H124" s="61">
        <f>SUM(H81:H121) - (H92 + H94)</f>
        <v>8053</v>
      </c>
      <c r="I124" s="62" t="s">
        <v>211</v>
      </c>
      <c r="J124" s="65">
        <f>IF((SUM(J81:J121)&lt;&gt;0),SUMIF($H81:$H121, "&gt;0", J81:J121), "")</f>
        <v>27</v>
      </c>
      <c r="K124" s="66">
        <f>IF(ISERROR((J124/$H124)*100), "", IF(((J124/$H124)*100) &lt;&gt; 0, (J124/$H124)*100, ""))</f>
        <v>0.3352787780951198</v>
      </c>
      <c r="L124" s="65">
        <f>IF((SUM(L81:L121)&lt;&gt;0),SUMIF($H81:$H121, "&gt;0", L81:L121), "")</f>
        <v>87</v>
      </c>
      <c r="M124" s="66">
        <f>IF(ISERROR((L124/$H124)*100), "", IF(((L124/$H124)*100) &lt;&gt; 0, (L124/$H124)*100, ""))</f>
        <v>1.0803427294176084</v>
      </c>
      <c r="N124" s="65">
        <f>IF((SUM(N81:N121)&lt;&gt;0),SUMIF($H81:$H121, "&gt;0", N81:N121), "")</f>
        <v>158</v>
      </c>
      <c r="O124" s="66">
        <f>IF(ISERROR((N124/$H124)*100), "", IF(((N124/$H124)*100) &lt;&gt; 0, (N124/$H124)*100, ""))</f>
        <v>1.9620017384825532</v>
      </c>
      <c r="P124" s="63">
        <f>IF((SUM(P81:P121)&lt;&gt;0),SUMIF($H81:$H121, "&gt;0", P81:P121), "")</f>
        <v>42</v>
      </c>
      <c r="Q124" s="64">
        <f>IF(ISERROR((P124/$H124)*100), "", IF(((P124/$H124)*100) &lt;&gt; 0, (P124/$H124)*100, ""))</f>
        <v>0.52154476592574195</v>
      </c>
      <c r="R124" s="63">
        <f>IF((SUM(R81:R121)&lt;&gt;0),SUMIF($H81:$H121, "&gt;0", R81:R121), "")</f>
        <v>81</v>
      </c>
      <c r="S124" s="64">
        <f>IF(ISERROR((R124/$H124)*100), "", IF(((R124/$H124)*100) &lt;&gt; 0, (R124/$H124)*100, ""))</f>
        <v>1.0058363342853596</v>
      </c>
      <c r="T124" s="63">
        <f>IF((SUM(T81:T121)&lt;&gt;0),SUMIF($H81:$H121, "&gt;0", T81:T121), "")</f>
        <v>118</v>
      </c>
      <c r="U124" s="64">
        <f>IF(ISERROR((T124/$H124)*100), "", IF(((T124/$H124)*100) &lt;&gt; 0, (T124/$H124)*100, ""))</f>
        <v>1.465292437600894</v>
      </c>
      <c r="V124" s="65">
        <f>IF((SUM(V81:V121)&lt;&gt;0),SUMIF($H81:$H121, "&gt;0", V81:V121), "")</f>
        <v>5</v>
      </c>
      <c r="W124" s="66">
        <f>IF(ISERROR((V124/$H124)*100), "", IF(((V124/$H124)*100) &lt;&gt; 0, (V124/$H124)*100, ""))</f>
        <v>6.208866261020738E-2</v>
      </c>
      <c r="X124" s="63">
        <f>IF((SUM(X81:X121)&lt;&gt;0),SUMIF($H81:$H121, "&gt;0", X81:X121), "")</f>
        <v>1</v>
      </c>
      <c r="Y124" s="64">
        <f>IF(ISERROR((X124/$H124)*100), "", IF(((X124/$H124)*100) &lt;&gt; 0, (X124/$H124)*100, ""))</f>
        <v>1.2417732522041475E-2</v>
      </c>
      <c r="Z124" s="63">
        <f>IF((SUM(Z81:Z121)&lt;&gt;0),SUMIF($H81:$H121, "&gt;0", Z81:Z121), "")</f>
        <v>11</v>
      </c>
      <c r="AA124" s="64">
        <f>IF(ISERROR((Z124/$H124)*100), "", IF(((Z124/$H124)*100) &lt;&gt; 0, (Z124/$H124)*100, ""))</f>
        <v>0.13659505774245623</v>
      </c>
      <c r="AB124" s="63">
        <f>IF((SUM(AB81:AB121)&lt;&gt;0),SUMIF($H81:$H121, "&gt;0", AB81:AB121), "")</f>
        <v>1</v>
      </c>
      <c r="AC124" s="64">
        <f>IF(ISERROR((AB124/$H124)*100), "", IF(((AB124/$H124)*100) &lt;&gt; 0, (AB124/$H124)*100, ""))</f>
        <v>1.2417732522041475E-2</v>
      </c>
      <c r="AD124" s="65">
        <f>IF((SUM(AD81:AD121)&lt;&gt;0),SUMIF($H81:$H121, "&gt;0", AD81:AD121), "")</f>
        <v>192</v>
      </c>
      <c r="AE124" s="66">
        <f>IF(ISERROR((AD124/$H124)*100), "", IF(((AD124/$H124)*100) &lt;&gt; 0, (AD124/$H124)*100, ""))</f>
        <v>2.3842046442319633</v>
      </c>
    </row>
    <row r="125" spans="1:32" ht="17" customHeight="1" x14ac:dyDescent="0.2">
      <c r="D125" s="155" t="s">
        <v>217</v>
      </c>
      <c r="E125" s="155"/>
      <c r="F125" s="155"/>
      <c r="G125" s="156"/>
      <c r="H125" s="57" t="s">
        <v>212</v>
      </c>
      <c r="I125" s="58" t="s">
        <v>211</v>
      </c>
      <c r="J125" s="67">
        <f>IF(SUMIF(J81:J121, "&gt;0", $H81:$H121) &gt; 0, SUMIF(J81:J121, "&gt;0", $H81:$H121), "")</f>
        <v>563</v>
      </c>
      <c r="K125" s="68">
        <f>J124/J125*100</f>
        <v>4.7957371225577266</v>
      </c>
      <c r="L125" s="67">
        <f>IF(SUMIF(L81:L121, "&gt;0", $H81:$H121) &gt; 0, SUMIF(L81:L121, "&gt;0", $H81:$H121), "")</f>
        <v>1183</v>
      </c>
      <c r="M125" s="68">
        <f>L124/L125*100</f>
        <v>7.3541842772611998</v>
      </c>
      <c r="N125" s="67">
        <f>IF(SUMIF(N81:N121, "&gt;0", $H81:$H121) &gt; 0, SUMIF(N81:N121, "&gt;0", $H81:$H121), "")</f>
        <v>1366</v>
      </c>
      <c r="O125" s="68">
        <f>N124/N125*100</f>
        <v>11.566617862371888</v>
      </c>
      <c r="P125" s="59">
        <f>IF(SUMIF(P81:P121, "&gt;0", $H81:$H121) &gt; 0, SUMIF(P81:P121, "&gt;0", $H81:$H121), "")</f>
        <v>824</v>
      </c>
      <c r="Q125" s="60">
        <f>P124/P125*100</f>
        <v>5.0970873786407767</v>
      </c>
      <c r="R125" s="59">
        <f>IF(SUMIF(R81:R121, "&gt;0", $H81:$H121) &gt; 0, SUMIF(R81:R121, "&gt;0", $H81:$H121), "")</f>
        <v>2415</v>
      </c>
      <c r="S125" s="60">
        <f>R124/R125*100</f>
        <v>3.354037267080745</v>
      </c>
      <c r="T125" s="59">
        <f>IF(SUMIF(T81:T121, "&gt;0", $H81:$H121) &gt; 0, SUMIF(T81:T121, "&gt;0", $H81:$H121), "")</f>
        <v>833</v>
      </c>
      <c r="U125" s="60">
        <f>T124/T125*100</f>
        <v>14.165666266506602</v>
      </c>
      <c r="V125" s="67">
        <f>IF(SUMIF(V81:V121, "&gt;0", $H81:$H121) &gt; 0, SUMIF(V81:V121, "&gt;0", $H81:$H121), "")</f>
        <v>802</v>
      </c>
      <c r="W125" s="68">
        <f>V124/V125*100</f>
        <v>0.62344139650872821</v>
      </c>
      <c r="X125" s="59">
        <f>IF(SUMIF(X81:X121, "&gt;0", $H81:$H121) &gt; 0, SUMIF(X81:X121, "&gt;0", $H81:$H121), "")</f>
        <v>293</v>
      </c>
      <c r="Y125" s="60">
        <f>X124/X125*100</f>
        <v>0.34129692832764508</v>
      </c>
      <c r="Z125" s="59">
        <f>IF(SUMIF(Z81:Z121, "&gt;0", $H81:$H121) &gt; 0, SUMIF(Z81:Z121, "&gt;0", $H81:$H121), "")</f>
        <v>793</v>
      </c>
      <c r="AA125" s="60">
        <f>Z124/Z125*100</f>
        <v>1.3871374527112232</v>
      </c>
      <c r="AB125" s="59">
        <f>IF(SUMIF(AB81:AB121, "&gt;0", $H81:$H121) &gt; 0, SUMIF(AB81:AB121, "&gt;0", $H81:$H121), "")</f>
        <v>293</v>
      </c>
      <c r="AC125" s="60">
        <f>AB124/AB125*100</f>
        <v>0.34129692832764508</v>
      </c>
      <c r="AD125" s="67">
        <f>IF(SUMIF(AD81:AD121, "&gt;0", $H81:$H121) &gt; 0, SUMIF(AD81:AD121, "&gt;0", $H81:$H121), "")</f>
        <v>431</v>
      </c>
      <c r="AE125" s="69"/>
    </row>
    <row r="126" spans="1:32" ht="17" customHeight="1" thickBot="1" x14ac:dyDescent="0.25">
      <c r="E126" s="73"/>
      <c r="F126" s="73"/>
      <c r="G126" s="74"/>
      <c r="H126" s="157" t="s">
        <v>215</v>
      </c>
      <c r="I126" s="160"/>
      <c r="J126" s="143" t="s">
        <v>212</v>
      </c>
      <c r="K126" s="149" t="s">
        <v>211</v>
      </c>
      <c r="L126" s="143" t="s">
        <v>212</v>
      </c>
      <c r="M126" s="149" t="s">
        <v>211</v>
      </c>
      <c r="N126" s="143" t="s">
        <v>212</v>
      </c>
      <c r="O126" s="149" t="s">
        <v>211</v>
      </c>
      <c r="P126" s="143" t="s">
        <v>212</v>
      </c>
      <c r="Q126" s="149" t="s">
        <v>211</v>
      </c>
      <c r="R126" s="143" t="s">
        <v>212</v>
      </c>
      <c r="S126" s="149" t="s">
        <v>211</v>
      </c>
      <c r="T126" s="143" t="s">
        <v>212</v>
      </c>
      <c r="U126" s="149" t="s">
        <v>211</v>
      </c>
      <c r="V126" s="143" t="s">
        <v>212</v>
      </c>
      <c r="W126" s="149" t="s">
        <v>211</v>
      </c>
      <c r="X126" s="143" t="s">
        <v>212</v>
      </c>
      <c r="Y126" s="149" t="s">
        <v>211</v>
      </c>
      <c r="Z126" s="143" t="s">
        <v>212</v>
      </c>
      <c r="AA126" s="149" t="s">
        <v>211</v>
      </c>
      <c r="AB126" s="143" t="s">
        <v>212</v>
      </c>
      <c r="AC126" s="149" t="s">
        <v>211</v>
      </c>
      <c r="AD126" s="143" t="s">
        <v>212</v>
      </c>
      <c r="AE126" s="149" t="s">
        <v>211</v>
      </c>
    </row>
    <row r="127" spans="1:32" ht="17" customHeight="1" x14ac:dyDescent="0.2">
      <c r="E127" s="162" t="s">
        <v>227</v>
      </c>
      <c r="F127" s="163"/>
      <c r="H127" s="158"/>
      <c r="I127" s="160"/>
      <c r="J127" s="144"/>
      <c r="K127" s="150"/>
      <c r="L127" s="144"/>
      <c r="M127" s="150"/>
      <c r="N127" s="144"/>
      <c r="O127" s="150"/>
      <c r="P127" s="144"/>
      <c r="Q127" s="150"/>
      <c r="R127" s="144"/>
      <c r="S127" s="150"/>
      <c r="T127" s="144"/>
      <c r="U127" s="150"/>
      <c r="V127" s="144"/>
      <c r="W127" s="150"/>
      <c r="X127" s="144"/>
      <c r="Y127" s="150"/>
      <c r="Z127" s="144"/>
      <c r="AA127" s="150"/>
      <c r="AB127" s="144"/>
      <c r="AC127" s="150"/>
      <c r="AD127" s="144"/>
      <c r="AE127" s="150"/>
    </row>
    <row r="128" spans="1:32" ht="17" customHeight="1" x14ac:dyDescent="0.2">
      <c r="E128" s="164"/>
      <c r="F128" s="165"/>
      <c r="H128" s="158"/>
      <c r="I128" s="160"/>
      <c r="J128" s="144"/>
      <c r="K128" s="150"/>
      <c r="L128" s="144"/>
      <c r="M128" s="150"/>
      <c r="N128" s="144"/>
      <c r="O128" s="150"/>
      <c r="P128" s="144"/>
      <c r="Q128" s="150"/>
      <c r="R128" s="144"/>
      <c r="S128" s="150"/>
      <c r="T128" s="144"/>
      <c r="U128" s="150"/>
      <c r="V128" s="144"/>
      <c r="W128" s="150"/>
      <c r="X128" s="144"/>
      <c r="Y128" s="150"/>
      <c r="Z128" s="144"/>
      <c r="AA128" s="150"/>
      <c r="AB128" s="144"/>
      <c r="AC128" s="150"/>
      <c r="AD128" s="144"/>
      <c r="AE128" s="150"/>
    </row>
    <row r="129" spans="5:31" ht="17" customHeight="1" x14ac:dyDescent="0.2">
      <c r="E129" s="164"/>
      <c r="F129" s="165"/>
      <c r="H129" s="158"/>
      <c r="I129" s="160"/>
      <c r="J129" s="145"/>
      <c r="K129" s="151"/>
      <c r="L129" s="145"/>
      <c r="M129" s="151"/>
      <c r="N129" s="145"/>
      <c r="O129" s="151"/>
      <c r="P129" s="145"/>
      <c r="Q129" s="151"/>
      <c r="R129" s="145"/>
      <c r="S129" s="151"/>
      <c r="T129" s="145"/>
      <c r="U129" s="151"/>
      <c r="V129" s="145"/>
      <c r="W129" s="151"/>
      <c r="X129" s="145"/>
      <c r="Y129" s="151"/>
      <c r="Z129" s="145"/>
      <c r="AA129" s="151"/>
      <c r="AB129" s="145"/>
      <c r="AC129" s="151"/>
      <c r="AD129" s="145"/>
      <c r="AE129" s="151"/>
    </row>
    <row r="130" spans="5:31" ht="17" customHeight="1" x14ac:dyDescent="0.2">
      <c r="E130" s="164"/>
      <c r="F130" s="165"/>
      <c r="H130" s="158"/>
      <c r="I130" s="160"/>
      <c r="J130" s="123" t="s">
        <v>56</v>
      </c>
      <c r="K130" s="124"/>
      <c r="L130" s="123" t="s">
        <v>214</v>
      </c>
      <c r="M130" s="124"/>
      <c r="N130" s="123" t="s">
        <v>57</v>
      </c>
      <c r="O130" s="124"/>
      <c r="P130" s="123" t="s">
        <v>61</v>
      </c>
      <c r="Q130" s="124"/>
      <c r="R130" s="123" t="s">
        <v>50</v>
      </c>
      <c r="S130" s="124"/>
      <c r="T130" s="123" t="s">
        <v>62</v>
      </c>
      <c r="U130" s="124"/>
      <c r="V130" s="123" t="s">
        <v>65</v>
      </c>
      <c r="W130" s="124"/>
      <c r="X130" s="123" t="s">
        <v>63</v>
      </c>
      <c r="Y130" s="124"/>
      <c r="Z130" s="123" t="s">
        <v>64</v>
      </c>
      <c r="AA130" s="124"/>
      <c r="AB130" s="123" t="s">
        <v>66</v>
      </c>
      <c r="AC130" s="124"/>
      <c r="AD130" s="123" t="s">
        <v>58</v>
      </c>
      <c r="AE130" s="124"/>
    </row>
    <row r="131" spans="5:31" ht="17" customHeight="1" x14ac:dyDescent="0.2">
      <c r="E131" s="164"/>
      <c r="F131" s="165"/>
      <c r="H131" s="158"/>
      <c r="I131" s="160"/>
      <c r="J131" s="123"/>
      <c r="K131" s="124"/>
      <c r="L131" s="123"/>
      <c r="M131" s="124"/>
      <c r="N131" s="123"/>
      <c r="O131" s="124"/>
      <c r="P131" s="123"/>
      <c r="Q131" s="124"/>
      <c r="R131" s="123"/>
      <c r="S131" s="124"/>
      <c r="T131" s="123"/>
      <c r="U131" s="124"/>
      <c r="V131" s="123"/>
      <c r="W131" s="124"/>
      <c r="X131" s="123"/>
      <c r="Y131" s="124"/>
      <c r="Z131" s="123"/>
      <c r="AA131" s="124"/>
      <c r="AB131" s="123"/>
      <c r="AC131" s="124"/>
      <c r="AD131" s="123"/>
      <c r="AE131" s="124"/>
    </row>
    <row r="132" spans="5:31" ht="17" customHeight="1" thickBot="1" x14ac:dyDescent="0.25">
      <c r="E132" s="166"/>
      <c r="F132" s="167"/>
      <c r="H132" s="158"/>
      <c r="I132" s="160"/>
      <c r="J132" s="136"/>
      <c r="K132" s="137"/>
      <c r="L132" s="136"/>
      <c r="M132" s="137"/>
      <c r="N132" s="136"/>
      <c r="O132" s="137"/>
      <c r="P132" s="136"/>
      <c r="Q132" s="137"/>
      <c r="R132" s="136"/>
      <c r="S132" s="137"/>
      <c r="T132" s="136"/>
      <c r="U132" s="137"/>
      <c r="V132" s="136"/>
      <c r="W132" s="137"/>
      <c r="X132" s="136"/>
      <c r="Y132" s="137"/>
      <c r="Z132" s="136"/>
      <c r="AA132" s="137"/>
      <c r="AB132" s="136"/>
      <c r="AC132" s="137"/>
      <c r="AD132" s="136"/>
      <c r="AE132" s="137"/>
    </row>
    <row r="133" spans="5:31" ht="17" customHeight="1" thickBot="1" x14ac:dyDescent="0.25">
      <c r="F133" s="19"/>
      <c r="H133" s="159"/>
      <c r="I133" s="161"/>
      <c r="J133" s="133" t="s">
        <v>230</v>
      </c>
      <c r="K133" s="134"/>
      <c r="L133" s="134"/>
      <c r="M133" s="134"/>
      <c r="N133" s="134"/>
      <c r="O133" s="134"/>
      <c r="P133" s="134"/>
      <c r="Q133" s="134"/>
      <c r="R133" s="134"/>
      <c r="S133" s="134"/>
      <c r="T133" s="134"/>
      <c r="U133" s="134"/>
      <c r="V133" s="134"/>
      <c r="W133" s="134"/>
      <c r="X133" s="134"/>
      <c r="Y133" s="134"/>
      <c r="Z133" s="134"/>
      <c r="AA133" s="134"/>
      <c r="AB133" s="134"/>
      <c r="AC133" s="134"/>
      <c r="AD133" s="134"/>
      <c r="AE133" s="135"/>
    </row>
  </sheetData>
  <mergeCells count="148">
    <mergeCell ref="AB130:AC132"/>
    <mergeCell ref="J133:AE133"/>
    <mergeCell ref="J71:AE71"/>
    <mergeCell ref="J72:AE72"/>
    <mergeCell ref="P130:Q132"/>
    <mergeCell ref="T130:U132"/>
    <mergeCell ref="X130:Y132"/>
    <mergeCell ref="Z130:AA132"/>
    <mergeCell ref="V130:W132"/>
    <mergeCell ref="J130:K132"/>
    <mergeCell ref="N130:O132"/>
    <mergeCell ref="AD130:AE132"/>
    <mergeCell ref="R130:S132"/>
    <mergeCell ref="L130:M132"/>
    <mergeCell ref="AB126:AB129"/>
    <mergeCell ref="AC126:AC129"/>
    <mergeCell ref="X126:X129"/>
    <mergeCell ref="Y126:Y129"/>
    <mergeCell ref="Z126:Z129"/>
    <mergeCell ref="AA126:AA129"/>
    <mergeCell ref="V126:V129"/>
    <mergeCell ref="W126:W129"/>
    <mergeCell ref="P126:P129"/>
    <mergeCell ref="Q126:Q129"/>
    <mergeCell ref="T126:T129"/>
    <mergeCell ref="U126:U129"/>
    <mergeCell ref="N126:N129"/>
    <mergeCell ref="O126:O129"/>
    <mergeCell ref="AD126:AD129"/>
    <mergeCell ref="AE126:AE129"/>
    <mergeCell ref="S126:S129"/>
    <mergeCell ref="J126:J129"/>
    <mergeCell ref="K126:K129"/>
    <mergeCell ref="L126:L129"/>
    <mergeCell ref="M126:M129"/>
    <mergeCell ref="D124:G124"/>
    <mergeCell ref="D125:G125"/>
    <mergeCell ref="H126:H133"/>
    <mergeCell ref="I126:I133"/>
    <mergeCell ref="R126:R129"/>
    <mergeCell ref="E127:F132"/>
    <mergeCell ref="AD76:AD80"/>
    <mergeCell ref="AE76:AE80"/>
    <mergeCell ref="R76:R80"/>
    <mergeCell ref="S76:S80"/>
    <mergeCell ref="L76:L80"/>
    <mergeCell ref="M76:M80"/>
    <mergeCell ref="V76:V80"/>
    <mergeCell ref="W76:W80"/>
    <mergeCell ref="AB76:AB80"/>
    <mergeCell ref="AC76:AC80"/>
    <mergeCell ref="T76:T80"/>
    <mergeCell ref="U76:U80"/>
    <mergeCell ref="X76:X80"/>
    <mergeCell ref="Y76:Y80"/>
    <mergeCell ref="Z76:Z80"/>
    <mergeCell ref="AA76:AA80"/>
    <mergeCell ref="A76:A80"/>
    <mergeCell ref="B76:B80"/>
    <mergeCell ref="G76:G80"/>
    <mergeCell ref="H76:H80"/>
    <mergeCell ref="I76:I80"/>
    <mergeCell ref="P73:Q75"/>
    <mergeCell ref="T73:U75"/>
    <mergeCell ref="X73:Y75"/>
    <mergeCell ref="Z73:AA75"/>
    <mergeCell ref="V73:W75"/>
    <mergeCell ref="P76:P80"/>
    <mergeCell ref="Q76:Q80"/>
    <mergeCell ref="J76:J80"/>
    <mergeCell ref="K76:K80"/>
    <mergeCell ref="N76:N80"/>
    <mergeCell ref="O76:O80"/>
    <mergeCell ref="D72:D76"/>
    <mergeCell ref="AB73:AC75"/>
    <mergeCell ref="J73:K75"/>
    <mergeCell ref="N73:O75"/>
    <mergeCell ref="AD73:AE75"/>
    <mergeCell ref="R73:S75"/>
    <mergeCell ref="L73:M75"/>
    <mergeCell ref="N61:O63"/>
    <mergeCell ref="L61:M63"/>
    <mergeCell ref="J64:AA64"/>
    <mergeCell ref="R61:S63"/>
    <mergeCell ref="J61:K63"/>
    <mergeCell ref="X61:Y63"/>
    <mergeCell ref="P61:Q63"/>
    <mergeCell ref="E58:F63"/>
    <mergeCell ref="Z61:AA63"/>
    <mergeCell ref="V61:W63"/>
    <mergeCell ref="T61:U63"/>
    <mergeCell ref="N57:N60"/>
    <mergeCell ref="O57:O60"/>
    <mergeCell ref="L57:L60"/>
    <mergeCell ref="M57:M60"/>
    <mergeCell ref="R57:R60"/>
    <mergeCell ref="S57:S60"/>
    <mergeCell ref="P57:P60"/>
    <mergeCell ref="Q57:Q60"/>
    <mergeCell ref="J57:J60"/>
    <mergeCell ref="K57:K60"/>
    <mergeCell ref="X57:X60"/>
    <mergeCell ref="Y57:Y60"/>
    <mergeCell ref="V57:V60"/>
    <mergeCell ref="W57:W60"/>
    <mergeCell ref="T57:T60"/>
    <mergeCell ref="U57:U60"/>
    <mergeCell ref="H57:H64"/>
    <mergeCell ref="I57:I64"/>
    <mergeCell ref="Z57:Z60"/>
    <mergeCell ref="AA57:AA60"/>
    <mergeCell ref="AA7:AA11"/>
    <mergeCell ref="V7:V11"/>
    <mergeCell ref="W7:W11"/>
    <mergeCell ref="N7:N11"/>
    <mergeCell ref="O7:O11"/>
    <mergeCell ref="L7:L11"/>
    <mergeCell ref="M7:M11"/>
    <mergeCell ref="D55:G55"/>
    <mergeCell ref="D56:G56"/>
    <mergeCell ref="P7:P11"/>
    <mergeCell ref="Q7:Q11"/>
    <mergeCell ref="R7:R11"/>
    <mergeCell ref="D3:D7"/>
    <mergeCell ref="J2:AA2"/>
    <mergeCell ref="J3:AA3"/>
    <mergeCell ref="Z4:AA6"/>
    <mergeCell ref="V4:W6"/>
    <mergeCell ref="T4:U6"/>
    <mergeCell ref="J4:K6"/>
    <mergeCell ref="X4:Y6"/>
    <mergeCell ref="A7:A11"/>
    <mergeCell ref="B7:B11"/>
    <mergeCell ref="G7:G11"/>
    <mergeCell ref="H7:H11"/>
    <mergeCell ref="I7:I11"/>
    <mergeCell ref="N4:O6"/>
    <mergeCell ref="L4:M6"/>
    <mergeCell ref="P4:Q6"/>
    <mergeCell ref="R4:S6"/>
    <mergeCell ref="S7:S11"/>
    <mergeCell ref="X7:X11"/>
    <mergeCell ref="Y7:Y11"/>
    <mergeCell ref="T7:T11"/>
    <mergeCell ref="U7:U11"/>
    <mergeCell ref="J7:J11"/>
    <mergeCell ref="K7:K11"/>
    <mergeCell ref="Z7:Z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64"/>
  <sheetViews>
    <sheetView showRuler="0" workbookViewId="0"/>
  </sheetViews>
  <sheetFormatPr baseColWidth="10" defaultRowHeight="16" x14ac:dyDescent="0.2"/>
  <cols>
    <col min="1" max="1" width="5.5" style="19" customWidth="1"/>
    <col min="2" max="2" width="5.6640625" style="19" customWidth="1"/>
    <col min="3" max="3" width="12.5" style="20" customWidth="1"/>
    <col min="4" max="4" width="75.83203125" style="19" customWidth="1"/>
    <col min="5" max="5" width="22.6640625" style="19" customWidth="1"/>
    <col min="6" max="6" width="10.83203125" style="20"/>
    <col min="7" max="8" width="6.6640625" style="20" customWidth="1"/>
    <col min="9" max="9" width="8.33203125" style="20" customWidth="1"/>
    <col min="10" max="29" width="8.83203125" style="20" customWidth="1"/>
    <col min="30" max="30" width="113.83203125" style="19" customWidth="1"/>
    <col min="31" max="16384" width="10.83203125" style="19"/>
  </cols>
  <sheetData>
    <row r="1" spans="1:30" ht="17" thickBot="1" x14ac:dyDescent="0.25"/>
    <row r="2" spans="1:30" ht="17" thickBot="1" x14ac:dyDescent="0.25">
      <c r="A2" s="95"/>
      <c r="D2" s="206" t="s">
        <v>235</v>
      </c>
    </row>
    <row r="3" spans="1:30" ht="19" customHeight="1" x14ac:dyDescent="0.25">
      <c r="A3" s="35"/>
      <c r="B3" s="33"/>
      <c r="D3" s="207"/>
      <c r="J3" s="183" t="s">
        <v>44</v>
      </c>
      <c r="K3" s="184"/>
      <c r="L3" s="184"/>
      <c r="M3" s="184"/>
      <c r="N3" s="184"/>
      <c r="O3" s="184"/>
      <c r="P3" s="184"/>
      <c r="Q3" s="184"/>
      <c r="R3" s="184"/>
      <c r="S3" s="184"/>
      <c r="T3" s="184"/>
      <c r="U3" s="184"/>
      <c r="V3" s="184"/>
      <c r="W3" s="184"/>
      <c r="X3" s="184"/>
      <c r="Y3" s="184"/>
      <c r="Z3" s="184"/>
      <c r="AA3" s="184"/>
      <c r="AB3" s="184"/>
      <c r="AC3" s="185"/>
    </row>
    <row r="4" spans="1:30" ht="19" customHeight="1" thickBot="1" x14ac:dyDescent="0.25">
      <c r="A4" s="94"/>
      <c r="B4" s="34"/>
      <c r="D4" s="208" t="s">
        <v>234</v>
      </c>
      <c r="J4" s="186" t="s">
        <v>202</v>
      </c>
      <c r="K4" s="187"/>
      <c r="L4" s="187"/>
      <c r="M4" s="187"/>
      <c r="N4" s="187"/>
      <c r="O4" s="187"/>
      <c r="P4" s="187"/>
      <c r="Q4" s="187"/>
      <c r="R4" s="187"/>
      <c r="S4" s="187"/>
      <c r="T4" s="187"/>
      <c r="U4" s="187"/>
      <c r="V4" s="187"/>
      <c r="W4" s="187"/>
      <c r="X4" s="187"/>
      <c r="Y4" s="187"/>
      <c r="Z4" s="187"/>
      <c r="AA4" s="187"/>
      <c r="AB4" s="187"/>
      <c r="AC4" s="188"/>
    </row>
    <row r="5" spans="1:30" ht="20" customHeight="1" x14ac:dyDescent="0.2">
      <c r="A5" s="107" t="s">
        <v>233</v>
      </c>
      <c r="B5" s="107" t="s">
        <v>201</v>
      </c>
      <c r="D5" s="208"/>
      <c r="G5" s="107" t="s">
        <v>46</v>
      </c>
      <c r="H5" s="109" t="s">
        <v>47</v>
      </c>
      <c r="I5" s="189" t="s">
        <v>48</v>
      </c>
      <c r="J5" s="192" t="s">
        <v>49</v>
      </c>
      <c r="K5" s="194" t="s">
        <v>50</v>
      </c>
      <c r="L5" s="194" t="s">
        <v>51</v>
      </c>
      <c r="M5" s="196" t="s">
        <v>52</v>
      </c>
      <c r="N5" s="194" t="s">
        <v>53</v>
      </c>
      <c r="O5" s="194" t="s">
        <v>54</v>
      </c>
      <c r="P5" s="196" t="s">
        <v>55</v>
      </c>
      <c r="Q5" s="198" t="s">
        <v>56</v>
      </c>
      <c r="R5" s="198" t="s">
        <v>57</v>
      </c>
      <c r="S5" s="196" t="s">
        <v>58</v>
      </c>
      <c r="T5" s="198" t="s">
        <v>59</v>
      </c>
      <c r="U5" s="196" t="s">
        <v>60</v>
      </c>
      <c r="V5" s="198" t="s">
        <v>61</v>
      </c>
      <c r="W5" s="198" t="s">
        <v>62</v>
      </c>
      <c r="X5" s="198" t="s">
        <v>63</v>
      </c>
      <c r="Y5" s="198" t="s">
        <v>64</v>
      </c>
      <c r="Z5" s="198" t="s">
        <v>65</v>
      </c>
      <c r="AA5" s="198" t="s">
        <v>66</v>
      </c>
      <c r="AB5" s="196" t="s">
        <v>67</v>
      </c>
      <c r="AC5" s="177" t="s">
        <v>184</v>
      </c>
    </row>
    <row r="6" spans="1:30" ht="20" customHeight="1" x14ac:dyDescent="0.2">
      <c r="A6" s="107"/>
      <c r="B6" s="107"/>
      <c r="D6" s="208"/>
      <c r="G6" s="107"/>
      <c r="H6" s="110"/>
      <c r="I6" s="190"/>
      <c r="J6" s="192"/>
      <c r="K6" s="194"/>
      <c r="L6" s="194"/>
      <c r="M6" s="194"/>
      <c r="N6" s="194"/>
      <c r="O6" s="194"/>
      <c r="P6" s="196"/>
      <c r="Q6" s="181"/>
      <c r="R6" s="181"/>
      <c r="S6" s="196"/>
      <c r="T6" s="181"/>
      <c r="U6" s="194"/>
      <c r="V6" s="181"/>
      <c r="W6" s="181"/>
      <c r="X6" s="181"/>
      <c r="Y6" s="181"/>
      <c r="Z6" s="181"/>
      <c r="AA6" s="181"/>
      <c r="AB6" s="194"/>
      <c r="AC6" s="178"/>
    </row>
    <row r="7" spans="1:30" ht="20" customHeight="1" thickBot="1" x14ac:dyDescent="0.25">
      <c r="A7" s="107"/>
      <c r="B7" s="107"/>
      <c r="D7" s="209"/>
      <c r="G7" s="107"/>
      <c r="H7" s="110"/>
      <c r="I7" s="190"/>
      <c r="J7" s="192"/>
      <c r="K7" s="194"/>
      <c r="L7" s="194"/>
      <c r="M7" s="194"/>
      <c r="N7" s="194"/>
      <c r="O7" s="194"/>
      <c r="P7" s="196"/>
      <c r="Q7" s="181"/>
      <c r="R7" s="181"/>
      <c r="S7" s="196"/>
      <c r="T7" s="181"/>
      <c r="U7" s="194"/>
      <c r="V7" s="181"/>
      <c r="W7" s="181"/>
      <c r="X7" s="181"/>
      <c r="Y7" s="181"/>
      <c r="Z7" s="181"/>
      <c r="AA7" s="181"/>
      <c r="AB7" s="194"/>
      <c r="AC7" s="178"/>
    </row>
    <row r="8" spans="1:30" ht="20" customHeight="1" x14ac:dyDescent="0.2">
      <c r="A8" s="107"/>
      <c r="B8" s="107"/>
      <c r="G8" s="107"/>
      <c r="H8" s="110"/>
      <c r="I8" s="190"/>
      <c r="J8" s="192"/>
      <c r="K8" s="194"/>
      <c r="L8" s="194"/>
      <c r="M8" s="194"/>
      <c r="N8" s="194"/>
      <c r="O8" s="194"/>
      <c r="P8" s="196"/>
      <c r="Q8" s="181"/>
      <c r="R8" s="181"/>
      <c r="S8" s="196"/>
      <c r="T8" s="181"/>
      <c r="U8" s="194"/>
      <c r="V8" s="181"/>
      <c r="W8" s="181"/>
      <c r="X8" s="181"/>
      <c r="Y8" s="181"/>
      <c r="Z8" s="181"/>
      <c r="AA8" s="181"/>
      <c r="AB8" s="194"/>
      <c r="AC8" s="178"/>
    </row>
    <row r="9" spans="1:30" s="23" customFormat="1" ht="20" customHeight="1" thickBot="1" x14ac:dyDescent="0.25">
      <c r="A9" s="199"/>
      <c r="B9" s="108"/>
      <c r="C9" s="22" t="s">
        <v>68</v>
      </c>
      <c r="D9" s="21" t="s">
        <v>69</v>
      </c>
      <c r="E9" s="21" t="s">
        <v>70</v>
      </c>
      <c r="F9" s="22" t="s">
        <v>71</v>
      </c>
      <c r="G9" s="108"/>
      <c r="H9" s="111"/>
      <c r="I9" s="191"/>
      <c r="J9" s="193"/>
      <c r="K9" s="195"/>
      <c r="L9" s="195"/>
      <c r="M9" s="195"/>
      <c r="N9" s="195"/>
      <c r="O9" s="195"/>
      <c r="P9" s="197"/>
      <c r="Q9" s="182"/>
      <c r="R9" s="182"/>
      <c r="S9" s="197"/>
      <c r="T9" s="182"/>
      <c r="U9" s="195"/>
      <c r="V9" s="182"/>
      <c r="W9" s="182"/>
      <c r="X9" s="182"/>
      <c r="Y9" s="182"/>
      <c r="Z9" s="182"/>
      <c r="AA9" s="182"/>
      <c r="AB9" s="195"/>
      <c r="AC9" s="179"/>
      <c r="AD9" s="21" t="s">
        <v>72</v>
      </c>
    </row>
    <row r="10" spans="1:30" ht="20" customHeight="1" x14ac:dyDescent="0.2">
      <c r="B10" s="36"/>
      <c r="D10" s="19" t="s">
        <v>73</v>
      </c>
      <c r="E10" s="19" t="s">
        <v>74</v>
      </c>
      <c r="F10" s="20">
        <v>2015</v>
      </c>
      <c r="G10" s="20">
        <v>3</v>
      </c>
      <c r="H10" s="85">
        <v>100</v>
      </c>
      <c r="I10" s="86" t="s">
        <v>75</v>
      </c>
      <c r="J10" s="38" t="s">
        <v>177</v>
      </c>
      <c r="K10" s="24"/>
      <c r="L10" s="24"/>
      <c r="M10" s="24"/>
      <c r="N10" s="24"/>
      <c r="O10" s="24"/>
      <c r="P10" s="24"/>
      <c r="Q10" s="24"/>
      <c r="R10" s="25"/>
      <c r="S10" s="26"/>
      <c r="T10" s="26"/>
      <c r="U10" s="26"/>
      <c r="V10" s="26"/>
      <c r="W10" s="26"/>
      <c r="X10" s="26"/>
      <c r="Y10" s="26"/>
      <c r="Z10" s="26"/>
      <c r="AA10" s="26"/>
      <c r="AB10" s="26"/>
      <c r="AC10" s="79"/>
      <c r="AD10" s="19" t="s">
        <v>178</v>
      </c>
    </row>
    <row r="11" spans="1:30" ht="20" customHeight="1" x14ac:dyDescent="0.2">
      <c r="B11" s="36"/>
      <c r="D11" s="19" t="s">
        <v>76</v>
      </c>
      <c r="E11" s="19" t="s">
        <v>77</v>
      </c>
      <c r="F11" s="20">
        <v>2014</v>
      </c>
      <c r="G11" s="20">
        <v>9</v>
      </c>
      <c r="H11" s="87">
        <v>82</v>
      </c>
      <c r="I11" s="88"/>
      <c r="J11" s="80"/>
      <c r="K11" s="24"/>
      <c r="L11" s="24"/>
      <c r="M11" s="24"/>
      <c r="N11" s="24"/>
      <c r="O11" s="24"/>
      <c r="P11" s="24"/>
      <c r="Q11" s="24"/>
      <c r="R11" s="24"/>
      <c r="S11" s="24"/>
      <c r="T11" s="24"/>
      <c r="U11" s="24"/>
      <c r="V11" s="24"/>
      <c r="W11" s="24"/>
      <c r="X11" s="24"/>
      <c r="Y11" s="24"/>
      <c r="Z11" s="24"/>
      <c r="AA11" s="24"/>
      <c r="AB11" s="24"/>
      <c r="AC11" s="81"/>
      <c r="AD11" s="27" t="s">
        <v>78</v>
      </c>
    </row>
    <row r="12" spans="1:30" ht="20" customHeight="1" x14ac:dyDescent="0.2">
      <c r="B12" s="33"/>
      <c r="D12" s="19" t="s">
        <v>79</v>
      </c>
      <c r="E12" s="19" t="s">
        <v>80</v>
      </c>
      <c r="F12" s="20">
        <v>2013</v>
      </c>
      <c r="G12" s="20">
        <v>15</v>
      </c>
      <c r="H12" s="87"/>
      <c r="I12" s="88"/>
      <c r="J12" s="80"/>
      <c r="K12" s="24"/>
      <c r="L12" s="24"/>
      <c r="M12" s="24"/>
      <c r="N12" s="24"/>
      <c r="O12" s="24"/>
      <c r="P12" s="24"/>
      <c r="Q12" s="24"/>
      <c r="R12" s="24"/>
      <c r="S12" s="24"/>
      <c r="T12" s="24"/>
      <c r="U12" s="24"/>
      <c r="V12" s="24"/>
      <c r="W12" s="24"/>
      <c r="X12" s="24"/>
      <c r="Y12" s="24"/>
      <c r="Z12" s="24"/>
      <c r="AA12" s="24"/>
      <c r="AB12" s="24"/>
      <c r="AC12" s="81"/>
      <c r="AD12" s="27" t="s">
        <v>78</v>
      </c>
    </row>
    <row r="13" spans="1:30" ht="20" customHeight="1" x14ac:dyDescent="0.2">
      <c r="A13" s="94"/>
      <c r="B13" s="33"/>
      <c r="D13" s="19" t="s">
        <v>81</v>
      </c>
      <c r="E13" s="19" t="s">
        <v>82</v>
      </c>
      <c r="F13" s="20">
        <v>1986</v>
      </c>
      <c r="G13" s="20">
        <v>146</v>
      </c>
      <c r="H13" s="87">
        <v>27</v>
      </c>
      <c r="I13" s="88" t="s">
        <v>83</v>
      </c>
      <c r="J13" s="38"/>
      <c r="K13" s="24"/>
      <c r="L13" s="32"/>
      <c r="M13" s="24"/>
      <c r="N13" s="24"/>
      <c r="O13" s="24"/>
      <c r="P13" s="24"/>
      <c r="Q13" s="24"/>
      <c r="R13" s="24"/>
      <c r="S13" s="24"/>
      <c r="T13" s="24"/>
      <c r="U13" s="24"/>
      <c r="V13" s="24"/>
      <c r="W13" s="24"/>
      <c r="X13" s="24"/>
      <c r="Y13" s="24"/>
      <c r="Z13" s="24"/>
      <c r="AA13" s="24"/>
      <c r="AB13" s="24"/>
      <c r="AC13" s="81"/>
      <c r="AD13" s="27" t="s">
        <v>179</v>
      </c>
    </row>
    <row r="14" spans="1:30" ht="20" customHeight="1" x14ac:dyDescent="0.2">
      <c r="B14" s="33"/>
      <c r="D14" s="19" t="s">
        <v>85</v>
      </c>
      <c r="E14" s="19" t="s">
        <v>86</v>
      </c>
      <c r="F14" s="20">
        <v>2008</v>
      </c>
      <c r="G14" s="20">
        <v>33</v>
      </c>
      <c r="H14" s="87">
        <v>101</v>
      </c>
      <c r="I14" s="88"/>
      <c r="J14" s="80"/>
      <c r="K14" s="24"/>
      <c r="L14" s="24"/>
      <c r="M14" s="24"/>
      <c r="N14" s="24"/>
      <c r="O14" s="24"/>
      <c r="P14" s="24"/>
      <c r="Q14" s="24"/>
      <c r="R14" s="24"/>
      <c r="S14" s="24"/>
      <c r="T14" s="24"/>
      <c r="U14" s="24"/>
      <c r="V14" s="24"/>
      <c r="W14" s="24"/>
      <c r="X14" s="24"/>
      <c r="Y14" s="24"/>
      <c r="Z14" s="24"/>
      <c r="AA14" s="24"/>
      <c r="AB14" s="24"/>
      <c r="AC14" s="81"/>
      <c r="AD14" s="19" t="s">
        <v>87</v>
      </c>
    </row>
    <row r="15" spans="1:30" ht="20" customHeight="1" x14ac:dyDescent="0.2">
      <c r="A15" s="95"/>
      <c r="B15" s="36"/>
      <c r="D15" s="19" t="s">
        <v>88</v>
      </c>
      <c r="E15" s="19" t="s">
        <v>89</v>
      </c>
      <c r="F15" s="20">
        <v>2011</v>
      </c>
      <c r="H15" s="87">
        <v>1</v>
      </c>
      <c r="I15" s="88"/>
      <c r="J15" s="38"/>
      <c r="K15" s="24"/>
      <c r="L15" s="24"/>
      <c r="M15" s="24"/>
      <c r="N15" s="24"/>
      <c r="O15" s="32"/>
      <c r="P15" s="24"/>
      <c r="Q15" s="24"/>
      <c r="R15" s="24"/>
      <c r="S15" s="24"/>
      <c r="T15" s="24"/>
      <c r="U15" s="24"/>
      <c r="V15" s="24"/>
      <c r="W15" s="24"/>
      <c r="X15" s="24"/>
      <c r="Y15" s="24"/>
      <c r="Z15" s="24"/>
      <c r="AA15" s="24"/>
      <c r="AB15" s="24"/>
      <c r="AC15" s="81"/>
      <c r="AD15" s="19" t="s">
        <v>180</v>
      </c>
    </row>
    <row r="16" spans="1:30" ht="20" customHeight="1" x14ac:dyDescent="0.2">
      <c r="A16" s="94"/>
      <c r="B16" s="33"/>
      <c r="D16" s="19" t="s">
        <v>91</v>
      </c>
      <c r="E16" s="19" t="s">
        <v>92</v>
      </c>
      <c r="F16" s="20">
        <v>2010</v>
      </c>
      <c r="G16" s="20">
        <v>17</v>
      </c>
      <c r="H16" s="87">
        <v>83</v>
      </c>
      <c r="I16" s="88"/>
      <c r="J16" s="38"/>
      <c r="K16" s="24"/>
      <c r="L16" s="24"/>
      <c r="M16" s="24"/>
      <c r="N16" s="24"/>
      <c r="O16" s="24"/>
      <c r="P16" s="24"/>
      <c r="Q16" s="24"/>
      <c r="R16" s="24"/>
      <c r="S16" s="24"/>
      <c r="T16" s="24"/>
      <c r="U16" s="24"/>
      <c r="V16" s="24"/>
      <c r="W16" s="24"/>
      <c r="X16" s="24"/>
      <c r="Y16" s="24"/>
      <c r="Z16" s="24"/>
      <c r="AA16" s="24"/>
      <c r="AB16" s="24"/>
      <c r="AC16" s="81"/>
      <c r="AD16" s="19" t="s">
        <v>93</v>
      </c>
    </row>
    <row r="17" spans="1:30" ht="20" customHeight="1" x14ac:dyDescent="0.2">
      <c r="B17" s="33"/>
      <c r="D17" s="19" t="s">
        <v>94</v>
      </c>
      <c r="E17" s="19" t="s">
        <v>95</v>
      </c>
      <c r="F17" s="20">
        <v>2013</v>
      </c>
      <c r="G17" s="20">
        <v>13</v>
      </c>
      <c r="H17" s="87">
        <v>201</v>
      </c>
      <c r="I17" s="88"/>
      <c r="J17" s="80"/>
      <c r="K17" s="32"/>
      <c r="L17" s="24"/>
      <c r="M17" s="24"/>
      <c r="N17" s="24"/>
      <c r="O17" s="24"/>
      <c r="P17" s="24"/>
      <c r="Q17" s="24"/>
      <c r="R17" s="24"/>
      <c r="S17" s="24"/>
      <c r="T17" s="24"/>
      <c r="U17" s="24"/>
      <c r="V17" s="24"/>
      <c r="W17" s="24"/>
      <c r="X17" s="24"/>
      <c r="Y17" s="24"/>
      <c r="Z17" s="24"/>
      <c r="AA17" s="24"/>
      <c r="AB17" s="24"/>
      <c r="AC17" s="81"/>
      <c r="AD17" s="27" t="s">
        <v>78</v>
      </c>
    </row>
    <row r="18" spans="1:30" ht="20" customHeight="1" x14ac:dyDescent="0.2">
      <c r="B18" s="36"/>
      <c r="D18" s="19" t="s">
        <v>96</v>
      </c>
      <c r="E18" s="19" t="s">
        <v>97</v>
      </c>
      <c r="F18" s="20">
        <v>2013</v>
      </c>
      <c r="G18" s="20">
        <v>12</v>
      </c>
      <c r="H18" s="87">
        <v>304</v>
      </c>
      <c r="I18" s="88" t="s">
        <v>98</v>
      </c>
      <c r="J18" s="38" t="s">
        <v>181</v>
      </c>
      <c r="K18" s="24"/>
      <c r="L18" s="24"/>
      <c r="M18" s="24"/>
      <c r="N18" s="24"/>
      <c r="O18" s="24"/>
      <c r="P18" s="24"/>
      <c r="Q18" s="24"/>
      <c r="R18" s="24"/>
      <c r="S18" s="24"/>
      <c r="T18" s="24"/>
      <c r="U18" s="24"/>
      <c r="V18" s="24"/>
      <c r="W18" s="24"/>
      <c r="X18" s="24"/>
      <c r="Y18" s="24"/>
      <c r="Z18" s="24"/>
      <c r="AA18" s="24"/>
      <c r="AB18" s="24"/>
      <c r="AC18" s="81"/>
    </row>
    <row r="19" spans="1:30" ht="20" customHeight="1" x14ac:dyDescent="0.2">
      <c r="B19" s="36"/>
      <c r="D19" s="19" t="s">
        <v>99</v>
      </c>
      <c r="E19" s="19" t="s">
        <v>100</v>
      </c>
      <c r="F19" s="20">
        <v>2010</v>
      </c>
      <c r="G19" s="20">
        <v>28</v>
      </c>
      <c r="H19" s="87">
        <v>597</v>
      </c>
      <c r="I19" s="88"/>
      <c r="J19" s="38" t="s">
        <v>182</v>
      </c>
      <c r="K19" s="24"/>
      <c r="L19" s="24"/>
      <c r="M19" s="24"/>
      <c r="N19" s="24"/>
      <c r="O19" s="24"/>
      <c r="P19" s="24"/>
      <c r="Q19" s="24"/>
      <c r="R19" s="24"/>
      <c r="S19" s="24"/>
      <c r="T19" s="24"/>
      <c r="U19" s="24"/>
      <c r="V19" s="24"/>
      <c r="W19" s="24"/>
      <c r="X19" s="24"/>
      <c r="Y19" s="24"/>
      <c r="Z19" s="24"/>
      <c r="AA19" s="24"/>
      <c r="AB19" s="24"/>
      <c r="AC19" s="81"/>
      <c r="AD19" s="19" t="s">
        <v>183</v>
      </c>
    </row>
    <row r="20" spans="1:30" ht="20" customHeight="1" x14ac:dyDescent="0.2">
      <c r="A20" s="94"/>
      <c r="B20" s="36"/>
      <c r="D20" s="19" t="s">
        <v>101</v>
      </c>
      <c r="E20" s="19" t="s">
        <v>102</v>
      </c>
      <c r="F20" s="20">
        <v>2012</v>
      </c>
      <c r="G20" s="20">
        <v>22</v>
      </c>
      <c r="H20" s="87">
        <v>19</v>
      </c>
      <c r="I20" s="88" t="s">
        <v>103</v>
      </c>
      <c r="J20" s="38"/>
      <c r="K20" s="24"/>
      <c r="L20" s="32"/>
      <c r="M20" s="24"/>
      <c r="N20" s="24"/>
      <c r="O20" s="24"/>
      <c r="P20" s="24"/>
      <c r="Q20" s="24"/>
      <c r="R20" s="24"/>
      <c r="S20" s="24"/>
      <c r="T20" s="32"/>
      <c r="U20" s="24"/>
      <c r="V20" s="24"/>
      <c r="W20" s="24"/>
      <c r="X20" s="24"/>
      <c r="Y20" s="24"/>
      <c r="Z20" s="32"/>
      <c r="AA20" s="24"/>
      <c r="AB20" s="24"/>
      <c r="AC20" s="82"/>
      <c r="AD20" s="19" t="s">
        <v>104</v>
      </c>
    </row>
    <row r="21" spans="1:30" ht="20" customHeight="1" x14ac:dyDescent="0.2">
      <c r="A21" s="94"/>
      <c r="B21" s="36"/>
      <c r="D21" s="19" t="s">
        <v>105</v>
      </c>
      <c r="E21" s="19" t="s">
        <v>102</v>
      </c>
      <c r="F21" s="20">
        <v>2013</v>
      </c>
      <c r="G21" s="20">
        <v>12</v>
      </c>
      <c r="H21" s="87">
        <v>19</v>
      </c>
      <c r="I21" s="88"/>
      <c r="J21" s="38"/>
      <c r="K21" s="24"/>
      <c r="L21" s="32"/>
      <c r="M21" s="24"/>
      <c r="N21" s="24"/>
      <c r="O21" s="24"/>
      <c r="P21" s="24"/>
      <c r="Q21" s="24"/>
      <c r="R21" s="24"/>
      <c r="S21" s="24"/>
      <c r="T21" s="32"/>
      <c r="U21" s="24"/>
      <c r="V21" s="24"/>
      <c r="W21" s="24"/>
      <c r="X21" s="24"/>
      <c r="Y21" s="24"/>
      <c r="Z21" s="32"/>
      <c r="AA21" s="24"/>
      <c r="AB21" s="24"/>
      <c r="AC21" s="82"/>
      <c r="AD21" s="19" t="s">
        <v>186</v>
      </c>
    </row>
    <row r="22" spans="1:30" ht="20" customHeight="1" x14ac:dyDescent="0.2">
      <c r="A22" s="94"/>
      <c r="B22" s="36"/>
      <c r="D22" s="19" t="s">
        <v>106</v>
      </c>
      <c r="E22" s="19" t="s">
        <v>107</v>
      </c>
      <c r="F22" s="20">
        <v>2007</v>
      </c>
      <c r="G22" s="20">
        <v>41</v>
      </c>
      <c r="H22" s="87">
        <v>71</v>
      </c>
      <c r="I22" s="88"/>
      <c r="J22" s="38"/>
      <c r="K22" s="24"/>
      <c r="L22" s="24"/>
      <c r="M22" s="24"/>
      <c r="N22" s="24"/>
      <c r="O22" s="24"/>
      <c r="P22" s="24"/>
      <c r="Q22" s="24"/>
      <c r="R22" s="24"/>
      <c r="S22" s="24"/>
      <c r="T22" s="24"/>
      <c r="U22" s="24"/>
      <c r="V22" s="24"/>
      <c r="W22" s="24"/>
      <c r="X22" s="24"/>
      <c r="Y22" s="24"/>
      <c r="Z22" s="24"/>
      <c r="AA22" s="24"/>
      <c r="AB22" s="24"/>
      <c r="AC22" s="81"/>
      <c r="AD22" s="19" t="s">
        <v>187</v>
      </c>
    </row>
    <row r="23" spans="1:30" ht="20" customHeight="1" x14ac:dyDescent="0.2">
      <c r="A23" s="35"/>
      <c r="B23" s="36"/>
      <c r="D23" s="19" t="s">
        <v>109</v>
      </c>
      <c r="E23" s="19" t="s">
        <v>110</v>
      </c>
      <c r="F23" s="20">
        <v>2007</v>
      </c>
      <c r="G23" s="20">
        <v>140</v>
      </c>
      <c r="H23" s="87">
        <v>71</v>
      </c>
      <c r="I23" s="88"/>
      <c r="J23" s="38"/>
      <c r="K23" s="24"/>
      <c r="L23" s="24"/>
      <c r="M23" s="24"/>
      <c r="N23" s="24"/>
      <c r="O23" s="24"/>
      <c r="P23" s="24"/>
      <c r="Q23" s="24"/>
      <c r="R23" s="24"/>
      <c r="S23" s="24"/>
      <c r="T23" s="24"/>
      <c r="U23" s="24"/>
      <c r="V23" s="24"/>
      <c r="W23" s="24"/>
      <c r="X23" s="24"/>
      <c r="Y23" s="24"/>
      <c r="Z23" s="24"/>
      <c r="AA23" s="24"/>
      <c r="AB23" s="24"/>
      <c r="AC23" s="81"/>
      <c r="AD23" s="19" t="s">
        <v>111</v>
      </c>
    </row>
    <row r="24" spans="1:30" ht="20" customHeight="1" x14ac:dyDescent="0.2">
      <c r="B24" s="33"/>
      <c r="D24" s="19" t="s">
        <v>112</v>
      </c>
      <c r="E24" s="19" t="s">
        <v>113</v>
      </c>
      <c r="F24" s="20">
        <v>2015</v>
      </c>
      <c r="G24" s="20">
        <v>8</v>
      </c>
      <c r="H24" s="87">
        <v>255</v>
      </c>
      <c r="I24" s="88" t="s">
        <v>114</v>
      </c>
      <c r="J24" s="80"/>
      <c r="K24" s="24"/>
      <c r="L24" s="24"/>
      <c r="M24" s="24"/>
      <c r="N24" s="24"/>
      <c r="O24" s="24"/>
      <c r="P24" s="24"/>
      <c r="Q24" s="24"/>
      <c r="R24" s="24"/>
      <c r="S24" s="24"/>
      <c r="T24" s="24"/>
      <c r="U24" s="24"/>
      <c r="V24" s="24"/>
      <c r="W24" s="24"/>
      <c r="X24" s="24"/>
      <c r="Y24" s="24"/>
      <c r="Z24" s="24"/>
      <c r="AA24" s="24"/>
      <c r="AB24" s="24"/>
      <c r="AC24" s="81"/>
      <c r="AD24" s="19" t="s">
        <v>115</v>
      </c>
    </row>
    <row r="25" spans="1:30" ht="20" customHeight="1" x14ac:dyDescent="0.2">
      <c r="A25" s="94"/>
      <c r="B25" s="36"/>
      <c r="D25" s="19" t="s">
        <v>116</v>
      </c>
      <c r="E25" s="19" t="s">
        <v>117</v>
      </c>
      <c r="F25" s="20">
        <v>1993</v>
      </c>
      <c r="G25" s="20">
        <v>56</v>
      </c>
      <c r="H25" s="87">
        <v>128</v>
      </c>
      <c r="I25" s="88"/>
      <c r="J25" s="38" t="s">
        <v>177</v>
      </c>
      <c r="K25" s="24"/>
      <c r="L25" s="24"/>
      <c r="M25" s="24"/>
      <c r="N25" s="24"/>
      <c r="O25" s="24"/>
      <c r="P25" s="24" t="s">
        <v>177</v>
      </c>
      <c r="Q25" s="24" t="s">
        <v>177</v>
      </c>
      <c r="R25" s="24"/>
      <c r="S25" s="24" t="s">
        <v>177</v>
      </c>
      <c r="T25" s="24"/>
      <c r="U25" s="24"/>
      <c r="V25" s="24"/>
      <c r="W25" s="24"/>
      <c r="X25" s="24"/>
      <c r="Y25" s="24"/>
      <c r="Z25" s="24"/>
      <c r="AA25" s="24"/>
      <c r="AB25" s="24" t="s">
        <v>177</v>
      </c>
      <c r="AC25" s="81"/>
      <c r="AD25" s="19" t="s">
        <v>239</v>
      </c>
    </row>
    <row r="26" spans="1:30" ht="20" customHeight="1" x14ac:dyDescent="0.2">
      <c r="B26" s="36"/>
      <c r="D26" s="19" t="s">
        <v>118</v>
      </c>
      <c r="E26" s="19" t="s">
        <v>119</v>
      </c>
      <c r="F26" s="20">
        <v>2009</v>
      </c>
      <c r="H26" s="87">
        <v>170</v>
      </c>
      <c r="I26" s="88" t="s">
        <v>120</v>
      </c>
      <c r="J26" s="38" t="s">
        <v>181</v>
      </c>
      <c r="K26" s="24"/>
      <c r="L26" s="24"/>
      <c r="M26" s="24" t="s">
        <v>181</v>
      </c>
      <c r="N26" s="24" t="s">
        <v>181</v>
      </c>
      <c r="O26" s="24"/>
      <c r="P26" s="24"/>
      <c r="Q26" s="24"/>
      <c r="R26" s="24"/>
      <c r="S26" s="24"/>
      <c r="T26" s="24"/>
      <c r="U26" s="24"/>
      <c r="V26" s="24"/>
      <c r="W26" s="24"/>
      <c r="X26" s="24"/>
      <c r="Y26" s="24"/>
      <c r="Z26" s="24"/>
      <c r="AA26" s="24"/>
      <c r="AB26" s="24"/>
      <c r="AC26" s="81"/>
    </row>
    <row r="27" spans="1:30" ht="20" customHeight="1" x14ac:dyDescent="0.2">
      <c r="B27" s="36"/>
      <c r="D27" s="19" t="s">
        <v>224</v>
      </c>
      <c r="E27" s="19" t="s">
        <v>225</v>
      </c>
      <c r="F27" s="20">
        <v>2013</v>
      </c>
      <c r="H27" s="87">
        <v>98</v>
      </c>
      <c r="I27" s="88"/>
      <c r="J27" s="38"/>
      <c r="K27" s="24"/>
      <c r="L27" s="24"/>
      <c r="M27" s="24"/>
      <c r="N27" s="24"/>
      <c r="O27" s="24"/>
      <c r="P27" s="24"/>
      <c r="Q27" s="24"/>
      <c r="R27" s="24"/>
      <c r="S27" s="24"/>
      <c r="T27" s="24"/>
      <c r="U27" s="24"/>
      <c r="V27" s="24"/>
      <c r="W27" s="24"/>
      <c r="X27" s="24"/>
      <c r="Y27" s="24"/>
      <c r="Z27" s="24"/>
      <c r="AA27" s="24"/>
      <c r="AB27" s="24"/>
      <c r="AC27" s="81"/>
    </row>
    <row r="28" spans="1:30" ht="20" customHeight="1" x14ac:dyDescent="0.2">
      <c r="B28" s="36"/>
      <c r="D28" s="19" t="s">
        <v>121</v>
      </c>
      <c r="E28" s="19" t="s">
        <v>122</v>
      </c>
      <c r="F28" s="20">
        <v>2008</v>
      </c>
      <c r="G28" s="20">
        <v>21</v>
      </c>
      <c r="H28" s="87">
        <v>227</v>
      </c>
      <c r="I28" s="88" t="s">
        <v>123</v>
      </c>
      <c r="J28" s="38" t="s">
        <v>177</v>
      </c>
      <c r="K28" s="24"/>
      <c r="L28" s="24"/>
      <c r="M28" s="24"/>
      <c r="N28" s="24"/>
      <c r="O28" s="24"/>
      <c r="P28" s="24"/>
      <c r="Q28" s="24"/>
      <c r="R28" s="24"/>
      <c r="S28" s="24"/>
      <c r="T28" s="24"/>
      <c r="U28" s="24"/>
      <c r="V28" s="24"/>
      <c r="W28" s="24"/>
      <c r="X28" s="24"/>
      <c r="Y28" s="24"/>
      <c r="Z28" s="24"/>
      <c r="AA28" s="24"/>
      <c r="AB28" s="24"/>
      <c r="AC28" s="81"/>
      <c r="AD28" s="19" t="s">
        <v>188</v>
      </c>
    </row>
    <row r="29" spans="1:30" ht="20" customHeight="1" x14ac:dyDescent="0.2">
      <c r="A29" s="94"/>
      <c r="B29" s="36"/>
      <c r="D29" s="19" t="s">
        <v>124</v>
      </c>
      <c r="E29" s="19" t="s">
        <v>125</v>
      </c>
      <c r="F29" s="20">
        <v>2005</v>
      </c>
      <c r="G29" s="20">
        <v>23</v>
      </c>
      <c r="H29" s="87">
        <v>174</v>
      </c>
      <c r="I29" s="88"/>
      <c r="J29" s="38" t="s">
        <v>189</v>
      </c>
      <c r="K29" s="24"/>
      <c r="L29" s="24" t="s">
        <v>189</v>
      </c>
      <c r="M29" s="24" t="s">
        <v>189</v>
      </c>
      <c r="N29" s="24"/>
      <c r="O29" s="24"/>
      <c r="P29" s="24" t="s">
        <v>189</v>
      </c>
      <c r="Q29" s="24" t="s">
        <v>189</v>
      </c>
      <c r="R29" s="24"/>
      <c r="S29" s="24"/>
      <c r="T29" s="24"/>
      <c r="U29" s="24" t="s">
        <v>189</v>
      </c>
      <c r="V29" s="24"/>
      <c r="W29" s="24"/>
      <c r="X29" s="24"/>
      <c r="Y29" s="24"/>
      <c r="Z29" s="24"/>
      <c r="AA29" s="24"/>
      <c r="AB29" s="24"/>
      <c r="AC29" s="81"/>
      <c r="AD29" s="19" t="s">
        <v>190</v>
      </c>
    </row>
    <row r="30" spans="1:30" ht="20" customHeight="1" x14ac:dyDescent="0.2">
      <c r="B30" s="36"/>
      <c r="D30" s="19" t="s">
        <v>127</v>
      </c>
      <c r="E30" s="19" t="s">
        <v>128</v>
      </c>
      <c r="F30" s="20">
        <v>2015</v>
      </c>
      <c r="G30" s="20">
        <v>7</v>
      </c>
      <c r="H30" s="87">
        <v>388</v>
      </c>
      <c r="I30" s="88"/>
      <c r="J30" s="38" t="s">
        <v>181</v>
      </c>
      <c r="K30" s="24" t="s">
        <v>181</v>
      </c>
      <c r="L30" s="24"/>
      <c r="M30" s="24"/>
      <c r="N30" s="24"/>
      <c r="O30" s="24"/>
      <c r="P30" s="24"/>
      <c r="Q30" s="24"/>
      <c r="R30" s="24"/>
      <c r="S30" s="24"/>
      <c r="T30" s="24"/>
      <c r="U30" s="24"/>
      <c r="V30" s="24"/>
      <c r="W30" s="24"/>
      <c r="X30" s="24"/>
      <c r="Y30" s="24"/>
      <c r="Z30" s="24"/>
      <c r="AA30" s="24"/>
      <c r="AB30" s="24"/>
      <c r="AC30" s="81"/>
    </row>
    <row r="31" spans="1:30" ht="20" customHeight="1" x14ac:dyDescent="0.2">
      <c r="A31" s="94"/>
      <c r="B31" s="36"/>
      <c r="D31" s="19" t="s">
        <v>129</v>
      </c>
      <c r="E31" s="19" t="s">
        <v>130</v>
      </c>
      <c r="F31" s="20">
        <v>2011</v>
      </c>
      <c r="G31" s="20">
        <v>12</v>
      </c>
      <c r="H31" s="87">
        <v>11</v>
      </c>
      <c r="I31" s="88" t="s">
        <v>131</v>
      </c>
      <c r="J31" s="38"/>
      <c r="K31" s="24"/>
      <c r="L31" s="24"/>
      <c r="M31" s="24"/>
      <c r="N31" s="24"/>
      <c r="O31" s="24"/>
      <c r="P31" s="24"/>
      <c r="Q31" s="24"/>
      <c r="R31" s="24"/>
      <c r="S31" s="24"/>
      <c r="T31" s="24"/>
      <c r="U31" s="24"/>
      <c r="V31" s="24"/>
      <c r="W31" s="24"/>
      <c r="X31" s="24"/>
      <c r="Y31" s="24"/>
      <c r="Z31" s="24"/>
      <c r="AA31" s="24"/>
      <c r="AB31" s="24"/>
      <c r="AC31" s="81"/>
      <c r="AD31" s="19" t="s">
        <v>191</v>
      </c>
    </row>
    <row r="32" spans="1:30" ht="20" customHeight="1" x14ac:dyDescent="0.2">
      <c r="B32" s="36"/>
      <c r="D32" s="19" t="s">
        <v>133</v>
      </c>
      <c r="E32" s="19" t="s">
        <v>134</v>
      </c>
      <c r="F32" s="20">
        <v>2017</v>
      </c>
      <c r="H32" s="87">
        <v>124</v>
      </c>
      <c r="I32" s="88" t="s">
        <v>120</v>
      </c>
      <c r="J32" s="80"/>
      <c r="K32" s="24"/>
      <c r="L32" s="24"/>
      <c r="M32" s="24"/>
      <c r="N32" s="24"/>
      <c r="O32" s="24"/>
      <c r="P32" s="24"/>
      <c r="Q32" s="24"/>
      <c r="R32" s="24"/>
      <c r="S32" s="24"/>
      <c r="T32" s="24"/>
      <c r="U32" s="24"/>
      <c r="V32" s="24"/>
      <c r="W32" s="24"/>
      <c r="X32" s="24"/>
      <c r="Y32" s="24"/>
      <c r="Z32" s="24"/>
      <c r="AA32" s="24"/>
      <c r="AB32" s="24"/>
      <c r="AC32" s="81"/>
      <c r="AD32" s="27" t="s">
        <v>192</v>
      </c>
    </row>
    <row r="33" spans="1:30" ht="20" customHeight="1" x14ac:dyDescent="0.2">
      <c r="A33" s="94"/>
      <c r="B33" s="36"/>
      <c r="D33" s="19" t="s">
        <v>135</v>
      </c>
      <c r="E33" s="19" t="s">
        <v>136</v>
      </c>
      <c r="F33" s="20">
        <v>2010</v>
      </c>
      <c r="G33" s="20">
        <v>61</v>
      </c>
      <c r="H33" s="87">
        <v>142</v>
      </c>
      <c r="I33" s="88"/>
      <c r="J33" s="38"/>
      <c r="K33" s="24"/>
      <c r="L33" s="32"/>
      <c r="M33" s="24"/>
      <c r="N33" s="24"/>
      <c r="O33" s="24"/>
      <c r="P33" s="32"/>
      <c r="Q33" s="32"/>
      <c r="R33" s="32"/>
      <c r="S33" s="24"/>
      <c r="T33" s="24"/>
      <c r="U33" s="24"/>
      <c r="V33" s="24"/>
      <c r="W33" s="24"/>
      <c r="X33" s="24"/>
      <c r="Y33" s="24"/>
      <c r="Z33" s="24"/>
      <c r="AA33" s="24"/>
      <c r="AB33" s="24"/>
      <c r="AC33" s="81"/>
      <c r="AD33" s="19" t="s">
        <v>194</v>
      </c>
    </row>
    <row r="34" spans="1:30" ht="20" customHeight="1" x14ac:dyDescent="0.2">
      <c r="A34" s="35"/>
      <c r="B34" s="33"/>
      <c r="D34" s="19" t="s">
        <v>173</v>
      </c>
      <c r="E34" s="19" t="s">
        <v>137</v>
      </c>
      <c r="F34" s="20">
        <v>2008</v>
      </c>
      <c r="G34" s="20">
        <v>78</v>
      </c>
      <c r="H34" s="87">
        <v>143</v>
      </c>
      <c r="I34" s="88"/>
      <c r="J34" s="38"/>
      <c r="K34" s="24"/>
      <c r="L34" s="24"/>
      <c r="M34" s="24"/>
      <c r="N34" s="24"/>
      <c r="O34" s="24"/>
      <c r="P34" s="24"/>
      <c r="Q34" s="24"/>
      <c r="R34" s="24"/>
      <c r="S34" s="24"/>
      <c r="T34" s="24"/>
      <c r="U34" s="24"/>
      <c r="V34" s="24"/>
      <c r="W34" s="24"/>
      <c r="X34" s="24"/>
      <c r="Y34" s="24"/>
      <c r="Z34" s="24"/>
      <c r="AA34" s="24"/>
      <c r="AB34" s="24"/>
      <c r="AC34" s="81"/>
      <c r="AD34" s="27" t="s">
        <v>195</v>
      </c>
    </row>
    <row r="35" spans="1:30" ht="20" customHeight="1" x14ac:dyDescent="0.2">
      <c r="A35" s="94"/>
      <c r="B35" s="33"/>
      <c r="D35" s="19" t="s">
        <v>138</v>
      </c>
      <c r="E35" s="19" t="s">
        <v>139</v>
      </c>
      <c r="F35" s="20">
        <v>2017</v>
      </c>
      <c r="H35" s="87">
        <v>150</v>
      </c>
      <c r="I35" s="88"/>
      <c r="J35" s="38"/>
      <c r="K35" s="24"/>
      <c r="L35" s="24"/>
      <c r="M35" s="24"/>
      <c r="N35" s="24"/>
      <c r="O35" s="24"/>
      <c r="P35" s="24"/>
      <c r="Q35" s="24"/>
      <c r="R35" s="24"/>
      <c r="S35" s="24"/>
      <c r="T35" s="24"/>
      <c r="U35" s="24"/>
      <c r="V35" s="24"/>
      <c r="W35" s="24"/>
      <c r="X35" s="24"/>
      <c r="Y35" s="24"/>
      <c r="Z35" s="24"/>
      <c r="AA35" s="24"/>
      <c r="AB35" s="24"/>
      <c r="AC35" s="81"/>
      <c r="AD35" s="27" t="s">
        <v>78</v>
      </c>
    </row>
    <row r="36" spans="1:30" ht="20" customHeight="1" x14ac:dyDescent="0.2">
      <c r="A36" s="94"/>
      <c r="B36" s="36"/>
      <c r="D36" s="19" t="s">
        <v>196</v>
      </c>
      <c r="E36" s="19" t="s">
        <v>197</v>
      </c>
      <c r="F36" s="20">
        <v>2006</v>
      </c>
      <c r="H36" s="87"/>
      <c r="I36" s="88"/>
      <c r="J36" s="38"/>
      <c r="K36" s="24"/>
      <c r="L36" s="24"/>
      <c r="M36" s="24"/>
      <c r="N36" s="24"/>
      <c r="O36" s="24"/>
      <c r="P36" s="24"/>
      <c r="Q36" s="24"/>
      <c r="R36" s="24"/>
      <c r="S36" s="24"/>
      <c r="T36" s="24"/>
      <c r="U36" s="24"/>
      <c r="V36" s="24"/>
      <c r="W36" s="24"/>
      <c r="X36" s="24"/>
      <c r="Y36" s="24"/>
      <c r="Z36" s="24"/>
      <c r="AA36" s="24"/>
      <c r="AB36" s="24"/>
      <c r="AC36" s="81"/>
      <c r="AD36" s="19" t="s">
        <v>198</v>
      </c>
    </row>
    <row r="37" spans="1:30" ht="20" customHeight="1" x14ac:dyDescent="0.2">
      <c r="A37" s="94"/>
      <c r="B37" s="36"/>
      <c r="D37" s="19" t="s">
        <v>140</v>
      </c>
      <c r="E37" s="19" t="s">
        <v>141</v>
      </c>
      <c r="F37" s="20">
        <v>2009</v>
      </c>
      <c r="G37" s="20">
        <v>31</v>
      </c>
      <c r="H37" s="87">
        <v>225</v>
      </c>
      <c r="I37" s="88"/>
      <c r="J37" s="38"/>
      <c r="K37" s="24"/>
      <c r="L37" s="24"/>
      <c r="M37" s="24"/>
      <c r="N37" s="24"/>
      <c r="O37" s="24"/>
      <c r="P37" s="24"/>
      <c r="Q37" s="24"/>
      <c r="R37" s="24"/>
      <c r="S37" s="24"/>
      <c r="T37" s="24"/>
      <c r="U37" s="24"/>
      <c r="V37" s="24"/>
      <c r="W37" s="24"/>
      <c r="X37" s="24"/>
      <c r="Y37" s="24"/>
      <c r="Z37" s="24"/>
      <c r="AA37" s="24"/>
      <c r="AB37" s="24"/>
      <c r="AC37" s="81"/>
      <c r="AD37" s="19" t="s">
        <v>142</v>
      </c>
    </row>
    <row r="38" spans="1:30" ht="20" customHeight="1" x14ac:dyDescent="0.2">
      <c r="A38" s="94"/>
      <c r="B38" s="36"/>
      <c r="D38" s="19" t="s">
        <v>143</v>
      </c>
      <c r="E38" s="19" t="s">
        <v>141</v>
      </c>
      <c r="F38" s="20">
        <v>2009</v>
      </c>
      <c r="G38" s="20">
        <v>6</v>
      </c>
      <c r="H38" s="87">
        <v>78</v>
      </c>
      <c r="I38" s="88"/>
      <c r="J38" s="38"/>
      <c r="K38" s="24"/>
      <c r="L38" s="24"/>
      <c r="M38" s="24"/>
      <c r="N38" s="24"/>
      <c r="O38" s="24"/>
      <c r="P38" s="24"/>
      <c r="Q38" s="24"/>
      <c r="R38" s="24"/>
      <c r="S38" s="24"/>
      <c r="T38" s="24"/>
      <c r="U38" s="24"/>
      <c r="V38" s="24"/>
      <c r="W38" s="24"/>
      <c r="X38" s="24"/>
      <c r="Y38" s="24"/>
      <c r="Z38" s="24"/>
      <c r="AA38" s="24"/>
      <c r="AB38" s="24"/>
      <c r="AC38" s="81"/>
      <c r="AD38" s="19" t="s">
        <v>144</v>
      </c>
    </row>
    <row r="39" spans="1:30" ht="20" customHeight="1" x14ac:dyDescent="0.2">
      <c r="A39" s="94"/>
      <c r="B39" s="36"/>
      <c r="D39" s="19" t="s">
        <v>145</v>
      </c>
      <c r="E39" s="19" t="s">
        <v>146</v>
      </c>
      <c r="F39" s="20">
        <v>1997</v>
      </c>
      <c r="G39" s="20">
        <v>94</v>
      </c>
      <c r="H39" s="87">
        <v>562</v>
      </c>
      <c r="I39" s="88"/>
      <c r="J39" s="38"/>
      <c r="K39" s="24"/>
      <c r="L39" s="24"/>
      <c r="M39" s="24"/>
      <c r="N39" s="24"/>
      <c r="O39" s="24"/>
      <c r="P39" s="24"/>
      <c r="Q39" s="24"/>
      <c r="R39" s="24"/>
      <c r="S39" s="24"/>
      <c r="T39" s="24"/>
      <c r="U39" s="24"/>
      <c r="V39" s="24"/>
      <c r="W39" s="24"/>
      <c r="X39" s="24"/>
      <c r="Y39" s="24"/>
      <c r="Z39" s="24"/>
      <c r="AA39" s="24"/>
      <c r="AB39" s="24"/>
      <c r="AC39" s="81"/>
    </row>
    <row r="40" spans="1:30" ht="20" customHeight="1" x14ac:dyDescent="0.2">
      <c r="A40" s="94"/>
      <c r="B40" s="36"/>
      <c r="D40" s="19" t="s">
        <v>147</v>
      </c>
      <c r="E40" s="19" t="s">
        <v>148</v>
      </c>
      <c r="F40" s="20">
        <v>2009</v>
      </c>
      <c r="G40" s="20">
        <v>38</v>
      </c>
      <c r="H40" s="87">
        <v>100</v>
      </c>
      <c r="I40" s="88"/>
      <c r="J40" s="38"/>
      <c r="K40" s="24"/>
      <c r="L40" s="24"/>
      <c r="M40" s="24"/>
      <c r="N40" s="24"/>
      <c r="O40" s="24"/>
      <c r="P40" s="24"/>
      <c r="Q40" s="24"/>
      <c r="R40" s="24"/>
      <c r="S40" s="24"/>
      <c r="T40" s="24"/>
      <c r="U40" s="24"/>
      <c r="V40" s="24"/>
      <c r="W40" s="24"/>
      <c r="X40" s="24"/>
      <c r="Y40" s="24"/>
      <c r="Z40" s="24"/>
      <c r="AA40" s="24"/>
      <c r="AB40" s="24"/>
      <c r="AC40" s="81"/>
      <c r="AD40" s="19" t="s">
        <v>200</v>
      </c>
    </row>
    <row r="41" spans="1:30" ht="20" customHeight="1" x14ac:dyDescent="0.2">
      <c r="A41" s="94"/>
      <c r="B41" s="36"/>
      <c r="D41" s="19" t="s">
        <v>149</v>
      </c>
      <c r="E41" s="19" t="s">
        <v>150</v>
      </c>
      <c r="F41" s="20">
        <v>2006</v>
      </c>
      <c r="G41" s="20">
        <v>56</v>
      </c>
      <c r="H41" s="87">
        <v>500</v>
      </c>
      <c r="I41" s="88"/>
      <c r="J41" s="38"/>
      <c r="K41" s="24"/>
      <c r="L41" s="24"/>
      <c r="M41" s="24"/>
      <c r="N41" s="24"/>
      <c r="O41" s="24"/>
      <c r="P41" s="24"/>
      <c r="Q41" s="24"/>
      <c r="R41" s="24"/>
      <c r="S41" s="24"/>
      <c r="T41" s="24"/>
      <c r="U41" s="24"/>
      <c r="V41" s="24"/>
      <c r="W41" s="24"/>
      <c r="X41" s="24"/>
      <c r="Y41" s="24"/>
      <c r="Z41" s="24"/>
      <c r="AA41" s="24"/>
      <c r="AB41" s="24"/>
      <c r="AC41" s="81"/>
      <c r="AD41" s="19" t="s">
        <v>203</v>
      </c>
    </row>
    <row r="42" spans="1:30" ht="20" customHeight="1" x14ac:dyDescent="0.2">
      <c r="B42" s="33"/>
      <c r="D42" s="19" t="s">
        <v>151</v>
      </c>
      <c r="E42" s="19" t="s">
        <v>152</v>
      </c>
      <c r="F42" s="20">
        <v>2016</v>
      </c>
      <c r="G42" s="20">
        <v>2</v>
      </c>
      <c r="H42" s="87">
        <v>177</v>
      </c>
      <c r="I42" s="88"/>
      <c r="J42" s="80"/>
      <c r="K42" s="24"/>
      <c r="L42" s="24"/>
      <c r="M42" s="24"/>
      <c r="N42" s="24"/>
      <c r="O42" s="24"/>
      <c r="P42" s="24"/>
      <c r="Q42" s="24"/>
      <c r="R42" s="24"/>
      <c r="S42" s="24"/>
      <c r="T42" s="24"/>
      <c r="U42" s="24"/>
      <c r="V42" s="24"/>
      <c r="W42" s="24"/>
      <c r="X42" s="24"/>
      <c r="Y42" s="24"/>
      <c r="Z42" s="24"/>
      <c r="AA42" s="24"/>
      <c r="AB42" s="24"/>
      <c r="AC42" s="81"/>
    </row>
    <row r="43" spans="1:30" ht="20" customHeight="1" x14ac:dyDescent="0.2">
      <c r="A43" s="35"/>
      <c r="B43" s="36"/>
      <c r="D43" s="19" t="s">
        <v>153</v>
      </c>
      <c r="E43" s="19" t="s">
        <v>154</v>
      </c>
      <c r="F43" s="20">
        <v>2009</v>
      </c>
      <c r="H43" s="87">
        <v>293</v>
      </c>
      <c r="I43" s="88"/>
      <c r="J43" s="38"/>
      <c r="K43" s="24"/>
      <c r="L43" s="24"/>
      <c r="M43" s="24"/>
      <c r="N43" s="24"/>
      <c r="O43" s="24"/>
      <c r="P43" s="24"/>
      <c r="Q43" s="24"/>
      <c r="R43" s="24"/>
      <c r="S43" s="24"/>
      <c r="T43" s="24"/>
      <c r="U43" s="24"/>
      <c r="V43" s="24"/>
      <c r="W43" s="24"/>
      <c r="X43" s="24"/>
      <c r="Y43" s="24"/>
      <c r="Z43" s="24"/>
      <c r="AA43" s="24"/>
      <c r="AB43" s="24"/>
      <c r="AC43" s="81"/>
      <c r="AD43" s="19" t="s">
        <v>205</v>
      </c>
    </row>
    <row r="44" spans="1:30" ht="20" customHeight="1" x14ac:dyDescent="0.2">
      <c r="B44" s="36"/>
      <c r="D44" s="19" t="s">
        <v>155</v>
      </c>
      <c r="E44" s="19" t="s">
        <v>156</v>
      </c>
      <c r="F44" s="20">
        <v>2007</v>
      </c>
      <c r="G44" s="20">
        <v>34</v>
      </c>
      <c r="H44" s="87">
        <v>109</v>
      </c>
      <c r="I44" s="88"/>
      <c r="J44" s="38" t="s">
        <v>181</v>
      </c>
      <c r="K44" s="24"/>
      <c r="L44" s="24"/>
      <c r="M44" s="24"/>
      <c r="N44" s="24"/>
      <c r="O44" s="24"/>
      <c r="P44" s="24"/>
      <c r="Q44" s="24"/>
      <c r="R44" s="24"/>
      <c r="S44" s="24"/>
      <c r="T44" s="24"/>
      <c r="U44" s="24"/>
      <c r="V44" s="24"/>
      <c r="W44" s="24"/>
      <c r="X44" s="24"/>
      <c r="Y44" s="24"/>
      <c r="Z44" s="24"/>
      <c r="AA44" s="24"/>
      <c r="AB44" s="24"/>
      <c r="AC44" s="81"/>
      <c r="AD44" s="27" t="s">
        <v>206</v>
      </c>
    </row>
    <row r="45" spans="1:30" ht="20" customHeight="1" x14ac:dyDescent="0.2">
      <c r="A45" s="95"/>
      <c r="B45" s="36"/>
      <c r="D45" s="19" t="s">
        <v>157</v>
      </c>
      <c r="E45" s="19" t="s">
        <v>158</v>
      </c>
      <c r="F45" s="20">
        <v>2010</v>
      </c>
      <c r="G45" s="20">
        <v>50</v>
      </c>
      <c r="H45" s="87">
        <v>56</v>
      </c>
      <c r="I45" s="88"/>
      <c r="J45" s="38"/>
      <c r="K45" s="24"/>
      <c r="L45" s="24"/>
      <c r="M45" s="24"/>
      <c r="N45" s="24"/>
      <c r="O45" s="24"/>
      <c r="P45" s="24"/>
      <c r="Q45" s="24"/>
      <c r="R45" s="24"/>
      <c r="S45" s="24"/>
      <c r="T45" s="24"/>
      <c r="U45" s="24"/>
      <c r="V45" s="24"/>
      <c r="W45" s="24"/>
      <c r="X45" s="24"/>
      <c r="Y45" s="24"/>
      <c r="Z45" s="24"/>
      <c r="AA45" s="24"/>
      <c r="AB45" s="24"/>
      <c r="AC45" s="81"/>
    </row>
    <row r="46" spans="1:30" ht="20" customHeight="1" x14ac:dyDescent="0.2">
      <c r="B46" s="33"/>
      <c r="D46" s="19" t="s">
        <v>159</v>
      </c>
      <c r="E46" s="19" t="s">
        <v>160</v>
      </c>
      <c r="F46" s="20">
        <v>2011</v>
      </c>
      <c r="G46" s="20">
        <v>33</v>
      </c>
      <c r="H46" s="87">
        <v>130</v>
      </c>
      <c r="I46" s="88"/>
      <c r="J46" s="80"/>
      <c r="K46" s="24"/>
      <c r="L46" s="24"/>
      <c r="M46" s="24"/>
      <c r="N46" s="24"/>
      <c r="O46" s="24"/>
      <c r="P46" s="24"/>
      <c r="Q46" s="24"/>
      <c r="R46" s="24"/>
      <c r="S46" s="24"/>
      <c r="T46" s="24"/>
      <c r="U46" s="24"/>
      <c r="V46" s="24"/>
      <c r="W46" s="24"/>
      <c r="X46" s="24"/>
      <c r="Y46" s="24"/>
      <c r="Z46" s="24"/>
      <c r="AA46" s="24"/>
      <c r="AB46" s="24"/>
      <c r="AC46" s="81"/>
      <c r="AD46" s="27" t="s">
        <v>78</v>
      </c>
    </row>
    <row r="47" spans="1:30" ht="20" customHeight="1" x14ac:dyDescent="0.2">
      <c r="B47" s="36"/>
      <c r="D47" s="19" t="s">
        <v>161</v>
      </c>
      <c r="E47" s="19" t="s">
        <v>162</v>
      </c>
      <c r="F47" s="20">
        <v>2014</v>
      </c>
      <c r="G47" s="20">
        <v>9</v>
      </c>
      <c r="H47" s="87">
        <v>1109</v>
      </c>
      <c r="I47" s="88" t="s">
        <v>163</v>
      </c>
      <c r="J47" s="38" t="s">
        <v>181</v>
      </c>
      <c r="K47" s="24" t="s">
        <v>181</v>
      </c>
      <c r="L47" s="24"/>
      <c r="M47" s="24"/>
      <c r="N47" s="24"/>
      <c r="O47" s="24"/>
      <c r="P47" s="24"/>
      <c r="Q47" s="24"/>
      <c r="R47" s="24"/>
      <c r="S47" s="24"/>
      <c r="T47" s="24"/>
      <c r="U47" s="24"/>
      <c r="V47" s="24"/>
      <c r="W47" s="24"/>
      <c r="X47" s="24"/>
      <c r="Y47" s="24"/>
      <c r="Z47" s="24"/>
      <c r="AA47" s="24"/>
      <c r="AB47" s="24"/>
      <c r="AC47" s="81"/>
      <c r="AD47" s="19" t="s">
        <v>164</v>
      </c>
    </row>
    <row r="48" spans="1:30" ht="20" customHeight="1" x14ac:dyDescent="0.2">
      <c r="B48" s="33"/>
      <c r="D48" s="19" t="s">
        <v>165</v>
      </c>
      <c r="E48" s="19" t="s">
        <v>166</v>
      </c>
      <c r="F48" s="20">
        <v>2014</v>
      </c>
      <c r="G48" s="20">
        <v>4</v>
      </c>
      <c r="H48" s="87">
        <v>1109</v>
      </c>
      <c r="I48" s="88"/>
      <c r="J48" s="80"/>
      <c r="K48" s="24"/>
      <c r="L48" s="24"/>
      <c r="M48" s="24"/>
      <c r="N48" s="24"/>
      <c r="O48" s="24"/>
      <c r="P48" s="24"/>
      <c r="Q48" s="24"/>
      <c r="R48" s="24"/>
      <c r="S48" s="24"/>
      <c r="T48" s="24"/>
      <c r="U48" s="24"/>
      <c r="V48" s="24"/>
      <c r="W48" s="24"/>
      <c r="X48" s="24"/>
      <c r="Y48" s="24"/>
      <c r="Z48" s="24"/>
      <c r="AA48" s="24"/>
      <c r="AB48" s="24"/>
      <c r="AC48" s="81"/>
      <c r="AD48" s="19" t="s">
        <v>167</v>
      </c>
    </row>
    <row r="49" spans="1:30" ht="20" customHeight="1" x14ac:dyDescent="0.2">
      <c r="B49" s="33"/>
      <c r="D49" s="19" t="s">
        <v>168</v>
      </c>
      <c r="E49" s="19" t="s">
        <v>169</v>
      </c>
      <c r="F49" s="20">
        <v>2005</v>
      </c>
      <c r="G49" s="20">
        <v>36</v>
      </c>
      <c r="H49" s="87">
        <v>11</v>
      </c>
      <c r="I49" s="88"/>
      <c r="J49" s="80"/>
      <c r="K49" s="32"/>
      <c r="L49" s="24"/>
      <c r="M49" s="24"/>
      <c r="N49" s="24"/>
      <c r="O49" s="24"/>
      <c r="P49" s="24"/>
      <c r="Q49" s="24"/>
      <c r="R49" s="24"/>
      <c r="S49" s="24"/>
      <c r="T49" s="24"/>
      <c r="U49" s="24"/>
      <c r="V49" s="24"/>
      <c r="W49" s="24"/>
      <c r="X49" s="24"/>
      <c r="Y49" s="24"/>
      <c r="Z49" s="24"/>
      <c r="AA49" s="24"/>
      <c r="AB49" s="24"/>
      <c r="AC49" s="81"/>
      <c r="AD49" s="27" t="s">
        <v>78</v>
      </c>
    </row>
    <row r="50" spans="1:30" ht="20" customHeight="1" thickBot="1" x14ac:dyDescent="0.25">
      <c r="A50" s="35"/>
      <c r="B50" s="33"/>
      <c r="D50" s="19" t="s">
        <v>170</v>
      </c>
      <c r="E50" s="19" t="s">
        <v>171</v>
      </c>
      <c r="F50" s="20">
        <v>2014</v>
      </c>
      <c r="H50" s="91">
        <v>3</v>
      </c>
      <c r="I50" s="92"/>
      <c r="J50" s="40"/>
      <c r="K50" s="83"/>
      <c r="L50" s="83"/>
      <c r="M50" s="83"/>
      <c r="N50" s="83"/>
      <c r="O50" s="83"/>
      <c r="P50" s="83"/>
      <c r="Q50" s="83"/>
      <c r="R50" s="83"/>
      <c r="S50" s="83"/>
      <c r="T50" s="83"/>
      <c r="U50" s="83"/>
      <c r="V50" s="84"/>
      <c r="W50" s="83"/>
      <c r="X50" s="83"/>
      <c r="Y50" s="83"/>
      <c r="Z50" s="83"/>
      <c r="AA50" s="83"/>
      <c r="AB50" s="83"/>
      <c r="AC50" s="41"/>
      <c r="AD50" s="27" t="s">
        <v>78</v>
      </c>
    </row>
    <row r="51" spans="1:30" ht="17" thickBot="1" x14ac:dyDescent="0.25">
      <c r="H51" s="19"/>
      <c r="I51" s="19"/>
      <c r="J51" s="19"/>
      <c r="K51" s="19"/>
      <c r="L51" s="19"/>
      <c r="M51" s="19"/>
      <c r="N51" s="19"/>
      <c r="O51" s="19"/>
      <c r="P51" s="19"/>
      <c r="Q51" s="19"/>
      <c r="R51" s="19"/>
      <c r="S51" s="19"/>
      <c r="T51" s="19"/>
      <c r="U51" s="19"/>
      <c r="V51" s="19"/>
      <c r="W51" s="19"/>
      <c r="X51" s="19"/>
      <c r="Y51" s="19"/>
      <c r="Z51" s="19"/>
      <c r="AA51" s="19"/>
      <c r="AB51" s="19"/>
      <c r="AC51" s="19"/>
    </row>
    <row r="52" spans="1:30" ht="19" customHeight="1" x14ac:dyDescent="0.2">
      <c r="G52" s="19"/>
      <c r="H52" s="19"/>
      <c r="I52" s="19"/>
      <c r="J52" s="210" t="s">
        <v>49</v>
      </c>
      <c r="K52" s="205" t="s">
        <v>50</v>
      </c>
      <c r="L52" s="205" t="s">
        <v>51</v>
      </c>
      <c r="M52" s="200" t="s">
        <v>52</v>
      </c>
      <c r="N52" s="205" t="s">
        <v>53</v>
      </c>
      <c r="O52" s="205" t="s">
        <v>54</v>
      </c>
      <c r="P52" s="200" t="s">
        <v>55</v>
      </c>
      <c r="Q52" s="180" t="s">
        <v>56</v>
      </c>
      <c r="R52" s="180" t="s">
        <v>57</v>
      </c>
      <c r="S52" s="200" t="s">
        <v>58</v>
      </c>
      <c r="T52" s="180" t="s">
        <v>59</v>
      </c>
      <c r="U52" s="200" t="s">
        <v>60</v>
      </c>
      <c r="V52" s="180" t="s">
        <v>61</v>
      </c>
      <c r="W52" s="180" t="s">
        <v>62</v>
      </c>
      <c r="X52" s="180" t="s">
        <v>63</v>
      </c>
      <c r="Y52" s="180" t="s">
        <v>64</v>
      </c>
      <c r="Z52" s="180" t="s">
        <v>65</v>
      </c>
      <c r="AA52" s="180" t="s">
        <v>66</v>
      </c>
      <c r="AB52" s="200" t="s">
        <v>67</v>
      </c>
      <c r="AC52" s="201" t="s">
        <v>184</v>
      </c>
    </row>
    <row r="53" spans="1:30" ht="19" customHeight="1" x14ac:dyDescent="0.2">
      <c r="G53" s="19"/>
      <c r="H53" s="19"/>
      <c r="I53" s="19"/>
      <c r="J53" s="192"/>
      <c r="K53" s="194"/>
      <c r="L53" s="194"/>
      <c r="M53" s="194"/>
      <c r="N53" s="194"/>
      <c r="O53" s="194"/>
      <c r="P53" s="196"/>
      <c r="Q53" s="181"/>
      <c r="R53" s="181"/>
      <c r="S53" s="196"/>
      <c r="T53" s="181"/>
      <c r="U53" s="194"/>
      <c r="V53" s="181"/>
      <c r="W53" s="181"/>
      <c r="X53" s="181"/>
      <c r="Y53" s="181"/>
      <c r="Z53" s="181"/>
      <c r="AA53" s="181"/>
      <c r="AB53" s="194"/>
      <c r="AC53" s="178"/>
    </row>
    <row r="54" spans="1:30" ht="19" customHeight="1" x14ac:dyDescent="0.2">
      <c r="G54" s="19"/>
      <c r="H54" s="19"/>
      <c r="I54" s="19"/>
      <c r="J54" s="192"/>
      <c r="K54" s="194"/>
      <c r="L54" s="194"/>
      <c r="M54" s="194"/>
      <c r="N54" s="194"/>
      <c r="O54" s="194"/>
      <c r="P54" s="196"/>
      <c r="Q54" s="181"/>
      <c r="R54" s="181"/>
      <c r="S54" s="196"/>
      <c r="T54" s="181"/>
      <c r="U54" s="194"/>
      <c r="V54" s="181"/>
      <c r="W54" s="181"/>
      <c r="X54" s="181"/>
      <c r="Y54" s="181"/>
      <c r="Z54" s="181"/>
      <c r="AA54" s="181"/>
      <c r="AB54" s="194"/>
      <c r="AC54" s="178"/>
    </row>
    <row r="55" spans="1:30" ht="19" customHeight="1" x14ac:dyDescent="0.2">
      <c r="G55" s="19"/>
      <c r="H55" s="19"/>
      <c r="I55" s="19"/>
      <c r="J55" s="192"/>
      <c r="K55" s="194"/>
      <c r="L55" s="194"/>
      <c r="M55" s="194"/>
      <c r="N55" s="194"/>
      <c r="O55" s="194"/>
      <c r="P55" s="196"/>
      <c r="Q55" s="181"/>
      <c r="R55" s="181"/>
      <c r="S55" s="196"/>
      <c r="T55" s="181"/>
      <c r="U55" s="194"/>
      <c r="V55" s="181"/>
      <c r="W55" s="181"/>
      <c r="X55" s="181"/>
      <c r="Y55" s="181"/>
      <c r="Z55" s="181"/>
      <c r="AA55" s="181"/>
      <c r="AB55" s="194"/>
      <c r="AC55" s="178"/>
    </row>
    <row r="56" spans="1:30" ht="19" customHeight="1" thickBot="1" x14ac:dyDescent="0.25">
      <c r="G56" s="19"/>
      <c r="H56" s="19"/>
      <c r="I56" s="19"/>
      <c r="J56" s="193"/>
      <c r="K56" s="195"/>
      <c r="L56" s="195"/>
      <c r="M56" s="195"/>
      <c r="N56" s="195"/>
      <c r="O56" s="195"/>
      <c r="P56" s="197"/>
      <c r="Q56" s="182"/>
      <c r="R56" s="182"/>
      <c r="S56" s="197"/>
      <c r="T56" s="182"/>
      <c r="U56" s="195"/>
      <c r="V56" s="182"/>
      <c r="W56" s="182"/>
      <c r="X56" s="182"/>
      <c r="Y56" s="182"/>
      <c r="Z56" s="182"/>
      <c r="AA56" s="182"/>
      <c r="AB56" s="195"/>
      <c r="AC56" s="179"/>
    </row>
    <row r="57" spans="1:30" ht="19" customHeight="1" x14ac:dyDescent="0.2">
      <c r="G57" s="19"/>
      <c r="H57" s="19"/>
      <c r="I57" s="19"/>
      <c r="J57" s="186" t="s">
        <v>202</v>
      </c>
      <c r="K57" s="187"/>
      <c r="L57" s="187"/>
      <c r="M57" s="187"/>
      <c r="N57" s="187"/>
      <c r="O57" s="187"/>
      <c r="P57" s="187"/>
      <c r="Q57" s="187"/>
      <c r="R57" s="187"/>
      <c r="S57" s="187"/>
      <c r="T57" s="187"/>
      <c r="U57" s="187"/>
      <c r="V57" s="187"/>
      <c r="W57" s="187"/>
      <c r="X57" s="187"/>
      <c r="Y57" s="187"/>
      <c r="Z57" s="187"/>
      <c r="AA57" s="187"/>
      <c r="AB57" s="187"/>
      <c r="AC57" s="188"/>
    </row>
    <row r="58" spans="1:30" ht="20" thickBot="1" x14ac:dyDescent="0.3">
      <c r="J58" s="202" t="s">
        <v>44</v>
      </c>
      <c r="K58" s="203"/>
      <c r="L58" s="203"/>
      <c r="M58" s="203"/>
      <c r="N58" s="203"/>
      <c r="O58" s="203"/>
      <c r="P58" s="203"/>
      <c r="Q58" s="203"/>
      <c r="R58" s="203"/>
      <c r="S58" s="203"/>
      <c r="T58" s="203"/>
      <c r="U58" s="203"/>
      <c r="V58" s="203"/>
      <c r="W58" s="203"/>
      <c r="X58" s="203"/>
      <c r="Y58" s="203"/>
      <c r="Z58" s="203"/>
      <c r="AA58" s="203"/>
      <c r="AB58" s="203"/>
      <c r="AC58" s="204"/>
    </row>
    <row r="59" spans="1:30" x14ac:dyDescent="0.2">
      <c r="J59" s="19"/>
      <c r="K59" s="19"/>
      <c r="L59" s="19"/>
      <c r="M59" s="19"/>
      <c r="N59" s="19"/>
      <c r="O59" s="19"/>
      <c r="P59" s="19"/>
      <c r="Q59" s="19"/>
      <c r="R59" s="19"/>
      <c r="S59" s="19"/>
      <c r="T59" s="19"/>
      <c r="U59" s="19"/>
      <c r="V59" s="19"/>
      <c r="W59" s="19"/>
      <c r="X59" s="19"/>
      <c r="Y59" s="19"/>
      <c r="Z59" s="19"/>
      <c r="AA59" s="19"/>
      <c r="AB59" s="19"/>
      <c r="AC59" s="19"/>
    </row>
    <row r="60" spans="1:30" x14ac:dyDescent="0.2">
      <c r="J60" s="19"/>
      <c r="K60" s="19"/>
      <c r="L60" s="19"/>
      <c r="M60" s="19"/>
      <c r="N60" s="19"/>
      <c r="O60" s="19"/>
      <c r="P60" s="19"/>
      <c r="Q60" s="19"/>
      <c r="R60" s="19"/>
      <c r="S60" s="19"/>
      <c r="T60" s="19"/>
      <c r="U60" s="19"/>
      <c r="V60" s="19"/>
      <c r="W60" s="19"/>
      <c r="X60" s="19"/>
      <c r="Y60" s="19"/>
      <c r="Z60" s="19"/>
      <c r="AA60" s="19"/>
      <c r="AB60" s="19"/>
      <c r="AC60" s="19"/>
    </row>
    <row r="61" spans="1:30" x14ac:dyDescent="0.2">
      <c r="J61" s="19"/>
      <c r="K61" s="19"/>
      <c r="L61" s="19"/>
      <c r="M61" s="19"/>
      <c r="N61" s="19"/>
      <c r="O61" s="19"/>
      <c r="P61" s="19"/>
      <c r="Q61" s="19"/>
      <c r="R61" s="19"/>
      <c r="S61" s="19"/>
      <c r="T61" s="19"/>
      <c r="U61" s="19"/>
      <c r="V61" s="19"/>
      <c r="W61" s="19"/>
      <c r="X61" s="19"/>
      <c r="Y61" s="19"/>
      <c r="Z61" s="19"/>
      <c r="AA61" s="19"/>
      <c r="AB61" s="19"/>
      <c r="AC61" s="19"/>
    </row>
    <row r="62" spans="1:30" x14ac:dyDescent="0.2">
      <c r="J62" s="19"/>
      <c r="K62" s="19"/>
      <c r="L62" s="19"/>
      <c r="M62" s="19"/>
      <c r="N62" s="19"/>
      <c r="O62" s="19"/>
      <c r="P62" s="19"/>
      <c r="Q62" s="19"/>
      <c r="R62" s="19"/>
      <c r="S62" s="19"/>
      <c r="T62" s="19"/>
      <c r="U62" s="19"/>
      <c r="V62" s="19"/>
      <c r="W62" s="19"/>
      <c r="X62" s="19"/>
      <c r="Y62" s="19"/>
      <c r="Z62" s="19"/>
      <c r="AA62" s="19"/>
      <c r="AB62" s="19"/>
      <c r="AC62" s="19"/>
    </row>
    <row r="63" spans="1:30" x14ac:dyDescent="0.2">
      <c r="J63" s="19"/>
      <c r="K63" s="19"/>
      <c r="L63" s="19"/>
      <c r="M63" s="19"/>
      <c r="N63" s="19"/>
      <c r="O63" s="19"/>
      <c r="P63" s="19"/>
      <c r="Q63" s="19"/>
      <c r="R63" s="19"/>
      <c r="S63" s="19"/>
      <c r="T63" s="19"/>
      <c r="U63" s="19"/>
      <c r="V63" s="19"/>
      <c r="W63" s="19"/>
      <c r="X63" s="19"/>
      <c r="Y63" s="19"/>
      <c r="Z63" s="19"/>
      <c r="AA63" s="19"/>
      <c r="AB63" s="19"/>
      <c r="AC63" s="19"/>
    </row>
    <row r="64" spans="1:30" x14ac:dyDescent="0.2">
      <c r="J64" s="19"/>
      <c r="K64" s="19"/>
      <c r="L64" s="19"/>
      <c r="M64" s="19"/>
      <c r="N64" s="19"/>
      <c r="O64" s="19"/>
      <c r="P64" s="19"/>
      <c r="Q64" s="19"/>
      <c r="R64" s="19"/>
      <c r="S64" s="19"/>
      <c r="T64" s="19"/>
      <c r="U64" s="19"/>
      <c r="V64" s="19"/>
      <c r="W64" s="19"/>
      <c r="X64" s="19"/>
      <c r="Y64" s="19"/>
      <c r="Z64" s="19"/>
      <c r="AA64" s="19"/>
      <c r="AB64" s="19"/>
      <c r="AC64" s="19"/>
    </row>
  </sheetData>
  <mergeCells count="51">
    <mergeCell ref="Q52:Q56"/>
    <mergeCell ref="Y52:Y56"/>
    <mergeCell ref="D2:D3"/>
    <mergeCell ref="D4:D7"/>
    <mergeCell ref="B5:B9"/>
    <mergeCell ref="J52:J56"/>
    <mergeCell ref="K52:K56"/>
    <mergeCell ref="R52:R56"/>
    <mergeCell ref="S5:S9"/>
    <mergeCell ref="A5:A9"/>
    <mergeCell ref="AB52:AB56"/>
    <mergeCell ref="AC52:AC56"/>
    <mergeCell ref="J58:AC58"/>
    <mergeCell ref="S52:S56"/>
    <mergeCell ref="T52:T56"/>
    <mergeCell ref="U52:U56"/>
    <mergeCell ref="V52:V56"/>
    <mergeCell ref="W52:W56"/>
    <mergeCell ref="X52:X56"/>
    <mergeCell ref="L52:L56"/>
    <mergeCell ref="M52:M56"/>
    <mergeCell ref="N52:N56"/>
    <mergeCell ref="O52:O56"/>
    <mergeCell ref="P52:P56"/>
    <mergeCell ref="J57:AC57"/>
    <mergeCell ref="U5:U9"/>
    <mergeCell ref="V5:V9"/>
    <mergeCell ref="W5:W9"/>
    <mergeCell ref="X5:X9"/>
    <mergeCell ref="Y5:Y9"/>
    <mergeCell ref="G5:G9"/>
    <mergeCell ref="H5:H9"/>
    <mergeCell ref="I5:I9"/>
    <mergeCell ref="J5:J9"/>
    <mergeCell ref="K5:K9"/>
    <mergeCell ref="AC5:AC9"/>
    <mergeCell ref="Z52:Z56"/>
    <mergeCell ref="AA52:AA56"/>
    <mergeCell ref="J3:AC3"/>
    <mergeCell ref="J4:AC4"/>
    <mergeCell ref="L5:L9"/>
    <mergeCell ref="M5:M9"/>
    <mergeCell ref="N5:N9"/>
    <mergeCell ref="O5:O9"/>
    <mergeCell ref="P5:P9"/>
    <mergeCell ref="Q5:Q9"/>
    <mergeCell ref="R5:R9"/>
    <mergeCell ref="Z5:Z9"/>
    <mergeCell ref="AA5:AA9"/>
    <mergeCell ref="AB5:AB9"/>
    <mergeCell ref="T5:T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59"/>
  <sheetViews>
    <sheetView showRuler="0" workbookViewId="0"/>
  </sheetViews>
  <sheetFormatPr baseColWidth="10" defaultRowHeight="16" x14ac:dyDescent="0.2"/>
  <cols>
    <col min="1" max="1" width="5.6640625" style="19" customWidth="1"/>
    <col min="2" max="2" width="12.5" style="20" customWidth="1"/>
    <col min="3" max="3" width="75.83203125" style="19" customWidth="1"/>
    <col min="4" max="4" width="22.6640625" style="19" customWidth="1"/>
    <col min="5" max="5" width="10.83203125" style="20"/>
    <col min="6" max="7" width="6.6640625" style="20" customWidth="1"/>
    <col min="8" max="8" width="8.33203125" style="20" customWidth="1"/>
    <col min="9" max="28" width="5.6640625" style="20" customWidth="1"/>
    <col min="29" max="29" width="113.83203125" style="19" customWidth="1"/>
    <col min="30" max="16384" width="10.83203125" style="19"/>
  </cols>
  <sheetData>
    <row r="1" spans="1:29" ht="17" thickBot="1" x14ac:dyDescent="0.25"/>
    <row r="2" spans="1:29" ht="17" thickBot="1" x14ac:dyDescent="0.25">
      <c r="C2" s="206" t="s">
        <v>43</v>
      </c>
    </row>
    <row r="3" spans="1:29" ht="19" customHeight="1" x14ac:dyDescent="0.25">
      <c r="A3" s="33"/>
      <c r="C3" s="207"/>
      <c r="I3" s="183" t="s">
        <v>44</v>
      </c>
      <c r="J3" s="184"/>
      <c r="K3" s="184"/>
      <c r="L3" s="184"/>
      <c r="M3" s="184"/>
      <c r="N3" s="184"/>
      <c r="O3" s="184"/>
      <c r="P3" s="184"/>
      <c r="Q3" s="184"/>
      <c r="R3" s="184"/>
      <c r="S3" s="184"/>
      <c r="T3" s="184"/>
      <c r="U3" s="184"/>
      <c r="V3" s="184"/>
      <c r="W3" s="184"/>
      <c r="X3" s="184"/>
      <c r="Y3" s="184"/>
      <c r="Z3" s="184"/>
      <c r="AA3" s="184"/>
      <c r="AB3" s="185"/>
    </row>
    <row r="4" spans="1:29" ht="19" customHeight="1" thickBot="1" x14ac:dyDescent="0.25">
      <c r="A4" s="34"/>
      <c r="C4" s="208" t="s">
        <v>236</v>
      </c>
      <c r="I4" s="186" t="s">
        <v>45</v>
      </c>
      <c r="J4" s="187"/>
      <c r="K4" s="187"/>
      <c r="L4" s="187"/>
      <c r="M4" s="187"/>
      <c r="N4" s="187"/>
      <c r="O4" s="187"/>
      <c r="P4" s="187"/>
      <c r="Q4" s="187"/>
      <c r="R4" s="187"/>
      <c r="S4" s="187"/>
      <c r="T4" s="187"/>
      <c r="U4" s="187"/>
      <c r="V4" s="187"/>
      <c r="W4" s="187"/>
      <c r="X4" s="187"/>
      <c r="Y4" s="187"/>
      <c r="Z4" s="187"/>
      <c r="AA4" s="187"/>
      <c r="AB4" s="188"/>
    </row>
    <row r="5" spans="1:29" ht="19" customHeight="1" x14ac:dyDescent="0.2">
      <c r="A5" s="107" t="s">
        <v>201</v>
      </c>
      <c r="C5" s="208"/>
      <c r="F5" s="107" t="s">
        <v>46</v>
      </c>
      <c r="G5" s="109" t="s">
        <v>47</v>
      </c>
      <c r="H5" s="189" t="s">
        <v>48</v>
      </c>
      <c r="I5" s="192" t="s">
        <v>49</v>
      </c>
      <c r="J5" s="194" t="s">
        <v>50</v>
      </c>
      <c r="K5" s="194" t="s">
        <v>51</v>
      </c>
      <c r="L5" s="196" t="s">
        <v>52</v>
      </c>
      <c r="M5" s="194" t="s">
        <v>53</v>
      </c>
      <c r="N5" s="194" t="s">
        <v>54</v>
      </c>
      <c r="O5" s="196" t="s">
        <v>55</v>
      </c>
      <c r="P5" s="198" t="s">
        <v>56</v>
      </c>
      <c r="Q5" s="198" t="s">
        <v>57</v>
      </c>
      <c r="R5" s="196" t="s">
        <v>58</v>
      </c>
      <c r="S5" s="198" t="s">
        <v>59</v>
      </c>
      <c r="T5" s="196" t="s">
        <v>60</v>
      </c>
      <c r="U5" s="198" t="s">
        <v>61</v>
      </c>
      <c r="V5" s="198" t="s">
        <v>62</v>
      </c>
      <c r="W5" s="198" t="s">
        <v>63</v>
      </c>
      <c r="X5" s="198" t="s">
        <v>64</v>
      </c>
      <c r="Y5" s="198" t="s">
        <v>65</v>
      </c>
      <c r="Z5" s="198" t="s">
        <v>66</v>
      </c>
      <c r="AA5" s="196" t="s">
        <v>67</v>
      </c>
      <c r="AB5" s="177" t="s">
        <v>184</v>
      </c>
    </row>
    <row r="6" spans="1:29" ht="19" customHeight="1" x14ac:dyDescent="0.2">
      <c r="A6" s="107"/>
      <c r="C6" s="208"/>
      <c r="F6" s="107"/>
      <c r="G6" s="110"/>
      <c r="H6" s="190"/>
      <c r="I6" s="192"/>
      <c r="J6" s="194"/>
      <c r="K6" s="194"/>
      <c r="L6" s="194"/>
      <c r="M6" s="194"/>
      <c r="N6" s="194"/>
      <c r="O6" s="196"/>
      <c r="P6" s="181"/>
      <c r="Q6" s="181"/>
      <c r="R6" s="196"/>
      <c r="S6" s="181"/>
      <c r="T6" s="194"/>
      <c r="U6" s="181"/>
      <c r="V6" s="181"/>
      <c r="W6" s="181"/>
      <c r="X6" s="181"/>
      <c r="Y6" s="181"/>
      <c r="Z6" s="181"/>
      <c r="AA6" s="194"/>
      <c r="AB6" s="178"/>
    </row>
    <row r="7" spans="1:29" ht="19" customHeight="1" thickBot="1" x14ac:dyDescent="0.25">
      <c r="A7" s="107"/>
      <c r="C7" s="209"/>
      <c r="F7" s="107"/>
      <c r="G7" s="110"/>
      <c r="H7" s="190"/>
      <c r="I7" s="192"/>
      <c r="J7" s="194"/>
      <c r="K7" s="194"/>
      <c r="L7" s="194"/>
      <c r="M7" s="194"/>
      <c r="N7" s="194"/>
      <c r="O7" s="196"/>
      <c r="P7" s="181"/>
      <c r="Q7" s="181"/>
      <c r="R7" s="196"/>
      <c r="S7" s="181"/>
      <c r="T7" s="194"/>
      <c r="U7" s="181"/>
      <c r="V7" s="181"/>
      <c r="W7" s="181"/>
      <c r="X7" s="181"/>
      <c r="Y7" s="181"/>
      <c r="Z7" s="181"/>
      <c r="AA7" s="194"/>
      <c r="AB7" s="178"/>
    </row>
    <row r="8" spans="1:29" ht="19" customHeight="1" x14ac:dyDescent="0.2">
      <c r="A8" s="107"/>
      <c r="F8" s="107"/>
      <c r="G8" s="110"/>
      <c r="H8" s="190"/>
      <c r="I8" s="192"/>
      <c r="J8" s="194"/>
      <c r="K8" s="194"/>
      <c r="L8" s="194"/>
      <c r="M8" s="194"/>
      <c r="N8" s="194"/>
      <c r="O8" s="196"/>
      <c r="P8" s="181"/>
      <c r="Q8" s="181"/>
      <c r="R8" s="196"/>
      <c r="S8" s="181"/>
      <c r="T8" s="194"/>
      <c r="U8" s="181"/>
      <c r="V8" s="181"/>
      <c r="W8" s="181"/>
      <c r="X8" s="181"/>
      <c r="Y8" s="181"/>
      <c r="Z8" s="181"/>
      <c r="AA8" s="194"/>
      <c r="AB8" s="178"/>
    </row>
    <row r="9" spans="1:29" s="23" customFormat="1" ht="20" customHeight="1" thickBot="1" x14ac:dyDescent="0.25">
      <c r="A9" s="108"/>
      <c r="B9" s="22" t="s">
        <v>68</v>
      </c>
      <c r="C9" s="21" t="s">
        <v>69</v>
      </c>
      <c r="D9" s="21" t="s">
        <v>70</v>
      </c>
      <c r="E9" s="22" t="s">
        <v>71</v>
      </c>
      <c r="F9" s="108"/>
      <c r="G9" s="111"/>
      <c r="H9" s="191"/>
      <c r="I9" s="193"/>
      <c r="J9" s="195"/>
      <c r="K9" s="195"/>
      <c r="L9" s="195"/>
      <c r="M9" s="195"/>
      <c r="N9" s="195"/>
      <c r="O9" s="197"/>
      <c r="P9" s="182"/>
      <c r="Q9" s="182"/>
      <c r="R9" s="197"/>
      <c r="S9" s="182"/>
      <c r="T9" s="195"/>
      <c r="U9" s="182"/>
      <c r="V9" s="182"/>
      <c r="W9" s="182"/>
      <c r="X9" s="182"/>
      <c r="Y9" s="182"/>
      <c r="Z9" s="182"/>
      <c r="AA9" s="195"/>
      <c r="AB9" s="179"/>
      <c r="AC9" s="21" t="s">
        <v>72</v>
      </c>
    </row>
    <row r="10" spans="1:29" ht="20" customHeight="1" x14ac:dyDescent="0.2">
      <c r="A10" s="36"/>
      <c r="C10" s="19" t="s">
        <v>73</v>
      </c>
      <c r="D10" s="19" t="s">
        <v>74</v>
      </c>
      <c r="E10" s="20">
        <v>2015</v>
      </c>
      <c r="F10" s="20">
        <v>3</v>
      </c>
      <c r="G10" s="85">
        <v>100</v>
      </c>
      <c r="H10" s="86" t="s">
        <v>75</v>
      </c>
      <c r="I10" s="38">
        <v>13</v>
      </c>
      <c r="J10" s="24">
        <v>1</v>
      </c>
      <c r="K10" s="24"/>
      <c r="L10" s="24"/>
      <c r="M10" s="24"/>
      <c r="N10" s="24"/>
      <c r="O10" s="24"/>
      <c r="P10" s="24"/>
      <c r="Q10" s="25"/>
      <c r="R10" s="26"/>
      <c r="S10" s="26"/>
      <c r="T10" s="26"/>
      <c r="U10" s="26"/>
      <c r="V10" s="26"/>
      <c r="W10" s="26"/>
      <c r="X10" s="26"/>
      <c r="Y10" s="26"/>
      <c r="Z10" s="26"/>
      <c r="AA10" s="26"/>
      <c r="AB10" s="79"/>
    </row>
    <row r="11" spans="1:29" ht="20" customHeight="1" x14ac:dyDescent="0.2">
      <c r="A11" s="36"/>
      <c r="C11" s="19" t="s">
        <v>76</v>
      </c>
      <c r="D11" s="19" t="s">
        <v>77</v>
      </c>
      <c r="E11" s="20">
        <v>2014</v>
      </c>
      <c r="F11" s="20">
        <v>9</v>
      </c>
      <c r="G11" s="87">
        <v>82</v>
      </c>
      <c r="H11" s="88"/>
      <c r="I11" s="38">
        <v>8</v>
      </c>
      <c r="J11" s="24"/>
      <c r="K11" s="24"/>
      <c r="L11" s="24"/>
      <c r="M11" s="24"/>
      <c r="N11" s="24"/>
      <c r="O11" s="24"/>
      <c r="P11" s="24"/>
      <c r="Q11" s="24"/>
      <c r="R11" s="24"/>
      <c r="S11" s="24"/>
      <c r="T11" s="24"/>
      <c r="U11" s="24"/>
      <c r="V11" s="24"/>
      <c r="W11" s="24"/>
      <c r="X11" s="24"/>
      <c r="Y11" s="24"/>
      <c r="Z11" s="24"/>
      <c r="AA11" s="24"/>
      <c r="AB11" s="81"/>
      <c r="AC11" s="27" t="s">
        <v>78</v>
      </c>
    </row>
    <row r="12" spans="1:29" ht="20" customHeight="1" x14ac:dyDescent="0.2">
      <c r="A12" s="33"/>
      <c r="C12" s="19" t="s">
        <v>79</v>
      </c>
      <c r="D12" s="19" t="s">
        <v>80</v>
      </c>
      <c r="E12" s="20">
        <v>2013</v>
      </c>
      <c r="F12" s="20">
        <v>15</v>
      </c>
      <c r="G12" s="87"/>
      <c r="H12" s="88"/>
      <c r="I12" s="38"/>
      <c r="J12" s="24"/>
      <c r="K12" s="24"/>
      <c r="L12" s="24"/>
      <c r="M12" s="24"/>
      <c r="N12" s="24"/>
      <c r="O12" s="24"/>
      <c r="P12" s="24"/>
      <c r="Q12" s="24"/>
      <c r="R12" s="24"/>
      <c r="S12" s="24"/>
      <c r="T12" s="24"/>
      <c r="U12" s="24"/>
      <c r="V12" s="24"/>
      <c r="W12" s="24"/>
      <c r="X12" s="24"/>
      <c r="Y12" s="24"/>
      <c r="Z12" s="24"/>
      <c r="AA12" s="24"/>
      <c r="AB12" s="81"/>
      <c r="AC12" s="27" t="s">
        <v>78</v>
      </c>
    </row>
    <row r="13" spans="1:29" ht="20" customHeight="1" x14ac:dyDescent="0.2">
      <c r="A13" s="33"/>
      <c r="C13" s="19" t="s">
        <v>81</v>
      </c>
      <c r="D13" s="19" t="s">
        <v>82</v>
      </c>
      <c r="E13" s="20">
        <v>1986</v>
      </c>
      <c r="F13" s="20">
        <v>146</v>
      </c>
      <c r="G13" s="87">
        <v>27</v>
      </c>
      <c r="H13" s="88" t="s">
        <v>83</v>
      </c>
      <c r="I13" s="38"/>
      <c r="J13" s="24"/>
      <c r="K13" s="24">
        <v>13</v>
      </c>
      <c r="L13" s="24"/>
      <c r="M13" s="24"/>
      <c r="N13" s="24"/>
      <c r="O13" s="24"/>
      <c r="P13" s="24"/>
      <c r="Q13" s="24"/>
      <c r="R13" s="24"/>
      <c r="S13" s="24"/>
      <c r="T13" s="24"/>
      <c r="U13" s="24"/>
      <c r="V13" s="24"/>
      <c r="W13" s="24"/>
      <c r="X13" s="24"/>
      <c r="Y13" s="24"/>
      <c r="Z13" s="24"/>
      <c r="AA13" s="24"/>
      <c r="AB13" s="81"/>
      <c r="AC13" s="27" t="s">
        <v>84</v>
      </c>
    </row>
    <row r="14" spans="1:29" ht="20" customHeight="1" x14ac:dyDescent="0.2">
      <c r="A14" s="33"/>
      <c r="C14" s="19" t="s">
        <v>85</v>
      </c>
      <c r="D14" s="19" t="s">
        <v>86</v>
      </c>
      <c r="E14" s="20">
        <v>2008</v>
      </c>
      <c r="F14" s="20">
        <v>33</v>
      </c>
      <c r="G14" s="87">
        <v>101</v>
      </c>
      <c r="H14" s="88"/>
      <c r="I14" s="38">
        <v>6</v>
      </c>
      <c r="J14" s="24">
        <v>6</v>
      </c>
      <c r="K14" s="24"/>
      <c r="L14" s="24"/>
      <c r="M14" s="24"/>
      <c r="N14" s="24"/>
      <c r="O14" s="24"/>
      <c r="P14" s="24"/>
      <c r="Q14" s="24"/>
      <c r="R14" s="24"/>
      <c r="S14" s="24"/>
      <c r="T14" s="24"/>
      <c r="U14" s="24"/>
      <c r="V14" s="24"/>
      <c r="W14" s="24"/>
      <c r="X14" s="24"/>
      <c r="Y14" s="24"/>
      <c r="Z14" s="24"/>
      <c r="AA14" s="24"/>
      <c r="AB14" s="81"/>
      <c r="AC14" s="19" t="s">
        <v>87</v>
      </c>
    </row>
    <row r="15" spans="1:29" ht="20" customHeight="1" x14ac:dyDescent="0.2">
      <c r="A15" s="36"/>
      <c r="C15" s="19" t="s">
        <v>88</v>
      </c>
      <c r="D15" s="19" t="s">
        <v>89</v>
      </c>
      <c r="E15" s="20">
        <v>2011</v>
      </c>
      <c r="G15" s="87">
        <v>1</v>
      </c>
      <c r="H15" s="88"/>
      <c r="I15" s="38">
        <v>1</v>
      </c>
      <c r="J15" s="24"/>
      <c r="K15" s="24"/>
      <c r="L15" s="24">
        <v>1</v>
      </c>
      <c r="M15" s="24">
        <v>1</v>
      </c>
      <c r="N15" s="24">
        <v>1</v>
      </c>
      <c r="O15" s="24"/>
      <c r="P15" s="24"/>
      <c r="Q15" s="24"/>
      <c r="R15" s="24"/>
      <c r="S15" s="24"/>
      <c r="T15" s="24"/>
      <c r="U15" s="24"/>
      <c r="V15" s="24"/>
      <c r="W15" s="24"/>
      <c r="X15" s="24"/>
      <c r="Y15" s="24"/>
      <c r="Z15" s="24"/>
      <c r="AA15" s="24"/>
      <c r="AB15" s="81"/>
      <c r="AC15" s="19" t="s">
        <v>90</v>
      </c>
    </row>
    <row r="16" spans="1:29" ht="20" customHeight="1" x14ac:dyDescent="0.2">
      <c r="A16" s="33"/>
      <c r="C16" s="19" t="s">
        <v>91</v>
      </c>
      <c r="D16" s="19" t="s">
        <v>92</v>
      </c>
      <c r="E16" s="20">
        <v>2010</v>
      </c>
      <c r="F16" s="20">
        <v>17</v>
      </c>
      <c r="G16" s="87">
        <v>83</v>
      </c>
      <c r="H16" s="88"/>
      <c r="I16" s="38"/>
      <c r="J16" s="24"/>
      <c r="K16" s="24"/>
      <c r="L16" s="24"/>
      <c r="M16" s="24"/>
      <c r="N16" s="24"/>
      <c r="O16" s="24"/>
      <c r="P16" s="24"/>
      <c r="Q16" s="24"/>
      <c r="R16" s="24"/>
      <c r="S16" s="24"/>
      <c r="T16" s="24"/>
      <c r="U16" s="24"/>
      <c r="V16" s="24"/>
      <c r="W16" s="24"/>
      <c r="X16" s="24"/>
      <c r="Y16" s="24"/>
      <c r="Z16" s="24"/>
      <c r="AA16" s="24"/>
      <c r="AB16" s="81"/>
      <c r="AC16" s="19" t="s">
        <v>93</v>
      </c>
    </row>
    <row r="17" spans="1:29" ht="20" customHeight="1" x14ac:dyDescent="0.2">
      <c r="A17" s="33"/>
      <c r="C17" s="19" t="s">
        <v>94</v>
      </c>
      <c r="D17" s="19" t="s">
        <v>95</v>
      </c>
      <c r="E17" s="20">
        <v>2013</v>
      </c>
      <c r="F17" s="20">
        <v>13</v>
      </c>
      <c r="G17" s="87">
        <v>201</v>
      </c>
      <c r="H17" s="88"/>
      <c r="I17" s="38">
        <v>16</v>
      </c>
      <c r="J17" s="24"/>
      <c r="K17" s="24"/>
      <c r="L17" s="24"/>
      <c r="M17" s="24"/>
      <c r="N17" s="24"/>
      <c r="O17" s="24"/>
      <c r="P17" s="24"/>
      <c r="Q17" s="24"/>
      <c r="R17" s="24"/>
      <c r="S17" s="24"/>
      <c r="T17" s="24"/>
      <c r="U17" s="24"/>
      <c r="V17" s="24"/>
      <c r="W17" s="24"/>
      <c r="X17" s="24"/>
      <c r="Y17" s="24"/>
      <c r="Z17" s="24"/>
      <c r="AA17" s="24"/>
      <c r="AB17" s="81"/>
      <c r="AC17" s="27" t="s">
        <v>78</v>
      </c>
    </row>
    <row r="18" spans="1:29" ht="20" customHeight="1" x14ac:dyDescent="0.2">
      <c r="A18" s="36"/>
      <c r="C18" s="19" t="s">
        <v>96</v>
      </c>
      <c r="D18" s="19" t="s">
        <v>97</v>
      </c>
      <c r="E18" s="20">
        <v>2013</v>
      </c>
      <c r="F18" s="20">
        <v>12</v>
      </c>
      <c r="G18" s="87">
        <v>304</v>
      </c>
      <c r="H18" s="88" t="s">
        <v>98</v>
      </c>
      <c r="I18" s="38">
        <v>14</v>
      </c>
      <c r="J18" s="24"/>
      <c r="K18" s="24"/>
      <c r="L18" s="24"/>
      <c r="M18" s="24"/>
      <c r="N18" s="24"/>
      <c r="O18" s="24"/>
      <c r="P18" s="24"/>
      <c r="Q18" s="24"/>
      <c r="R18" s="24"/>
      <c r="S18" s="24"/>
      <c r="T18" s="24"/>
      <c r="U18" s="24"/>
      <c r="V18" s="24"/>
      <c r="W18" s="24"/>
      <c r="X18" s="24"/>
      <c r="Y18" s="24"/>
      <c r="Z18" s="24"/>
      <c r="AA18" s="24"/>
      <c r="AB18" s="81"/>
    </row>
    <row r="19" spans="1:29" ht="20" customHeight="1" x14ac:dyDescent="0.2">
      <c r="A19" s="36"/>
      <c r="C19" s="19" t="s">
        <v>99</v>
      </c>
      <c r="D19" s="19" t="s">
        <v>100</v>
      </c>
      <c r="E19" s="20">
        <v>2010</v>
      </c>
      <c r="F19" s="20">
        <v>28</v>
      </c>
      <c r="G19" s="87">
        <v>597</v>
      </c>
      <c r="H19" s="88"/>
      <c r="I19" s="38">
        <v>14</v>
      </c>
      <c r="J19" s="24">
        <v>12</v>
      </c>
      <c r="K19" s="24"/>
      <c r="L19" s="24"/>
      <c r="M19" s="24"/>
      <c r="N19" s="24"/>
      <c r="O19" s="24"/>
      <c r="P19" s="24"/>
      <c r="Q19" s="24"/>
      <c r="R19" s="24"/>
      <c r="S19" s="24"/>
      <c r="T19" s="24"/>
      <c r="U19" s="24"/>
      <c r="V19" s="24"/>
      <c r="W19" s="24"/>
      <c r="X19" s="24"/>
      <c r="Y19" s="24"/>
      <c r="Z19" s="24"/>
      <c r="AA19" s="24"/>
      <c r="AB19" s="81"/>
    </row>
    <row r="20" spans="1:29" ht="20" customHeight="1" x14ac:dyDescent="0.2">
      <c r="A20" s="36"/>
      <c r="C20" s="19" t="s">
        <v>101</v>
      </c>
      <c r="D20" s="19" t="s">
        <v>102</v>
      </c>
      <c r="E20" s="20">
        <v>2012</v>
      </c>
      <c r="F20" s="20">
        <v>22</v>
      </c>
      <c r="G20" s="87">
        <v>19</v>
      </c>
      <c r="H20" s="88" t="s">
        <v>103</v>
      </c>
      <c r="I20" s="38"/>
      <c r="J20" s="24"/>
      <c r="K20" s="28"/>
      <c r="L20" s="24"/>
      <c r="M20" s="24"/>
      <c r="N20" s="24"/>
      <c r="O20" s="24"/>
      <c r="P20" s="24"/>
      <c r="Q20" s="24"/>
      <c r="R20" s="24"/>
      <c r="S20" s="28"/>
      <c r="T20" s="24"/>
      <c r="U20" s="24"/>
      <c r="V20" s="24"/>
      <c r="W20" s="24"/>
      <c r="X20" s="24"/>
      <c r="Y20" s="28"/>
      <c r="Z20" s="24"/>
      <c r="AA20" s="24"/>
      <c r="AB20" s="97"/>
      <c r="AC20" s="19" t="s">
        <v>104</v>
      </c>
    </row>
    <row r="21" spans="1:29" ht="20" customHeight="1" x14ac:dyDescent="0.2">
      <c r="A21" s="36"/>
      <c r="C21" s="19" t="s">
        <v>105</v>
      </c>
      <c r="D21" s="19" t="s">
        <v>102</v>
      </c>
      <c r="E21" s="20">
        <v>2013</v>
      </c>
      <c r="F21" s="20">
        <v>12</v>
      </c>
      <c r="G21" s="87">
        <v>19</v>
      </c>
      <c r="H21" s="88"/>
      <c r="I21" s="38"/>
      <c r="J21" s="24"/>
      <c r="K21" s="28"/>
      <c r="L21" s="24"/>
      <c r="M21" s="24"/>
      <c r="N21" s="24"/>
      <c r="O21" s="24"/>
      <c r="P21" s="24"/>
      <c r="Q21" s="24"/>
      <c r="R21" s="24"/>
      <c r="S21" s="28"/>
      <c r="T21" s="24"/>
      <c r="U21" s="24"/>
      <c r="V21" s="24"/>
      <c r="W21" s="24"/>
      <c r="X21" s="24"/>
      <c r="Y21" s="28"/>
      <c r="Z21" s="24"/>
      <c r="AA21" s="24"/>
      <c r="AB21" s="97"/>
      <c r="AC21" s="19" t="s">
        <v>185</v>
      </c>
    </row>
    <row r="22" spans="1:29" ht="20" customHeight="1" x14ac:dyDescent="0.2">
      <c r="A22" s="36"/>
      <c r="C22" s="19" t="s">
        <v>106</v>
      </c>
      <c r="D22" s="19" t="s">
        <v>107</v>
      </c>
      <c r="E22" s="20">
        <v>2007</v>
      </c>
      <c r="F22" s="20">
        <v>41</v>
      </c>
      <c r="G22" s="87">
        <v>71</v>
      </c>
      <c r="H22" s="88"/>
      <c r="I22" s="38"/>
      <c r="J22" s="24"/>
      <c r="K22" s="24"/>
      <c r="L22" s="24"/>
      <c r="M22" s="24"/>
      <c r="N22" s="24"/>
      <c r="O22" s="24"/>
      <c r="P22" s="24"/>
      <c r="Q22" s="24"/>
      <c r="R22" s="24"/>
      <c r="S22" s="24"/>
      <c r="T22" s="24"/>
      <c r="U22" s="24"/>
      <c r="V22" s="24"/>
      <c r="W22" s="24"/>
      <c r="X22" s="24"/>
      <c r="Y22" s="24"/>
      <c r="Z22" s="24"/>
      <c r="AA22" s="24"/>
      <c r="AB22" s="81"/>
      <c r="AC22" s="19" t="s">
        <v>108</v>
      </c>
    </row>
    <row r="23" spans="1:29" ht="20" customHeight="1" x14ac:dyDescent="0.2">
      <c r="A23" s="36"/>
      <c r="C23" s="19" t="s">
        <v>109</v>
      </c>
      <c r="D23" s="19" t="s">
        <v>110</v>
      </c>
      <c r="E23" s="20">
        <v>2007</v>
      </c>
      <c r="F23" s="20">
        <v>140</v>
      </c>
      <c r="G23" s="87">
        <v>71</v>
      </c>
      <c r="H23" s="88"/>
      <c r="I23" s="38"/>
      <c r="J23" s="24"/>
      <c r="K23" s="24"/>
      <c r="L23" s="24"/>
      <c r="M23" s="24"/>
      <c r="N23" s="24"/>
      <c r="O23" s="24"/>
      <c r="P23" s="24"/>
      <c r="Q23" s="24"/>
      <c r="R23" s="24"/>
      <c r="S23" s="24"/>
      <c r="T23" s="24"/>
      <c r="U23" s="24"/>
      <c r="V23" s="24"/>
      <c r="W23" s="24"/>
      <c r="X23" s="24"/>
      <c r="Y23" s="24"/>
      <c r="Z23" s="24"/>
      <c r="AA23" s="24"/>
      <c r="AB23" s="81"/>
      <c r="AC23" s="19" t="s">
        <v>111</v>
      </c>
    </row>
    <row r="24" spans="1:29" ht="20" customHeight="1" x14ac:dyDescent="0.2">
      <c r="A24" s="33"/>
      <c r="C24" s="19" t="s">
        <v>112</v>
      </c>
      <c r="D24" s="19" t="s">
        <v>113</v>
      </c>
      <c r="E24" s="20">
        <v>2015</v>
      </c>
      <c r="F24" s="20">
        <v>8</v>
      </c>
      <c r="G24" s="87">
        <v>255</v>
      </c>
      <c r="H24" s="88" t="s">
        <v>114</v>
      </c>
      <c r="I24" s="39"/>
      <c r="J24" s="24"/>
      <c r="K24" s="24"/>
      <c r="L24" s="24"/>
      <c r="M24" s="24"/>
      <c r="N24" s="24"/>
      <c r="O24" s="24"/>
      <c r="P24" s="24"/>
      <c r="Q24" s="24"/>
      <c r="R24" s="24"/>
      <c r="S24" s="24"/>
      <c r="T24" s="24"/>
      <c r="U24" s="24"/>
      <c r="V24" s="24"/>
      <c r="W24" s="24"/>
      <c r="X24" s="24"/>
      <c r="Y24" s="24"/>
      <c r="Z24" s="24"/>
      <c r="AA24" s="24"/>
      <c r="AB24" s="81"/>
      <c r="AC24" s="19" t="s">
        <v>115</v>
      </c>
    </row>
    <row r="25" spans="1:29" ht="20" customHeight="1" x14ac:dyDescent="0.2">
      <c r="A25" s="36"/>
      <c r="C25" s="19" t="s">
        <v>116</v>
      </c>
      <c r="D25" s="19" t="s">
        <v>117</v>
      </c>
      <c r="E25" s="20">
        <v>1993</v>
      </c>
      <c r="F25" s="20">
        <v>56</v>
      </c>
      <c r="G25" s="87">
        <v>128</v>
      </c>
      <c r="H25" s="88"/>
      <c r="I25" s="38">
        <v>8</v>
      </c>
      <c r="J25" s="24"/>
      <c r="K25" s="24"/>
      <c r="L25" s="24"/>
      <c r="M25" s="24"/>
      <c r="N25" s="24">
        <v>1</v>
      </c>
      <c r="O25" s="24">
        <v>15</v>
      </c>
      <c r="P25" s="24">
        <v>6</v>
      </c>
      <c r="Q25" s="24">
        <v>4</v>
      </c>
      <c r="R25" s="24">
        <v>5</v>
      </c>
      <c r="S25" s="24"/>
      <c r="T25" s="24"/>
      <c r="U25" s="24">
        <v>1</v>
      </c>
      <c r="V25" s="24">
        <v>2</v>
      </c>
      <c r="W25" s="24"/>
      <c r="X25" s="24"/>
      <c r="Y25" s="24"/>
      <c r="Z25" s="24"/>
      <c r="AA25" s="24">
        <v>4</v>
      </c>
      <c r="AB25" s="81">
        <v>11</v>
      </c>
      <c r="AC25" s="19" t="s">
        <v>238</v>
      </c>
    </row>
    <row r="26" spans="1:29" ht="20" customHeight="1" x14ac:dyDescent="0.2">
      <c r="A26" s="36"/>
      <c r="C26" s="19" t="s">
        <v>118</v>
      </c>
      <c r="D26" s="19" t="s">
        <v>119</v>
      </c>
      <c r="E26" s="20">
        <v>2009</v>
      </c>
      <c r="G26" s="87">
        <v>170</v>
      </c>
      <c r="H26" s="88" t="s">
        <v>120</v>
      </c>
      <c r="I26" s="38">
        <v>33</v>
      </c>
      <c r="J26" s="24"/>
      <c r="K26" s="24"/>
      <c r="L26" s="24">
        <v>8</v>
      </c>
      <c r="M26" s="24">
        <v>15</v>
      </c>
      <c r="N26" s="24"/>
      <c r="O26" s="24"/>
      <c r="P26" s="24"/>
      <c r="Q26" s="24"/>
      <c r="R26" s="24"/>
      <c r="S26" s="24"/>
      <c r="T26" s="24"/>
      <c r="U26" s="24"/>
      <c r="V26" s="24"/>
      <c r="W26" s="24"/>
      <c r="X26" s="24"/>
      <c r="Y26" s="24"/>
      <c r="Z26" s="24"/>
      <c r="AA26" s="24"/>
      <c r="AB26" s="81"/>
    </row>
    <row r="27" spans="1:29" ht="20" customHeight="1" x14ac:dyDescent="0.2">
      <c r="A27" s="36"/>
      <c r="C27" s="19" t="s">
        <v>224</v>
      </c>
      <c r="D27" s="19" t="s">
        <v>225</v>
      </c>
      <c r="E27" s="20">
        <v>2013</v>
      </c>
      <c r="G27" s="87">
        <v>98</v>
      </c>
      <c r="H27" s="88"/>
      <c r="I27" s="38">
        <v>14</v>
      </c>
      <c r="J27" s="24"/>
      <c r="K27" s="24"/>
      <c r="L27" s="24"/>
      <c r="M27" s="24"/>
      <c r="N27" s="24"/>
      <c r="O27" s="24"/>
      <c r="P27" s="24"/>
      <c r="Q27" s="24"/>
      <c r="R27" s="24"/>
      <c r="S27" s="24"/>
      <c r="T27" s="24"/>
      <c r="U27" s="24"/>
      <c r="V27" s="24"/>
      <c r="W27" s="24"/>
      <c r="X27" s="24"/>
      <c r="Y27" s="24"/>
      <c r="Z27" s="24"/>
      <c r="AA27" s="24"/>
      <c r="AB27" s="81"/>
    </row>
    <row r="28" spans="1:29" ht="20" customHeight="1" x14ac:dyDescent="0.2">
      <c r="A28" s="36"/>
      <c r="C28" s="19" t="s">
        <v>121</v>
      </c>
      <c r="D28" s="19" t="s">
        <v>122</v>
      </c>
      <c r="E28" s="20">
        <v>2008</v>
      </c>
      <c r="F28" s="20">
        <v>21</v>
      </c>
      <c r="G28" s="87">
        <v>227</v>
      </c>
      <c r="H28" s="88" t="s">
        <v>123</v>
      </c>
      <c r="I28" s="38">
        <v>3</v>
      </c>
      <c r="J28" s="24"/>
      <c r="K28" s="24"/>
      <c r="L28" s="24"/>
      <c r="M28" s="24"/>
      <c r="N28" s="24"/>
      <c r="O28" s="24"/>
      <c r="P28" s="24"/>
      <c r="Q28" s="24"/>
      <c r="R28" s="24"/>
      <c r="S28" s="24"/>
      <c r="T28" s="24"/>
      <c r="U28" s="24"/>
      <c r="V28" s="24"/>
      <c r="W28" s="24"/>
      <c r="X28" s="24"/>
      <c r="Y28" s="24"/>
      <c r="Z28" s="24"/>
      <c r="AA28" s="24"/>
      <c r="AB28" s="81"/>
    </row>
    <row r="29" spans="1:29" ht="20" customHeight="1" x14ac:dyDescent="0.2">
      <c r="A29" s="36"/>
      <c r="C29" s="19" t="s">
        <v>124</v>
      </c>
      <c r="D29" s="19" t="s">
        <v>125</v>
      </c>
      <c r="E29" s="20">
        <v>2005</v>
      </c>
      <c r="F29" s="20">
        <v>23</v>
      </c>
      <c r="G29" s="87">
        <v>174</v>
      </c>
      <c r="H29" s="88"/>
      <c r="I29" s="39"/>
      <c r="J29" s="24"/>
      <c r="K29" s="28"/>
      <c r="L29" s="28"/>
      <c r="M29" s="24"/>
      <c r="N29" s="24"/>
      <c r="O29" s="28"/>
      <c r="P29" s="28"/>
      <c r="Q29" s="24"/>
      <c r="R29" s="24"/>
      <c r="S29" s="24"/>
      <c r="T29" s="28"/>
      <c r="U29" s="24"/>
      <c r="V29" s="24"/>
      <c r="W29" s="24"/>
      <c r="X29" s="24"/>
      <c r="Y29" s="24"/>
      <c r="Z29" s="24"/>
      <c r="AA29" s="24"/>
      <c r="AB29" s="81"/>
      <c r="AC29" s="19" t="s">
        <v>126</v>
      </c>
    </row>
    <row r="30" spans="1:29" ht="20" customHeight="1" x14ac:dyDescent="0.2">
      <c r="A30" s="36"/>
      <c r="C30" s="19" t="s">
        <v>127</v>
      </c>
      <c r="D30" s="19" t="s">
        <v>128</v>
      </c>
      <c r="E30" s="20">
        <v>2015</v>
      </c>
      <c r="F30" s="20">
        <v>7</v>
      </c>
      <c r="G30" s="87">
        <v>388</v>
      </c>
      <c r="H30" s="88"/>
      <c r="I30" s="38">
        <v>10</v>
      </c>
      <c r="J30" s="24">
        <v>16</v>
      </c>
      <c r="K30" s="24"/>
      <c r="L30" s="24"/>
      <c r="M30" s="24"/>
      <c r="N30" s="24"/>
      <c r="O30" s="24"/>
      <c r="P30" s="24"/>
      <c r="Q30" s="24"/>
      <c r="R30" s="24"/>
      <c r="S30" s="24"/>
      <c r="T30" s="24"/>
      <c r="U30" s="24"/>
      <c r="V30" s="24"/>
      <c r="W30" s="24"/>
      <c r="X30" s="24"/>
      <c r="Y30" s="24"/>
      <c r="Z30" s="24"/>
      <c r="AA30" s="24"/>
      <c r="AB30" s="81"/>
    </row>
    <row r="31" spans="1:29" ht="20" customHeight="1" x14ac:dyDescent="0.2">
      <c r="A31" s="36"/>
      <c r="C31" s="19" t="s">
        <v>129</v>
      </c>
      <c r="D31" s="19" t="s">
        <v>130</v>
      </c>
      <c r="E31" s="20">
        <v>2011</v>
      </c>
      <c r="F31" s="20">
        <v>12</v>
      </c>
      <c r="G31" s="87">
        <v>11</v>
      </c>
      <c r="H31" s="88" t="s">
        <v>131</v>
      </c>
      <c r="I31" s="38"/>
      <c r="J31" s="24"/>
      <c r="K31" s="24"/>
      <c r="L31" s="24"/>
      <c r="M31" s="24"/>
      <c r="N31" s="24"/>
      <c r="O31" s="24"/>
      <c r="P31" s="24"/>
      <c r="Q31" s="24"/>
      <c r="R31" s="24"/>
      <c r="S31" s="24"/>
      <c r="T31" s="24"/>
      <c r="U31" s="24"/>
      <c r="V31" s="24"/>
      <c r="W31" s="24"/>
      <c r="X31" s="24"/>
      <c r="Y31" s="24"/>
      <c r="Z31" s="24"/>
      <c r="AA31" s="24"/>
      <c r="AB31" s="81"/>
      <c r="AC31" s="19" t="s">
        <v>132</v>
      </c>
    </row>
    <row r="32" spans="1:29" ht="20" customHeight="1" x14ac:dyDescent="0.2">
      <c r="A32" s="36"/>
      <c r="C32" s="19" t="s">
        <v>133</v>
      </c>
      <c r="D32" s="19" t="s">
        <v>134</v>
      </c>
      <c r="E32" s="20">
        <v>2017</v>
      </c>
      <c r="G32" s="87">
        <v>124</v>
      </c>
      <c r="H32" s="88" t="s">
        <v>120</v>
      </c>
      <c r="I32" s="38">
        <v>4</v>
      </c>
      <c r="J32" s="24"/>
      <c r="K32" s="24"/>
      <c r="L32" s="24"/>
      <c r="M32" s="24"/>
      <c r="N32" s="24"/>
      <c r="O32" s="24"/>
      <c r="P32" s="24"/>
      <c r="Q32" s="24"/>
      <c r="R32" s="24"/>
      <c r="S32" s="24"/>
      <c r="T32" s="24"/>
      <c r="U32" s="24"/>
      <c r="V32" s="24"/>
      <c r="W32" s="24"/>
      <c r="X32" s="24"/>
      <c r="Y32" s="24"/>
      <c r="Z32" s="24"/>
      <c r="AA32" s="24"/>
      <c r="AB32" s="81"/>
    </row>
    <row r="33" spans="1:29" ht="20" customHeight="1" x14ac:dyDescent="0.2">
      <c r="A33" s="36"/>
      <c r="C33" s="19" t="s">
        <v>135</v>
      </c>
      <c r="D33" s="19" t="s">
        <v>136</v>
      </c>
      <c r="E33" s="20">
        <v>2010</v>
      </c>
      <c r="F33" s="20">
        <v>61</v>
      </c>
      <c r="G33" s="87">
        <v>142</v>
      </c>
      <c r="H33" s="88"/>
      <c r="I33" s="38"/>
      <c r="J33" s="24"/>
      <c r="K33" s="24"/>
      <c r="L33" s="24"/>
      <c r="M33" s="24"/>
      <c r="N33" s="24"/>
      <c r="O33" s="24">
        <v>19</v>
      </c>
      <c r="P33" s="24">
        <v>19</v>
      </c>
      <c r="Q33" s="24">
        <v>16</v>
      </c>
      <c r="R33" s="24"/>
      <c r="S33" s="24"/>
      <c r="T33" s="24"/>
      <c r="U33" s="24"/>
      <c r="V33" s="24"/>
      <c r="W33" s="24"/>
      <c r="X33" s="24"/>
      <c r="Y33" s="24"/>
      <c r="Z33" s="24"/>
      <c r="AA33" s="24"/>
      <c r="AB33" s="81"/>
      <c r="AC33" s="19" t="s">
        <v>193</v>
      </c>
    </row>
    <row r="34" spans="1:29" ht="20" customHeight="1" x14ac:dyDescent="0.2">
      <c r="A34" s="33"/>
      <c r="C34" s="19" t="s">
        <v>173</v>
      </c>
      <c r="D34" s="19" t="s">
        <v>137</v>
      </c>
      <c r="E34" s="20">
        <v>2008</v>
      </c>
      <c r="F34" s="20">
        <v>78</v>
      </c>
      <c r="G34" s="87">
        <v>143</v>
      </c>
      <c r="H34" s="88"/>
      <c r="I34" s="38"/>
      <c r="J34" s="24"/>
      <c r="K34" s="24"/>
      <c r="L34" s="24"/>
      <c r="M34" s="24"/>
      <c r="N34" s="24"/>
      <c r="O34" s="24"/>
      <c r="P34" s="24"/>
      <c r="Q34" s="24"/>
      <c r="R34" s="24"/>
      <c r="S34" s="24"/>
      <c r="T34" s="24"/>
      <c r="U34" s="24"/>
      <c r="V34" s="24"/>
      <c r="W34" s="24"/>
      <c r="X34" s="24"/>
      <c r="Y34" s="24"/>
      <c r="Z34" s="24"/>
      <c r="AA34" s="24"/>
      <c r="AB34" s="81"/>
      <c r="AC34" s="27" t="s">
        <v>195</v>
      </c>
    </row>
    <row r="35" spans="1:29" ht="20" customHeight="1" x14ac:dyDescent="0.2">
      <c r="A35" s="33"/>
      <c r="C35" s="19" t="s">
        <v>138</v>
      </c>
      <c r="D35" s="19" t="s">
        <v>139</v>
      </c>
      <c r="E35" s="20">
        <v>2017</v>
      </c>
      <c r="G35" s="87">
        <v>150</v>
      </c>
      <c r="H35" s="88"/>
      <c r="I35" s="38"/>
      <c r="J35" s="24"/>
      <c r="K35" s="24"/>
      <c r="L35" s="24"/>
      <c r="M35" s="24"/>
      <c r="N35" s="24"/>
      <c r="O35" s="24"/>
      <c r="P35" s="24"/>
      <c r="Q35" s="24"/>
      <c r="R35" s="24"/>
      <c r="S35" s="28"/>
      <c r="T35" s="24"/>
      <c r="U35" s="24"/>
      <c r="V35" s="24"/>
      <c r="W35" s="24"/>
      <c r="X35" s="24"/>
      <c r="Y35" s="24"/>
      <c r="Z35" s="24"/>
      <c r="AA35" s="24"/>
      <c r="AB35" s="81"/>
      <c r="AC35" s="27" t="s">
        <v>78</v>
      </c>
    </row>
    <row r="36" spans="1:29" ht="20" customHeight="1" x14ac:dyDescent="0.2">
      <c r="A36" s="36"/>
      <c r="C36" s="19" t="s">
        <v>196</v>
      </c>
      <c r="D36" s="19" t="s">
        <v>197</v>
      </c>
      <c r="E36" s="20">
        <v>2006</v>
      </c>
      <c r="G36" s="87">
        <v>9</v>
      </c>
      <c r="H36" s="88"/>
      <c r="I36" s="38">
        <v>2</v>
      </c>
      <c r="J36" s="24"/>
      <c r="K36" s="24">
        <v>1</v>
      </c>
      <c r="L36" s="24"/>
      <c r="M36" s="24"/>
      <c r="N36" s="24"/>
      <c r="O36" s="24">
        <v>1</v>
      </c>
      <c r="P36" s="24"/>
      <c r="Q36" s="24"/>
      <c r="R36" s="24"/>
      <c r="S36" s="24">
        <v>4</v>
      </c>
      <c r="T36" s="24"/>
      <c r="U36" s="24"/>
      <c r="V36" s="24">
        <v>1</v>
      </c>
      <c r="W36" s="24"/>
      <c r="X36" s="24"/>
      <c r="Y36" s="24">
        <v>1</v>
      </c>
      <c r="Z36" s="24"/>
      <c r="AA36" s="24"/>
      <c r="AB36" s="81">
        <v>13</v>
      </c>
      <c r="AC36" s="19" t="s">
        <v>242</v>
      </c>
    </row>
    <row r="37" spans="1:29" ht="20" customHeight="1" x14ac:dyDescent="0.2">
      <c r="A37" s="36"/>
      <c r="C37" s="19" t="s">
        <v>140</v>
      </c>
      <c r="D37" s="19" t="s">
        <v>141</v>
      </c>
      <c r="E37" s="20">
        <v>2009</v>
      </c>
      <c r="F37" s="20">
        <v>31</v>
      </c>
      <c r="G37" s="87">
        <v>225</v>
      </c>
      <c r="H37" s="88"/>
      <c r="I37" s="38">
        <v>65</v>
      </c>
      <c r="J37" s="24"/>
      <c r="K37" s="24"/>
      <c r="L37" s="24">
        <v>59</v>
      </c>
      <c r="M37" s="24"/>
      <c r="N37" s="24">
        <v>66</v>
      </c>
      <c r="O37" s="24">
        <v>65</v>
      </c>
      <c r="P37" s="24"/>
      <c r="Q37" s="24">
        <v>103</v>
      </c>
      <c r="R37" s="24">
        <v>154</v>
      </c>
      <c r="S37" s="24"/>
      <c r="T37" s="24">
        <v>66</v>
      </c>
      <c r="U37" s="24">
        <v>20</v>
      </c>
      <c r="V37" s="24">
        <v>85</v>
      </c>
      <c r="W37" s="24"/>
      <c r="X37" s="24"/>
      <c r="Y37" s="24"/>
      <c r="Z37" s="24"/>
      <c r="AA37" s="24">
        <v>117</v>
      </c>
      <c r="AB37" s="81">
        <v>152</v>
      </c>
      <c r="AC37" s="19" t="s">
        <v>244</v>
      </c>
    </row>
    <row r="38" spans="1:29" ht="20" customHeight="1" x14ac:dyDescent="0.2">
      <c r="A38" s="36"/>
      <c r="C38" s="19" t="s">
        <v>143</v>
      </c>
      <c r="D38" s="19" t="s">
        <v>141</v>
      </c>
      <c r="E38" s="20">
        <v>2009</v>
      </c>
      <c r="F38" s="20">
        <v>6</v>
      </c>
      <c r="G38" s="87">
        <v>78</v>
      </c>
      <c r="H38" s="88"/>
      <c r="I38" s="38">
        <v>20</v>
      </c>
      <c r="J38" s="24"/>
      <c r="K38" s="24"/>
      <c r="L38" s="24">
        <v>10</v>
      </c>
      <c r="M38" s="24"/>
      <c r="N38" s="24">
        <v>17</v>
      </c>
      <c r="O38" s="24">
        <v>34</v>
      </c>
      <c r="P38" s="24"/>
      <c r="Q38" s="24">
        <v>32</v>
      </c>
      <c r="R38" s="24">
        <v>33</v>
      </c>
      <c r="S38" s="24"/>
      <c r="T38" s="24">
        <v>25</v>
      </c>
      <c r="U38" s="24">
        <v>7</v>
      </c>
      <c r="V38" s="24">
        <v>24</v>
      </c>
      <c r="W38" s="24"/>
      <c r="X38" s="24"/>
      <c r="Y38" s="24"/>
      <c r="Z38" s="24"/>
      <c r="AA38" s="24">
        <v>33</v>
      </c>
      <c r="AB38" s="81">
        <v>50</v>
      </c>
      <c r="AC38" s="19" t="s">
        <v>240</v>
      </c>
    </row>
    <row r="39" spans="1:29" ht="20" customHeight="1" x14ac:dyDescent="0.2">
      <c r="A39" s="36"/>
      <c r="C39" s="19" t="s">
        <v>145</v>
      </c>
      <c r="D39" s="19" t="s">
        <v>146</v>
      </c>
      <c r="E39" s="20">
        <v>1997</v>
      </c>
      <c r="F39" s="20">
        <v>94</v>
      </c>
      <c r="G39" s="87">
        <v>562</v>
      </c>
      <c r="H39" s="88"/>
      <c r="I39" s="39"/>
      <c r="J39" s="24"/>
      <c r="K39" s="24"/>
      <c r="L39" s="28"/>
      <c r="M39" s="24"/>
      <c r="N39" s="24"/>
      <c r="O39" s="24"/>
      <c r="P39" s="24"/>
      <c r="Q39" s="24"/>
      <c r="R39" s="28"/>
      <c r="S39" s="24"/>
      <c r="T39" s="24"/>
      <c r="U39" s="24"/>
      <c r="V39" s="24"/>
      <c r="W39" s="24"/>
      <c r="X39" s="24"/>
      <c r="Y39" s="24"/>
      <c r="Z39" s="24"/>
      <c r="AA39" s="24"/>
      <c r="AB39" s="81"/>
    </row>
    <row r="40" spans="1:29" ht="20" customHeight="1" x14ac:dyDescent="0.2">
      <c r="A40" s="36"/>
      <c r="C40" s="19" t="s">
        <v>147</v>
      </c>
      <c r="D40" s="19" t="s">
        <v>148</v>
      </c>
      <c r="E40" s="20">
        <v>2009</v>
      </c>
      <c r="F40" s="20">
        <v>38</v>
      </c>
      <c r="G40" s="87">
        <v>100</v>
      </c>
      <c r="H40" s="88"/>
      <c r="I40" s="38">
        <v>2</v>
      </c>
      <c r="J40" s="24"/>
      <c r="K40" s="24">
        <v>9</v>
      </c>
      <c r="L40" s="24">
        <v>3</v>
      </c>
      <c r="M40" s="24"/>
      <c r="N40" s="24"/>
      <c r="O40" s="24"/>
      <c r="P40" s="24"/>
      <c r="Q40" s="24"/>
      <c r="R40" s="24"/>
      <c r="S40" s="24">
        <v>7</v>
      </c>
      <c r="T40" s="24">
        <v>7</v>
      </c>
      <c r="U40" s="24">
        <v>13</v>
      </c>
      <c r="V40" s="24">
        <v>4</v>
      </c>
      <c r="W40" s="24"/>
      <c r="X40" s="24"/>
      <c r="Y40" s="24"/>
      <c r="Z40" s="24"/>
      <c r="AA40" s="24">
        <v>11</v>
      </c>
      <c r="AB40" s="81">
        <v>19</v>
      </c>
      <c r="AC40" s="19" t="s">
        <v>199</v>
      </c>
    </row>
    <row r="41" spans="1:29" ht="20" customHeight="1" x14ac:dyDescent="0.2">
      <c r="A41" s="36"/>
      <c r="C41" s="19" t="s">
        <v>149</v>
      </c>
      <c r="D41" s="19" t="s">
        <v>150</v>
      </c>
      <c r="E41" s="20">
        <v>2006</v>
      </c>
      <c r="F41" s="20">
        <v>56</v>
      </c>
      <c r="G41" s="87">
        <v>500</v>
      </c>
      <c r="H41" s="88"/>
      <c r="I41" s="38">
        <v>6</v>
      </c>
      <c r="J41" s="24"/>
      <c r="K41" s="24"/>
      <c r="L41" s="24">
        <v>2</v>
      </c>
      <c r="M41" s="24"/>
      <c r="N41" s="24"/>
      <c r="O41" s="24">
        <v>1</v>
      </c>
      <c r="P41" s="24"/>
      <c r="Q41" s="24">
        <v>1</v>
      </c>
      <c r="R41" s="24"/>
      <c r="S41" s="24">
        <v>2</v>
      </c>
      <c r="T41" s="24">
        <v>1</v>
      </c>
      <c r="U41" s="24"/>
      <c r="V41" s="24"/>
      <c r="W41" s="24"/>
      <c r="X41" s="24">
        <v>10</v>
      </c>
      <c r="Y41" s="24">
        <v>2</v>
      </c>
      <c r="Z41" s="24"/>
      <c r="AA41" s="24"/>
      <c r="AB41" s="81">
        <v>9</v>
      </c>
      <c r="AC41" s="19" t="s">
        <v>241</v>
      </c>
    </row>
    <row r="42" spans="1:29" ht="20" customHeight="1" x14ac:dyDescent="0.2">
      <c r="A42" s="33"/>
      <c r="C42" s="19" t="s">
        <v>151</v>
      </c>
      <c r="D42" s="19" t="s">
        <v>152</v>
      </c>
      <c r="E42" s="20">
        <v>2016</v>
      </c>
      <c r="F42" s="20">
        <v>2</v>
      </c>
      <c r="G42" s="87">
        <v>177</v>
      </c>
      <c r="H42" s="88"/>
      <c r="I42" s="38">
        <v>3</v>
      </c>
      <c r="J42" s="24"/>
      <c r="K42" s="24"/>
      <c r="L42" s="24"/>
      <c r="M42" s="24"/>
      <c r="N42" s="24"/>
      <c r="O42" s="24"/>
      <c r="P42" s="24"/>
      <c r="Q42" s="24"/>
      <c r="R42" s="24"/>
      <c r="S42" s="24"/>
      <c r="T42" s="24"/>
      <c r="U42" s="24"/>
      <c r="V42" s="24"/>
      <c r="W42" s="24"/>
      <c r="X42" s="24"/>
      <c r="Y42" s="24"/>
      <c r="Z42" s="24"/>
      <c r="AA42" s="24"/>
      <c r="AB42" s="81"/>
    </row>
    <row r="43" spans="1:29" ht="20" customHeight="1" x14ac:dyDescent="0.2">
      <c r="A43" s="36"/>
      <c r="C43" s="19" t="s">
        <v>153</v>
      </c>
      <c r="D43" s="19" t="s">
        <v>154</v>
      </c>
      <c r="E43" s="20">
        <v>2009</v>
      </c>
      <c r="G43" s="87">
        <v>293</v>
      </c>
      <c r="H43" s="88" t="s">
        <v>204</v>
      </c>
      <c r="I43" s="38">
        <v>6</v>
      </c>
      <c r="J43" s="24"/>
      <c r="K43" s="24">
        <v>1</v>
      </c>
      <c r="L43" s="24"/>
      <c r="M43" s="24"/>
      <c r="N43" s="24"/>
      <c r="O43" s="24">
        <v>5</v>
      </c>
      <c r="P43" s="24">
        <v>2</v>
      </c>
      <c r="Q43" s="24">
        <v>2</v>
      </c>
      <c r="R43" s="24"/>
      <c r="S43" s="24"/>
      <c r="T43" s="24"/>
      <c r="U43" s="24">
        <v>1</v>
      </c>
      <c r="V43" s="24">
        <v>2</v>
      </c>
      <c r="W43" s="24">
        <v>1</v>
      </c>
      <c r="X43" s="24">
        <v>1</v>
      </c>
      <c r="Y43" s="24">
        <v>2</v>
      </c>
      <c r="Z43" s="24">
        <v>1</v>
      </c>
      <c r="AA43" s="24"/>
      <c r="AB43" s="81"/>
    </row>
    <row r="44" spans="1:29" ht="20" customHeight="1" x14ac:dyDescent="0.2">
      <c r="A44" s="36"/>
      <c r="C44" s="19" t="s">
        <v>155</v>
      </c>
      <c r="D44" s="19" t="s">
        <v>156</v>
      </c>
      <c r="E44" s="20">
        <v>2007</v>
      </c>
      <c r="F44" s="20">
        <v>34</v>
      </c>
      <c r="G44" s="87">
        <v>109</v>
      </c>
      <c r="H44" s="88" t="s">
        <v>120</v>
      </c>
      <c r="I44" s="38">
        <v>3</v>
      </c>
      <c r="J44" s="24">
        <v>4</v>
      </c>
      <c r="K44" s="24"/>
      <c r="L44" s="24">
        <v>4</v>
      </c>
      <c r="M44" s="24">
        <v>1</v>
      </c>
      <c r="N44" s="24"/>
      <c r="O44" s="24"/>
      <c r="P44" s="24"/>
      <c r="Q44" s="24"/>
      <c r="R44" s="24"/>
      <c r="S44" s="24"/>
      <c r="T44" s="24"/>
      <c r="U44" s="24"/>
      <c r="V44" s="24"/>
      <c r="W44" s="24"/>
      <c r="X44" s="24"/>
      <c r="Y44" s="24"/>
      <c r="Z44" s="24"/>
      <c r="AA44" s="24"/>
      <c r="AB44" s="81">
        <v>8</v>
      </c>
      <c r="AC44" s="19" t="s">
        <v>207</v>
      </c>
    </row>
    <row r="45" spans="1:29" ht="20" customHeight="1" x14ac:dyDescent="0.2">
      <c r="A45" s="36"/>
      <c r="C45" s="19" t="s">
        <v>157</v>
      </c>
      <c r="D45" s="19" t="s">
        <v>158</v>
      </c>
      <c r="E45" s="20">
        <v>2010</v>
      </c>
      <c r="F45" s="20">
        <v>50</v>
      </c>
      <c r="G45" s="87">
        <v>56</v>
      </c>
      <c r="H45" s="88"/>
      <c r="I45" s="38">
        <v>2</v>
      </c>
      <c r="J45" s="24"/>
      <c r="K45" s="24"/>
      <c r="L45" s="24"/>
      <c r="M45" s="24"/>
      <c r="N45" s="24"/>
      <c r="O45" s="24"/>
      <c r="P45" s="24"/>
      <c r="Q45" s="24"/>
      <c r="R45" s="24"/>
      <c r="S45" s="24"/>
      <c r="T45" s="24"/>
      <c r="U45" s="24"/>
      <c r="V45" s="24"/>
      <c r="W45" s="24"/>
      <c r="X45" s="24"/>
      <c r="Y45" s="24"/>
      <c r="Z45" s="24"/>
      <c r="AA45" s="24"/>
      <c r="AB45" s="81"/>
    </row>
    <row r="46" spans="1:29" ht="20" customHeight="1" x14ac:dyDescent="0.2">
      <c r="A46" s="33"/>
      <c r="C46" s="19" t="s">
        <v>159</v>
      </c>
      <c r="D46" s="19" t="s">
        <v>160</v>
      </c>
      <c r="E46" s="20">
        <v>2011</v>
      </c>
      <c r="F46" s="20">
        <v>33</v>
      </c>
      <c r="G46" s="87">
        <v>130</v>
      </c>
      <c r="H46" s="88" t="s">
        <v>208</v>
      </c>
      <c r="I46" s="39"/>
      <c r="J46" s="24"/>
      <c r="K46" s="24"/>
      <c r="L46" s="24"/>
      <c r="M46" s="24"/>
      <c r="N46" s="24"/>
      <c r="O46" s="24"/>
      <c r="P46" s="24"/>
      <c r="Q46" s="24"/>
      <c r="R46" s="24"/>
      <c r="S46" s="24"/>
      <c r="T46" s="24"/>
      <c r="U46" s="24"/>
      <c r="V46" s="24"/>
      <c r="W46" s="24"/>
      <c r="X46" s="24"/>
      <c r="Y46" s="24"/>
      <c r="Z46" s="24"/>
      <c r="AA46" s="24"/>
      <c r="AB46" s="81"/>
      <c r="AC46" s="27" t="s">
        <v>209</v>
      </c>
    </row>
    <row r="47" spans="1:29" ht="20" customHeight="1" x14ac:dyDescent="0.2">
      <c r="A47" s="36"/>
      <c r="C47" s="19" t="s">
        <v>161</v>
      </c>
      <c r="D47" s="19" t="s">
        <v>162</v>
      </c>
      <c r="E47" s="20">
        <v>2014</v>
      </c>
      <c r="F47" s="20">
        <v>9</v>
      </c>
      <c r="G47" s="87">
        <v>1109</v>
      </c>
      <c r="H47" s="88" t="s">
        <v>163</v>
      </c>
      <c r="I47" s="38">
        <v>21</v>
      </c>
      <c r="J47" s="24">
        <v>38</v>
      </c>
      <c r="K47" s="24"/>
      <c r="L47" s="24"/>
      <c r="M47" s="24"/>
      <c r="N47" s="24"/>
      <c r="O47" s="24"/>
      <c r="P47" s="24"/>
      <c r="Q47" s="24"/>
      <c r="R47" s="24"/>
      <c r="S47" s="24"/>
      <c r="T47" s="24"/>
      <c r="U47" s="24"/>
      <c r="V47" s="24"/>
      <c r="W47" s="24"/>
      <c r="X47" s="24"/>
      <c r="Y47" s="24"/>
      <c r="Z47" s="24"/>
      <c r="AA47" s="24"/>
      <c r="AB47" s="81"/>
      <c r="AC47" s="19" t="s">
        <v>164</v>
      </c>
    </row>
    <row r="48" spans="1:29" ht="20" customHeight="1" x14ac:dyDescent="0.2">
      <c r="A48" s="33"/>
      <c r="C48" s="19" t="s">
        <v>165</v>
      </c>
      <c r="D48" s="19" t="s">
        <v>166</v>
      </c>
      <c r="E48" s="20">
        <v>2014</v>
      </c>
      <c r="F48" s="20">
        <v>4</v>
      </c>
      <c r="G48" s="87">
        <v>1109</v>
      </c>
      <c r="H48" s="88"/>
      <c r="I48" s="38">
        <v>99</v>
      </c>
      <c r="J48" s="24"/>
      <c r="K48" s="24"/>
      <c r="L48" s="24"/>
      <c r="M48" s="24"/>
      <c r="N48" s="24"/>
      <c r="O48" s="24"/>
      <c r="P48" s="24"/>
      <c r="Q48" s="24"/>
      <c r="R48" s="24"/>
      <c r="S48" s="24"/>
      <c r="T48" s="24"/>
      <c r="U48" s="24"/>
      <c r="V48" s="24"/>
      <c r="W48" s="24"/>
      <c r="X48" s="24"/>
      <c r="Y48" s="24"/>
      <c r="Z48" s="24"/>
      <c r="AA48" s="24"/>
      <c r="AB48" s="81"/>
      <c r="AC48" s="19" t="s">
        <v>167</v>
      </c>
    </row>
    <row r="49" spans="1:29" ht="20" customHeight="1" x14ac:dyDescent="0.2">
      <c r="A49" s="33"/>
      <c r="C49" s="19" t="s">
        <v>168</v>
      </c>
      <c r="D49" s="19" t="s">
        <v>169</v>
      </c>
      <c r="E49" s="20">
        <v>2005</v>
      </c>
      <c r="F49" s="20">
        <v>36</v>
      </c>
      <c r="G49" s="87">
        <v>11</v>
      </c>
      <c r="H49" s="88"/>
      <c r="I49" s="38">
        <v>11</v>
      </c>
      <c r="J49" s="24">
        <v>4</v>
      </c>
      <c r="K49" s="24"/>
      <c r="L49" s="24"/>
      <c r="M49" s="24"/>
      <c r="N49" s="24"/>
      <c r="O49" s="24"/>
      <c r="P49" s="24"/>
      <c r="Q49" s="24"/>
      <c r="R49" s="24"/>
      <c r="S49" s="24"/>
      <c r="T49" s="24"/>
      <c r="U49" s="24"/>
      <c r="V49" s="24"/>
      <c r="W49" s="24"/>
      <c r="X49" s="24"/>
      <c r="Y49" s="24"/>
      <c r="Z49" s="24"/>
      <c r="AA49" s="24"/>
      <c r="AB49" s="81"/>
      <c r="AC49" s="27" t="s">
        <v>78</v>
      </c>
    </row>
    <row r="50" spans="1:29" ht="20" customHeight="1" thickBot="1" x14ac:dyDescent="0.25">
      <c r="A50" s="33"/>
      <c r="C50" s="19" t="s">
        <v>170</v>
      </c>
      <c r="D50" s="19" t="s">
        <v>171</v>
      </c>
      <c r="E50" s="20">
        <v>2014</v>
      </c>
      <c r="G50" s="91">
        <v>3</v>
      </c>
      <c r="H50" s="92"/>
      <c r="I50" s="40"/>
      <c r="J50" s="83"/>
      <c r="K50" s="83"/>
      <c r="L50" s="83"/>
      <c r="M50" s="83"/>
      <c r="N50" s="83"/>
      <c r="O50" s="83"/>
      <c r="P50" s="83"/>
      <c r="Q50" s="83"/>
      <c r="R50" s="83"/>
      <c r="S50" s="83"/>
      <c r="T50" s="83"/>
      <c r="U50" s="83"/>
      <c r="V50" s="83"/>
      <c r="W50" s="83"/>
      <c r="X50" s="83"/>
      <c r="Y50" s="83"/>
      <c r="Z50" s="83"/>
      <c r="AA50" s="83"/>
      <c r="AB50" s="41"/>
      <c r="AC50" s="27" t="s">
        <v>78</v>
      </c>
    </row>
    <row r="51" spans="1:29" x14ac:dyDescent="0.2">
      <c r="G51" s="19"/>
      <c r="H51" s="19"/>
      <c r="I51" s="19"/>
      <c r="J51" s="19"/>
      <c r="K51" s="19"/>
      <c r="L51" s="19"/>
      <c r="M51" s="19"/>
      <c r="N51" s="19"/>
      <c r="O51" s="19"/>
      <c r="P51" s="19"/>
      <c r="Q51" s="19"/>
      <c r="R51" s="19"/>
      <c r="S51" s="19"/>
      <c r="T51" s="19"/>
      <c r="U51" s="19"/>
      <c r="V51" s="19"/>
      <c r="W51" s="19"/>
      <c r="X51" s="19"/>
      <c r="Y51" s="19"/>
      <c r="Z51" s="19"/>
      <c r="AA51" s="19"/>
      <c r="AB51" s="19"/>
    </row>
    <row r="52" spans="1:29" ht="17" thickBot="1" x14ac:dyDescent="0.25"/>
    <row r="53" spans="1:29" ht="19" x14ac:dyDescent="0.25">
      <c r="E53" s="19"/>
      <c r="F53" s="19"/>
      <c r="G53" s="215" t="s">
        <v>172</v>
      </c>
      <c r="H53" s="216"/>
      <c r="I53" s="100">
        <f>IF(SUM(I10:I50) &lt;&gt; 0, SUM(I10:I50), "")</f>
        <v>384</v>
      </c>
      <c r="J53" s="98">
        <f t="shared" ref="J53:AB53" si="0">IF(SUM(J10:J50) &lt;&gt; 0, SUM(J10:J50), "")</f>
        <v>81</v>
      </c>
      <c r="K53" s="98">
        <f t="shared" si="0"/>
        <v>24</v>
      </c>
      <c r="L53" s="98">
        <f t="shared" si="0"/>
        <v>87</v>
      </c>
      <c r="M53" s="98">
        <f t="shared" si="0"/>
        <v>17</v>
      </c>
      <c r="N53" s="98">
        <f t="shared" si="0"/>
        <v>85</v>
      </c>
      <c r="O53" s="98">
        <f t="shared" si="0"/>
        <v>140</v>
      </c>
      <c r="P53" s="98">
        <f t="shared" si="0"/>
        <v>27</v>
      </c>
      <c r="Q53" s="98">
        <f t="shared" si="0"/>
        <v>158</v>
      </c>
      <c r="R53" s="98">
        <f t="shared" si="0"/>
        <v>192</v>
      </c>
      <c r="S53" s="98">
        <f t="shared" si="0"/>
        <v>13</v>
      </c>
      <c r="T53" s="98">
        <f t="shared" si="0"/>
        <v>99</v>
      </c>
      <c r="U53" s="98">
        <f t="shared" si="0"/>
        <v>42</v>
      </c>
      <c r="V53" s="98">
        <f t="shared" si="0"/>
        <v>118</v>
      </c>
      <c r="W53" s="98">
        <f t="shared" si="0"/>
        <v>1</v>
      </c>
      <c r="X53" s="98">
        <f t="shared" si="0"/>
        <v>11</v>
      </c>
      <c r="Y53" s="98">
        <f t="shared" si="0"/>
        <v>5</v>
      </c>
      <c r="Z53" s="98">
        <f t="shared" si="0"/>
        <v>1</v>
      </c>
      <c r="AA53" s="98">
        <f t="shared" si="0"/>
        <v>165</v>
      </c>
      <c r="AB53" s="99">
        <f t="shared" si="0"/>
        <v>262</v>
      </c>
    </row>
    <row r="54" spans="1:29" x14ac:dyDescent="0.2">
      <c r="G54" s="217"/>
      <c r="H54" s="218"/>
      <c r="I54" s="223" t="s">
        <v>49</v>
      </c>
      <c r="J54" s="194" t="s">
        <v>50</v>
      </c>
      <c r="K54" s="194" t="s">
        <v>51</v>
      </c>
      <c r="L54" s="196" t="s">
        <v>52</v>
      </c>
      <c r="M54" s="194" t="s">
        <v>53</v>
      </c>
      <c r="N54" s="194" t="s">
        <v>54</v>
      </c>
      <c r="O54" s="196" t="s">
        <v>55</v>
      </c>
      <c r="P54" s="198" t="s">
        <v>56</v>
      </c>
      <c r="Q54" s="198" t="s">
        <v>57</v>
      </c>
      <c r="R54" s="196" t="s">
        <v>58</v>
      </c>
      <c r="S54" s="198" t="s">
        <v>59</v>
      </c>
      <c r="T54" s="196" t="s">
        <v>60</v>
      </c>
      <c r="U54" s="198" t="s">
        <v>61</v>
      </c>
      <c r="V54" s="198" t="s">
        <v>62</v>
      </c>
      <c r="W54" s="198" t="s">
        <v>63</v>
      </c>
      <c r="X54" s="198" t="s">
        <v>64</v>
      </c>
      <c r="Y54" s="198" t="s">
        <v>65</v>
      </c>
      <c r="Z54" s="198" t="s">
        <v>66</v>
      </c>
      <c r="AA54" s="196" t="s">
        <v>67</v>
      </c>
      <c r="AB54" s="177" t="s">
        <v>184</v>
      </c>
    </row>
    <row r="55" spans="1:29" x14ac:dyDescent="0.2">
      <c r="G55" s="219"/>
      <c r="H55" s="220"/>
      <c r="I55" s="223"/>
      <c r="J55" s="194"/>
      <c r="K55" s="194"/>
      <c r="L55" s="194"/>
      <c r="M55" s="194"/>
      <c r="N55" s="194"/>
      <c r="O55" s="196"/>
      <c r="P55" s="181"/>
      <c r="Q55" s="181"/>
      <c r="R55" s="196"/>
      <c r="S55" s="181"/>
      <c r="T55" s="194"/>
      <c r="U55" s="181"/>
      <c r="V55" s="181"/>
      <c r="W55" s="181"/>
      <c r="X55" s="181"/>
      <c r="Y55" s="181"/>
      <c r="Z55" s="181"/>
      <c r="AA55" s="194"/>
      <c r="AB55" s="178"/>
    </row>
    <row r="56" spans="1:29" x14ac:dyDescent="0.2">
      <c r="G56" s="219"/>
      <c r="H56" s="220"/>
      <c r="I56" s="223"/>
      <c r="J56" s="194"/>
      <c r="K56" s="194"/>
      <c r="L56" s="194"/>
      <c r="M56" s="194"/>
      <c r="N56" s="194"/>
      <c r="O56" s="196"/>
      <c r="P56" s="181"/>
      <c r="Q56" s="181"/>
      <c r="R56" s="196"/>
      <c r="S56" s="181"/>
      <c r="T56" s="194"/>
      <c r="U56" s="181"/>
      <c r="V56" s="181"/>
      <c r="W56" s="181"/>
      <c r="X56" s="181"/>
      <c r="Y56" s="181"/>
      <c r="Z56" s="181"/>
      <c r="AA56" s="194"/>
      <c r="AB56" s="178"/>
    </row>
    <row r="57" spans="1:29" x14ac:dyDescent="0.2">
      <c r="G57" s="219"/>
      <c r="H57" s="220"/>
      <c r="I57" s="223"/>
      <c r="J57" s="194"/>
      <c r="K57" s="194"/>
      <c r="L57" s="194"/>
      <c r="M57" s="194"/>
      <c r="N57" s="194"/>
      <c r="O57" s="196"/>
      <c r="P57" s="181"/>
      <c r="Q57" s="181"/>
      <c r="R57" s="196"/>
      <c r="S57" s="181"/>
      <c r="T57" s="194"/>
      <c r="U57" s="181"/>
      <c r="V57" s="181"/>
      <c r="W57" s="181"/>
      <c r="X57" s="181"/>
      <c r="Y57" s="181"/>
      <c r="Z57" s="181"/>
      <c r="AA57" s="194"/>
      <c r="AB57" s="178"/>
    </row>
    <row r="58" spans="1:29" x14ac:dyDescent="0.2">
      <c r="G58" s="219"/>
      <c r="H58" s="220"/>
      <c r="I58" s="223"/>
      <c r="J58" s="194"/>
      <c r="K58" s="194"/>
      <c r="L58" s="194"/>
      <c r="M58" s="194"/>
      <c r="N58" s="194"/>
      <c r="O58" s="196"/>
      <c r="P58" s="211"/>
      <c r="Q58" s="211"/>
      <c r="R58" s="196"/>
      <c r="S58" s="211"/>
      <c r="T58" s="194"/>
      <c r="U58" s="211"/>
      <c r="V58" s="211"/>
      <c r="W58" s="211"/>
      <c r="X58" s="211"/>
      <c r="Y58" s="211"/>
      <c r="Z58" s="211"/>
      <c r="AA58" s="194"/>
      <c r="AB58" s="178"/>
    </row>
    <row r="59" spans="1:29" ht="20" thickBot="1" x14ac:dyDescent="0.3">
      <c r="G59" s="221"/>
      <c r="H59" s="222"/>
      <c r="I59" s="212" t="s">
        <v>44</v>
      </c>
      <c r="J59" s="213"/>
      <c r="K59" s="213"/>
      <c r="L59" s="213"/>
      <c r="M59" s="213"/>
      <c r="N59" s="213"/>
      <c r="O59" s="213"/>
      <c r="P59" s="213"/>
      <c r="Q59" s="213"/>
      <c r="R59" s="213"/>
      <c r="S59" s="213"/>
      <c r="T59" s="213"/>
      <c r="U59" s="213"/>
      <c r="V59" s="213"/>
      <c r="W59" s="213"/>
      <c r="X59" s="213"/>
      <c r="Y59" s="213"/>
      <c r="Z59" s="213"/>
      <c r="AA59" s="213"/>
      <c r="AB59" s="214"/>
    </row>
  </sheetData>
  <mergeCells count="51">
    <mergeCell ref="C4:C7"/>
    <mergeCell ref="C2:C3"/>
    <mergeCell ref="A5:A9"/>
    <mergeCell ref="AB5:AB9"/>
    <mergeCell ref="AB54:AB58"/>
    <mergeCell ref="R5:R9"/>
    <mergeCell ref="I3:AB3"/>
    <mergeCell ref="I4:AB4"/>
    <mergeCell ref="F5:F9"/>
    <mergeCell ref="G5:G9"/>
    <mergeCell ref="H5:H9"/>
    <mergeCell ref="I5:I9"/>
    <mergeCell ref="J5:J9"/>
    <mergeCell ref="K5:K9"/>
    <mergeCell ref="L5:L9"/>
    <mergeCell ref="M5:M9"/>
    <mergeCell ref="Y5:Y9"/>
    <mergeCell ref="Z5:Z9"/>
    <mergeCell ref="AA5:AA9"/>
    <mergeCell ref="V5:V9"/>
    <mergeCell ref="W5:W9"/>
    <mergeCell ref="X5:X9"/>
    <mergeCell ref="M54:M58"/>
    <mergeCell ref="S5:S9"/>
    <mergeCell ref="T5:T9"/>
    <mergeCell ref="U5:U9"/>
    <mergeCell ref="G53:H53"/>
    <mergeCell ref="G54:H59"/>
    <mergeCell ref="I54:I58"/>
    <mergeCell ref="J54:J58"/>
    <mergeCell ref="K54:K58"/>
    <mergeCell ref="P5:P9"/>
    <mergeCell ref="Q5:Q9"/>
    <mergeCell ref="O5:O9"/>
    <mergeCell ref="N5:N9"/>
    <mergeCell ref="Z54:Z58"/>
    <mergeCell ref="AA54:AA58"/>
    <mergeCell ref="I59:AB59"/>
    <mergeCell ref="T54:T58"/>
    <mergeCell ref="U54:U58"/>
    <mergeCell ref="V54:V58"/>
    <mergeCell ref="W54:W58"/>
    <mergeCell ref="X54:X58"/>
    <mergeCell ref="Y54:Y58"/>
    <mergeCell ref="N54:N58"/>
    <mergeCell ref="O54:O58"/>
    <mergeCell ref="P54:P58"/>
    <mergeCell ref="Q54:Q58"/>
    <mergeCell ref="R54:R58"/>
    <mergeCell ref="S54:S58"/>
    <mergeCell ref="L54:L5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8"/>
  <sheetViews>
    <sheetView showRuler="0" workbookViewId="0">
      <selection activeCell="A2" sqref="A2"/>
    </sheetView>
  </sheetViews>
  <sheetFormatPr baseColWidth="10" defaultRowHeight="24" customHeight="1" x14ac:dyDescent="0.2"/>
  <cols>
    <col min="1" max="1" width="16.33203125" style="18" customWidth="1"/>
    <col min="2" max="2" width="14.6640625" customWidth="1"/>
    <col min="3" max="3" width="37.6640625" customWidth="1"/>
    <col min="4" max="4" width="66" customWidth="1"/>
    <col min="5" max="6" width="9.1640625" style="18" customWidth="1"/>
    <col min="7" max="7" width="10" customWidth="1"/>
    <col min="8" max="8" width="10" style="9" customWidth="1"/>
    <col min="9" max="10" width="9.1640625" style="18" customWidth="1"/>
    <col min="11" max="12" width="8" style="18" customWidth="1"/>
    <col min="15" max="15" width="10.83203125" style="6"/>
  </cols>
  <sheetData>
    <row r="1" spans="1:15" ht="24" customHeight="1" x14ac:dyDescent="0.3">
      <c r="A1" s="1" t="s">
        <v>0</v>
      </c>
      <c r="B1" s="2"/>
      <c r="C1" s="2"/>
      <c r="D1" s="2"/>
      <c r="E1" s="3"/>
      <c r="F1" s="3"/>
      <c r="G1" s="2"/>
      <c r="H1" s="4"/>
      <c r="I1" s="3"/>
      <c r="J1" s="3"/>
      <c r="K1" s="3"/>
      <c r="L1" s="5"/>
    </row>
    <row r="2" spans="1:15" ht="24" customHeight="1" x14ac:dyDescent="0.2">
      <c r="A2" s="7"/>
      <c r="B2" s="8"/>
      <c r="C2" s="8"/>
      <c r="D2" s="8"/>
      <c r="E2" s="7"/>
      <c r="F2" s="7"/>
      <c r="G2" s="8"/>
      <c r="I2" s="224" t="s">
        <v>1</v>
      </c>
      <c r="J2" s="224"/>
      <c r="K2" s="224" t="s">
        <v>2</v>
      </c>
      <c r="L2" s="224"/>
    </row>
    <row r="3" spans="1:15" ht="24" customHeight="1" x14ac:dyDescent="0.2">
      <c r="A3" s="10" t="s">
        <v>3</v>
      </c>
      <c r="B3" s="11" t="s">
        <v>4</v>
      </c>
      <c r="C3" s="11" t="s">
        <v>5</v>
      </c>
      <c r="D3" s="11" t="s">
        <v>6</v>
      </c>
      <c r="E3" s="10" t="s">
        <v>7</v>
      </c>
      <c r="F3" s="10" t="s">
        <v>8</v>
      </c>
      <c r="G3" s="11" t="s">
        <v>9</v>
      </c>
      <c r="H3" s="12" t="s">
        <v>10</v>
      </c>
      <c r="I3" s="10" t="s">
        <v>11</v>
      </c>
      <c r="J3" s="10" t="s">
        <v>12</v>
      </c>
      <c r="K3" s="10" t="s">
        <v>13</v>
      </c>
      <c r="L3" s="10" t="s">
        <v>14</v>
      </c>
    </row>
    <row r="4" spans="1:15" ht="24" customHeight="1" x14ac:dyDescent="0.2">
      <c r="A4" s="13">
        <v>42849</v>
      </c>
      <c r="B4" s="14" t="s">
        <v>15</v>
      </c>
      <c r="C4" s="14" t="s">
        <v>16</v>
      </c>
      <c r="D4" s="14" t="s">
        <v>17</v>
      </c>
      <c r="E4" s="15">
        <v>2010</v>
      </c>
      <c r="F4" s="15">
        <v>2017</v>
      </c>
      <c r="G4" s="14" t="s">
        <v>18</v>
      </c>
      <c r="H4" s="9">
        <v>13800</v>
      </c>
      <c r="I4" s="15">
        <v>1</v>
      </c>
      <c r="J4" s="16">
        <v>300</v>
      </c>
      <c r="K4" s="29"/>
      <c r="L4" s="30"/>
    </row>
    <row r="5" spans="1:15" ht="24" customHeight="1" x14ac:dyDescent="0.2">
      <c r="A5" s="13">
        <v>42850</v>
      </c>
      <c r="B5" s="14"/>
      <c r="C5" s="14"/>
      <c r="D5" s="14" t="s">
        <v>19</v>
      </c>
      <c r="E5" s="15">
        <v>2010</v>
      </c>
      <c r="F5" s="15">
        <v>2017</v>
      </c>
      <c r="G5" s="14" t="s">
        <v>18</v>
      </c>
      <c r="H5" s="9">
        <v>17600</v>
      </c>
      <c r="I5" s="15">
        <v>1</v>
      </c>
      <c r="J5" s="17">
        <v>100</v>
      </c>
      <c r="K5" s="29"/>
      <c r="L5" s="30"/>
      <c r="O5" s="6">
        <v>1</v>
      </c>
    </row>
    <row r="6" spans="1:15" ht="24" customHeight="1" x14ac:dyDescent="0.2">
      <c r="A6" s="13">
        <v>42852</v>
      </c>
      <c r="B6" s="14"/>
      <c r="C6" s="14"/>
      <c r="D6" s="14" t="s">
        <v>20</v>
      </c>
      <c r="E6" s="15">
        <v>2010</v>
      </c>
      <c r="F6" s="15">
        <v>2017</v>
      </c>
      <c r="G6" s="14" t="s">
        <v>18</v>
      </c>
      <c r="H6" s="9">
        <v>59</v>
      </c>
      <c r="I6" s="15">
        <v>1</v>
      </c>
      <c r="J6" s="17">
        <v>59</v>
      </c>
      <c r="K6" s="31"/>
      <c r="L6" s="30"/>
    </row>
    <row r="7" spans="1:15" ht="24" customHeight="1" x14ac:dyDescent="0.2">
      <c r="A7" s="13">
        <v>42867</v>
      </c>
      <c r="B7" s="14"/>
      <c r="C7" s="14"/>
      <c r="D7" s="14" t="s">
        <v>21</v>
      </c>
      <c r="E7" s="15">
        <v>2010</v>
      </c>
      <c r="F7" s="15">
        <v>2017</v>
      </c>
      <c r="G7" s="14" t="s">
        <v>18</v>
      </c>
      <c r="H7" s="9">
        <v>3560</v>
      </c>
      <c r="I7" s="15">
        <v>1</v>
      </c>
      <c r="J7" s="17">
        <v>300</v>
      </c>
      <c r="K7" s="29"/>
      <c r="L7" s="30"/>
    </row>
    <row r="8" spans="1:15" ht="24" customHeight="1" x14ac:dyDescent="0.2">
      <c r="A8" s="13">
        <v>42872</v>
      </c>
      <c r="B8" s="14"/>
      <c r="C8" s="14"/>
      <c r="D8" s="14" t="s">
        <v>22</v>
      </c>
      <c r="E8" s="15">
        <v>2007</v>
      </c>
      <c r="F8" s="15">
        <v>2017</v>
      </c>
      <c r="G8" s="14" t="s">
        <v>18</v>
      </c>
      <c r="H8" s="9">
        <v>6320</v>
      </c>
      <c r="I8" s="15">
        <v>1</v>
      </c>
      <c r="J8" s="17">
        <v>500</v>
      </c>
      <c r="K8" s="29"/>
      <c r="L8" s="30"/>
    </row>
    <row r="9" spans="1:15" ht="24" customHeight="1" x14ac:dyDescent="0.2">
      <c r="A9" s="13">
        <v>42850</v>
      </c>
      <c r="B9" s="14"/>
      <c r="C9" s="14"/>
      <c r="D9" s="14" t="s">
        <v>23</v>
      </c>
      <c r="E9" s="15">
        <v>2010</v>
      </c>
      <c r="F9" s="15">
        <v>2017</v>
      </c>
      <c r="G9" s="14" t="s">
        <v>18</v>
      </c>
      <c r="H9" s="9">
        <v>2420</v>
      </c>
      <c r="I9" s="15">
        <v>1</v>
      </c>
      <c r="J9" s="17">
        <v>100</v>
      </c>
      <c r="K9" s="29"/>
      <c r="L9" s="30"/>
    </row>
    <row r="10" spans="1:15" ht="24" customHeight="1" x14ac:dyDescent="0.2">
      <c r="A10" s="13">
        <v>42850</v>
      </c>
      <c r="B10" s="14"/>
      <c r="C10" s="14"/>
      <c r="D10" s="14" t="s">
        <v>24</v>
      </c>
      <c r="E10" s="15">
        <v>2010</v>
      </c>
      <c r="F10" s="15">
        <v>2017</v>
      </c>
      <c r="G10" s="14" t="s">
        <v>18</v>
      </c>
      <c r="H10" s="9">
        <v>3330</v>
      </c>
      <c r="I10" s="15">
        <v>1</v>
      </c>
      <c r="J10" s="17">
        <v>150</v>
      </c>
      <c r="K10" s="29"/>
      <c r="L10" s="30"/>
    </row>
    <row r="11" spans="1:15" ht="24" customHeight="1" x14ac:dyDescent="0.2">
      <c r="A11" s="13">
        <v>42850</v>
      </c>
      <c r="B11" s="14"/>
      <c r="C11" s="14"/>
      <c r="D11" s="14" t="s">
        <v>25</v>
      </c>
      <c r="E11" s="15">
        <v>2010</v>
      </c>
      <c r="F11" s="15">
        <v>2017</v>
      </c>
      <c r="G11" s="14" t="s">
        <v>18</v>
      </c>
      <c r="H11" s="9">
        <v>82</v>
      </c>
      <c r="I11" s="15">
        <v>1</v>
      </c>
      <c r="J11" s="17">
        <v>82</v>
      </c>
      <c r="K11" s="31"/>
      <c r="L11" s="30"/>
    </row>
    <row r="12" spans="1:15" ht="24" customHeight="1" x14ac:dyDescent="0.2">
      <c r="A12" s="13">
        <v>42850</v>
      </c>
      <c r="B12" s="14"/>
      <c r="C12" s="14"/>
      <c r="D12" s="14" t="s">
        <v>26</v>
      </c>
      <c r="E12" s="15">
        <v>2010</v>
      </c>
      <c r="F12" s="15">
        <v>2017</v>
      </c>
      <c r="G12" s="14" t="s">
        <v>18</v>
      </c>
      <c r="H12" s="9">
        <v>1010</v>
      </c>
      <c r="I12" s="15">
        <v>1</v>
      </c>
      <c r="J12" s="17">
        <v>70</v>
      </c>
      <c r="K12" s="29"/>
      <c r="L12" s="30"/>
    </row>
    <row r="13" spans="1:15" ht="24" customHeight="1" x14ac:dyDescent="0.2">
      <c r="A13" s="13">
        <v>42866</v>
      </c>
      <c r="B13" s="14"/>
      <c r="C13" s="14"/>
      <c r="D13" s="14" t="s">
        <v>27</v>
      </c>
      <c r="E13" s="15">
        <v>2010</v>
      </c>
      <c r="F13" s="15">
        <v>2017</v>
      </c>
      <c r="G13" s="14" t="s">
        <v>18</v>
      </c>
      <c r="H13" s="9">
        <v>17000</v>
      </c>
      <c r="I13" s="15">
        <v>1</v>
      </c>
      <c r="J13" s="17">
        <v>300</v>
      </c>
      <c r="K13" s="29"/>
      <c r="L13" s="30"/>
    </row>
    <row r="14" spans="1:15" ht="24" customHeight="1" x14ac:dyDescent="0.2">
      <c r="A14" s="13">
        <v>42866</v>
      </c>
      <c r="B14" s="14"/>
      <c r="C14" s="14"/>
      <c r="D14" s="14" t="s">
        <v>28</v>
      </c>
      <c r="E14" s="15">
        <v>2010</v>
      </c>
      <c r="F14" s="15">
        <v>2017</v>
      </c>
      <c r="G14" s="14" t="s">
        <v>18</v>
      </c>
      <c r="H14" s="9">
        <v>18100</v>
      </c>
      <c r="I14" s="15">
        <v>1</v>
      </c>
      <c r="J14" s="17">
        <v>100</v>
      </c>
      <c r="K14" s="29"/>
      <c r="L14" s="30"/>
    </row>
    <row r="15" spans="1:15" ht="24" customHeight="1" x14ac:dyDescent="0.2">
      <c r="A15" s="13">
        <v>42866</v>
      </c>
      <c r="B15" s="14"/>
      <c r="C15" s="14"/>
      <c r="D15" s="14" t="s">
        <v>29</v>
      </c>
      <c r="E15" s="15">
        <v>2010</v>
      </c>
      <c r="F15" s="15">
        <v>2017</v>
      </c>
      <c r="G15" s="14" t="s">
        <v>18</v>
      </c>
      <c r="H15" s="9">
        <v>12300</v>
      </c>
      <c r="I15" s="15">
        <v>1</v>
      </c>
      <c r="J15" s="17">
        <v>200</v>
      </c>
      <c r="K15" s="29"/>
      <c r="L15" s="30"/>
    </row>
    <row r="16" spans="1:15" ht="24" customHeight="1" x14ac:dyDescent="0.2">
      <c r="A16" s="13">
        <v>42867</v>
      </c>
      <c r="B16" s="14"/>
      <c r="D16" s="14" t="s">
        <v>30</v>
      </c>
      <c r="E16" s="15">
        <v>2010</v>
      </c>
      <c r="F16" s="15">
        <v>2017</v>
      </c>
      <c r="G16" s="14" t="s">
        <v>18</v>
      </c>
      <c r="H16" s="9">
        <v>630</v>
      </c>
      <c r="I16" s="15">
        <v>1</v>
      </c>
      <c r="J16" s="17">
        <v>20</v>
      </c>
      <c r="K16" s="29"/>
      <c r="L16" s="30"/>
    </row>
    <row r="17" spans="1:12" ht="24" customHeight="1" x14ac:dyDescent="0.2">
      <c r="A17" s="13">
        <v>42872</v>
      </c>
      <c r="B17" s="14"/>
      <c r="C17" s="14"/>
      <c r="D17" s="14" t="s">
        <v>31</v>
      </c>
      <c r="E17" s="15">
        <v>2010</v>
      </c>
      <c r="F17" s="15">
        <v>2017</v>
      </c>
      <c r="G17" s="14" t="s">
        <v>18</v>
      </c>
      <c r="H17" s="9">
        <v>2730</v>
      </c>
      <c r="I17" s="15">
        <v>1</v>
      </c>
      <c r="J17" s="17">
        <v>200</v>
      </c>
      <c r="K17" s="29"/>
      <c r="L17" s="30"/>
    </row>
    <row r="18" spans="1:12" ht="24" customHeight="1" x14ac:dyDescent="0.2">
      <c r="A18" s="13">
        <v>42870</v>
      </c>
      <c r="B18" s="14"/>
      <c r="C18" s="14"/>
      <c r="D18" s="14" t="s">
        <v>32</v>
      </c>
      <c r="E18" s="15">
        <v>2007</v>
      </c>
      <c r="F18" s="15">
        <v>2017</v>
      </c>
      <c r="G18" s="14" t="s">
        <v>18</v>
      </c>
      <c r="H18" s="9">
        <v>17700</v>
      </c>
      <c r="I18" s="15">
        <v>1</v>
      </c>
      <c r="J18" s="17">
        <v>200</v>
      </c>
      <c r="K18" s="29"/>
      <c r="L18" s="30"/>
    </row>
    <row r="19" spans="1:12" ht="24" customHeight="1" x14ac:dyDescent="0.2">
      <c r="A19" s="13">
        <v>42870</v>
      </c>
      <c r="B19" s="14"/>
      <c r="C19" s="14"/>
      <c r="D19" s="14" t="s">
        <v>33</v>
      </c>
      <c r="E19" s="15">
        <v>2007</v>
      </c>
      <c r="F19" s="15">
        <v>2017</v>
      </c>
      <c r="G19" s="14" t="s">
        <v>18</v>
      </c>
      <c r="H19" s="9">
        <v>4100</v>
      </c>
      <c r="I19" s="15">
        <v>1</v>
      </c>
      <c r="J19" s="17">
        <v>400</v>
      </c>
      <c r="K19" s="29"/>
      <c r="L19" s="30"/>
    </row>
    <row r="20" spans="1:12" ht="24" customHeight="1" x14ac:dyDescent="0.2">
      <c r="A20" s="13">
        <v>42871</v>
      </c>
      <c r="B20" s="14"/>
      <c r="C20" s="14"/>
      <c r="D20" s="14" t="s">
        <v>34</v>
      </c>
      <c r="E20" s="15">
        <v>2007</v>
      </c>
      <c r="F20" s="15">
        <v>2017</v>
      </c>
      <c r="G20" s="14" t="s">
        <v>18</v>
      </c>
      <c r="H20" s="9">
        <v>4050</v>
      </c>
      <c r="I20" s="15">
        <v>1</v>
      </c>
      <c r="J20" s="17">
        <v>200</v>
      </c>
      <c r="K20" s="29"/>
      <c r="L20" s="30"/>
    </row>
    <row r="21" spans="1:12" ht="24" customHeight="1" x14ac:dyDescent="0.2">
      <c r="A21" s="13">
        <v>42877</v>
      </c>
      <c r="B21" s="14"/>
      <c r="C21" s="14"/>
      <c r="D21" s="14" t="s">
        <v>174</v>
      </c>
      <c r="E21" s="15">
        <v>2007</v>
      </c>
      <c r="F21" s="15">
        <v>2017</v>
      </c>
      <c r="G21" s="14" t="s">
        <v>18</v>
      </c>
      <c r="H21" s="9">
        <v>5200</v>
      </c>
      <c r="I21" s="15">
        <v>1</v>
      </c>
      <c r="J21" s="17">
        <v>300</v>
      </c>
      <c r="K21" s="29"/>
      <c r="L21" s="30"/>
    </row>
    <row r="22" spans="1:12" ht="24" customHeight="1" x14ac:dyDescent="0.2">
      <c r="A22" s="13">
        <v>42877</v>
      </c>
      <c r="B22" s="14"/>
      <c r="C22" s="14"/>
      <c r="D22" s="14" t="s">
        <v>175</v>
      </c>
      <c r="E22" s="15"/>
      <c r="F22" s="15"/>
      <c r="G22" s="14" t="s">
        <v>18</v>
      </c>
      <c r="H22" s="9">
        <v>9</v>
      </c>
      <c r="I22" s="15">
        <v>1</v>
      </c>
      <c r="J22" s="17">
        <v>9</v>
      </c>
      <c r="K22" s="31"/>
      <c r="L22" s="30"/>
    </row>
    <row r="23" spans="1:12" ht="24" customHeight="1" x14ac:dyDescent="0.2">
      <c r="A23" s="13">
        <v>42850</v>
      </c>
      <c r="B23" s="14" t="s">
        <v>35</v>
      </c>
      <c r="C23" s="14" t="s">
        <v>36</v>
      </c>
      <c r="D23" s="14" t="s">
        <v>17</v>
      </c>
      <c r="E23" s="15">
        <v>2007</v>
      </c>
      <c r="F23" s="15">
        <v>2017</v>
      </c>
      <c r="G23" s="14"/>
      <c r="H23" s="9">
        <v>323</v>
      </c>
      <c r="I23" s="15">
        <v>1</v>
      </c>
      <c r="J23" s="17">
        <v>323</v>
      </c>
      <c r="K23" s="31"/>
      <c r="L23" s="30"/>
    </row>
    <row r="24" spans="1:12" ht="24" customHeight="1" x14ac:dyDescent="0.2">
      <c r="A24" s="13">
        <v>42851</v>
      </c>
      <c r="B24" s="14"/>
      <c r="C24" s="14"/>
      <c r="D24" s="14" t="s">
        <v>37</v>
      </c>
      <c r="E24" s="15">
        <v>2007</v>
      </c>
      <c r="F24" s="15">
        <v>2017</v>
      </c>
      <c r="G24" s="14"/>
      <c r="H24" s="9">
        <v>385</v>
      </c>
      <c r="I24" s="15">
        <v>1</v>
      </c>
      <c r="J24" s="17">
        <v>385</v>
      </c>
      <c r="K24" s="31"/>
      <c r="L24" s="30"/>
    </row>
    <row r="25" spans="1:12" ht="24" customHeight="1" x14ac:dyDescent="0.2">
      <c r="A25" s="13">
        <v>42852</v>
      </c>
      <c r="B25" s="14"/>
      <c r="C25" s="14"/>
      <c r="D25" s="14" t="s">
        <v>38</v>
      </c>
      <c r="E25" s="15">
        <v>2007</v>
      </c>
      <c r="F25" s="15">
        <v>2017</v>
      </c>
      <c r="G25" s="14"/>
      <c r="H25" s="9">
        <v>129</v>
      </c>
      <c r="I25" s="15">
        <v>1</v>
      </c>
      <c r="J25" s="17">
        <v>129</v>
      </c>
      <c r="K25" s="31"/>
      <c r="L25" s="30"/>
    </row>
    <row r="26" spans="1:12" ht="24" customHeight="1" x14ac:dyDescent="0.2">
      <c r="A26" s="13">
        <v>42851</v>
      </c>
      <c r="B26" s="14"/>
      <c r="C26" s="14"/>
      <c r="D26" s="14" t="s">
        <v>39</v>
      </c>
      <c r="E26" s="15">
        <v>2007</v>
      </c>
      <c r="F26" s="15">
        <v>2017</v>
      </c>
      <c r="G26" s="14"/>
      <c r="H26" s="9">
        <v>175</v>
      </c>
      <c r="I26" s="15">
        <v>1</v>
      </c>
      <c r="J26" s="17">
        <v>175</v>
      </c>
      <c r="K26" s="31"/>
      <c r="L26" s="30"/>
    </row>
    <row r="27" spans="1:12" ht="24" customHeight="1" x14ac:dyDescent="0.2">
      <c r="A27" s="13">
        <v>42851</v>
      </c>
      <c r="B27" s="14"/>
      <c r="C27" s="14"/>
      <c r="D27" s="14" t="s">
        <v>21</v>
      </c>
      <c r="E27" s="15">
        <v>2007</v>
      </c>
      <c r="F27" s="15">
        <v>2017</v>
      </c>
      <c r="G27" s="14"/>
      <c r="H27" s="9">
        <v>380</v>
      </c>
      <c r="I27" s="15">
        <v>1</v>
      </c>
      <c r="J27" s="17">
        <v>380</v>
      </c>
      <c r="K27" s="31"/>
      <c r="L27" s="30"/>
    </row>
    <row r="28" spans="1:12" ht="24" customHeight="1" x14ac:dyDescent="0.2">
      <c r="A28" s="13"/>
      <c r="B28" s="14"/>
      <c r="C28" s="14"/>
      <c r="D28" s="14" t="s">
        <v>28</v>
      </c>
      <c r="E28" s="15"/>
      <c r="F28" s="15"/>
      <c r="G28" s="14"/>
      <c r="I28" s="15"/>
      <c r="J28" s="17"/>
      <c r="K28" s="29"/>
      <c r="L28" s="30"/>
    </row>
    <row r="29" spans="1:12" ht="24" customHeight="1" x14ac:dyDescent="0.2">
      <c r="A29" s="13"/>
      <c r="B29" s="14"/>
      <c r="C29" s="14"/>
      <c r="D29" s="14" t="s">
        <v>40</v>
      </c>
      <c r="E29" s="15">
        <v>2007</v>
      </c>
      <c r="F29" s="15">
        <v>2017</v>
      </c>
      <c r="G29" s="14"/>
      <c r="I29" s="15"/>
      <c r="J29" s="17"/>
      <c r="K29" s="29"/>
      <c r="L29" s="30"/>
    </row>
    <row r="30" spans="1:12" ht="24" customHeight="1" x14ac:dyDescent="0.2">
      <c r="A30" s="13"/>
      <c r="B30" s="14"/>
      <c r="C30" s="14"/>
      <c r="D30" s="14" t="s">
        <v>41</v>
      </c>
      <c r="E30" s="15">
        <v>2007</v>
      </c>
      <c r="F30" s="15">
        <v>2017</v>
      </c>
      <c r="G30" s="14"/>
      <c r="I30" s="15"/>
      <c r="J30" s="17"/>
      <c r="K30" s="29"/>
      <c r="L30" s="30"/>
    </row>
    <row r="31" spans="1:12" ht="24" customHeight="1" x14ac:dyDescent="0.2">
      <c r="A31" s="13"/>
      <c r="B31" s="14"/>
      <c r="C31" s="14"/>
      <c r="D31" s="14" t="s">
        <v>42</v>
      </c>
      <c r="E31" s="15">
        <v>2007</v>
      </c>
      <c r="F31" s="15">
        <v>2017</v>
      </c>
      <c r="G31" s="14"/>
      <c r="I31" s="15"/>
      <c r="J31" s="17"/>
      <c r="K31" s="29"/>
      <c r="L31" s="30"/>
    </row>
    <row r="32" spans="1:12" ht="24" customHeight="1" x14ac:dyDescent="0.2">
      <c r="A32" s="13">
        <v>42878</v>
      </c>
      <c r="B32" s="14"/>
      <c r="C32" s="14"/>
      <c r="D32" s="14" t="s">
        <v>176</v>
      </c>
      <c r="E32" s="15">
        <v>2007</v>
      </c>
      <c r="F32" s="15">
        <v>2017</v>
      </c>
      <c r="G32" s="14"/>
      <c r="H32" s="9">
        <v>1814</v>
      </c>
      <c r="I32" s="15">
        <v>1</v>
      </c>
      <c r="J32" s="15">
        <v>200</v>
      </c>
      <c r="K32" s="29"/>
      <c r="L32" s="30"/>
    </row>
    <row r="33" spans="1:15" ht="24" customHeight="1" x14ac:dyDescent="0.2">
      <c r="A33" s="15"/>
      <c r="B33" s="14"/>
      <c r="C33" s="14"/>
      <c r="D33" s="14"/>
      <c r="E33" s="15"/>
      <c r="F33" s="15"/>
      <c r="G33" s="14"/>
      <c r="I33" s="15"/>
      <c r="J33" s="15"/>
      <c r="K33" s="15"/>
    </row>
    <row r="34" spans="1:15" ht="24" customHeight="1" x14ac:dyDescent="0.2">
      <c r="A34" s="15"/>
      <c r="B34" s="14"/>
      <c r="C34" s="14"/>
      <c r="D34" s="14"/>
      <c r="E34" s="15"/>
      <c r="F34" s="15"/>
      <c r="G34" s="14"/>
      <c r="I34" s="15"/>
      <c r="J34" s="15"/>
      <c r="K34" s="15"/>
    </row>
    <row r="35" spans="1:15" ht="24" customHeight="1" x14ac:dyDescent="0.2">
      <c r="A35" s="15"/>
      <c r="B35" s="14"/>
      <c r="C35" s="14"/>
      <c r="D35" s="14"/>
      <c r="E35" s="15"/>
      <c r="F35" s="15"/>
      <c r="G35" s="14"/>
      <c r="I35" s="15"/>
      <c r="J35" s="15"/>
      <c r="K35" s="15"/>
      <c r="L35"/>
      <c r="O35"/>
    </row>
    <row r="36" spans="1:15" ht="24" customHeight="1" x14ac:dyDescent="0.2">
      <c r="A36" s="15"/>
      <c r="B36" s="14"/>
      <c r="C36" s="14"/>
      <c r="D36" s="14"/>
      <c r="E36" s="15"/>
      <c r="F36" s="15"/>
      <c r="G36" s="14"/>
      <c r="I36" s="15"/>
      <c r="J36" s="15"/>
      <c r="K36" s="15"/>
      <c r="L36"/>
      <c r="O36"/>
    </row>
    <row r="37" spans="1:15" ht="24" customHeight="1" x14ac:dyDescent="0.2">
      <c r="A37" s="15"/>
      <c r="B37" s="14"/>
      <c r="C37" s="14"/>
      <c r="D37" s="14"/>
      <c r="E37" s="15"/>
      <c r="F37" s="15"/>
      <c r="G37" s="14"/>
      <c r="I37" s="15"/>
      <c r="J37" s="15"/>
      <c r="K37" s="15"/>
      <c r="L37"/>
      <c r="O37"/>
    </row>
    <row r="38" spans="1:15" ht="24" customHeight="1" x14ac:dyDescent="0.2">
      <c r="A38" s="15"/>
      <c r="B38" s="14"/>
      <c r="C38" s="14"/>
      <c r="D38" s="14"/>
      <c r="E38" s="15"/>
      <c r="F38" s="15"/>
      <c r="G38" s="14"/>
      <c r="I38" s="15"/>
      <c r="J38" s="15"/>
      <c r="K38" s="15"/>
      <c r="L38"/>
      <c r="O38"/>
    </row>
    <row r="39" spans="1:15" ht="24" customHeight="1" x14ac:dyDescent="0.2">
      <c r="A39" s="15"/>
      <c r="B39" s="14"/>
      <c r="C39" s="14"/>
      <c r="D39" s="14"/>
      <c r="E39" s="15"/>
      <c r="F39" s="15"/>
      <c r="G39" s="14"/>
      <c r="I39" s="15"/>
      <c r="J39" s="15"/>
      <c r="K39" s="15"/>
      <c r="L39"/>
      <c r="O39"/>
    </row>
    <row r="40" spans="1:15" ht="24" customHeight="1" x14ac:dyDescent="0.2">
      <c r="A40" s="15"/>
      <c r="B40" s="14"/>
      <c r="C40" s="14"/>
      <c r="D40" s="14"/>
      <c r="E40" s="15"/>
      <c r="F40" s="15"/>
      <c r="G40" s="14"/>
      <c r="I40" s="15"/>
      <c r="J40" s="15"/>
      <c r="K40" s="15"/>
      <c r="L40"/>
      <c r="O40"/>
    </row>
    <row r="41" spans="1:15" ht="24" customHeight="1" x14ac:dyDescent="0.2">
      <c r="A41" s="15"/>
      <c r="B41" s="14"/>
      <c r="C41" s="14"/>
      <c r="D41" s="14"/>
      <c r="E41" s="15"/>
      <c r="F41" s="15"/>
      <c r="G41" s="14"/>
      <c r="I41" s="15"/>
      <c r="J41" s="15"/>
      <c r="K41" s="15"/>
      <c r="L41"/>
      <c r="O41"/>
    </row>
    <row r="42" spans="1:15" ht="24" customHeight="1" x14ac:dyDescent="0.2">
      <c r="A42" s="15"/>
      <c r="B42" s="14"/>
      <c r="C42" s="14"/>
      <c r="D42" s="14"/>
      <c r="E42" s="15"/>
      <c r="F42" s="15"/>
      <c r="G42" s="14"/>
      <c r="I42" s="15"/>
      <c r="J42" s="15"/>
      <c r="K42" s="15"/>
      <c r="L42"/>
      <c r="O42"/>
    </row>
    <row r="43" spans="1:15" ht="24" customHeight="1" x14ac:dyDescent="0.2">
      <c r="A43" s="15"/>
      <c r="B43" s="14"/>
      <c r="C43" s="14"/>
      <c r="D43" s="14"/>
      <c r="E43" s="15"/>
      <c r="F43" s="15"/>
      <c r="G43" s="14"/>
      <c r="I43" s="15"/>
      <c r="J43" s="15"/>
      <c r="K43" s="15"/>
      <c r="L43"/>
      <c r="O43"/>
    </row>
    <row r="44" spans="1:15" ht="24" customHeight="1" x14ac:dyDescent="0.2">
      <c r="A44" s="15"/>
      <c r="B44" s="14"/>
      <c r="C44" s="14"/>
      <c r="D44" s="14"/>
      <c r="E44" s="15"/>
      <c r="F44" s="15"/>
      <c r="G44" s="14"/>
      <c r="I44" s="15"/>
      <c r="J44" s="15"/>
      <c r="K44" s="15"/>
      <c r="L44"/>
      <c r="O44"/>
    </row>
    <row r="45" spans="1:15" ht="24" customHeight="1" x14ac:dyDescent="0.2">
      <c r="A45" s="15"/>
      <c r="B45" s="14"/>
      <c r="C45" s="14"/>
      <c r="D45" s="14"/>
      <c r="E45" s="15"/>
      <c r="F45" s="15"/>
      <c r="G45" s="14"/>
      <c r="I45" s="15"/>
      <c r="J45" s="15"/>
      <c r="K45" s="15"/>
      <c r="L45"/>
      <c r="O45"/>
    </row>
    <row r="46" spans="1:15" ht="24" customHeight="1" x14ac:dyDescent="0.2">
      <c r="A46" s="15"/>
      <c r="B46" s="14"/>
      <c r="C46" s="14"/>
      <c r="D46" s="14"/>
      <c r="E46" s="15"/>
      <c r="F46" s="15"/>
      <c r="G46" s="14"/>
      <c r="I46" s="15"/>
      <c r="J46" s="15"/>
      <c r="K46" s="15"/>
      <c r="L46"/>
      <c r="O46"/>
    </row>
    <row r="47" spans="1:15" ht="24" customHeight="1" x14ac:dyDescent="0.2">
      <c r="A47" s="15"/>
      <c r="B47" s="14"/>
      <c r="C47" s="14"/>
      <c r="D47" s="14"/>
      <c r="E47" s="15"/>
      <c r="F47" s="15"/>
      <c r="G47" s="14"/>
      <c r="I47" s="15"/>
      <c r="J47" s="15"/>
      <c r="K47" s="15"/>
      <c r="L47"/>
      <c r="O47"/>
    </row>
    <row r="48" spans="1:15" ht="24" customHeight="1" x14ac:dyDescent="0.2">
      <c r="L48"/>
      <c r="O48"/>
    </row>
    <row r="49" spans="1:15" ht="24" customHeight="1" x14ac:dyDescent="0.2">
      <c r="L49"/>
      <c r="O49"/>
    </row>
    <row r="50" spans="1:15" ht="24" customHeight="1" x14ac:dyDescent="0.2">
      <c r="L50"/>
      <c r="O50"/>
    </row>
    <row r="51" spans="1:15" ht="24" customHeight="1" x14ac:dyDescent="0.2">
      <c r="A51"/>
      <c r="E51"/>
      <c r="F51"/>
      <c r="H51"/>
      <c r="I51"/>
      <c r="J51"/>
      <c r="K51"/>
      <c r="L51"/>
      <c r="O51"/>
    </row>
    <row r="52" spans="1:15" ht="24" customHeight="1" x14ac:dyDescent="0.2">
      <c r="A52"/>
      <c r="E52"/>
      <c r="F52"/>
      <c r="H52"/>
      <c r="I52"/>
      <c r="J52"/>
      <c r="K52"/>
      <c r="L52"/>
      <c r="O52"/>
    </row>
    <row r="53" spans="1:15" ht="24" customHeight="1" x14ac:dyDescent="0.2">
      <c r="A53"/>
      <c r="E53"/>
      <c r="F53"/>
      <c r="H53"/>
      <c r="I53"/>
      <c r="J53"/>
      <c r="K53"/>
      <c r="L53"/>
      <c r="O53"/>
    </row>
    <row r="54" spans="1:15" ht="24" customHeight="1" x14ac:dyDescent="0.2">
      <c r="A54"/>
      <c r="E54"/>
      <c r="F54"/>
      <c r="H54"/>
      <c r="I54"/>
      <c r="J54"/>
      <c r="K54"/>
      <c r="L54"/>
      <c r="O54"/>
    </row>
    <row r="55" spans="1:15" ht="24" customHeight="1" x14ac:dyDescent="0.2">
      <c r="A55"/>
      <c r="E55"/>
      <c r="F55"/>
      <c r="H55"/>
      <c r="I55"/>
      <c r="J55"/>
      <c r="K55"/>
      <c r="L55"/>
      <c r="O55"/>
    </row>
    <row r="56" spans="1:15" ht="24" customHeight="1" x14ac:dyDescent="0.2">
      <c r="A56"/>
      <c r="E56"/>
      <c r="F56"/>
      <c r="H56"/>
      <c r="I56"/>
      <c r="J56"/>
      <c r="K56"/>
      <c r="L56"/>
      <c r="O56"/>
    </row>
    <row r="57" spans="1:15" ht="24" customHeight="1" x14ac:dyDescent="0.2">
      <c r="A57"/>
      <c r="E57"/>
      <c r="F57"/>
      <c r="H57"/>
      <c r="I57"/>
      <c r="J57"/>
      <c r="K57"/>
      <c r="L57"/>
      <c r="O57"/>
    </row>
    <row r="58" spans="1:15" ht="24" customHeight="1" x14ac:dyDescent="0.2">
      <c r="A58"/>
      <c r="E58"/>
      <c r="F58"/>
      <c r="H58"/>
      <c r="I58"/>
      <c r="J58"/>
      <c r="K58"/>
      <c r="L58"/>
      <c r="O58"/>
    </row>
    <row r="59" spans="1:15" ht="24" customHeight="1" x14ac:dyDescent="0.2">
      <c r="A59"/>
      <c r="E59"/>
      <c r="F59"/>
      <c r="H59"/>
      <c r="I59"/>
      <c r="J59"/>
      <c r="K59"/>
      <c r="L59"/>
      <c r="O59"/>
    </row>
    <row r="60" spans="1:15" ht="24" customHeight="1" x14ac:dyDescent="0.2">
      <c r="A60"/>
      <c r="E60"/>
      <c r="F60"/>
      <c r="H60"/>
      <c r="I60"/>
      <c r="J60"/>
      <c r="K60"/>
      <c r="L60"/>
      <c r="O60"/>
    </row>
    <row r="61" spans="1:15" ht="24" customHeight="1" x14ac:dyDescent="0.2">
      <c r="A61"/>
      <c r="E61"/>
      <c r="F61"/>
      <c r="H61"/>
      <c r="I61"/>
      <c r="J61"/>
      <c r="K61"/>
      <c r="L61"/>
      <c r="O61"/>
    </row>
    <row r="62" spans="1:15" ht="24" customHeight="1" x14ac:dyDescent="0.2">
      <c r="A62"/>
      <c r="E62"/>
      <c r="F62"/>
      <c r="H62"/>
      <c r="I62"/>
      <c r="J62"/>
      <c r="K62"/>
      <c r="L62"/>
      <c r="O62"/>
    </row>
    <row r="63" spans="1:15" ht="24" customHeight="1" x14ac:dyDescent="0.2">
      <c r="A63"/>
      <c r="E63"/>
      <c r="F63"/>
      <c r="H63"/>
      <c r="I63"/>
      <c r="J63"/>
      <c r="K63"/>
      <c r="L63"/>
      <c r="O63"/>
    </row>
    <row r="64" spans="1:15" ht="24" customHeight="1" x14ac:dyDescent="0.2">
      <c r="A64"/>
      <c r="E64"/>
      <c r="F64"/>
      <c r="H64"/>
      <c r="I64"/>
      <c r="J64"/>
      <c r="K64"/>
      <c r="L64"/>
      <c r="O64"/>
    </row>
    <row r="65" spans="1:15" ht="24" customHeight="1" x14ac:dyDescent="0.2">
      <c r="A65"/>
      <c r="E65"/>
      <c r="F65"/>
      <c r="H65"/>
      <c r="I65"/>
      <c r="J65"/>
      <c r="K65"/>
      <c r="L65"/>
      <c r="O65"/>
    </row>
    <row r="66" spans="1:15" ht="24" customHeight="1" x14ac:dyDescent="0.2">
      <c r="A66"/>
      <c r="E66"/>
      <c r="F66"/>
      <c r="H66"/>
      <c r="I66"/>
      <c r="J66"/>
      <c r="K66"/>
      <c r="L66"/>
      <c r="O66"/>
    </row>
    <row r="67" spans="1:15" ht="24" customHeight="1" x14ac:dyDescent="0.2">
      <c r="A67"/>
      <c r="E67"/>
      <c r="F67"/>
      <c r="H67"/>
      <c r="I67"/>
      <c r="J67"/>
      <c r="K67"/>
      <c r="L67"/>
      <c r="O67"/>
    </row>
    <row r="68" spans="1:15" ht="24" customHeight="1" x14ac:dyDescent="0.2">
      <c r="A68"/>
      <c r="E68"/>
      <c r="F68"/>
      <c r="H68"/>
      <c r="I68"/>
      <c r="J68"/>
      <c r="K68"/>
      <c r="L68"/>
      <c r="O68"/>
    </row>
  </sheetData>
  <mergeCells count="2">
    <mergeCell ref="I2:J2"/>
    <mergeCell ref="K2:L2"/>
  </mergeCells>
  <conditionalFormatting sqref="A4:XFD4">
    <cfRule type="expression" dxfId="1" priority="2">
      <formula>"IF(A1="""")"</formula>
    </cfRule>
  </conditionalFormatting>
  <conditionalFormatting sqref="A5:XFD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Prodrome (%)</vt:lpstr>
      <vt:lpstr>Prodrome (%) High-Low</vt:lpstr>
      <vt:lpstr>Prodrome (%) Split (5%)</vt:lpstr>
      <vt:lpstr>(CS) Prodrome Time to Seizure</vt:lpstr>
      <vt:lpstr>Clinical Studies (Prodromes)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2017-05-20T12:23:55Z</dcterms:created>
  <dcterms:modified xsi:type="dcterms:W3CDTF">2017-07-03T21:25:30Z</dcterms:modified>
</cp:coreProperties>
</file>