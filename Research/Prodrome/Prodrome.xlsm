
<file path=[Content_Types].xml><?xml version="1.0" encoding="utf-8"?>
<Types xmlns="http://schemas.openxmlformats.org/package/2006/content-types">
  <Default Extension="xml" ContentType="application/xml"/>
  <Default Extension="rels" ContentType="application/vnd.openxmlformats-package.relationships+xml"/>
  <Default Extension="jpe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209"/>
  <workbookPr/>
  <mc:AlternateContent xmlns:mc="http://schemas.openxmlformats.org/markup-compatibility/2006">
    <mc:Choice Requires="x15">
      <x15ac:absPath xmlns:x15ac="http://schemas.microsoft.com/office/spreadsheetml/2010/11/ac" url="/Users/michaelvasey/Dropbox/Besag/Research/Prodrome/"/>
    </mc:Choice>
  </mc:AlternateContent>
  <bookViews>
    <workbookView xWindow="-60" yWindow="5140" windowWidth="25600" windowHeight="10540" tabRatio="500" activeTab="1"/>
  </bookViews>
  <sheets>
    <sheet name="Template" sheetId="7" r:id="rId1"/>
    <sheet name="Prodrome (%)" sheetId="4" r:id="rId2"/>
    <sheet name="Prodrome (%) High-Low" sheetId="6" r:id="rId3"/>
    <sheet name="Prodrome (%) Split (5%)" sheetId="5" r:id="rId4"/>
    <sheet name="(CS) Prodrome Time to Seizure" sheetId="3" r:id="rId5"/>
    <sheet name="Clinical Studies (Prodromes)" sheetId="2" r:id="rId6"/>
    <sheet name="Search" sheetId="1" r:id="rId7"/>
  </sheet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N44" i="4" l="1"/>
  <c r="P44" i="4"/>
  <c r="R44" i="4"/>
  <c r="T44" i="4"/>
  <c r="V44" i="4"/>
  <c r="X44" i="4"/>
  <c r="Z44" i="4"/>
  <c r="AB44" i="4"/>
  <c r="AD44" i="4"/>
  <c r="AF44" i="4"/>
  <c r="AH44" i="4"/>
  <c r="AJ44" i="4"/>
  <c r="AL44" i="4"/>
  <c r="AN44" i="4"/>
  <c r="AP44" i="4"/>
  <c r="AR44" i="4"/>
  <c r="AT44" i="4"/>
  <c r="AV44" i="4"/>
  <c r="AX44" i="4"/>
  <c r="AZ44" i="4"/>
  <c r="L18" i="6"/>
  <c r="L18" i="4"/>
  <c r="R18" i="4"/>
  <c r="T18" i="4"/>
  <c r="V18" i="4"/>
  <c r="X18" i="4"/>
  <c r="Z18" i="4"/>
  <c r="AB18" i="4"/>
  <c r="AD18" i="4"/>
  <c r="AF18" i="4"/>
  <c r="AH18" i="4"/>
  <c r="AJ18" i="4"/>
  <c r="AL18" i="4"/>
  <c r="AN18" i="4"/>
  <c r="AP18" i="4"/>
  <c r="AR18" i="4"/>
  <c r="AT18" i="4"/>
  <c r="AV18" i="4"/>
  <c r="AX18" i="4"/>
  <c r="AZ18" i="4"/>
  <c r="AF57" i="2"/>
  <c r="AE57" i="2"/>
  <c r="AD57" i="2"/>
  <c r="AC57" i="2"/>
  <c r="AB57" i="2"/>
  <c r="AA57" i="2"/>
  <c r="Z57" i="2"/>
  <c r="Y57" i="2"/>
  <c r="X57" i="2"/>
  <c r="W57" i="2"/>
  <c r="V57" i="2"/>
  <c r="U57" i="2"/>
  <c r="T57" i="2"/>
  <c r="S57" i="2"/>
  <c r="R57" i="2"/>
  <c r="Q57" i="2"/>
  <c r="P57" i="2"/>
  <c r="O57" i="2"/>
  <c r="N57" i="2"/>
  <c r="M57" i="2"/>
  <c r="AG126" i="5"/>
  <c r="AG127" i="5"/>
  <c r="AH127" i="5"/>
  <c r="K126" i="5"/>
  <c r="AH126" i="5"/>
  <c r="AE126" i="5"/>
  <c r="AE127" i="5"/>
  <c r="AF127" i="5"/>
  <c r="AF126" i="5"/>
  <c r="AC126" i="5"/>
  <c r="AC127" i="5"/>
  <c r="AD127" i="5"/>
  <c r="AD126" i="5"/>
  <c r="AA126" i="5"/>
  <c r="AA127" i="5"/>
  <c r="AB127" i="5"/>
  <c r="AB126" i="5"/>
  <c r="Y126" i="5"/>
  <c r="Y127" i="5"/>
  <c r="Z127" i="5"/>
  <c r="Z126" i="5"/>
  <c r="W126" i="5"/>
  <c r="W127" i="5"/>
  <c r="X127" i="5"/>
  <c r="X126" i="5"/>
  <c r="U126" i="5"/>
  <c r="U127" i="5"/>
  <c r="V127" i="5"/>
  <c r="V126" i="5"/>
  <c r="S126" i="5"/>
  <c r="S127" i="5"/>
  <c r="T127" i="5"/>
  <c r="T126" i="5"/>
  <c r="Q126" i="5"/>
  <c r="Q127" i="5"/>
  <c r="R127" i="5"/>
  <c r="R126" i="5"/>
  <c r="O126" i="5"/>
  <c r="O127" i="5"/>
  <c r="P127" i="5"/>
  <c r="P126" i="5"/>
  <c r="M127" i="5"/>
  <c r="M126" i="5"/>
  <c r="AC58" i="5"/>
  <c r="AC59" i="5"/>
  <c r="AD59" i="5"/>
  <c r="K58" i="5"/>
  <c r="AD58" i="5"/>
  <c r="AA58" i="5"/>
  <c r="AA59" i="5"/>
  <c r="AB59" i="5"/>
  <c r="AB58" i="5"/>
  <c r="Y58" i="5"/>
  <c r="Y59" i="5"/>
  <c r="Z59" i="5"/>
  <c r="Z58" i="5"/>
  <c r="W58" i="5"/>
  <c r="W59" i="5"/>
  <c r="X59" i="5"/>
  <c r="X58" i="5"/>
  <c r="U58" i="5"/>
  <c r="U59" i="5"/>
  <c r="V59" i="5"/>
  <c r="V58" i="5"/>
  <c r="S58" i="5"/>
  <c r="S59" i="5"/>
  <c r="T59" i="5"/>
  <c r="T58" i="5"/>
  <c r="Q58" i="5"/>
  <c r="Q59" i="5"/>
  <c r="R59" i="5"/>
  <c r="R58" i="5"/>
  <c r="O58" i="5"/>
  <c r="O59" i="5"/>
  <c r="P59" i="5"/>
  <c r="P58" i="5"/>
  <c r="M59" i="5"/>
  <c r="M58" i="5"/>
  <c r="AY56" i="4"/>
  <c r="AY57" i="4"/>
  <c r="AZ57" i="4"/>
  <c r="K56" i="4"/>
  <c r="AZ56" i="4"/>
  <c r="AW56" i="4"/>
  <c r="AW57" i="4"/>
  <c r="AX57" i="4"/>
  <c r="AX56" i="4"/>
  <c r="AU56" i="4"/>
  <c r="AU57" i="4"/>
  <c r="AV57" i="4"/>
  <c r="AV56" i="4"/>
  <c r="AS56" i="4"/>
  <c r="AS57" i="4"/>
  <c r="AT57" i="4"/>
  <c r="AT56" i="4"/>
  <c r="AQ56" i="4"/>
  <c r="AQ57" i="4"/>
  <c r="AR57" i="4"/>
  <c r="AR56" i="4"/>
  <c r="AO56" i="4"/>
  <c r="AO57" i="4"/>
  <c r="AP57" i="4"/>
  <c r="AP56" i="4"/>
  <c r="AM56" i="4"/>
  <c r="AM57" i="4"/>
  <c r="AN57" i="4"/>
  <c r="AN56" i="4"/>
  <c r="AK56" i="4"/>
  <c r="AK57" i="4"/>
  <c r="AL57" i="4"/>
  <c r="AL56" i="4"/>
  <c r="AI56" i="4"/>
  <c r="AI57" i="4"/>
  <c r="AJ57" i="4"/>
  <c r="AJ56" i="4"/>
  <c r="AG56" i="4"/>
  <c r="AG57" i="4"/>
  <c r="AH57" i="4"/>
  <c r="AH56" i="4"/>
  <c r="AE56" i="4"/>
  <c r="AE57" i="4"/>
  <c r="AF57" i="4"/>
  <c r="AF56" i="4"/>
  <c r="AC56" i="4"/>
  <c r="AC57" i="4"/>
  <c r="AD57" i="4"/>
  <c r="AD56" i="4"/>
  <c r="AA56" i="4"/>
  <c r="AA57" i="4"/>
  <c r="AB57" i="4"/>
  <c r="AB56" i="4"/>
  <c r="Y56" i="4"/>
  <c r="Y57" i="4"/>
  <c r="Z57" i="4"/>
  <c r="Z56" i="4"/>
  <c r="W56" i="4"/>
  <c r="W57" i="4"/>
  <c r="X57" i="4"/>
  <c r="X56" i="4"/>
  <c r="U56" i="4"/>
  <c r="U57" i="4"/>
  <c r="V57" i="4"/>
  <c r="V56" i="4"/>
  <c r="S56" i="4"/>
  <c r="S57" i="4"/>
  <c r="T57" i="4"/>
  <c r="T56" i="4"/>
  <c r="Q56" i="4"/>
  <c r="Q57" i="4"/>
  <c r="R57" i="4"/>
  <c r="R56" i="4"/>
  <c r="O56" i="4"/>
  <c r="O57" i="4"/>
  <c r="P57" i="4"/>
  <c r="P56" i="4"/>
  <c r="M57" i="4"/>
  <c r="M56" i="4"/>
  <c r="AY56" i="6"/>
  <c r="AY57" i="6"/>
  <c r="AZ57" i="6"/>
  <c r="K56" i="6"/>
  <c r="AZ56" i="6"/>
  <c r="AW56" i="6"/>
  <c r="AW57" i="6"/>
  <c r="AX57" i="6"/>
  <c r="AX56" i="6"/>
  <c r="AU56" i="6"/>
  <c r="AU57" i="6"/>
  <c r="AV57" i="6"/>
  <c r="AV56" i="6"/>
  <c r="AS56" i="6"/>
  <c r="AS57" i="6"/>
  <c r="AT57" i="6"/>
  <c r="AT56" i="6"/>
  <c r="AQ56" i="6"/>
  <c r="AQ57" i="6"/>
  <c r="AR57" i="6"/>
  <c r="AR56" i="6"/>
  <c r="AO56" i="6"/>
  <c r="AO57" i="6"/>
  <c r="AP57" i="6"/>
  <c r="AP56" i="6"/>
  <c r="AM56" i="6"/>
  <c r="AM57" i="6"/>
  <c r="AN57" i="6"/>
  <c r="AN56" i="6"/>
  <c r="AK56" i="6"/>
  <c r="AK57" i="6"/>
  <c r="AL57" i="6"/>
  <c r="AL56" i="6"/>
  <c r="AI56" i="6"/>
  <c r="AI57" i="6"/>
  <c r="AJ57" i="6"/>
  <c r="AJ56" i="6"/>
  <c r="AG56" i="6"/>
  <c r="AG57" i="6"/>
  <c r="AH57" i="6"/>
  <c r="AH56" i="6"/>
  <c r="AE56" i="6"/>
  <c r="AE57" i="6"/>
  <c r="AF57" i="6"/>
  <c r="AF56" i="6"/>
  <c r="AC56" i="6"/>
  <c r="AC57" i="6"/>
  <c r="AD57" i="6"/>
  <c r="AD56" i="6"/>
  <c r="AA56" i="6"/>
  <c r="AA57" i="6"/>
  <c r="AB57" i="6"/>
  <c r="AB56" i="6"/>
  <c r="Y56" i="6"/>
  <c r="Y57" i="6"/>
  <c r="Z57" i="6"/>
  <c r="Z56" i="6"/>
  <c r="W56" i="6"/>
  <c r="W57" i="6"/>
  <c r="X57" i="6"/>
  <c r="X56" i="6"/>
  <c r="U56" i="6"/>
  <c r="U57" i="6"/>
  <c r="V57" i="6"/>
  <c r="V56" i="6"/>
  <c r="S56" i="6"/>
  <c r="S57" i="6"/>
  <c r="T57" i="6"/>
  <c r="T56" i="6"/>
  <c r="Q56" i="6"/>
  <c r="Q57" i="6"/>
  <c r="R57" i="6"/>
  <c r="R56" i="6"/>
  <c r="O56" i="6"/>
  <c r="O57" i="6"/>
  <c r="P57" i="6"/>
  <c r="P56" i="6"/>
  <c r="M57" i="6"/>
  <c r="M56" i="6"/>
  <c r="AV12" i="6"/>
  <c r="AR12" i="6"/>
  <c r="AJ12" i="6"/>
  <c r="AH12" i="6"/>
  <c r="AD12" i="6"/>
  <c r="AB12" i="6"/>
  <c r="T12" i="6"/>
  <c r="P12" i="6"/>
  <c r="AH82" i="5"/>
  <c r="AF82" i="5"/>
  <c r="AD82" i="5"/>
  <c r="AB82" i="5"/>
  <c r="Z82" i="5"/>
  <c r="X82" i="5"/>
  <c r="V82" i="5"/>
  <c r="T82" i="5"/>
  <c r="R82" i="5"/>
  <c r="P82" i="5"/>
  <c r="N82" i="5"/>
  <c r="AD14" i="5"/>
  <c r="AB14" i="5"/>
  <c r="Z14" i="5"/>
  <c r="X14" i="5"/>
  <c r="V14" i="5"/>
  <c r="T14" i="5"/>
  <c r="R14" i="5"/>
  <c r="P14" i="5"/>
  <c r="N14" i="5"/>
  <c r="AZ12" i="4"/>
  <c r="AX12" i="4"/>
  <c r="AV12" i="4"/>
  <c r="AT12" i="4"/>
  <c r="AR12" i="4"/>
  <c r="AP12" i="4"/>
  <c r="AN12" i="4"/>
  <c r="AL12" i="4"/>
  <c r="AJ12" i="4"/>
  <c r="AH12" i="4"/>
  <c r="AF12" i="4"/>
  <c r="AD12" i="4"/>
  <c r="AB12" i="4"/>
  <c r="Z12" i="4"/>
  <c r="X12" i="4"/>
  <c r="V12" i="4"/>
  <c r="T12" i="4"/>
  <c r="R12" i="4"/>
  <c r="P12" i="4"/>
  <c r="N12" i="4"/>
  <c r="L13" i="2"/>
  <c r="L14" i="3"/>
  <c r="L82" i="5"/>
  <c r="L14" i="5"/>
  <c r="L12" i="6"/>
  <c r="L12" i="4"/>
  <c r="L56" i="2"/>
  <c r="L55" i="2"/>
  <c r="L54" i="2"/>
  <c r="L53" i="2"/>
  <c r="L52" i="2"/>
  <c r="L51" i="2"/>
  <c r="L50" i="2"/>
  <c r="L49" i="2"/>
  <c r="L48" i="2"/>
  <c r="L47" i="2"/>
  <c r="L46" i="2"/>
  <c r="L44" i="2"/>
  <c r="L43" i="2"/>
  <c r="L42" i="2"/>
  <c r="L41" i="2"/>
  <c r="L40" i="2"/>
  <c r="L39" i="2"/>
  <c r="L38" i="2"/>
  <c r="L37" i="2"/>
  <c r="L36" i="2"/>
  <c r="L35" i="2"/>
  <c r="L34" i="2"/>
  <c r="L33" i="2"/>
  <c r="L32" i="2"/>
  <c r="L31" i="2"/>
  <c r="L30" i="2"/>
  <c r="L29" i="2"/>
  <c r="L28" i="2"/>
  <c r="L27" i="2"/>
  <c r="L26" i="2"/>
  <c r="L25" i="2"/>
  <c r="L24" i="2"/>
  <c r="L23" i="2"/>
  <c r="L22" i="2"/>
  <c r="L21" i="2"/>
  <c r="L20" i="2"/>
  <c r="L18" i="2"/>
  <c r="L17" i="2"/>
  <c r="L16" i="2"/>
  <c r="L15" i="2"/>
  <c r="L14" i="2"/>
  <c r="L57" i="3"/>
  <c r="L56" i="3"/>
  <c r="L55" i="3"/>
  <c r="L54" i="3"/>
  <c r="L53" i="3"/>
  <c r="L52" i="3"/>
  <c r="L51" i="3"/>
  <c r="L50" i="3"/>
  <c r="L49" i="3"/>
  <c r="L48" i="3"/>
  <c r="L47" i="3"/>
  <c r="L45" i="3"/>
  <c r="L44" i="3"/>
  <c r="L43" i="3"/>
  <c r="L42" i="3"/>
  <c r="L41" i="3"/>
  <c r="L40" i="3"/>
  <c r="L39" i="3"/>
  <c r="L38" i="3"/>
  <c r="L37" i="3"/>
  <c r="L36" i="3"/>
  <c r="L35" i="3"/>
  <c r="L34" i="3"/>
  <c r="L33" i="3"/>
  <c r="L32" i="3"/>
  <c r="L31" i="3"/>
  <c r="L30" i="3"/>
  <c r="L29" i="3"/>
  <c r="L28" i="3"/>
  <c r="L27" i="3"/>
  <c r="L26" i="3"/>
  <c r="L25" i="3"/>
  <c r="L24" i="3"/>
  <c r="L23" i="3"/>
  <c r="L22" i="3"/>
  <c r="L21" i="3"/>
  <c r="L19" i="3"/>
  <c r="L18" i="3"/>
  <c r="L17" i="3"/>
  <c r="L16" i="3"/>
  <c r="L15" i="3"/>
  <c r="L125" i="5"/>
  <c r="L124" i="5"/>
  <c r="L123" i="5"/>
  <c r="L122" i="5"/>
  <c r="L121" i="5"/>
  <c r="L120" i="5"/>
  <c r="L119" i="5"/>
  <c r="L118" i="5"/>
  <c r="L117" i="5"/>
  <c r="L116" i="5"/>
  <c r="L115" i="5"/>
  <c r="L113" i="5"/>
  <c r="L112" i="5"/>
  <c r="L111" i="5"/>
  <c r="L110" i="5"/>
  <c r="L109" i="5"/>
  <c r="L108" i="5"/>
  <c r="L107" i="5"/>
  <c r="L106" i="5"/>
  <c r="L105" i="5"/>
  <c r="L104" i="5"/>
  <c r="L103" i="5"/>
  <c r="L102" i="5"/>
  <c r="L101" i="5"/>
  <c r="L100" i="5"/>
  <c r="L99" i="5"/>
  <c r="L98" i="5"/>
  <c r="L97" i="5"/>
  <c r="L96" i="5"/>
  <c r="L95" i="5"/>
  <c r="L94" i="5"/>
  <c r="L93" i="5"/>
  <c r="L92" i="5"/>
  <c r="L91" i="5"/>
  <c r="L90" i="5"/>
  <c r="L89" i="5"/>
  <c r="L87" i="5"/>
  <c r="L86" i="5"/>
  <c r="L85" i="5"/>
  <c r="L84" i="5"/>
  <c r="L83" i="5"/>
  <c r="L57" i="5"/>
  <c r="L56" i="5"/>
  <c r="L55" i="5"/>
  <c r="L54" i="5"/>
  <c r="L53" i="5"/>
  <c r="L52" i="5"/>
  <c r="L51" i="5"/>
  <c r="L50" i="5"/>
  <c r="L49" i="5"/>
  <c r="L48" i="5"/>
  <c r="L47" i="5"/>
  <c r="L45" i="5"/>
  <c r="L44" i="5"/>
  <c r="L43" i="5"/>
  <c r="L42" i="5"/>
  <c r="L41" i="5"/>
  <c r="L40" i="5"/>
  <c r="L39" i="5"/>
  <c r="L38" i="5"/>
  <c r="L37" i="5"/>
  <c r="L36" i="5"/>
  <c r="L35" i="5"/>
  <c r="L34" i="5"/>
  <c r="L33" i="5"/>
  <c r="L32" i="5"/>
  <c r="L31" i="5"/>
  <c r="L30" i="5"/>
  <c r="L29" i="5"/>
  <c r="L28" i="5"/>
  <c r="L27" i="5"/>
  <c r="L26" i="5"/>
  <c r="L25" i="5"/>
  <c r="L24" i="5"/>
  <c r="L23" i="5"/>
  <c r="L22" i="5"/>
  <c r="L21" i="5"/>
  <c r="L19" i="5"/>
  <c r="L18" i="5"/>
  <c r="L17" i="5"/>
  <c r="L16" i="5"/>
  <c r="L15" i="5"/>
  <c r="L55" i="4"/>
  <c r="L54" i="4"/>
  <c r="L53" i="4"/>
  <c r="L52" i="4"/>
  <c r="L51" i="4"/>
  <c r="L50" i="4"/>
  <c r="L49" i="4"/>
  <c r="L48" i="4"/>
  <c r="L47" i="4"/>
  <c r="L46" i="4"/>
  <c r="L45" i="4"/>
  <c r="L43" i="4"/>
  <c r="L42" i="4"/>
  <c r="L41" i="4"/>
  <c r="L40" i="4"/>
  <c r="L39" i="4"/>
  <c r="L38" i="4"/>
  <c r="L37" i="4"/>
  <c r="L36" i="4"/>
  <c r="L35" i="4"/>
  <c r="L34" i="4"/>
  <c r="L33" i="4"/>
  <c r="L32" i="4"/>
  <c r="L31" i="4"/>
  <c r="L30" i="4"/>
  <c r="L29" i="4"/>
  <c r="L28" i="4"/>
  <c r="L27" i="4"/>
  <c r="L26" i="4"/>
  <c r="L25" i="4"/>
  <c r="L24" i="4"/>
  <c r="L23" i="4"/>
  <c r="L22" i="4"/>
  <c r="L21" i="4"/>
  <c r="L20" i="4"/>
  <c r="L19" i="4"/>
  <c r="L17" i="4"/>
  <c r="L16" i="4"/>
  <c r="L15" i="4"/>
  <c r="L14" i="4"/>
  <c r="L13" i="4"/>
  <c r="L55" i="6"/>
  <c r="L54" i="6"/>
  <c r="L53" i="6"/>
  <c r="L52" i="6"/>
  <c r="L51" i="6"/>
  <c r="L50" i="6"/>
  <c r="L49" i="6"/>
  <c r="L48" i="6"/>
  <c r="L47" i="6"/>
  <c r="L46" i="6"/>
  <c r="L45" i="6"/>
  <c r="L43" i="6"/>
  <c r="L42" i="6"/>
  <c r="L41" i="6"/>
  <c r="L40" i="6"/>
  <c r="L39" i="6"/>
  <c r="L38" i="6"/>
  <c r="L37" i="6"/>
  <c r="L36" i="6"/>
  <c r="L35" i="6"/>
  <c r="L34" i="6"/>
  <c r="L33" i="6"/>
  <c r="L32" i="6"/>
  <c r="L31" i="6"/>
  <c r="L30" i="6"/>
  <c r="L29" i="6"/>
  <c r="L28" i="6"/>
  <c r="L27" i="6"/>
  <c r="L26" i="6"/>
  <c r="L25" i="6"/>
  <c r="L24" i="6"/>
  <c r="L23" i="6"/>
  <c r="L22" i="6"/>
  <c r="L21" i="6"/>
  <c r="L20" i="6"/>
  <c r="L19" i="6"/>
  <c r="L17" i="6"/>
  <c r="L16" i="6"/>
  <c r="L15" i="6"/>
  <c r="L14" i="6"/>
  <c r="L13" i="6"/>
  <c r="N56" i="6"/>
  <c r="N57" i="6"/>
  <c r="AZ40" i="4"/>
  <c r="AT40" i="4"/>
  <c r="AN40" i="4"/>
  <c r="AH40" i="4"/>
  <c r="P55" i="6"/>
  <c r="R55" i="6"/>
  <c r="AX55" i="6"/>
  <c r="AR55" i="6"/>
  <c r="AV55" i="6"/>
  <c r="AT55" i="6"/>
  <c r="AP55" i="6"/>
  <c r="AL55" i="6"/>
  <c r="V55" i="6"/>
  <c r="T55" i="6"/>
  <c r="AZ55" i="6"/>
  <c r="AJ55" i="6"/>
  <c r="AF55" i="6"/>
  <c r="AB55" i="6"/>
  <c r="N55" i="6"/>
  <c r="X55" i="6"/>
  <c r="AH55" i="6"/>
  <c r="Z55" i="6"/>
  <c r="AN55" i="6"/>
  <c r="AD55" i="6"/>
  <c r="P54" i="6"/>
  <c r="R54" i="6"/>
  <c r="AX54" i="6"/>
  <c r="AR54" i="6"/>
  <c r="AV54" i="6"/>
  <c r="AT54" i="6"/>
  <c r="AP54" i="6"/>
  <c r="AL54" i="6"/>
  <c r="V54" i="6"/>
  <c r="T54" i="6"/>
  <c r="AZ54" i="6"/>
  <c r="AJ54" i="6"/>
  <c r="AF54" i="6"/>
  <c r="AB54" i="6"/>
  <c r="N54" i="6"/>
  <c r="X54" i="6"/>
  <c r="AH54" i="6"/>
  <c r="Z54" i="6"/>
  <c r="AN54" i="6"/>
  <c r="AD54" i="6"/>
  <c r="P53" i="6"/>
  <c r="R53" i="6"/>
  <c r="AX53" i="6"/>
  <c r="AR53" i="6"/>
  <c r="AV53" i="6"/>
  <c r="AT53" i="6"/>
  <c r="AP53" i="6"/>
  <c r="AL53" i="6"/>
  <c r="V53" i="6"/>
  <c r="T53" i="6"/>
  <c r="AZ53" i="6"/>
  <c r="AJ53" i="6"/>
  <c r="AF53" i="6"/>
  <c r="AB53" i="6"/>
  <c r="N53" i="6"/>
  <c r="X53" i="6"/>
  <c r="AH53" i="6"/>
  <c r="Z53" i="6"/>
  <c r="AN53" i="6"/>
  <c r="AD53" i="6"/>
  <c r="P52" i="6"/>
  <c r="R52" i="6"/>
  <c r="AX52" i="6"/>
  <c r="AR52" i="6"/>
  <c r="AV52" i="6"/>
  <c r="AT52" i="6"/>
  <c r="AP52" i="6"/>
  <c r="AL52" i="6"/>
  <c r="V52" i="6"/>
  <c r="T52" i="6"/>
  <c r="AZ52" i="6"/>
  <c r="AJ52" i="6"/>
  <c r="AF52" i="6"/>
  <c r="AB52" i="6"/>
  <c r="N52" i="6"/>
  <c r="X52" i="6"/>
  <c r="AH52" i="6"/>
  <c r="Z52" i="6"/>
  <c r="AN52" i="6"/>
  <c r="AD52" i="6"/>
  <c r="P51" i="6"/>
  <c r="R51" i="6"/>
  <c r="AX51" i="6"/>
  <c r="AR51" i="6"/>
  <c r="AV51" i="6"/>
  <c r="AT51" i="6"/>
  <c r="AP51" i="6"/>
  <c r="AL51" i="6"/>
  <c r="V51" i="6"/>
  <c r="T51" i="6"/>
  <c r="AZ51" i="6"/>
  <c r="AJ51" i="6"/>
  <c r="AF51" i="6"/>
  <c r="AB51" i="6"/>
  <c r="N51" i="6"/>
  <c r="X51" i="6"/>
  <c r="AH51" i="6"/>
  <c r="Z51" i="6"/>
  <c r="AN51" i="6"/>
  <c r="AD51" i="6"/>
  <c r="P50" i="6"/>
  <c r="R50" i="6"/>
  <c r="AX50" i="6"/>
  <c r="AR50" i="6"/>
  <c r="AV50" i="6"/>
  <c r="AT50" i="6"/>
  <c r="AP50" i="6"/>
  <c r="AL50" i="6"/>
  <c r="V50" i="6"/>
  <c r="T50" i="6"/>
  <c r="AZ50" i="6"/>
  <c r="AJ50" i="6"/>
  <c r="AF50" i="6"/>
  <c r="AB50" i="6"/>
  <c r="N50" i="6"/>
  <c r="X50" i="6"/>
  <c r="AH50" i="6"/>
  <c r="Z50" i="6"/>
  <c r="AN50" i="6"/>
  <c r="AD50" i="6"/>
  <c r="P49" i="6"/>
  <c r="R49" i="6"/>
  <c r="AX49" i="6"/>
  <c r="AR49" i="6"/>
  <c r="AV49" i="6"/>
  <c r="AT49" i="6"/>
  <c r="AP49" i="6"/>
  <c r="AL49" i="6"/>
  <c r="V49" i="6"/>
  <c r="T49" i="6"/>
  <c r="AZ49" i="6"/>
  <c r="AJ49" i="6"/>
  <c r="AF49" i="6"/>
  <c r="AB49" i="6"/>
  <c r="N49" i="6"/>
  <c r="X49" i="6"/>
  <c r="AH49" i="6"/>
  <c r="Z49" i="6"/>
  <c r="AN49" i="6"/>
  <c r="AD49" i="6"/>
  <c r="P48" i="6"/>
  <c r="R48" i="6"/>
  <c r="AX48" i="6"/>
  <c r="AR48" i="6"/>
  <c r="AV48" i="6"/>
  <c r="AT48" i="6"/>
  <c r="AP48" i="6"/>
  <c r="AL48" i="6"/>
  <c r="V48" i="6"/>
  <c r="T48" i="6"/>
  <c r="AZ48" i="6"/>
  <c r="AJ48" i="6"/>
  <c r="AF48" i="6"/>
  <c r="AB48" i="6"/>
  <c r="N48" i="6"/>
  <c r="X48" i="6"/>
  <c r="AH48" i="6"/>
  <c r="Z48" i="6"/>
  <c r="AN48" i="6"/>
  <c r="AD48" i="6"/>
  <c r="P47" i="6"/>
  <c r="R47" i="6"/>
  <c r="AX47" i="6"/>
  <c r="AR47" i="6"/>
  <c r="AV47" i="6"/>
  <c r="AT47" i="6"/>
  <c r="AP47" i="6"/>
  <c r="AL47" i="6"/>
  <c r="V47" i="6"/>
  <c r="T47" i="6"/>
  <c r="AZ47" i="6"/>
  <c r="AJ47" i="6"/>
  <c r="AF47" i="6"/>
  <c r="AB47" i="6"/>
  <c r="N47" i="6"/>
  <c r="X47" i="6"/>
  <c r="AH47" i="6"/>
  <c r="Z47" i="6"/>
  <c r="AN47" i="6"/>
  <c r="AD47" i="6"/>
  <c r="P46" i="6"/>
  <c r="R46" i="6"/>
  <c r="AX46" i="6"/>
  <c r="AR46" i="6"/>
  <c r="AV46" i="6"/>
  <c r="AT46" i="6"/>
  <c r="AP46" i="6"/>
  <c r="AL46" i="6"/>
  <c r="V46" i="6"/>
  <c r="T46" i="6"/>
  <c r="AZ46" i="6"/>
  <c r="AJ46" i="6"/>
  <c r="AF46" i="6"/>
  <c r="AB46" i="6"/>
  <c r="N46" i="6"/>
  <c r="X46" i="6"/>
  <c r="AH46" i="6"/>
  <c r="Z46" i="6"/>
  <c r="AN46" i="6"/>
  <c r="AD46" i="6"/>
  <c r="P45" i="6"/>
  <c r="R45" i="6"/>
  <c r="AX45" i="6"/>
  <c r="AR45" i="6"/>
  <c r="AV45" i="6"/>
  <c r="AT45" i="6"/>
  <c r="AP45" i="6"/>
  <c r="AL45" i="6"/>
  <c r="V45" i="6"/>
  <c r="T45" i="6"/>
  <c r="AZ45" i="6"/>
  <c r="AJ45" i="6"/>
  <c r="AF45" i="6"/>
  <c r="AB45" i="6"/>
  <c r="N45" i="6"/>
  <c r="X45" i="6"/>
  <c r="AH45" i="6"/>
  <c r="Z45" i="6"/>
  <c r="AN45" i="6"/>
  <c r="AD45" i="6"/>
  <c r="P43" i="6"/>
  <c r="R43" i="6"/>
  <c r="AX43" i="6"/>
  <c r="AR43" i="6"/>
  <c r="AV43" i="6"/>
  <c r="AT43" i="6"/>
  <c r="AP43" i="6"/>
  <c r="AL43" i="6"/>
  <c r="V43" i="6"/>
  <c r="T43" i="6"/>
  <c r="AZ43" i="6"/>
  <c r="AJ43" i="6"/>
  <c r="AF43" i="6"/>
  <c r="AB43" i="6"/>
  <c r="N43" i="6"/>
  <c r="X43" i="6"/>
  <c r="AH43" i="6"/>
  <c r="Z43" i="6"/>
  <c r="AN43" i="6"/>
  <c r="AD43" i="6"/>
  <c r="P42" i="6"/>
  <c r="R42" i="6"/>
  <c r="AX42" i="6"/>
  <c r="AR42" i="6"/>
  <c r="AV42" i="6"/>
  <c r="AT42" i="6"/>
  <c r="AP42" i="6"/>
  <c r="AL42" i="6"/>
  <c r="V42" i="6"/>
  <c r="T42" i="6"/>
  <c r="AZ42" i="6"/>
  <c r="AJ42" i="6"/>
  <c r="AF42" i="6"/>
  <c r="AB42" i="6"/>
  <c r="N42" i="6"/>
  <c r="X42" i="6"/>
  <c r="AH42" i="6"/>
  <c r="Z42" i="6"/>
  <c r="AN42" i="6"/>
  <c r="AD42" i="6"/>
  <c r="P41" i="6"/>
  <c r="R41" i="6"/>
  <c r="AX41" i="6"/>
  <c r="AR41" i="6"/>
  <c r="AV41" i="6"/>
  <c r="AT41" i="6"/>
  <c r="AP41" i="6"/>
  <c r="AL41" i="6"/>
  <c r="V41" i="6"/>
  <c r="T41" i="6"/>
  <c r="AZ41" i="6"/>
  <c r="AJ41" i="6"/>
  <c r="AF41" i="6"/>
  <c r="AB41" i="6"/>
  <c r="N41" i="6"/>
  <c r="X41" i="6"/>
  <c r="AH41" i="6"/>
  <c r="Z41" i="6"/>
  <c r="AN41" i="6"/>
  <c r="AD41" i="6"/>
  <c r="P40" i="6"/>
  <c r="R40" i="6"/>
  <c r="AX40" i="6"/>
  <c r="AR40" i="6"/>
  <c r="AV40" i="6"/>
  <c r="AT40" i="6"/>
  <c r="AP40" i="6"/>
  <c r="AL40" i="6"/>
  <c r="V40" i="6"/>
  <c r="T40" i="6"/>
  <c r="AZ40" i="6"/>
  <c r="AJ40" i="6"/>
  <c r="AF40" i="6"/>
  <c r="AB40" i="6"/>
  <c r="N40" i="6"/>
  <c r="X40" i="6"/>
  <c r="AH40" i="6"/>
  <c r="Z40" i="6"/>
  <c r="AN40" i="6"/>
  <c r="AD40" i="6"/>
  <c r="P39" i="6"/>
  <c r="R39" i="6"/>
  <c r="AX39" i="6"/>
  <c r="AR39" i="6"/>
  <c r="AV39" i="6"/>
  <c r="AT39" i="6"/>
  <c r="AP39" i="6"/>
  <c r="AL39" i="6"/>
  <c r="V39" i="6"/>
  <c r="T39" i="6"/>
  <c r="AZ39" i="6"/>
  <c r="AJ39" i="6"/>
  <c r="AF39" i="6"/>
  <c r="AB39" i="6"/>
  <c r="N39" i="6"/>
  <c r="X39" i="6"/>
  <c r="AH39" i="6"/>
  <c r="Z39" i="6"/>
  <c r="AN39" i="6"/>
  <c r="AD39" i="6"/>
  <c r="P38" i="6"/>
  <c r="R38" i="6"/>
  <c r="AX38" i="6"/>
  <c r="AR38" i="6"/>
  <c r="AV38" i="6"/>
  <c r="AT38" i="6"/>
  <c r="AP38" i="6"/>
  <c r="AL38" i="6"/>
  <c r="V38" i="6"/>
  <c r="T38" i="6"/>
  <c r="AZ38" i="6"/>
  <c r="AJ38" i="6"/>
  <c r="AF38" i="6"/>
  <c r="AB38" i="6"/>
  <c r="N38" i="6"/>
  <c r="X38" i="6"/>
  <c r="AH38" i="6"/>
  <c r="Z38" i="6"/>
  <c r="AN38" i="6"/>
  <c r="AD38" i="6"/>
  <c r="P37" i="6"/>
  <c r="R37" i="6"/>
  <c r="AX37" i="6"/>
  <c r="AR37" i="6"/>
  <c r="AV37" i="6"/>
  <c r="AT37" i="6"/>
  <c r="AP37" i="6"/>
  <c r="AL37" i="6"/>
  <c r="V37" i="6"/>
  <c r="T37" i="6"/>
  <c r="AZ37" i="6"/>
  <c r="AJ37" i="6"/>
  <c r="AF37" i="6"/>
  <c r="AB37" i="6"/>
  <c r="N37" i="6"/>
  <c r="X37" i="6"/>
  <c r="AH37" i="6"/>
  <c r="Z37" i="6"/>
  <c r="AN37" i="6"/>
  <c r="AD37" i="6"/>
  <c r="P36" i="6"/>
  <c r="R36" i="6"/>
  <c r="AX36" i="6"/>
  <c r="AR36" i="6"/>
  <c r="AV36" i="6"/>
  <c r="AT36" i="6"/>
  <c r="AP36" i="6"/>
  <c r="AL36" i="6"/>
  <c r="V36" i="6"/>
  <c r="T36" i="6"/>
  <c r="AZ36" i="6"/>
  <c r="AJ36" i="6"/>
  <c r="AF36" i="6"/>
  <c r="AB36" i="6"/>
  <c r="N36" i="6"/>
  <c r="X36" i="6"/>
  <c r="AH36" i="6"/>
  <c r="Z36" i="6"/>
  <c r="AN36" i="6"/>
  <c r="AD36" i="6"/>
  <c r="P35" i="6"/>
  <c r="R35" i="6"/>
  <c r="AX35" i="6"/>
  <c r="AR35" i="6"/>
  <c r="AV35" i="6"/>
  <c r="AT35" i="6"/>
  <c r="AP35" i="6"/>
  <c r="AL35" i="6"/>
  <c r="V35" i="6"/>
  <c r="T35" i="6"/>
  <c r="AZ35" i="6"/>
  <c r="AJ35" i="6"/>
  <c r="AF35" i="6"/>
  <c r="AB35" i="6"/>
  <c r="N35" i="6"/>
  <c r="X35" i="6"/>
  <c r="AH35" i="6"/>
  <c r="Z35" i="6"/>
  <c r="AN35" i="6"/>
  <c r="AD35" i="6"/>
  <c r="P34" i="6"/>
  <c r="R34" i="6"/>
  <c r="AX34" i="6"/>
  <c r="AR34" i="6"/>
  <c r="AV34" i="6"/>
  <c r="AT34" i="6"/>
  <c r="AP34" i="6"/>
  <c r="AL34" i="6"/>
  <c r="V34" i="6"/>
  <c r="T34" i="6"/>
  <c r="AZ34" i="6"/>
  <c r="AJ34" i="6"/>
  <c r="AF34" i="6"/>
  <c r="AB34" i="6"/>
  <c r="N34" i="6"/>
  <c r="X34" i="6"/>
  <c r="AH34" i="6"/>
  <c r="Z34" i="6"/>
  <c r="AN34" i="6"/>
  <c r="AD34" i="6"/>
  <c r="P33" i="6"/>
  <c r="R33" i="6"/>
  <c r="AX33" i="6"/>
  <c r="AR33" i="6"/>
  <c r="AV33" i="6"/>
  <c r="AT33" i="6"/>
  <c r="AP33" i="6"/>
  <c r="AL33" i="6"/>
  <c r="V33" i="6"/>
  <c r="T33" i="6"/>
  <c r="AZ33" i="6"/>
  <c r="AJ33" i="6"/>
  <c r="AF33" i="6"/>
  <c r="AB33" i="6"/>
  <c r="N33" i="6"/>
  <c r="X33" i="6"/>
  <c r="AH33" i="6"/>
  <c r="Z33" i="6"/>
  <c r="AN33" i="6"/>
  <c r="AD33" i="6"/>
  <c r="P32" i="6"/>
  <c r="R32" i="6"/>
  <c r="AX32" i="6"/>
  <c r="AR32" i="6"/>
  <c r="AV32" i="6"/>
  <c r="AT32" i="6"/>
  <c r="AP32" i="6"/>
  <c r="AL32" i="6"/>
  <c r="V32" i="6"/>
  <c r="T32" i="6"/>
  <c r="AZ32" i="6"/>
  <c r="AJ32" i="6"/>
  <c r="AF32" i="6"/>
  <c r="AB32" i="6"/>
  <c r="N32" i="6"/>
  <c r="X32" i="6"/>
  <c r="AH32" i="6"/>
  <c r="Z32" i="6"/>
  <c r="AN32" i="6"/>
  <c r="AD32" i="6"/>
  <c r="P31" i="6"/>
  <c r="R31" i="6"/>
  <c r="AX31" i="6"/>
  <c r="AR31" i="6"/>
  <c r="AV31" i="6"/>
  <c r="AT31" i="6"/>
  <c r="AP31" i="6"/>
  <c r="AL31" i="6"/>
  <c r="V31" i="6"/>
  <c r="T31" i="6"/>
  <c r="AZ31" i="6"/>
  <c r="AJ31" i="6"/>
  <c r="AF31" i="6"/>
  <c r="AB31" i="6"/>
  <c r="N31" i="6"/>
  <c r="Z31" i="6"/>
  <c r="AN31" i="6"/>
  <c r="AD31" i="6"/>
  <c r="P30" i="6"/>
  <c r="R30" i="6"/>
  <c r="AX30" i="6"/>
  <c r="AR30" i="6"/>
  <c r="AV30" i="6"/>
  <c r="AT30" i="6"/>
  <c r="AP30" i="6"/>
  <c r="AL30" i="6"/>
  <c r="V30" i="6"/>
  <c r="T30" i="6"/>
  <c r="AZ30" i="6"/>
  <c r="AJ30" i="6"/>
  <c r="AF30" i="6"/>
  <c r="AB30" i="6"/>
  <c r="N30" i="6"/>
  <c r="X30" i="6"/>
  <c r="AH30" i="6"/>
  <c r="Z30" i="6"/>
  <c r="AN30" i="6"/>
  <c r="AD30" i="6"/>
  <c r="P29" i="6"/>
  <c r="R29" i="6"/>
  <c r="AX29" i="6"/>
  <c r="AR29" i="6"/>
  <c r="AV29" i="6"/>
  <c r="AT29" i="6"/>
  <c r="AP29" i="6"/>
  <c r="AL29" i="6"/>
  <c r="V29" i="6"/>
  <c r="T29" i="6"/>
  <c r="AZ29" i="6"/>
  <c r="AJ29" i="6"/>
  <c r="AF29" i="6"/>
  <c r="AB29" i="6"/>
  <c r="N29" i="6"/>
  <c r="X29" i="6"/>
  <c r="AH29" i="6"/>
  <c r="Z29" i="6"/>
  <c r="AN29" i="6"/>
  <c r="AD29" i="6"/>
  <c r="P28" i="6"/>
  <c r="R28" i="6"/>
  <c r="AX28" i="6"/>
  <c r="AR28" i="6"/>
  <c r="AV28" i="6"/>
  <c r="AT28" i="6"/>
  <c r="AP28" i="6"/>
  <c r="AL28" i="6"/>
  <c r="V28" i="6"/>
  <c r="T28" i="6"/>
  <c r="AZ28" i="6"/>
  <c r="AJ28" i="6"/>
  <c r="AF28" i="6"/>
  <c r="AB28" i="6"/>
  <c r="N28" i="6"/>
  <c r="X28" i="6"/>
  <c r="AH28" i="6"/>
  <c r="Z28" i="6"/>
  <c r="AN28" i="6"/>
  <c r="AD28" i="6"/>
  <c r="P27" i="6"/>
  <c r="R27" i="6"/>
  <c r="AX27" i="6"/>
  <c r="AR27" i="6"/>
  <c r="AV27" i="6"/>
  <c r="AT27" i="6"/>
  <c r="AP27" i="6"/>
  <c r="AL27" i="6"/>
  <c r="V27" i="6"/>
  <c r="T27" i="6"/>
  <c r="AZ27" i="6"/>
  <c r="AJ27" i="6"/>
  <c r="AF27" i="6"/>
  <c r="AB27" i="6"/>
  <c r="N27" i="6"/>
  <c r="X27" i="6"/>
  <c r="AH27" i="6"/>
  <c r="Z27" i="6"/>
  <c r="AN27" i="6"/>
  <c r="AD27" i="6"/>
  <c r="P26" i="6"/>
  <c r="R26" i="6"/>
  <c r="AX26" i="6"/>
  <c r="AR26" i="6"/>
  <c r="AV26" i="6"/>
  <c r="AT26" i="6"/>
  <c r="AP26" i="6"/>
  <c r="AL26" i="6"/>
  <c r="V26" i="6"/>
  <c r="T26" i="6"/>
  <c r="AZ26" i="6"/>
  <c r="AJ26" i="6"/>
  <c r="AF26" i="6"/>
  <c r="AB26" i="6"/>
  <c r="N26" i="6"/>
  <c r="X26" i="6"/>
  <c r="AH26" i="6"/>
  <c r="Z26" i="6"/>
  <c r="AN26" i="6"/>
  <c r="AD26" i="6"/>
  <c r="P25" i="6"/>
  <c r="R25" i="6"/>
  <c r="AX25" i="6"/>
  <c r="AR25" i="6"/>
  <c r="AV25" i="6"/>
  <c r="AT25" i="6"/>
  <c r="AP25" i="6"/>
  <c r="AL25" i="6"/>
  <c r="V25" i="6"/>
  <c r="T25" i="6"/>
  <c r="AZ25" i="6"/>
  <c r="AJ25" i="6"/>
  <c r="AF25" i="6"/>
  <c r="AB25" i="6"/>
  <c r="N25" i="6"/>
  <c r="X25" i="6"/>
  <c r="AH25" i="6"/>
  <c r="Z25" i="6"/>
  <c r="AN25" i="6"/>
  <c r="AD25" i="6"/>
  <c r="P24" i="6"/>
  <c r="R24" i="6"/>
  <c r="AX24" i="6"/>
  <c r="AR24" i="6"/>
  <c r="AV24" i="6"/>
  <c r="AT24" i="6"/>
  <c r="AP24" i="6"/>
  <c r="AL24" i="6"/>
  <c r="V24" i="6"/>
  <c r="T24" i="6"/>
  <c r="AZ24" i="6"/>
  <c r="AJ24" i="6"/>
  <c r="AF24" i="6"/>
  <c r="AB24" i="6"/>
  <c r="N24" i="6"/>
  <c r="X24" i="6"/>
  <c r="AH24" i="6"/>
  <c r="Z24" i="6"/>
  <c r="AN24" i="6"/>
  <c r="AD24" i="6"/>
  <c r="P23" i="6"/>
  <c r="R23" i="6"/>
  <c r="AX23" i="6"/>
  <c r="AR23" i="6"/>
  <c r="AV23" i="6"/>
  <c r="AT23" i="6"/>
  <c r="AP23" i="6"/>
  <c r="AL23" i="6"/>
  <c r="V23" i="6"/>
  <c r="T23" i="6"/>
  <c r="AZ23" i="6"/>
  <c r="AJ23" i="6"/>
  <c r="AF23" i="6"/>
  <c r="AB23" i="6"/>
  <c r="N23" i="6"/>
  <c r="X23" i="6"/>
  <c r="AH23" i="6"/>
  <c r="Z23" i="6"/>
  <c r="AN23" i="6"/>
  <c r="AD23" i="6"/>
  <c r="P22" i="6"/>
  <c r="R22" i="6"/>
  <c r="AX22" i="6"/>
  <c r="AR22" i="6"/>
  <c r="AV22" i="6"/>
  <c r="AT22" i="6"/>
  <c r="AP22" i="6"/>
  <c r="AL22" i="6"/>
  <c r="V22" i="6"/>
  <c r="T22" i="6"/>
  <c r="AZ22" i="6"/>
  <c r="AJ22" i="6"/>
  <c r="AF22" i="6"/>
  <c r="AB22" i="6"/>
  <c r="N22" i="6"/>
  <c r="X22" i="6"/>
  <c r="AH22" i="6"/>
  <c r="Z22" i="6"/>
  <c r="AN22" i="6"/>
  <c r="AD22" i="6"/>
  <c r="P21" i="6"/>
  <c r="R21" i="6"/>
  <c r="AX21" i="6"/>
  <c r="AR21" i="6"/>
  <c r="AV21" i="6"/>
  <c r="AT21" i="6"/>
  <c r="AP21" i="6"/>
  <c r="AL21" i="6"/>
  <c r="V21" i="6"/>
  <c r="T21" i="6"/>
  <c r="AZ21" i="6"/>
  <c r="AJ21" i="6"/>
  <c r="AF21" i="6"/>
  <c r="AB21" i="6"/>
  <c r="N21" i="6"/>
  <c r="X21" i="6"/>
  <c r="AH21" i="6"/>
  <c r="Z21" i="6"/>
  <c r="AN21" i="6"/>
  <c r="AD21" i="6"/>
  <c r="P20" i="6"/>
  <c r="R20" i="6"/>
  <c r="AX20" i="6"/>
  <c r="AR20" i="6"/>
  <c r="AV20" i="6"/>
  <c r="AT20" i="6"/>
  <c r="AP20" i="6"/>
  <c r="AL20" i="6"/>
  <c r="V20" i="6"/>
  <c r="T20" i="6"/>
  <c r="AZ20" i="6"/>
  <c r="AJ20" i="6"/>
  <c r="AF20" i="6"/>
  <c r="AB20" i="6"/>
  <c r="N20" i="6"/>
  <c r="X20" i="6"/>
  <c r="AH20" i="6"/>
  <c r="Z20" i="6"/>
  <c r="AN20" i="6"/>
  <c r="AD20" i="6"/>
  <c r="P19" i="6"/>
  <c r="R19" i="6"/>
  <c r="AX19" i="6"/>
  <c r="AR19" i="6"/>
  <c r="AV19" i="6"/>
  <c r="AT19" i="6"/>
  <c r="AP19" i="6"/>
  <c r="AL19" i="6"/>
  <c r="V19" i="6"/>
  <c r="T19" i="6"/>
  <c r="AZ19" i="6"/>
  <c r="AJ19" i="6"/>
  <c r="AF19" i="6"/>
  <c r="AB19" i="6"/>
  <c r="N19" i="6"/>
  <c r="X19" i="6"/>
  <c r="AH19" i="6"/>
  <c r="Z19" i="6"/>
  <c r="AN19" i="6"/>
  <c r="AD19" i="6"/>
  <c r="P17" i="6"/>
  <c r="R17" i="6"/>
  <c r="AX17" i="6"/>
  <c r="AR17" i="6"/>
  <c r="AV17" i="6"/>
  <c r="AT17" i="6"/>
  <c r="AP17" i="6"/>
  <c r="AL17" i="6"/>
  <c r="V17" i="6"/>
  <c r="T17" i="6"/>
  <c r="AZ17" i="6"/>
  <c r="AJ17" i="6"/>
  <c r="AF17" i="6"/>
  <c r="AB17" i="6"/>
  <c r="N17" i="6"/>
  <c r="X17" i="6"/>
  <c r="AH17" i="6"/>
  <c r="Z17" i="6"/>
  <c r="AN17" i="6"/>
  <c r="AD17" i="6"/>
  <c r="P16" i="6"/>
  <c r="R16" i="6"/>
  <c r="AX16" i="6"/>
  <c r="AR16" i="6"/>
  <c r="AV16" i="6"/>
  <c r="AT16" i="6"/>
  <c r="AP16" i="6"/>
  <c r="AL16" i="6"/>
  <c r="V16" i="6"/>
  <c r="T16" i="6"/>
  <c r="AZ16" i="6"/>
  <c r="AJ16" i="6"/>
  <c r="AF16" i="6"/>
  <c r="AB16" i="6"/>
  <c r="N16" i="6"/>
  <c r="X16" i="6"/>
  <c r="AH16" i="6"/>
  <c r="Z16" i="6"/>
  <c r="AN16" i="6"/>
  <c r="AD16" i="6"/>
  <c r="P15" i="6"/>
  <c r="R15" i="6"/>
  <c r="AX15" i="6"/>
  <c r="AR15" i="6"/>
  <c r="AV15" i="6"/>
  <c r="AT15" i="6"/>
  <c r="AP15" i="6"/>
  <c r="AL15" i="6"/>
  <c r="V15" i="6"/>
  <c r="T15" i="6"/>
  <c r="AZ15" i="6"/>
  <c r="AJ15" i="6"/>
  <c r="AF15" i="6"/>
  <c r="AB15" i="6"/>
  <c r="N15" i="6"/>
  <c r="X15" i="6"/>
  <c r="AH15" i="6"/>
  <c r="Z15" i="6"/>
  <c r="AN15" i="6"/>
  <c r="AD15" i="6"/>
  <c r="P14" i="6"/>
  <c r="R14" i="6"/>
  <c r="AX14" i="6"/>
  <c r="AR14" i="6"/>
  <c r="AV14" i="6"/>
  <c r="AT14" i="6"/>
  <c r="AP14" i="6"/>
  <c r="AL14" i="6"/>
  <c r="V14" i="6"/>
  <c r="T14" i="6"/>
  <c r="AZ14" i="6"/>
  <c r="AJ14" i="6"/>
  <c r="AF14" i="6"/>
  <c r="AB14" i="6"/>
  <c r="N14" i="6"/>
  <c r="X14" i="6"/>
  <c r="AH14" i="6"/>
  <c r="Z14" i="6"/>
  <c r="AN14" i="6"/>
  <c r="AD14" i="6"/>
  <c r="P13" i="6"/>
  <c r="R13" i="6"/>
  <c r="AX13" i="6"/>
  <c r="AR13" i="6"/>
  <c r="AV13" i="6"/>
  <c r="AT13" i="6"/>
  <c r="AP13" i="6"/>
  <c r="AL13" i="6"/>
  <c r="V13" i="6"/>
  <c r="T13" i="6"/>
  <c r="AZ13" i="6"/>
  <c r="AJ13" i="6"/>
  <c r="AF13" i="6"/>
  <c r="AB13" i="6"/>
  <c r="N13" i="6"/>
  <c r="X13" i="6"/>
  <c r="AH13" i="6"/>
  <c r="Z13" i="6"/>
  <c r="AN13" i="6"/>
  <c r="AD13" i="6"/>
  <c r="N127" i="5"/>
  <c r="N126" i="5"/>
  <c r="AF125" i="5"/>
  <c r="Z125" i="5"/>
  <c r="AD125" i="5"/>
  <c r="AB125" i="5"/>
  <c r="X125" i="5"/>
  <c r="T125" i="5"/>
  <c r="AH125" i="5"/>
  <c r="R125" i="5"/>
  <c r="N125" i="5"/>
  <c r="P125" i="5"/>
  <c r="V125" i="5"/>
  <c r="AF124" i="5"/>
  <c r="Z124" i="5"/>
  <c r="AD124" i="5"/>
  <c r="AB124" i="5"/>
  <c r="X124" i="5"/>
  <c r="T124" i="5"/>
  <c r="AH124" i="5"/>
  <c r="R124" i="5"/>
  <c r="N124" i="5"/>
  <c r="P124" i="5"/>
  <c r="V124" i="5"/>
  <c r="AF123" i="5"/>
  <c r="Z123" i="5"/>
  <c r="AD123" i="5"/>
  <c r="AB123" i="5"/>
  <c r="X123" i="5"/>
  <c r="T123" i="5"/>
  <c r="AH123" i="5"/>
  <c r="R123" i="5"/>
  <c r="N123" i="5"/>
  <c r="P123" i="5"/>
  <c r="V123" i="5"/>
  <c r="AF122" i="5"/>
  <c r="Z122" i="5"/>
  <c r="AD122" i="5"/>
  <c r="AB122" i="5"/>
  <c r="X122" i="5"/>
  <c r="T122" i="5"/>
  <c r="AH122" i="5"/>
  <c r="R122" i="5"/>
  <c r="N122" i="5"/>
  <c r="P122" i="5"/>
  <c r="V122" i="5"/>
  <c r="AF121" i="5"/>
  <c r="Z121" i="5"/>
  <c r="AD121" i="5"/>
  <c r="AB121" i="5"/>
  <c r="X121" i="5"/>
  <c r="T121" i="5"/>
  <c r="AH121" i="5"/>
  <c r="R121" i="5"/>
  <c r="N121" i="5"/>
  <c r="P121" i="5"/>
  <c r="V121" i="5"/>
  <c r="AF120" i="5"/>
  <c r="Z120" i="5"/>
  <c r="AD120" i="5"/>
  <c r="AB120" i="5"/>
  <c r="X120" i="5"/>
  <c r="T120" i="5"/>
  <c r="AH120" i="5"/>
  <c r="R120" i="5"/>
  <c r="N120" i="5"/>
  <c r="P120" i="5"/>
  <c r="V120" i="5"/>
  <c r="AF119" i="5"/>
  <c r="Z119" i="5"/>
  <c r="AD119" i="5"/>
  <c r="AB119" i="5"/>
  <c r="X119" i="5"/>
  <c r="T119" i="5"/>
  <c r="AH119" i="5"/>
  <c r="R119" i="5"/>
  <c r="N119" i="5"/>
  <c r="P119" i="5"/>
  <c r="V119" i="5"/>
  <c r="AF118" i="5"/>
  <c r="Z118" i="5"/>
  <c r="AD118" i="5"/>
  <c r="AB118" i="5"/>
  <c r="X118" i="5"/>
  <c r="T118" i="5"/>
  <c r="AH118" i="5"/>
  <c r="R118" i="5"/>
  <c r="N118" i="5"/>
  <c r="P118" i="5"/>
  <c r="V118" i="5"/>
  <c r="AF117" i="5"/>
  <c r="Z117" i="5"/>
  <c r="AD117" i="5"/>
  <c r="AB117" i="5"/>
  <c r="X117" i="5"/>
  <c r="T117" i="5"/>
  <c r="AH117" i="5"/>
  <c r="R117" i="5"/>
  <c r="N117" i="5"/>
  <c r="P117" i="5"/>
  <c r="V117" i="5"/>
  <c r="AF116" i="5"/>
  <c r="Z116" i="5"/>
  <c r="AD116" i="5"/>
  <c r="AB116" i="5"/>
  <c r="X116" i="5"/>
  <c r="T116" i="5"/>
  <c r="AH116" i="5"/>
  <c r="R116" i="5"/>
  <c r="N116" i="5"/>
  <c r="P116" i="5"/>
  <c r="V116" i="5"/>
  <c r="AF115" i="5"/>
  <c r="Z115" i="5"/>
  <c r="AD115" i="5"/>
  <c r="AB115" i="5"/>
  <c r="X115" i="5"/>
  <c r="T115" i="5"/>
  <c r="AH115" i="5"/>
  <c r="R115" i="5"/>
  <c r="N115" i="5"/>
  <c r="P115" i="5"/>
  <c r="V115" i="5"/>
  <c r="AF113" i="5"/>
  <c r="Z113" i="5"/>
  <c r="AD113" i="5"/>
  <c r="AB113" i="5"/>
  <c r="X113" i="5"/>
  <c r="T113" i="5"/>
  <c r="AH113" i="5"/>
  <c r="R113" i="5"/>
  <c r="N113" i="5"/>
  <c r="P113" i="5"/>
  <c r="V113" i="5"/>
  <c r="AF112" i="5"/>
  <c r="Z112" i="5"/>
  <c r="AD112" i="5"/>
  <c r="AB112" i="5"/>
  <c r="X112" i="5"/>
  <c r="T112" i="5"/>
  <c r="AH112" i="5"/>
  <c r="R112" i="5"/>
  <c r="N112" i="5"/>
  <c r="P112" i="5"/>
  <c r="V112" i="5"/>
  <c r="AF111" i="5"/>
  <c r="Z111" i="5"/>
  <c r="AD111" i="5"/>
  <c r="AB111" i="5"/>
  <c r="X111" i="5"/>
  <c r="T111" i="5"/>
  <c r="AH111" i="5"/>
  <c r="R111" i="5"/>
  <c r="N111" i="5"/>
  <c r="P111" i="5"/>
  <c r="V111" i="5"/>
  <c r="AF110" i="5"/>
  <c r="Z110" i="5"/>
  <c r="AD110" i="5"/>
  <c r="AB110" i="5"/>
  <c r="X110" i="5"/>
  <c r="T110" i="5"/>
  <c r="AH110" i="5"/>
  <c r="R110" i="5"/>
  <c r="N110" i="5"/>
  <c r="P110" i="5"/>
  <c r="V110" i="5"/>
  <c r="AF109" i="5"/>
  <c r="Z109" i="5"/>
  <c r="AD109" i="5"/>
  <c r="AB109" i="5"/>
  <c r="X109" i="5"/>
  <c r="T109" i="5"/>
  <c r="AH109" i="5"/>
  <c r="R109" i="5"/>
  <c r="N109" i="5"/>
  <c r="P109" i="5"/>
  <c r="V109" i="5"/>
  <c r="AF108" i="5"/>
  <c r="Z108" i="5"/>
  <c r="AD108" i="5"/>
  <c r="AB108" i="5"/>
  <c r="X108" i="5"/>
  <c r="T108" i="5"/>
  <c r="AH108" i="5"/>
  <c r="R108" i="5"/>
  <c r="N108" i="5"/>
  <c r="P108" i="5"/>
  <c r="V108" i="5"/>
  <c r="AF107" i="5"/>
  <c r="Z107" i="5"/>
  <c r="AD107" i="5"/>
  <c r="AB107" i="5"/>
  <c r="X107" i="5"/>
  <c r="T107" i="5"/>
  <c r="AH107" i="5"/>
  <c r="R107" i="5"/>
  <c r="N107" i="5"/>
  <c r="P107" i="5"/>
  <c r="V107" i="5"/>
  <c r="AF106" i="5"/>
  <c r="Z106" i="5"/>
  <c r="AD106" i="5"/>
  <c r="AB106" i="5"/>
  <c r="X106" i="5"/>
  <c r="T106" i="5"/>
  <c r="AH106" i="5"/>
  <c r="R106" i="5"/>
  <c r="N106" i="5"/>
  <c r="P106" i="5"/>
  <c r="V106" i="5"/>
  <c r="AF105" i="5"/>
  <c r="Z105" i="5"/>
  <c r="AD105" i="5"/>
  <c r="AB105" i="5"/>
  <c r="X105" i="5"/>
  <c r="T105" i="5"/>
  <c r="AH105" i="5"/>
  <c r="R105" i="5"/>
  <c r="N105" i="5"/>
  <c r="P105" i="5"/>
  <c r="V105" i="5"/>
  <c r="AF104" i="5"/>
  <c r="Z104" i="5"/>
  <c r="AD104" i="5"/>
  <c r="AB104" i="5"/>
  <c r="X104" i="5"/>
  <c r="T104" i="5"/>
  <c r="AH104" i="5"/>
  <c r="R104" i="5"/>
  <c r="N104" i="5"/>
  <c r="P104" i="5"/>
  <c r="V104" i="5"/>
  <c r="AF103" i="5"/>
  <c r="Z103" i="5"/>
  <c r="AD103" i="5"/>
  <c r="AB103" i="5"/>
  <c r="X103" i="5"/>
  <c r="T103" i="5"/>
  <c r="AH103" i="5"/>
  <c r="R103" i="5"/>
  <c r="N103" i="5"/>
  <c r="P103" i="5"/>
  <c r="V103" i="5"/>
  <c r="AF102" i="5"/>
  <c r="Z102" i="5"/>
  <c r="AD102" i="5"/>
  <c r="AB102" i="5"/>
  <c r="X102" i="5"/>
  <c r="T102" i="5"/>
  <c r="AH102" i="5"/>
  <c r="R102" i="5"/>
  <c r="N102" i="5"/>
  <c r="P102" i="5"/>
  <c r="V102" i="5"/>
  <c r="AF101" i="5"/>
  <c r="Z101" i="5"/>
  <c r="AD101" i="5"/>
  <c r="AB101" i="5"/>
  <c r="X101" i="5"/>
  <c r="T101" i="5"/>
  <c r="AH101" i="5"/>
  <c r="R101" i="5"/>
  <c r="N101" i="5"/>
  <c r="V101" i="5"/>
  <c r="AF100" i="5"/>
  <c r="Z100" i="5"/>
  <c r="AD100" i="5"/>
  <c r="AB100" i="5"/>
  <c r="X100" i="5"/>
  <c r="T100" i="5"/>
  <c r="AH100" i="5"/>
  <c r="R100" i="5"/>
  <c r="N100" i="5"/>
  <c r="P100" i="5"/>
  <c r="V100" i="5"/>
  <c r="AF99" i="5"/>
  <c r="Z99" i="5"/>
  <c r="AD99" i="5"/>
  <c r="AB99" i="5"/>
  <c r="X99" i="5"/>
  <c r="T99" i="5"/>
  <c r="AH99" i="5"/>
  <c r="R99" i="5"/>
  <c r="N99" i="5"/>
  <c r="P99" i="5"/>
  <c r="V99" i="5"/>
  <c r="AF98" i="5"/>
  <c r="Z98" i="5"/>
  <c r="AD98" i="5"/>
  <c r="AB98" i="5"/>
  <c r="X98" i="5"/>
  <c r="T98" i="5"/>
  <c r="AH98" i="5"/>
  <c r="R98" i="5"/>
  <c r="N98" i="5"/>
  <c r="P98" i="5"/>
  <c r="V98" i="5"/>
  <c r="AF97" i="5"/>
  <c r="Z97" i="5"/>
  <c r="AD97" i="5"/>
  <c r="AB97" i="5"/>
  <c r="X97" i="5"/>
  <c r="T97" i="5"/>
  <c r="AH97" i="5"/>
  <c r="R97" i="5"/>
  <c r="N97" i="5"/>
  <c r="P97" i="5"/>
  <c r="V97" i="5"/>
  <c r="AF96" i="5"/>
  <c r="Z96" i="5"/>
  <c r="AD96" i="5"/>
  <c r="AB96" i="5"/>
  <c r="X96" i="5"/>
  <c r="T96" i="5"/>
  <c r="AH96" i="5"/>
  <c r="R96" i="5"/>
  <c r="N96" i="5"/>
  <c r="P96" i="5"/>
  <c r="V96" i="5"/>
  <c r="AF95" i="5"/>
  <c r="Z95" i="5"/>
  <c r="AD95" i="5"/>
  <c r="AB95" i="5"/>
  <c r="X95" i="5"/>
  <c r="T95" i="5"/>
  <c r="AH95" i="5"/>
  <c r="R95" i="5"/>
  <c r="N95" i="5"/>
  <c r="P95" i="5"/>
  <c r="V95" i="5"/>
  <c r="AF94" i="5"/>
  <c r="Z94" i="5"/>
  <c r="AD94" i="5"/>
  <c r="AB94" i="5"/>
  <c r="X94" i="5"/>
  <c r="T94" i="5"/>
  <c r="AH94" i="5"/>
  <c r="R94" i="5"/>
  <c r="N94" i="5"/>
  <c r="P94" i="5"/>
  <c r="V94" i="5"/>
  <c r="AF93" i="5"/>
  <c r="Z93" i="5"/>
  <c r="AD93" i="5"/>
  <c r="AB93" i="5"/>
  <c r="X93" i="5"/>
  <c r="T93" i="5"/>
  <c r="AH93" i="5"/>
  <c r="R93" i="5"/>
  <c r="N93" i="5"/>
  <c r="P93" i="5"/>
  <c r="V93" i="5"/>
  <c r="AF92" i="5"/>
  <c r="Z92" i="5"/>
  <c r="AD92" i="5"/>
  <c r="AB92" i="5"/>
  <c r="X92" i="5"/>
  <c r="T92" i="5"/>
  <c r="AH92" i="5"/>
  <c r="R92" i="5"/>
  <c r="N92" i="5"/>
  <c r="P92" i="5"/>
  <c r="V92" i="5"/>
  <c r="AF91" i="5"/>
  <c r="Z91" i="5"/>
  <c r="AD91" i="5"/>
  <c r="AB91" i="5"/>
  <c r="X91" i="5"/>
  <c r="T91" i="5"/>
  <c r="AH91" i="5"/>
  <c r="R91" i="5"/>
  <c r="N91" i="5"/>
  <c r="P91" i="5"/>
  <c r="V91" i="5"/>
  <c r="AF90" i="5"/>
  <c r="Z90" i="5"/>
  <c r="AD90" i="5"/>
  <c r="AB90" i="5"/>
  <c r="X90" i="5"/>
  <c r="T90" i="5"/>
  <c r="AH90" i="5"/>
  <c r="R90" i="5"/>
  <c r="N90" i="5"/>
  <c r="P90" i="5"/>
  <c r="V90" i="5"/>
  <c r="AF89" i="5"/>
  <c r="Z89" i="5"/>
  <c r="AD89" i="5"/>
  <c r="AB89" i="5"/>
  <c r="X89" i="5"/>
  <c r="T89" i="5"/>
  <c r="AH89" i="5"/>
  <c r="R89" i="5"/>
  <c r="N89" i="5"/>
  <c r="P89" i="5"/>
  <c r="V89" i="5"/>
  <c r="AF87" i="5"/>
  <c r="Z87" i="5"/>
  <c r="AD87" i="5"/>
  <c r="AB87" i="5"/>
  <c r="X87" i="5"/>
  <c r="T87" i="5"/>
  <c r="AH87" i="5"/>
  <c r="R87" i="5"/>
  <c r="N87" i="5"/>
  <c r="P87" i="5"/>
  <c r="V87" i="5"/>
  <c r="AF86" i="5"/>
  <c r="Z86" i="5"/>
  <c r="AD86" i="5"/>
  <c r="AB86" i="5"/>
  <c r="X86" i="5"/>
  <c r="T86" i="5"/>
  <c r="AH86" i="5"/>
  <c r="R86" i="5"/>
  <c r="N86" i="5"/>
  <c r="P86" i="5"/>
  <c r="V86" i="5"/>
  <c r="AF85" i="5"/>
  <c r="Z85" i="5"/>
  <c r="AD85" i="5"/>
  <c r="AB85" i="5"/>
  <c r="X85" i="5"/>
  <c r="T85" i="5"/>
  <c r="AH85" i="5"/>
  <c r="R85" i="5"/>
  <c r="N85" i="5"/>
  <c r="P85" i="5"/>
  <c r="V85" i="5"/>
  <c r="AF84" i="5"/>
  <c r="Z84" i="5"/>
  <c r="AD84" i="5"/>
  <c r="AB84" i="5"/>
  <c r="X84" i="5"/>
  <c r="T84" i="5"/>
  <c r="AH84" i="5"/>
  <c r="R84" i="5"/>
  <c r="N84" i="5"/>
  <c r="P84" i="5"/>
  <c r="V84" i="5"/>
  <c r="AF83" i="5"/>
  <c r="Z83" i="5"/>
  <c r="AD83" i="5"/>
  <c r="AB83" i="5"/>
  <c r="X83" i="5"/>
  <c r="T83" i="5"/>
  <c r="AH83" i="5"/>
  <c r="R83" i="5"/>
  <c r="N83" i="5"/>
  <c r="P83" i="5"/>
  <c r="V83" i="5"/>
  <c r="N59" i="5"/>
  <c r="N58" i="5"/>
  <c r="P57" i="5"/>
  <c r="R57" i="5"/>
  <c r="V57" i="5"/>
  <c r="T57" i="5"/>
  <c r="AB57" i="5"/>
  <c r="N57" i="5"/>
  <c r="X57" i="5"/>
  <c r="Z57" i="5"/>
  <c r="AD57" i="5"/>
  <c r="P56" i="5"/>
  <c r="R56" i="5"/>
  <c r="V56" i="5"/>
  <c r="T56" i="5"/>
  <c r="AB56" i="5"/>
  <c r="N56" i="5"/>
  <c r="X56" i="5"/>
  <c r="Z56" i="5"/>
  <c r="AD56" i="5"/>
  <c r="P55" i="5"/>
  <c r="R55" i="5"/>
  <c r="V55" i="5"/>
  <c r="T55" i="5"/>
  <c r="AB55" i="5"/>
  <c r="N55" i="5"/>
  <c r="X55" i="5"/>
  <c r="Z55" i="5"/>
  <c r="AD55" i="5"/>
  <c r="P54" i="5"/>
  <c r="R54" i="5"/>
  <c r="V54" i="5"/>
  <c r="T54" i="5"/>
  <c r="AB54" i="5"/>
  <c r="N54" i="5"/>
  <c r="X54" i="5"/>
  <c r="Z54" i="5"/>
  <c r="AD54" i="5"/>
  <c r="P53" i="5"/>
  <c r="R53" i="5"/>
  <c r="V53" i="5"/>
  <c r="T53" i="5"/>
  <c r="AB53" i="5"/>
  <c r="N53" i="5"/>
  <c r="X53" i="5"/>
  <c r="Z53" i="5"/>
  <c r="AD53" i="5"/>
  <c r="P52" i="5"/>
  <c r="R52" i="5"/>
  <c r="V52" i="5"/>
  <c r="T52" i="5"/>
  <c r="AB52" i="5"/>
  <c r="N52" i="5"/>
  <c r="X52" i="5"/>
  <c r="Z52" i="5"/>
  <c r="AD52" i="5"/>
  <c r="P51" i="5"/>
  <c r="R51" i="5"/>
  <c r="V51" i="5"/>
  <c r="T51" i="5"/>
  <c r="AB51" i="5"/>
  <c r="N51" i="5"/>
  <c r="X51" i="5"/>
  <c r="Z51" i="5"/>
  <c r="AD51" i="5"/>
  <c r="P50" i="5"/>
  <c r="R50" i="5"/>
  <c r="V50" i="5"/>
  <c r="T50" i="5"/>
  <c r="AB50" i="5"/>
  <c r="N50" i="5"/>
  <c r="X50" i="5"/>
  <c r="Z50" i="5"/>
  <c r="AD50" i="5"/>
  <c r="P49" i="5"/>
  <c r="R49" i="5"/>
  <c r="V49" i="5"/>
  <c r="T49" i="5"/>
  <c r="AB49" i="5"/>
  <c r="N49" i="5"/>
  <c r="X49" i="5"/>
  <c r="Z49" i="5"/>
  <c r="AD49" i="5"/>
  <c r="P48" i="5"/>
  <c r="R48" i="5"/>
  <c r="V48" i="5"/>
  <c r="T48" i="5"/>
  <c r="AB48" i="5"/>
  <c r="N48" i="5"/>
  <c r="X48" i="5"/>
  <c r="Z48" i="5"/>
  <c r="AD48" i="5"/>
  <c r="P47" i="5"/>
  <c r="R47" i="5"/>
  <c r="V47" i="5"/>
  <c r="T47" i="5"/>
  <c r="AB47" i="5"/>
  <c r="N47" i="5"/>
  <c r="X47" i="5"/>
  <c r="Z47" i="5"/>
  <c r="AD47" i="5"/>
  <c r="P45" i="5"/>
  <c r="R45" i="5"/>
  <c r="V45" i="5"/>
  <c r="T45" i="5"/>
  <c r="AB45" i="5"/>
  <c r="N45" i="5"/>
  <c r="X45" i="5"/>
  <c r="Z45" i="5"/>
  <c r="AD45" i="5"/>
  <c r="P44" i="5"/>
  <c r="R44" i="5"/>
  <c r="V44" i="5"/>
  <c r="T44" i="5"/>
  <c r="AB44" i="5"/>
  <c r="N44" i="5"/>
  <c r="X44" i="5"/>
  <c r="Z44" i="5"/>
  <c r="AD44" i="5"/>
  <c r="P43" i="5"/>
  <c r="R43" i="5"/>
  <c r="V43" i="5"/>
  <c r="T43" i="5"/>
  <c r="AB43" i="5"/>
  <c r="N43" i="5"/>
  <c r="X43" i="5"/>
  <c r="Z43" i="5"/>
  <c r="AD43" i="5"/>
  <c r="P42" i="5"/>
  <c r="R42" i="5"/>
  <c r="V42" i="5"/>
  <c r="T42" i="5"/>
  <c r="AB42" i="5"/>
  <c r="N42" i="5"/>
  <c r="X42" i="5"/>
  <c r="Z42" i="5"/>
  <c r="AD42" i="5"/>
  <c r="P41" i="5"/>
  <c r="R41" i="5"/>
  <c r="V41" i="5"/>
  <c r="T41" i="5"/>
  <c r="AB41" i="5"/>
  <c r="N41" i="5"/>
  <c r="X41" i="5"/>
  <c r="Z41" i="5"/>
  <c r="AD41" i="5"/>
  <c r="P40" i="5"/>
  <c r="R40" i="5"/>
  <c r="V40" i="5"/>
  <c r="T40" i="5"/>
  <c r="AB40" i="5"/>
  <c r="N40" i="5"/>
  <c r="X40" i="5"/>
  <c r="Z40" i="5"/>
  <c r="AD40" i="5"/>
  <c r="P39" i="5"/>
  <c r="R39" i="5"/>
  <c r="V39" i="5"/>
  <c r="T39" i="5"/>
  <c r="AB39" i="5"/>
  <c r="N39" i="5"/>
  <c r="X39" i="5"/>
  <c r="Z39" i="5"/>
  <c r="AD39" i="5"/>
  <c r="P38" i="5"/>
  <c r="R38" i="5"/>
  <c r="V38" i="5"/>
  <c r="T38" i="5"/>
  <c r="AB38" i="5"/>
  <c r="N38" i="5"/>
  <c r="X38" i="5"/>
  <c r="Z38" i="5"/>
  <c r="AD38" i="5"/>
  <c r="P37" i="5"/>
  <c r="R37" i="5"/>
  <c r="V37" i="5"/>
  <c r="T37" i="5"/>
  <c r="AB37" i="5"/>
  <c r="N37" i="5"/>
  <c r="X37" i="5"/>
  <c r="Z37" i="5"/>
  <c r="AD37" i="5"/>
  <c r="P36" i="5"/>
  <c r="R36" i="5"/>
  <c r="V36" i="5"/>
  <c r="T36" i="5"/>
  <c r="AB36" i="5"/>
  <c r="N36" i="5"/>
  <c r="X36" i="5"/>
  <c r="Z36" i="5"/>
  <c r="AD36" i="5"/>
  <c r="P35" i="5"/>
  <c r="R35" i="5"/>
  <c r="V35" i="5"/>
  <c r="T35" i="5"/>
  <c r="AB35" i="5"/>
  <c r="N35" i="5"/>
  <c r="X35" i="5"/>
  <c r="Z35" i="5"/>
  <c r="AD35" i="5"/>
  <c r="P34" i="5"/>
  <c r="R34" i="5"/>
  <c r="V34" i="5"/>
  <c r="T34" i="5"/>
  <c r="AB34" i="5"/>
  <c r="N34" i="5"/>
  <c r="X34" i="5"/>
  <c r="Z34" i="5"/>
  <c r="AD34" i="5"/>
  <c r="P33" i="5"/>
  <c r="R33" i="5"/>
  <c r="V33" i="5"/>
  <c r="T33" i="5"/>
  <c r="AB33" i="5"/>
  <c r="N33" i="5"/>
  <c r="Z33" i="5"/>
  <c r="AD33" i="5"/>
  <c r="P32" i="5"/>
  <c r="R32" i="5"/>
  <c r="V32" i="5"/>
  <c r="T32" i="5"/>
  <c r="AB32" i="5"/>
  <c r="N32" i="5"/>
  <c r="X32" i="5"/>
  <c r="Z32" i="5"/>
  <c r="AD32" i="5"/>
  <c r="P31" i="5"/>
  <c r="R31" i="5"/>
  <c r="V31" i="5"/>
  <c r="T31" i="5"/>
  <c r="AB31" i="5"/>
  <c r="N31" i="5"/>
  <c r="X31" i="5"/>
  <c r="Z31" i="5"/>
  <c r="AD31" i="5"/>
  <c r="P30" i="5"/>
  <c r="R30" i="5"/>
  <c r="V30" i="5"/>
  <c r="T30" i="5"/>
  <c r="AB30" i="5"/>
  <c r="N30" i="5"/>
  <c r="X30" i="5"/>
  <c r="Z30" i="5"/>
  <c r="AD30" i="5"/>
  <c r="P29" i="5"/>
  <c r="R29" i="5"/>
  <c r="V29" i="5"/>
  <c r="T29" i="5"/>
  <c r="AB29" i="5"/>
  <c r="N29" i="5"/>
  <c r="X29" i="5"/>
  <c r="Z29" i="5"/>
  <c r="AD29" i="5"/>
  <c r="P28" i="5"/>
  <c r="R28" i="5"/>
  <c r="V28" i="5"/>
  <c r="T28" i="5"/>
  <c r="AB28" i="5"/>
  <c r="N28" i="5"/>
  <c r="X28" i="5"/>
  <c r="Z28" i="5"/>
  <c r="AD28" i="5"/>
  <c r="P27" i="5"/>
  <c r="R27" i="5"/>
  <c r="V27" i="5"/>
  <c r="T27" i="5"/>
  <c r="AB27" i="5"/>
  <c r="N27" i="5"/>
  <c r="X27" i="5"/>
  <c r="Z27" i="5"/>
  <c r="AD27" i="5"/>
  <c r="P26" i="5"/>
  <c r="R26" i="5"/>
  <c r="V26" i="5"/>
  <c r="T26" i="5"/>
  <c r="AB26" i="5"/>
  <c r="N26" i="5"/>
  <c r="X26" i="5"/>
  <c r="Z26" i="5"/>
  <c r="AD26" i="5"/>
  <c r="P25" i="5"/>
  <c r="R25" i="5"/>
  <c r="V25" i="5"/>
  <c r="T25" i="5"/>
  <c r="AB25" i="5"/>
  <c r="N25" i="5"/>
  <c r="X25" i="5"/>
  <c r="Z25" i="5"/>
  <c r="AD25" i="5"/>
  <c r="P24" i="5"/>
  <c r="R24" i="5"/>
  <c r="V24" i="5"/>
  <c r="T24" i="5"/>
  <c r="AB24" i="5"/>
  <c r="N24" i="5"/>
  <c r="X24" i="5"/>
  <c r="Z24" i="5"/>
  <c r="AD24" i="5"/>
  <c r="P23" i="5"/>
  <c r="R23" i="5"/>
  <c r="V23" i="5"/>
  <c r="T23" i="5"/>
  <c r="AB23" i="5"/>
  <c r="N23" i="5"/>
  <c r="X23" i="5"/>
  <c r="Z23" i="5"/>
  <c r="AD23" i="5"/>
  <c r="P22" i="5"/>
  <c r="R22" i="5"/>
  <c r="V22" i="5"/>
  <c r="T22" i="5"/>
  <c r="AB22" i="5"/>
  <c r="N22" i="5"/>
  <c r="X22" i="5"/>
  <c r="Z22" i="5"/>
  <c r="AD22" i="5"/>
  <c r="P21" i="5"/>
  <c r="R21" i="5"/>
  <c r="V21" i="5"/>
  <c r="T21" i="5"/>
  <c r="AB21" i="5"/>
  <c r="N21" i="5"/>
  <c r="X21" i="5"/>
  <c r="Z21" i="5"/>
  <c r="AD21" i="5"/>
  <c r="P19" i="5"/>
  <c r="R19" i="5"/>
  <c r="V19" i="5"/>
  <c r="T19" i="5"/>
  <c r="AB19" i="5"/>
  <c r="N19" i="5"/>
  <c r="X19" i="5"/>
  <c r="Z19" i="5"/>
  <c r="AD19" i="5"/>
  <c r="P18" i="5"/>
  <c r="R18" i="5"/>
  <c r="V18" i="5"/>
  <c r="T18" i="5"/>
  <c r="AB18" i="5"/>
  <c r="N18" i="5"/>
  <c r="X18" i="5"/>
  <c r="Z18" i="5"/>
  <c r="AD18" i="5"/>
  <c r="P17" i="5"/>
  <c r="R17" i="5"/>
  <c r="V17" i="5"/>
  <c r="T17" i="5"/>
  <c r="AB17" i="5"/>
  <c r="N17" i="5"/>
  <c r="X17" i="5"/>
  <c r="Z17" i="5"/>
  <c r="AD17" i="5"/>
  <c r="P16" i="5"/>
  <c r="R16" i="5"/>
  <c r="V16" i="5"/>
  <c r="T16" i="5"/>
  <c r="AB16" i="5"/>
  <c r="N16" i="5"/>
  <c r="X16" i="5"/>
  <c r="Z16" i="5"/>
  <c r="AD16" i="5"/>
  <c r="P15" i="5"/>
  <c r="R15" i="5"/>
  <c r="V15" i="5"/>
  <c r="T15" i="5"/>
  <c r="AB15" i="5"/>
  <c r="N15" i="5"/>
  <c r="X15" i="5"/>
  <c r="Z15" i="5"/>
  <c r="AD15" i="5"/>
  <c r="P31" i="4"/>
  <c r="R31" i="4"/>
  <c r="X31" i="4"/>
  <c r="Z31" i="4"/>
  <c r="AB31" i="4"/>
  <c r="AD31" i="4"/>
  <c r="AF31" i="4"/>
  <c r="AH31" i="4"/>
  <c r="AJ31" i="4"/>
  <c r="AL31" i="4"/>
  <c r="AN31" i="4"/>
  <c r="AP31" i="4"/>
  <c r="AR31" i="4"/>
  <c r="AT31" i="4"/>
  <c r="AV31" i="4"/>
  <c r="AX31" i="4"/>
  <c r="AZ31" i="4"/>
  <c r="N31" i="4"/>
  <c r="N57" i="4"/>
  <c r="N56" i="4"/>
  <c r="AZ55" i="4"/>
  <c r="AZ54" i="4"/>
  <c r="AZ53" i="4"/>
  <c r="AZ52" i="4"/>
  <c r="AZ51" i="4"/>
  <c r="AZ50" i="4"/>
  <c r="AZ49" i="4"/>
  <c r="AZ48" i="4"/>
  <c r="AZ47" i="4"/>
  <c r="AZ46" i="4"/>
  <c r="AZ45" i="4"/>
  <c r="AZ43" i="4"/>
  <c r="AZ42" i="4"/>
  <c r="AZ41" i="4"/>
  <c r="AZ39" i="4"/>
  <c r="AZ38" i="4"/>
  <c r="AZ37" i="4"/>
  <c r="AZ36" i="4"/>
  <c r="AZ35" i="4"/>
  <c r="AZ34" i="4"/>
  <c r="AZ33" i="4"/>
  <c r="AZ32" i="4"/>
  <c r="AZ30" i="4"/>
  <c r="AZ29" i="4"/>
  <c r="AZ28" i="4"/>
  <c r="AZ27" i="4"/>
  <c r="AZ26" i="4"/>
  <c r="AZ25" i="4"/>
  <c r="AZ24" i="4"/>
  <c r="AZ23" i="4"/>
  <c r="AZ22" i="4"/>
  <c r="AZ21" i="4"/>
  <c r="AZ20" i="4"/>
  <c r="AZ19" i="4"/>
  <c r="AZ17" i="4"/>
  <c r="AZ16" i="4"/>
  <c r="AZ15" i="4"/>
  <c r="AZ14" i="4"/>
  <c r="AZ13" i="4"/>
  <c r="AX55" i="4"/>
  <c r="AX54" i="4"/>
  <c r="AX53" i="4"/>
  <c r="AX52" i="4"/>
  <c r="AX51" i="4"/>
  <c r="AX50" i="4"/>
  <c r="AX49" i="4"/>
  <c r="AX48" i="4"/>
  <c r="AX47" i="4"/>
  <c r="AX46" i="4"/>
  <c r="AX45" i="4"/>
  <c r="AX43" i="4"/>
  <c r="AX42" i="4"/>
  <c r="AX41" i="4"/>
  <c r="AX40" i="4"/>
  <c r="AX39" i="4"/>
  <c r="AX38" i="4"/>
  <c r="AX37" i="4"/>
  <c r="AX36" i="4"/>
  <c r="AX35" i="4"/>
  <c r="AX34" i="4"/>
  <c r="AX33" i="4"/>
  <c r="AX32" i="4"/>
  <c r="AX30" i="4"/>
  <c r="AX29" i="4"/>
  <c r="AX28" i="4"/>
  <c r="AX27" i="4"/>
  <c r="AX26" i="4"/>
  <c r="AX25" i="4"/>
  <c r="AX24" i="4"/>
  <c r="AX23" i="4"/>
  <c r="AX22" i="4"/>
  <c r="AX21" i="4"/>
  <c r="AX20" i="4"/>
  <c r="AX19" i="4"/>
  <c r="AX17" i="4"/>
  <c r="AX16" i="4"/>
  <c r="AX15" i="4"/>
  <c r="AX14" i="4"/>
  <c r="AX13" i="4"/>
  <c r="AV55" i="4"/>
  <c r="AV54" i="4"/>
  <c r="AV53" i="4"/>
  <c r="AV52" i="4"/>
  <c r="AV51" i="4"/>
  <c r="AV50" i="4"/>
  <c r="AV49" i="4"/>
  <c r="AV48" i="4"/>
  <c r="AV47" i="4"/>
  <c r="AV46" i="4"/>
  <c r="AV45" i="4"/>
  <c r="AV43" i="4"/>
  <c r="AV42" i="4"/>
  <c r="AV41" i="4"/>
  <c r="AV40" i="4"/>
  <c r="AV39" i="4"/>
  <c r="AV38" i="4"/>
  <c r="AV37" i="4"/>
  <c r="AV36" i="4"/>
  <c r="AV35" i="4"/>
  <c r="AV34" i="4"/>
  <c r="AV33" i="4"/>
  <c r="AV32" i="4"/>
  <c r="AV30" i="4"/>
  <c r="AV29" i="4"/>
  <c r="AV28" i="4"/>
  <c r="AV27" i="4"/>
  <c r="AV26" i="4"/>
  <c r="AV25" i="4"/>
  <c r="AV24" i="4"/>
  <c r="AV23" i="4"/>
  <c r="AV22" i="4"/>
  <c r="AV21" i="4"/>
  <c r="AV20" i="4"/>
  <c r="AV19" i="4"/>
  <c r="AV17" i="4"/>
  <c r="AV16" i="4"/>
  <c r="AV15" i="4"/>
  <c r="AV14" i="4"/>
  <c r="AV13" i="4"/>
  <c r="AT55" i="4"/>
  <c r="AT54" i="4"/>
  <c r="AT53" i="4"/>
  <c r="AT52" i="4"/>
  <c r="AT51" i="4"/>
  <c r="AT50" i="4"/>
  <c r="AT49" i="4"/>
  <c r="AT48" i="4"/>
  <c r="AT47" i="4"/>
  <c r="AT46" i="4"/>
  <c r="AT45" i="4"/>
  <c r="AT43" i="4"/>
  <c r="AT42" i="4"/>
  <c r="AT41" i="4"/>
  <c r="AT39" i="4"/>
  <c r="AT38" i="4"/>
  <c r="AT37" i="4"/>
  <c r="AT36" i="4"/>
  <c r="AT35" i="4"/>
  <c r="AT34" i="4"/>
  <c r="AT33" i="4"/>
  <c r="AT32" i="4"/>
  <c r="AT30" i="4"/>
  <c r="AT29" i="4"/>
  <c r="AT28" i="4"/>
  <c r="AT27" i="4"/>
  <c r="AT26" i="4"/>
  <c r="AT25" i="4"/>
  <c r="AT24" i="4"/>
  <c r="AT23" i="4"/>
  <c r="AT22" i="4"/>
  <c r="AT21" i="4"/>
  <c r="AT20" i="4"/>
  <c r="AT19" i="4"/>
  <c r="AT17" i="4"/>
  <c r="AT16" i="4"/>
  <c r="AT15" i="4"/>
  <c r="AT14" i="4"/>
  <c r="AT13" i="4"/>
  <c r="AR55" i="4"/>
  <c r="AR54" i="4"/>
  <c r="AR53" i="4"/>
  <c r="AR52" i="4"/>
  <c r="AR51" i="4"/>
  <c r="AR50" i="4"/>
  <c r="AR49" i="4"/>
  <c r="AR48" i="4"/>
  <c r="AR47" i="4"/>
  <c r="AR46" i="4"/>
  <c r="AR45" i="4"/>
  <c r="AR43" i="4"/>
  <c r="AR42" i="4"/>
  <c r="AR41" i="4"/>
  <c r="AR40" i="4"/>
  <c r="AR39" i="4"/>
  <c r="AR38" i="4"/>
  <c r="AR37" i="4"/>
  <c r="AR36" i="4"/>
  <c r="AR35" i="4"/>
  <c r="AR34" i="4"/>
  <c r="AR33" i="4"/>
  <c r="AR32" i="4"/>
  <c r="AR30" i="4"/>
  <c r="AR29" i="4"/>
  <c r="AR28" i="4"/>
  <c r="AR27" i="4"/>
  <c r="AR26" i="4"/>
  <c r="AR25" i="4"/>
  <c r="AR24" i="4"/>
  <c r="AR23" i="4"/>
  <c r="AR22" i="4"/>
  <c r="AR21" i="4"/>
  <c r="AR20" i="4"/>
  <c r="AR19" i="4"/>
  <c r="AR17" i="4"/>
  <c r="AR16" i="4"/>
  <c r="AR15" i="4"/>
  <c r="AR14" i="4"/>
  <c r="AR13" i="4"/>
  <c r="AP55" i="4"/>
  <c r="AP54" i="4"/>
  <c r="AP53" i="4"/>
  <c r="AP52" i="4"/>
  <c r="AP51" i="4"/>
  <c r="AP50" i="4"/>
  <c r="AP49" i="4"/>
  <c r="AP48" i="4"/>
  <c r="AP47" i="4"/>
  <c r="AP46" i="4"/>
  <c r="AP45" i="4"/>
  <c r="AP43" i="4"/>
  <c r="AP42" i="4"/>
  <c r="AP41" i="4"/>
  <c r="AP40" i="4"/>
  <c r="AP39" i="4"/>
  <c r="AP38" i="4"/>
  <c r="AP37" i="4"/>
  <c r="AP36" i="4"/>
  <c r="AP35" i="4"/>
  <c r="AP34" i="4"/>
  <c r="AP33" i="4"/>
  <c r="AP32" i="4"/>
  <c r="AP30" i="4"/>
  <c r="AP29" i="4"/>
  <c r="AP28" i="4"/>
  <c r="AP27" i="4"/>
  <c r="AP26" i="4"/>
  <c r="AP25" i="4"/>
  <c r="AP24" i="4"/>
  <c r="AP23" i="4"/>
  <c r="AP22" i="4"/>
  <c r="AP21" i="4"/>
  <c r="AP20" i="4"/>
  <c r="AP19" i="4"/>
  <c r="AP17" i="4"/>
  <c r="AP16" i="4"/>
  <c r="AP15" i="4"/>
  <c r="AP14" i="4"/>
  <c r="AP13" i="4"/>
  <c r="AN55" i="4"/>
  <c r="AN54" i="4"/>
  <c r="AN53" i="4"/>
  <c r="AN52" i="4"/>
  <c r="AN51" i="4"/>
  <c r="AN50" i="4"/>
  <c r="AN49" i="4"/>
  <c r="AN48" i="4"/>
  <c r="AN47" i="4"/>
  <c r="AN46" i="4"/>
  <c r="AN45" i="4"/>
  <c r="AN43" i="4"/>
  <c r="AN42" i="4"/>
  <c r="AN41" i="4"/>
  <c r="AN39" i="4"/>
  <c r="AN38" i="4"/>
  <c r="AN37" i="4"/>
  <c r="AN36" i="4"/>
  <c r="AN35" i="4"/>
  <c r="AN34" i="4"/>
  <c r="AN33" i="4"/>
  <c r="AN32" i="4"/>
  <c r="AN30" i="4"/>
  <c r="AN29" i="4"/>
  <c r="AN28" i="4"/>
  <c r="AN27" i="4"/>
  <c r="AN26" i="4"/>
  <c r="AN25" i="4"/>
  <c r="AN24" i="4"/>
  <c r="AN23" i="4"/>
  <c r="AN22" i="4"/>
  <c r="AN21" i="4"/>
  <c r="AN20" i="4"/>
  <c r="AN19" i="4"/>
  <c r="AN17" i="4"/>
  <c r="AN16" i="4"/>
  <c r="AN15" i="4"/>
  <c r="AN14" i="4"/>
  <c r="AN13" i="4"/>
  <c r="AL55" i="4"/>
  <c r="AL54" i="4"/>
  <c r="AL53" i="4"/>
  <c r="AL52" i="4"/>
  <c r="AL51" i="4"/>
  <c r="AL50" i="4"/>
  <c r="AL49" i="4"/>
  <c r="AL48" i="4"/>
  <c r="AL47" i="4"/>
  <c r="AL46" i="4"/>
  <c r="AL45" i="4"/>
  <c r="AL43" i="4"/>
  <c r="AL42" i="4"/>
  <c r="AL41" i="4"/>
  <c r="AL40" i="4"/>
  <c r="AL39" i="4"/>
  <c r="AL38" i="4"/>
  <c r="AL37" i="4"/>
  <c r="AL36" i="4"/>
  <c r="AL35" i="4"/>
  <c r="AL34" i="4"/>
  <c r="AL33" i="4"/>
  <c r="AL32" i="4"/>
  <c r="AL30" i="4"/>
  <c r="AL29" i="4"/>
  <c r="AL28" i="4"/>
  <c r="AL27" i="4"/>
  <c r="AL26" i="4"/>
  <c r="AL25" i="4"/>
  <c r="AL24" i="4"/>
  <c r="AL23" i="4"/>
  <c r="AL22" i="4"/>
  <c r="AL21" i="4"/>
  <c r="AL20" i="4"/>
  <c r="AL19" i="4"/>
  <c r="AL17" i="4"/>
  <c r="AL16" i="4"/>
  <c r="AL15" i="4"/>
  <c r="AL14" i="4"/>
  <c r="AL13" i="4"/>
  <c r="AJ55" i="4"/>
  <c r="AJ54" i="4"/>
  <c r="AJ53" i="4"/>
  <c r="AJ52" i="4"/>
  <c r="AJ51" i="4"/>
  <c r="AJ50" i="4"/>
  <c r="AJ49" i="4"/>
  <c r="AJ48" i="4"/>
  <c r="AJ47" i="4"/>
  <c r="AJ46" i="4"/>
  <c r="AJ45" i="4"/>
  <c r="AJ43" i="4"/>
  <c r="AJ42" i="4"/>
  <c r="AJ41" i="4"/>
  <c r="AJ40" i="4"/>
  <c r="AJ39" i="4"/>
  <c r="AJ38" i="4"/>
  <c r="AJ37" i="4"/>
  <c r="AJ36" i="4"/>
  <c r="AJ35" i="4"/>
  <c r="AJ34" i="4"/>
  <c r="AJ33" i="4"/>
  <c r="AJ32" i="4"/>
  <c r="AJ30" i="4"/>
  <c r="AJ29" i="4"/>
  <c r="AJ28" i="4"/>
  <c r="AJ27" i="4"/>
  <c r="AJ26" i="4"/>
  <c r="AJ25" i="4"/>
  <c r="AJ24" i="4"/>
  <c r="AJ23" i="4"/>
  <c r="AJ22" i="4"/>
  <c r="AJ21" i="4"/>
  <c r="AJ20" i="4"/>
  <c r="AJ19" i="4"/>
  <c r="AJ17" i="4"/>
  <c r="AJ16" i="4"/>
  <c r="AJ15" i="4"/>
  <c r="AJ14" i="4"/>
  <c r="AJ13" i="4"/>
  <c r="AH55" i="4"/>
  <c r="AH54" i="4"/>
  <c r="AH53" i="4"/>
  <c r="AH52" i="4"/>
  <c r="AH51" i="4"/>
  <c r="AH50" i="4"/>
  <c r="AH49" i="4"/>
  <c r="AH48" i="4"/>
  <c r="AH47" i="4"/>
  <c r="AH46" i="4"/>
  <c r="AH45" i="4"/>
  <c r="AH43" i="4"/>
  <c r="AH42" i="4"/>
  <c r="AH41" i="4"/>
  <c r="AH39" i="4"/>
  <c r="AH38" i="4"/>
  <c r="AH37" i="4"/>
  <c r="AH36" i="4"/>
  <c r="AH35" i="4"/>
  <c r="AH34" i="4"/>
  <c r="AH33" i="4"/>
  <c r="AH32" i="4"/>
  <c r="AH30" i="4"/>
  <c r="AH29" i="4"/>
  <c r="AH28" i="4"/>
  <c r="AH27" i="4"/>
  <c r="AH26" i="4"/>
  <c r="AH25" i="4"/>
  <c r="AH24" i="4"/>
  <c r="AH23" i="4"/>
  <c r="AH22" i="4"/>
  <c r="AH21" i="4"/>
  <c r="AH20" i="4"/>
  <c r="AH19" i="4"/>
  <c r="AH17" i="4"/>
  <c r="AH16" i="4"/>
  <c r="AH15" i="4"/>
  <c r="AH14" i="4"/>
  <c r="AH13" i="4"/>
  <c r="AF55" i="4"/>
  <c r="AF54" i="4"/>
  <c r="AF53" i="4"/>
  <c r="AF52" i="4"/>
  <c r="AF51" i="4"/>
  <c r="AF50" i="4"/>
  <c r="AF49" i="4"/>
  <c r="AF48" i="4"/>
  <c r="AF47" i="4"/>
  <c r="AF46" i="4"/>
  <c r="AF45" i="4"/>
  <c r="AF43" i="4"/>
  <c r="AF42" i="4"/>
  <c r="AF41" i="4"/>
  <c r="AF40" i="4"/>
  <c r="AF39" i="4"/>
  <c r="AF38" i="4"/>
  <c r="AF37" i="4"/>
  <c r="AF36" i="4"/>
  <c r="AF35" i="4"/>
  <c r="AF34" i="4"/>
  <c r="AF33" i="4"/>
  <c r="AF32" i="4"/>
  <c r="AF30" i="4"/>
  <c r="AF29" i="4"/>
  <c r="AF28" i="4"/>
  <c r="AF27" i="4"/>
  <c r="AF26" i="4"/>
  <c r="AF25" i="4"/>
  <c r="AF24" i="4"/>
  <c r="AF23" i="4"/>
  <c r="AF22" i="4"/>
  <c r="AF21" i="4"/>
  <c r="AF20" i="4"/>
  <c r="AF19" i="4"/>
  <c r="AF17" i="4"/>
  <c r="AF16" i="4"/>
  <c r="AF15" i="4"/>
  <c r="AF14" i="4"/>
  <c r="AF13" i="4"/>
  <c r="AD55" i="4"/>
  <c r="AD54" i="4"/>
  <c r="AD53" i="4"/>
  <c r="AD52" i="4"/>
  <c r="AD51" i="4"/>
  <c r="AD50" i="4"/>
  <c r="AD49" i="4"/>
  <c r="AD48" i="4"/>
  <c r="AD47" i="4"/>
  <c r="AD46" i="4"/>
  <c r="AD45" i="4"/>
  <c r="AD43" i="4"/>
  <c r="AD42" i="4"/>
  <c r="AD41" i="4"/>
  <c r="AD40" i="4"/>
  <c r="AD39" i="4"/>
  <c r="AD38" i="4"/>
  <c r="AD37" i="4"/>
  <c r="AD36" i="4"/>
  <c r="AD35" i="4"/>
  <c r="AD34" i="4"/>
  <c r="AD33" i="4"/>
  <c r="AD32" i="4"/>
  <c r="AD30" i="4"/>
  <c r="AD29" i="4"/>
  <c r="AD28" i="4"/>
  <c r="AD27" i="4"/>
  <c r="AD26" i="4"/>
  <c r="AD25" i="4"/>
  <c r="AD24" i="4"/>
  <c r="AD23" i="4"/>
  <c r="AD22" i="4"/>
  <c r="AD21" i="4"/>
  <c r="AD20" i="4"/>
  <c r="AD19" i="4"/>
  <c r="AD17" i="4"/>
  <c r="AD16" i="4"/>
  <c r="AD15" i="4"/>
  <c r="AD14" i="4"/>
  <c r="AD13" i="4"/>
  <c r="AB55" i="4"/>
  <c r="AB54" i="4"/>
  <c r="AB53" i="4"/>
  <c r="AB52" i="4"/>
  <c r="AB51" i="4"/>
  <c r="AB50" i="4"/>
  <c r="AB49" i="4"/>
  <c r="AB48" i="4"/>
  <c r="AB47" i="4"/>
  <c r="AB46" i="4"/>
  <c r="AB45" i="4"/>
  <c r="AB43" i="4"/>
  <c r="AB42" i="4"/>
  <c r="AB41" i="4"/>
  <c r="AB40" i="4"/>
  <c r="AB39" i="4"/>
  <c r="AB38" i="4"/>
  <c r="AB37" i="4"/>
  <c r="AB36" i="4"/>
  <c r="AB35" i="4"/>
  <c r="AB34" i="4"/>
  <c r="AB33" i="4"/>
  <c r="AB32" i="4"/>
  <c r="AB30" i="4"/>
  <c r="AB29" i="4"/>
  <c r="AB28" i="4"/>
  <c r="AB27" i="4"/>
  <c r="AB26" i="4"/>
  <c r="AB25" i="4"/>
  <c r="AB24" i="4"/>
  <c r="AB23" i="4"/>
  <c r="AB22" i="4"/>
  <c r="AB21" i="4"/>
  <c r="AB20" i="4"/>
  <c r="AB19" i="4"/>
  <c r="AB17" i="4"/>
  <c r="AB16" i="4"/>
  <c r="AB15" i="4"/>
  <c r="AB14" i="4"/>
  <c r="AB13" i="4"/>
  <c r="Z55" i="4"/>
  <c r="Z54" i="4"/>
  <c r="Z53" i="4"/>
  <c r="Z52" i="4"/>
  <c r="Z51" i="4"/>
  <c r="Z50" i="4"/>
  <c r="Z49" i="4"/>
  <c r="Z48" i="4"/>
  <c r="Z47" i="4"/>
  <c r="Z46" i="4"/>
  <c r="Z45" i="4"/>
  <c r="Z43" i="4"/>
  <c r="Z42" i="4"/>
  <c r="Z41" i="4"/>
  <c r="Z40" i="4"/>
  <c r="Z39" i="4"/>
  <c r="Z38" i="4"/>
  <c r="Z37" i="4"/>
  <c r="Z36" i="4"/>
  <c r="Z35" i="4"/>
  <c r="Z34" i="4"/>
  <c r="Z33" i="4"/>
  <c r="Z32" i="4"/>
  <c r="Z30" i="4"/>
  <c r="Z29" i="4"/>
  <c r="Z28" i="4"/>
  <c r="Z27" i="4"/>
  <c r="Z26" i="4"/>
  <c r="Z25" i="4"/>
  <c r="Z24" i="4"/>
  <c r="Z23" i="4"/>
  <c r="Z22" i="4"/>
  <c r="Z21" i="4"/>
  <c r="Z20" i="4"/>
  <c r="Z19" i="4"/>
  <c r="Z17" i="4"/>
  <c r="Z16" i="4"/>
  <c r="Z15" i="4"/>
  <c r="Z14" i="4"/>
  <c r="Z13" i="4"/>
  <c r="X55" i="4"/>
  <c r="X54" i="4"/>
  <c r="X53" i="4"/>
  <c r="X52" i="4"/>
  <c r="X51" i="4"/>
  <c r="X50" i="4"/>
  <c r="X49" i="4"/>
  <c r="X48" i="4"/>
  <c r="X47" i="4"/>
  <c r="X46" i="4"/>
  <c r="X45" i="4"/>
  <c r="X43" i="4"/>
  <c r="X42" i="4"/>
  <c r="X41" i="4"/>
  <c r="X40" i="4"/>
  <c r="X39" i="4"/>
  <c r="X38" i="4"/>
  <c r="X37" i="4"/>
  <c r="X36" i="4"/>
  <c r="X35" i="4"/>
  <c r="X34" i="4"/>
  <c r="X33" i="4"/>
  <c r="X32" i="4"/>
  <c r="X30" i="4"/>
  <c r="X29" i="4"/>
  <c r="X28" i="4"/>
  <c r="X27" i="4"/>
  <c r="X26" i="4"/>
  <c r="X25" i="4"/>
  <c r="X24" i="4"/>
  <c r="X23" i="4"/>
  <c r="X22" i="4"/>
  <c r="X21" i="4"/>
  <c r="X20" i="4"/>
  <c r="X19" i="4"/>
  <c r="X17" i="4"/>
  <c r="X16" i="4"/>
  <c r="X15" i="4"/>
  <c r="X14" i="4"/>
  <c r="X13" i="4"/>
  <c r="R55" i="4"/>
  <c r="R54" i="4"/>
  <c r="R53" i="4"/>
  <c r="R52" i="4"/>
  <c r="R51" i="4"/>
  <c r="R50" i="4"/>
  <c r="R49" i="4"/>
  <c r="R48" i="4"/>
  <c r="R47" i="4"/>
  <c r="R46" i="4"/>
  <c r="R45" i="4"/>
  <c r="R43" i="4"/>
  <c r="R42" i="4"/>
  <c r="R41" i="4"/>
  <c r="R40" i="4"/>
  <c r="R39" i="4"/>
  <c r="R38" i="4"/>
  <c r="R37" i="4"/>
  <c r="R36" i="4"/>
  <c r="R35" i="4"/>
  <c r="R34" i="4"/>
  <c r="R33" i="4"/>
  <c r="R32" i="4"/>
  <c r="R30" i="4"/>
  <c r="R29" i="4"/>
  <c r="R28" i="4"/>
  <c r="R27" i="4"/>
  <c r="R26" i="4"/>
  <c r="R25" i="4"/>
  <c r="R24" i="4"/>
  <c r="R23" i="4"/>
  <c r="R22" i="4"/>
  <c r="R21" i="4"/>
  <c r="R20" i="4"/>
  <c r="R19" i="4"/>
  <c r="R17" i="4"/>
  <c r="R16" i="4"/>
  <c r="R15" i="4"/>
  <c r="R14" i="4"/>
  <c r="R13" i="4"/>
  <c r="T55" i="4"/>
  <c r="T54" i="4"/>
  <c r="T53" i="4"/>
  <c r="T52" i="4"/>
  <c r="T51" i="4"/>
  <c r="T50" i="4"/>
  <c r="T49" i="4"/>
  <c r="T48" i="4"/>
  <c r="T47" i="4"/>
  <c r="T46" i="4"/>
  <c r="T45" i="4"/>
  <c r="T43" i="4"/>
  <c r="T42" i="4"/>
  <c r="T41" i="4"/>
  <c r="T40" i="4"/>
  <c r="T39" i="4"/>
  <c r="T38" i="4"/>
  <c r="T37" i="4"/>
  <c r="T36" i="4"/>
  <c r="T35" i="4"/>
  <c r="T34" i="4"/>
  <c r="T33" i="4"/>
  <c r="T32" i="4"/>
  <c r="T30" i="4"/>
  <c r="T29" i="4"/>
  <c r="T28" i="4"/>
  <c r="T27" i="4"/>
  <c r="T26" i="4"/>
  <c r="T25" i="4"/>
  <c r="T24" i="4"/>
  <c r="T23" i="4"/>
  <c r="T22" i="4"/>
  <c r="T21" i="4"/>
  <c r="T20" i="4"/>
  <c r="T19" i="4"/>
  <c r="T17" i="4"/>
  <c r="T16" i="4"/>
  <c r="T15" i="4"/>
  <c r="T14" i="4"/>
  <c r="T13" i="4"/>
  <c r="V55" i="4"/>
  <c r="V54" i="4"/>
  <c r="V53" i="4"/>
  <c r="V52" i="4"/>
  <c r="V51" i="4"/>
  <c r="V50" i="4"/>
  <c r="V49" i="4"/>
  <c r="V48" i="4"/>
  <c r="V47" i="4"/>
  <c r="V46" i="4"/>
  <c r="V45" i="4"/>
  <c r="V43" i="4"/>
  <c r="V42" i="4"/>
  <c r="V41" i="4"/>
  <c r="V40" i="4"/>
  <c r="V39" i="4"/>
  <c r="V38" i="4"/>
  <c r="V37" i="4"/>
  <c r="V36" i="4"/>
  <c r="V35" i="4"/>
  <c r="V34" i="4"/>
  <c r="V33" i="4"/>
  <c r="V32" i="4"/>
  <c r="V30" i="4"/>
  <c r="V29" i="4"/>
  <c r="V28" i="4"/>
  <c r="V27" i="4"/>
  <c r="V26" i="4"/>
  <c r="V25" i="4"/>
  <c r="V24" i="4"/>
  <c r="V23" i="4"/>
  <c r="V22" i="4"/>
  <c r="V21" i="4"/>
  <c r="V20" i="4"/>
  <c r="V19" i="4"/>
  <c r="V17" i="4"/>
  <c r="V16" i="4"/>
  <c r="V15" i="4"/>
  <c r="V14" i="4"/>
  <c r="V13" i="4"/>
  <c r="P55" i="4"/>
  <c r="P54" i="4"/>
  <c r="P53" i="4"/>
  <c r="P52" i="4"/>
  <c r="P51" i="4"/>
  <c r="P50" i="4"/>
  <c r="P49" i="4"/>
  <c r="P48" i="4"/>
  <c r="P47" i="4"/>
  <c r="P46" i="4"/>
  <c r="P45" i="4"/>
  <c r="P43" i="4"/>
  <c r="P42" i="4"/>
  <c r="P41" i="4"/>
  <c r="P40" i="4"/>
  <c r="P39" i="4"/>
  <c r="P38" i="4"/>
  <c r="P37" i="4"/>
  <c r="P36" i="4"/>
  <c r="P35" i="4"/>
  <c r="P34" i="4"/>
  <c r="P33" i="4"/>
  <c r="P32" i="4"/>
  <c r="P30" i="4"/>
  <c r="P29" i="4"/>
  <c r="P28" i="4"/>
  <c r="P27" i="4"/>
  <c r="P26" i="4"/>
  <c r="P25" i="4"/>
  <c r="P24" i="4"/>
  <c r="P23" i="4"/>
  <c r="P22" i="4"/>
  <c r="P21" i="4"/>
  <c r="P20" i="4"/>
  <c r="P19" i="4"/>
  <c r="P17" i="4"/>
  <c r="P16" i="4"/>
  <c r="P15" i="4"/>
  <c r="P14" i="4"/>
  <c r="P13" i="4"/>
  <c r="N13" i="4"/>
  <c r="N55" i="4"/>
  <c r="N54" i="4"/>
  <c r="N53" i="4"/>
  <c r="N52" i="4"/>
  <c r="N51" i="4"/>
  <c r="N50" i="4"/>
  <c r="N49" i="4"/>
  <c r="N48" i="4"/>
  <c r="N47" i="4"/>
  <c r="N46" i="4"/>
  <c r="N45" i="4"/>
  <c r="N43" i="4"/>
  <c r="N42" i="4"/>
  <c r="N41" i="4"/>
  <c r="N40" i="4"/>
  <c r="N39" i="4"/>
  <c r="N38" i="4"/>
  <c r="N37" i="4"/>
  <c r="N36" i="4"/>
  <c r="N35" i="4"/>
  <c r="N34" i="4"/>
  <c r="N33" i="4"/>
  <c r="N32" i="4"/>
  <c r="N30" i="4"/>
  <c r="N29" i="4"/>
  <c r="N28" i="4"/>
  <c r="N27" i="4"/>
  <c r="N26" i="4"/>
  <c r="N25" i="4"/>
  <c r="N24" i="4"/>
  <c r="N23" i="4"/>
  <c r="N22" i="4"/>
  <c r="N21" i="4"/>
  <c r="N20" i="4"/>
  <c r="N19" i="4"/>
  <c r="N17" i="4"/>
  <c r="N16" i="4"/>
  <c r="N14" i="4"/>
  <c r="N15" i="4"/>
</calcChain>
</file>

<file path=xl/sharedStrings.xml><?xml version="1.0" encoding="utf-8"?>
<sst xmlns="http://schemas.openxmlformats.org/spreadsheetml/2006/main" count="1694" uniqueCount="282">
  <si>
    <t>Epilepsy Prodrome Library Search</t>
  </si>
  <si>
    <t>Results Viewed</t>
  </si>
  <si>
    <t>Completed Search</t>
  </si>
  <si>
    <t>Date Last Accessed</t>
  </si>
  <si>
    <t>Search Database</t>
  </si>
  <si>
    <t>URL</t>
  </si>
  <si>
    <t>Search Terms</t>
  </si>
  <si>
    <t>From Year</t>
  </si>
  <si>
    <t>To Year</t>
  </si>
  <si>
    <t>Sorted By</t>
  </si>
  <si>
    <t>No. Results</t>
  </si>
  <si>
    <t>From</t>
  </si>
  <si>
    <t>To</t>
  </si>
  <si>
    <t>Yes</t>
  </si>
  <si>
    <t>No</t>
  </si>
  <si>
    <t>Google Scholar</t>
  </si>
  <si>
    <t>https://scholar.google.com/schhp?hl=en-US</t>
  </si>
  <si>
    <t>Relevance</t>
  </si>
  <si>
    <t>Epilepsy Seizure Self-Prediction</t>
  </si>
  <si>
    <t>Epilepsy Seizure "Self-Prediction"</t>
  </si>
  <si>
    <t>Epilepsy Seizure Preictal</t>
  </si>
  <si>
    <t>epilep* phenomen* (preictal OR pre-ictal OR prodrom* OR "pre ictal")</t>
  </si>
  <si>
    <t>Seizure Prediction Preictal</t>
  </si>
  <si>
    <t>Patient Seizure Premonition</t>
  </si>
  <si>
    <t>Seizure (Epilepsy OR Epileptic) AND (Prodrome OR Preictal) "Behaviour Change"</t>
  </si>
  <si>
    <t>Epilepsy "Clinical Study" AND (Preictal OR Prodrome)</t>
  </si>
  <si>
    <t>Epilepsy Seizure Prediction</t>
  </si>
  <si>
    <t>Epilepsy Seizure Precursor</t>
  </si>
  <si>
    <t>Patient Reported Prodrome Epilepsy</t>
  </si>
  <si>
    <t>Epilepsy Preictal Headache</t>
  </si>
  <si>
    <t>(epilepsy OR epileptic) (preictal OR prodromal OR prodrome OR pre-ictal) (dysphoria OR "dysphoric mood" OR irritability OR "mood change")</t>
  </si>
  <si>
    <t>mood change preceding epileptic seizures</t>
  </si>
  <si>
    <t>seizure (epilepsy OR epileptic) AND (headache OR nausea OR depersonalisation OR dizziness) AND (pre-ictal OR preictal OR prodrome)</t>
  </si>
  <si>
    <t>seizure (epilepsy OR epileptic) (nausea OR depersonalization OR dizziness OR vomiting OR dysphori*) AND (preictal OR pre-ictal OR prodrome)</t>
  </si>
  <si>
    <t>PubMed</t>
  </si>
  <si>
    <t>http://www.ncbi.nlm.nih.gov/pmc/</t>
  </si>
  <si>
    <t>Epilepsy Preictal</t>
  </si>
  <si>
    <t>Epilepsy Preictal Phenomena</t>
  </si>
  <si>
    <t>Epilepsy Seizure Prodrome</t>
  </si>
  <si>
    <t>Epilepsy Pre-Seizure State</t>
  </si>
  <si>
    <t>Epilepsy Seizure-Prone State</t>
  </si>
  <si>
    <t>Patient Reported Prodrome</t>
  </si>
  <si>
    <t>Citations</t>
  </si>
  <si>
    <t>Duration of study
(if stated)</t>
  </si>
  <si>
    <t>Headache</t>
  </si>
  <si>
    <t>Migraine</t>
  </si>
  <si>
    <t>Mood change</t>
  </si>
  <si>
    <t>Nausea
Epigastric sensation</t>
  </si>
  <si>
    <t>Vomiting</t>
  </si>
  <si>
    <t>Tremor</t>
  </si>
  <si>
    <t>Irritability</t>
  </si>
  <si>
    <t>Depression</t>
  </si>
  <si>
    <t>Anxiety</t>
  </si>
  <si>
    <t>Funny feeling</t>
  </si>
  <si>
    <t>Sleepiness 
Fatigue</t>
  </si>
  <si>
    <t>Other sleep 
problems</t>
  </si>
  <si>
    <t>Behavioural change</t>
  </si>
  <si>
    <t>Speech disturbance</t>
  </si>
  <si>
    <t>Hyperphagia</t>
  </si>
  <si>
    <t>Restlessness</t>
  </si>
  <si>
    <t>Concentration -</t>
  </si>
  <si>
    <t>Derealization</t>
  </si>
  <si>
    <t>Confusion 
Cognitive disturb.</t>
  </si>
  <si>
    <t>Type</t>
  </si>
  <si>
    <t>Title</t>
  </si>
  <si>
    <t>Authors</t>
  </si>
  <si>
    <t>Year</t>
  </si>
  <si>
    <t>Notes</t>
  </si>
  <si>
    <t>The prevalence of migraine and tension type headaches among epileptic patients</t>
  </si>
  <si>
    <t>Ashjazadeh, Nahid; Jowkar, Hakimeh</t>
  </si>
  <si>
    <t>7mths</t>
  </si>
  <si>
    <t>Headaches associated with symptomatic epilepsy in adults</t>
  </si>
  <si>
    <t>Atic, S; Atic, D; Curuvilja, R Amanovic; Savic, M</t>
  </si>
  <si>
    <t>Abstract only.</t>
  </si>
  <si>
    <t>Headache and Epilepsy</t>
  </si>
  <si>
    <t>Bauer, P R; Carpay, J A; Terwindt, G M; et al</t>
  </si>
  <si>
    <t>Mood change preceding epileptic seizures</t>
  </si>
  <si>
    <t>Blanchet, Paulette: Frommer, Gabriel P</t>
  </si>
  <si>
    <t>&gt; 56days</t>
  </si>
  <si>
    <r>
      <rPr>
        <sz val="12"/>
        <color rgb="FF53669E"/>
        <rFont val="Calibri"/>
        <family val="2"/>
        <scheme val="minor"/>
      </rPr>
      <t xml:space="preserve">Decline in preictal mood in 13 patients. Decline most prominent on Depression, Anxiety, Freedom, and Anger scales. One patient's mood rose significantly before seizures. </t>
    </r>
    <r>
      <rPr>
        <b/>
        <i/>
        <sz val="12"/>
        <color rgb="FF53669E"/>
        <rFont val="Calibri"/>
        <scheme val="minor"/>
      </rPr>
      <t>Abstract only.</t>
    </r>
  </si>
  <si>
    <t>Peri-ictal Headache in Children: Prevalence and Character</t>
  </si>
  <si>
    <t>Cai, Shayne; Hamiwka, Lorie D; Wirral, Elaine C</t>
  </si>
  <si>
    <r>
      <t xml:space="preserve">12% of patients reported preictal headaches of which 50% had "clear migranous features". </t>
    </r>
    <r>
      <rPr>
        <b/>
        <i/>
        <sz val="12"/>
        <color rgb="FF53669E"/>
        <rFont val="Calibri"/>
        <scheme val="minor"/>
      </rPr>
      <t>Abstract only.</t>
    </r>
  </si>
  <si>
    <t>Changes in physiological tremor associated with an epileptic seizure: a case report</t>
  </si>
  <si>
    <t>Daneault, Jean-Francois; Carignan, Benoit; et al</t>
  </si>
  <si>
    <t>Seizure prediction and recall</t>
  </si>
  <si>
    <t>DuBois, J M; Boylan, L S; Shiyko, M; Barr, W B; et al</t>
  </si>
  <si>
    <t>Interictal and periictal headache in patients with epilepsy</t>
  </si>
  <si>
    <t>Duchaczek, B; Ghaeni, L; Matzen, J; Holtkamp, M</t>
  </si>
  <si>
    <t>Relations between epileptic seizures and headaches</t>
  </si>
  <si>
    <t>Gameleira, Fernando Tenorio; Ataide Jr, Luiz; et al</t>
  </si>
  <si>
    <t>12mths</t>
  </si>
  <si>
    <t>Multi-Centre Study on Migraine and Seizure-Related Headache in Patients with Epilepsy</t>
  </si>
  <si>
    <t>HELP (Headache in Epilepsy) Work Group</t>
  </si>
  <si>
    <t>Clinical features of the pre-ictal state: Mood changes and premonitory symptoms</t>
  </si>
  <si>
    <t>Haut, Sheryl; Hall, Charles B; Borkowski, Thomas; et al</t>
  </si>
  <si>
    <t>12-14wks</t>
  </si>
  <si>
    <t>Modeling seizure self-rediction: An e-diary study</t>
  </si>
  <si>
    <t>Can patients with epilepsy predict their seizures?</t>
  </si>
  <si>
    <t>Haut, Sheryl; Hall, Charles B; LeValley, Aaron J; et al</t>
  </si>
  <si>
    <r>
      <t xml:space="preserve">Overall specificity of positive prediction was 83.2% and sensitivity 31.9%. Promonitory/prodromal symptoms not specified. </t>
    </r>
    <r>
      <rPr>
        <b/>
        <i/>
        <sz val="12"/>
        <color rgb="FF53669E"/>
        <rFont val="Calibri"/>
        <scheme val="minor"/>
      </rPr>
      <t>Abstract only.</t>
    </r>
  </si>
  <si>
    <t>Seizure occurrence: Precipitants and prediction</t>
  </si>
  <si>
    <t>Haut, Sheryl; Hall, Charles B; Masur, Jonathan; et al</t>
  </si>
  <si>
    <r>
      <t>Promonitory/prodromal symptoms not specified.</t>
    </r>
    <r>
      <rPr>
        <b/>
        <i/>
        <sz val="12"/>
        <color rgb="FF53669E"/>
        <rFont val="Calibri"/>
        <scheme val="minor"/>
      </rPr>
      <t xml:space="preserve"> Abstract only.</t>
    </r>
  </si>
  <si>
    <t>Periictal and interictal headache including migraine in Dutch patients with epilepsy: A cross-sectional study</t>
  </si>
  <si>
    <t>Hofstra, W A; Hageman, G; de Weerd, A W</t>
  </si>
  <si>
    <t>10mths</t>
  </si>
  <si>
    <t>29% of patients reported solely seizure related headaches. 22% reported seizure related and interictal headaches.</t>
  </si>
  <si>
    <t>Premonitory symptoms in epilepsy</t>
  </si>
  <si>
    <t>Hughes, J; Devinsky, O; Feldmann, E; Bromfield, E</t>
  </si>
  <si>
    <t>Headache Associated with Epileptic Seizures: Epidemiology and Clinical Characteristics</t>
  </si>
  <si>
    <t>Islam, M D Rafiqul; Rashid, Shamim; et al</t>
  </si>
  <si>
    <t>24mths</t>
  </si>
  <si>
    <t>Headache in patients with epilepsy: A prospective incidence study</t>
  </si>
  <si>
    <t>Kwan, Patrick; Man, Celeste B L; Leung, Howan; et al</t>
  </si>
  <si>
    <t>3mths</t>
  </si>
  <si>
    <t>Perceived self-control of seizures in patients with uncontrolled partial epilepsy</t>
  </si>
  <si>
    <t>Lee, S A; No, Y J</t>
  </si>
  <si>
    <t>12% of patients with uncontrolled partial epilepsy reported prodrome.</t>
  </si>
  <si>
    <t>Headache in epilepsy: prevalence and clinical features</t>
  </si>
  <si>
    <t>Mainieri, G; Cevoli, S; Giannini, G; Zummo, L; et al</t>
  </si>
  <si>
    <t>Are prodromes preictal events? A prospective PDA-based study</t>
  </si>
  <si>
    <t>Maiwald, Thomas; Blumberg, Julie; Timmer, Jens; et al</t>
  </si>
  <si>
    <t>4wks</t>
  </si>
  <si>
    <t>In 9 patients returning data, the majority of prodrome entries were not followed by seizures or were indentified only retrospectively. No patient could outperform a nonspecific random predictor when predicting seizures based on prodromes. Group performance precisely matched the expected result for a by-chance prediction.</t>
  </si>
  <si>
    <t>Clinical evaluation of headache in patients with epilepsy in a tertiary care hospital</t>
  </si>
  <si>
    <t>Mugundhan, K; Ramakrishnan, TCR</t>
  </si>
  <si>
    <t>Interictal dysphoric disorder and periictal dysphoric symptoms in patients with epilepsy</t>
  </si>
  <si>
    <t>Mula, Marco; Jauch, Regina; Cavanna, Andrea; et al</t>
  </si>
  <si>
    <t>Mula, Marco; Schmitz, Bettina; Jauch, Regina; et al</t>
  </si>
  <si>
    <t>Clinical charactarization of the pre-ictal state in the pediatric population: A caretaker's perspective</t>
  </si>
  <si>
    <t>Patel, P; Ferastraoaru, V; Gold, D; Lipnick, A; et al</t>
  </si>
  <si>
    <t>The lived experience of initial symptoms of and factors triggering epileptic seizures</t>
  </si>
  <si>
    <t>Pinikahana, Jaya; Dono, Joanne</t>
  </si>
  <si>
    <r>
      <t>86.9% of PWE and 74% of carers reported experiencing at least one symptom prior to a seizure. Among PWE and their carers, 63.6% and 51.3% respectively indicated that they can tell when a seizure is about to occur.</t>
    </r>
    <r>
      <rPr>
        <b/>
        <i/>
        <sz val="12"/>
        <color rgb="FF53669E"/>
        <rFont val="Calibri"/>
        <scheme val="minor"/>
      </rPr>
      <t xml:space="preserve"> Abstract only.</t>
    </r>
  </si>
  <si>
    <t>Initial symptoms, precipitant factors, and techniques to control epileptic seizures: The carer's perspective</t>
  </si>
  <si>
    <r>
      <t xml:space="preserve">74.4% of carers reported patients experienced at least one symptom prior to a seizure, 88.5% reported that their patients experienced at least one seizure as a result of a specific event. </t>
    </r>
    <r>
      <rPr>
        <b/>
        <i/>
        <sz val="12"/>
        <color rgb="FF53669E"/>
        <rFont val="Calibri"/>
        <scheme val="minor"/>
      </rPr>
      <t>Abstract only.</t>
    </r>
  </si>
  <si>
    <t>Hungarian multicentre epidemiologic study of the warning and initial symptoms (prodrome, aura) of epilptic seizures</t>
  </si>
  <si>
    <t>Rajna, P; Clemens, B; Csibri, E; Dobos, E; Geregely, A; et al</t>
  </si>
  <si>
    <t>Prodromal symptoms in epileptic patients: Clinical characterization of the pre-ictal phase</t>
  </si>
  <si>
    <t>Scaramelli, Alejandro; Braga, Patricia; Avallanal, Andrea; et al</t>
  </si>
  <si>
    <t>Seizure anticipation by patients with focal and generalized epilepsy: A multicentre assessment of premonitory symptoms</t>
  </si>
  <si>
    <t>Schulze-Bonhage, Andreas; Kurth, Christoph; et al</t>
  </si>
  <si>
    <t>Correlation between headaches and affective symptoms in patients with epilepsy</t>
  </si>
  <si>
    <t>Seo, Ji-Hye; Joo, Eun Yeon; Seo, Dae-Won; et al</t>
  </si>
  <si>
    <t>Subjective and objective premonitory symptoms as epileptic prodromes</t>
  </si>
  <si>
    <t>Sue, Hironari; Miyamoto, Chikako; Iwasaki, Hiroshi; et al</t>
  </si>
  <si>
    <t>Headaches add to the burden of epilepsy</t>
  </si>
  <si>
    <t>Syvertsen, Marte; Helde, Grethe; Stovner, Lars; et al</t>
  </si>
  <si>
    <t>Comorbidity between headache and epilepsy in a pediatric headache center</t>
  </si>
  <si>
    <t>Toldo, Irene; Perissinotto, Egle; Menegazzo, Francesca; et al</t>
  </si>
  <si>
    <t>Peri-ictal and inter-ictal headache in children and adolescents with idiopathic epilepsy: a multicentre cross-sectional study</t>
  </si>
  <si>
    <t>Verotti, Alberto; Coppola, Giangennaro; Spalice, Alberto; et al</t>
  </si>
  <si>
    <t>High prevalence of headaches in patients with epilepsy</t>
  </si>
  <si>
    <t>Wang, Xiang-qing; Lang, Sen-yang; He, Mian-wang; et al</t>
  </si>
  <si>
    <t>15mths</t>
  </si>
  <si>
    <t>In 59 patients with pre-ictal headache and/or migraine, 48 experienced headache &lt; 30 minutes before seizure onset. 11 experienced headache 24 hours to 30 minutes before seizure onset.</t>
  </si>
  <si>
    <t>Comorbidity between headache and epilepsy in a Chinese epileptic centre</t>
  </si>
  <si>
    <t>Wang, Xiang-qing; Lang, Sen-yang; Zhang, Xu; et al</t>
  </si>
  <si>
    <r>
      <t xml:space="preserve">8.85% (99) of 1109 patients with epilepsy included in the study experienced preictal headaches. </t>
    </r>
    <r>
      <rPr>
        <b/>
        <i/>
        <sz val="12"/>
        <color rgb="FF53669E"/>
        <rFont val="Calibri"/>
        <scheme val="minor"/>
      </rPr>
      <t>Abstract only.</t>
    </r>
  </si>
  <si>
    <t>Preictal headache in partial epilepsy</t>
  </si>
  <si>
    <t>Yankovsky, A E; Andermann, F; Mercho, S; et al</t>
  </si>
  <si>
    <t>Peri-ictal behavioural change in people with an intellectual disability</t>
  </si>
  <si>
    <t>York, Jessica; Kerr, Mike</t>
  </si>
  <si>
    <t>Total:</t>
  </si>
  <si>
    <t>On the prevalence of bipolar disorder in epilepsy</t>
  </si>
  <si>
    <t>epilep* (prodrom* OR preictal OR "pre-ictal" OR "pre ictal") (headache OR nausea OR vomiting OR dysphor* OR depersonali* OR "mood change" OR "behaviour change" OR irritability OR depression OR anxiety OR "funny feeling" OR sleepiness OR fatigue)</t>
  </si>
  <si>
    <t>"preictal dysphoric disorder"</t>
  </si>
  <si>
    <t>epilep* (prodrom* OR preictal OR pre-ictal OR "pre ictal") seizure</t>
  </si>
  <si>
    <t>Preictal headache defined as starting &gt; 30 mins before seizure and lasting until seizure onset</t>
  </si>
  <si>
    <r>
      <t xml:space="preserve">Mood change recorded in "day(s)" preceding seizure. </t>
    </r>
    <r>
      <rPr>
        <sz val="12"/>
        <color rgb="FF53669E"/>
        <rFont val="Calibri"/>
        <family val="2"/>
        <scheme val="minor"/>
      </rPr>
      <t xml:space="preserve">Decline in preictal mood in 13 patients. Decline most prominent on Depression, Anxiety, Freedom, and Anger scales. One patient's mood rose significantly before seizures. </t>
    </r>
    <r>
      <rPr>
        <b/>
        <i/>
        <sz val="12"/>
        <color rgb="FF53669E"/>
        <rFont val="Calibri"/>
        <scheme val="minor"/>
      </rPr>
      <t>Abstract only.</t>
    </r>
  </si>
  <si>
    <t>Single patient case-study. Some doubt as to whether physiological tremor was preictal or ictal. PT preceded patient's normal preictal symptoms.</t>
  </si>
  <si>
    <t>&lt; 24hr</t>
  </si>
  <si>
    <t>Other</t>
  </si>
  <si>
    <t>"9 (43%) of 19 participants with refractory partial epilepsy were able to accurately predict their seizures, drawing on awareness of prodromal features such as mood and premonitory symptoms." *Other symtoms: blurred vision; light sensitivity; dizziness; feeling emotional; hunger/food cravings; noise sensitivity; thirst; difficulty with thoughts.</t>
  </si>
  <si>
    <r>
      <t xml:space="preserve">"9 (43%) of 19 participants with refractory partial epilepsy were able to accurately predict their seizures, drawing on awareness of prodromal features such as mood and premonitory symptoms." *Other symtoms: blurred vision; light sensitivity; dizziness; feeling emotional; hunger/food cravings; noise sensitivity; thirst; difficulty with thoughts. </t>
    </r>
    <r>
      <rPr>
        <b/>
        <i/>
        <sz val="12"/>
        <color rgb="FF53669E"/>
        <rFont val="Calibri"/>
        <scheme val="minor"/>
      </rPr>
      <t>Positive self-prediction statistically significant for time-to-seizure windows of &lt; 4hr, 4 - 6hr and 6 - 12hr. Most robust for prediction windows &lt; 6 hr.</t>
    </r>
  </si>
  <si>
    <r>
      <rPr>
        <b/>
        <i/>
        <sz val="12"/>
        <color rgb="FF53669E"/>
        <rFont val="Calibri"/>
        <scheme val="minor"/>
      </rPr>
      <t>Self-prediction window of 24hr</t>
    </r>
    <r>
      <rPr>
        <sz val="12"/>
        <color rgb="FF53669E"/>
        <rFont val="Calibri"/>
        <family val="2"/>
        <scheme val="minor"/>
      </rPr>
      <t xml:space="preserve">. Overall specificity of positive prediction was 83.2% and sensitivity 31.9%. Promonitory/prodromal symptoms not specified. </t>
    </r>
    <r>
      <rPr>
        <b/>
        <i/>
        <sz val="12"/>
        <color rgb="FF53669E"/>
        <rFont val="Calibri"/>
        <scheme val="minor"/>
      </rPr>
      <t>Abstract only.</t>
    </r>
  </si>
  <si>
    <t>Pre-ictal headaches defined as starting &gt; 30 mins from seizure onset and lasting until seizure onset.</t>
  </si>
  <si>
    <t>&gt; 1hr</t>
  </si>
  <si>
    <r>
      <rPr>
        <b/>
        <i/>
        <sz val="12"/>
        <color rgb="FF53669E"/>
        <rFont val="Calibri"/>
        <scheme val="minor"/>
      </rPr>
      <t>25 patients experiencing prodromal symptoms experienced symptoms &lt; 24 hr before seizure onset. 15 experienced symptoms 1 - 3 days prior to seizure onset, usually 1 day.</t>
    </r>
    <r>
      <rPr>
        <sz val="12"/>
        <color rgb="FF53669E"/>
        <rFont val="Calibri"/>
        <family val="2"/>
        <scheme val="minor"/>
      </rPr>
      <t xml:space="preserve"> 12% of patients with uncontrolled partial epilepsy reported prodrome.</t>
    </r>
  </si>
  <si>
    <r>
      <rPr>
        <b/>
        <i/>
        <sz val="12"/>
        <color rgb="FF53669E"/>
        <rFont val="Calibri"/>
        <scheme val="minor"/>
      </rPr>
      <t xml:space="preserve">Pre-ictal period defined as &gt; 30mins from seizure onset. </t>
    </r>
    <r>
      <rPr>
        <sz val="12"/>
        <color rgb="FF53669E"/>
        <rFont val="Calibri"/>
        <family val="2"/>
        <scheme val="minor"/>
      </rPr>
      <t>In 9 patients returning data, the majority of prodrome entries were not followed by seizures or were indentified only retrospectively. No patient could outperform a nonspecific random predictor when predicting seizures based on prodromes. Group performance precisely matched the expected result for a by-chance prediction.</t>
    </r>
  </si>
  <si>
    <t>Pre-ictal defined as "just preceding onset of seizure".</t>
  </si>
  <si>
    <t>Study to separate occurrence of patients with preictal dysphoric symptoms (PDS) from those with Interictal Dysphoric Disorder (IDD) in adult outpatients with epilepsy.</t>
  </si>
  <si>
    <r>
      <rPr>
        <b/>
        <i/>
        <sz val="12"/>
        <color rgb="FF53669E"/>
        <rFont val="Calibri"/>
        <scheme val="minor"/>
      </rPr>
      <t xml:space="preserve">58% of 17 patients with </t>
    </r>
    <r>
      <rPr>
        <sz val="12"/>
        <color rgb="FF53669E"/>
        <rFont val="Calibri"/>
        <family val="2"/>
        <scheme val="minor"/>
      </rPr>
      <t>only</t>
    </r>
    <r>
      <rPr>
        <b/>
        <i/>
        <sz val="12"/>
        <color rgb="FF53669E"/>
        <rFont val="Calibri"/>
        <scheme val="minor"/>
      </rPr>
      <t xml:space="preserve"> PDS described symptoms as "short-lasting (i.e. from a few hours to a day)". 11.8% described their symptoms as "chronic".</t>
    </r>
    <r>
      <rPr>
        <sz val="12"/>
        <color rgb="FF53669E"/>
        <rFont val="Calibri"/>
        <family val="2"/>
        <scheme val="minor"/>
      </rPr>
      <t xml:space="preserve"> Study to separate occurrence of patients with preictal dysphoric symptoms (PDS) from those with Interictal Dysphoric Disorder (IDD) in adult outpatients with epilepsy. 17 of 142 patients described experiencing dysphoric symptoms temporally related to seizure onset (PDS).</t>
    </r>
  </si>
  <si>
    <r>
      <rPr>
        <sz val="12"/>
        <color rgb="FF53669E"/>
        <rFont val="Calibri"/>
        <family val="2"/>
        <scheme val="minor"/>
      </rPr>
      <t>11.8% of 143 patients met DSM criteria for Bipolar Disorder but only 1.4% could be considered as having pure BD since in all other cases symptoms were related to phenotype copies of BD such as IDD, postictal manic or hypermanic states or preictal dysphoria.</t>
    </r>
    <r>
      <rPr>
        <b/>
        <i/>
        <sz val="12"/>
        <color rgb="FF53669E"/>
        <rFont val="Calibri"/>
        <scheme val="minor"/>
      </rPr>
      <t xml:space="preserve"> Abstract only.</t>
    </r>
  </si>
  <si>
    <t>Seizure anticipation: Are neurophenomenological approaches able to detect preictal symptoms?</t>
  </si>
  <si>
    <t>Petitmengin, Claire; Baulac, Michel; Navarro, Vincent</t>
  </si>
  <si>
    <r>
      <t xml:space="preserve">6 of 9 patients with aura experienced prodromal symptoms described as subtle and having common negative features, generally continuous before seizures and could last hours. </t>
    </r>
    <r>
      <rPr>
        <b/>
        <i/>
        <sz val="12"/>
        <color rgb="FF53669E"/>
        <rFont val="Calibri"/>
        <scheme val="minor"/>
      </rPr>
      <t>Abstract only.</t>
    </r>
  </si>
  <si>
    <t>*Other symptoms (19): Dysthermia(6); Voiding changes(4); Changes in appetite(2); Paresthesias(1); Pain(1); Other(5)</t>
  </si>
  <si>
    <r>
      <t xml:space="preserve">Pre-ictal period generalised as &gt; 30 mins and &lt; 24 hrs before seizure onset. </t>
    </r>
    <r>
      <rPr>
        <b/>
        <i/>
        <sz val="12"/>
        <color rgb="FF53669E"/>
        <rFont val="Calibri"/>
        <scheme val="minor"/>
      </rPr>
      <t>"Thirty percent of prodromes appeared less than 6h prior to seizure emergence. Five percent of PS may have started even before the defined time window, i.e. 24 - 48 h prior to seizure onset." Duration ranged from 30 mins to several hours. 50% of patients specified that symptoms used to last up to the following seizure.</t>
    </r>
  </si>
  <si>
    <t>Full text (Y/N)</t>
  </si>
  <si>
    <t>5yrs</t>
  </si>
  <si>
    <r>
      <t xml:space="preserve">Prodrome defined as phenomenon that (1) occurs before seizure onset (2) </t>
    </r>
    <r>
      <rPr>
        <b/>
        <i/>
        <sz val="12"/>
        <color rgb="FF53669E"/>
        <rFont val="Calibri"/>
        <scheme val="minor"/>
      </rPr>
      <t>occurs episodically, often lasting for several hours to a week before the occurrence of a seizure.</t>
    </r>
  </si>
  <si>
    <t>Preictal headache defined as headache starting not more than 24 h prior to seizure ande lasting until seizure onset.</t>
  </si>
  <si>
    <t>*Additional symptoms accompanying preictal headache. ^Other symptoms were photophobia(4) and phonophobia(4).</t>
  </si>
  <si>
    <t>36mths</t>
  </si>
  <si>
    <r>
      <rPr>
        <sz val="12"/>
        <color rgb="FF53669E"/>
        <rFont val="Calibri"/>
        <family val="2"/>
        <scheme val="minor"/>
      </rPr>
      <t>142 epileptic patients with headache were selected for study. 130 completed the study. 30% had preictal headaches.</t>
    </r>
    <r>
      <rPr>
        <b/>
        <i/>
        <sz val="12"/>
        <color rgb="FF53669E"/>
        <rFont val="Calibri"/>
        <scheme val="minor"/>
      </rPr>
      <t xml:space="preserve"> Abstract only.</t>
    </r>
  </si>
  <si>
    <t>Sleepiness/ Fatigue</t>
  </si>
  <si>
    <t>%</t>
  </si>
  <si>
    <t>Patients</t>
  </si>
  <si>
    <t>Confusion/
Cognitive disturbance</t>
  </si>
  <si>
    <t>Nausea/
Epigastric Sensation</t>
  </si>
  <si>
    <t>Total No. Patients</t>
  </si>
  <si>
    <t xml:space="preserve">Total no. patients with symptom and % of total no. patients from ALL studies &gt;&gt; </t>
  </si>
  <si>
    <t xml:space="preserve">Total no. patients from studies where symptom was recorded and % of patients from this subset with symptom &gt;&gt; </t>
  </si>
  <si>
    <t>Assume all "preictal" headaches followed by seizure?</t>
  </si>
  <si>
    <r>
      <t>Abstract only.</t>
    </r>
    <r>
      <rPr>
        <sz val="12"/>
        <color rgb="FF53669E"/>
        <rFont val="Calibri"/>
        <family val="2"/>
        <scheme val="minor"/>
      </rPr>
      <t xml:space="preserve"> Meeting abstract (European Headache and Migraine Trust International Congress 2014)</t>
    </r>
  </si>
  <si>
    <t>Clinical Study</t>
  </si>
  <si>
    <r>
      <rPr>
        <sz val="12"/>
        <color rgb="FF53669E"/>
        <rFont val="Calibri"/>
        <family val="2"/>
        <scheme val="minor"/>
      </rPr>
      <t xml:space="preserve">Decline in preictal mood in 13 patients who experienced seizures during study period (from initial 27 patients). Decline most prominent on Depression, Anxiety, Freedom, and Anger scales. One patient's mood rose significantly before seizures. </t>
    </r>
    <r>
      <rPr>
        <b/>
        <i/>
        <sz val="12"/>
        <color rgb="FF53669E"/>
        <rFont val="Calibri"/>
        <scheme val="minor"/>
      </rPr>
      <t>Abstract only.</t>
    </r>
  </si>
  <si>
    <t>Modeling seizure self-prediction: An e-diary study</t>
  </si>
  <si>
    <t>Characteristics of headache in children with epilepsy</t>
  </si>
  <si>
    <t>Kanemura, Hideaki; Sano, Fumikazu et al</t>
  </si>
  <si>
    <t>39 patients reported 75 symptoms. *Other symptoms (19): Dysthermia(6); Voiding changes(4); Changes in appetite(2); Paresthesias(1); Pain(1); Other(5)</t>
  </si>
  <si>
    <t>Shaded summary data indicates numerical data missing from some or all studies. Summaries are calculated from available data, therefore true frequency of the prodrome symptom will be understated in these cases.</t>
  </si>
  <si>
    <r>
      <rPr>
        <sz val="14"/>
        <color theme="8" tint="0.39997558519241921"/>
        <rFont val="Calibri (Body)"/>
      </rPr>
      <t>Blue-filled</t>
    </r>
    <r>
      <rPr>
        <sz val="14"/>
        <color rgb="FF53669E"/>
        <rFont val="Calibri"/>
        <scheme val="minor"/>
      </rPr>
      <t xml:space="preserve"> cells indicate prodrome was reported but no numerical data on incidence of prodrome were able to be extracted.</t>
    </r>
  </si>
  <si>
    <t>Significance (Hi-Lo)</t>
  </si>
  <si>
    <t>Hyperphagia
Appetite+</t>
  </si>
  <si>
    <t>Other prodromes(11): Fear(2); Elation(2); Anger(1); Menstrual symptoms(2); Polyuria(2); Urge to defecate(1); Limb weakness(1)</t>
  </si>
  <si>
    <t>Symptoms lasted between 10 minutes and 3 days and began at least 30 minutes before seizure onset and were continuous.</t>
  </si>
  <si>
    <r>
      <t xml:space="preserve">Other prodromal symptoms(50): Urge to defecate(2); Allergic reaction(6); Menstrual symptoms(7); Limb weakness(13); Anger(22). 74.4% of carers reported patients experienced at least one symptom prior to a seizure, 88.5% reported that their patients experienced at least one seizure as a result of a specific event. </t>
    </r>
    <r>
      <rPr>
        <b/>
        <i/>
        <sz val="12"/>
        <color rgb="FF53669E"/>
        <rFont val="Calibri"/>
        <scheme val="minor"/>
      </rPr>
      <t>Abstract only.</t>
    </r>
  </si>
  <si>
    <r>
      <t xml:space="preserve">Other prodromal symptoms(13): Feeling of: distress(3); Ill-being(1); loss(1); Clumsiness(2); Hypersensitivity to: light(2); noise(1); Other stimuli(1); Vertigo(1); Aching(1). 6 of 9 patients with aura experienced prodromal symptoms described as subtle and having common negative features, generally continuous before seizures and could last hours. </t>
    </r>
    <r>
      <rPr>
        <b/>
        <i/>
        <sz val="12"/>
        <color rgb="FF53669E"/>
        <rFont val="Calibri"/>
        <scheme val="minor"/>
      </rPr>
      <t>Abstract only.</t>
    </r>
  </si>
  <si>
    <t>Other prodromal symptoms(50): Urge to defecate(2); Allergic reaction(6); Menstrual symptoms(7); Limb weakness(13); Anger(22). 74.4% of carers reported patients experienced at least one symptom prior to a seizure, 88.5% reported that their patients experienced at least one seizure as a result of a specific event.</t>
  </si>
  <si>
    <t>Other prodromal symptoms(152): Anger(48); Limb weakness(45); Menstrual symptoms(34); Urge to defecate(20); Allergic reaction(5). 86.9% of PWE and 74% of carers reported experiencing at least one symptom prior to a seizure. Among PWE and their carers, 63.6% and 51.3% respectively indicated that they can tell when a seizure is about to occur.</t>
  </si>
  <si>
    <t>No. subjects with prodromes</t>
  </si>
  <si>
    <t>Total no. subjects</t>
  </si>
  <si>
    <t>% subjects with prodromes</t>
  </si>
  <si>
    <t>Format</t>
  </si>
  <si>
    <t>e-diary</t>
  </si>
  <si>
    <t>Time-to-seizure or preictal window (as defined by authors). Solid blue cells indicate no detail of time-to-seizure in paper (or abstract if full text not available).</t>
  </si>
  <si>
    <t>Behavioural 
change</t>
  </si>
  <si>
    <t>Speech 
disturbance</t>
  </si>
  <si>
    <t>Upper bound</t>
  </si>
  <si>
    <t>Lower bound</t>
  </si>
  <si>
    <t>Incidence of clinical prodrome</t>
  </si>
  <si>
    <r>
      <t xml:space="preserve">Table cells coloured </t>
    </r>
    <r>
      <rPr>
        <sz val="14"/>
        <color theme="8" tint="0.39997558519241921"/>
        <rFont val="Calibri (Body)"/>
      </rPr>
      <t>solid blue</t>
    </r>
    <r>
      <rPr>
        <sz val="14"/>
        <color rgb="FF587295"/>
        <rFont val="Calibri"/>
        <scheme val="minor"/>
      </rPr>
      <t xml:space="preserve"> indicate that prodrome was reported in patients in the study group but with no details of number of occurrences or patients experiencing the prodrome.</t>
    </r>
  </si>
  <si>
    <t>Prodrome</t>
  </si>
  <si>
    <t>Results reflect no. patients reporting prodrome (unless otherwise stated in notes)</t>
  </si>
  <si>
    <t>Prodrome time-to-seizure onset</t>
  </si>
  <si>
    <r>
      <t xml:space="preserve">Cells filled </t>
    </r>
    <r>
      <rPr>
        <sz val="14"/>
        <color theme="4" tint="-0.499984740745262"/>
        <rFont val="Calibri (Body)"/>
      </rPr>
      <t>dark blue</t>
    </r>
    <r>
      <rPr>
        <sz val="14"/>
        <color rgb="FF587295"/>
        <rFont val="Calibri"/>
        <scheme val="minor"/>
      </rPr>
      <t xml:space="preserve"> indicate that prodrome was recorded with no detail re. time-to-seizure, or that only study abstract has been accessed with no reported time-to-seizure data.</t>
    </r>
  </si>
  <si>
    <t>Prodrome incidence &gt;= 5%</t>
  </si>
  <si>
    <t>Values reflect no. patients reporting prodrome (unless otherwise stated in notes)</t>
  </si>
  <si>
    <t>Prodrome incidence &lt; 5%</t>
  </si>
  <si>
    <t>Frequency of prodromes per study and across studies.</t>
  </si>
  <si>
    <r>
      <t xml:space="preserve">Frequency table split at 5% (patients experiencing prodrome as % of total no. patients in only the studies reporting that prodrome).
</t>
    </r>
    <r>
      <rPr>
        <sz val="14"/>
        <color theme="8" tint="0.39997558519241921"/>
        <rFont val="Calibri (Body)"/>
      </rPr>
      <t>Blue-filled</t>
    </r>
    <r>
      <rPr>
        <sz val="14"/>
        <color rgb="FF53669E"/>
        <rFont val="Calibri"/>
        <scheme val="minor"/>
      </rPr>
      <t xml:space="preserve"> cells indicate prodrome was reported but no numerical data on incidence of prodrome were able to be extracted.</t>
    </r>
  </si>
  <si>
    <r>
      <t xml:space="preserve">Frequency table split at 5% (patients experiencing prodrome as % of total no. patients in only studies reporting that prodrome).
</t>
    </r>
    <r>
      <rPr>
        <sz val="14"/>
        <color theme="8" tint="0.39997558519241921"/>
        <rFont val="Calibri (Body)"/>
      </rPr>
      <t>Blue-filled</t>
    </r>
    <r>
      <rPr>
        <sz val="14"/>
        <color rgb="FF53669E"/>
        <rFont val="Calibri"/>
        <scheme val="minor"/>
      </rPr>
      <t xml:space="preserve"> cells indicate prodrome was reported but no numerical data on incidence of prodrome were able to be extracted.</t>
    </r>
  </si>
  <si>
    <t>Epileptic prodromes: Are they nonconvulsive status epilepticus?</t>
  </si>
  <si>
    <t>Alving, Jørgen, Sándor Benicsky</t>
  </si>
  <si>
    <t>Interview/EEG</t>
  </si>
  <si>
    <t>30min</t>
  </si>
  <si>
    <t>Other prodromes(17): Strange body sensation(3 [Out-of-body experience(2); Bilateral paraesthesiae(1)]); Feeling of remoteness(3); Palitation(2); Dysphoria(1); Fear(1); Sadness(1); Emotional instability(1); "Feeling of swelling of the testes"(1); Sweating(1); Dizziness(1); "Feeling of head split into two"(1).</t>
  </si>
  <si>
    <t>30mins</t>
  </si>
  <si>
    <t>Epilepsy Prodrome</t>
  </si>
  <si>
    <t>questionnaire</t>
  </si>
  <si>
    <t>interview/EEG</t>
  </si>
  <si>
    <t>mood scales</t>
  </si>
  <si>
    <t>interview</t>
  </si>
  <si>
    <t>Perceived self-control of seizures in young people with epilepsy</t>
  </si>
  <si>
    <t>Cull, Christine A et al</t>
  </si>
  <si>
    <t>"Warnings for all reportees consisted of a physical sensation variously described as: shaking, tingling, twitching, jerks, pins and needles, vibrations, feeling numb, feeling wobbly. Other sensations included: double vision, dizziness, buzzing in the ears, feeling queasy. In addition there were reports of heightened emotional arousal, in particular, feeling frightened."</t>
  </si>
  <si>
    <t>Single patient case-study. Unclear whether observed worsening of tremor was preictal or ictal.</t>
  </si>
  <si>
    <t>Study of patient seizure prediction while undergoing EEG monitoring. Study found patients "in some cases able to make accurate predictions" of their seizures. Ability to predict seizures accurately was not strongly correlated with self-reported experience of prodromes/premonitory symptoms.</t>
  </si>
  <si>
    <t>10mins</t>
  </si>
  <si>
    <t>24hr</t>
  </si>
  <si>
    <t>preictal headache defined as headache that had lasted greater than 10 minutes before onset of overt seizure. Duration of preictal headache was 12.6 +/- 26.7 hr.</t>
  </si>
  <si>
    <r>
      <t xml:space="preserve">Mean duration of prodromal headache was 12.6 +/- 27.7 (SD) h, range 0.2 - 96 h. </t>
    </r>
    <r>
      <rPr>
        <b/>
        <sz val="12"/>
        <color rgb="FF53669E"/>
        <rFont val="Calibri"/>
        <family val="2"/>
        <scheme val="minor"/>
      </rPr>
      <t>Frequency of preictal seizure-related headache associated with seizures were: Always occurred (%) (90 - 100%) - 8 (30.8%); Frequently occurred (%) (50 - 89%) - 15 (57.7%); Occasionally occurred (%) (10 - 49%) - 1 (3.8%); Rarely occurred (%) (0 - 9%) - 2 (7.7%). Co-symptoms of preictal headache may have included nausea, vomiting and photophobia in some subjects.</t>
    </r>
  </si>
  <si>
    <t>Subjects reported prodomes selected from an 18 item list and were additionally allowed to enter up to three other prodromes per single diary entry. Several mood items and ten premonitory features were significantly associated with increased odds of seizure over 12 h (calculated as odds ratios of chance of seizure within 12hr). Premonitory features with significant association with increased chance of seizure (and respective ORs) were: Blurred vision(6.05); Light sensitivity(3.38); Dizziness(3.66); Feeling emotional(3.37); Concentration difficulty(2.64); Hunger/food craving(2.56); Noise sensitivity(2.34); Tired/weary(2.01); Thirst(2.07); Difficulty with thoughts(2.18). Other prodromes that did not reach significance included: Hyperactive(1.50); Headache(2.10); Difficulty reading/writing(0.70).</t>
  </si>
  <si>
    <t>"9 (43%) of 19 participants with refractory partial epilepsy were able to accurately predict their seizures, drawing on awareness of prodromal features such as mood and premonitory symptoms." *Other symtoms: blurred vision; light sensitivity; dizziness; feeling emotional; noise sensitivity; thirst.</t>
  </si>
  <si>
    <t>12hr</t>
  </si>
  <si>
    <t>paper diary</t>
  </si>
  <si>
    <t>3d</t>
  </si>
  <si>
    <t>Preictal headaches in patient group were accompanied by additional symptoms in some patients: Photophobia(7); Phonophobia(17); Vomiting(4); Nausea(15)</t>
  </si>
  <si>
    <t>1hr</t>
  </si>
  <si>
    <t>diary</t>
  </si>
  <si>
    <t>self-report + semi-structured interview</t>
  </si>
  <si>
    <t>Duration/period 
of study (if stated)</t>
  </si>
  <si>
    <t>Duration/period
 of study (if stated)</t>
  </si>
  <si>
    <t>30hr</t>
  </si>
  <si>
    <t>Epileptic prodromal manifestations and episodic affective symptoms: nonspecific complaints or non-convulsive status epilepticus?</t>
  </si>
  <si>
    <t>Sailer, U et al</t>
  </si>
  <si>
    <t>semi-structured interview</t>
  </si>
  <si>
    <t>Other prodromes(9): Malaise(5); Dizziness(2); Tension(1); Change in perception(1). 6.2% of 500 patients reported anticipating seizures. Median estimated time interval between occurrence of premonitory symptom and seizure onset was 90 mins.</t>
  </si>
  <si>
    <r>
      <rPr>
        <b/>
        <i/>
        <sz val="12"/>
        <color rgb="FF53669E"/>
        <rFont val="Calibri"/>
        <scheme val="minor"/>
      </rPr>
      <t xml:space="preserve">Preictal time interval stated as &gt; 30 mins from seizure onset. </t>
    </r>
    <r>
      <rPr>
        <sz val="12"/>
        <color rgb="FF53669E"/>
        <rFont val="Calibri"/>
        <family val="2"/>
        <scheme val="minor"/>
      </rPr>
      <t>6.2% of 500 patients reported anticipating seizures. Median estimated time interval between occurrence of premonitory symptom and seizure onset was 90 mins.</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</si>
</sst>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2" x14ac:knownFonts="1">
    <font>
      <sz val="12"/>
      <color theme="1"/>
      <name val="Calibri"/>
      <family val="2"/>
      <scheme val="minor"/>
    </font>
    <font>
      <sz val="12"/>
      <color theme="0"/>
      <name val="Calibri"/>
      <family val="2"/>
      <scheme val="minor"/>
    </font>
    <font>
      <b/>
      <sz val="20"/>
      <color rgb="FF587295"/>
      <name val="Calibri"/>
      <scheme val="minor"/>
    </font>
    <font>
      <sz val="12"/>
      <color rgb="FF6B8AB3"/>
      <name val="Calibri"/>
      <family val="2"/>
      <scheme val="minor"/>
    </font>
    <font>
      <sz val="12"/>
      <color rgb="FF587295"/>
      <name val="Calibri"/>
      <family val="2"/>
      <scheme val="minor"/>
    </font>
    <font>
      <b/>
      <sz val="12"/>
      <color rgb="FF587295"/>
      <name val="Calibri"/>
      <scheme val="minor"/>
    </font>
    <font>
      <sz val="12"/>
      <color rgb="FF53669E"/>
      <name val="Calibri"/>
      <family val="2"/>
      <scheme val="minor"/>
    </font>
    <font>
      <b/>
      <sz val="12"/>
      <color rgb="FF53669E"/>
      <name val="Calibri"/>
      <family val="2"/>
      <scheme val="minor"/>
    </font>
    <font>
      <sz val="14"/>
      <color rgb="FF587295"/>
      <name val="Calibri"/>
      <scheme val="minor"/>
    </font>
    <font>
      <b/>
      <i/>
      <sz val="12"/>
      <color rgb="FF53669E"/>
      <name val="Calibri"/>
      <scheme val="minor"/>
    </font>
    <font>
      <i/>
      <sz val="12"/>
      <color rgb="FF53669E"/>
      <name val="Calibri"/>
      <scheme val="minor"/>
    </font>
    <font>
      <i/>
      <sz val="12"/>
      <color theme="4" tint="0.39997558519241921"/>
      <name val="Calibri"/>
      <scheme val="minor"/>
    </font>
    <font>
      <b/>
      <sz val="14"/>
      <color rgb="FF53669E"/>
      <name val="Calibri"/>
      <family val="2"/>
      <scheme val="minor"/>
    </font>
    <font>
      <b/>
      <sz val="10"/>
      <color theme="4" tint="-0.499984740745262"/>
      <name val="Calibri"/>
      <scheme val="minor"/>
    </font>
    <font>
      <b/>
      <sz val="12"/>
      <color theme="4" tint="-0.499984740745262"/>
      <name val="Calibri"/>
      <scheme val="minor"/>
    </font>
    <font>
      <sz val="14"/>
      <color rgb="FF53669E"/>
      <name val="Calibri"/>
      <scheme val="minor"/>
    </font>
    <font>
      <sz val="14"/>
      <color theme="8" tint="0.39997558519241921"/>
      <name val="Calibri (Body)"/>
    </font>
    <font>
      <sz val="14"/>
      <color theme="4" tint="-0.499984740745262"/>
      <name val="Calibri (Body)"/>
    </font>
    <font>
      <b/>
      <sz val="16"/>
      <color rgb="FF587295"/>
      <name val="Calibri"/>
      <family val="2"/>
      <scheme val="minor"/>
    </font>
    <font>
      <u/>
      <sz val="12"/>
      <color theme="10"/>
      <name val="Calibri"/>
      <family val="2"/>
      <scheme val="minor"/>
    </font>
    <font>
      <u/>
      <sz val="12"/>
      <color theme="11"/>
      <name val="Calibri"/>
      <family val="2"/>
      <scheme val="minor"/>
    </font>
    <font>
      <sz val="12"/>
      <color rgb="FF000000"/>
      <name val="Calibri"/>
      <family val="2"/>
      <scheme val="minor"/>
    </font>
  </fonts>
  <fills count="26">
    <fill>
      <patternFill patternType="none"/>
    </fill>
    <fill>
      <patternFill patternType="gray125"/>
    </fill>
    <fill>
      <patternFill patternType="solid">
        <fgColor theme="4" tint="0.79998168889431442"/>
        <bgColor indexed="64"/>
      </patternFill>
    </fill>
    <fill>
      <patternFill patternType="solid">
        <fgColor rgb="FFC2CFF6"/>
        <bgColor indexed="64"/>
      </patternFill>
    </fill>
    <fill>
      <patternFill patternType="solid">
        <fgColor rgb="FFEDF3FD"/>
        <bgColor indexed="64"/>
      </patternFill>
    </fill>
    <fill>
      <patternFill patternType="solid">
        <fgColor rgb="FF95B6EC"/>
        <bgColor indexed="64"/>
      </patternFill>
    </fill>
    <fill>
      <patternFill patternType="solid">
        <fgColor theme="8" tint="-0.499984740745262"/>
        <bgColor indexed="64"/>
      </patternFill>
    </fill>
    <fill>
      <patternFill patternType="solid">
        <fgColor theme="4" tint="-0.49998474074526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7" tint="0.39997558519241921"/>
        <bgColor indexed="64"/>
      </patternFill>
    </fill>
    <fill>
      <patternFill patternType="solid">
        <fgColor rgb="FFF15B9C"/>
        <bgColor indexed="64"/>
      </patternFill>
    </fill>
    <fill>
      <patternFill patternType="solid">
        <fgColor rgb="FFBADA47"/>
        <bgColor indexed="64"/>
      </patternFill>
    </fill>
    <fill>
      <patternFill patternType="solid">
        <fgColor rgb="FFE6F1FF"/>
        <bgColor indexed="64"/>
      </patternFill>
    </fill>
    <fill>
      <patternFill patternType="solid">
        <fgColor rgb="FFFFC2EE"/>
        <bgColor indexed="64"/>
      </patternFill>
    </fill>
    <fill>
      <patternFill patternType="solid">
        <fgColor rgb="FFC9FA68"/>
        <bgColor indexed="64"/>
      </patternFill>
    </fill>
    <fill>
      <patternFill patternType="solid">
        <fgColor rgb="FFE1FCFF"/>
        <bgColor indexed="64"/>
      </patternFill>
    </fill>
    <fill>
      <patternFill patternType="solid">
        <fgColor rgb="FFB5E45B"/>
        <bgColor indexed="64"/>
      </patternFill>
    </fill>
    <fill>
      <patternFill patternType="solid">
        <fgColor rgb="FFCEE9EB"/>
        <bgColor indexed="64"/>
      </patternFill>
    </fill>
    <fill>
      <patternFill patternType="solid">
        <fgColor rgb="FFB7CED0"/>
        <bgColor indexed="64"/>
      </patternFill>
    </fill>
    <fill>
      <patternFill patternType="solid">
        <fgColor rgb="FFB8FDEB"/>
        <bgColor indexed="64"/>
      </patternFill>
    </fill>
    <fill>
      <patternFill patternType="solid">
        <fgColor rgb="FFA2E0D0"/>
        <bgColor indexed="64"/>
      </patternFill>
    </fill>
    <fill>
      <patternFill patternType="solid">
        <fgColor rgb="FF305496"/>
        <bgColor rgb="FF000000"/>
      </patternFill>
    </fill>
    <fill>
      <patternFill patternType="solid">
        <fgColor rgb="FFE1FCFF"/>
        <bgColor rgb="FF000000"/>
      </patternFill>
    </fill>
    <fill>
      <patternFill patternType="solid">
        <fgColor rgb="FFFFC2EE"/>
        <bgColor rgb="FF000000"/>
      </patternFill>
    </fill>
    <fill>
      <patternFill patternType="solid">
        <fgColor rgb="FFC9FA68"/>
        <bgColor rgb="FF000000"/>
      </patternFill>
    </fill>
  </fills>
  <borders count="169">
    <border>
      <left/>
      <right/>
      <top/>
      <bottom/>
      <diagonal/>
    </border>
    <border>
      <left/>
      <right/>
      <top/>
      <bottom style="thin">
        <color rgb="FF587295"/>
      </bottom>
      <diagonal/>
    </border>
    <border>
      <left/>
      <right/>
      <top style="thin">
        <color rgb="FF587295"/>
      </top>
      <bottom/>
      <diagonal/>
    </border>
    <border>
      <left style="thin">
        <color rgb="FF95B6EC"/>
      </left>
      <right style="thin">
        <color rgb="FF95B6EC"/>
      </right>
      <top style="thin">
        <color rgb="FF95B6EC"/>
      </top>
      <bottom style="thin">
        <color rgb="FF95B6EC"/>
      </bottom>
      <diagonal/>
    </border>
    <border>
      <left style="thin">
        <color rgb="FF95B6EC"/>
      </left>
      <right style="thin">
        <color rgb="FF95B6EC"/>
      </right>
      <top style="thin">
        <color rgb="FF95B6EC"/>
      </top>
      <bottom/>
      <diagonal/>
    </border>
    <border>
      <left style="thin">
        <color rgb="FF95B6EC"/>
      </left>
      <right style="thin">
        <color rgb="FF95B6EC"/>
      </right>
      <top/>
      <bottom/>
      <diagonal/>
    </border>
    <border>
      <left style="thin">
        <color rgb="FF95B6EC"/>
      </left>
      <right style="thin">
        <color rgb="FF95B6EC"/>
      </right>
      <top/>
      <bottom style="thin">
        <color rgb="FF95B6EC"/>
      </bottom>
      <diagonal/>
    </border>
    <border>
      <left/>
      <right style="thin">
        <color rgb="FF95B6EC"/>
      </right>
      <top style="thin">
        <color rgb="FF95B6EC"/>
      </top>
      <bottom style="thin">
        <color rgb="FF95B6EC"/>
      </bottom>
      <diagonal/>
    </border>
    <border>
      <left/>
      <right style="thin">
        <color rgb="FF95B6EC"/>
      </right>
      <top style="thin">
        <color rgb="FF95B6EC"/>
      </top>
      <bottom/>
      <diagonal/>
    </border>
    <border>
      <left/>
      <right style="thin">
        <color rgb="FF95B6EC"/>
      </right>
      <top/>
      <bottom/>
      <diagonal/>
    </border>
    <border>
      <left/>
      <right style="thin">
        <color rgb="FF95B6EC"/>
      </right>
      <top/>
      <bottom style="thin">
        <color rgb="FF95B6EC"/>
      </bottom>
      <diagonal/>
    </border>
    <border>
      <left style="thin">
        <color rgb="FF587295"/>
      </left>
      <right style="thin">
        <color rgb="FF587295"/>
      </right>
      <top style="thin">
        <color rgb="FF587295"/>
      </top>
      <bottom style="thin">
        <color rgb="FF587295"/>
      </bottom>
      <diagonal/>
    </border>
    <border>
      <left/>
      <right/>
      <top/>
      <bottom style="thin">
        <color rgb="FF95B6EC"/>
      </bottom>
      <diagonal/>
    </border>
    <border>
      <left style="medium">
        <color rgb="FF95B6EC"/>
      </left>
      <right/>
      <top style="medium">
        <color rgb="FF95B6EC"/>
      </top>
      <bottom style="thin">
        <color rgb="FF95B6EC"/>
      </bottom>
      <diagonal/>
    </border>
    <border>
      <left/>
      <right/>
      <top style="medium">
        <color rgb="FF95B6EC"/>
      </top>
      <bottom style="thin">
        <color rgb="FF95B6EC"/>
      </bottom>
      <diagonal/>
    </border>
    <border>
      <left/>
      <right style="medium">
        <color rgb="FF95B6EC"/>
      </right>
      <top style="medium">
        <color rgb="FF95B6EC"/>
      </top>
      <bottom style="thin">
        <color rgb="FF95B6EC"/>
      </bottom>
      <diagonal/>
    </border>
    <border>
      <left style="medium">
        <color rgb="FF95B6EC"/>
      </left>
      <right/>
      <top/>
      <bottom/>
      <diagonal/>
    </border>
    <border>
      <left/>
      <right style="medium">
        <color rgb="FF95B6EC"/>
      </right>
      <top/>
      <bottom/>
      <diagonal/>
    </border>
    <border>
      <left style="medium">
        <color rgb="FF95B6EC"/>
      </left>
      <right/>
      <top/>
      <bottom style="thin">
        <color rgb="FF95B6EC"/>
      </bottom>
      <diagonal/>
    </border>
    <border>
      <left/>
      <right style="medium">
        <color rgb="FF95B6EC"/>
      </right>
      <top/>
      <bottom style="thin">
        <color rgb="FF95B6EC"/>
      </bottom>
      <diagonal/>
    </border>
    <border>
      <left style="medium">
        <color rgb="FF95B6EC"/>
      </left>
      <right style="thin">
        <color rgb="FF95B6EC"/>
      </right>
      <top/>
      <bottom/>
      <diagonal/>
    </border>
    <border>
      <left style="thin">
        <color rgb="FF95B6EC"/>
      </left>
      <right style="medium">
        <color rgb="FF95B6EC"/>
      </right>
      <top/>
      <bottom/>
      <diagonal/>
    </border>
    <border>
      <left style="medium">
        <color rgb="FF95B6EC"/>
      </left>
      <right style="thin">
        <color rgb="FF95B6EC"/>
      </right>
      <top style="thin">
        <color rgb="FF95B6EC"/>
      </top>
      <bottom style="thin">
        <color rgb="FF95B6EC"/>
      </bottom>
      <diagonal/>
    </border>
    <border>
      <left style="thin">
        <color rgb="FF95B6EC"/>
      </left>
      <right style="medium">
        <color rgb="FF95B6EC"/>
      </right>
      <top style="thin">
        <color rgb="FF95B6EC"/>
      </top>
      <bottom style="thin">
        <color rgb="FF95B6EC"/>
      </bottom>
      <diagonal/>
    </border>
    <border>
      <left style="medium">
        <color rgb="FF95B6EC"/>
      </left>
      <right style="thin">
        <color rgb="FF95B6EC"/>
      </right>
      <top style="thin">
        <color rgb="FF95B6EC"/>
      </top>
      <bottom style="medium">
        <color rgb="FF95B6EC"/>
      </bottom>
      <diagonal/>
    </border>
    <border>
      <left style="thin">
        <color rgb="FF95B6EC"/>
      </left>
      <right style="medium">
        <color rgb="FF95B6EC"/>
      </right>
      <top style="thin">
        <color rgb="FF95B6EC"/>
      </top>
      <bottom style="medium">
        <color rgb="FF95B6EC"/>
      </bottom>
      <diagonal/>
    </border>
    <border>
      <left style="medium">
        <color rgb="FF95B6EC"/>
      </left>
      <right/>
      <top style="thin">
        <color rgb="FF95B6EC"/>
      </top>
      <bottom style="medium">
        <color rgb="FF95B6EC"/>
      </bottom>
      <diagonal/>
    </border>
    <border>
      <left/>
      <right/>
      <top style="thin">
        <color rgb="FF95B6EC"/>
      </top>
      <bottom style="medium">
        <color rgb="FF95B6EC"/>
      </bottom>
      <diagonal/>
    </border>
    <border>
      <left/>
      <right style="medium">
        <color rgb="FF95B6EC"/>
      </right>
      <top style="thin">
        <color rgb="FF95B6EC"/>
      </top>
      <bottom style="medium">
        <color rgb="FF95B6EC"/>
      </bottom>
      <diagonal/>
    </border>
    <border>
      <left/>
      <right style="thin">
        <color rgb="FF95B6EC"/>
      </right>
      <top style="thin">
        <color rgb="FF95B6EC"/>
      </top>
      <bottom style="medium">
        <color rgb="FF95B6EC"/>
      </bottom>
      <diagonal/>
    </border>
    <border>
      <left style="medium">
        <color rgb="FF95B6EC"/>
      </left>
      <right/>
      <top style="medium">
        <color rgb="FF95B6EC"/>
      </top>
      <bottom/>
      <diagonal/>
    </border>
    <border>
      <left/>
      <right style="medium">
        <color rgb="FF95B6EC"/>
      </right>
      <top style="medium">
        <color rgb="FF95B6EC"/>
      </top>
      <bottom/>
      <diagonal/>
    </border>
    <border>
      <left style="thin">
        <color rgb="FF95B6EC"/>
      </left>
      <right style="medium">
        <color rgb="FF95B6EC"/>
      </right>
      <top/>
      <bottom style="thin">
        <color rgb="FF95B6EC"/>
      </bottom>
      <diagonal/>
    </border>
    <border>
      <left style="medium">
        <color rgb="FF95B6EC"/>
      </left>
      <right style="thin">
        <color rgb="FF95B6EC"/>
      </right>
      <top/>
      <bottom style="thin">
        <color rgb="FF95B6EC"/>
      </bottom>
      <diagonal/>
    </border>
    <border>
      <left style="medium">
        <color rgb="FF95B6EC"/>
      </left>
      <right/>
      <top/>
      <bottom style="medium">
        <color rgb="FF95B6EC"/>
      </bottom>
      <diagonal/>
    </border>
    <border>
      <left/>
      <right style="medium">
        <color rgb="FF95B6EC"/>
      </right>
      <top/>
      <bottom style="medium">
        <color rgb="FF95B6EC"/>
      </bottom>
      <diagonal/>
    </border>
    <border>
      <left/>
      <right/>
      <top/>
      <bottom style="medium">
        <color rgb="FF95B6EC"/>
      </bottom>
      <diagonal/>
    </border>
    <border>
      <left style="medium">
        <color rgb="FF95B6EC"/>
      </left>
      <right style="thin">
        <color rgb="FF95B6EC"/>
      </right>
      <top style="medium">
        <color rgb="FF95B6EC"/>
      </top>
      <bottom style="thin">
        <color rgb="FF95B6EC"/>
      </bottom>
      <diagonal/>
    </border>
    <border>
      <left style="thin">
        <color rgb="FF95B6EC"/>
      </left>
      <right style="medium">
        <color rgb="FF95B6EC"/>
      </right>
      <top style="medium">
        <color rgb="FF95B6EC"/>
      </top>
      <bottom style="thin">
        <color rgb="FF95B6EC"/>
      </bottom>
      <diagonal/>
    </border>
    <border>
      <left style="thin">
        <color rgb="FF95B6EC"/>
      </left>
      <right style="medium">
        <color rgb="FF95B6EC"/>
      </right>
      <top style="thin">
        <color rgb="FF95B6EC"/>
      </top>
      <bottom/>
      <diagonal/>
    </border>
    <border>
      <left style="medium">
        <color rgb="FF95B6EC"/>
      </left>
      <right style="thin">
        <color rgb="FF95B6EC"/>
      </right>
      <top style="thin">
        <color rgb="FF95B6EC"/>
      </top>
      <bottom/>
      <diagonal/>
    </border>
    <border>
      <left style="thin">
        <color rgb="FF95B6EC"/>
      </left>
      <right style="thin">
        <color rgb="FF95B6EC"/>
      </right>
      <top style="medium">
        <color rgb="FF95B6EC"/>
      </top>
      <bottom style="thin">
        <color rgb="FF95B6EC"/>
      </bottom>
      <diagonal/>
    </border>
    <border>
      <left style="thin">
        <color rgb="FF95B6EC"/>
      </left>
      <right style="medium">
        <color rgb="FF95B6EC"/>
      </right>
      <top style="medium">
        <color rgb="FF95B6EC"/>
      </top>
      <bottom/>
      <diagonal/>
    </border>
    <border>
      <left style="medium">
        <color rgb="FF95B6EC"/>
      </left>
      <right/>
      <top style="medium">
        <color rgb="FF95B6EC"/>
      </top>
      <bottom style="medium">
        <color rgb="FF95B6EC"/>
      </bottom>
      <diagonal/>
    </border>
    <border>
      <left/>
      <right/>
      <top style="medium">
        <color rgb="FF95B6EC"/>
      </top>
      <bottom style="medium">
        <color rgb="FF95B6EC"/>
      </bottom>
      <diagonal/>
    </border>
    <border>
      <left/>
      <right style="medium">
        <color rgb="FF95B6EC"/>
      </right>
      <top style="medium">
        <color rgb="FF95B6EC"/>
      </top>
      <bottom style="medium">
        <color rgb="FF95B6EC"/>
      </bottom>
      <diagonal/>
    </border>
    <border>
      <left style="medium">
        <color rgb="FFB0B0FF"/>
      </left>
      <right style="thin">
        <color rgb="FFB0B0FF"/>
      </right>
      <top style="medium">
        <color rgb="FFB0B0FF"/>
      </top>
      <bottom style="thin">
        <color rgb="FFB0B0FF"/>
      </bottom>
      <diagonal/>
    </border>
    <border>
      <left/>
      <right style="medium">
        <color rgb="FF95B6EC"/>
      </right>
      <top style="medium">
        <color rgb="FFB0B0FF"/>
      </top>
      <bottom style="thin">
        <color rgb="FFB0B0FF"/>
      </bottom>
      <diagonal/>
    </border>
    <border>
      <left/>
      <right style="medium">
        <color rgb="FFB0B0FF"/>
      </right>
      <top/>
      <bottom/>
      <diagonal/>
    </border>
    <border>
      <left style="medium">
        <color rgb="FFB0B0FF"/>
      </left>
      <right style="thin">
        <color rgb="FFB0B0FF"/>
      </right>
      <top style="thin">
        <color rgb="FFB0B0FF"/>
      </top>
      <bottom/>
      <diagonal/>
    </border>
    <border>
      <left style="medium">
        <color rgb="FFB0B0FF"/>
      </left>
      <right style="thin">
        <color rgb="FFB0B0FF"/>
      </right>
      <top/>
      <bottom/>
      <diagonal/>
    </border>
    <border>
      <left style="medium">
        <color rgb="FFB0B0FF"/>
      </left>
      <right style="thin">
        <color rgb="FFB0B0FF"/>
      </right>
      <top/>
      <bottom style="medium">
        <color rgb="FFB0B0FF"/>
      </bottom>
      <diagonal/>
    </border>
    <border>
      <left style="thin">
        <color rgb="FFB0B0FF"/>
      </left>
      <right style="medium">
        <color rgb="FF95B6EC"/>
      </right>
      <top/>
      <bottom/>
      <diagonal/>
    </border>
    <border>
      <left style="thin">
        <color rgb="FFB0B0FF"/>
      </left>
      <right style="medium">
        <color rgb="FF95B6EC"/>
      </right>
      <top/>
      <bottom style="medium">
        <color rgb="FFB0B0FF"/>
      </bottom>
      <diagonal/>
    </border>
    <border>
      <left style="medium">
        <color rgb="FFB0B0FF"/>
      </left>
      <right style="thin">
        <color rgb="FFB0B0FF"/>
      </right>
      <top style="thin">
        <color rgb="FFB0B0FF"/>
      </top>
      <bottom style="thin">
        <color rgb="FFB0B0FF"/>
      </bottom>
      <diagonal/>
    </border>
    <border>
      <left style="thin">
        <color rgb="FFB0B0FF"/>
      </left>
      <right style="medium">
        <color rgb="FF95B6EC"/>
      </right>
      <top style="thin">
        <color rgb="FFB0B0FF"/>
      </top>
      <bottom style="thin">
        <color rgb="FFB0B0FF"/>
      </bottom>
      <diagonal/>
    </border>
    <border>
      <left style="medium">
        <color rgb="FF95B6EC"/>
      </left>
      <right style="medium">
        <color rgb="FF95B6EC"/>
      </right>
      <top style="medium">
        <color rgb="FF95B6EC"/>
      </top>
      <bottom style="thin">
        <color rgb="FF95B6EC"/>
      </bottom>
      <diagonal/>
    </border>
    <border>
      <left style="medium">
        <color rgb="FF95B6EC"/>
      </left>
      <right style="medium">
        <color rgb="FF95B6EC"/>
      </right>
      <top style="thin">
        <color rgb="FF95B6EC"/>
      </top>
      <bottom/>
      <diagonal/>
    </border>
    <border>
      <left style="medium">
        <color rgb="FF95B6EC"/>
      </left>
      <right style="medium">
        <color rgb="FF95B6EC"/>
      </right>
      <top/>
      <bottom style="medium">
        <color rgb="FF95B6EC"/>
      </bottom>
      <diagonal/>
    </border>
    <border>
      <left style="medium">
        <color rgb="FF95B6EC"/>
      </left>
      <right style="medium">
        <color rgb="FF95B6EC"/>
      </right>
      <top/>
      <bottom/>
      <diagonal/>
    </border>
    <border>
      <left style="thin">
        <color rgb="FF95B6EC"/>
      </left>
      <right style="thin">
        <color rgb="FF95B6EC"/>
      </right>
      <top style="thin">
        <color rgb="FF95B6EC"/>
      </top>
      <bottom style="medium">
        <color rgb="FF95B6EC"/>
      </bottom>
      <diagonal/>
    </border>
    <border>
      <left style="medium">
        <color rgb="FF00B0F0"/>
      </left>
      <right style="medium">
        <color rgb="FF00B0F0"/>
      </right>
      <top style="medium">
        <color rgb="FF00B0F0"/>
      </top>
      <bottom style="thin">
        <color rgb="FF00B0F0"/>
      </bottom>
      <diagonal/>
    </border>
    <border>
      <left/>
      <right style="thin">
        <color rgb="FF95B6EC"/>
      </right>
      <top style="medium">
        <color rgb="FF95B6EC"/>
      </top>
      <bottom style="thin">
        <color rgb="FF95B6EC"/>
      </bottom>
      <diagonal/>
    </border>
    <border>
      <left style="medium">
        <color rgb="FF95B6EC"/>
      </left>
      <right/>
      <top style="thin">
        <color rgb="FF95B6EC"/>
      </top>
      <bottom/>
      <diagonal/>
    </border>
    <border>
      <left/>
      <right style="thin">
        <color rgb="FF95B6EC"/>
      </right>
      <top/>
      <bottom style="medium">
        <color rgb="FF95B6EC"/>
      </bottom>
      <diagonal/>
    </border>
    <border>
      <left style="thin">
        <color rgb="FF95B6EC"/>
      </left>
      <right style="thin">
        <color rgb="FF95B6EC"/>
      </right>
      <top/>
      <bottom style="medium">
        <color rgb="FF95B6EC"/>
      </bottom>
      <diagonal/>
    </border>
    <border>
      <left style="thin">
        <color rgb="FF95B6EC"/>
      </left>
      <right style="medium">
        <color rgb="FF95B6EC"/>
      </right>
      <top/>
      <bottom style="medium">
        <color rgb="FF95B6EC"/>
      </bottom>
      <diagonal/>
    </border>
    <border>
      <left/>
      <right style="medium">
        <color rgb="FF95B6EC"/>
      </right>
      <top style="thin">
        <color rgb="FF95B6EC"/>
      </top>
      <bottom/>
      <diagonal/>
    </border>
    <border>
      <left style="thin">
        <color rgb="FFB0B0FF"/>
      </left>
      <right style="medium">
        <color rgb="FF95B6EC"/>
      </right>
      <top style="thin">
        <color rgb="FFB0B0FF"/>
      </top>
      <bottom/>
      <diagonal/>
    </border>
    <border>
      <left style="medium">
        <color rgb="FFB0B0FF"/>
      </left>
      <right style="thin">
        <color rgb="FFB0B0FF"/>
      </right>
      <top/>
      <bottom style="thin">
        <color rgb="FFB0B0FF"/>
      </bottom>
      <diagonal/>
    </border>
    <border>
      <left/>
      <right style="medium">
        <color rgb="FF95B6EC"/>
      </right>
      <top/>
      <bottom style="thin">
        <color rgb="FFB0B0FF"/>
      </bottom>
      <diagonal/>
    </border>
    <border>
      <left style="thin">
        <color rgb="FF85AC52"/>
      </left>
      <right style="thin">
        <color rgb="FF85AC52"/>
      </right>
      <top style="medium">
        <color rgb="FF85AC52"/>
      </top>
      <bottom style="thin">
        <color rgb="FF85AC52"/>
      </bottom>
      <diagonal/>
    </border>
    <border>
      <left style="medium">
        <color rgb="FF85AC52"/>
      </left>
      <right style="thin">
        <color rgb="FF85AC52"/>
      </right>
      <top style="thin">
        <color rgb="FF85AC52"/>
      </top>
      <bottom style="thin">
        <color rgb="FF85AC52"/>
      </bottom>
      <diagonal/>
    </border>
    <border>
      <left style="thin">
        <color rgb="FF85AC52"/>
      </left>
      <right style="thin">
        <color rgb="FF85AC52"/>
      </right>
      <top style="thin">
        <color rgb="FF85AC52"/>
      </top>
      <bottom style="thin">
        <color rgb="FF85AC52"/>
      </bottom>
      <diagonal/>
    </border>
    <border>
      <left style="thin">
        <color rgb="FF85AC52"/>
      </left>
      <right style="medium">
        <color rgb="FF95B6EC"/>
      </right>
      <top style="thin">
        <color rgb="FF85AC52"/>
      </top>
      <bottom style="thin">
        <color rgb="FF85AC52"/>
      </bottom>
      <diagonal/>
    </border>
    <border>
      <left style="medium">
        <color rgb="FF85AC52"/>
      </left>
      <right style="thin">
        <color rgb="FF85AC52"/>
      </right>
      <top style="thin">
        <color rgb="FF85AC52"/>
      </top>
      <bottom style="medium">
        <color rgb="FF85AC52"/>
      </bottom>
      <diagonal/>
    </border>
    <border>
      <left style="thin">
        <color rgb="FF85AC52"/>
      </left>
      <right style="thin">
        <color rgb="FF85AC52"/>
      </right>
      <top style="thin">
        <color rgb="FF85AC52"/>
      </top>
      <bottom style="medium">
        <color rgb="FF85AC52"/>
      </bottom>
      <diagonal/>
    </border>
    <border>
      <left style="thin">
        <color rgb="FF85AC52"/>
      </left>
      <right style="medium">
        <color rgb="FF95B6EC"/>
      </right>
      <top style="thin">
        <color rgb="FF85AC52"/>
      </top>
      <bottom style="medium">
        <color rgb="FF85AC52"/>
      </bottom>
      <diagonal/>
    </border>
    <border>
      <left style="medium">
        <color rgb="FF85AC52"/>
      </left>
      <right style="thin">
        <color rgb="FF85AC52"/>
      </right>
      <top style="medium">
        <color rgb="FF85AC52"/>
      </top>
      <bottom/>
      <diagonal/>
    </border>
    <border>
      <left style="medium">
        <color rgb="FF85AC52"/>
      </left>
      <right style="thin">
        <color rgb="FF85AC52"/>
      </right>
      <top/>
      <bottom/>
      <diagonal/>
    </border>
    <border>
      <left style="medium">
        <color rgb="FF85AC52"/>
      </left>
      <right style="thin">
        <color rgb="FF85AC52"/>
      </right>
      <top/>
      <bottom style="thin">
        <color rgb="FF85AC52"/>
      </bottom>
      <diagonal/>
    </border>
    <border>
      <left style="thin">
        <color rgb="FF85AC52"/>
      </left>
      <right style="medium">
        <color rgb="FF95B6EC"/>
      </right>
      <top/>
      <bottom style="thin">
        <color rgb="FF85AC52"/>
      </bottom>
      <diagonal/>
    </border>
    <border>
      <left style="thin">
        <color rgb="FF85AC52"/>
      </left>
      <right style="thin">
        <color rgb="FF85AC52"/>
      </right>
      <top/>
      <bottom style="thin">
        <color rgb="FF85AC52"/>
      </bottom>
      <diagonal/>
    </border>
    <border>
      <left style="medium">
        <color rgb="FF85AC52"/>
      </left>
      <right style="medium">
        <color rgb="FF95B6EC"/>
      </right>
      <top style="medium">
        <color rgb="FF85AC52"/>
      </top>
      <bottom/>
      <diagonal/>
    </border>
    <border>
      <left style="medium">
        <color rgb="FF85AC52"/>
      </left>
      <right style="medium">
        <color rgb="FF95B6EC"/>
      </right>
      <top/>
      <bottom/>
      <diagonal/>
    </border>
    <border>
      <left style="medium">
        <color rgb="FF85AC52"/>
      </left>
      <right style="thin">
        <color rgb="FF85AC52"/>
      </right>
      <top/>
      <bottom style="medium">
        <color rgb="FF85AC52"/>
      </bottom>
      <diagonal/>
    </border>
    <border>
      <left style="medium">
        <color rgb="FF85AC52"/>
      </left>
      <right style="medium">
        <color rgb="FF95B6EC"/>
      </right>
      <top/>
      <bottom style="medium">
        <color rgb="FF85AC52"/>
      </bottom>
      <diagonal/>
    </border>
    <border>
      <left style="medium">
        <color rgb="FF95B6EC"/>
      </left>
      <right style="thin">
        <color rgb="FF95B6EC"/>
      </right>
      <top/>
      <bottom style="medium">
        <color rgb="FF84A1D1"/>
      </bottom>
      <diagonal/>
    </border>
    <border>
      <left style="thin">
        <color rgb="FF95B6EC"/>
      </left>
      <right style="medium">
        <color rgb="FF95B6EC"/>
      </right>
      <top/>
      <bottom style="medium">
        <color rgb="FF84A1D1"/>
      </bottom>
      <diagonal/>
    </border>
    <border>
      <left/>
      <right style="thin">
        <color rgb="FF95B6EC"/>
      </right>
      <top/>
      <bottom style="medium">
        <color rgb="FF84A1D1"/>
      </bottom>
      <diagonal/>
    </border>
    <border>
      <left style="medium">
        <color rgb="FF82B4C5"/>
      </left>
      <right style="thin">
        <color rgb="FF82B4C5"/>
      </right>
      <top style="medium">
        <color rgb="FF82B4C5"/>
      </top>
      <bottom/>
      <diagonal/>
    </border>
    <border>
      <left style="thin">
        <color rgb="FF82B4C5"/>
      </left>
      <right style="thin">
        <color rgb="FF82B4C5"/>
      </right>
      <top style="medium">
        <color rgb="FF82B4C5"/>
      </top>
      <bottom/>
      <diagonal/>
    </border>
    <border>
      <left style="medium">
        <color rgb="FF82B4C5"/>
      </left>
      <right style="thin">
        <color rgb="FF82B4C5"/>
      </right>
      <top/>
      <bottom/>
      <diagonal/>
    </border>
    <border>
      <left style="thin">
        <color rgb="FF82B4C5"/>
      </left>
      <right style="thin">
        <color rgb="FF82B4C5"/>
      </right>
      <top/>
      <bottom/>
      <diagonal/>
    </border>
    <border>
      <left style="medium">
        <color rgb="FF82B4C5"/>
      </left>
      <right style="thin">
        <color rgb="FF82B4C5"/>
      </right>
      <top/>
      <bottom style="medium">
        <color rgb="FF82B4C5"/>
      </bottom>
      <diagonal/>
    </border>
    <border>
      <left style="thin">
        <color rgb="FF82B4C5"/>
      </left>
      <right style="thin">
        <color rgb="FF82B4C5"/>
      </right>
      <top/>
      <bottom style="medium">
        <color rgb="FF82B4C5"/>
      </bottom>
      <diagonal/>
    </border>
    <border>
      <left style="thin">
        <color rgb="FF82B4C5"/>
      </left>
      <right style="thin">
        <color rgb="FF82B4C5"/>
      </right>
      <top style="medium">
        <color rgb="FF82B4C5"/>
      </top>
      <bottom style="thin">
        <color rgb="FF82B4C5"/>
      </bottom>
      <diagonal/>
    </border>
    <border>
      <left style="thin">
        <color rgb="FF82B4C5"/>
      </left>
      <right style="thin">
        <color rgb="FF82B4C5"/>
      </right>
      <top style="thin">
        <color rgb="FF82B4C5"/>
      </top>
      <bottom style="thin">
        <color rgb="FF82B4C5"/>
      </bottom>
      <diagonal/>
    </border>
    <border>
      <left style="thin">
        <color rgb="FF82B4C5"/>
      </left>
      <right style="thin">
        <color rgb="FF82B4C5"/>
      </right>
      <top style="thin">
        <color rgb="FF82B4C5"/>
      </top>
      <bottom style="medium">
        <color rgb="FF82B4C5"/>
      </bottom>
      <diagonal/>
    </border>
    <border>
      <left/>
      <right style="thin">
        <color rgb="FF82B4C5"/>
      </right>
      <top/>
      <bottom style="medium">
        <color rgb="FF82B4C5"/>
      </bottom>
      <diagonal/>
    </border>
    <border>
      <left/>
      <right style="thin">
        <color rgb="FF82B4C5"/>
      </right>
      <top style="medium">
        <color rgb="FF82B4C5"/>
      </top>
      <bottom/>
      <diagonal/>
    </border>
    <border>
      <left/>
      <right style="thin">
        <color rgb="FF82B4C5"/>
      </right>
      <top/>
      <bottom/>
      <diagonal/>
    </border>
    <border>
      <left style="thin">
        <color rgb="FF82B4C5"/>
      </left>
      <right/>
      <top style="medium">
        <color rgb="FF82B4C5"/>
      </top>
      <bottom/>
      <diagonal/>
    </border>
    <border>
      <left style="thin">
        <color rgb="FF82B4C5"/>
      </left>
      <right/>
      <top/>
      <bottom/>
      <diagonal/>
    </border>
    <border>
      <left style="thin">
        <color rgb="FF82B4C5"/>
      </left>
      <right/>
      <top/>
      <bottom style="medium">
        <color rgb="FF82B4C5"/>
      </bottom>
      <diagonal/>
    </border>
    <border>
      <left style="thin">
        <color rgb="FF82B4C5"/>
      </left>
      <right/>
      <top style="thin">
        <color rgb="FF82B4C5"/>
      </top>
      <bottom style="thin">
        <color rgb="FF82B4C5"/>
      </bottom>
      <diagonal/>
    </border>
    <border>
      <left style="thin">
        <color rgb="FF82B4C5"/>
      </left>
      <right/>
      <top style="thin">
        <color rgb="FF82B4C5"/>
      </top>
      <bottom style="medium">
        <color rgb="FF82B4C5"/>
      </bottom>
      <diagonal/>
    </border>
    <border>
      <left style="medium">
        <color rgb="FF6979C1"/>
      </left>
      <right style="medium">
        <color rgb="FF85AC52"/>
      </right>
      <top style="medium">
        <color rgb="FF6979C1"/>
      </top>
      <bottom style="thin">
        <color rgb="FF6979C1"/>
      </bottom>
      <diagonal/>
    </border>
    <border>
      <left style="medium">
        <color rgb="FF6979C1"/>
      </left>
      <right style="medium">
        <color rgb="FF85AC52"/>
      </right>
      <top style="thin">
        <color rgb="FF6979C1"/>
      </top>
      <bottom style="thin">
        <color rgb="FF6979C1"/>
      </bottom>
      <diagonal/>
    </border>
    <border>
      <left style="medium">
        <color rgb="FF6979C1"/>
      </left>
      <right style="medium">
        <color rgb="FF85AC52"/>
      </right>
      <top style="thin">
        <color rgb="FF6979C1"/>
      </top>
      <bottom style="medium">
        <color rgb="FF6979C1"/>
      </bottom>
      <diagonal/>
    </border>
    <border>
      <left style="medium">
        <color rgb="FF6979C1"/>
      </left>
      <right style="medium">
        <color rgb="FF85AC52"/>
      </right>
      <top/>
      <bottom style="thin">
        <color rgb="FF6979C1"/>
      </bottom>
      <diagonal/>
    </border>
    <border>
      <left style="medium">
        <color rgb="FF6979C1"/>
      </left>
      <right style="medium">
        <color rgb="FF6979C1"/>
      </right>
      <top style="medium">
        <color rgb="FF6979C1"/>
      </top>
      <bottom style="thin">
        <color rgb="FF6979C1"/>
      </bottom>
      <diagonal/>
    </border>
    <border>
      <left style="medium">
        <color rgb="FF6979C1"/>
      </left>
      <right style="medium">
        <color rgb="FF6979C1"/>
      </right>
      <top style="thin">
        <color rgb="FF6979C1"/>
      </top>
      <bottom style="thin">
        <color rgb="FF6979C1"/>
      </bottom>
      <diagonal/>
    </border>
    <border>
      <left style="medium">
        <color rgb="FF6979C1"/>
      </left>
      <right style="medium">
        <color rgb="FF6979C1"/>
      </right>
      <top style="thin">
        <color rgb="FF6979C1"/>
      </top>
      <bottom style="medium">
        <color rgb="FF6979C1"/>
      </bottom>
      <diagonal/>
    </border>
    <border>
      <left style="medium">
        <color rgb="FF00B0F0"/>
      </left>
      <right style="medium">
        <color rgb="FF00B0F0"/>
      </right>
      <top style="thin">
        <color rgb="FF00B0F0"/>
      </top>
      <bottom/>
      <diagonal/>
    </border>
    <border>
      <left style="medium">
        <color rgb="FF00B0F0"/>
      </left>
      <right style="medium">
        <color rgb="FF00B0F0"/>
      </right>
      <top/>
      <bottom/>
      <diagonal/>
    </border>
    <border>
      <left style="medium">
        <color rgb="FF00B0F0"/>
      </left>
      <right style="medium">
        <color rgb="FF00B0F0"/>
      </right>
      <top/>
      <bottom style="medium">
        <color rgb="FF00B0F0"/>
      </bottom>
      <diagonal/>
    </border>
    <border>
      <left style="medium">
        <color rgb="FF85AC52"/>
      </left>
      <right/>
      <top style="medium">
        <color rgb="FF85AC52"/>
      </top>
      <bottom/>
      <diagonal/>
    </border>
    <border>
      <left style="medium">
        <color rgb="FF85AC52"/>
      </left>
      <right/>
      <top/>
      <bottom/>
      <diagonal/>
    </border>
    <border>
      <left style="medium">
        <color rgb="FF85AC52"/>
      </left>
      <right/>
      <top/>
      <bottom style="medium">
        <color rgb="FF85AC52"/>
      </bottom>
      <diagonal/>
    </border>
    <border>
      <left style="thin">
        <color rgb="FF85AC52"/>
      </left>
      <right/>
      <top style="thin">
        <color rgb="FF85AC52"/>
      </top>
      <bottom style="thin">
        <color rgb="FF85AC52"/>
      </bottom>
      <diagonal/>
    </border>
    <border>
      <left style="thin">
        <color rgb="FF85AC52"/>
      </left>
      <right/>
      <top style="thin">
        <color rgb="FF85AC52"/>
      </top>
      <bottom style="medium">
        <color rgb="FF85AC52"/>
      </bottom>
      <diagonal/>
    </border>
    <border>
      <left style="medium">
        <color rgb="FF84A1D1"/>
      </left>
      <right/>
      <top/>
      <bottom/>
      <diagonal/>
    </border>
    <border>
      <left/>
      <right style="medium">
        <color rgb="FF84A1D1"/>
      </right>
      <top/>
      <bottom/>
      <diagonal/>
    </border>
    <border>
      <left style="medium">
        <color rgb="FF84A1D1"/>
      </left>
      <right style="thin">
        <color rgb="FF95B6EC"/>
      </right>
      <top style="thin">
        <color rgb="FF95B6EC"/>
      </top>
      <bottom style="thin">
        <color rgb="FF95B6EC"/>
      </bottom>
      <diagonal/>
    </border>
    <border>
      <left style="thin">
        <color rgb="FF95B6EC"/>
      </left>
      <right style="medium">
        <color rgb="FF84A1D1"/>
      </right>
      <top style="thin">
        <color rgb="FF95B6EC"/>
      </top>
      <bottom/>
      <diagonal/>
    </border>
    <border>
      <left style="thin">
        <color rgb="FF95B6EC"/>
      </left>
      <right style="medium">
        <color rgb="FF84A1D1"/>
      </right>
      <top/>
      <bottom/>
      <diagonal/>
    </border>
    <border>
      <left style="thin">
        <color rgb="FF95B6EC"/>
      </left>
      <right style="medium">
        <color rgb="FF84A1D1"/>
      </right>
      <top style="thin">
        <color rgb="FF95B6EC"/>
      </top>
      <bottom style="thin">
        <color rgb="FF95B6EC"/>
      </bottom>
      <diagonal/>
    </border>
    <border>
      <left style="medium">
        <color rgb="FF84A1D1"/>
      </left>
      <right style="thin">
        <color rgb="FF95B6EC"/>
      </right>
      <top style="thin">
        <color rgb="FF95B6EC"/>
      </top>
      <bottom style="medium">
        <color rgb="FF95B6EC"/>
      </bottom>
      <diagonal/>
    </border>
    <border>
      <left style="thin">
        <color rgb="FF95B6EC"/>
      </left>
      <right style="medium">
        <color rgb="FF84A1D1"/>
      </right>
      <top style="thin">
        <color rgb="FF95B6EC"/>
      </top>
      <bottom style="medium">
        <color rgb="FF95B6EC"/>
      </bottom>
      <diagonal/>
    </border>
    <border>
      <left style="thin">
        <color rgb="FF95B6EC"/>
      </left>
      <right style="medium">
        <color rgb="FF84A1D1"/>
      </right>
      <top style="medium">
        <color rgb="FF95B6EC"/>
      </top>
      <bottom/>
      <diagonal/>
    </border>
    <border>
      <left style="medium">
        <color rgb="FF84A1D1"/>
      </left>
      <right/>
      <top style="medium">
        <color rgb="FF95B6EC"/>
      </top>
      <bottom/>
      <diagonal/>
    </border>
    <border>
      <left style="medium">
        <color rgb="FF84A1D1"/>
      </left>
      <right/>
      <top/>
      <bottom style="medium">
        <color rgb="FF84A1D1"/>
      </bottom>
      <diagonal/>
    </border>
    <border>
      <left/>
      <right style="medium">
        <color rgb="FF84A1D1"/>
      </right>
      <top/>
      <bottom style="medium">
        <color rgb="FF84A1D1"/>
      </bottom>
      <diagonal/>
    </border>
    <border>
      <left style="medium">
        <color rgb="FF84A1D1"/>
      </left>
      <right style="thin">
        <color rgb="FF95B6EC"/>
      </right>
      <top style="thin">
        <color rgb="FF95B6EC"/>
      </top>
      <bottom style="medium">
        <color rgb="FF84A1D1"/>
      </bottom>
      <diagonal/>
    </border>
    <border>
      <left style="thin">
        <color rgb="FF95B6EC"/>
      </left>
      <right style="medium">
        <color rgb="FF84A1D1"/>
      </right>
      <top/>
      <bottom style="medium">
        <color rgb="FF84A1D1"/>
      </bottom>
      <diagonal/>
    </border>
    <border>
      <left/>
      <right style="medium">
        <color rgb="FF84A1D1"/>
      </right>
      <top style="thin">
        <color rgb="FF95B6EC"/>
      </top>
      <bottom style="thin">
        <color rgb="FF95B6EC"/>
      </bottom>
      <diagonal/>
    </border>
    <border>
      <left/>
      <right style="medium">
        <color rgb="FF84A1D1"/>
      </right>
      <top style="thin">
        <color rgb="FF95B6EC"/>
      </top>
      <bottom style="medium">
        <color rgb="FF95B6EC"/>
      </bottom>
      <diagonal/>
    </border>
    <border>
      <left/>
      <right style="medium">
        <color rgb="FF84A1D1"/>
      </right>
      <top style="medium">
        <color rgb="FF95B6EC"/>
      </top>
      <bottom/>
      <diagonal/>
    </border>
    <border>
      <left style="medium">
        <color rgb="FF84A1D1"/>
      </left>
      <right/>
      <top style="medium">
        <color rgb="FF84A1D1"/>
      </top>
      <bottom style="thin">
        <color rgb="FF84A1D1"/>
      </bottom>
      <diagonal/>
    </border>
    <border>
      <left/>
      <right/>
      <top style="medium">
        <color rgb="FF84A1D1"/>
      </top>
      <bottom style="thin">
        <color rgb="FF84A1D1"/>
      </bottom>
      <diagonal/>
    </border>
    <border>
      <left/>
      <right style="medium">
        <color rgb="FF84A1D1"/>
      </right>
      <top style="medium">
        <color rgb="FF84A1D1"/>
      </top>
      <bottom style="thin">
        <color rgb="FF84A1D1"/>
      </bottom>
      <diagonal/>
    </border>
    <border>
      <left style="medium">
        <color rgb="FF84A1D1"/>
      </left>
      <right/>
      <top style="thin">
        <color rgb="FF84A1D1"/>
      </top>
      <bottom style="medium">
        <color rgb="FF84A1D1"/>
      </bottom>
      <diagonal/>
    </border>
    <border>
      <left/>
      <right/>
      <top style="thin">
        <color rgb="FF84A1D1"/>
      </top>
      <bottom style="medium">
        <color rgb="FF84A1D1"/>
      </bottom>
      <diagonal/>
    </border>
    <border>
      <left/>
      <right style="medium">
        <color rgb="FF84A1D1"/>
      </right>
      <top style="thin">
        <color rgb="FF84A1D1"/>
      </top>
      <bottom style="medium">
        <color rgb="FF84A1D1"/>
      </bottom>
      <diagonal/>
    </border>
    <border>
      <left style="medium">
        <color rgb="FF84A1D1"/>
      </left>
      <right/>
      <top style="thin">
        <color rgb="FF84A1D1"/>
      </top>
      <bottom style="medium">
        <color rgb="FF95B6EC"/>
      </bottom>
      <diagonal/>
    </border>
    <border>
      <left/>
      <right/>
      <top style="thin">
        <color rgb="FF84A1D1"/>
      </top>
      <bottom style="medium">
        <color rgb="FF95B6EC"/>
      </bottom>
      <diagonal/>
    </border>
    <border>
      <left/>
      <right style="medium">
        <color rgb="FF84A1D1"/>
      </right>
      <top style="thin">
        <color rgb="FF84A1D1"/>
      </top>
      <bottom style="medium">
        <color rgb="FF95B6EC"/>
      </bottom>
      <diagonal/>
    </border>
    <border>
      <left style="medium">
        <color rgb="FF84A1D1"/>
      </left>
      <right style="thin">
        <color rgb="FF95B6EC"/>
      </right>
      <top style="medium">
        <color rgb="FF95B6EC"/>
      </top>
      <bottom/>
      <diagonal/>
    </border>
    <border>
      <left style="medium">
        <color rgb="FF84A1D1"/>
      </left>
      <right style="thin">
        <color rgb="FF95B6EC"/>
      </right>
      <top/>
      <bottom/>
      <diagonal/>
    </border>
    <border>
      <left style="medium">
        <color rgb="FF84A1D1"/>
      </left>
      <right style="thin">
        <color rgb="FF95B6EC"/>
      </right>
      <top/>
      <bottom style="medium">
        <color rgb="FF84A1D1"/>
      </bottom>
      <diagonal/>
    </border>
    <border>
      <left style="thin">
        <color rgb="FF82B4C5"/>
      </left>
      <right style="medium">
        <color rgb="FF6979C1"/>
      </right>
      <top style="thin">
        <color rgb="FF82B4C5"/>
      </top>
      <bottom style="thin">
        <color rgb="FF82B4C5"/>
      </bottom>
      <diagonal/>
    </border>
    <border>
      <left style="thin">
        <color rgb="FF82B4C5"/>
      </left>
      <right style="thin">
        <color rgb="FF82B4C5"/>
      </right>
      <top style="thin">
        <color rgb="FF82B4C5"/>
      </top>
      <bottom/>
      <diagonal/>
    </border>
    <border>
      <left style="thin">
        <color rgb="FF82B4C5"/>
      </left>
      <right/>
      <top style="thin">
        <color rgb="FF82B4C5"/>
      </top>
      <bottom/>
      <diagonal/>
    </border>
    <border>
      <left style="medium">
        <color rgb="FF95B6EC"/>
      </left>
      <right style="thin">
        <color rgb="FF95B6EC"/>
      </right>
      <top style="medium">
        <color rgb="FF6979C1"/>
      </top>
      <bottom style="thin">
        <color rgb="FF95B6EC"/>
      </bottom>
      <diagonal/>
    </border>
    <border>
      <left style="thin">
        <color rgb="FF95B6EC"/>
      </left>
      <right style="medium">
        <color rgb="FF95B6EC"/>
      </right>
      <top style="medium">
        <color rgb="FF6979C1"/>
      </top>
      <bottom style="thin">
        <color rgb="FF95B6EC"/>
      </bottom>
      <diagonal/>
    </border>
    <border>
      <left style="medium">
        <color rgb="FF95B6EC"/>
      </left>
      <right style="thin">
        <color rgb="FF95B6EC"/>
      </right>
      <top/>
      <bottom style="medium">
        <color rgb="FF6979C1"/>
      </bottom>
      <diagonal/>
    </border>
    <border>
      <left style="thin">
        <color rgb="FF95B6EC"/>
      </left>
      <right style="medium">
        <color rgb="FF95B6EC"/>
      </right>
      <top/>
      <bottom style="medium">
        <color rgb="FF6979C1"/>
      </bottom>
      <diagonal/>
    </border>
    <border>
      <left/>
      <right style="thin">
        <color rgb="FF95B6EC"/>
      </right>
      <top/>
      <bottom style="medium">
        <color rgb="FF6979C1"/>
      </bottom>
      <diagonal/>
    </border>
    <border>
      <left/>
      <right style="thin">
        <color rgb="FF82B4C5"/>
      </right>
      <top style="medium">
        <color rgb="FF82B4C5"/>
      </top>
      <bottom style="thin">
        <color rgb="FF82B4C5"/>
      </bottom>
      <diagonal/>
    </border>
    <border>
      <left/>
      <right style="thin">
        <color rgb="FF82B4C5"/>
      </right>
      <top style="thin">
        <color rgb="FF82B4C5"/>
      </top>
      <bottom style="thin">
        <color rgb="FF82B4C5"/>
      </bottom>
      <diagonal/>
    </border>
    <border>
      <left/>
      <right style="thin">
        <color rgb="FF82B4C5"/>
      </right>
      <top style="thin">
        <color rgb="FF82B4C5"/>
      </top>
      <bottom style="medium">
        <color rgb="FF82B4C5"/>
      </bottom>
      <diagonal/>
    </border>
    <border>
      <left/>
      <right/>
      <top style="thin">
        <color rgb="FF82B4C5"/>
      </top>
      <bottom style="thin">
        <color rgb="FF82B4C5"/>
      </bottom>
      <diagonal/>
    </border>
    <border>
      <left/>
      <right style="thin">
        <color rgb="FF85AC52"/>
      </right>
      <top style="thin">
        <color rgb="FF85AC52"/>
      </top>
      <bottom style="thin">
        <color rgb="FF85AC52"/>
      </bottom>
      <diagonal/>
    </border>
    <border>
      <left/>
      <right style="medium">
        <color rgb="FF95B6EC"/>
      </right>
      <top style="thin">
        <color rgb="FF85AC52"/>
      </top>
      <bottom style="thin">
        <color rgb="FF85AC52"/>
      </bottom>
      <diagonal/>
    </border>
    <border>
      <left style="medium">
        <color rgb="FF95B6EC"/>
      </left>
      <right style="thin">
        <color rgb="FF95B6EC"/>
      </right>
      <top style="thin">
        <color rgb="FF95B6EC"/>
      </top>
      <bottom style="medium">
        <color rgb="FF6979C1"/>
      </bottom>
      <diagonal/>
    </border>
    <border>
      <left style="thin">
        <color rgb="FF95B6EC"/>
      </left>
      <right style="thin">
        <color rgb="FF95B6EC"/>
      </right>
      <top style="thin">
        <color rgb="FF95B6EC"/>
      </top>
      <bottom style="medium">
        <color rgb="FF6979C1"/>
      </bottom>
      <diagonal/>
    </border>
    <border>
      <left style="thin">
        <color rgb="FF95B6EC"/>
      </left>
      <right style="thin">
        <color rgb="FF95B6EC"/>
      </right>
      <top/>
      <bottom style="medium">
        <color rgb="FF6979C1"/>
      </bottom>
      <diagonal/>
    </border>
    <border>
      <left style="thin">
        <color rgb="FF95B6EC"/>
      </left>
      <right style="medium">
        <color rgb="FF95B6EC"/>
      </right>
      <top style="thin">
        <color rgb="FF95B6EC"/>
      </top>
      <bottom style="medium">
        <color rgb="FF6979C1"/>
      </bottom>
      <diagonal/>
    </border>
  </borders>
  <cellStyleXfs count="25">
    <xf numFmtId="0" fontId="0" fillId="0" borderId="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cellStyleXfs>
  <cellXfs count="351">
    <xf numFmtId="0" fontId="0" fillId="0" borderId="0" xfId="0"/>
    <xf numFmtId="0" fontId="2" fillId="2" borderId="0" xfId="0" applyFont="1" applyFill="1" applyAlignment="1">
      <alignment horizontal="left"/>
    </xf>
    <xf numFmtId="0" fontId="3" fillId="2" borderId="0" xfId="0" applyFont="1" applyFill="1"/>
    <xf numFmtId="0" fontId="3" fillId="2" borderId="0" xfId="0" applyFont="1" applyFill="1" applyAlignment="1">
      <alignment horizontal="center"/>
    </xf>
    <xf numFmtId="3" fontId="4" fillId="2" borderId="0" xfId="0" applyNumberFormat="1" applyFont="1" applyFill="1"/>
    <xf numFmtId="0" fontId="0" fillId="2" borderId="0" xfId="0" applyFill="1" applyAlignment="1">
      <alignment horizontal="center"/>
    </xf>
    <xf numFmtId="0" fontId="1" fillId="0" borderId="0" xfId="0" applyFont="1"/>
    <xf numFmtId="0" fontId="5" fillId="0" borderId="0" xfId="0" applyFont="1" applyAlignment="1">
      <alignment horizontal="center"/>
    </xf>
    <xf numFmtId="0" fontId="5" fillId="0" borderId="0" xfId="0" applyFont="1"/>
    <xf numFmtId="3" fontId="4" fillId="0" borderId="0" xfId="0" applyNumberFormat="1" applyFont="1"/>
    <xf numFmtId="0" fontId="5" fillId="0" borderId="1" xfId="0" applyFont="1" applyBorder="1" applyAlignment="1">
      <alignment horizontal="center"/>
    </xf>
    <xf numFmtId="0" fontId="5" fillId="0" borderId="1" xfId="0" applyFont="1" applyBorder="1"/>
    <xf numFmtId="3" fontId="5" fillId="0" borderId="1" xfId="0" applyNumberFormat="1" applyFont="1" applyBorder="1"/>
    <xf numFmtId="14" fontId="4" fillId="0" borderId="0" xfId="0" applyNumberFormat="1" applyFont="1" applyAlignment="1">
      <alignment horizontal="center"/>
    </xf>
    <xf numFmtId="0" fontId="4" fillId="0" borderId="0" xfId="0" applyFont="1"/>
    <xf numFmtId="0" fontId="4" fillId="0" borderId="0" xfId="0" applyFont="1" applyAlignment="1">
      <alignment horizontal="center"/>
    </xf>
    <xf numFmtId="0" fontId="4" fillId="0" borderId="2" xfId="0" applyFont="1" applyBorder="1" applyAlignment="1">
      <alignment horizontal="center"/>
    </xf>
    <xf numFmtId="0" fontId="4" fillId="0" borderId="0" xfId="0" applyFont="1" applyBorder="1" applyAlignment="1">
      <alignment horizontal="center"/>
    </xf>
    <xf numFmtId="0" fontId="0" fillId="0" borderId="0" xfId="0" applyAlignment="1">
      <alignment horizontal="center"/>
    </xf>
    <xf numFmtId="0" fontId="6" fillId="0" borderId="0" xfId="0" applyFont="1"/>
    <xf numFmtId="0" fontId="6" fillId="0" borderId="0" xfId="0" applyFont="1" applyAlignment="1">
      <alignment horizontal="center"/>
    </xf>
    <xf numFmtId="0" fontId="7" fillId="0" borderId="0" xfId="0" applyFont="1"/>
    <xf numFmtId="0" fontId="9" fillId="0" borderId="0" xfId="0" applyFont="1"/>
    <xf numFmtId="0" fontId="6" fillId="5" borderId="3" xfId="0" applyFont="1" applyFill="1" applyBorder="1" applyAlignment="1">
      <alignment horizontal="center"/>
    </xf>
    <xf numFmtId="0" fontId="4" fillId="3" borderId="11" xfId="0" applyFont="1" applyFill="1" applyBorder="1" applyAlignment="1">
      <alignment horizontal="center"/>
    </xf>
    <xf numFmtId="0" fontId="0" fillId="3" borderId="11" xfId="0" applyFill="1" applyBorder="1" applyAlignment="1">
      <alignment horizontal="center"/>
    </xf>
    <xf numFmtId="0" fontId="4" fillId="6" borderId="11" xfId="0" applyFont="1" applyFill="1" applyBorder="1" applyAlignment="1">
      <alignment horizontal="center"/>
    </xf>
    <xf numFmtId="0" fontId="6" fillId="8" borderId="0" xfId="0" applyFont="1" applyFill="1"/>
    <xf numFmtId="0" fontId="7" fillId="9" borderId="0" xfId="0" applyFont="1" applyFill="1" applyBorder="1" applyAlignment="1">
      <alignment textRotation="90"/>
    </xf>
    <xf numFmtId="0" fontId="6" fillId="10" borderId="0" xfId="0" applyFont="1" applyFill="1"/>
    <xf numFmtId="0" fontId="6" fillId="0" borderId="0" xfId="0" applyFont="1" applyAlignment="1"/>
    <xf numFmtId="0" fontId="6" fillId="4" borderId="22" xfId="0" applyFont="1" applyFill="1" applyBorder="1" applyAlignment="1">
      <alignment horizontal="center"/>
    </xf>
    <xf numFmtId="0" fontId="6" fillId="5" borderId="22" xfId="0" applyFont="1" applyFill="1" applyBorder="1" applyAlignment="1">
      <alignment horizontal="center"/>
    </xf>
    <xf numFmtId="0" fontId="6" fillId="4" borderId="24" xfId="0" applyFont="1" applyFill="1" applyBorder="1" applyAlignment="1">
      <alignment horizontal="center"/>
    </xf>
    <xf numFmtId="0" fontId="6" fillId="4" borderId="25" xfId="0" applyFont="1" applyFill="1" applyBorder="1" applyAlignment="1">
      <alignment horizontal="center"/>
    </xf>
    <xf numFmtId="0" fontId="6" fillId="4" borderId="7" xfId="0" applyFont="1" applyFill="1" applyBorder="1" applyAlignment="1">
      <alignment horizontal="center"/>
    </xf>
    <xf numFmtId="0" fontId="6" fillId="4" borderId="29" xfId="0" applyFont="1" applyFill="1" applyBorder="1" applyAlignment="1">
      <alignment horizontal="center"/>
    </xf>
    <xf numFmtId="0" fontId="6" fillId="5" borderId="7" xfId="0" applyFont="1" applyFill="1" applyBorder="1" applyAlignment="1">
      <alignment horizontal="center"/>
    </xf>
    <xf numFmtId="0" fontId="6" fillId="4" borderId="33" xfId="0" applyFont="1" applyFill="1" applyBorder="1" applyAlignment="1">
      <alignment horizontal="center"/>
    </xf>
    <xf numFmtId="164" fontId="6" fillId="0" borderId="0" xfId="0" applyNumberFormat="1" applyFont="1" applyAlignment="1">
      <alignment horizontal="center"/>
    </xf>
    <xf numFmtId="164" fontId="6" fillId="4" borderId="23" xfId="0" applyNumberFormat="1" applyFont="1" applyFill="1" applyBorder="1" applyAlignment="1">
      <alignment horizontal="center"/>
    </xf>
    <xf numFmtId="164" fontId="6" fillId="4" borderId="25" xfId="0" applyNumberFormat="1" applyFont="1" applyFill="1" applyBorder="1" applyAlignment="1">
      <alignment horizontal="center"/>
    </xf>
    <xf numFmtId="164" fontId="6" fillId="5" borderId="23" xfId="0" applyNumberFormat="1" applyFont="1" applyFill="1" applyBorder="1" applyAlignment="1">
      <alignment horizontal="center"/>
    </xf>
    <xf numFmtId="164" fontId="6" fillId="4" borderId="32" xfId="0" applyNumberFormat="1" applyFont="1" applyFill="1" applyBorder="1" applyAlignment="1">
      <alignment horizontal="center"/>
    </xf>
    <xf numFmtId="0" fontId="14" fillId="4" borderId="40" xfId="0" applyFont="1" applyFill="1" applyBorder="1" applyAlignment="1">
      <alignment horizontal="center"/>
    </xf>
    <xf numFmtId="164" fontId="14" fillId="4" borderId="39" xfId="0" applyNumberFormat="1" applyFont="1" applyFill="1" applyBorder="1" applyAlignment="1">
      <alignment horizontal="center"/>
    </xf>
    <xf numFmtId="0" fontId="14" fillId="4" borderId="37" xfId="0" applyFont="1" applyFill="1" applyBorder="1" applyAlignment="1">
      <alignment horizontal="center"/>
    </xf>
    <xf numFmtId="0" fontId="14" fillId="2" borderId="37" xfId="0" applyFont="1" applyFill="1" applyBorder="1" applyAlignment="1">
      <alignment horizontal="center"/>
    </xf>
    <xf numFmtId="0" fontId="14" fillId="2" borderId="40" xfId="0" applyFont="1" applyFill="1" applyBorder="1" applyAlignment="1">
      <alignment horizontal="center"/>
    </xf>
    <xf numFmtId="164" fontId="14" fillId="2" borderId="39" xfId="0" applyNumberFormat="1" applyFont="1" applyFill="1" applyBorder="1" applyAlignment="1">
      <alignment horizontal="center"/>
    </xf>
    <xf numFmtId="0" fontId="14" fillId="2" borderId="41" xfId="0" applyFont="1" applyFill="1" applyBorder="1" applyAlignment="1">
      <alignment horizontal="center"/>
    </xf>
    <xf numFmtId="0" fontId="14" fillId="2" borderId="4" xfId="0" applyFont="1" applyFill="1" applyBorder="1" applyAlignment="1">
      <alignment horizontal="center"/>
    </xf>
    <xf numFmtId="0" fontId="7" fillId="0" borderId="0" xfId="0" applyFont="1" applyAlignment="1"/>
    <xf numFmtId="0" fontId="7" fillId="0" borderId="48" xfId="0" applyFont="1" applyBorder="1" applyAlignment="1"/>
    <xf numFmtId="0" fontId="6" fillId="11" borderId="0" xfId="0" applyFont="1" applyFill="1"/>
    <xf numFmtId="0" fontId="6" fillId="12" borderId="0" xfId="0" applyFont="1" applyFill="1"/>
    <xf numFmtId="0" fontId="12" fillId="4" borderId="56" xfId="0" applyFont="1" applyFill="1" applyBorder="1" applyAlignment="1">
      <alignment horizontal="center" vertical="center"/>
    </xf>
    <xf numFmtId="0" fontId="6" fillId="5" borderId="23" xfId="0" applyFont="1" applyFill="1" applyBorder="1" applyAlignment="1">
      <alignment horizontal="center"/>
    </xf>
    <xf numFmtId="0" fontId="18" fillId="13" borderId="61" xfId="0" applyFont="1" applyFill="1" applyBorder="1" applyAlignment="1">
      <alignment horizontal="center" vertical="center"/>
    </xf>
    <xf numFmtId="164" fontId="14" fillId="12" borderId="38" xfId="0" applyNumberFormat="1" applyFont="1" applyFill="1" applyBorder="1" applyAlignment="1">
      <alignment horizontal="center"/>
    </xf>
    <xf numFmtId="0" fontId="14" fillId="12" borderId="46" xfId="0" applyFont="1" applyFill="1" applyBorder="1" applyAlignment="1">
      <alignment horizontal="center"/>
    </xf>
    <xf numFmtId="164" fontId="14" fillId="12" borderId="42" xfId="0" applyNumberFormat="1" applyFont="1" applyFill="1" applyBorder="1" applyAlignment="1">
      <alignment horizontal="center"/>
    </xf>
    <xf numFmtId="0" fontId="7" fillId="0" borderId="0" xfId="0" applyFont="1" applyBorder="1" applyAlignment="1"/>
    <xf numFmtId="0" fontId="14" fillId="12" borderId="69" xfId="0" applyFont="1" applyFill="1" applyBorder="1" applyAlignment="1">
      <alignment horizontal="center"/>
    </xf>
    <xf numFmtId="0" fontId="6" fillId="15" borderId="72" xfId="0" applyFont="1" applyFill="1" applyBorder="1" applyAlignment="1">
      <alignment horizontal="center" shrinkToFit="1"/>
    </xf>
    <xf numFmtId="0" fontId="6" fillId="15" borderId="73" xfId="0" applyFont="1" applyFill="1" applyBorder="1" applyAlignment="1">
      <alignment horizontal="center"/>
    </xf>
    <xf numFmtId="0" fontId="10" fillId="15" borderId="72" xfId="0" applyFont="1" applyFill="1" applyBorder="1" applyAlignment="1">
      <alignment horizontal="center" shrinkToFit="1"/>
    </xf>
    <xf numFmtId="0" fontId="11" fillId="15" borderId="73" xfId="0" applyFont="1" applyFill="1" applyBorder="1" applyAlignment="1">
      <alignment horizontal="center"/>
    </xf>
    <xf numFmtId="0" fontId="6" fillId="15" borderId="75" xfId="0" applyFont="1" applyFill="1" applyBorder="1" applyAlignment="1">
      <alignment horizontal="center" shrinkToFit="1"/>
    </xf>
    <xf numFmtId="0" fontId="6" fillId="15" borderId="76" xfId="0" applyFont="1" applyFill="1" applyBorder="1" applyAlignment="1">
      <alignment horizontal="center"/>
    </xf>
    <xf numFmtId="0" fontId="6" fillId="0" borderId="0" xfId="0" applyFont="1" applyBorder="1"/>
    <xf numFmtId="0" fontId="6" fillId="15" borderId="80" xfId="0" applyFont="1" applyFill="1" applyBorder="1" applyAlignment="1">
      <alignment horizontal="center" shrinkToFit="1"/>
    </xf>
    <xf numFmtId="0" fontId="6" fillId="15" borderId="82" xfId="0" applyFont="1" applyFill="1" applyBorder="1" applyAlignment="1">
      <alignment horizontal="center"/>
    </xf>
    <xf numFmtId="0" fontId="6" fillId="4" borderId="10" xfId="0" applyFont="1" applyFill="1" applyBorder="1" applyAlignment="1">
      <alignment horizontal="center"/>
    </xf>
    <xf numFmtId="0" fontId="7" fillId="0" borderId="16" xfId="0" applyFont="1" applyBorder="1"/>
    <xf numFmtId="0" fontId="6" fillId="16" borderId="97" xfId="0" applyFont="1" applyFill="1" applyBorder="1" applyAlignment="1">
      <alignment horizontal="center"/>
    </xf>
    <xf numFmtId="0" fontId="6" fillId="16" borderId="97" xfId="0" applyFont="1" applyFill="1" applyBorder="1"/>
    <xf numFmtId="0" fontId="11" fillId="16" borderId="97" xfId="0" applyFont="1" applyFill="1" applyBorder="1"/>
    <xf numFmtId="0" fontId="11" fillId="16" borderId="97" xfId="0" applyFont="1" applyFill="1" applyBorder="1" applyAlignment="1">
      <alignment horizontal="center"/>
    </xf>
    <xf numFmtId="0" fontId="6" fillId="16" borderId="98" xfId="0" applyFont="1" applyFill="1" applyBorder="1" applyAlignment="1">
      <alignment horizontal="center"/>
    </xf>
    <xf numFmtId="0" fontId="6" fillId="16" borderId="98" xfId="0" applyFont="1" applyFill="1" applyBorder="1"/>
    <xf numFmtId="0" fontId="6" fillId="16" borderId="105" xfId="0" applyFont="1" applyFill="1" applyBorder="1" applyAlignment="1">
      <alignment horizontal="center"/>
    </xf>
    <xf numFmtId="0" fontId="11" fillId="16" borderId="105" xfId="0" applyFont="1" applyFill="1" applyBorder="1" applyAlignment="1">
      <alignment horizontal="center"/>
    </xf>
    <xf numFmtId="0" fontId="6" fillId="16" borderId="106" xfId="0" applyFont="1" applyFill="1" applyBorder="1" applyAlignment="1">
      <alignment horizontal="center"/>
    </xf>
    <xf numFmtId="0" fontId="6" fillId="14" borderId="108" xfId="0" applyFont="1" applyFill="1" applyBorder="1" applyAlignment="1">
      <alignment horizontal="center" shrinkToFit="1"/>
    </xf>
    <xf numFmtId="0" fontId="10" fillId="14" borderId="108" xfId="0" applyFont="1" applyFill="1" applyBorder="1" applyAlignment="1">
      <alignment horizontal="center" shrinkToFit="1"/>
    </xf>
    <xf numFmtId="0" fontId="6" fillId="14" borderId="109" xfId="0" applyFont="1" applyFill="1" applyBorder="1" applyAlignment="1">
      <alignment horizontal="center" shrinkToFit="1"/>
    </xf>
    <xf numFmtId="0" fontId="6" fillId="14" borderId="110" xfId="0" applyFont="1" applyFill="1" applyBorder="1" applyAlignment="1">
      <alignment horizontal="center" shrinkToFit="1"/>
    </xf>
    <xf numFmtId="0" fontId="13" fillId="17" borderId="54" xfId="0" applyFont="1" applyFill="1" applyBorder="1" applyAlignment="1">
      <alignment vertical="center"/>
    </xf>
    <xf numFmtId="0" fontId="6" fillId="0" borderId="16" xfId="0" applyFont="1" applyBorder="1"/>
    <xf numFmtId="0" fontId="7" fillId="0" borderId="0" xfId="0" applyFont="1" applyBorder="1"/>
    <xf numFmtId="0" fontId="7" fillId="0" borderId="122" xfId="0" applyFont="1" applyBorder="1"/>
    <xf numFmtId="0" fontId="7" fillId="7" borderId="124" xfId="0" applyFont="1" applyFill="1" applyBorder="1" applyAlignment="1">
      <alignment horizontal="center" shrinkToFit="1"/>
    </xf>
    <xf numFmtId="0" fontId="7" fillId="7" borderId="136" xfId="0" applyFont="1" applyFill="1" applyBorder="1" applyAlignment="1">
      <alignment horizontal="center" shrinkToFit="1"/>
    </xf>
    <xf numFmtId="0" fontId="7" fillId="18" borderId="124" xfId="0" applyFont="1" applyFill="1" applyBorder="1" applyAlignment="1">
      <alignment horizontal="center" shrinkToFit="1"/>
    </xf>
    <xf numFmtId="0" fontId="7" fillId="18" borderId="127" xfId="0" applyFont="1" applyFill="1" applyBorder="1" applyAlignment="1">
      <alignment horizontal="center" shrinkToFit="1"/>
    </xf>
    <xf numFmtId="0" fontId="7" fillId="18" borderId="136" xfId="0" applyFont="1" applyFill="1" applyBorder="1" applyAlignment="1">
      <alignment horizontal="center" shrinkToFit="1"/>
    </xf>
    <xf numFmtId="0" fontId="7" fillId="7" borderId="127" xfId="0" applyFont="1" applyFill="1" applyBorder="1" applyAlignment="1">
      <alignment horizontal="center" shrinkToFit="1"/>
    </xf>
    <xf numFmtId="0" fontId="7" fillId="18" borderId="128" xfId="0" applyFont="1" applyFill="1" applyBorder="1" applyAlignment="1">
      <alignment horizontal="center" shrinkToFit="1"/>
    </xf>
    <xf numFmtId="0" fontId="7" fillId="18" borderId="137" xfId="0" applyFont="1" applyFill="1" applyBorder="1" applyAlignment="1">
      <alignment horizontal="center" shrinkToFit="1"/>
    </xf>
    <xf numFmtId="0" fontId="7" fillId="18" borderId="129" xfId="0" applyFont="1" applyFill="1" applyBorder="1" applyAlignment="1">
      <alignment horizontal="center" shrinkToFit="1"/>
    </xf>
    <xf numFmtId="0" fontId="6" fillId="20" borderId="22" xfId="0" applyFont="1" applyFill="1" applyBorder="1" applyAlignment="1">
      <alignment horizontal="center"/>
    </xf>
    <xf numFmtId="0" fontId="6" fillId="20" borderId="3" xfId="0" applyFont="1" applyFill="1" applyBorder="1" applyAlignment="1">
      <alignment horizontal="center"/>
    </xf>
    <xf numFmtId="0" fontId="6" fillId="20" borderId="6" xfId="0" applyFont="1" applyFill="1" applyBorder="1" applyAlignment="1">
      <alignment horizontal="center"/>
    </xf>
    <xf numFmtId="0" fontId="6" fillId="20" borderId="23" xfId="0" applyFont="1" applyFill="1" applyBorder="1" applyAlignment="1">
      <alignment horizontal="center"/>
    </xf>
    <xf numFmtId="0" fontId="6" fillId="20" borderId="60" xfId="0" applyFont="1" applyFill="1" applyBorder="1" applyAlignment="1">
      <alignment horizontal="center"/>
    </xf>
    <xf numFmtId="0" fontId="7" fillId="20" borderId="41" xfId="0" applyFont="1" applyFill="1" applyBorder="1" applyAlignment="1">
      <alignment horizontal="center"/>
    </xf>
    <xf numFmtId="0" fontId="6" fillId="20" borderId="25" xfId="0" applyFont="1" applyFill="1" applyBorder="1" applyAlignment="1">
      <alignment horizontal="center"/>
    </xf>
    <xf numFmtId="0" fontId="7" fillId="20" borderId="38" xfId="0" applyFont="1" applyFill="1" applyBorder="1" applyAlignment="1">
      <alignment horizontal="center"/>
    </xf>
    <xf numFmtId="0" fontId="6" fillId="20" borderId="24" xfId="0" applyFont="1" applyFill="1" applyBorder="1" applyAlignment="1">
      <alignment horizontal="center"/>
    </xf>
    <xf numFmtId="0" fontId="7" fillId="20" borderId="62" xfId="0" applyFont="1" applyFill="1" applyBorder="1" applyAlignment="1">
      <alignment horizontal="center"/>
    </xf>
    <xf numFmtId="164" fontId="6" fillId="0" borderId="0" xfId="0" applyNumberFormat="1" applyFont="1"/>
    <xf numFmtId="164" fontId="6" fillId="15" borderId="74" xfId="0" applyNumberFormat="1" applyFont="1" applyFill="1" applyBorder="1" applyAlignment="1">
      <alignment horizontal="center"/>
    </xf>
    <xf numFmtId="164" fontId="6" fillId="15" borderId="77" xfId="0" applyNumberFormat="1" applyFont="1" applyFill="1" applyBorder="1" applyAlignment="1">
      <alignment horizontal="center"/>
    </xf>
    <xf numFmtId="164" fontId="14" fillId="12" borderId="70" xfId="0" applyNumberFormat="1" applyFont="1" applyFill="1" applyBorder="1" applyAlignment="1">
      <alignment horizontal="center"/>
    </xf>
    <xf numFmtId="164" fontId="14" fillId="17" borderId="55" xfId="0" applyNumberFormat="1" applyFont="1" applyFill="1" applyBorder="1" applyAlignment="1">
      <alignment horizontal="center"/>
    </xf>
    <xf numFmtId="0" fontId="6" fillId="16" borderId="152" xfId="0" applyFont="1" applyFill="1" applyBorder="1" applyAlignment="1">
      <alignment horizontal="center"/>
    </xf>
    <xf numFmtId="0" fontId="6" fillId="16" borderId="152" xfId="0" applyFont="1" applyFill="1" applyBorder="1"/>
    <xf numFmtId="0" fontId="6" fillId="16" borderId="153" xfId="0" applyFont="1" applyFill="1" applyBorder="1" applyAlignment="1">
      <alignment horizontal="center"/>
    </xf>
    <xf numFmtId="0" fontId="6" fillId="16" borderId="151" xfId="0" applyFont="1" applyFill="1" applyBorder="1" applyAlignment="1">
      <alignment horizontal="center"/>
    </xf>
    <xf numFmtId="0" fontId="6" fillId="4" borderId="154" xfId="0" applyFont="1" applyFill="1" applyBorder="1" applyAlignment="1">
      <alignment horizontal="center"/>
    </xf>
    <xf numFmtId="164" fontId="6" fillId="4" borderId="155" xfId="0" applyNumberFormat="1" applyFont="1" applyFill="1" applyBorder="1" applyAlignment="1">
      <alignment horizontal="center"/>
    </xf>
    <xf numFmtId="164" fontId="6" fillId="15" borderId="81" xfId="0" applyNumberFormat="1" applyFont="1" applyFill="1" applyBorder="1" applyAlignment="1">
      <alignment horizontal="center"/>
    </xf>
    <xf numFmtId="164" fontId="14" fillId="12" borderId="47" xfId="0" applyNumberFormat="1" applyFont="1" applyFill="1" applyBorder="1" applyAlignment="1">
      <alignment horizontal="center"/>
    </xf>
    <xf numFmtId="164" fontId="6" fillId="15" borderId="120" xfId="0" applyNumberFormat="1" applyFont="1" applyFill="1" applyBorder="1" applyAlignment="1">
      <alignment horizontal="center"/>
    </xf>
    <xf numFmtId="164" fontId="6" fillId="15" borderId="121" xfId="0" applyNumberFormat="1" applyFont="1" applyFill="1" applyBorder="1" applyAlignment="1">
      <alignment horizontal="center"/>
    </xf>
    <xf numFmtId="0" fontId="6" fillId="9" borderId="159" xfId="0" applyFont="1" applyFill="1" applyBorder="1"/>
    <xf numFmtId="0" fontId="6" fillId="11" borderId="96" xfId="0" applyFont="1" applyFill="1" applyBorder="1"/>
    <xf numFmtId="0" fontId="6" fillId="9" borderId="160" xfId="0" applyFont="1" applyFill="1" applyBorder="1"/>
    <xf numFmtId="0" fontId="6" fillId="12" borderId="97" xfId="0" applyFont="1" applyFill="1" applyBorder="1"/>
    <xf numFmtId="0" fontId="6" fillId="8" borderId="160" xfId="0" applyFont="1" applyFill="1" applyBorder="1"/>
    <xf numFmtId="0" fontId="0" fillId="16" borderId="97" xfId="0" applyFill="1" applyBorder="1"/>
    <xf numFmtId="0" fontId="6" fillId="11" borderId="97" xfId="0" applyFont="1" applyFill="1" applyBorder="1"/>
    <xf numFmtId="0" fontId="6" fillId="10" borderId="97" xfId="0" applyFont="1" applyFill="1" applyBorder="1"/>
    <xf numFmtId="0" fontId="6" fillId="8" borderId="161" xfId="0" applyFont="1" applyFill="1" applyBorder="1"/>
    <xf numFmtId="0" fontId="0" fillId="16" borderId="98" xfId="0" applyFill="1" applyBorder="1"/>
    <xf numFmtId="0" fontId="6" fillId="22" borderId="160" xfId="0" applyFont="1" applyFill="1" applyBorder="1"/>
    <xf numFmtId="0" fontId="21" fillId="23" borderId="160" xfId="0" applyFont="1" applyFill="1" applyBorder="1"/>
    <xf numFmtId="0" fontId="6" fillId="23" borderId="160" xfId="0" applyFont="1" applyFill="1" applyBorder="1" applyAlignment="1">
      <alignment horizontal="center"/>
    </xf>
    <xf numFmtId="0" fontId="6" fillId="23" borderId="160" xfId="0" applyFont="1" applyFill="1" applyBorder="1"/>
    <xf numFmtId="0" fontId="6" fillId="23" borderId="162" xfId="0" applyFont="1" applyFill="1" applyBorder="1" applyAlignment="1">
      <alignment horizontal="center"/>
    </xf>
    <xf numFmtId="0" fontId="6" fillId="24" borderId="108" xfId="0" applyFont="1" applyFill="1" applyBorder="1" applyAlignment="1">
      <alignment horizontal="center" shrinkToFit="1"/>
    </xf>
    <xf numFmtId="0" fontId="6" fillId="25" borderId="163" xfId="0" applyFont="1" applyFill="1" applyBorder="1" applyAlignment="1">
      <alignment horizontal="center" shrinkToFit="1"/>
    </xf>
    <xf numFmtId="0" fontId="6" fillId="25" borderId="163" xfId="0" applyFont="1" applyFill="1" applyBorder="1" applyAlignment="1">
      <alignment horizontal="center"/>
    </xf>
    <xf numFmtId="164" fontId="6" fillId="25" borderId="164" xfId="0" applyNumberFormat="1" applyFont="1" applyFill="1" applyBorder="1" applyAlignment="1">
      <alignment horizontal="center"/>
    </xf>
    <xf numFmtId="0" fontId="6" fillId="20" borderId="33" xfId="0" applyFont="1" applyFill="1" applyBorder="1" applyAlignment="1">
      <alignment horizontal="center"/>
    </xf>
    <xf numFmtId="0" fontId="6" fillId="20" borderId="32" xfId="0" applyFont="1" applyFill="1" applyBorder="1" applyAlignment="1">
      <alignment horizontal="center"/>
    </xf>
    <xf numFmtId="0" fontId="7" fillId="0" borderId="0" xfId="0" applyFont="1" applyBorder="1" applyAlignment="1">
      <alignment horizontal="right"/>
    </xf>
    <xf numFmtId="0" fontId="7" fillId="0" borderId="48" xfId="0" applyFont="1" applyBorder="1" applyAlignment="1">
      <alignment horizontal="right"/>
    </xf>
    <xf numFmtId="0" fontId="7" fillId="0" borderId="0" xfId="0" applyFont="1" applyAlignment="1">
      <alignment horizontal="right"/>
    </xf>
    <xf numFmtId="0" fontId="7" fillId="16" borderId="91" xfId="0" applyFont="1" applyFill="1" applyBorder="1" applyAlignment="1">
      <alignment horizontal="left"/>
    </xf>
    <xf numFmtId="0" fontId="7" fillId="16" borderId="93" xfId="0" applyFont="1" applyFill="1" applyBorder="1" applyAlignment="1">
      <alignment horizontal="left"/>
    </xf>
    <xf numFmtId="0" fontId="7" fillId="16" borderId="95" xfId="0" applyFont="1" applyFill="1" applyBorder="1" applyAlignment="1">
      <alignment horizontal="left"/>
    </xf>
    <xf numFmtId="0" fontId="7" fillId="16" borderId="91" xfId="0" applyFont="1" applyFill="1" applyBorder="1" applyAlignment="1">
      <alignment horizontal="center"/>
    </xf>
    <xf numFmtId="0" fontId="7" fillId="16" borderId="93" xfId="0" applyFont="1" applyFill="1" applyBorder="1" applyAlignment="1">
      <alignment horizontal="center"/>
    </xf>
    <xf numFmtId="0" fontId="7" fillId="16" borderId="95" xfId="0" applyFont="1" applyFill="1" applyBorder="1" applyAlignment="1">
      <alignment horizontal="center"/>
    </xf>
    <xf numFmtId="0" fontId="7" fillId="15" borderId="78" xfId="0" applyFont="1" applyFill="1" applyBorder="1" applyAlignment="1">
      <alignment horizontal="center" textRotation="90" wrapText="1"/>
    </xf>
    <xf numFmtId="0" fontId="7" fillId="15" borderId="79" xfId="0" applyFont="1" applyFill="1" applyBorder="1" applyAlignment="1">
      <alignment horizontal="center" textRotation="90" wrapText="1"/>
    </xf>
    <xf numFmtId="0" fontId="7" fillId="15" borderId="85" xfId="0" applyFont="1" applyFill="1" applyBorder="1" applyAlignment="1">
      <alignment horizontal="center" textRotation="90" wrapText="1"/>
    </xf>
    <xf numFmtId="0" fontId="7" fillId="14" borderId="107" xfId="0" applyFont="1" applyFill="1" applyBorder="1" applyAlignment="1">
      <alignment horizontal="center" textRotation="90" wrapText="1"/>
    </xf>
    <xf numFmtId="0" fontId="7" fillId="14" borderId="108" xfId="0" applyFont="1" applyFill="1" applyBorder="1" applyAlignment="1">
      <alignment horizontal="center" textRotation="90" wrapText="1"/>
    </xf>
    <xf numFmtId="0" fontId="7" fillId="14" borderId="109" xfId="0" applyFont="1" applyFill="1" applyBorder="1" applyAlignment="1">
      <alignment horizontal="center" textRotation="90" wrapText="1"/>
    </xf>
    <xf numFmtId="0" fontId="12" fillId="4" borderId="39" xfId="0" applyFont="1" applyFill="1" applyBorder="1" applyAlignment="1">
      <alignment horizontal="center" vertical="center" textRotation="90" wrapText="1"/>
    </xf>
    <xf numFmtId="0" fontId="12" fillId="4" borderId="21" xfId="0" applyFont="1" applyFill="1" applyBorder="1" applyAlignment="1">
      <alignment horizontal="center" vertical="center" textRotation="90" wrapText="1"/>
    </xf>
    <xf numFmtId="0" fontId="12" fillId="4" borderId="88" xfId="0" applyFont="1" applyFill="1" applyBorder="1" applyAlignment="1">
      <alignment horizontal="center" vertical="center" textRotation="90" wrapText="1"/>
    </xf>
    <xf numFmtId="0" fontId="12" fillId="4" borderId="40" xfId="0" applyFont="1" applyFill="1" applyBorder="1" applyAlignment="1">
      <alignment horizontal="center" vertical="center" textRotation="90" wrapText="1"/>
    </xf>
    <xf numFmtId="0" fontId="12" fillId="4" borderId="20" xfId="0" applyFont="1" applyFill="1" applyBorder="1" applyAlignment="1">
      <alignment horizontal="center" vertical="center" textRotation="90" wrapText="1"/>
    </xf>
    <xf numFmtId="0" fontId="12" fillId="4" borderId="87" xfId="0" applyFont="1" applyFill="1" applyBorder="1" applyAlignment="1">
      <alignment horizontal="center" vertical="center" textRotation="90" wrapText="1"/>
    </xf>
    <xf numFmtId="164" fontId="12" fillId="4" borderId="39" xfId="0" applyNumberFormat="1" applyFont="1" applyFill="1" applyBorder="1" applyAlignment="1">
      <alignment horizontal="center" vertical="center" textRotation="90" wrapText="1"/>
    </xf>
    <xf numFmtId="164" fontId="12" fillId="4" borderId="21" xfId="0" applyNumberFormat="1" applyFont="1" applyFill="1" applyBorder="1" applyAlignment="1">
      <alignment horizontal="center" vertical="center" textRotation="90" wrapText="1"/>
    </xf>
    <xf numFmtId="164" fontId="12" fillId="4" borderId="88" xfId="0" applyNumberFormat="1" applyFont="1" applyFill="1" applyBorder="1" applyAlignment="1">
      <alignment horizontal="center" vertical="center" textRotation="90" wrapText="1"/>
    </xf>
    <xf numFmtId="0" fontId="7" fillId="16" borderId="100" xfId="0" applyFont="1" applyFill="1" applyBorder="1" applyAlignment="1">
      <alignment horizontal="center" textRotation="90"/>
    </xf>
    <xf numFmtId="0" fontId="7" fillId="16" borderId="101" xfId="0" applyFont="1" applyFill="1" applyBorder="1" applyAlignment="1">
      <alignment horizontal="center" textRotation="90"/>
    </xf>
    <xf numFmtId="0" fontId="7" fillId="16" borderId="99" xfId="0" applyFont="1" applyFill="1" applyBorder="1" applyAlignment="1">
      <alignment horizontal="center" textRotation="90"/>
    </xf>
    <xf numFmtId="0" fontId="7" fillId="15" borderId="71" xfId="0" applyFont="1" applyFill="1" applyBorder="1" applyAlignment="1">
      <alignment horizontal="center" textRotation="90"/>
    </xf>
    <xf numFmtId="0" fontId="7" fillId="15" borderId="73" xfId="0" applyFont="1" applyFill="1" applyBorder="1" applyAlignment="1">
      <alignment horizontal="center" textRotation="90"/>
    </xf>
    <xf numFmtId="0" fontId="7" fillId="15" borderId="76" xfId="0" applyFont="1" applyFill="1" applyBorder="1" applyAlignment="1">
      <alignment horizontal="center" textRotation="90"/>
    </xf>
    <xf numFmtId="164" fontId="7" fillId="15" borderId="83" xfId="0" applyNumberFormat="1" applyFont="1" applyFill="1" applyBorder="1" applyAlignment="1">
      <alignment horizontal="center" textRotation="90" wrapText="1"/>
    </xf>
    <xf numFmtId="164" fontId="7" fillId="15" borderId="84" xfId="0" applyNumberFormat="1" applyFont="1" applyFill="1" applyBorder="1" applyAlignment="1">
      <alignment horizontal="center" textRotation="90" wrapText="1"/>
    </xf>
    <xf numFmtId="164" fontId="7" fillId="15" borderId="86" xfId="0" applyNumberFormat="1" applyFont="1" applyFill="1" applyBorder="1" applyAlignment="1">
      <alignment horizontal="center" textRotation="90" wrapText="1"/>
    </xf>
    <xf numFmtId="0" fontId="7" fillId="16" borderId="102" xfId="0" applyFont="1" applyFill="1" applyBorder="1" applyAlignment="1">
      <alignment horizontal="center" textRotation="90"/>
    </xf>
    <xf numFmtId="0" fontId="7" fillId="16" borderId="103" xfId="0" applyFont="1" applyFill="1" applyBorder="1" applyAlignment="1">
      <alignment horizontal="center" textRotation="90"/>
    </xf>
    <xf numFmtId="0" fontId="7" fillId="16" borderId="104" xfId="0" applyFont="1" applyFill="1" applyBorder="1" applyAlignment="1">
      <alignment horizontal="center" textRotation="90"/>
    </xf>
    <xf numFmtId="0" fontId="12" fillId="4" borderId="13" xfId="0" applyFont="1" applyFill="1" applyBorder="1" applyAlignment="1">
      <alignment horizontal="center" vertical="center"/>
    </xf>
    <xf numFmtId="0" fontId="12" fillId="4" borderId="14" xfId="0" applyFont="1" applyFill="1" applyBorder="1" applyAlignment="1">
      <alignment horizontal="center" vertical="center"/>
    </xf>
    <xf numFmtId="0" fontId="12" fillId="4" borderId="15" xfId="0" applyFont="1" applyFill="1" applyBorder="1" applyAlignment="1">
      <alignment horizontal="center" vertical="center"/>
    </xf>
    <xf numFmtId="0" fontId="7" fillId="4" borderId="26" xfId="0" applyFont="1" applyFill="1" applyBorder="1" applyAlignment="1">
      <alignment horizontal="center" vertical="center"/>
    </xf>
    <xf numFmtId="0" fontId="7" fillId="4" borderId="27" xfId="0" applyFont="1" applyFill="1" applyBorder="1" applyAlignment="1">
      <alignment horizontal="center" vertical="center"/>
    </xf>
    <xf numFmtId="0" fontId="7" fillId="4" borderId="28" xfId="0" applyFont="1" applyFill="1" applyBorder="1" applyAlignment="1">
      <alignment horizontal="center" vertical="center"/>
    </xf>
    <xf numFmtId="0" fontId="7" fillId="4" borderId="30" xfId="0" applyFont="1" applyFill="1" applyBorder="1" applyAlignment="1">
      <alignment horizontal="center" vertical="center" wrapText="1"/>
    </xf>
    <xf numFmtId="0" fontId="7" fillId="4" borderId="31" xfId="0" applyFont="1" applyFill="1" applyBorder="1" applyAlignment="1">
      <alignment horizontal="center" vertical="center" wrapText="1"/>
    </xf>
    <xf numFmtId="0" fontId="7" fillId="4" borderId="16" xfId="0" applyFont="1" applyFill="1" applyBorder="1" applyAlignment="1">
      <alignment horizontal="center" vertical="center" wrapText="1"/>
    </xf>
    <xf numFmtId="0" fontId="7" fillId="4" borderId="17" xfId="0" applyFont="1" applyFill="1" applyBorder="1" applyAlignment="1">
      <alignment horizontal="center" vertical="center" wrapText="1"/>
    </xf>
    <xf numFmtId="0" fontId="7" fillId="4" borderId="18" xfId="0" applyFont="1" applyFill="1" applyBorder="1" applyAlignment="1">
      <alignment horizontal="center" vertical="center" wrapText="1"/>
    </xf>
    <xf numFmtId="0" fontId="7" fillId="4" borderId="19" xfId="0" applyFont="1" applyFill="1" applyBorder="1" applyAlignment="1">
      <alignment horizontal="center" vertical="center" wrapText="1"/>
    </xf>
    <xf numFmtId="0" fontId="7" fillId="4" borderId="30" xfId="0" applyFont="1" applyFill="1" applyBorder="1" applyAlignment="1">
      <alignment horizontal="center" vertical="center"/>
    </xf>
    <xf numFmtId="0" fontId="7" fillId="4" borderId="31" xfId="0" applyFont="1" applyFill="1" applyBorder="1" applyAlignment="1">
      <alignment horizontal="center" vertical="center"/>
    </xf>
    <xf numFmtId="0" fontId="7" fillId="4" borderId="16" xfId="0" applyFont="1" applyFill="1" applyBorder="1" applyAlignment="1">
      <alignment horizontal="center" vertical="center"/>
    </xf>
    <xf numFmtId="0" fontId="7" fillId="4" borderId="17" xfId="0" applyFont="1" applyFill="1" applyBorder="1" applyAlignment="1">
      <alignment horizontal="center" vertical="center"/>
    </xf>
    <xf numFmtId="0" fontId="7" fillId="4" borderId="18" xfId="0" applyFont="1" applyFill="1" applyBorder="1" applyAlignment="1">
      <alignment horizontal="center" vertical="center"/>
    </xf>
    <xf numFmtId="0" fontId="7" fillId="4" borderId="19" xfId="0" applyFont="1" applyFill="1" applyBorder="1" applyAlignment="1">
      <alignment horizontal="center" vertical="center"/>
    </xf>
    <xf numFmtId="0" fontId="12" fillId="4" borderId="43" xfId="0" applyFont="1" applyFill="1" applyBorder="1" applyAlignment="1">
      <alignment horizontal="center" vertical="center"/>
    </xf>
    <xf numFmtId="0" fontId="12" fillId="4" borderId="44" xfId="0" applyFont="1" applyFill="1" applyBorder="1" applyAlignment="1">
      <alignment horizontal="center" vertical="center"/>
    </xf>
    <xf numFmtId="0" fontId="12" fillId="4" borderId="45" xfId="0" applyFont="1" applyFill="1" applyBorder="1" applyAlignment="1">
      <alignment horizontal="center" vertical="center"/>
    </xf>
    <xf numFmtId="0" fontId="7" fillId="4" borderId="34" xfId="0" applyFont="1" applyFill="1" applyBorder="1" applyAlignment="1">
      <alignment horizontal="center" vertical="center" wrapText="1"/>
    </xf>
    <xf numFmtId="0" fontId="7" fillId="4" borderId="35" xfId="0" applyFont="1" applyFill="1" applyBorder="1" applyAlignment="1">
      <alignment horizontal="center" vertical="center" wrapText="1"/>
    </xf>
    <xf numFmtId="0" fontId="12" fillId="4" borderId="8" xfId="0" applyFont="1" applyFill="1" applyBorder="1" applyAlignment="1">
      <alignment horizontal="center" vertical="center" textRotation="90" wrapText="1"/>
    </xf>
    <xf numFmtId="0" fontId="12" fillId="4" borderId="9" xfId="0" applyFont="1" applyFill="1" applyBorder="1" applyAlignment="1">
      <alignment horizontal="center" vertical="center" textRotation="90" wrapText="1"/>
    </xf>
    <xf numFmtId="0" fontId="12" fillId="4" borderId="89" xfId="0" applyFont="1" applyFill="1" applyBorder="1" applyAlignment="1">
      <alignment horizontal="center" vertical="center" textRotation="90" wrapText="1"/>
    </xf>
    <xf numFmtId="0" fontId="7" fillId="4" borderId="0" xfId="0" applyFont="1" applyFill="1" applyBorder="1" applyAlignment="1">
      <alignment horizontal="center" vertical="center" wrapText="1"/>
    </xf>
    <xf numFmtId="0" fontId="7" fillId="4" borderId="12" xfId="0" applyFont="1" applyFill="1" applyBorder="1" applyAlignment="1">
      <alignment horizontal="center" vertical="center" wrapText="1"/>
    </xf>
    <xf numFmtId="0" fontId="7" fillId="4" borderId="36" xfId="0" applyFont="1" applyFill="1" applyBorder="1" applyAlignment="1">
      <alignment horizontal="center" vertical="center" wrapText="1"/>
    </xf>
    <xf numFmtId="0" fontId="7" fillId="4" borderId="40" xfId="0" applyFont="1" applyFill="1" applyBorder="1" applyAlignment="1">
      <alignment horizontal="center" vertical="center" textRotation="90" wrapText="1"/>
    </xf>
    <xf numFmtId="0" fontId="7" fillId="4" borderId="20" xfId="0" applyFont="1" applyFill="1" applyBorder="1" applyAlignment="1">
      <alignment horizontal="center" vertical="center" textRotation="90" wrapText="1"/>
    </xf>
    <xf numFmtId="0" fontId="7" fillId="4" borderId="33" xfId="0" applyFont="1" applyFill="1" applyBorder="1" applyAlignment="1">
      <alignment horizontal="center" vertical="center" textRotation="90" wrapText="1"/>
    </xf>
    <xf numFmtId="164" fontId="7" fillId="4" borderId="39" xfId="0" applyNumberFormat="1" applyFont="1" applyFill="1" applyBorder="1" applyAlignment="1">
      <alignment horizontal="center" vertical="center" textRotation="90" wrapText="1"/>
    </xf>
    <xf numFmtId="164" fontId="7" fillId="4" borderId="21" xfId="0" applyNumberFormat="1" applyFont="1" applyFill="1" applyBorder="1" applyAlignment="1">
      <alignment horizontal="center" vertical="center" textRotation="90" wrapText="1"/>
    </xf>
    <xf numFmtId="164" fontId="7" fillId="4" borderId="32" xfId="0" applyNumberFormat="1" applyFont="1" applyFill="1" applyBorder="1" applyAlignment="1">
      <alignment horizontal="center" vertical="center" textRotation="90" wrapText="1"/>
    </xf>
    <xf numFmtId="0" fontId="7" fillId="4" borderId="39" xfId="0" applyFont="1" applyFill="1" applyBorder="1" applyAlignment="1">
      <alignment horizontal="center" vertical="center" textRotation="90" wrapText="1"/>
    </xf>
    <xf numFmtId="0" fontId="7" fillId="4" borderId="21" xfId="0" applyFont="1" applyFill="1" applyBorder="1" applyAlignment="1">
      <alignment horizontal="center" vertical="center" textRotation="90" wrapText="1"/>
    </xf>
    <xf numFmtId="0" fontId="7" fillId="4" borderId="32" xfId="0" applyFont="1" applyFill="1" applyBorder="1" applyAlignment="1">
      <alignment horizontal="center" vertical="center" textRotation="90" wrapText="1"/>
    </xf>
    <xf numFmtId="0" fontId="15" fillId="4" borderId="57" xfId="0" applyFont="1" applyFill="1" applyBorder="1" applyAlignment="1">
      <alignment horizontal="center" vertical="center" wrapText="1"/>
    </xf>
    <xf numFmtId="0" fontId="15" fillId="4" borderId="59" xfId="0" applyFont="1" applyFill="1" applyBorder="1" applyAlignment="1">
      <alignment horizontal="center" vertical="center" wrapText="1"/>
    </xf>
    <xf numFmtId="0" fontId="15" fillId="4" borderId="58" xfId="0" applyFont="1" applyFill="1" applyBorder="1" applyAlignment="1">
      <alignment horizontal="center" vertical="center" wrapText="1"/>
    </xf>
    <xf numFmtId="0" fontId="7" fillId="16" borderId="91" xfId="0" applyFont="1" applyFill="1" applyBorder="1" applyAlignment="1">
      <alignment horizontal="center" textRotation="90"/>
    </xf>
    <xf numFmtId="0" fontId="7" fillId="16" borderId="93" xfId="0" applyFont="1" applyFill="1" applyBorder="1" applyAlignment="1">
      <alignment horizontal="center" textRotation="90"/>
    </xf>
    <xf numFmtId="0" fontId="7" fillId="16" borderId="95" xfId="0" applyFont="1" applyFill="1" applyBorder="1" applyAlignment="1">
      <alignment horizontal="center" textRotation="90"/>
    </xf>
    <xf numFmtId="0" fontId="12" fillId="15" borderId="49" xfId="0" applyFont="1" applyFill="1" applyBorder="1" applyAlignment="1">
      <alignment horizontal="center" vertical="center" textRotation="90"/>
    </xf>
    <xf numFmtId="0" fontId="12" fillId="15" borderId="50" xfId="0" applyFont="1" applyFill="1" applyBorder="1" applyAlignment="1">
      <alignment horizontal="center" vertical="center" textRotation="90"/>
    </xf>
    <xf numFmtId="0" fontId="12" fillId="15" borderId="51" xfId="0" applyFont="1" applyFill="1" applyBorder="1" applyAlignment="1">
      <alignment horizontal="center" vertical="center" textRotation="90"/>
    </xf>
    <xf numFmtId="164" fontId="6" fillId="15" borderId="52" xfId="0" applyNumberFormat="1" applyFont="1" applyFill="1" applyBorder="1" applyAlignment="1">
      <alignment horizontal="center"/>
    </xf>
    <xf numFmtId="164" fontId="6" fillId="15" borderId="53" xfId="0" applyNumberFormat="1" applyFont="1" applyFill="1" applyBorder="1" applyAlignment="1">
      <alignment horizontal="center"/>
    </xf>
    <xf numFmtId="0" fontId="14" fillId="2" borderId="30" xfId="0" applyFont="1" applyFill="1" applyBorder="1" applyAlignment="1">
      <alignment vertical="center" wrapText="1"/>
    </xf>
    <xf numFmtId="0" fontId="14" fillId="2" borderId="31" xfId="0" applyFont="1" applyFill="1" applyBorder="1" applyAlignment="1">
      <alignment vertical="center" wrapText="1"/>
    </xf>
    <xf numFmtId="0" fontId="14" fillId="2" borderId="16" xfId="0" applyFont="1" applyFill="1" applyBorder="1" applyAlignment="1">
      <alignment vertical="center" wrapText="1"/>
    </xf>
    <xf numFmtId="0" fontId="14" fillId="2" borderId="17" xfId="0" applyFont="1" applyFill="1" applyBorder="1" applyAlignment="1">
      <alignment vertical="center" wrapText="1"/>
    </xf>
    <xf numFmtId="0" fontId="14" fillId="2" borderId="34" xfId="0" applyFont="1" applyFill="1" applyBorder="1" applyAlignment="1">
      <alignment vertical="center" wrapText="1"/>
    </xf>
    <xf numFmtId="0" fontId="14" fillId="2" borderId="35" xfId="0" applyFont="1" applyFill="1" applyBorder="1" applyAlignment="1">
      <alignment vertical="center" wrapText="1"/>
    </xf>
    <xf numFmtId="0" fontId="7" fillId="4" borderId="8" xfId="0" applyFont="1" applyFill="1" applyBorder="1" applyAlignment="1">
      <alignment horizontal="center" vertical="center" textRotation="90" wrapText="1"/>
    </xf>
    <xf numFmtId="0" fontId="7" fillId="4" borderId="9" xfId="0" applyFont="1" applyFill="1" applyBorder="1" applyAlignment="1">
      <alignment horizontal="center" vertical="center" textRotation="90" wrapText="1"/>
    </xf>
    <xf numFmtId="0" fontId="7" fillId="4" borderId="10" xfId="0" applyFont="1" applyFill="1" applyBorder="1" applyAlignment="1">
      <alignment horizontal="center" vertical="center" textRotation="90" wrapText="1"/>
    </xf>
    <xf numFmtId="0" fontId="7" fillId="16" borderId="90" xfId="0" applyFont="1" applyFill="1" applyBorder="1" applyAlignment="1">
      <alignment horizontal="center" textRotation="90"/>
    </xf>
    <xf numFmtId="0" fontId="7" fillId="16" borderId="92" xfId="0" applyFont="1" applyFill="1" applyBorder="1" applyAlignment="1">
      <alignment horizontal="center" textRotation="90"/>
    </xf>
    <xf numFmtId="0" fontId="7" fillId="16" borderId="94" xfId="0" applyFont="1" applyFill="1" applyBorder="1" applyAlignment="1">
      <alignment horizontal="center" textRotation="90"/>
    </xf>
    <xf numFmtId="0" fontId="7" fillId="4" borderId="63" xfId="0" applyFont="1" applyFill="1" applyBorder="1" applyAlignment="1">
      <alignment horizontal="center" vertical="center" wrapText="1"/>
    </xf>
    <xf numFmtId="0" fontId="7" fillId="4" borderId="67" xfId="0" applyFont="1" applyFill="1" applyBorder="1" applyAlignment="1">
      <alignment horizontal="center" vertical="center" wrapText="1"/>
    </xf>
    <xf numFmtId="164" fontId="6" fillId="15" borderId="68" xfId="0" applyNumberFormat="1" applyFont="1" applyFill="1" applyBorder="1" applyAlignment="1">
      <alignment horizontal="center"/>
    </xf>
    <xf numFmtId="0" fontId="12" fillId="4" borderId="111" xfId="0" applyFont="1" applyFill="1" applyBorder="1" applyAlignment="1">
      <alignment horizontal="center" vertical="center"/>
    </xf>
    <xf numFmtId="0" fontId="12" fillId="4" borderId="112" xfId="0" applyFont="1" applyFill="1" applyBorder="1" applyAlignment="1">
      <alignment horizontal="center" vertical="center"/>
    </xf>
    <xf numFmtId="0" fontId="15" fillId="4" borderId="112" xfId="0" applyFont="1" applyFill="1" applyBorder="1" applyAlignment="1">
      <alignment horizontal="center" vertical="center" wrapText="1"/>
    </xf>
    <xf numFmtId="0" fontId="15" fillId="4" borderId="113" xfId="0" applyFont="1" applyFill="1" applyBorder="1" applyAlignment="1">
      <alignment horizontal="center" vertical="center" wrapText="1"/>
    </xf>
    <xf numFmtId="0" fontId="7" fillId="4" borderId="13" xfId="0" applyFont="1" applyFill="1" applyBorder="1" applyAlignment="1">
      <alignment horizontal="center" vertical="center"/>
    </xf>
    <xf numFmtId="0" fontId="7" fillId="4" borderId="14" xfId="0" applyFont="1" applyFill="1" applyBorder="1" applyAlignment="1">
      <alignment horizontal="center" vertical="center"/>
    </xf>
    <xf numFmtId="0" fontId="7" fillId="4" borderId="15" xfId="0" applyFont="1" applyFill="1" applyBorder="1" applyAlignment="1">
      <alignment horizontal="center" vertical="center"/>
    </xf>
    <xf numFmtId="0" fontId="12" fillId="4" borderId="157" xfId="0" applyFont="1" applyFill="1" applyBorder="1" applyAlignment="1">
      <alignment horizontal="center" vertical="center" textRotation="90" wrapText="1"/>
    </xf>
    <xf numFmtId="0" fontId="12" fillId="4" borderId="156" xfId="0" applyFont="1" applyFill="1" applyBorder="1" applyAlignment="1">
      <alignment horizontal="center" vertical="center" textRotation="90" wrapText="1"/>
    </xf>
    <xf numFmtId="0" fontId="12" fillId="4" borderId="33" xfId="0" applyFont="1" applyFill="1" applyBorder="1" applyAlignment="1">
      <alignment horizontal="center" vertical="center" textRotation="90" wrapText="1"/>
    </xf>
    <xf numFmtId="164" fontId="12" fillId="4" borderId="32" xfId="0" applyNumberFormat="1" applyFont="1" applyFill="1" applyBorder="1" applyAlignment="1">
      <alignment horizontal="center" vertical="center" textRotation="90" wrapText="1"/>
    </xf>
    <xf numFmtId="164" fontId="12" fillId="4" borderId="157" xfId="0" applyNumberFormat="1" applyFont="1" applyFill="1" applyBorder="1" applyAlignment="1">
      <alignment horizontal="center" vertical="center" textRotation="90" wrapText="1"/>
    </xf>
    <xf numFmtId="0" fontId="12" fillId="4" borderId="158" xfId="0" applyFont="1" applyFill="1" applyBorder="1" applyAlignment="1">
      <alignment horizontal="center" vertical="center" textRotation="90" wrapText="1"/>
    </xf>
    <xf numFmtId="0" fontId="12" fillId="4" borderId="32" xfId="0" applyFont="1" applyFill="1" applyBorder="1" applyAlignment="1">
      <alignment horizontal="center" vertical="center" textRotation="90" wrapText="1"/>
    </xf>
    <xf numFmtId="0" fontId="12" fillId="4" borderId="10" xfId="0" applyFont="1" applyFill="1" applyBorder="1" applyAlignment="1">
      <alignment horizontal="center" vertical="center" textRotation="90" wrapText="1"/>
    </xf>
    <xf numFmtId="0" fontId="7" fillId="4" borderId="43" xfId="0" applyFont="1" applyFill="1" applyBorder="1" applyAlignment="1">
      <alignment horizontal="center" vertical="center"/>
    </xf>
    <xf numFmtId="0" fontId="7" fillId="4" borderId="44" xfId="0" applyFont="1" applyFill="1" applyBorder="1" applyAlignment="1">
      <alignment horizontal="center" vertical="center"/>
    </xf>
    <xf numFmtId="0" fontId="7" fillId="4" borderId="45" xfId="0" applyFont="1" applyFill="1" applyBorder="1" applyAlignment="1">
      <alignment horizontal="center" vertical="center"/>
    </xf>
    <xf numFmtId="0" fontId="7" fillId="18" borderId="131" xfId="0" applyFont="1" applyFill="1" applyBorder="1" applyAlignment="1">
      <alignment horizontal="center" vertical="center"/>
    </xf>
    <xf numFmtId="0" fontId="7" fillId="18" borderId="138" xfId="0" applyFont="1" applyFill="1" applyBorder="1" applyAlignment="1">
      <alignment horizontal="center" vertical="center"/>
    </xf>
    <xf numFmtId="0" fontId="7" fillId="18" borderId="122" xfId="0" applyFont="1" applyFill="1" applyBorder="1" applyAlignment="1">
      <alignment horizontal="center" vertical="center"/>
    </xf>
    <xf numFmtId="0" fontId="7" fillId="18" borderId="123" xfId="0" applyFont="1" applyFill="1" applyBorder="1" applyAlignment="1">
      <alignment horizontal="center" vertical="center"/>
    </xf>
    <xf numFmtId="0" fontId="7" fillId="18" borderId="132" xfId="0" applyFont="1" applyFill="1" applyBorder="1" applyAlignment="1">
      <alignment horizontal="center" vertical="center"/>
    </xf>
    <xf numFmtId="0" fontId="7" fillId="18" borderId="133" xfId="0" applyFont="1" applyFill="1" applyBorder="1" applyAlignment="1">
      <alignment horizontal="center" vertical="center"/>
    </xf>
    <xf numFmtId="0" fontId="7" fillId="18" borderId="125" xfId="0" applyFont="1" applyFill="1" applyBorder="1" applyAlignment="1">
      <alignment horizontal="center" vertical="center" textRotation="90"/>
    </xf>
    <xf numFmtId="0" fontId="7" fillId="18" borderId="126" xfId="0" applyFont="1" applyFill="1" applyBorder="1" applyAlignment="1">
      <alignment horizontal="center" vertical="center" textRotation="90"/>
    </xf>
    <xf numFmtId="0" fontId="7" fillId="18" borderId="135" xfId="0" applyFont="1" applyFill="1" applyBorder="1" applyAlignment="1">
      <alignment horizontal="center" vertical="center" textRotation="90"/>
    </xf>
    <xf numFmtId="0" fontId="7" fillId="18" borderId="130" xfId="0" applyFont="1" applyFill="1" applyBorder="1" applyAlignment="1">
      <alignment horizontal="center" vertical="center" textRotation="90"/>
    </xf>
    <xf numFmtId="0" fontId="7" fillId="18" borderId="131" xfId="0" applyFont="1" applyFill="1" applyBorder="1" applyAlignment="1">
      <alignment horizontal="center" vertical="center" wrapText="1"/>
    </xf>
    <xf numFmtId="0" fontId="7" fillId="18" borderId="148" xfId="0" applyFont="1" applyFill="1" applyBorder="1" applyAlignment="1">
      <alignment horizontal="center" vertical="center" textRotation="90"/>
    </xf>
    <xf numFmtId="0" fontId="7" fillId="18" borderId="149" xfId="0" applyFont="1" applyFill="1" applyBorder="1" applyAlignment="1">
      <alignment horizontal="center" vertical="center" textRotation="90"/>
    </xf>
    <xf numFmtId="0" fontId="7" fillId="18" borderId="150" xfId="0" applyFont="1" applyFill="1" applyBorder="1" applyAlignment="1">
      <alignment horizontal="center" vertical="center" textRotation="90"/>
    </xf>
    <xf numFmtId="0" fontId="7" fillId="18" borderId="130" xfId="0" applyFont="1" applyFill="1" applyBorder="1" applyAlignment="1">
      <alignment horizontal="center" vertical="center" textRotation="90" wrapText="1"/>
    </xf>
    <xf numFmtId="0" fontId="7" fillId="18" borderId="126" xfId="0" applyFont="1" applyFill="1" applyBorder="1" applyAlignment="1">
      <alignment horizontal="center" vertical="center" textRotation="90" wrapText="1"/>
    </xf>
    <xf numFmtId="0" fontId="7" fillId="18" borderId="135" xfId="0" applyFont="1" applyFill="1" applyBorder="1" applyAlignment="1">
      <alignment horizontal="center" vertical="center" textRotation="90" wrapText="1"/>
    </xf>
    <xf numFmtId="0" fontId="12" fillId="19" borderId="142" xfId="0" applyFont="1" applyFill="1" applyBorder="1" applyAlignment="1">
      <alignment horizontal="center" vertical="center"/>
    </xf>
    <xf numFmtId="0" fontId="12" fillId="19" borderId="143" xfId="0" applyFont="1" applyFill="1" applyBorder="1" applyAlignment="1">
      <alignment horizontal="center" vertical="center"/>
    </xf>
    <xf numFmtId="0" fontId="12" fillId="19" borderId="144" xfId="0" applyFont="1" applyFill="1" applyBorder="1" applyAlignment="1">
      <alignment horizontal="center" vertical="center"/>
    </xf>
    <xf numFmtId="0" fontId="7" fillId="18" borderId="139" xfId="0" applyFont="1" applyFill="1" applyBorder="1" applyAlignment="1">
      <alignment horizontal="center" vertical="center"/>
    </xf>
    <xf numFmtId="0" fontId="7" fillId="18" borderId="140" xfId="0" applyFont="1" applyFill="1" applyBorder="1" applyAlignment="1">
      <alignment horizontal="center" vertical="center"/>
    </xf>
    <xf numFmtId="0" fontId="7" fillId="18" borderId="141" xfId="0" applyFont="1" applyFill="1" applyBorder="1" applyAlignment="1">
      <alignment horizontal="center" vertical="center"/>
    </xf>
    <xf numFmtId="0" fontId="7" fillId="18" borderId="138" xfId="0" applyFont="1" applyFill="1" applyBorder="1" applyAlignment="1">
      <alignment horizontal="center" vertical="center" wrapText="1"/>
    </xf>
    <xf numFmtId="0" fontId="7" fillId="18" borderId="122" xfId="0" applyFont="1" applyFill="1" applyBorder="1" applyAlignment="1">
      <alignment horizontal="center" vertical="center" wrapText="1"/>
    </xf>
    <xf numFmtId="0" fontId="7" fillId="18" borderId="123" xfId="0" applyFont="1" applyFill="1" applyBorder="1" applyAlignment="1">
      <alignment horizontal="center" vertical="center" wrapText="1"/>
    </xf>
    <xf numFmtId="0" fontId="7" fillId="18" borderId="132" xfId="0" applyFont="1" applyFill="1" applyBorder="1" applyAlignment="1">
      <alignment horizontal="center" vertical="center" wrapText="1"/>
    </xf>
    <xf numFmtId="0" fontId="7" fillId="18" borderId="133" xfId="0" applyFont="1" applyFill="1" applyBorder="1" applyAlignment="1">
      <alignment horizontal="center" vertical="center" wrapText="1"/>
    </xf>
    <xf numFmtId="0" fontId="8" fillId="13" borderId="114" xfId="0" applyFont="1" applyFill="1" applyBorder="1" applyAlignment="1">
      <alignment horizontal="center" vertical="center" wrapText="1"/>
    </xf>
    <xf numFmtId="0" fontId="8" fillId="13" borderId="115" xfId="0" applyFont="1" applyFill="1" applyBorder="1" applyAlignment="1">
      <alignment horizontal="center" vertical="center" wrapText="1"/>
    </xf>
    <xf numFmtId="0" fontId="8" fillId="13" borderId="116" xfId="0" applyFont="1" applyFill="1" applyBorder="1" applyAlignment="1">
      <alignment horizontal="center" vertical="center" wrapText="1"/>
    </xf>
    <xf numFmtId="0" fontId="7" fillId="18" borderId="124" xfId="0" applyFont="1" applyFill="1" applyBorder="1" applyAlignment="1">
      <alignment horizontal="center" vertical="center" textRotation="90"/>
    </xf>
    <xf numFmtId="0" fontId="7" fillId="18" borderId="134" xfId="0" applyFont="1" applyFill="1" applyBorder="1" applyAlignment="1">
      <alignment horizontal="center" vertical="center" textRotation="90"/>
    </xf>
    <xf numFmtId="0" fontId="12" fillId="19" borderId="139" xfId="0" applyFont="1" applyFill="1" applyBorder="1" applyAlignment="1">
      <alignment horizontal="center" vertical="center"/>
    </xf>
    <xf numFmtId="0" fontId="12" fillId="19" borderId="140" xfId="0" applyFont="1" applyFill="1" applyBorder="1" applyAlignment="1">
      <alignment horizontal="center" vertical="center"/>
    </xf>
    <xf numFmtId="0" fontId="12" fillId="19" borderId="141" xfId="0" applyFont="1" applyFill="1" applyBorder="1" applyAlignment="1">
      <alignment horizontal="center" vertical="center"/>
    </xf>
    <xf numFmtId="0" fontId="7" fillId="18" borderId="145" xfId="0" applyFont="1" applyFill="1" applyBorder="1" applyAlignment="1">
      <alignment horizontal="center" vertical="center"/>
    </xf>
    <xf numFmtId="0" fontId="7" fillId="18" borderId="146" xfId="0" applyFont="1" applyFill="1" applyBorder="1" applyAlignment="1">
      <alignment horizontal="center" vertical="center"/>
    </xf>
    <xf numFmtId="0" fontId="7" fillId="18" borderId="147" xfId="0" applyFont="1" applyFill="1" applyBorder="1" applyAlignment="1">
      <alignment horizontal="center" vertical="center"/>
    </xf>
    <xf numFmtId="0" fontId="7" fillId="18" borderId="125" xfId="0" applyFont="1" applyFill="1" applyBorder="1" applyAlignment="1">
      <alignment horizontal="center" vertical="center" textRotation="90" wrapText="1"/>
    </xf>
    <xf numFmtId="0" fontId="7" fillId="18" borderId="124" xfId="0" applyFont="1" applyFill="1" applyBorder="1" applyAlignment="1">
      <alignment horizontal="center" vertical="center" textRotation="90" wrapText="1"/>
    </xf>
    <xf numFmtId="0" fontId="7" fillId="18" borderId="148" xfId="0" applyFont="1" applyFill="1" applyBorder="1" applyAlignment="1">
      <alignment horizontal="center" vertical="center" textRotation="90" wrapText="1"/>
    </xf>
    <xf numFmtId="0" fontId="7" fillId="18" borderId="149" xfId="0" applyFont="1" applyFill="1" applyBorder="1" applyAlignment="1">
      <alignment horizontal="center" vertical="center" textRotation="90" wrapText="1"/>
    </xf>
    <xf numFmtId="0" fontId="7" fillId="18" borderId="150" xfId="0" applyFont="1" applyFill="1" applyBorder="1" applyAlignment="1">
      <alignment horizontal="center" vertical="center" textRotation="90" wrapText="1"/>
    </xf>
    <xf numFmtId="164" fontId="7" fillId="15" borderId="117" xfId="0" applyNumberFormat="1" applyFont="1" applyFill="1" applyBorder="1" applyAlignment="1">
      <alignment horizontal="center" textRotation="90" wrapText="1"/>
    </xf>
    <xf numFmtId="164" fontId="7" fillId="15" borderId="118" xfId="0" applyNumberFormat="1" applyFont="1" applyFill="1" applyBorder="1" applyAlignment="1">
      <alignment horizontal="center" textRotation="90" wrapText="1"/>
    </xf>
    <xf numFmtId="164" fontId="7" fillId="15" borderId="119" xfId="0" applyNumberFormat="1" applyFont="1" applyFill="1" applyBorder="1" applyAlignment="1">
      <alignment horizontal="center" textRotation="90" wrapText="1"/>
    </xf>
    <xf numFmtId="0" fontId="7" fillId="20" borderId="4" xfId="0" applyFont="1" applyFill="1" applyBorder="1" applyAlignment="1">
      <alignment horizontal="center" vertical="top" textRotation="90" wrapText="1"/>
    </xf>
    <xf numFmtId="0" fontId="7" fillId="20" borderId="5" xfId="0" applyFont="1" applyFill="1" applyBorder="1" applyAlignment="1">
      <alignment horizontal="center" vertical="top" textRotation="90" wrapText="1"/>
    </xf>
    <xf numFmtId="0" fontId="7" fillId="20" borderId="6" xfId="0" applyFont="1" applyFill="1" applyBorder="1" applyAlignment="1">
      <alignment horizontal="center" vertical="top" textRotation="90" wrapText="1"/>
    </xf>
    <xf numFmtId="0" fontId="7" fillId="20" borderId="3" xfId="0" applyFont="1" applyFill="1" applyBorder="1" applyAlignment="1">
      <alignment horizontal="center" vertical="top" textRotation="90" wrapText="1"/>
    </xf>
    <xf numFmtId="0" fontId="7" fillId="20" borderId="3" xfId="0" applyFont="1" applyFill="1" applyBorder="1" applyAlignment="1">
      <alignment horizontal="center" vertical="top" textRotation="90"/>
    </xf>
    <xf numFmtId="0" fontId="12" fillId="21" borderId="64" xfId="0" applyFont="1" applyFill="1" applyBorder="1" applyAlignment="1">
      <alignment horizontal="center"/>
    </xf>
    <xf numFmtId="0" fontId="12" fillId="21" borderId="65" xfId="0" applyFont="1" applyFill="1" applyBorder="1" applyAlignment="1">
      <alignment horizontal="center"/>
    </xf>
    <xf numFmtId="0" fontId="12" fillId="21" borderId="66" xfId="0" applyFont="1" applyFill="1" applyBorder="1" applyAlignment="1">
      <alignment horizontal="center"/>
    </xf>
    <xf numFmtId="0" fontId="7" fillId="20" borderId="4" xfId="0" applyFont="1" applyFill="1" applyBorder="1" applyAlignment="1">
      <alignment horizontal="center" textRotation="90" wrapText="1"/>
    </xf>
    <xf numFmtId="0" fontId="7" fillId="20" borderId="5" xfId="0" applyFont="1" applyFill="1" applyBorder="1" applyAlignment="1">
      <alignment horizontal="center" textRotation="90" wrapText="1"/>
    </xf>
    <xf numFmtId="0" fontId="7" fillId="20" borderId="167" xfId="0" applyFont="1" applyFill="1" applyBorder="1" applyAlignment="1">
      <alignment horizontal="center" textRotation="90" wrapText="1"/>
    </xf>
    <xf numFmtId="0" fontId="7" fillId="20" borderId="3" xfId="0" applyFont="1" applyFill="1" applyBorder="1" applyAlignment="1">
      <alignment horizontal="center" textRotation="90" wrapText="1"/>
    </xf>
    <xf numFmtId="0" fontId="7" fillId="20" borderId="3" xfId="0" applyFont="1" applyFill="1" applyBorder="1" applyAlignment="1">
      <alignment horizontal="center" textRotation="90"/>
    </xf>
    <xf numFmtId="0" fontId="7" fillId="20" borderId="166" xfId="0" applyFont="1" applyFill="1" applyBorder="1" applyAlignment="1">
      <alignment horizontal="center" textRotation="90"/>
    </xf>
    <xf numFmtId="0" fontId="7" fillId="20" borderId="166" xfId="0" applyFont="1" applyFill="1" applyBorder="1" applyAlignment="1">
      <alignment horizontal="center" textRotation="90" wrapText="1"/>
    </xf>
    <xf numFmtId="0" fontId="7" fillId="21" borderId="63" xfId="0" applyFont="1" applyFill="1" applyBorder="1" applyAlignment="1">
      <alignment horizontal="center" textRotation="90"/>
    </xf>
    <xf numFmtId="0" fontId="7" fillId="21" borderId="67" xfId="0" applyFont="1" applyFill="1" applyBorder="1" applyAlignment="1">
      <alignment horizontal="center" textRotation="90"/>
    </xf>
    <xf numFmtId="0" fontId="7" fillId="21" borderId="16" xfId="0" applyFont="1" applyFill="1" applyBorder="1" applyAlignment="1">
      <alignment horizontal="center" textRotation="90"/>
    </xf>
    <xf numFmtId="0" fontId="7" fillId="21" borderId="17" xfId="0" applyFont="1" applyFill="1" applyBorder="1" applyAlignment="1">
      <alignment horizontal="center" textRotation="90"/>
    </xf>
    <xf numFmtId="0" fontId="7" fillId="21" borderId="34" xfId="0" applyFont="1" applyFill="1" applyBorder="1" applyAlignment="1">
      <alignment horizontal="center" textRotation="90"/>
    </xf>
    <xf numFmtId="0" fontId="7" fillId="21" borderId="35" xfId="0" applyFont="1" applyFill="1" applyBorder="1" applyAlignment="1">
      <alignment horizontal="center" textRotation="90"/>
    </xf>
    <xf numFmtId="0" fontId="7" fillId="20" borderId="7" xfId="0" applyFont="1" applyFill="1" applyBorder="1" applyAlignment="1">
      <alignment horizontal="center" vertical="top" textRotation="90"/>
    </xf>
    <xf numFmtId="0" fontId="12" fillId="21" borderId="13" xfId="0" applyFont="1" applyFill="1" applyBorder="1" applyAlignment="1">
      <alignment horizontal="right"/>
    </xf>
    <xf numFmtId="0" fontId="12" fillId="21" borderId="15" xfId="0" applyFont="1" applyFill="1" applyBorder="1" applyAlignment="1">
      <alignment horizontal="right"/>
    </xf>
    <xf numFmtId="0" fontId="7" fillId="20" borderId="23" xfId="0" applyFont="1" applyFill="1" applyBorder="1" applyAlignment="1">
      <alignment horizontal="center" textRotation="90" wrapText="1"/>
    </xf>
    <xf numFmtId="0" fontId="7" fillId="20" borderId="23" xfId="0" applyFont="1" applyFill="1" applyBorder="1" applyAlignment="1">
      <alignment horizontal="center" textRotation="90"/>
    </xf>
    <xf numFmtId="0" fontId="7" fillId="20" borderId="168" xfId="0" applyFont="1" applyFill="1" applyBorder="1" applyAlignment="1">
      <alignment horizontal="center" textRotation="90"/>
    </xf>
    <xf numFmtId="0" fontId="7" fillId="20" borderId="23" xfId="0" applyFont="1" applyFill="1" applyBorder="1" applyAlignment="1">
      <alignment horizontal="center" vertical="top" textRotation="90" wrapText="1"/>
    </xf>
    <xf numFmtId="0" fontId="7" fillId="20" borderId="23" xfId="0" applyFont="1" applyFill="1" applyBorder="1" applyAlignment="1">
      <alignment horizontal="center" vertical="top" textRotation="90"/>
    </xf>
    <xf numFmtId="0" fontId="12" fillId="21" borderId="37" xfId="0" applyFont="1" applyFill="1" applyBorder="1" applyAlignment="1">
      <alignment horizontal="center"/>
    </xf>
    <xf numFmtId="0" fontId="12" fillId="21" borderId="41" xfId="0" applyFont="1" applyFill="1" applyBorder="1" applyAlignment="1">
      <alignment horizontal="center"/>
    </xf>
    <xf numFmtId="0" fontId="12" fillId="21" borderId="38" xfId="0" applyFont="1" applyFill="1" applyBorder="1" applyAlignment="1">
      <alignment horizontal="center"/>
    </xf>
    <xf numFmtId="0" fontId="7" fillId="20" borderId="22" xfId="0" applyFont="1" applyFill="1" applyBorder="1" applyAlignment="1">
      <alignment horizontal="center"/>
    </xf>
    <xf numFmtId="0" fontId="7" fillId="20" borderId="3" xfId="0" applyFont="1" applyFill="1" applyBorder="1" applyAlignment="1">
      <alignment horizontal="center"/>
    </xf>
    <xf numFmtId="0" fontId="7" fillId="20" borderId="23" xfId="0" applyFont="1" applyFill="1" applyBorder="1" applyAlignment="1">
      <alignment horizontal="center"/>
    </xf>
    <xf numFmtId="0" fontId="7" fillId="20" borderId="22" xfId="0" applyFont="1" applyFill="1" applyBorder="1" applyAlignment="1">
      <alignment horizontal="center" textRotation="90"/>
    </xf>
    <xf numFmtId="0" fontId="7" fillId="20" borderId="165" xfId="0" applyFont="1" applyFill="1" applyBorder="1" applyAlignment="1">
      <alignment horizontal="center" textRotation="90"/>
    </xf>
    <xf numFmtId="0" fontId="5" fillId="0" borderId="0" xfId="0" applyFont="1" applyAlignment="1">
      <alignment horizontal="center"/>
    </xf>
    <xf numFmtId="0" fontId="6" fillId="23" borderId="97" xfId="0" applyFont="1" applyFill="1" applyBorder="1"/>
  </cellXfs>
  <cellStyles count="25">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Normal" xfId="0" builtinId="0"/>
  </cellStyles>
  <dxfs count="2">
    <dxf>
      <font>
        <color rgb="FFBCCEFF"/>
      </font>
      <fill>
        <patternFill patternType="none">
          <bgColor auto="1"/>
        </patternFill>
      </fill>
    </dxf>
    <dxf>
      <font>
        <color rgb="FFC2CFF6"/>
      </font>
      <fill>
        <patternFill patternType="none">
          <bgColor auto="1"/>
        </patternFill>
      </fill>
    </dxf>
  </dxfs>
  <tableStyles count="0" defaultTableStyle="TableStyleMedium9" defaultPivotStyle="PivotStyleMedium7"/>
  <colors>
    <mruColors>
      <color rgb="FF9BA9DB"/>
      <color rgb="FFCEE9EB"/>
      <color rgb="FF6979C1"/>
      <color rgb="FF84A1D1"/>
      <color rgb="FFB7CED0"/>
      <color rgb="FFA2E0D0"/>
      <color rgb="FFB8FDEB"/>
      <color rgb="FFCDFA33"/>
      <color rgb="FFC9FA68"/>
      <color rgb="FFE1F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theme" Target="theme/theme1.xml"/><Relationship Id="rId9" Type="http://schemas.openxmlformats.org/officeDocument/2006/relationships/styles" Target="styles.xml"/><Relationship Id="rId10" Type="http://schemas.openxmlformats.org/officeDocument/2006/relationships/sharedStrings" Target="sharedStrings.xml"/><Relationship Id="rId11"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showRuler="0" workbookViewId="0"/>
  </sheetViews>
  <sheetFormatPr baseColWidth="10" defaultRowHeight="16" x14ac:dyDescent="0.2"/>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65"/>
  <sheetViews>
    <sheetView tabSelected="1" showRuler="0" workbookViewId="0"/>
  </sheetViews>
  <sheetFormatPr baseColWidth="10" defaultRowHeight="16" x14ac:dyDescent="0.2"/>
  <cols>
    <col min="1" max="1" width="5.6640625" style="19" customWidth="1"/>
    <col min="2" max="2" width="5.6640625" customWidth="1"/>
    <col min="3" max="4" width="12.5" style="20" customWidth="1"/>
    <col min="5" max="5" width="75.83203125" style="19" customWidth="1"/>
    <col min="6" max="6" width="25" style="19" customWidth="1"/>
    <col min="7" max="7" width="7.5" style="20" customWidth="1"/>
    <col min="8" max="11" width="6.6640625" style="20" customWidth="1"/>
    <col min="12" max="12" width="6.6640625" style="39" customWidth="1"/>
    <col min="13" max="50" width="6.6640625" style="20" customWidth="1"/>
    <col min="51" max="52" width="6.6640625" style="19" customWidth="1"/>
    <col min="53" max="16384" width="10.83203125" style="19"/>
  </cols>
  <sheetData>
    <row r="1" spans="1:53" ht="17" thickBot="1" x14ac:dyDescent="0.25">
      <c r="E1" s="30"/>
    </row>
    <row r="2" spans="1:53" ht="25" customHeight="1" x14ac:dyDescent="0.2">
      <c r="E2" s="56" t="s">
        <v>242</v>
      </c>
      <c r="M2" s="183" t="s">
        <v>235</v>
      </c>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4"/>
      <c r="AW2" s="184"/>
      <c r="AX2" s="184"/>
      <c r="AY2" s="184"/>
      <c r="AZ2" s="185"/>
    </row>
    <row r="3" spans="1:53" ht="25" customHeight="1" thickBot="1" x14ac:dyDescent="0.25">
      <c r="E3" s="221" t="s">
        <v>214</v>
      </c>
      <c r="M3" s="186" t="s">
        <v>236</v>
      </c>
      <c r="N3" s="187"/>
      <c r="O3" s="187"/>
      <c r="P3" s="187"/>
      <c r="Q3" s="187"/>
      <c r="R3" s="187"/>
      <c r="S3" s="187"/>
      <c r="T3" s="187"/>
      <c r="U3" s="187"/>
      <c r="V3" s="187"/>
      <c r="W3" s="187"/>
      <c r="X3" s="187"/>
      <c r="Y3" s="187"/>
      <c r="Z3" s="187"/>
      <c r="AA3" s="187"/>
      <c r="AB3" s="187"/>
      <c r="AC3" s="187"/>
      <c r="AD3" s="187"/>
      <c r="AE3" s="187"/>
      <c r="AF3" s="187"/>
      <c r="AG3" s="187"/>
      <c r="AH3" s="187"/>
      <c r="AI3" s="187"/>
      <c r="AJ3" s="187"/>
      <c r="AK3" s="187"/>
      <c r="AL3" s="187"/>
      <c r="AM3" s="187"/>
      <c r="AN3" s="187"/>
      <c r="AO3" s="187"/>
      <c r="AP3" s="187"/>
      <c r="AQ3" s="187"/>
      <c r="AR3" s="187"/>
      <c r="AS3" s="187"/>
      <c r="AT3" s="187"/>
      <c r="AU3" s="187"/>
      <c r="AV3" s="187"/>
      <c r="AW3" s="187"/>
      <c r="AX3" s="187"/>
      <c r="AY3" s="187"/>
      <c r="AZ3" s="188"/>
    </row>
    <row r="4" spans="1:53" ht="19" customHeight="1" x14ac:dyDescent="0.2">
      <c r="B4" s="55"/>
      <c r="E4" s="222"/>
      <c r="M4" s="195" t="s">
        <v>44</v>
      </c>
      <c r="N4" s="196"/>
      <c r="O4" s="195" t="s">
        <v>45</v>
      </c>
      <c r="P4" s="196"/>
      <c r="Q4" s="195" t="s">
        <v>46</v>
      </c>
      <c r="R4" s="196"/>
      <c r="S4" s="189" t="s">
        <v>201</v>
      </c>
      <c r="T4" s="190"/>
      <c r="U4" s="189" t="s">
        <v>48</v>
      </c>
      <c r="V4" s="190"/>
      <c r="W4" s="189" t="s">
        <v>49</v>
      </c>
      <c r="X4" s="190"/>
      <c r="Y4" s="189" t="s">
        <v>50</v>
      </c>
      <c r="Z4" s="190"/>
      <c r="AA4" s="189" t="s">
        <v>51</v>
      </c>
      <c r="AB4" s="190"/>
      <c r="AC4" s="189" t="s">
        <v>52</v>
      </c>
      <c r="AD4" s="190"/>
      <c r="AE4" s="189" t="s">
        <v>53</v>
      </c>
      <c r="AF4" s="190"/>
      <c r="AG4" s="189" t="s">
        <v>197</v>
      </c>
      <c r="AH4" s="190"/>
      <c r="AI4" s="189" t="s">
        <v>55</v>
      </c>
      <c r="AJ4" s="190"/>
      <c r="AK4" s="189" t="s">
        <v>56</v>
      </c>
      <c r="AL4" s="190"/>
      <c r="AM4" s="189" t="s">
        <v>57</v>
      </c>
      <c r="AN4" s="190"/>
      <c r="AO4" s="189" t="s">
        <v>216</v>
      </c>
      <c r="AP4" s="190"/>
      <c r="AQ4" s="189" t="s">
        <v>59</v>
      </c>
      <c r="AR4" s="190"/>
      <c r="AS4" s="189" t="s">
        <v>60</v>
      </c>
      <c r="AT4" s="190"/>
      <c r="AU4" s="189" t="s">
        <v>61</v>
      </c>
      <c r="AV4" s="190"/>
      <c r="AW4" s="189" t="s">
        <v>200</v>
      </c>
      <c r="AX4" s="190"/>
      <c r="AY4" s="209" t="s">
        <v>173</v>
      </c>
      <c r="AZ4" s="192"/>
    </row>
    <row r="5" spans="1:53" ht="19" customHeight="1" thickBot="1" x14ac:dyDescent="0.25">
      <c r="A5" s="27"/>
      <c r="B5" s="29"/>
      <c r="E5" s="223"/>
      <c r="M5" s="197"/>
      <c r="N5" s="198"/>
      <c r="O5" s="197"/>
      <c r="P5" s="198"/>
      <c r="Q5" s="197"/>
      <c r="R5" s="198"/>
      <c r="S5" s="191"/>
      <c r="T5" s="192"/>
      <c r="U5" s="191"/>
      <c r="V5" s="192"/>
      <c r="W5" s="191"/>
      <c r="X5" s="192"/>
      <c r="Y5" s="191"/>
      <c r="Z5" s="192"/>
      <c r="AA5" s="191"/>
      <c r="AB5" s="192"/>
      <c r="AC5" s="191"/>
      <c r="AD5" s="192"/>
      <c r="AE5" s="191"/>
      <c r="AF5" s="192"/>
      <c r="AG5" s="191"/>
      <c r="AH5" s="192"/>
      <c r="AI5" s="191"/>
      <c r="AJ5" s="192"/>
      <c r="AK5" s="191"/>
      <c r="AL5" s="192"/>
      <c r="AM5" s="191"/>
      <c r="AN5" s="192"/>
      <c r="AO5" s="191"/>
      <c r="AP5" s="192"/>
      <c r="AQ5" s="191"/>
      <c r="AR5" s="192"/>
      <c r="AS5" s="191"/>
      <c r="AT5" s="192"/>
      <c r="AU5" s="191"/>
      <c r="AV5" s="192"/>
      <c r="AW5" s="191"/>
      <c r="AX5" s="192"/>
      <c r="AY5" s="209"/>
      <c r="AZ5" s="192"/>
    </row>
    <row r="6" spans="1:53" ht="19" customHeight="1" thickBot="1" x14ac:dyDescent="0.25">
      <c r="A6" s="28"/>
      <c r="B6" s="54"/>
      <c r="H6" s="19"/>
      <c r="I6" s="19"/>
      <c r="J6" s="19"/>
      <c r="K6" s="19"/>
      <c r="L6" s="111"/>
      <c r="M6" s="199"/>
      <c r="N6" s="200"/>
      <c r="O6" s="199"/>
      <c r="P6" s="200"/>
      <c r="Q6" s="199"/>
      <c r="R6" s="200"/>
      <c r="S6" s="193"/>
      <c r="T6" s="194"/>
      <c r="U6" s="193"/>
      <c r="V6" s="194"/>
      <c r="W6" s="193"/>
      <c r="X6" s="194"/>
      <c r="Y6" s="193"/>
      <c r="Z6" s="194"/>
      <c r="AA6" s="193"/>
      <c r="AB6" s="194"/>
      <c r="AC6" s="193"/>
      <c r="AD6" s="194"/>
      <c r="AE6" s="193"/>
      <c r="AF6" s="194"/>
      <c r="AG6" s="193"/>
      <c r="AH6" s="194"/>
      <c r="AI6" s="193"/>
      <c r="AJ6" s="194"/>
      <c r="AK6" s="193"/>
      <c r="AL6" s="194"/>
      <c r="AM6" s="193"/>
      <c r="AN6" s="194"/>
      <c r="AO6" s="193"/>
      <c r="AP6" s="194"/>
      <c r="AQ6" s="193"/>
      <c r="AR6" s="194"/>
      <c r="AS6" s="193"/>
      <c r="AT6" s="194"/>
      <c r="AU6" s="193"/>
      <c r="AV6" s="194"/>
      <c r="AW6" s="193"/>
      <c r="AX6" s="194"/>
      <c r="AY6" s="210"/>
      <c r="AZ6" s="194"/>
    </row>
    <row r="7" spans="1:53" ht="20" customHeight="1" x14ac:dyDescent="0.2">
      <c r="A7" s="171" t="s">
        <v>190</v>
      </c>
      <c r="B7" s="224" t="s">
        <v>215</v>
      </c>
      <c r="C7" s="153" t="s">
        <v>63</v>
      </c>
      <c r="D7" s="153" t="s">
        <v>226</v>
      </c>
      <c r="E7" s="150" t="s">
        <v>64</v>
      </c>
      <c r="F7" s="150" t="s">
        <v>65</v>
      </c>
      <c r="G7" s="153" t="s">
        <v>66</v>
      </c>
      <c r="H7" s="180" t="s">
        <v>42</v>
      </c>
      <c r="I7" s="159" t="s">
        <v>43</v>
      </c>
      <c r="J7" s="156" t="s">
        <v>223</v>
      </c>
      <c r="K7" s="174" t="s">
        <v>224</v>
      </c>
      <c r="L7" s="177" t="s">
        <v>225</v>
      </c>
      <c r="M7" s="165" t="s">
        <v>199</v>
      </c>
      <c r="N7" s="168" t="s">
        <v>198</v>
      </c>
      <c r="O7" s="165" t="s">
        <v>199</v>
      </c>
      <c r="P7" s="162" t="s">
        <v>198</v>
      </c>
      <c r="Q7" s="165" t="s">
        <v>199</v>
      </c>
      <c r="R7" s="162" t="s">
        <v>198</v>
      </c>
      <c r="S7" s="165" t="s">
        <v>199</v>
      </c>
      <c r="T7" s="162" t="s">
        <v>198</v>
      </c>
      <c r="U7" s="165" t="s">
        <v>199</v>
      </c>
      <c r="V7" s="162" t="s">
        <v>198</v>
      </c>
      <c r="W7" s="165" t="s">
        <v>199</v>
      </c>
      <c r="X7" s="162" t="s">
        <v>198</v>
      </c>
      <c r="Y7" s="165" t="s">
        <v>199</v>
      </c>
      <c r="Z7" s="162" t="s">
        <v>198</v>
      </c>
      <c r="AA7" s="165" t="s">
        <v>199</v>
      </c>
      <c r="AB7" s="162" t="s">
        <v>198</v>
      </c>
      <c r="AC7" s="165" t="s">
        <v>199</v>
      </c>
      <c r="AD7" s="162" t="s">
        <v>198</v>
      </c>
      <c r="AE7" s="165" t="s">
        <v>199</v>
      </c>
      <c r="AF7" s="162" t="s">
        <v>198</v>
      </c>
      <c r="AG7" s="165" t="s">
        <v>199</v>
      </c>
      <c r="AH7" s="162" t="s">
        <v>198</v>
      </c>
      <c r="AI7" s="165" t="s">
        <v>199</v>
      </c>
      <c r="AJ7" s="162" t="s">
        <v>198</v>
      </c>
      <c r="AK7" s="165" t="s">
        <v>199</v>
      </c>
      <c r="AL7" s="162" t="s">
        <v>198</v>
      </c>
      <c r="AM7" s="165" t="s">
        <v>199</v>
      </c>
      <c r="AN7" s="162" t="s">
        <v>198</v>
      </c>
      <c r="AO7" s="165" t="s">
        <v>199</v>
      </c>
      <c r="AP7" s="162" t="s">
        <v>198</v>
      </c>
      <c r="AQ7" s="165" t="s">
        <v>199</v>
      </c>
      <c r="AR7" s="162" t="s">
        <v>198</v>
      </c>
      <c r="AS7" s="165" t="s">
        <v>199</v>
      </c>
      <c r="AT7" s="162" t="s">
        <v>198</v>
      </c>
      <c r="AU7" s="165" t="s">
        <v>199</v>
      </c>
      <c r="AV7" s="162" t="s">
        <v>198</v>
      </c>
      <c r="AW7" s="165" t="s">
        <v>199</v>
      </c>
      <c r="AX7" s="162" t="s">
        <v>198</v>
      </c>
      <c r="AY7" s="206" t="s">
        <v>199</v>
      </c>
      <c r="AZ7" s="162" t="s">
        <v>198</v>
      </c>
    </row>
    <row r="8" spans="1:53" ht="20" customHeight="1" x14ac:dyDescent="0.2">
      <c r="A8" s="172"/>
      <c r="B8" s="225"/>
      <c r="C8" s="154"/>
      <c r="D8" s="154"/>
      <c r="E8" s="151"/>
      <c r="F8" s="151"/>
      <c r="G8" s="154"/>
      <c r="H8" s="181"/>
      <c r="I8" s="160"/>
      <c r="J8" s="157"/>
      <c r="K8" s="175"/>
      <c r="L8" s="178"/>
      <c r="M8" s="166"/>
      <c r="N8" s="169"/>
      <c r="O8" s="166"/>
      <c r="P8" s="163"/>
      <c r="Q8" s="166"/>
      <c r="R8" s="163"/>
      <c r="S8" s="166"/>
      <c r="T8" s="163"/>
      <c r="U8" s="166"/>
      <c r="V8" s="163"/>
      <c r="W8" s="166"/>
      <c r="X8" s="163"/>
      <c r="Y8" s="166"/>
      <c r="Z8" s="163"/>
      <c r="AA8" s="166"/>
      <c r="AB8" s="163"/>
      <c r="AC8" s="166"/>
      <c r="AD8" s="163"/>
      <c r="AE8" s="166"/>
      <c r="AF8" s="163"/>
      <c r="AG8" s="166"/>
      <c r="AH8" s="163"/>
      <c r="AI8" s="166"/>
      <c r="AJ8" s="163"/>
      <c r="AK8" s="166"/>
      <c r="AL8" s="163"/>
      <c r="AM8" s="166"/>
      <c r="AN8" s="163"/>
      <c r="AO8" s="166"/>
      <c r="AP8" s="163"/>
      <c r="AQ8" s="166"/>
      <c r="AR8" s="163"/>
      <c r="AS8" s="166"/>
      <c r="AT8" s="163"/>
      <c r="AU8" s="166"/>
      <c r="AV8" s="163"/>
      <c r="AW8" s="166"/>
      <c r="AX8" s="163"/>
      <c r="AY8" s="207"/>
      <c r="AZ8" s="163"/>
    </row>
    <row r="9" spans="1:53" ht="20" customHeight="1" x14ac:dyDescent="0.2">
      <c r="A9" s="172"/>
      <c r="B9" s="225"/>
      <c r="C9" s="154"/>
      <c r="D9" s="154"/>
      <c r="E9" s="151"/>
      <c r="F9" s="151"/>
      <c r="G9" s="154"/>
      <c r="H9" s="181"/>
      <c r="I9" s="160"/>
      <c r="J9" s="157"/>
      <c r="K9" s="175"/>
      <c r="L9" s="178"/>
      <c r="M9" s="166"/>
      <c r="N9" s="169"/>
      <c r="O9" s="166"/>
      <c r="P9" s="163"/>
      <c r="Q9" s="166"/>
      <c r="R9" s="163"/>
      <c r="S9" s="166"/>
      <c r="T9" s="163"/>
      <c r="U9" s="166"/>
      <c r="V9" s="163"/>
      <c r="W9" s="166"/>
      <c r="X9" s="163"/>
      <c r="Y9" s="166"/>
      <c r="Z9" s="163"/>
      <c r="AA9" s="166"/>
      <c r="AB9" s="163"/>
      <c r="AC9" s="166"/>
      <c r="AD9" s="163"/>
      <c r="AE9" s="166"/>
      <c r="AF9" s="163"/>
      <c r="AG9" s="166"/>
      <c r="AH9" s="163"/>
      <c r="AI9" s="166"/>
      <c r="AJ9" s="163"/>
      <c r="AK9" s="166"/>
      <c r="AL9" s="163"/>
      <c r="AM9" s="166"/>
      <c r="AN9" s="163"/>
      <c r="AO9" s="166"/>
      <c r="AP9" s="163"/>
      <c r="AQ9" s="166"/>
      <c r="AR9" s="163"/>
      <c r="AS9" s="166"/>
      <c r="AT9" s="163"/>
      <c r="AU9" s="166"/>
      <c r="AV9" s="163"/>
      <c r="AW9" s="166"/>
      <c r="AX9" s="163"/>
      <c r="AY9" s="207"/>
      <c r="AZ9" s="163"/>
    </row>
    <row r="10" spans="1:53" ht="20" customHeight="1" x14ac:dyDescent="0.2">
      <c r="A10" s="172"/>
      <c r="B10" s="225"/>
      <c r="C10" s="154"/>
      <c r="D10" s="154"/>
      <c r="E10" s="151"/>
      <c r="F10" s="151"/>
      <c r="G10" s="154"/>
      <c r="H10" s="181"/>
      <c r="I10" s="160"/>
      <c r="J10" s="157"/>
      <c r="K10" s="175"/>
      <c r="L10" s="178"/>
      <c r="M10" s="166"/>
      <c r="N10" s="169"/>
      <c r="O10" s="166"/>
      <c r="P10" s="163"/>
      <c r="Q10" s="166"/>
      <c r="R10" s="163"/>
      <c r="S10" s="166"/>
      <c r="T10" s="163"/>
      <c r="U10" s="166"/>
      <c r="V10" s="163"/>
      <c r="W10" s="166"/>
      <c r="X10" s="163"/>
      <c r="Y10" s="166"/>
      <c r="Z10" s="163"/>
      <c r="AA10" s="166"/>
      <c r="AB10" s="163"/>
      <c r="AC10" s="166"/>
      <c r="AD10" s="163"/>
      <c r="AE10" s="166"/>
      <c r="AF10" s="163"/>
      <c r="AG10" s="166"/>
      <c r="AH10" s="163"/>
      <c r="AI10" s="166"/>
      <c r="AJ10" s="163"/>
      <c r="AK10" s="166"/>
      <c r="AL10" s="163"/>
      <c r="AM10" s="166"/>
      <c r="AN10" s="163"/>
      <c r="AO10" s="166"/>
      <c r="AP10" s="163"/>
      <c r="AQ10" s="166"/>
      <c r="AR10" s="163"/>
      <c r="AS10" s="166"/>
      <c r="AT10" s="163"/>
      <c r="AU10" s="166"/>
      <c r="AV10" s="163"/>
      <c r="AW10" s="166"/>
      <c r="AX10" s="163"/>
      <c r="AY10" s="207"/>
      <c r="AZ10" s="163"/>
    </row>
    <row r="11" spans="1:53" s="21" customFormat="1" ht="20" customHeight="1" thickBot="1" x14ac:dyDescent="0.25">
      <c r="A11" s="173"/>
      <c r="B11" s="226"/>
      <c r="C11" s="155"/>
      <c r="D11" s="155"/>
      <c r="E11" s="152"/>
      <c r="F11" s="152"/>
      <c r="G11" s="155"/>
      <c r="H11" s="182"/>
      <c r="I11" s="161"/>
      <c r="J11" s="158"/>
      <c r="K11" s="176"/>
      <c r="L11" s="179"/>
      <c r="M11" s="167"/>
      <c r="N11" s="170"/>
      <c r="O11" s="167"/>
      <c r="P11" s="164"/>
      <c r="Q11" s="167"/>
      <c r="R11" s="164"/>
      <c r="S11" s="167"/>
      <c r="T11" s="164"/>
      <c r="U11" s="167"/>
      <c r="V11" s="164"/>
      <c r="W11" s="167"/>
      <c r="X11" s="164"/>
      <c r="Y11" s="167"/>
      <c r="Z11" s="164"/>
      <c r="AA11" s="167"/>
      <c r="AB11" s="164"/>
      <c r="AC11" s="167"/>
      <c r="AD11" s="164"/>
      <c r="AE11" s="167"/>
      <c r="AF11" s="164"/>
      <c r="AG11" s="167"/>
      <c r="AH11" s="164"/>
      <c r="AI11" s="167"/>
      <c r="AJ11" s="164"/>
      <c r="AK11" s="167"/>
      <c r="AL11" s="164"/>
      <c r="AM11" s="167"/>
      <c r="AN11" s="164"/>
      <c r="AO11" s="167"/>
      <c r="AP11" s="164"/>
      <c r="AQ11" s="167"/>
      <c r="AR11" s="164"/>
      <c r="AS11" s="167"/>
      <c r="AT11" s="164"/>
      <c r="AU11" s="167"/>
      <c r="AV11" s="164"/>
      <c r="AW11" s="167"/>
      <c r="AX11" s="164"/>
      <c r="AY11" s="208"/>
      <c r="AZ11" s="164"/>
      <c r="BA11" s="74" t="s">
        <v>67</v>
      </c>
    </row>
    <row r="12" spans="1:53" s="21" customFormat="1" ht="20" customHeight="1" x14ac:dyDescent="0.2">
      <c r="A12" s="126"/>
      <c r="B12" s="127"/>
      <c r="C12" s="75" t="s">
        <v>207</v>
      </c>
      <c r="D12" s="75" t="s">
        <v>253</v>
      </c>
      <c r="E12" s="76" t="s">
        <v>245</v>
      </c>
      <c r="F12" s="76" t="s">
        <v>246</v>
      </c>
      <c r="G12" s="75">
        <v>2013</v>
      </c>
      <c r="H12" s="81"/>
      <c r="I12" s="84"/>
      <c r="J12" s="64">
        <v>10</v>
      </c>
      <c r="K12" s="65">
        <v>490</v>
      </c>
      <c r="L12" s="112">
        <f>IF(AND(NOT(ISERROR(J12/K12*100)), J12&lt;&gt;""), J12/K12*100, "")</f>
        <v>2.0408163265306123</v>
      </c>
      <c r="M12" s="31">
        <v>1</v>
      </c>
      <c r="N12" s="40">
        <f>IF((ISERROR((M12/$K12)*100)), "", IF(AND(NOT(ISERROR((M12/$K12)*100)),((M12/$K12)*100) &lt;&gt; 0), (M12/$K12)*100, ""))</f>
        <v>0.20408163265306123</v>
      </c>
      <c r="O12" s="31"/>
      <c r="P12" s="40" t="str">
        <f>IF((ISERROR((O12/$K12)*100)), "", IF(AND(NOT(ISERROR((O12/$K12)*100)),((O12/$K12)*100) &lt;&gt; 0), (O12/$K12)*100, ""))</f>
        <v/>
      </c>
      <c r="Q12" s="31"/>
      <c r="R12" s="40" t="str">
        <f>IF((ISERROR((Q12/$K12)*100)), "", IF(AND(NOT(ISERROR((Q12/$K12)*100)),((Q12/$K12)*100) &lt;&gt; 0), (Q12/$K12)*100, ""))</f>
        <v/>
      </c>
      <c r="S12" s="31">
        <v>1</v>
      </c>
      <c r="T12" s="40">
        <f>IF((ISERROR((S12/$K12)*100)), "", IF(AND(NOT(ISERROR((S12/$K12)*100)),((S12/$K12)*100) &lt;&gt; 0), (S12/$K12)*100, ""))</f>
        <v>0.20408163265306123</v>
      </c>
      <c r="U12" s="31"/>
      <c r="V12" s="40" t="str">
        <f>IF((ISERROR((U12/$K12)*100)), "", IF(AND(NOT(ISERROR((U12/$K12)*100)),((U12/$K12)*100) &lt;&gt; 0), (U12/$K12)*100, ""))</f>
        <v/>
      </c>
      <c r="W12" s="31"/>
      <c r="X12" s="40" t="str">
        <f>IF((ISERROR((W12/$K12)*100)), "", IF(AND(NOT(ISERROR((W12/$K12)*100)),((W12/$K12)*100) &lt;&gt; 0), (W12/$K12)*100, ""))</f>
        <v/>
      </c>
      <c r="Y12" s="31">
        <v>1</v>
      </c>
      <c r="Z12" s="40">
        <f>IF((ISERROR((Y12/$K12)*100)), "", IF(AND(NOT(ISERROR((Y12/$K12)*100)),((Y12/$K12)*100) &lt;&gt; 0), (Y12/$K12)*100, ""))</f>
        <v>0.20408163265306123</v>
      </c>
      <c r="AA12" s="31"/>
      <c r="AB12" s="40" t="str">
        <f>IF((ISERROR((AA12/$K12)*100)), "", IF(AND(NOT(ISERROR((AA12/$K12)*100)),((AA12/$K12)*100) &lt;&gt; 0), (AA12/$K12)*100, ""))</f>
        <v/>
      </c>
      <c r="AC12" s="31">
        <v>1</v>
      </c>
      <c r="AD12" s="40">
        <f>IF((ISERROR((AC12/$K12)*100)), "", IF(AND(NOT(ISERROR((AC12/$K12)*100)),((AC12/$K12)*100) &lt;&gt; 0), (AC12/$K12)*100, ""))</f>
        <v>0.20408163265306123</v>
      </c>
      <c r="AE12" s="31"/>
      <c r="AF12" s="40" t="str">
        <f>IF((ISERROR((AE12/$K12)*100)), "", IF(AND(NOT(ISERROR((AE12/$K12)*100)),((AE12/$K12)*100) &lt;&gt; 0), (AE12/$K12)*100, ""))</f>
        <v/>
      </c>
      <c r="AG12" s="31">
        <v>1</v>
      </c>
      <c r="AH12" s="40">
        <f>IF((ISERROR((AG12/$K12)*100)), "", IF(AND(NOT(ISERROR((AG12/$K12)*100)),((AG12/$K12)*100) &lt;&gt; 0), (AG12/$K12)*100, ""))</f>
        <v>0.20408163265306123</v>
      </c>
      <c r="AI12" s="31"/>
      <c r="AJ12" s="40" t="str">
        <f>IF((ISERROR((AI12/$K12)*100)), "", IF(AND(NOT(ISERROR((AI12/$K12)*100)),((AI12/$K12)*100) &lt;&gt; 0), (AI12/$K12)*100, ""))</f>
        <v/>
      </c>
      <c r="AK12" s="31"/>
      <c r="AL12" s="40" t="str">
        <f>IF((ISERROR((AK12/$K12)*100)), "", IF(AND(NOT(ISERROR((AK12/$K12)*100)),((AK12/$K12)*100) &lt;&gt; 0), (AK12/$K12)*100, ""))</f>
        <v/>
      </c>
      <c r="AM12" s="31"/>
      <c r="AN12" s="40" t="str">
        <f>IF((ISERROR((AM12/$K12)*100)), "", IF(AND(NOT(ISERROR((AM12/$K12)*100)),((AM12/$K12)*100) &lt;&gt; 0), (AM12/$K12)*100, ""))</f>
        <v/>
      </c>
      <c r="AO12" s="31"/>
      <c r="AP12" s="40" t="str">
        <f>IF((ISERROR((AO12/$K12)*100)), "", IF(AND(NOT(ISERROR((AO12/$K12)*100)),((AO12/$K12)*100) &lt;&gt; 0), (AO12/$K12)*100, ""))</f>
        <v/>
      </c>
      <c r="AQ12" s="31">
        <v>1</v>
      </c>
      <c r="AR12" s="40">
        <f>IF((ISERROR((AQ12/$K12)*100)), "", IF(AND(NOT(ISERROR((AQ12/$K12)*100)),((AQ12/$K12)*100) &lt;&gt; 0), (AQ12/$K12)*100, ""))</f>
        <v>0.20408163265306123</v>
      </c>
      <c r="AS12" s="31">
        <v>2</v>
      </c>
      <c r="AT12" s="40">
        <f>IF((ISERROR((AS12/$K12)*100)), "", IF(AND(NOT(ISERROR((AS12/$K12)*100)),((AS12/$K12)*100) &lt;&gt; 0), (AS12/$K12)*100, ""))</f>
        <v>0.40816326530612246</v>
      </c>
      <c r="AU12" s="31"/>
      <c r="AV12" s="40" t="str">
        <f>IF((ISERROR((AU12/$K12)*100)), "", IF(AND(NOT(ISERROR((AU12/$K12)*100)),((AU12/$K12)*100) &lt;&gt; 0), (AU12/$K12)*100, ""))</f>
        <v/>
      </c>
      <c r="AW12" s="31"/>
      <c r="AX12" s="40" t="str">
        <f>IF((ISERROR((AW12/$K12)*100)), "", IF(AND(NOT(ISERROR((AW12/$K12)*100)),((AW12/$K12)*100) &lt;&gt; 0), (AW12/$K12)*100, ""))</f>
        <v/>
      </c>
      <c r="AY12" s="35">
        <v>17</v>
      </c>
      <c r="AZ12" s="40">
        <f>IF((ISERROR((AY12/$K12)*100)), "", IF(AND(NOT(ISERROR((AY12/$K12)*100)),((AY12/$K12)*100) &lt;&gt; 0), (AY12/$K12)*100, ""))</f>
        <v>3.4693877551020407</v>
      </c>
      <c r="BA12" s="70" t="s">
        <v>249</v>
      </c>
    </row>
    <row r="13" spans="1:53" ht="20" customHeight="1" x14ac:dyDescent="0.2">
      <c r="A13" s="128"/>
      <c r="B13" s="129"/>
      <c r="C13" s="75" t="s">
        <v>207</v>
      </c>
      <c r="D13" s="75" t="s">
        <v>252</v>
      </c>
      <c r="E13" s="76" t="s">
        <v>68</v>
      </c>
      <c r="F13" s="76" t="s">
        <v>69</v>
      </c>
      <c r="G13" s="75">
        <v>2015</v>
      </c>
      <c r="H13" s="81">
        <v>3</v>
      </c>
      <c r="I13" s="84" t="s">
        <v>70</v>
      </c>
      <c r="J13" s="64">
        <v>14</v>
      </c>
      <c r="K13" s="65">
        <v>100</v>
      </c>
      <c r="L13" s="112">
        <f>IF(AND(NOT(ISERROR(J13/K13*100)), J13&lt;&gt;""), J13/K13*100, "")</f>
        <v>14.000000000000002</v>
      </c>
      <c r="M13" s="31">
        <v>13</v>
      </c>
      <c r="N13" s="40">
        <f>IF((ISERROR((M13/$K13)*100)), "", IF(AND(NOT(ISERROR((M13/$K13)*100)),((M13/$K13)*100) &lt;&gt; 0), (M13/$K13)*100, ""))</f>
        <v>13</v>
      </c>
      <c r="O13" s="31">
        <v>1</v>
      </c>
      <c r="P13" s="40">
        <f t="shared" ref="P13:P55" si="0">IF((ISERROR((O13/$K13)*100)), "", IF(AND(NOT(ISERROR((O13/$K13)*100)),((O13/$K13)*100) &lt;&gt; 0), (O13/$K13)*100, ""))</f>
        <v>1</v>
      </c>
      <c r="Q13" s="31"/>
      <c r="R13" s="40" t="str">
        <f t="shared" ref="R13:R55" si="1">IF((ISERROR((Q13/$K13)*100)), "", IF(AND(NOT(ISERROR((Q13/$K13)*100)),((Q13/$K13)*100) &lt;&gt; 0), (Q13/$K13)*100, ""))</f>
        <v/>
      </c>
      <c r="S13" s="31"/>
      <c r="T13" s="40" t="str">
        <f t="shared" ref="T13:T30" si="2">IF((ISERROR((S13/$K13)*100)), "", IF(AND(NOT(ISERROR((S13/$K13)*100)),((S13/$K13)*100) &lt;&gt; 0), (S13/$K13)*100, ""))</f>
        <v/>
      </c>
      <c r="U13" s="31"/>
      <c r="V13" s="40" t="str">
        <f t="shared" ref="V13:V30" si="3">IF((ISERROR((U13/$K13)*100)), "", IF(AND(NOT(ISERROR((U13/$K13)*100)),((U13/$K13)*100) &lt;&gt; 0), (U13/$K13)*100, ""))</f>
        <v/>
      </c>
      <c r="W13" s="31"/>
      <c r="X13" s="40" t="str">
        <f t="shared" ref="X13:X55" si="4">IF((ISERROR((W13/$K13)*100)), "", IF(AND(NOT(ISERROR((W13/$K13)*100)),((W13/$K13)*100) &lt;&gt; 0), (W13/$K13)*100, ""))</f>
        <v/>
      </c>
      <c r="Y13" s="31"/>
      <c r="Z13" s="40" t="str">
        <f t="shared" ref="Z13:Z55" si="5">IF((ISERROR((Y13/$K13)*100)), "", IF(AND(NOT(ISERROR((Y13/$K13)*100)),((Y13/$K13)*100) &lt;&gt; 0), (Y13/$K13)*100, ""))</f>
        <v/>
      </c>
      <c r="AA13" s="31"/>
      <c r="AB13" s="40" t="str">
        <f t="shared" ref="AB13:AB55" si="6">IF((ISERROR((AA13/$K13)*100)), "", IF(AND(NOT(ISERROR((AA13/$K13)*100)),((AA13/$K13)*100) &lt;&gt; 0), (AA13/$K13)*100, ""))</f>
        <v/>
      </c>
      <c r="AC13" s="31"/>
      <c r="AD13" s="40" t="str">
        <f t="shared" ref="AD13:AD55" si="7">IF((ISERROR((AC13/$K13)*100)), "", IF(AND(NOT(ISERROR((AC13/$K13)*100)),((AC13/$K13)*100) &lt;&gt; 0), (AC13/$K13)*100, ""))</f>
        <v/>
      </c>
      <c r="AE13" s="31"/>
      <c r="AF13" s="40" t="str">
        <f t="shared" ref="AF13:AF55" si="8">IF((ISERROR((AE13/$K13)*100)), "", IF(AND(NOT(ISERROR((AE13/$K13)*100)),((AE13/$K13)*100) &lt;&gt; 0), (AE13/$K13)*100, ""))</f>
        <v/>
      </c>
      <c r="AG13" s="31"/>
      <c r="AH13" s="40" t="str">
        <f t="shared" ref="AH13:AH55" si="9">IF((ISERROR((AG13/$K13)*100)), "", IF(AND(NOT(ISERROR((AG13/$K13)*100)),((AG13/$K13)*100) &lt;&gt; 0), (AG13/$K13)*100, ""))</f>
        <v/>
      </c>
      <c r="AI13" s="31"/>
      <c r="AJ13" s="40" t="str">
        <f t="shared" ref="AJ13:AJ55" si="10">IF((ISERROR((AI13/$K13)*100)), "", IF(AND(NOT(ISERROR((AI13/$K13)*100)),((AI13/$K13)*100) &lt;&gt; 0), (AI13/$K13)*100, ""))</f>
        <v/>
      </c>
      <c r="AK13" s="31"/>
      <c r="AL13" s="40" t="str">
        <f t="shared" ref="AL13:AL55" si="11">IF((ISERROR((AK13/$K13)*100)), "", IF(AND(NOT(ISERROR((AK13/$K13)*100)),((AK13/$K13)*100) &lt;&gt; 0), (AK13/$K13)*100, ""))</f>
        <v/>
      </c>
      <c r="AM13" s="31"/>
      <c r="AN13" s="40" t="str">
        <f t="shared" ref="AN13:AN55" si="12">IF((ISERROR((AM13/$K13)*100)), "", IF(AND(NOT(ISERROR((AM13/$K13)*100)),((AM13/$K13)*100) &lt;&gt; 0), (AM13/$K13)*100, ""))</f>
        <v/>
      </c>
      <c r="AO13" s="31"/>
      <c r="AP13" s="40" t="str">
        <f t="shared" ref="AP13:AP55" si="13">IF((ISERROR((AO13/$K13)*100)), "", IF(AND(NOT(ISERROR((AO13/$K13)*100)),((AO13/$K13)*100) &lt;&gt; 0), (AO13/$K13)*100, ""))</f>
        <v/>
      </c>
      <c r="AQ13" s="31"/>
      <c r="AR13" s="40" t="str">
        <f t="shared" ref="AR13:AR55" si="14">IF((ISERROR((AQ13/$K13)*100)), "", IF(AND(NOT(ISERROR((AQ13/$K13)*100)),((AQ13/$K13)*100) &lt;&gt; 0), (AQ13/$K13)*100, ""))</f>
        <v/>
      </c>
      <c r="AS13" s="31"/>
      <c r="AT13" s="40" t="str">
        <f t="shared" ref="AT13:AT55" si="15">IF((ISERROR((AS13/$K13)*100)), "", IF(AND(NOT(ISERROR((AS13/$K13)*100)),((AS13/$K13)*100) &lt;&gt; 0), (AS13/$K13)*100, ""))</f>
        <v/>
      </c>
      <c r="AU13" s="31"/>
      <c r="AV13" s="40" t="str">
        <f t="shared" ref="AV13:AV55" si="16">IF((ISERROR((AU13/$K13)*100)), "", IF(AND(NOT(ISERROR((AU13/$K13)*100)),((AU13/$K13)*100) &lt;&gt; 0), (AU13/$K13)*100, ""))</f>
        <v/>
      </c>
      <c r="AW13" s="31"/>
      <c r="AX13" s="40" t="str">
        <f t="shared" ref="AX13:AX55" si="17">IF((ISERROR((AW13/$K13)*100)), "", IF(AND(NOT(ISERROR((AW13/$K13)*100)),((AW13/$K13)*100) &lt;&gt; 0), (AW13/$K13)*100, ""))</f>
        <v/>
      </c>
      <c r="AY13" s="35"/>
      <c r="AZ13" s="40" t="str">
        <f t="shared" ref="AZ13:AZ55" si="18">IF((ISERROR((AY13/$K13)*100)), "", IF(AND(NOT(ISERROR((AY13/$K13)*100)),((AY13/$K13)*100) &lt;&gt; 0), (AY13/$K13)*100, ""))</f>
        <v/>
      </c>
      <c r="BA13" s="19" t="s">
        <v>205</v>
      </c>
    </row>
    <row r="14" spans="1:53" ht="20" customHeight="1" x14ac:dyDescent="0.2">
      <c r="A14" s="128"/>
      <c r="B14" s="129"/>
      <c r="C14" s="75" t="s">
        <v>207</v>
      </c>
      <c r="D14" s="75"/>
      <c r="E14" s="76" t="s">
        <v>71</v>
      </c>
      <c r="F14" s="76" t="s">
        <v>72</v>
      </c>
      <c r="G14" s="75">
        <v>2014</v>
      </c>
      <c r="H14" s="81">
        <v>9</v>
      </c>
      <c r="I14" s="84"/>
      <c r="J14" s="64">
        <v>8</v>
      </c>
      <c r="K14" s="65">
        <v>82</v>
      </c>
      <c r="L14" s="112">
        <f t="shared" ref="L14:L55" si="19">IF(AND(NOT(ISERROR(J14/K14*100)), J14&lt;&gt;""), J14/K14*100, "")</f>
        <v>9.7560975609756095</v>
      </c>
      <c r="M14" s="31">
        <v>8</v>
      </c>
      <c r="N14" s="40">
        <f t="shared" ref="N14:N55" si="20">IF((ISERROR((M14/K14)*100)), "", IF(AND(NOT(ISERROR((M14/K14)*100)),((M14/K14)*100) &lt;&gt; 0), (M14/K14)*100, ""))</f>
        <v>9.7560975609756095</v>
      </c>
      <c r="O14" s="31"/>
      <c r="P14" s="40" t="str">
        <f t="shared" si="0"/>
        <v/>
      </c>
      <c r="Q14" s="31"/>
      <c r="R14" s="40" t="str">
        <f t="shared" si="1"/>
        <v/>
      </c>
      <c r="S14" s="31"/>
      <c r="T14" s="40" t="str">
        <f t="shared" si="2"/>
        <v/>
      </c>
      <c r="U14" s="31"/>
      <c r="V14" s="40" t="str">
        <f t="shared" si="3"/>
        <v/>
      </c>
      <c r="W14" s="31"/>
      <c r="X14" s="40" t="str">
        <f t="shared" si="4"/>
        <v/>
      </c>
      <c r="Y14" s="31"/>
      <c r="Z14" s="40" t="str">
        <f t="shared" si="5"/>
        <v/>
      </c>
      <c r="AA14" s="31"/>
      <c r="AB14" s="40" t="str">
        <f t="shared" si="6"/>
        <v/>
      </c>
      <c r="AC14" s="31"/>
      <c r="AD14" s="40" t="str">
        <f t="shared" si="7"/>
        <v/>
      </c>
      <c r="AE14" s="31"/>
      <c r="AF14" s="40" t="str">
        <f t="shared" si="8"/>
        <v/>
      </c>
      <c r="AG14" s="31"/>
      <c r="AH14" s="40" t="str">
        <f t="shared" si="9"/>
        <v/>
      </c>
      <c r="AI14" s="31"/>
      <c r="AJ14" s="40" t="str">
        <f t="shared" si="10"/>
        <v/>
      </c>
      <c r="AK14" s="31"/>
      <c r="AL14" s="40" t="str">
        <f t="shared" si="11"/>
        <v/>
      </c>
      <c r="AM14" s="31"/>
      <c r="AN14" s="40" t="str">
        <f t="shared" si="12"/>
        <v/>
      </c>
      <c r="AO14" s="31"/>
      <c r="AP14" s="40" t="str">
        <f t="shared" si="13"/>
        <v/>
      </c>
      <c r="AQ14" s="31"/>
      <c r="AR14" s="40" t="str">
        <f t="shared" si="14"/>
        <v/>
      </c>
      <c r="AS14" s="31"/>
      <c r="AT14" s="40" t="str">
        <f t="shared" si="15"/>
        <v/>
      </c>
      <c r="AU14" s="31"/>
      <c r="AV14" s="40" t="str">
        <f t="shared" si="16"/>
        <v/>
      </c>
      <c r="AW14" s="31"/>
      <c r="AX14" s="40" t="str">
        <f t="shared" si="17"/>
        <v/>
      </c>
      <c r="AY14" s="35"/>
      <c r="AZ14" s="40" t="str">
        <f t="shared" si="18"/>
        <v/>
      </c>
      <c r="BA14" s="22" t="s">
        <v>206</v>
      </c>
    </row>
    <row r="15" spans="1:53" ht="20" customHeight="1" x14ac:dyDescent="0.2">
      <c r="A15" s="130"/>
      <c r="B15" s="131"/>
      <c r="C15" s="75"/>
      <c r="D15" s="75"/>
      <c r="E15" s="76" t="s">
        <v>74</v>
      </c>
      <c r="F15" s="76" t="s">
        <v>75</v>
      </c>
      <c r="G15" s="75">
        <v>2013</v>
      </c>
      <c r="H15" s="81">
        <v>15</v>
      </c>
      <c r="I15" s="84"/>
      <c r="J15" s="64"/>
      <c r="K15" s="65"/>
      <c r="L15" s="112" t="str">
        <f t="shared" si="19"/>
        <v/>
      </c>
      <c r="M15" s="31"/>
      <c r="N15" s="40" t="str">
        <f t="shared" si="20"/>
        <v/>
      </c>
      <c r="O15" s="31"/>
      <c r="P15" s="40" t="str">
        <f t="shared" si="0"/>
        <v/>
      </c>
      <c r="Q15" s="31"/>
      <c r="R15" s="40" t="str">
        <f t="shared" si="1"/>
        <v/>
      </c>
      <c r="S15" s="31"/>
      <c r="T15" s="40" t="str">
        <f t="shared" si="2"/>
        <v/>
      </c>
      <c r="U15" s="31"/>
      <c r="V15" s="40" t="str">
        <f t="shared" si="3"/>
        <v/>
      </c>
      <c r="W15" s="31"/>
      <c r="X15" s="40" t="str">
        <f t="shared" si="4"/>
        <v/>
      </c>
      <c r="Y15" s="31"/>
      <c r="Z15" s="40" t="str">
        <f t="shared" si="5"/>
        <v/>
      </c>
      <c r="AA15" s="31"/>
      <c r="AB15" s="40" t="str">
        <f t="shared" si="6"/>
        <v/>
      </c>
      <c r="AC15" s="31"/>
      <c r="AD15" s="40" t="str">
        <f t="shared" si="7"/>
        <v/>
      </c>
      <c r="AE15" s="31"/>
      <c r="AF15" s="40" t="str">
        <f t="shared" si="8"/>
        <v/>
      </c>
      <c r="AG15" s="31"/>
      <c r="AH15" s="40" t="str">
        <f t="shared" si="9"/>
        <v/>
      </c>
      <c r="AI15" s="31"/>
      <c r="AJ15" s="40" t="str">
        <f t="shared" si="10"/>
        <v/>
      </c>
      <c r="AK15" s="31"/>
      <c r="AL15" s="40" t="str">
        <f t="shared" si="11"/>
        <v/>
      </c>
      <c r="AM15" s="31"/>
      <c r="AN15" s="40" t="str">
        <f t="shared" si="12"/>
        <v/>
      </c>
      <c r="AO15" s="31"/>
      <c r="AP15" s="40" t="str">
        <f t="shared" si="13"/>
        <v/>
      </c>
      <c r="AQ15" s="31"/>
      <c r="AR15" s="40" t="str">
        <f t="shared" si="14"/>
        <v/>
      </c>
      <c r="AS15" s="31"/>
      <c r="AT15" s="40" t="str">
        <f t="shared" si="15"/>
        <v/>
      </c>
      <c r="AU15" s="31"/>
      <c r="AV15" s="40" t="str">
        <f t="shared" si="16"/>
        <v/>
      </c>
      <c r="AW15" s="31"/>
      <c r="AX15" s="40" t="str">
        <f t="shared" si="17"/>
        <v/>
      </c>
      <c r="AY15" s="35"/>
      <c r="AZ15" s="40" t="str">
        <f t="shared" si="18"/>
        <v/>
      </c>
      <c r="BA15" s="22" t="s">
        <v>73</v>
      </c>
    </row>
    <row r="16" spans="1:53" ht="20" customHeight="1" x14ac:dyDescent="0.2">
      <c r="A16" s="130"/>
      <c r="B16" s="131"/>
      <c r="C16" s="75" t="s">
        <v>207</v>
      </c>
      <c r="D16" s="75" t="s">
        <v>254</v>
      </c>
      <c r="E16" s="76" t="s">
        <v>76</v>
      </c>
      <c r="F16" s="76" t="s">
        <v>77</v>
      </c>
      <c r="G16" s="75">
        <v>1986</v>
      </c>
      <c r="H16" s="81">
        <v>146</v>
      </c>
      <c r="I16" s="84" t="s">
        <v>78</v>
      </c>
      <c r="J16" s="64">
        <v>13</v>
      </c>
      <c r="K16" s="65">
        <v>13</v>
      </c>
      <c r="L16" s="112">
        <f t="shared" si="19"/>
        <v>100</v>
      </c>
      <c r="M16" s="31"/>
      <c r="N16" s="40" t="str">
        <f t="shared" si="20"/>
        <v/>
      </c>
      <c r="O16" s="31"/>
      <c r="P16" s="40" t="str">
        <f t="shared" si="0"/>
        <v/>
      </c>
      <c r="Q16" s="31">
        <v>13</v>
      </c>
      <c r="R16" s="40">
        <f t="shared" si="1"/>
        <v>100</v>
      </c>
      <c r="S16" s="31"/>
      <c r="T16" s="40" t="str">
        <f t="shared" si="2"/>
        <v/>
      </c>
      <c r="U16" s="31"/>
      <c r="V16" s="40" t="str">
        <f t="shared" si="3"/>
        <v/>
      </c>
      <c r="W16" s="31"/>
      <c r="X16" s="40" t="str">
        <f t="shared" si="4"/>
        <v/>
      </c>
      <c r="Y16" s="31"/>
      <c r="Z16" s="40" t="str">
        <f t="shared" si="5"/>
        <v/>
      </c>
      <c r="AA16" s="31">
        <v>12</v>
      </c>
      <c r="AB16" s="40">
        <f t="shared" si="6"/>
        <v>92.307692307692307</v>
      </c>
      <c r="AC16" s="31"/>
      <c r="AD16" s="40" t="str">
        <f t="shared" si="7"/>
        <v/>
      </c>
      <c r="AE16" s="31"/>
      <c r="AF16" s="40" t="str">
        <f t="shared" si="8"/>
        <v/>
      </c>
      <c r="AG16" s="31"/>
      <c r="AH16" s="40" t="str">
        <f t="shared" si="9"/>
        <v/>
      </c>
      <c r="AI16" s="31"/>
      <c r="AJ16" s="40" t="str">
        <f t="shared" si="10"/>
        <v/>
      </c>
      <c r="AK16" s="31"/>
      <c r="AL16" s="40" t="str">
        <f t="shared" si="11"/>
        <v/>
      </c>
      <c r="AM16" s="31"/>
      <c r="AN16" s="40" t="str">
        <f t="shared" si="12"/>
        <v/>
      </c>
      <c r="AO16" s="31"/>
      <c r="AP16" s="40" t="str">
        <f t="shared" si="13"/>
        <v/>
      </c>
      <c r="AQ16" s="31"/>
      <c r="AR16" s="40" t="str">
        <f t="shared" si="14"/>
        <v/>
      </c>
      <c r="AS16" s="31"/>
      <c r="AT16" s="40" t="str">
        <f t="shared" si="15"/>
        <v/>
      </c>
      <c r="AU16" s="31"/>
      <c r="AV16" s="40" t="str">
        <f t="shared" si="16"/>
        <v/>
      </c>
      <c r="AW16" s="31"/>
      <c r="AX16" s="40" t="str">
        <f t="shared" si="17"/>
        <v/>
      </c>
      <c r="AY16" s="35"/>
      <c r="AZ16" s="40" t="str">
        <f t="shared" si="18"/>
        <v/>
      </c>
      <c r="BA16" s="22" t="s">
        <v>208</v>
      </c>
    </row>
    <row r="17" spans="1:53" ht="20" customHeight="1" x14ac:dyDescent="0.2">
      <c r="A17" s="130"/>
      <c r="B17" s="131"/>
      <c r="C17" s="75"/>
      <c r="D17" s="75" t="s">
        <v>255</v>
      </c>
      <c r="E17" s="76" t="s">
        <v>80</v>
      </c>
      <c r="F17" s="76" t="s">
        <v>81</v>
      </c>
      <c r="G17" s="75">
        <v>2008</v>
      </c>
      <c r="H17" s="81">
        <v>33</v>
      </c>
      <c r="I17" s="84"/>
      <c r="J17" s="64">
        <v>12</v>
      </c>
      <c r="K17" s="65">
        <v>101</v>
      </c>
      <c r="L17" s="112">
        <f t="shared" si="19"/>
        <v>11.881188118811881</v>
      </c>
      <c r="M17" s="31">
        <v>6</v>
      </c>
      <c r="N17" s="40">
        <f t="shared" si="20"/>
        <v>5.9405940594059405</v>
      </c>
      <c r="O17" s="31">
        <v>6</v>
      </c>
      <c r="P17" s="40">
        <f t="shared" si="0"/>
        <v>5.9405940594059405</v>
      </c>
      <c r="Q17" s="31"/>
      <c r="R17" s="40" t="str">
        <f t="shared" si="1"/>
        <v/>
      </c>
      <c r="S17" s="31"/>
      <c r="T17" s="40" t="str">
        <f t="shared" si="2"/>
        <v/>
      </c>
      <c r="U17" s="31"/>
      <c r="V17" s="40" t="str">
        <f t="shared" si="3"/>
        <v/>
      </c>
      <c r="W17" s="31"/>
      <c r="X17" s="40" t="str">
        <f t="shared" si="4"/>
        <v/>
      </c>
      <c r="Y17" s="31"/>
      <c r="Z17" s="40" t="str">
        <f t="shared" si="5"/>
        <v/>
      </c>
      <c r="AA17" s="31"/>
      <c r="AB17" s="40" t="str">
        <f t="shared" si="6"/>
        <v/>
      </c>
      <c r="AC17" s="31"/>
      <c r="AD17" s="40" t="str">
        <f t="shared" si="7"/>
        <v/>
      </c>
      <c r="AE17" s="31"/>
      <c r="AF17" s="40" t="str">
        <f t="shared" si="8"/>
        <v/>
      </c>
      <c r="AG17" s="31"/>
      <c r="AH17" s="40" t="str">
        <f t="shared" si="9"/>
        <v/>
      </c>
      <c r="AI17" s="31"/>
      <c r="AJ17" s="40" t="str">
        <f t="shared" si="10"/>
        <v/>
      </c>
      <c r="AK17" s="31"/>
      <c r="AL17" s="40" t="str">
        <f t="shared" si="11"/>
        <v/>
      </c>
      <c r="AM17" s="31"/>
      <c r="AN17" s="40" t="str">
        <f t="shared" si="12"/>
        <v/>
      </c>
      <c r="AO17" s="31"/>
      <c r="AP17" s="40" t="str">
        <f t="shared" si="13"/>
        <v/>
      </c>
      <c r="AQ17" s="31"/>
      <c r="AR17" s="40" t="str">
        <f t="shared" si="14"/>
        <v/>
      </c>
      <c r="AS17" s="31"/>
      <c r="AT17" s="40" t="str">
        <f t="shared" si="15"/>
        <v/>
      </c>
      <c r="AU17" s="31"/>
      <c r="AV17" s="40" t="str">
        <f t="shared" si="16"/>
        <v/>
      </c>
      <c r="AW17" s="31"/>
      <c r="AX17" s="40" t="str">
        <f t="shared" si="17"/>
        <v/>
      </c>
      <c r="AY17" s="35"/>
      <c r="AZ17" s="40" t="str">
        <f t="shared" si="18"/>
        <v/>
      </c>
      <c r="BA17" s="19" t="s">
        <v>82</v>
      </c>
    </row>
    <row r="18" spans="1:53" ht="20" customHeight="1" x14ac:dyDescent="0.2">
      <c r="A18" s="128"/>
      <c r="B18" s="131"/>
      <c r="C18" s="75" t="s">
        <v>207</v>
      </c>
      <c r="D18" s="75" t="s">
        <v>252</v>
      </c>
      <c r="E18" s="76" t="s">
        <v>256</v>
      </c>
      <c r="F18" s="76" t="s">
        <v>257</v>
      </c>
      <c r="G18" s="75">
        <v>1996</v>
      </c>
      <c r="H18" s="81"/>
      <c r="I18" s="84"/>
      <c r="J18" s="64">
        <v>56</v>
      </c>
      <c r="K18" s="65">
        <v>72</v>
      </c>
      <c r="L18" s="112">
        <f t="shared" si="19"/>
        <v>77.777777777777786</v>
      </c>
      <c r="M18" s="31"/>
      <c r="N18" s="40"/>
      <c r="O18" s="31"/>
      <c r="P18" s="40"/>
      <c r="Q18" s="31"/>
      <c r="R18" s="40" t="str">
        <f t="shared" si="1"/>
        <v/>
      </c>
      <c r="S18" s="31"/>
      <c r="T18" s="40" t="str">
        <f t="shared" si="2"/>
        <v/>
      </c>
      <c r="U18" s="31"/>
      <c r="V18" s="40" t="str">
        <f t="shared" si="3"/>
        <v/>
      </c>
      <c r="W18" s="31"/>
      <c r="X18" s="40" t="str">
        <f t="shared" si="4"/>
        <v/>
      </c>
      <c r="Y18" s="31"/>
      <c r="Z18" s="40" t="str">
        <f t="shared" si="5"/>
        <v/>
      </c>
      <c r="AA18" s="31"/>
      <c r="AB18" s="40" t="str">
        <f t="shared" si="6"/>
        <v/>
      </c>
      <c r="AC18" s="31"/>
      <c r="AD18" s="40" t="str">
        <f t="shared" si="7"/>
        <v/>
      </c>
      <c r="AE18" s="32"/>
      <c r="AF18" s="32" t="str">
        <f t="shared" si="8"/>
        <v/>
      </c>
      <c r="AG18" s="31"/>
      <c r="AH18" s="40" t="str">
        <f t="shared" si="9"/>
        <v/>
      </c>
      <c r="AI18" s="31"/>
      <c r="AJ18" s="40" t="str">
        <f t="shared" si="10"/>
        <v/>
      </c>
      <c r="AK18" s="31"/>
      <c r="AL18" s="40" t="str">
        <f t="shared" si="11"/>
        <v/>
      </c>
      <c r="AM18" s="31"/>
      <c r="AN18" s="40" t="str">
        <f t="shared" si="12"/>
        <v/>
      </c>
      <c r="AO18" s="31"/>
      <c r="AP18" s="40" t="str">
        <f t="shared" si="13"/>
        <v/>
      </c>
      <c r="AQ18" s="31"/>
      <c r="AR18" s="40" t="str">
        <f t="shared" si="14"/>
        <v/>
      </c>
      <c r="AS18" s="31"/>
      <c r="AT18" s="40" t="str">
        <f t="shared" si="15"/>
        <v/>
      </c>
      <c r="AU18" s="31"/>
      <c r="AV18" s="40" t="str">
        <f t="shared" si="16"/>
        <v/>
      </c>
      <c r="AW18" s="31"/>
      <c r="AX18" s="40" t="str">
        <f t="shared" si="17"/>
        <v/>
      </c>
      <c r="AY18" s="35">
        <v>56</v>
      </c>
      <c r="AZ18" s="40">
        <f t="shared" si="18"/>
        <v>77.777777777777786</v>
      </c>
      <c r="BA18" s="19" t="s">
        <v>258</v>
      </c>
    </row>
    <row r="19" spans="1:53" ht="20" customHeight="1" x14ac:dyDescent="0.2">
      <c r="A19" s="128"/>
      <c r="B19" s="129"/>
      <c r="C19" s="75"/>
      <c r="D19" s="75"/>
      <c r="E19" s="76" t="s">
        <v>83</v>
      </c>
      <c r="F19" s="76" t="s">
        <v>84</v>
      </c>
      <c r="G19" s="75">
        <v>2011</v>
      </c>
      <c r="H19" s="81"/>
      <c r="I19" s="84"/>
      <c r="J19" s="64">
        <v>1</v>
      </c>
      <c r="K19" s="65">
        <v>1</v>
      </c>
      <c r="L19" s="112">
        <f t="shared" si="19"/>
        <v>100</v>
      </c>
      <c r="M19" s="31">
        <v>1</v>
      </c>
      <c r="N19" s="40">
        <f t="shared" si="20"/>
        <v>100</v>
      </c>
      <c r="O19" s="31"/>
      <c r="P19" s="40" t="str">
        <f t="shared" si="0"/>
        <v/>
      </c>
      <c r="Q19" s="31"/>
      <c r="R19" s="40" t="str">
        <f t="shared" si="1"/>
        <v/>
      </c>
      <c r="S19" s="31">
        <v>1</v>
      </c>
      <c r="T19" s="40">
        <f t="shared" si="2"/>
        <v>100</v>
      </c>
      <c r="U19" s="31">
        <v>1</v>
      </c>
      <c r="V19" s="40">
        <f t="shared" si="3"/>
        <v>100</v>
      </c>
      <c r="W19" s="31">
        <v>1</v>
      </c>
      <c r="X19" s="40">
        <f t="shared" si="4"/>
        <v>100</v>
      </c>
      <c r="Y19" s="31"/>
      <c r="Z19" s="40" t="str">
        <f t="shared" si="5"/>
        <v/>
      </c>
      <c r="AA19" s="31"/>
      <c r="AB19" s="40" t="str">
        <f t="shared" si="6"/>
        <v/>
      </c>
      <c r="AC19" s="31"/>
      <c r="AD19" s="40" t="str">
        <f t="shared" si="7"/>
        <v/>
      </c>
      <c r="AE19" s="31"/>
      <c r="AF19" s="40" t="str">
        <f t="shared" si="8"/>
        <v/>
      </c>
      <c r="AG19" s="31"/>
      <c r="AH19" s="40" t="str">
        <f t="shared" si="9"/>
        <v/>
      </c>
      <c r="AI19" s="31"/>
      <c r="AJ19" s="40" t="str">
        <f t="shared" si="10"/>
        <v/>
      </c>
      <c r="AK19" s="31"/>
      <c r="AL19" s="40" t="str">
        <f t="shared" si="11"/>
        <v/>
      </c>
      <c r="AM19" s="31"/>
      <c r="AN19" s="40" t="str">
        <f t="shared" si="12"/>
        <v/>
      </c>
      <c r="AO19" s="31"/>
      <c r="AP19" s="40" t="str">
        <f t="shared" si="13"/>
        <v/>
      </c>
      <c r="AQ19" s="31"/>
      <c r="AR19" s="40" t="str">
        <f t="shared" si="14"/>
        <v/>
      </c>
      <c r="AS19" s="31"/>
      <c r="AT19" s="40" t="str">
        <f t="shared" si="15"/>
        <v/>
      </c>
      <c r="AU19" s="31"/>
      <c r="AV19" s="40" t="str">
        <f t="shared" si="16"/>
        <v/>
      </c>
      <c r="AW19" s="31"/>
      <c r="AX19" s="40" t="str">
        <f t="shared" si="17"/>
        <v/>
      </c>
      <c r="AY19" s="35"/>
      <c r="AZ19" s="40" t="str">
        <f t="shared" si="18"/>
        <v/>
      </c>
      <c r="BA19" s="19" t="s">
        <v>259</v>
      </c>
    </row>
    <row r="20" spans="1:53" ht="20" customHeight="1" x14ac:dyDescent="0.2">
      <c r="A20" s="130"/>
      <c r="B20" s="131"/>
      <c r="C20" s="75" t="s">
        <v>207</v>
      </c>
      <c r="D20" s="75" t="s">
        <v>253</v>
      </c>
      <c r="E20" s="76" t="s">
        <v>85</v>
      </c>
      <c r="F20" s="76" t="s">
        <v>86</v>
      </c>
      <c r="G20" s="75">
        <v>2010</v>
      </c>
      <c r="H20" s="81">
        <v>17</v>
      </c>
      <c r="I20" s="84"/>
      <c r="J20" s="64"/>
      <c r="K20" s="65">
        <v>83</v>
      </c>
      <c r="L20" s="112" t="str">
        <f t="shared" si="19"/>
        <v/>
      </c>
      <c r="M20" s="31"/>
      <c r="N20" s="40" t="str">
        <f t="shared" si="20"/>
        <v/>
      </c>
      <c r="O20" s="31"/>
      <c r="P20" s="40" t="str">
        <f t="shared" si="0"/>
        <v/>
      </c>
      <c r="Q20" s="31"/>
      <c r="R20" s="40" t="str">
        <f t="shared" si="1"/>
        <v/>
      </c>
      <c r="S20" s="31"/>
      <c r="T20" s="40" t="str">
        <f t="shared" si="2"/>
        <v/>
      </c>
      <c r="U20" s="31"/>
      <c r="V20" s="40" t="str">
        <f t="shared" si="3"/>
        <v/>
      </c>
      <c r="W20" s="31"/>
      <c r="X20" s="40" t="str">
        <f t="shared" si="4"/>
        <v/>
      </c>
      <c r="Y20" s="31"/>
      <c r="Z20" s="40" t="str">
        <f t="shared" si="5"/>
        <v/>
      </c>
      <c r="AA20" s="31"/>
      <c r="AB20" s="40" t="str">
        <f t="shared" si="6"/>
        <v/>
      </c>
      <c r="AC20" s="31"/>
      <c r="AD20" s="40" t="str">
        <f t="shared" si="7"/>
        <v/>
      </c>
      <c r="AE20" s="31"/>
      <c r="AF20" s="40" t="str">
        <f t="shared" si="8"/>
        <v/>
      </c>
      <c r="AG20" s="31"/>
      <c r="AH20" s="40" t="str">
        <f t="shared" si="9"/>
        <v/>
      </c>
      <c r="AI20" s="31"/>
      <c r="AJ20" s="40" t="str">
        <f t="shared" si="10"/>
        <v/>
      </c>
      <c r="AK20" s="31"/>
      <c r="AL20" s="40" t="str">
        <f t="shared" si="11"/>
        <v/>
      </c>
      <c r="AM20" s="31"/>
      <c r="AN20" s="40" t="str">
        <f t="shared" si="12"/>
        <v/>
      </c>
      <c r="AO20" s="31"/>
      <c r="AP20" s="40" t="str">
        <f t="shared" si="13"/>
        <v/>
      </c>
      <c r="AQ20" s="31"/>
      <c r="AR20" s="40" t="str">
        <f t="shared" si="14"/>
        <v/>
      </c>
      <c r="AS20" s="31"/>
      <c r="AT20" s="40" t="str">
        <f t="shared" si="15"/>
        <v/>
      </c>
      <c r="AU20" s="31"/>
      <c r="AV20" s="40" t="str">
        <f t="shared" si="16"/>
        <v/>
      </c>
      <c r="AW20" s="31"/>
      <c r="AX20" s="40" t="str">
        <f t="shared" si="17"/>
        <v/>
      </c>
      <c r="AY20" s="35"/>
      <c r="AZ20" s="40" t="str">
        <f t="shared" si="18"/>
        <v/>
      </c>
      <c r="BA20" s="19" t="s">
        <v>260</v>
      </c>
    </row>
    <row r="21" spans="1:53" ht="20" customHeight="1" x14ac:dyDescent="0.2">
      <c r="A21" s="130"/>
      <c r="B21" s="131"/>
      <c r="C21" s="75"/>
      <c r="D21" s="75"/>
      <c r="E21" s="76" t="s">
        <v>87</v>
      </c>
      <c r="F21" s="76" t="s">
        <v>88</v>
      </c>
      <c r="G21" s="75">
        <v>2013</v>
      </c>
      <c r="H21" s="81">
        <v>13</v>
      </c>
      <c r="I21" s="84"/>
      <c r="J21" s="64">
        <v>16</v>
      </c>
      <c r="K21" s="65">
        <v>201</v>
      </c>
      <c r="L21" s="112">
        <f t="shared" si="19"/>
        <v>7.9601990049751246</v>
      </c>
      <c r="M21" s="31">
        <v>16</v>
      </c>
      <c r="N21" s="40">
        <f t="shared" si="20"/>
        <v>7.9601990049751246</v>
      </c>
      <c r="O21" s="31"/>
      <c r="P21" s="40" t="str">
        <f t="shared" si="0"/>
        <v/>
      </c>
      <c r="Q21" s="31"/>
      <c r="R21" s="40" t="str">
        <f t="shared" si="1"/>
        <v/>
      </c>
      <c r="S21" s="31"/>
      <c r="T21" s="40" t="str">
        <f t="shared" si="2"/>
        <v/>
      </c>
      <c r="U21" s="31"/>
      <c r="V21" s="40" t="str">
        <f t="shared" si="3"/>
        <v/>
      </c>
      <c r="W21" s="31"/>
      <c r="X21" s="40" t="str">
        <f t="shared" si="4"/>
        <v/>
      </c>
      <c r="Y21" s="31"/>
      <c r="Z21" s="40" t="str">
        <f t="shared" si="5"/>
        <v/>
      </c>
      <c r="AA21" s="31"/>
      <c r="AB21" s="40" t="str">
        <f t="shared" si="6"/>
        <v/>
      </c>
      <c r="AC21" s="31"/>
      <c r="AD21" s="40" t="str">
        <f t="shared" si="7"/>
        <v/>
      </c>
      <c r="AE21" s="31"/>
      <c r="AF21" s="40" t="str">
        <f t="shared" si="8"/>
        <v/>
      </c>
      <c r="AG21" s="31"/>
      <c r="AH21" s="40" t="str">
        <f t="shared" si="9"/>
        <v/>
      </c>
      <c r="AI21" s="31"/>
      <c r="AJ21" s="40" t="str">
        <f t="shared" si="10"/>
        <v/>
      </c>
      <c r="AK21" s="31"/>
      <c r="AL21" s="40" t="str">
        <f t="shared" si="11"/>
        <v/>
      </c>
      <c r="AM21" s="31"/>
      <c r="AN21" s="40" t="str">
        <f t="shared" si="12"/>
        <v/>
      </c>
      <c r="AO21" s="31"/>
      <c r="AP21" s="40" t="str">
        <f t="shared" si="13"/>
        <v/>
      </c>
      <c r="AQ21" s="31"/>
      <c r="AR21" s="40" t="str">
        <f t="shared" si="14"/>
        <v/>
      </c>
      <c r="AS21" s="31"/>
      <c r="AT21" s="40" t="str">
        <f t="shared" si="15"/>
        <v/>
      </c>
      <c r="AU21" s="31"/>
      <c r="AV21" s="40" t="str">
        <f t="shared" si="16"/>
        <v/>
      </c>
      <c r="AW21" s="31"/>
      <c r="AX21" s="40" t="str">
        <f t="shared" si="17"/>
        <v/>
      </c>
      <c r="AY21" s="35"/>
      <c r="AZ21" s="40" t="str">
        <f t="shared" si="18"/>
        <v/>
      </c>
      <c r="BA21" s="22" t="s">
        <v>73</v>
      </c>
    </row>
    <row r="22" spans="1:53" ht="20" customHeight="1" x14ac:dyDescent="0.2">
      <c r="A22" s="128"/>
      <c r="B22" s="129"/>
      <c r="C22" s="75"/>
      <c r="D22" s="75"/>
      <c r="E22" s="76" t="s">
        <v>89</v>
      </c>
      <c r="F22" s="76" t="s">
        <v>90</v>
      </c>
      <c r="G22" s="75">
        <v>2013</v>
      </c>
      <c r="H22" s="81">
        <v>12</v>
      </c>
      <c r="I22" s="84" t="s">
        <v>91</v>
      </c>
      <c r="J22" s="64"/>
      <c r="K22" s="65">
        <v>304</v>
      </c>
      <c r="L22" s="112" t="str">
        <f t="shared" si="19"/>
        <v/>
      </c>
      <c r="M22" s="31">
        <v>14</v>
      </c>
      <c r="N22" s="40">
        <f t="shared" si="20"/>
        <v>4.6052631578947363</v>
      </c>
      <c r="O22" s="31"/>
      <c r="P22" s="40" t="str">
        <f t="shared" si="0"/>
        <v/>
      </c>
      <c r="Q22" s="31"/>
      <c r="R22" s="40" t="str">
        <f t="shared" si="1"/>
        <v/>
      </c>
      <c r="S22" s="31"/>
      <c r="T22" s="40" t="str">
        <f t="shared" si="2"/>
        <v/>
      </c>
      <c r="U22" s="31"/>
      <c r="V22" s="40" t="str">
        <f t="shared" si="3"/>
        <v/>
      </c>
      <c r="W22" s="31"/>
      <c r="X22" s="40" t="str">
        <f t="shared" si="4"/>
        <v/>
      </c>
      <c r="Y22" s="31"/>
      <c r="Z22" s="40" t="str">
        <f t="shared" si="5"/>
        <v/>
      </c>
      <c r="AA22" s="31"/>
      <c r="AB22" s="40" t="str">
        <f t="shared" si="6"/>
        <v/>
      </c>
      <c r="AC22" s="31"/>
      <c r="AD22" s="40" t="str">
        <f t="shared" si="7"/>
        <v/>
      </c>
      <c r="AE22" s="31"/>
      <c r="AF22" s="40" t="str">
        <f t="shared" si="8"/>
        <v/>
      </c>
      <c r="AG22" s="31"/>
      <c r="AH22" s="40" t="str">
        <f t="shared" si="9"/>
        <v/>
      </c>
      <c r="AI22" s="31"/>
      <c r="AJ22" s="40" t="str">
        <f t="shared" si="10"/>
        <v/>
      </c>
      <c r="AK22" s="31"/>
      <c r="AL22" s="40" t="str">
        <f t="shared" si="11"/>
        <v/>
      </c>
      <c r="AM22" s="31"/>
      <c r="AN22" s="40" t="str">
        <f t="shared" si="12"/>
        <v/>
      </c>
      <c r="AO22" s="31"/>
      <c r="AP22" s="40" t="str">
        <f t="shared" si="13"/>
        <v/>
      </c>
      <c r="AQ22" s="31"/>
      <c r="AR22" s="40" t="str">
        <f t="shared" si="14"/>
        <v/>
      </c>
      <c r="AS22" s="31"/>
      <c r="AT22" s="40" t="str">
        <f t="shared" si="15"/>
        <v/>
      </c>
      <c r="AU22" s="31"/>
      <c r="AV22" s="40" t="str">
        <f t="shared" si="16"/>
        <v/>
      </c>
      <c r="AW22" s="31"/>
      <c r="AX22" s="40" t="str">
        <f t="shared" si="17"/>
        <v/>
      </c>
      <c r="AY22" s="35"/>
      <c r="AZ22" s="40" t="str">
        <f t="shared" si="18"/>
        <v/>
      </c>
    </row>
    <row r="23" spans="1:53" ht="20" customHeight="1" x14ac:dyDescent="0.2">
      <c r="A23" s="128"/>
      <c r="B23" s="132"/>
      <c r="C23" s="75"/>
      <c r="D23" s="75" t="s">
        <v>252</v>
      </c>
      <c r="E23" s="76" t="s">
        <v>92</v>
      </c>
      <c r="F23" s="76" t="s">
        <v>93</v>
      </c>
      <c r="G23" s="75">
        <v>2010</v>
      </c>
      <c r="H23" s="81">
        <v>28</v>
      </c>
      <c r="I23" s="84"/>
      <c r="J23" s="64"/>
      <c r="K23" s="65">
        <v>597</v>
      </c>
      <c r="L23" s="112" t="str">
        <f t="shared" si="19"/>
        <v/>
      </c>
      <c r="M23" s="31">
        <v>14</v>
      </c>
      <c r="N23" s="40">
        <f t="shared" si="20"/>
        <v>2.3450586264656614</v>
      </c>
      <c r="O23" s="31">
        <v>12</v>
      </c>
      <c r="P23" s="40">
        <f t="shared" si="0"/>
        <v>2.0100502512562812</v>
      </c>
      <c r="Q23" s="31"/>
      <c r="R23" s="40" t="str">
        <f t="shared" si="1"/>
        <v/>
      </c>
      <c r="S23" s="32"/>
      <c r="T23" s="32" t="str">
        <f t="shared" si="2"/>
        <v/>
      </c>
      <c r="U23" s="32"/>
      <c r="V23" s="32" t="str">
        <f t="shared" si="3"/>
        <v/>
      </c>
      <c r="W23" s="31"/>
      <c r="X23" s="40" t="str">
        <f t="shared" si="4"/>
        <v/>
      </c>
      <c r="Y23" s="31"/>
      <c r="Z23" s="40" t="str">
        <f t="shared" si="5"/>
        <v/>
      </c>
      <c r="AA23" s="31"/>
      <c r="AB23" s="40" t="str">
        <f t="shared" si="6"/>
        <v/>
      </c>
      <c r="AC23" s="31"/>
      <c r="AD23" s="40" t="str">
        <f t="shared" si="7"/>
        <v/>
      </c>
      <c r="AE23" s="31"/>
      <c r="AF23" s="40" t="str">
        <f t="shared" si="8"/>
        <v/>
      </c>
      <c r="AG23" s="31"/>
      <c r="AH23" s="40" t="str">
        <f t="shared" si="9"/>
        <v/>
      </c>
      <c r="AI23" s="31"/>
      <c r="AJ23" s="40" t="str">
        <f t="shared" si="10"/>
        <v/>
      </c>
      <c r="AK23" s="31"/>
      <c r="AL23" s="40" t="str">
        <f t="shared" si="11"/>
        <v/>
      </c>
      <c r="AM23" s="31"/>
      <c r="AN23" s="40" t="str">
        <f t="shared" si="12"/>
        <v/>
      </c>
      <c r="AO23" s="31"/>
      <c r="AP23" s="40" t="str">
        <f t="shared" si="13"/>
        <v/>
      </c>
      <c r="AQ23" s="31"/>
      <c r="AR23" s="40" t="str">
        <f t="shared" si="14"/>
        <v/>
      </c>
      <c r="AS23" s="31"/>
      <c r="AT23" s="40" t="str">
        <f t="shared" si="15"/>
        <v/>
      </c>
      <c r="AU23" s="31"/>
      <c r="AV23" s="40" t="str">
        <f t="shared" si="16"/>
        <v/>
      </c>
      <c r="AW23" s="31"/>
      <c r="AX23" s="40" t="str">
        <f t="shared" si="17"/>
        <v/>
      </c>
      <c r="AY23" s="37"/>
      <c r="AZ23" s="37" t="str">
        <f t="shared" si="18"/>
        <v/>
      </c>
      <c r="BA23" s="19" t="s">
        <v>264</v>
      </c>
    </row>
    <row r="24" spans="1:53" ht="20" customHeight="1" x14ac:dyDescent="0.2">
      <c r="A24" s="128"/>
      <c r="B24" s="132"/>
      <c r="C24" s="75"/>
      <c r="D24" s="75" t="s">
        <v>227</v>
      </c>
      <c r="E24" s="76" t="s">
        <v>94</v>
      </c>
      <c r="F24" s="76" t="s">
        <v>95</v>
      </c>
      <c r="G24" s="75">
        <v>2012</v>
      </c>
      <c r="H24" s="81">
        <v>22</v>
      </c>
      <c r="I24" s="84" t="s">
        <v>96</v>
      </c>
      <c r="J24" s="64"/>
      <c r="K24" s="65">
        <v>19</v>
      </c>
      <c r="L24" s="112" t="str">
        <f t="shared" si="19"/>
        <v/>
      </c>
      <c r="M24" s="32"/>
      <c r="N24" s="32" t="str">
        <f t="shared" si="20"/>
        <v/>
      </c>
      <c r="O24" s="31"/>
      <c r="P24" s="40" t="str">
        <f t="shared" si="0"/>
        <v/>
      </c>
      <c r="Q24" s="32"/>
      <c r="R24" s="32" t="str">
        <f t="shared" si="1"/>
        <v/>
      </c>
      <c r="S24" s="31"/>
      <c r="T24" s="40" t="str">
        <f t="shared" si="2"/>
        <v/>
      </c>
      <c r="U24" s="31"/>
      <c r="V24" s="40" t="str">
        <f t="shared" si="3"/>
        <v/>
      </c>
      <c r="W24" s="31"/>
      <c r="X24" s="40" t="str">
        <f t="shared" si="4"/>
        <v/>
      </c>
      <c r="Y24" s="31"/>
      <c r="Z24" s="40" t="str">
        <f t="shared" si="5"/>
        <v/>
      </c>
      <c r="AA24" s="31"/>
      <c r="AB24" s="40" t="str">
        <f t="shared" si="6"/>
        <v/>
      </c>
      <c r="AC24" s="31"/>
      <c r="AD24" s="40" t="str">
        <f t="shared" si="7"/>
        <v/>
      </c>
      <c r="AE24" s="31"/>
      <c r="AF24" s="40" t="str">
        <f t="shared" si="8"/>
        <v/>
      </c>
      <c r="AG24" s="32"/>
      <c r="AH24" s="32" t="str">
        <f t="shared" si="9"/>
        <v/>
      </c>
      <c r="AI24" s="31"/>
      <c r="AJ24" s="40" t="str">
        <f t="shared" si="10"/>
        <v/>
      </c>
      <c r="AK24" s="31"/>
      <c r="AL24" s="40" t="str">
        <f t="shared" si="11"/>
        <v/>
      </c>
      <c r="AM24" s="31"/>
      <c r="AN24" s="40" t="str">
        <f t="shared" si="12"/>
        <v/>
      </c>
      <c r="AO24" s="32"/>
      <c r="AP24" s="32" t="str">
        <f t="shared" si="13"/>
        <v/>
      </c>
      <c r="AQ24" s="31"/>
      <c r="AR24" s="40" t="str">
        <f t="shared" si="14"/>
        <v/>
      </c>
      <c r="AS24" s="32"/>
      <c r="AT24" s="32" t="str">
        <f t="shared" si="15"/>
        <v/>
      </c>
      <c r="AU24" s="31"/>
      <c r="AV24" s="40" t="str">
        <f t="shared" si="16"/>
        <v/>
      </c>
      <c r="AW24" s="32"/>
      <c r="AX24" s="32" t="str">
        <f t="shared" si="17"/>
        <v/>
      </c>
      <c r="AY24" s="37"/>
      <c r="AZ24" s="37" t="str">
        <f t="shared" si="18"/>
        <v/>
      </c>
      <c r="BA24" s="19" t="s">
        <v>265</v>
      </c>
    </row>
    <row r="25" spans="1:53" ht="20" customHeight="1" x14ac:dyDescent="0.2">
      <c r="A25" s="128"/>
      <c r="B25" s="132"/>
      <c r="C25" s="75"/>
      <c r="D25" s="75" t="s">
        <v>227</v>
      </c>
      <c r="E25" s="77" t="s">
        <v>209</v>
      </c>
      <c r="F25" s="77" t="s">
        <v>95</v>
      </c>
      <c r="G25" s="78">
        <v>2013</v>
      </c>
      <c r="H25" s="82">
        <v>12</v>
      </c>
      <c r="I25" s="85"/>
      <c r="J25" s="66"/>
      <c r="K25" s="67">
        <v>19</v>
      </c>
      <c r="L25" s="112" t="str">
        <f t="shared" si="19"/>
        <v/>
      </c>
      <c r="M25" s="32"/>
      <c r="N25" s="32" t="str">
        <f t="shared" si="20"/>
        <v/>
      </c>
      <c r="O25" s="31"/>
      <c r="P25" s="40" t="str">
        <f t="shared" si="0"/>
        <v/>
      </c>
      <c r="Q25" s="32"/>
      <c r="R25" s="32" t="str">
        <f t="shared" si="1"/>
        <v/>
      </c>
      <c r="S25" s="31"/>
      <c r="T25" s="40" t="str">
        <f t="shared" si="2"/>
        <v/>
      </c>
      <c r="U25" s="31"/>
      <c r="V25" s="40" t="str">
        <f t="shared" si="3"/>
        <v/>
      </c>
      <c r="W25" s="31"/>
      <c r="X25" s="40" t="str">
        <f t="shared" si="4"/>
        <v/>
      </c>
      <c r="Y25" s="31"/>
      <c r="Z25" s="40" t="str">
        <f t="shared" si="5"/>
        <v/>
      </c>
      <c r="AA25" s="31"/>
      <c r="AB25" s="40" t="str">
        <f t="shared" si="6"/>
        <v/>
      </c>
      <c r="AC25" s="31"/>
      <c r="AD25" s="40" t="str">
        <f t="shared" si="7"/>
        <v/>
      </c>
      <c r="AE25" s="31"/>
      <c r="AF25" s="40" t="str">
        <f t="shared" si="8"/>
        <v/>
      </c>
      <c r="AG25" s="32"/>
      <c r="AH25" s="32" t="str">
        <f t="shared" si="9"/>
        <v/>
      </c>
      <c r="AI25" s="31"/>
      <c r="AJ25" s="40" t="str">
        <f t="shared" si="10"/>
        <v/>
      </c>
      <c r="AK25" s="31"/>
      <c r="AL25" s="40" t="str">
        <f t="shared" si="11"/>
        <v/>
      </c>
      <c r="AM25" s="31"/>
      <c r="AN25" s="40" t="str">
        <f t="shared" si="12"/>
        <v/>
      </c>
      <c r="AO25" s="32"/>
      <c r="AP25" s="32" t="str">
        <f t="shared" si="13"/>
        <v/>
      </c>
      <c r="AQ25" s="31"/>
      <c r="AR25" s="40" t="str">
        <f t="shared" si="14"/>
        <v/>
      </c>
      <c r="AS25" s="32"/>
      <c r="AT25" s="32" t="str">
        <f t="shared" si="15"/>
        <v/>
      </c>
      <c r="AU25" s="31"/>
      <c r="AV25" s="40" t="str">
        <f t="shared" si="16"/>
        <v/>
      </c>
      <c r="AW25" s="32"/>
      <c r="AX25" s="32" t="str">
        <f t="shared" si="17"/>
        <v/>
      </c>
      <c r="AY25" s="37"/>
      <c r="AZ25" s="37" t="str">
        <f t="shared" si="18"/>
        <v/>
      </c>
      <c r="BA25" s="19" t="s">
        <v>266</v>
      </c>
    </row>
    <row r="26" spans="1:53" ht="20" customHeight="1" x14ac:dyDescent="0.2">
      <c r="A26" s="128"/>
      <c r="B26" s="132"/>
      <c r="C26" s="75"/>
      <c r="D26" s="75" t="s">
        <v>268</v>
      </c>
      <c r="E26" s="76" t="s">
        <v>98</v>
      </c>
      <c r="F26" s="76" t="s">
        <v>99</v>
      </c>
      <c r="G26" s="75">
        <v>2007</v>
      </c>
      <c r="H26" s="81">
        <v>41</v>
      </c>
      <c r="I26" s="84"/>
      <c r="J26" s="64"/>
      <c r="K26" s="65">
        <v>71</v>
      </c>
      <c r="L26" s="112" t="str">
        <f t="shared" si="19"/>
        <v/>
      </c>
      <c r="M26" s="31"/>
      <c r="N26" s="40" t="str">
        <f t="shared" si="20"/>
        <v/>
      </c>
      <c r="O26" s="31"/>
      <c r="P26" s="40" t="str">
        <f t="shared" si="0"/>
        <v/>
      </c>
      <c r="Q26" s="31"/>
      <c r="R26" s="40" t="str">
        <f t="shared" si="1"/>
        <v/>
      </c>
      <c r="S26" s="31"/>
      <c r="T26" s="40" t="str">
        <f t="shared" si="2"/>
        <v/>
      </c>
      <c r="U26" s="31"/>
      <c r="V26" s="40" t="str">
        <f t="shared" si="3"/>
        <v/>
      </c>
      <c r="W26" s="31"/>
      <c r="X26" s="40" t="str">
        <f t="shared" si="4"/>
        <v/>
      </c>
      <c r="Y26" s="31"/>
      <c r="Z26" s="40" t="str">
        <f t="shared" si="5"/>
        <v/>
      </c>
      <c r="AA26" s="31"/>
      <c r="AB26" s="40" t="str">
        <f t="shared" si="6"/>
        <v/>
      </c>
      <c r="AC26" s="31"/>
      <c r="AD26" s="40" t="str">
        <f t="shared" si="7"/>
        <v/>
      </c>
      <c r="AE26" s="31"/>
      <c r="AF26" s="40" t="str">
        <f t="shared" si="8"/>
        <v/>
      </c>
      <c r="AG26" s="31"/>
      <c r="AH26" s="40" t="str">
        <f t="shared" si="9"/>
        <v/>
      </c>
      <c r="AI26" s="31"/>
      <c r="AJ26" s="40" t="str">
        <f t="shared" si="10"/>
        <v/>
      </c>
      <c r="AK26" s="31"/>
      <c r="AL26" s="40" t="str">
        <f t="shared" si="11"/>
        <v/>
      </c>
      <c r="AM26" s="31"/>
      <c r="AN26" s="40" t="str">
        <f t="shared" si="12"/>
        <v/>
      </c>
      <c r="AO26" s="31"/>
      <c r="AP26" s="40" t="str">
        <f t="shared" si="13"/>
        <v/>
      </c>
      <c r="AQ26" s="31"/>
      <c r="AR26" s="40" t="str">
        <f t="shared" si="14"/>
        <v/>
      </c>
      <c r="AS26" s="31"/>
      <c r="AT26" s="40" t="str">
        <f t="shared" si="15"/>
        <v/>
      </c>
      <c r="AU26" s="31"/>
      <c r="AV26" s="40" t="str">
        <f t="shared" si="16"/>
        <v/>
      </c>
      <c r="AW26" s="31"/>
      <c r="AX26" s="40" t="str">
        <f t="shared" si="17"/>
        <v/>
      </c>
      <c r="AY26" s="35"/>
      <c r="AZ26" s="40" t="str">
        <f t="shared" si="18"/>
        <v/>
      </c>
      <c r="BA26" s="19" t="s">
        <v>100</v>
      </c>
    </row>
    <row r="27" spans="1:53" ht="20" customHeight="1" x14ac:dyDescent="0.2">
      <c r="A27" s="128"/>
      <c r="B27" s="133"/>
      <c r="C27" s="75"/>
      <c r="D27" s="75" t="s">
        <v>268</v>
      </c>
      <c r="E27" s="77" t="s">
        <v>101</v>
      </c>
      <c r="F27" s="77" t="s">
        <v>102</v>
      </c>
      <c r="G27" s="78">
        <v>2007</v>
      </c>
      <c r="H27" s="82">
        <v>140</v>
      </c>
      <c r="I27" s="84"/>
      <c r="J27" s="64"/>
      <c r="K27" s="67">
        <v>71</v>
      </c>
      <c r="L27" s="112" t="str">
        <f t="shared" si="19"/>
        <v/>
      </c>
      <c r="M27" s="31"/>
      <c r="N27" s="40" t="str">
        <f t="shared" si="20"/>
        <v/>
      </c>
      <c r="O27" s="31"/>
      <c r="P27" s="40" t="str">
        <f t="shared" si="0"/>
        <v/>
      </c>
      <c r="Q27" s="31"/>
      <c r="R27" s="40" t="str">
        <f t="shared" si="1"/>
        <v/>
      </c>
      <c r="S27" s="31"/>
      <c r="T27" s="40" t="str">
        <f t="shared" si="2"/>
        <v/>
      </c>
      <c r="U27" s="31"/>
      <c r="V27" s="40" t="str">
        <f t="shared" si="3"/>
        <v/>
      </c>
      <c r="W27" s="31"/>
      <c r="X27" s="40" t="str">
        <f t="shared" si="4"/>
        <v/>
      </c>
      <c r="Y27" s="31"/>
      <c r="Z27" s="40" t="str">
        <f t="shared" si="5"/>
        <v/>
      </c>
      <c r="AA27" s="31"/>
      <c r="AB27" s="40" t="str">
        <f t="shared" si="6"/>
        <v/>
      </c>
      <c r="AC27" s="31"/>
      <c r="AD27" s="40" t="str">
        <f t="shared" si="7"/>
        <v/>
      </c>
      <c r="AE27" s="31"/>
      <c r="AF27" s="40" t="str">
        <f t="shared" si="8"/>
        <v/>
      </c>
      <c r="AG27" s="31"/>
      <c r="AH27" s="40" t="str">
        <f t="shared" si="9"/>
        <v/>
      </c>
      <c r="AI27" s="31"/>
      <c r="AJ27" s="40" t="str">
        <f t="shared" si="10"/>
        <v/>
      </c>
      <c r="AK27" s="31"/>
      <c r="AL27" s="40" t="str">
        <f t="shared" si="11"/>
        <v/>
      </c>
      <c r="AM27" s="31"/>
      <c r="AN27" s="40" t="str">
        <f t="shared" si="12"/>
        <v/>
      </c>
      <c r="AO27" s="31"/>
      <c r="AP27" s="40" t="str">
        <f t="shared" si="13"/>
        <v/>
      </c>
      <c r="AQ27" s="31"/>
      <c r="AR27" s="40" t="str">
        <f t="shared" si="14"/>
        <v/>
      </c>
      <c r="AS27" s="31"/>
      <c r="AT27" s="40" t="str">
        <f t="shared" si="15"/>
        <v/>
      </c>
      <c r="AU27" s="31"/>
      <c r="AV27" s="40" t="str">
        <f t="shared" si="16"/>
        <v/>
      </c>
      <c r="AW27" s="31"/>
      <c r="AX27" s="40" t="str">
        <f t="shared" si="17"/>
        <v/>
      </c>
      <c r="AY27" s="35"/>
      <c r="AZ27" s="40" t="str">
        <f t="shared" si="18"/>
        <v/>
      </c>
      <c r="BA27" s="19" t="s">
        <v>103</v>
      </c>
    </row>
    <row r="28" spans="1:53" ht="20" customHeight="1" x14ac:dyDescent="0.2">
      <c r="A28" s="130"/>
      <c r="B28" s="131"/>
      <c r="C28" s="75"/>
      <c r="D28" s="75" t="s">
        <v>252</v>
      </c>
      <c r="E28" s="76" t="s">
        <v>104</v>
      </c>
      <c r="F28" s="76" t="s">
        <v>105</v>
      </c>
      <c r="G28" s="75">
        <v>2015</v>
      </c>
      <c r="H28" s="81">
        <v>8</v>
      </c>
      <c r="I28" s="84" t="s">
        <v>106</v>
      </c>
      <c r="J28" s="64"/>
      <c r="K28" s="65">
        <v>255</v>
      </c>
      <c r="L28" s="112" t="str">
        <f t="shared" si="19"/>
        <v/>
      </c>
      <c r="M28" s="32"/>
      <c r="N28" s="32" t="str">
        <f t="shared" si="20"/>
        <v/>
      </c>
      <c r="O28" s="31"/>
      <c r="P28" s="40" t="str">
        <f t="shared" si="0"/>
        <v/>
      </c>
      <c r="Q28" s="31"/>
      <c r="R28" s="40" t="str">
        <f t="shared" si="1"/>
        <v/>
      </c>
      <c r="S28" s="31"/>
      <c r="T28" s="40" t="str">
        <f t="shared" si="2"/>
        <v/>
      </c>
      <c r="U28" s="31"/>
      <c r="V28" s="40" t="str">
        <f t="shared" si="3"/>
        <v/>
      </c>
      <c r="W28" s="31"/>
      <c r="X28" s="40" t="str">
        <f t="shared" si="4"/>
        <v/>
      </c>
      <c r="Y28" s="31"/>
      <c r="Z28" s="40" t="str">
        <f t="shared" si="5"/>
        <v/>
      </c>
      <c r="AA28" s="31"/>
      <c r="AB28" s="40" t="str">
        <f t="shared" si="6"/>
        <v/>
      </c>
      <c r="AC28" s="31"/>
      <c r="AD28" s="40" t="str">
        <f t="shared" si="7"/>
        <v/>
      </c>
      <c r="AE28" s="31"/>
      <c r="AF28" s="40" t="str">
        <f t="shared" si="8"/>
        <v/>
      </c>
      <c r="AG28" s="31"/>
      <c r="AH28" s="40" t="str">
        <f t="shared" si="9"/>
        <v/>
      </c>
      <c r="AI28" s="31"/>
      <c r="AJ28" s="40" t="str">
        <f t="shared" si="10"/>
        <v/>
      </c>
      <c r="AK28" s="31"/>
      <c r="AL28" s="40" t="str">
        <f t="shared" si="11"/>
        <v/>
      </c>
      <c r="AM28" s="31"/>
      <c r="AN28" s="40" t="str">
        <f t="shared" si="12"/>
        <v/>
      </c>
      <c r="AO28" s="31"/>
      <c r="AP28" s="40" t="str">
        <f t="shared" si="13"/>
        <v/>
      </c>
      <c r="AQ28" s="31"/>
      <c r="AR28" s="40" t="str">
        <f t="shared" si="14"/>
        <v/>
      </c>
      <c r="AS28" s="31"/>
      <c r="AT28" s="40" t="str">
        <f t="shared" si="15"/>
        <v/>
      </c>
      <c r="AU28" s="31"/>
      <c r="AV28" s="40" t="str">
        <f t="shared" si="16"/>
        <v/>
      </c>
      <c r="AW28" s="31"/>
      <c r="AX28" s="40" t="str">
        <f t="shared" si="17"/>
        <v/>
      </c>
      <c r="AY28" s="35"/>
      <c r="AZ28" s="40" t="str">
        <f t="shared" si="18"/>
        <v/>
      </c>
      <c r="BA28" s="19" t="s">
        <v>107</v>
      </c>
    </row>
    <row r="29" spans="1:53" ht="20" customHeight="1" x14ac:dyDescent="0.2">
      <c r="A29" s="128"/>
      <c r="B29" s="132"/>
      <c r="C29" s="75"/>
      <c r="D29" s="75" t="s">
        <v>255</v>
      </c>
      <c r="E29" s="76" t="s">
        <v>108</v>
      </c>
      <c r="F29" s="76" t="s">
        <v>109</v>
      </c>
      <c r="G29" s="75">
        <v>1993</v>
      </c>
      <c r="H29" s="81">
        <v>56</v>
      </c>
      <c r="I29" s="84"/>
      <c r="J29" s="64">
        <v>43</v>
      </c>
      <c r="K29" s="65">
        <v>148</v>
      </c>
      <c r="L29" s="112">
        <f t="shared" si="19"/>
        <v>29.054054054054053</v>
      </c>
      <c r="M29" s="31">
        <v>8</v>
      </c>
      <c r="N29" s="40">
        <f t="shared" si="20"/>
        <v>5.4054054054054053</v>
      </c>
      <c r="O29" s="31"/>
      <c r="P29" s="40" t="str">
        <f t="shared" si="0"/>
        <v/>
      </c>
      <c r="Q29" s="31"/>
      <c r="R29" s="40" t="str">
        <f t="shared" si="1"/>
        <v/>
      </c>
      <c r="S29" s="31"/>
      <c r="T29" s="40" t="str">
        <f t="shared" si="2"/>
        <v/>
      </c>
      <c r="U29" s="31"/>
      <c r="V29" s="40" t="str">
        <f t="shared" si="3"/>
        <v/>
      </c>
      <c r="W29" s="31">
        <v>1</v>
      </c>
      <c r="X29" s="40">
        <f t="shared" si="4"/>
        <v>0.67567567567567566</v>
      </c>
      <c r="Y29" s="31">
        <v>15</v>
      </c>
      <c r="Z29" s="40">
        <f t="shared" si="5"/>
        <v>10.135135135135135</v>
      </c>
      <c r="AA29" s="31">
        <v>6</v>
      </c>
      <c r="AB29" s="40">
        <f t="shared" si="6"/>
        <v>4.0540540540540544</v>
      </c>
      <c r="AC29" s="31">
        <v>4</v>
      </c>
      <c r="AD29" s="40">
        <f t="shared" si="7"/>
        <v>2.7027027027027026</v>
      </c>
      <c r="AE29" s="31">
        <v>5</v>
      </c>
      <c r="AF29" s="40">
        <f t="shared" si="8"/>
        <v>3.3783783783783785</v>
      </c>
      <c r="AG29" s="31"/>
      <c r="AH29" s="40" t="str">
        <f t="shared" si="9"/>
        <v/>
      </c>
      <c r="AI29" s="31"/>
      <c r="AJ29" s="40" t="str">
        <f t="shared" si="10"/>
        <v/>
      </c>
      <c r="AK29" s="31">
        <v>1</v>
      </c>
      <c r="AL29" s="40">
        <f t="shared" si="11"/>
        <v>0.67567567567567566</v>
      </c>
      <c r="AM29" s="31">
        <v>2</v>
      </c>
      <c r="AN29" s="40">
        <f t="shared" si="12"/>
        <v>1.3513513513513513</v>
      </c>
      <c r="AO29" s="31"/>
      <c r="AP29" s="40" t="str">
        <f t="shared" si="13"/>
        <v/>
      </c>
      <c r="AQ29" s="31"/>
      <c r="AR29" s="40" t="str">
        <f t="shared" si="14"/>
        <v/>
      </c>
      <c r="AS29" s="31"/>
      <c r="AT29" s="40" t="str">
        <f t="shared" si="15"/>
        <v/>
      </c>
      <c r="AU29" s="31"/>
      <c r="AV29" s="40" t="str">
        <f t="shared" si="16"/>
        <v/>
      </c>
      <c r="AW29" s="31">
        <v>4</v>
      </c>
      <c r="AX29" s="40">
        <f t="shared" si="17"/>
        <v>2.7027027027027026</v>
      </c>
      <c r="AY29" s="35">
        <v>11</v>
      </c>
      <c r="AZ29" s="40">
        <f t="shared" si="18"/>
        <v>7.4324324324324325</v>
      </c>
      <c r="BA29" s="19" t="s">
        <v>217</v>
      </c>
    </row>
    <row r="30" spans="1:53" ht="20" customHeight="1" x14ac:dyDescent="0.2">
      <c r="A30" s="128"/>
      <c r="B30" s="129"/>
      <c r="C30" s="75"/>
      <c r="D30" s="75" t="s">
        <v>255</v>
      </c>
      <c r="E30" s="76" t="s">
        <v>110</v>
      </c>
      <c r="F30" s="76" t="s">
        <v>111</v>
      </c>
      <c r="G30" s="75">
        <v>2009</v>
      </c>
      <c r="H30" s="81"/>
      <c r="I30" s="84" t="s">
        <v>112</v>
      </c>
      <c r="J30" s="64">
        <v>33</v>
      </c>
      <c r="K30" s="65">
        <v>170</v>
      </c>
      <c r="L30" s="112">
        <f t="shared" si="19"/>
        <v>19.411764705882355</v>
      </c>
      <c r="M30" s="31">
        <v>33</v>
      </c>
      <c r="N30" s="40">
        <f t="shared" si="20"/>
        <v>19.411764705882355</v>
      </c>
      <c r="O30" s="31"/>
      <c r="P30" s="40" t="str">
        <f t="shared" si="0"/>
        <v/>
      </c>
      <c r="Q30" s="31"/>
      <c r="R30" s="40" t="str">
        <f t="shared" si="1"/>
        <v/>
      </c>
      <c r="S30" s="31"/>
      <c r="T30" s="40" t="str">
        <f t="shared" si="2"/>
        <v/>
      </c>
      <c r="U30" s="31"/>
      <c r="V30" s="40" t="str">
        <f t="shared" si="3"/>
        <v/>
      </c>
      <c r="W30" s="31"/>
      <c r="X30" s="40" t="str">
        <f t="shared" si="4"/>
        <v/>
      </c>
      <c r="Y30" s="31"/>
      <c r="Z30" s="40" t="str">
        <f t="shared" si="5"/>
        <v/>
      </c>
      <c r="AA30" s="31"/>
      <c r="AB30" s="40" t="str">
        <f t="shared" si="6"/>
        <v/>
      </c>
      <c r="AC30" s="31"/>
      <c r="AD30" s="40" t="str">
        <f t="shared" si="7"/>
        <v/>
      </c>
      <c r="AE30" s="31"/>
      <c r="AF30" s="40" t="str">
        <f t="shared" si="8"/>
        <v/>
      </c>
      <c r="AG30" s="31"/>
      <c r="AH30" s="40" t="str">
        <f t="shared" si="9"/>
        <v/>
      </c>
      <c r="AI30" s="31"/>
      <c r="AJ30" s="40" t="str">
        <f t="shared" si="10"/>
        <v/>
      </c>
      <c r="AK30" s="31"/>
      <c r="AL30" s="40" t="str">
        <f t="shared" si="11"/>
        <v/>
      </c>
      <c r="AM30" s="31"/>
      <c r="AN30" s="40" t="str">
        <f t="shared" si="12"/>
        <v/>
      </c>
      <c r="AO30" s="31"/>
      <c r="AP30" s="40" t="str">
        <f t="shared" si="13"/>
        <v/>
      </c>
      <c r="AQ30" s="31"/>
      <c r="AR30" s="40" t="str">
        <f t="shared" si="14"/>
        <v/>
      </c>
      <c r="AS30" s="31"/>
      <c r="AT30" s="40" t="str">
        <f t="shared" si="15"/>
        <v/>
      </c>
      <c r="AU30" s="31"/>
      <c r="AV30" s="40" t="str">
        <f t="shared" si="16"/>
        <v/>
      </c>
      <c r="AW30" s="31"/>
      <c r="AX30" s="40" t="str">
        <f t="shared" si="17"/>
        <v/>
      </c>
      <c r="AY30" s="35"/>
      <c r="AZ30" s="40" t="str">
        <f t="shared" si="18"/>
        <v/>
      </c>
      <c r="BA30" s="19" t="s">
        <v>270</v>
      </c>
    </row>
    <row r="31" spans="1:53" ht="20" customHeight="1" x14ac:dyDescent="0.2">
      <c r="A31" s="128"/>
      <c r="B31" s="76"/>
      <c r="C31" s="75"/>
      <c r="D31" s="75"/>
      <c r="E31" s="76" t="s">
        <v>210</v>
      </c>
      <c r="F31" s="76" t="s">
        <v>211</v>
      </c>
      <c r="G31" s="75">
        <v>2013</v>
      </c>
      <c r="H31" s="81">
        <v>8</v>
      </c>
      <c r="I31" s="84"/>
      <c r="J31" s="64">
        <v>14</v>
      </c>
      <c r="K31" s="65">
        <v>98</v>
      </c>
      <c r="L31" s="112">
        <f t="shared" si="19"/>
        <v>14.285714285714285</v>
      </c>
      <c r="M31" s="31">
        <v>14</v>
      </c>
      <c r="N31" s="40">
        <f t="shared" si="20"/>
        <v>14.285714285714285</v>
      </c>
      <c r="O31" s="31"/>
      <c r="P31" s="40" t="str">
        <f t="shared" si="0"/>
        <v/>
      </c>
      <c r="Q31" s="31"/>
      <c r="R31" s="40" t="str">
        <f t="shared" si="1"/>
        <v/>
      </c>
      <c r="S31" s="31"/>
      <c r="T31" s="40"/>
      <c r="U31" s="31"/>
      <c r="V31" s="40"/>
      <c r="W31" s="31"/>
      <c r="X31" s="40" t="str">
        <f t="shared" si="4"/>
        <v/>
      </c>
      <c r="Y31" s="31"/>
      <c r="Z31" s="40" t="str">
        <f t="shared" si="5"/>
        <v/>
      </c>
      <c r="AA31" s="31"/>
      <c r="AB31" s="40" t="str">
        <f t="shared" si="6"/>
        <v/>
      </c>
      <c r="AC31" s="31"/>
      <c r="AD31" s="40" t="str">
        <f t="shared" si="7"/>
        <v/>
      </c>
      <c r="AE31" s="31"/>
      <c r="AF31" s="40" t="str">
        <f t="shared" si="8"/>
        <v/>
      </c>
      <c r="AG31" s="31"/>
      <c r="AH31" s="40" t="str">
        <f t="shared" si="9"/>
        <v/>
      </c>
      <c r="AI31" s="31"/>
      <c r="AJ31" s="40" t="str">
        <f t="shared" si="10"/>
        <v/>
      </c>
      <c r="AK31" s="31"/>
      <c r="AL31" s="40" t="str">
        <f t="shared" si="11"/>
        <v/>
      </c>
      <c r="AM31" s="31"/>
      <c r="AN31" s="40" t="str">
        <f t="shared" si="12"/>
        <v/>
      </c>
      <c r="AO31" s="31"/>
      <c r="AP31" s="40" t="str">
        <f t="shared" si="13"/>
        <v/>
      </c>
      <c r="AQ31" s="31"/>
      <c r="AR31" s="40" t="str">
        <f t="shared" si="14"/>
        <v/>
      </c>
      <c r="AS31" s="31"/>
      <c r="AT31" s="40" t="str">
        <f t="shared" si="15"/>
        <v/>
      </c>
      <c r="AU31" s="31"/>
      <c r="AV31" s="40" t="str">
        <f t="shared" si="16"/>
        <v/>
      </c>
      <c r="AW31" s="31"/>
      <c r="AX31" s="40" t="str">
        <f t="shared" si="17"/>
        <v/>
      </c>
      <c r="AY31" s="35"/>
      <c r="AZ31" s="40" t="str">
        <f t="shared" si="18"/>
        <v/>
      </c>
    </row>
    <row r="32" spans="1:53" ht="20" customHeight="1" x14ac:dyDescent="0.2">
      <c r="A32" s="128"/>
      <c r="B32" s="131"/>
      <c r="C32" s="75"/>
      <c r="D32" s="75" t="s">
        <v>272</v>
      </c>
      <c r="E32" s="76" t="s">
        <v>113</v>
      </c>
      <c r="F32" s="76" t="s">
        <v>114</v>
      </c>
      <c r="G32" s="75">
        <v>2008</v>
      </c>
      <c r="H32" s="81">
        <v>21</v>
      </c>
      <c r="I32" s="84" t="s">
        <v>115</v>
      </c>
      <c r="J32" s="64">
        <v>3</v>
      </c>
      <c r="K32" s="65">
        <v>111</v>
      </c>
      <c r="L32" s="112">
        <f t="shared" si="19"/>
        <v>2.7027027027027026</v>
      </c>
      <c r="M32" s="31">
        <v>3</v>
      </c>
      <c r="N32" s="40">
        <f t="shared" si="20"/>
        <v>2.7027027027027026</v>
      </c>
      <c r="O32" s="31"/>
      <c r="P32" s="40" t="str">
        <f t="shared" si="0"/>
        <v/>
      </c>
      <c r="Q32" s="31"/>
      <c r="R32" s="40" t="str">
        <f t="shared" si="1"/>
        <v/>
      </c>
      <c r="S32" s="31"/>
      <c r="T32" s="40" t="str">
        <f t="shared" ref="T32:T55" si="21">IF((ISERROR((S32/$K32)*100)), "", IF(AND(NOT(ISERROR((S32/$K32)*100)),((S32/$K32)*100) &lt;&gt; 0), (S32/$K32)*100, ""))</f>
        <v/>
      </c>
      <c r="U32" s="31"/>
      <c r="V32" s="40" t="str">
        <f t="shared" ref="V32:V55" si="22">IF((ISERROR((U32/$K32)*100)), "", IF(AND(NOT(ISERROR((U32/$K32)*100)),((U32/$K32)*100) &lt;&gt; 0), (U32/$K32)*100, ""))</f>
        <v/>
      </c>
      <c r="W32" s="31"/>
      <c r="X32" s="40" t="str">
        <f t="shared" si="4"/>
        <v/>
      </c>
      <c r="Y32" s="31"/>
      <c r="Z32" s="40" t="str">
        <f t="shared" si="5"/>
        <v/>
      </c>
      <c r="AA32" s="31"/>
      <c r="AB32" s="40" t="str">
        <f t="shared" si="6"/>
        <v/>
      </c>
      <c r="AC32" s="31"/>
      <c r="AD32" s="40" t="str">
        <f t="shared" si="7"/>
        <v/>
      </c>
      <c r="AE32" s="31"/>
      <c r="AF32" s="40" t="str">
        <f t="shared" si="8"/>
        <v/>
      </c>
      <c r="AG32" s="31"/>
      <c r="AH32" s="40" t="str">
        <f t="shared" si="9"/>
        <v/>
      </c>
      <c r="AI32" s="31"/>
      <c r="AJ32" s="40" t="str">
        <f t="shared" si="10"/>
        <v/>
      </c>
      <c r="AK32" s="31"/>
      <c r="AL32" s="40" t="str">
        <f t="shared" si="11"/>
        <v/>
      </c>
      <c r="AM32" s="31"/>
      <c r="AN32" s="40" t="str">
        <f t="shared" si="12"/>
        <v/>
      </c>
      <c r="AO32" s="31"/>
      <c r="AP32" s="40" t="str">
        <f t="shared" si="13"/>
        <v/>
      </c>
      <c r="AQ32" s="31"/>
      <c r="AR32" s="40" t="str">
        <f t="shared" si="14"/>
        <v/>
      </c>
      <c r="AS32" s="31"/>
      <c r="AT32" s="40" t="str">
        <f t="shared" si="15"/>
        <v/>
      </c>
      <c r="AU32" s="31"/>
      <c r="AV32" s="40" t="str">
        <f t="shared" si="16"/>
        <v/>
      </c>
      <c r="AW32" s="31"/>
      <c r="AX32" s="40" t="str">
        <f t="shared" si="17"/>
        <v/>
      </c>
      <c r="AY32" s="35"/>
      <c r="AZ32" s="40" t="str">
        <f t="shared" si="18"/>
        <v/>
      </c>
    </row>
    <row r="33" spans="1:53" ht="20" customHeight="1" x14ac:dyDescent="0.2">
      <c r="A33" s="128"/>
      <c r="B33" s="132"/>
      <c r="C33" s="75"/>
      <c r="D33" s="75"/>
      <c r="E33" s="76" t="s">
        <v>116</v>
      </c>
      <c r="F33" s="76" t="s">
        <v>117</v>
      </c>
      <c r="G33" s="75">
        <v>2005</v>
      </c>
      <c r="H33" s="81">
        <v>23</v>
      </c>
      <c r="I33" s="84"/>
      <c r="J33" s="64">
        <v>21</v>
      </c>
      <c r="K33" s="65">
        <v>174</v>
      </c>
      <c r="L33" s="112">
        <f t="shared" si="19"/>
        <v>12.068965517241379</v>
      </c>
      <c r="M33" s="32"/>
      <c r="N33" s="32" t="str">
        <f t="shared" si="20"/>
        <v/>
      </c>
      <c r="O33" s="31"/>
      <c r="P33" s="40" t="str">
        <f t="shared" si="0"/>
        <v/>
      </c>
      <c r="Q33" s="32"/>
      <c r="R33" s="32" t="str">
        <f t="shared" si="1"/>
        <v/>
      </c>
      <c r="S33" s="32"/>
      <c r="T33" s="42" t="str">
        <f t="shared" si="21"/>
        <v/>
      </c>
      <c r="U33" s="31"/>
      <c r="V33" s="40" t="str">
        <f t="shared" si="22"/>
        <v/>
      </c>
      <c r="W33" s="31"/>
      <c r="X33" s="40" t="str">
        <f t="shared" si="4"/>
        <v/>
      </c>
      <c r="Y33" s="32"/>
      <c r="Z33" s="32" t="str">
        <f t="shared" si="5"/>
        <v/>
      </c>
      <c r="AA33" s="32"/>
      <c r="AB33" s="32" t="str">
        <f t="shared" si="6"/>
        <v/>
      </c>
      <c r="AC33" s="31"/>
      <c r="AD33" s="40" t="str">
        <f t="shared" si="7"/>
        <v/>
      </c>
      <c r="AE33" s="31"/>
      <c r="AF33" s="40" t="str">
        <f t="shared" si="8"/>
        <v/>
      </c>
      <c r="AG33" s="31"/>
      <c r="AH33" s="40" t="str">
        <f t="shared" si="9"/>
        <v/>
      </c>
      <c r="AI33" s="32"/>
      <c r="AJ33" s="32" t="str">
        <f t="shared" si="10"/>
        <v/>
      </c>
      <c r="AK33" s="31"/>
      <c r="AL33" s="40" t="str">
        <f t="shared" si="11"/>
        <v/>
      </c>
      <c r="AM33" s="31"/>
      <c r="AN33" s="40" t="str">
        <f t="shared" si="12"/>
        <v/>
      </c>
      <c r="AO33" s="31"/>
      <c r="AP33" s="40" t="str">
        <f t="shared" si="13"/>
        <v/>
      </c>
      <c r="AQ33" s="31"/>
      <c r="AR33" s="40" t="str">
        <f t="shared" si="14"/>
        <v/>
      </c>
      <c r="AS33" s="31"/>
      <c r="AT33" s="40" t="str">
        <f t="shared" si="15"/>
        <v/>
      </c>
      <c r="AU33" s="31"/>
      <c r="AV33" s="40" t="str">
        <f t="shared" si="16"/>
        <v/>
      </c>
      <c r="AW33" s="31"/>
      <c r="AX33" s="40" t="str">
        <f t="shared" si="17"/>
        <v/>
      </c>
      <c r="AY33" s="35"/>
      <c r="AZ33" s="40" t="str">
        <f t="shared" si="18"/>
        <v/>
      </c>
      <c r="BA33" s="19" t="s">
        <v>118</v>
      </c>
    </row>
    <row r="34" spans="1:53" ht="20" customHeight="1" x14ac:dyDescent="0.2">
      <c r="A34" s="128"/>
      <c r="B34" s="129"/>
      <c r="C34" s="75"/>
      <c r="D34" s="75" t="s">
        <v>273</v>
      </c>
      <c r="E34" s="76" t="s">
        <v>119</v>
      </c>
      <c r="F34" s="76" t="s">
        <v>120</v>
      </c>
      <c r="G34" s="75">
        <v>2015</v>
      </c>
      <c r="H34" s="81">
        <v>7</v>
      </c>
      <c r="I34" s="84" t="s">
        <v>115</v>
      </c>
      <c r="J34" s="64">
        <v>26</v>
      </c>
      <c r="K34" s="65">
        <v>388</v>
      </c>
      <c r="L34" s="112">
        <f t="shared" si="19"/>
        <v>6.7010309278350517</v>
      </c>
      <c r="M34" s="31">
        <v>10</v>
      </c>
      <c r="N34" s="40">
        <f t="shared" si="20"/>
        <v>2.5773195876288657</v>
      </c>
      <c r="O34" s="31">
        <v>16</v>
      </c>
      <c r="P34" s="40">
        <f t="shared" si="0"/>
        <v>4.1237113402061851</v>
      </c>
      <c r="Q34" s="31"/>
      <c r="R34" s="40" t="str">
        <f t="shared" si="1"/>
        <v/>
      </c>
      <c r="S34" s="31"/>
      <c r="T34" s="40" t="str">
        <f t="shared" si="21"/>
        <v/>
      </c>
      <c r="U34" s="31"/>
      <c r="V34" s="40" t="str">
        <f t="shared" si="22"/>
        <v/>
      </c>
      <c r="W34" s="31"/>
      <c r="X34" s="40" t="str">
        <f t="shared" si="4"/>
        <v/>
      </c>
      <c r="Y34" s="31"/>
      <c r="Z34" s="40" t="str">
        <f t="shared" si="5"/>
        <v/>
      </c>
      <c r="AA34" s="31"/>
      <c r="AB34" s="40" t="str">
        <f t="shared" si="6"/>
        <v/>
      </c>
      <c r="AC34" s="31"/>
      <c r="AD34" s="40" t="str">
        <f t="shared" si="7"/>
        <v/>
      </c>
      <c r="AE34" s="31"/>
      <c r="AF34" s="40" t="str">
        <f t="shared" si="8"/>
        <v/>
      </c>
      <c r="AG34" s="31"/>
      <c r="AH34" s="40" t="str">
        <f t="shared" si="9"/>
        <v/>
      </c>
      <c r="AI34" s="31"/>
      <c r="AJ34" s="40" t="str">
        <f t="shared" si="10"/>
        <v/>
      </c>
      <c r="AK34" s="31"/>
      <c r="AL34" s="40" t="str">
        <f t="shared" si="11"/>
        <v/>
      </c>
      <c r="AM34" s="31"/>
      <c r="AN34" s="40" t="str">
        <f t="shared" si="12"/>
        <v/>
      </c>
      <c r="AO34" s="31"/>
      <c r="AP34" s="40" t="str">
        <f t="shared" si="13"/>
        <v/>
      </c>
      <c r="AQ34" s="31"/>
      <c r="AR34" s="40" t="str">
        <f t="shared" si="14"/>
        <v/>
      </c>
      <c r="AS34" s="31"/>
      <c r="AT34" s="40" t="str">
        <f t="shared" si="15"/>
        <v/>
      </c>
      <c r="AU34" s="31"/>
      <c r="AV34" s="40" t="str">
        <f t="shared" si="16"/>
        <v/>
      </c>
      <c r="AW34" s="31"/>
      <c r="AX34" s="40" t="str">
        <f t="shared" si="17"/>
        <v/>
      </c>
      <c r="AY34" s="35"/>
      <c r="AZ34" s="40" t="str">
        <f t="shared" si="18"/>
        <v/>
      </c>
    </row>
    <row r="35" spans="1:53" ht="20" customHeight="1" x14ac:dyDescent="0.2">
      <c r="A35" s="128"/>
      <c r="B35" s="132"/>
      <c r="C35" s="75"/>
      <c r="D35" s="75" t="s">
        <v>227</v>
      </c>
      <c r="E35" s="76" t="s">
        <v>121</v>
      </c>
      <c r="F35" s="76" t="s">
        <v>122</v>
      </c>
      <c r="G35" s="75">
        <v>2011</v>
      </c>
      <c r="H35" s="81">
        <v>12</v>
      </c>
      <c r="I35" s="84" t="s">
        <v>123</v>
      </c>
      <c r="J35" s="64"/>
      <c r="K35" s="65">
        <v>11</v>
      </c>
      <c r="L35" s="112" t="str">
        <f t="shared" si="19"/>
        <v/>
      </c>
      <c r="M35" s="31"/>
      <c r="N35" s="40" t="str">
        <f t="shared" si="20"/>
        <v/>
      </c>
      <c r="O35" s="31"/>
      <c r="P35" s="40" t="str">
        <f t="shared" si="0"/>
        <v/>
      </c>
      <c r="Q35" s="31"/>
      <c r="R35" s="40" t="str">
        <f t="shared" si="1"/>
        <v/>
      </c>
      <c r="S35" s="31"/>
      <c r="T35" s="40" t="str">
        <f t="shared" si="21"/>
        <v/>
      </c>
      <c r="U35" s="31"/>
      <c r="V35" s="40" t="str">
        <f t="shared" si="22"/>
        <v/>
      </c>
      <c r="W35" s="31"/>
      <c r="X35" s="40" t="str">
        <f t="shared" si="4"/>
        <v/>
      </c>
      <c r="Y35" s="31"/>
      <c r="Z35" s="40" t="str">
        <f t="shared" si="5"/>
        <v/>
      </c>
      <c r="AA35" s="31"/>
      <c r="AB35" s="40" t="str">
        <f t="shared" si="6"/>
        <v/>
      </c>
      <c r="AC35" s="31"/>
      <c r="AD35" s="40" t="str">
        <f t="shared" si="7"/>
        <v/>
      </c>
      <c r="AE35" s="31"/>
      <c r="AF35" s="40" t="str">
        <f t="shared" si="8"/>
        <v/>
      </c>
      <c r="AG35" s="31"/>
      <c r="AH35" s="40" t="str">
        <f t="shared" si="9"/>
        <v/>
      </c>
      <c r="AI35" s="31"/>
      <c r="AJ35" s="40" t="str">
        <f t="shared" si="10"/>
        <v/>
      </c>
      <c r="AK35" s="31"/>
      <c r="AL35" s="40" t="str">
        <f t="shared" si="11"/>
        <v/>
      </c>
      <c r="AM35" s="31"/>
      <c r="AN35" s="40" t="str">
        <f t="shared" si="12"/>
        <v/>
      </c>
      <c r="AO35" s="31"/>
      <c r="AP35" s="40" t="str">
        <f t="shared" si="13"/>
        <v/>
      </c>
      <c r="AQ35" s="31"/>
      <c r="AR35" s="40" t="str">
        <f t="shared" si="14"/>
        <v/>
      </c>
      <c r="AS35" s="31"/>
      <c r="AT35" s="40" t="str">
        <f t="shared" si="15"/>
        <v/>
      </c>
      <c r="AU35" s="31"/>
      <c r="AV35" s="40" t="str">
        <f t="shared" si="16"/>
        <v/>
      </c>
      <c r="AW35" s="31"/>
      <c r="AX35" s="40" t="str">
        <f t="shared" si="17"/>
        <v/>
      </c>
      <c r="AY35" s="35"/>
      <c r="AZ35" s="40" t="str">
        <f t="shared" si="18"/>
        <v/>
      </c>
      <c r="BA35" s="19" t="s">
        <v>124</v>
      </c>
    </row>
    <row r="36" spans="1:53" ht="20" customHeight="1" x14ac:dyDescent="0.2">
      <c r="A36" s="128"/>
      <c r="B36" s="129"/>
      <c r="C36" s="75"/>
      <c r="D36" s="75"/>
      <c r="E36" s="76" t="s">
        <v>125</v>
      </c>
      <c r="F36" s="76" t="s">
        <v>126</v>
      </c>
      <c r="G36" s="75">
        <v>2017</v>
      </c>
      <c r="H36" s="81"/>
      <c r="I36" s="84" t="s">
        <v>112</v>
      </c>
      <c r="J36" s="64">
        <v>4</v>
      </c>
      <c r="K36" s="65">
        <v>124</v>
      </c>
      <c r="L36" s="112">
        <f t="shared" si="19"/>
        <v>3.225806451612903</v>
      </c>
      <c r="M36" s="31">
        <v>4</v>
      </c>
      <c r="N36" s="40">
        <f t="shared" si="20"/>
        <v>3.225806451612903</v>
      </c>
      <c r="O36" s="31"/>
      <c r="P36" s="40" t="str">
        <f t="shared" si="0"/>
        <v/>
      </c>
      <c r="Q36" s="31"/>
      <c r="R36" s="40" t="str">
        <f t="shared" si="1"/>
        <v/>
      </c>
      <c r="S36" s="31"/>
      <c r="T36" s="40" t="str">
        <f t="shared" si="21"/>
        <v/>
      </c>
      <c r="U36" s="31"/>
      <c r="V36" s="40" t="str">
        <f t="shared" si="22"/>
        <v/>
      </c>
      <c r="W36" s="31"/>
      <c r="X36" s="40" t="str">
        <f t="shared" si="4"/>
        <v/>
      </c>
      <c r="Y36" s="31"/>
      <c r="Z36" s="40" t="str">
        <f t="shared" si="5"/>
        <v/>
      </c>
      <c r="AA36" s="31"/>
      <c r="AB36" s="40" t="str">
        <f t="shared" si="6"/>
        <v/>
      </c>
      <c r="AC36" s="31"/>
      <c r="AD36" s="40" t="str">
        <f t="shared" si="7"/>
        <v/>
      </c>
      <c r="AE36" s="31"/>
      <c r="AF36" s="40" t="str">
        <f t="shared" si="8"/>
        <v/>
      </c>
      <c r="AG36" s="31"/>
      <c r="AH36" s="40" t="str">
        <f t="shared" si="9"/>
        <v/>
      </c>
      <c r="AI36" s="31"/>
      <c r="AJ36" s="40" t="str">
        <f t="shared" si="10"/>
        <v/>
      </c>
      <c r="AK36" s="31"/>
      <c r="AL36" s="40" t="str">
        <f t="shared" si="11"/>
        <v/>
      </c>
      <c r="AM36" s="31"/>
      <c r="AN36" s="40" t="str">
        <f t="shared" si="12"/>
        <v/>
      </c>
      <c r="AO36" s="31"/>
      <c r="AP36" s="40" t="str">
        <f t="shared" si="13"/>
        <v/>
      </c>
      <c r="AQ36" s="31"/>
      <c r="AR36" s="40" t="str">
        <f t="shared" si="14"/>
        <v/>
      </c>
      <c r="AS36" s="31"/>
      <c r="AT36" s="40" t="str">
        <f t="shared" si="15"/>
        <v/>
      </c>
      <c r="AU36" s="31"/>
      <c r="AV36" s="40" t="str">
        <f t="shared" si="16"/>
        <v/>
      </c>
      <c r="AW36" s="31"/>
      <c r="AX36" s="40" t="str">
        <f t="shared" si="17"/>
        <v/>
      </c>
      <c r="AY36" s="35"/>
      <c r="AZ36" s="40" t="str">
        <f t="shared" si="18"/>
        <v/>
      </c>
    </row>
    <row r="37" spans="1:53" ht="20" customHeight="1" x14ac:dyDescent="0.2">
      <c r="A37" s="128"/>
      <c r="B37" s="132"/>
      <c r="C37" s="75"/>
      <c r="D37" s="75" t="s">
        <v>252</v>
      </c>
      <c r="E37" s="76" t="s">
        <v>127</v>
      </c>
      <c r="F37" s="76" t="s">
        <v>128</v>
      </c>
      <c r="G37" s="75">
        <v>2010</v>
      </c>
      <c r="H37" s="81">
        <v>61</v>
      </c>
      <c r="I37" s="84"/>
      <c r="J37" s="64"/>
      <c r="K37" s="65">
        <v>142</v>
      </c>
      <c r="L37" s="112" t="str">
        <f t="shared" si="19"/>
        <v/>
      </c>
      <c r="M37" s="31"/>
      <c r="N37" s="40" t="str">
        <f t="shared" si="20"/>
        <v/>
      </c>
      <c r="O37" s="31"/>
      <c r="P37" s="40" t="str">
        <f t="shared" si="0"/>
        <v/>
      </c>
      <c r="Q37" s="31"/>
      <c r="R37" s="40" t="str">
        <f t="shared" si="1"/>
        <v/>
      </c>
      <c r="S37" s="31"/>
      <c r="T37" s="40" t="str">
        <f t="shared" si="21"/>
        <v/>
      </c>
      <c r="U37" s="31"/>
      <c r="V37" s="40" t="str">
        <f t="shared" si="22"/>
        <v/>
      </c>
      <c r="W37" s="31"/>
      <c r="X37" s="40" t="str">
        <f t="shared" si="4"/>
        <v/>
      </c>
      <c r="Y37" s="31">
        <v>19</v>
      </c>
      <c r="Z37" s="40">
        <f t="shared" si="5"/>
        <v>13.380281690140844</v>
      </c>
      <c r="AA37" s="31">
        <v>19</v>
      </c>
      <c r="AB37" s="40">
        <f t="shared" si="6"/>
        <v>13.380281690140844</v>
      </c>
      <c r="AC37" s="31">
        <v>16</v>
      </c>
      <c r="AD37" s="40">
        <f t="shared" si="7"/>
        <v>11.267605633802818</v>
      </c>
      <c r="AE37" s="31"/>
      <c r="AF37" s="40" t="str">
        <f t="shared" si="8"/>
        <v/>
      </c>
      <c r="AG37" s="31"/>
      <c r="AH37" s="40" t="str">
        <f t="shared" si="9"/>
        <v/>
      </c>
      <c r="AI37" s="31"/>
      <c r="AJ37" s="40" t="str">
        <f t="shared" si="10"/>
        <v/>
      </c>
      <c r="AK37" s="31"/>
      <c r="AL37" s="40" t="str">
        <f t="shared" si="11"/>
        <v/>
      </c>
      <c r="AM37" s="31"/>
      <c r="AN37" s="40" t="str">
        <f t="shared" si="12"/>
        <v/>
      </c>
      <c r="AO37" s="31"/>
      <c r="AP37" s="40" t="str">
        <f t="shared" si="13"/>
        <v/>
      </c>
      <c r="AQ37" s="31"/>
      <c r="AR37" s="40" t="str">
        <f t="shared" si="14"/>
        <v/>
      </c>
      <c r="AS37" s="31"/>
      <c r="AT37" s="40" t="str">
        <f t="shared" si="15"/>
        <v/>
      </c>
      <c r="AU37" s="31"/>
      <c r="AV37" s="40" t="str">
        <f t="shared" si="16"/>
        <v/>
      </c>
      <c r="AW37" s="31"/>
      <c r="AX37" s="40" t="str">
        <f t="shared" si="17"/>
        <v/>
      </c>
      <c r="AY37" s="35"/>
      <c r="AZ37" s="40" t="str">
        <f t="shared" si="18"/>
        <v/>
      </c>
      <c r="BA37" s="19" t="s">
        <v>182</v>
      </c>
    </row>
    <row r="38" spans="1:53" ht="20" customHeight="1" x14ac:dyDescent="0.2">
      <c r="A38" s="130"/>
      <c r="B38" s="131"/>
      <c r="C38" s="75"/>
      <c r="D38" s="75"/>
      <c r="E38" s="76" t="s">
        <v>165</v>
      </c>
      <c r="F38" s="76" t="s">
        <v>129</v>
      </c>
      <c r="G38" s="75">
        <v>2008</v>
      </c>
      <c r="H38" s="81">
        <v>78</v>
      </c>
      <c r="I38" s="84"/>
      <c r="J38" s="64"/>
      <c r="K38" s="65">
        <v>143</v>
      </c>
      <c r="L38" s="112" t="str">
        <f t="shared" si="19"/>
        <v/>
      </c>
      <c r="M38" s="31"/>
      <c r="N38" s="40" t="str">
        <f t="shared" si="20"/>
        <v/>
      </c>
      <c r="O38" s="31"/>
      <c r="P38" s="40" t="str">
        <f t="shared" si="0"/>
        <v/>
      </c>
      <c r="Q38" s="31"/>
      <c r="R38" s="40" t="str">
        <f t="shared" si="1"/>
        <v/>
      </c>
      <c r="S38" s="31"/>
      <c r="T38" s="40" t="str">
        <f t="shared" si="21"/>
        <v/>
      </c>
      <c r="U38" s="31"/>
      <c r="V38" s="40" t="str">
        <f t="shared" si="22"/>
        <v/>
      </c>
      <c r="W38" s="31"/>
      <c r="X38" s="40" t="str">
        <f t="shared" si="4"/>
        <v/>
      </c>
      <c r="Y38" s="31"/>
      <c r="Z38" s="40" t="str">
        <f t="shared" si="5"/>
        <v/>
      </c>
      <c r="AA38" s="31"/>
      <c r="AB38" s="40" t="str">
        <f t="shared" si="6"/>
        <v/>
      </c>
      <c r="AC38" s="31"/>
      <c r="AD38" s="40" t="str">
        <f t="shared" si="7"/>
        <v/>
      </c>
      <c r="AE38" s="31"/>
      <c r="AF38" s="40" t="str">
        <f t="shared" si="8"/>
        <v/>
      </c>
      <c r="AG38" s="31"/>
      <c r="AH38" s="40" t="str">
        <f t="shared" si="9"/>
        <v/>
      </c>
      <c r="AI38" s="31"/>
      <c r="AJ38" s="40" t="str">
        <f t="shared" si="10"/>
        <v/>
      </c>
      <c r="AK38" s="31"/>
      <c r="AL38" s="40" t="str">
        <f t="shared" si="11"/>
        <v/>
      </c>
      <c r="AM38" s="31"/>
      <c r="AN38" s="40" t="str">
        <f t="shared" si="12"/>
        <v/>
      </c>
      <c r="AO38" s="31"/>
      <c r="AP38" s="40" t="str">
        <f t="shared" si="13"/>
        <v/>
      </c>
      <c r="AQ38" s="31"/>
      <c r="AR38" s="40" t="str">
        <f t="shared" si="14"/>
        <v/>
      </c>
      <c r="AS38" s="31"/>
      <c r="AT38" s="40" t="str">
        <f t="shared" si="15"/>
        <v/>
      </c>
      <c r="AU38" s="31"/>
      <c r="AV38" s="40" t="str">
        <f t="shared" si="16"/>
        <v/>
      </c>
      <c r="AW38" s="31"/>
      <c r="AX38" s="40" t="str">
        <f t="shared" si="17"/>
        <v/>
      </c>
      <c r="AY38" s="35"/>
      <c r="AZ38" s="40" t="str">
        <f t="shared" si="18"/>
        <v/>
      </c>
      <c r="BA38" s="22" t="s">
        <v>184</v>
      </c>
    </row>
    <row r="39" spans="1:53" ht="20" customHeight="1" x14ac:dyDescent="0.2">
      <c r="A39" s="130"/>
      <c r="B39" s="131"/>
      <c r="C39" s="75"/>
      <c r="D39" s="75" t="s">
        <v>252</v>
      </c>
      <c r="E39" s="76" t="s">
        <v>130</v>
      </c>
      <c r="F39" s="76" t="s">
        <v>131</v>
      </c>
      <c r="G39" s="75">
        <v>2017</v>
      </c>
      <c r="H39" s="81"/>
      <c r="I39" s="84"/>
      <c r="J39" s="64">
        <v>32</v>
      </c>
      <c r="K39" s="65">
        <v>150</v>
      </c>
      <c r="L39" s="112">
        <f t="shared" si="19"/>
        <v>21.333333333333336</v>
      </c>
      <c r="M39" s="31"/>
      <c r="N39" s="40" t="str">
        <f t="shared" si="20"/>
        <v/>
      </c>
      <c r="O39" s="31"/>
      <c r="P39" s="40" t="str">
        <f t="shared" si="0"/>
        <v/>
      </c>
      <c r="Q39" s="31"/>
      <c r="R39" s="40" t="str">
        <f t="shared" si="1"/>
        <v/>
      </c>
      <c r="S39" s="31"/>
      <c r="T39" s="40" t="str">
        <f t="shared" si="21"/>
        <v/>
      </c>
      <c r="U39" s="31"/>
      <c r="V39" s="40" t="str">
        <f t="shared" si="22"/>
        <v/>
      </c>
      <c r="W39" s="31"/>
      <c r="X39" s="40" t="str">
        <f t="shared" si="4"/>
        <v/>
      </c>
      <c r="Y39" s="31"/>
      <c r="Z39" s="40" t="str">
        <f t="shared" si="5"/>
        <v/>
      </c>
      <c r="AA39" s="31"/>
      <c r="AB39" s="40" t="str">
        <f t="shared" si="6"/>
        <v/>
      </c>
      <c r="AC39" s="31"/>
      <c r="AD39" s="40" t="str">
        <f t="shared" si="7"/>
        <v/>
      </c>
      <c r="AE39" s="31"/>
      <c r="AF39" s="40" t="str">
        <f t="shared" si="8"/>
        <v/>
      </c>
      <c r="AG39" s="32"/>
      <c r="AH39" s="32" t="str">
        <f t="shared" si="9"/>
        <v/>
      </c>
      <c r="AI39" s="31"/>
      <c r="AJ39" s="40" t="str">
        <f t="shared" si="10"/>
        <v/>
      </c>
      <c r="AK39" s="31"/>
      <c r="AL39" s="40" t="str">
        <f t="shared" si="11"/>
        <v/>
      </c>
      <c r="AM39" s="31"/>
      <c r="AN39" s="40" t="str">
        <f t="shared" si="12"/>
        <v/>
      </c>
      <c r="AO39" s="31"/>
      <c r="AP39" s="40" t="str">
        <f t="shared" si="13"/>
        <v/>
      </c>
      <c r="AQ39" s="31"/>
      <c r="AR39" s="40" t="str">
        <f t="shared" si="14"/>
        <v/>
      </c>
      <c r="AS39" s="31"/>
      <c r="AT39" s="40" t="str">
        <f t="shared" si="15"/>
        <v/>
      </c>
      <c r="AU39" s="31"/>
      <c r="AV39" s="40" t="str">
        <f t="shared" si="16"/>
        <v/>
      </c>
      <c r="AW39" s="31"/>
      <c r="AX39" s="40" t="str">
        <f t="shared" si="17"/>
        <v/>
      </c>
      <c r="AY39" s="35"/>
      <c r="AZ39" s="40" t="str">
        <f t="shared" si="18"/>
        <v/>
      </c>
      <c r="BA39" s="22" t="s">
        <v>73</v>
      </c>
    </row>
    <row r="40" spans="1:53" ht="20" customHeight="1" x14ac:dyDescent="0.2">
      <c r="A40" s="128"/>
      <c r="B40" s="132"/>
      <c r="C40" s="75"/>
      <c r="D40" s="75" t="s">
        <v>255</v>
      </c>
      <c r="E40" s="76" t="s">
        <v>185</v>
      </c>
      <c r="F40" s="76" t="s">
        <v>186</v>
      </c>
      <c r="G40" s="75">
        <v>2006</v>
      </c>
      <c r="H40" s="81">
        <v>65</v>
      </c>
      <c r="I40" s="84"/>
      <c r="J40" s="64">
        <v>6</v>
      </c>
      <c r="K40" s="65">
        <v>9</v>
      </c>
      <c r="L40" s="112">
        <f t="shared" si="19"/>
        <v>66.666666666666657</v>
      </c>
      <c r="M40" s="31">
        <v>2</v>
      </c>
      <c r="N40" s="40">
        <f t="shared" si="20"/>
        <v>22.222222222222221</v>
      </c>
      <c r="O40" s="31"/>
      <c r="P40" s="40" t="str">
        <f t="shared" si="0"/>
        <v/>
      </c>
      <c r="Q40" s="31">
        <v>1</v>
      </c>
      <c r="R40" s="40">
        <f t="shared" si="1"/>
        <v>11.111111111111111</v>
      </c>
      <c r="S40" s="31"/>
      <c r="T40" s="40" t="str">
        <f t="shared" si="21"/>
        <v/>
      </c>
      <c r="U40" s="31"/>
      <c r="V40" s="40" t="str">
        <f t="shared" si="22"/>
        <v/>
      </c>
      <c r="W40" s="31"/>
      <c r="X40" s="40" t="str">
        <f t="shared" si="4"/>
        <v/>
      </c>
      <c r="Y40" s="31">
        <v>1</v>
      </c>
      <c r="Z40" s="40">
        <f t="shared" si="5"/>
        <v>11.111111111111111</v>
      </c>
      <c r="AA40" s="31"/>
      <c r="AB40" s="40" t="str">
        <f t="shared" si="6"/>
        <v/>
      </c>
      <c r="AC40" s="31"/>
      <c r="AD40" s="40" t="str">
        <f t="shared" si="7"/>
        <v/>
      </c>
      <c r="AE40" s="31"/>
      <c r="AF40" s="40" t="str">
        <f t="shared" si="8"/>
        <v/>
      </c>
      <c r="AG40" s="31">
        <v>4</v>
      </c>
      <c r="AH40" s="40">
        <f t="shared" si="9"/>
        <v>44.444444444444443</v>
      </c>
      <c r="AI40" s="31"/>
      <c r="AJ40" s="40" t="str">
        <f t="shared" si="10"/>
        <v/>
      </c>
      <c r="AK40" s="31"/>
      <c r="AL40" s="40" t="str">
        <f t="shared" si="11"/>
        <v/>
      </c>
      <c r="AM40" s="31">
        <v>1</v>
      </c>
      <c r="AN40" s="40">
        <f t="shared" si="12"/>
        <v>11.111111111111111</v>
      </c>
      <c r="AO40" s="31"/>
      <c r="AP40" s="40" t="str">
        <f t="shared" si="13"/>
        <v/>
      </c>
      <c r="AQ40" s="31"/>
      <c r="AR40" s="40" t="str">
        <f t="shared" si="14"/>
        <v/>
      </c>
      <c r="AS40" s="31">
        <v>1</v>
      </c>
      <c r="AT40" s="40">
        <f t="shared" si="15"/>
        <v>11.111111111111111</v>
      </c>
      <c r="AU40" s="31"/>
      <c r="AV40" s="40" t="str">
        <f t="shared" si="16"/>
        <v/>
      </c>
      <c r="AW40" s="31"/>
      <c r="AX40" s="40" t="str">
        <f t="shared" si="17"/>
        <v/>
      </c>
      <c r="AY40" s="35">
        <v>13</v>
      </c>
      <c r="AZ40" s="40">
        <f t="shared" si="18"/>
        <v>144.44444444444443</v>
      </c>
      <c r="BA40" s="19" t="s">
        <v>220</v>
      </c>
    </row>
    <row r="41" spans="1:53" ht="20" customHeight="1" x14ac:dyDescent="0.2">
      <c r="A41" s="128"/>
      <c r="B41" s="132"/>
      <c r="C41" s="75"/>
      <c r="D41" s="75" t="s">
        <v>252</v>
      </c>
      <c r="E41" s="76" t="s">
        <v>132</v>
      </c>
      <c r="F41" s="76" t="s">
        <v>133</v>
      </c>
      <c r="G41" s="75">
        <v>2009</v>
      </c>
      <c r="H41" s="81">
        <v>31</v>
      </c>
      <c r="I41" s="84"/>
      <c r="J41" s="64">
        <v>196</v>
      </c>
      <c r="K41" s="65">
        <v>225</v>
      </c>
      <c r="L41" s="112">
        <f t="shared" si="19"/>
        <v>87.1111111111111</v>
      </c>
      <c r="M41" s="31">
        <v>65</v>
      </c>
      <c r="N41" s="40">
        <f t="shared" si="20"/>
        <v>28.888888888888886</v>
      </c>
      <c r="O41" s="31"/>
      <c r="P41" s="40" t="str">
        <f t="shared" si="0"/>
        <v/>
      </c>
      <c r="Q41" s="31"/>
      <c r="R41" s="40" t="str">
        <f t="shared" si="1"/>
        <v/>
      </c>
      <c r="S41" s="31">
        <v>59</v>
      </c>
      <c r="T41" s="40">
        <f t="shared" si="21"/>
        <v>26.222222222222225</v>
      </c>
      <c r="U41" s="31"/>
      <c r="V41" s="40" t="str">
        <f t="shared" si="22"/>
        <v/>
      </c>
      <c r="W41" s="31">
        <v>66</v>
      </c>
      <c r="X41" s="40">
        <f t="shared" si="4"/>
        <v>29.333333333333332</v>
      </c>
      <c r="Y41" s="31">
        <v>65</v>
      </c>
      <c r="Z41" s="40">
        <f t="shared" si="5"/>
        <v>28.888888888888886</v>
      </c>
      <c r="AA41" s="31"/>
      <c r="AB41" s="40" t="str">
        <f t="shared" si="6"/>
        <v/>
      </c>
      <c r="AC41" s="31">
        <v>103</v>
      </c>
      <c r="AD41" s="40">
        <f t="shared" si="7"/>
        <v>45.777777777777779</v>
      </c>
      <c r="AE41" s="31">
        <v>154</v>
      </c>
      <c r="AF41" s="40">
        <f t="shared" si="8"/>
        <v>68.444444444444443</v>
      </c>
      <c r="AG41" s="31"/>
      <c r="AH41" s="40" t="str">
        <f t="shared" si="9"/>
        <v/>
      </c>
      <c r="AI41" s="31">
        <v>66</v>
      </c>
      <c r="AJ41" s="40">
        <f t="shared" si="10"/>
        <v>29.333333333333332</v>
      </c>
      <c r="AK41" s="31">
        <v>20</v>
      </c>
      <c r="AL41" s="40">
        <f t="shared" si="11"/>
        <v>8.8888888888888893</v>
      </c>
      <c r="AM41" s="31">
        <v>85</v>
      </c>
      <c r="AN41" s="40">
        <f t="shared" si="12"/>
        <v>37.777777777777779</v>
      </c>
      <c r="AO41" s="31"/>
      <c r="AP41" s="40" t="str">
        <f t="shared" si="13"/>
        <v/>
      </c>
      <c r="AQ41" s="31"/>
      <c r="AR41" s="40" t="str">
        <f t="shared" si="14"/>
        <v/>
      </c>
      <c r="AS41" s="31"/>
      <c r="AT41" s="40" t="str">
        <f t="shared" si="15"/>
        <v/>
      </c>
      <c r="AU41" s="31"/>
      <c r="AV41" s="40" t="str">
        <f t="shared" si="16"/>
        <v/>
      </c>
      <c r="AW41" s="31">
        <v>117</v>
      </c>
      <c r="AX41" s="40">
        <f t="shared" si="17"/>
        <v>52</v>
      </c>
      <c r="AY41" s="35">
        <v>152</v>
      </c>
      <c r="AZ41" s="40">
        <f t="shared" si="18"/>
        <v>67.555555555555557</v>
      </c>
      <c r="BA41" s="19" t="s">
        <v>222</v>
      </c>
    </row>
    <row r="42" spans="1:53" ht="20" customHeight="1" x14ac:dyDescent="0.2">
      <c r="A42" s="128"/>
      <c r="B42" s="132"/>
      <c r="C42" s="75"/>
      <c r="D42" s="75" t="s">
        <v>252</v>
      </c>
      <c r="E42" s="76" t="s">
        <v>135</v>
      </c>
      <c r="F42" s="76" t="s">
        <v>133</v>
      </c>
      <c r="G42" s="75">
        <v>2009</v>
      </c>
      <c r="H42" s="81">
        <v>6</v>
      </c>
      <c r="I42" s="84"/>
      <c r="J42" s="64">
        <v>58</v>
      </c>
      <c r="K42" s="65">
        <v>78</v>
      </c>
      <c r="L42" s="112">
        <f t="shared" si="19"/>
        <v>74.358974358974365</v>
      </c>
      <c r="M42" s="31">
        <v>20</v>
      </c>
      <c r="N42" s="40">
        <f t="shared" si="20"/>
        <v>25.641025641025639</v>
      </c>
      <c r="O42" s="31"/>
      <c r="P42" s="40" t="str">
        <f t="shared" si="0"/>
        <v/>
      </c>
      <c r="Q42" s="31"/>
      <c r="R42" s="40" t="str">
        <f t="shared" si="1"/>
        <v/>
      </c>
      <c r="S42" s="31">
        <v>10</v>
      </c>
      <c r="T42" s="40">
        <f t="shared" si="21"/>
        <v>12.820512820512819</v>
      </c>
      <c r="U42" s="31"/>
      <c r="V42" s="40" t="str">
        <f t="shared" si="22"/>
        <v/>
      </c>
      <c r="W42" s="31">
        <v>17</v>
      </c>
      <c r="X42" s="40">
        <f t="shared" si="4"/>
        <v>21.794871794871796</v>
      </c>
      <c r="Y42" s="31">
        <v>34</v>
      </c>
      <c r="Z42" s="40">
        <f t="shared" si="5"/>
        <v>43.589743589743591</v>
      </c>
      <c r="AA42" s="31"/>
      <c r="AB42" s="40" t="str">
        <f t="shared" si="6"/>
        <v/>
      </c>
      <c r="AC42" s="31">
        <v>32</v>
      </c>
      <c r="AD42" s="40">
        <f t="shared" si="7"/>
        <v>41.025641025641022</v>
      </c>
      <c r="AE42" s="31">
        <v>33</v>
      </c>
      <c r="AF42" s="40">
        <f t="shared" si="8"/>
        <v>42.307692307692307</v>
      </c>
      <c r="AG42" s="31"/>
      <c r="AH42" s="40" t="str">
        <f t="shared" si="9"/>
        <v/>
      </c>
      <c r="AI42" s="31">
        <v>25</v>
      </c>
      <c r="AJ42" s="40">
        <f t="shared" si="10"/>
        <v>32.051282051282051</v>
      </c>
      <c r="AK42" s="31">
        <v>7</v>
      </c>
      <c r="AL42" s="40">
        <f t="shared" si="11"/>
        <v>8.9743589743589745</v>
      </c>
      <c r="AM42" s="31">
        <v>24</v>
      </c>
      <c r="AN42" s="40">
        <f t="shared" si="12"/>
        <v>30.76923076923077</v>
      </c>
      <c r="AO42" s="31"/>
      <c r="AP42" s="40" t="str">
        <f t="shared" si="13"/>
        <v/>
      </c>
      <c r="AQ42" s="31"/>
      <c r="AR42" s="40" t="str">
        <f t="shared" si="14"/>
        <v/>
      </c>
      <c r="AS42" s="31"/>
      <c r="AT42" s="40" t="str">
        <f t="shared" si="15"/>
        <v/>
      </c>
      <c r="AU42" s="31"/>
      <c r="AV42" s="40" t="str">
        <f t="shared" si="16"/>
        <v/>
      </c>
      <c r="AW42" s="31">
        <v>33</v>
      </c>
      <c r="AX42" s="40">
        <f t="shared" si="17"/>
        <v>42.307692307692307</v>
      </c>
      <c r="AY42" s="35">
        <v>50</v>
      </c>
      <c r="AZ42" s="40">
        <f t="shared" si="18"/>
        <v>64.102564102564102</v>
      </c>
      <c r="BA42" s="19" t="s">
        <v>221</v>
      </c>
    </row>
    <row r="43" spans="1:53" ht="20" customHeight="1" x14ac:dyDescent="0.2">
      <c r="A43" s="128"/>
      <c r="B43" s="133"/>
      <c r="C43" s="75"/>
      <c r="D43" s="75" t="s">
        <v>252</v>
      </c>
      <c r="E43" s="76" t="s">
        <v>137</v>
      </c>
      <c r="F43" s="76" t="s">
        <v>138</v>
      </c>
      <c r="G43" s="75">
        <v>1997</v>
      </c>
      <c r="H43" s="81">
        <v>94</v>
      </c>
      <c r="I43" s="84"/>
      <c r="J43" s="64">
        <v>262</v>
      </c>
      <c r="K43" s="65">
        <v>562</v>
      </c>
      <c r="L43" s="112">
        <f t="shared" si="19"/>
        <v>46.619217081850536</v>
      </c>
      <c r="M43" s="32"/>
      <c r="N43" s="32" t="str">
        <f t="shared" si="20"/>
        <v/>
      </c>
      <c r="O43" s="31"/>
      <c r="P43" s="40" t="str">
        <f t="shared" si="0"/>
        <v/>
      </c>
      <c r="Q43" s="31"/>
      <c r="R43" s="40" t="str">
        <f t="shared" si="1"/>
        <v/>
      </c>
      <c r="S43" s="32"/>
      <c r="T43" s="42" t="str">
        <f t="shared" si="21"/>
        <v/>
      </c>
      <c r="U43" s="31"/>
      <c r="V43" s="40" t="str">
        <f t="shared" si="22"/>
        <v/>
      </c>
      <c r="W43" s="31"/>
      <c r="X43" s="40" t="str">
        <f t="shared" si="4"/>
        <v/>
      </c>
      <c r="Y43" s="31"/>
      <c r="Z43" s="40" t="str">
        <f t="shared" si="5"/>
        <v/>
      </c>
      <c r="AA43" s="31"/>
      <c r="AB43" s="40" t="str">
        <f t="shared" si="6"/>
        <v/>
      </c>
      <c r="AC43" s="31"/>
      <c r="AD43" s="40" t="str">
        <f t="shared" si="7"/>
        <v/>
      </c>
      <c r="AE43" s="32"/>
      <c r="AF43" s="32" t="str">
        <f t="shared" si="8"/>
        <v/>
      </c>
      <c r="AG43" s="31"/>
      <c r="AH43" s="40" t="str">
        <f t="shared" si="9"/>
        <v/>
      </c>
      <c r="AI43" s="31"/>
      <c r="AJ43" s="40" t="str">
        <f t="shared" si="10"/>
        <v/>
      </c>
      <c r="AK43" s="31"/>
      <c r="AL43" s="40" t="str">
        <f t="shared" si="11"/>
        <v/>
      </c>
      <c r="AM43" s="31"/>
      <c r="AN43" s="40" t="str">
        <f t="shared" si="12"/>
        <v/>
      </c>
      <c r="AO43" s="31"/>
      <c r="AP43" s="40" t="str">
        <f t="shared" si="13"/>
        <v/>
      </c>
      <c r="AQ43" s="31"/>
      <c r="AR43" s="40" t="str">
        <f t="shared" si="14"/>
        <v/>
      </c>
      <c r="AS43" s="31"/>
      <c r="AT43" s="40" t="str">
        <f t="shared" si="15"/>
        <v/>
      </c>
      <c r="AU43" s="31"/>
      <c r="AV43" s="40" t="str">
        <f t="shared" si="16"/>
        <v/>
      </c>
      <c r="AW43" s="31"/>
      <c r="AX43" s="40" t="str">
        <f t="shared" si="17"/>
        <v/>
      </c>
      <c r="AY43" s="35"/>
      <c r="AZ43" s="40" t="str">
        <f t="shared" si="18"/>
        <v/>
      </c>
    </row>
    <row r="44" spans="1:53" ht="20" customHeight="1" x14ac:dyDescent="0.2">
      <c r="A44" s="130"/>
      <c r="B44" s="131"/>
      <c r="C44" s="75"/>
      <c r="D44" s="75"/>
      <c r="E44" s="76" t="s">
        <v>277</v>
      </c>
      <c r="F44" s="76" t="s">
        <v>278</v>
      </c>
      <c r="G44" s="75">
        <v>1991</v>
      </c>
      <c r="H44" s="81"/>
      <c r="I44" s="84"/>
      <c r="J44" s="64"/>
      <c r="K44" s="65">
        <v>3</v>
      </c>
      <c r="L44" s="112"/>
      <c r="M44" s="31"/>
      <c r="N44" s="40" t="str">
        <f t="shared" si="20"/>
        <v/>
      </c>
      <c r="O44" s="31"/>
      <c r="P44" s="40" t="str">
        <f t="shared" si="0"/>
        <v/>
      </c>
      <c r="Q44" s="31"/>
      <c r="R44" s="40" t="str">
        <f t="shared" si="1"/>
        <v/>
      </c>
      <c r="S44" s="31"/>
      <c r="T44" s="40" t="str">
        <f t="shared" si="21"/>
        <v/>
      </c>
      <c r="U44" s="31"/>
      <c r="V44" s="40" t="str">
        <f t="shared" si="22"/>
        <v/>
      </c>
      <c r="W44" s="31"/>
      <c r="X44" s="40" t="str">
        <f t="shared" si="4"/>
        <v/>
      </c>
      <c r="Y44" s="31"/>
      <c r="Z44" s="40" t="str">
        <f t="shared" si="5"/>
        <v/>
      </c>
      <c r="AA44" s="31"/>
      <c r="AB44" s="40" t="str">
        <f t="shared" si="6"/>
        <v/>
      </c>
      <c r="AC44" s="31"/>
      <c r="AD44" s="40" t="str">
        <f t="shared" si="7"/>
        <v/>
      </c>
      <c r="AE44" s="31"/>
      <c r="AF44" s="40" t="str">
        <f t="shared" si="8"/>
        <v/>
      </c>
      <c r="AG44" s="31"/>
      <c r="AH44" s="40" t="str">
        <f t="shared" si="9"/>
        <v/>
      </c>
      <c r="AI44" s="31"/>
      <c r="AJ44" s="40" t="str">
        <f t="shared" si="10"/>
        <v/>
      </c>
      <c r="AK44" s="31"/>
      <c r="AL44" s="40" t="str">
        <f t="shared" si="11"/>
        <v/>
      </c>
      <c r="AM44" s="31"/>
      <c r="AN44" s="40" t="str">
        <f t="shared" si="12"/>
        <v/>
      </c>
      <c r="AO44" s="31"/>
      <c r="AP44" s="40" t="str">
        <f t="shared" si="13"/>
        <v/>
      </c>
      <c r="AQ44" s="31"/>
      <c r="AR44" s="40" t="str">
        <f t="shared" si="14"/>
        <v/>
      </c>
      <c r="AS44" s="31"/>
      <c r="AT44" s="40" t="str">
        <f t="shared" si="15"/>
        <v/>
      </c>
      <c r="AU44" s="31"/>
      <c r="AV44" s="40" t="str">
        <f t="shared" si="16"/>
        <v/>
      </c>
      <c r="AW44" s="31"/>
      <c r="AX44" s="40" t="str">
        <f t="shared" si="17"/>
        <v/>
      </c>
      <c r="AY44" s="35"/>
      <c r="AZ44" s="40" t="str">
        <f t="shared" si="18"/>
        <v/>
      </c>
    </row>
    <row r="45" spans="1:53" ht="20" customHeight="1" x14ac:dyDescent="0.2">
      <c r="A45" s="128"/>
      <c r="B45" s="132"/>
      <c r="C45" s="75"/>
      <c r="D45" s="75" t="s">
        <v>279</v>
      </c>
      <c r="E45" s="76" t="s">
        <v>139</v>
      </c>
      <c r="F45" s="76" t="s">
        <v>140</v>
      </c>
      <c r="G45" s="75">
        <v>2009</v>
      </c>
      <c r="H45" s="81">
        <v>38</v>
      </c>
      <c r="I45" s="84"/>
      <c r="J45" s="64">
        <v>39</v>
      </c>
      <c r="K45" s="65">
        <v>100</v>
      </c>
      <c r="L45" s="112">
        <f t="shared" si="19"/>
        <v>39</v>
      </c>
      <c r="M45" s="31">
        <v>2</v>
      </c>
      <c r="N45" s="40">
        <f t="shared" si="20"/>
        <v>2</v>
      </c>
      <c r="O45" s="31"/>
      <c r="P45" s="40" t="str">
        <f t="shared" si="0"/>
        <v/>
      </c>
      <c r="Q45" s="31">
        <v>9</v>
      </c>
      <c r="R45" s="40">
        <f t="shared" si="1"/>
        <v>9</v>
      </c>
      <c r="S45" s="31">
        <v>3</v>
      </c>
      <c r="T45" s="40">
        <f t="shared" si="21"/>
        <v>3</v>
      </c>
      <c r="U45" s="31"/>
      <c r="V45" s="40" t="str">
        <f t="shared" si="22"/>
        <v/>
      </c>
      <c r="W45" s="31"/>
      <c r="X45" s="40" t="str">
        <f t="shared" si="4"/>
        <v/>
      </c>
      <c r="Y45" s="31"/>
      <c r="Z45" s="40" t="str">
        <f t="shared" si="5"/>
        <v/>
      </c>
      <c r="AA45" s="31"/>
      <c r="AB45" s="40" t="str">
        <f t="shared" si="6"/>
        <v/>
      </c>
      <c r="AC45" s="31"/>
      <c r="AD45" s="40" t="str">
        <f t="shared" si="7"/>
        <v/>
      </c>
      <c r="AE45" s="31"/>
      <c r="AF45" s="40" t="str">
        <f t="shared" si="8"/>
        <v/>
      </c>
      <c r="AG45" s="31">
        <v>7</v>
      </c>
      <c r="AH45" s="40">
        <f t="shared" si="9"/>
        <v>7.0000000000000009</v>
      </c>
      <c r="AI45" s="31">
        <v>7</v>
      </c>
      <c r="AJ45" s="40">
        <f t="shared" si="10"/>
        <v>7.0000000000000009</v>
      </c>
      <c r="AK45" s="31">
        <v>13</v>
      </c>
      <c r="AL45" s="40">
        <f t="shared" si="11"/>
        <v>13</v>
      </c>
      <c r="AM45" s="31">
        <v>4</v>
      </c>
      <c r="AN45" s="40">
        <f t="shared" si="12"/>
        <v>4</v>
      </c>
      <c r="AO45" s="31"/>
      <c r="AP45" s="40" t="str">
        <f t="shared" si="13"/>
        <v/>
      </c>
      <c r="AQ45" s="31"/>
      <c r="AR45" s="40" t="str">
        <f t="shared" si="14"/>
        <v/>
      </c>
      <c r="AS45" s="31"/>
      <c r="AT45" s="40" t="str">
        <f t="shared" si="15"/>
        <v/>
      </c>
      <c r="AU45" s="31"/>
      <c r="AV45" s="40" t="str">
        <f t="shared" si="16"/>
        <v/>
      </c>
      <c r="AW45" s="31">
        <v>11</v>
      </c>
      <c r="AX45" s="40">
        <f t="shared" si="17"/>
        <v>11</v>
      </c>
      <c r="AY45" s="35">
        <v>19</v>
      </c>
      <c r="AZ45" s="40">
        <f t="shared" si="18"/>
        <v>19</v>
      </c>
      <c r="BA45" s="19" t="s">
        <v>212</v>
      </c>
    </row>
    <row r="46" spans="1:53" ht="20" customHeight="1" x14ac:dyDescent="0.2">
      <c r="A46" s="128"/>
      <c r="B46" s="132"/>
      <c r="C46" s="75"/>
      <c r="D46" s="75" t="s">
        <v>252</v>
      </c>
      <c r="E46" s="76" t="s">
        <v>141</v>
      </c>
      <c r="F46" s="76" t="s">
        <v>142</v>
      </c>
      <c r="G46" s="75">
        <v>2006</v>
      </c>
      <c r="H46" s="81">
        <v>56</v>
      </c>
      <c r="I46" s="84"/>
      <c r="J46" s="64">
        <v>35</v>
      </c>
      <c r="K46" s="65">
        <v>500</v>
      </c>
      <c r="L46" s="112">
        <f t="shared" si="19"/>
        <v>7.0000000000000009</v>
      </c>
      <c r="M46" s="31">
        <v>6</v>
      </c>
      <c r="N46" s="40">
        <f t="shared" si="20"/>
        <v>1.2</v>
      </c>
      <c r="O46" s="31"/>
      <c r="P46" s="40" t="str">
        <f t="shared" si="0"/>
        <v/>
      </c>
      <c r="Q46" s="31"/>
      <c r="R46" s="40" t="str">
        <f t="shared" si="1"/>
        <v/>
      </c>
      <c r="S46" s="31">
        <v>2</v>
      </c>
      <c r="T46" s="40">
        <f t="shared" si="21"/>
        <v>0.4</v>
      </c>
      <c r="U46" s="31"/>
      <c r="V46" s="40" t="str">
        <f t="shared" si="22"/>
        <v/>
      </c>
      <c r="W46" s="31"/>
      <c r="X46" s="40" t="str">
        <f t="shared" si="4"/>
        <v/>
      </c>
      <c r="Y46" s="31">
        <v>1</v>
      </c>
      <c r="Z46" s="40">
        <f t="shared" si="5"/>
        <v>0.2</v>
      </c>
      <c r="AA46" s="31"/>
      <c r="AB46" s="40" t="str">
        <f t="shared" si="6"/>
        <v/>
      </c>
      <c r="AC46" s="31">
        <v>1</v>
      </c>
      <c r="AD46" s="40">
        <f t="shared" si="7"/>
        <v>0.2</v>
      </c>
      <c r="AE46" s="31"/>
      <c r="AF46" s="40" t="str">
        <f t="shared" si="8"/>
        <v/>
      </c>
      <c r="AG46" s="31">
        <v>2</v>
      </c>
      <c r="AH46" s="40">
        <f t="shared" si="9"/>
        <v>0.4</v>
      </c>
      <c r="AI46" s="31">
        <v>1</v>
      </c>
      <c r="AJ46" s="40">
        <f t="shared" si="10"/>
        <v>0.2</v>
      </c>
      <c r="AK46" s="31"/>
      <c r="AL46" s="40" t="str">
        <f t="shared" si="11"/>
        <v/>
      </c>
      <c r="AM46" s="31"/>
      <c r="AN46" s="40" t="str">
        <f t="shared" si="12"/>
        <v/>
      </c>
      <c r="AO46" s="31"/>
      <c r="AP46" s="40" t="str">
        <f t="shared" si="13"/>
        <v/>
      </c>
      <c r="AQ46" s="31">
        <v>10</v>
      </c>
      <c r="AR46" s="40">
        <f t="shared" si="14"/>
        <v>2</v>
      </c>
      <c r="AS46" s="31">
        <v>2</v>
      </c>
      <c r="AT46" s="40">
        <f t="shared" si="15"/>
        <v>0.4</v>
      </c>
      <c r="AU46" s="31"/>
      <c r="AV46" s="40" t="str">
        <f t="shared" si="16"/>
        <v/>
      </c>
      <c r="AW46" s="31"/>
      <c r="AX46" s="40" t="str">
        <f t="shared" si="17"/>
        <v/>
      </c>
      <c r="AY46" s="35">
        <v>9</v>
      </c>
      <c r="AZ46" s="40">
        <f t="shared" si="18"/>
        <v>1.7999999999999998</v>
      </c>
      <c r="BA46" s="19" t="s">
        <v>280</v>
      </c>
    </row>
    <row r="47" spans="1:53" ht="20" customHeight="1" x14ac:dyDescent="0.2">
      <c r="A47" s="130"/>
      <c r="B47" s="129"/>
      <c r="C47" s="75"/>
      <c r="D47" s="75" t="s">
        <v>255</v>
      </c>
      <c r="E47" s="76" t="s">
        <v>143</v>
      </c>
      <c r="F47" s="76" t="s">
        <v>144</v>
      </c>
      <c r="G47" s="75">
        <v>2016</v>
      </c>
      <c r="H47" s="81">
        <v>2</v>
      </c>
      <c r="I47" s="84"/>
      <c r="J47" s="64">
        <v>3</v>
      </c>
      <c r="K47" s="65">
        <v>177</v>
      </c>
      <c r="L47" s="112">
        <f t="shared" si="19"/>
        <v>1.6949152542372881</v>
      </c>
      <c r="M47" s="31">
        <v>3</v>
      </c>
      <c r="N47" s="40">
        <f t="shared" si="20"/>
        <v>1.6949152542372881</v>
      </c>
      <c r="O47" s="31"/>
      <c r="P47" s="40" t="str">
        <f t="shared" si="0"/>
        <v/>
      </c>
      <c r="Q47" s="31"/>
      <c r="R47" s="40" t="str">
        <f t="shared" si="1"/>
        <v/>
      </c>
      <c r="S47" s="31"/>
      <c r="T47" s="40" t="str">
        <f t="shared" si="21"/>
        <v/>
      </c>
      <c r="U47" s="31"/>
      <c r="V47" s="40" t="str">
        <f t="shared" si="22"/>
        <v/>
      </c>
      <c r="W47" s="31"/>
      <c r="X47" s="40" t="str">
        <f t="shared" si="4"/>
        <v/>
      </c>
      <c r="Y47" s="31"/>
      <c r="Z47" s="40" t="str">
        <f t="shared" si="5"/>
        <v/>
      </c>
      <c r="AA47" s="31"/>
      <c r="AB47" s="40" t="str">
        <f t="shared" si="6"/>
        <v/>
      </c>
      <c r="AC47" s="31"/>
      <c r="AD47" s="40" t="str">
        <f t="shared" si="7"/>
        <v/>
      </c>
      <c r="AE47" s="31"/>
      <c r="AF47" s="40" t="str">
        <f t="shared" si="8"/>
        <v/>
      </c>
      <c r="AG47" s="31"/>
      <c r="AH47" s="40" t="str">
        <f t="shared" si="9"/>
        <v/>
      </c>
      <c r="AI47" s="31"/>
      <c r="AJ47" s="40" t="str">
        <f t="shared" si="10"/>
        <v/>
      </c>
      <c r="AK47" s="31"/>
      <c r="AL47" s="40" t="str">
        <f t="shared" si="11"/>
        <v/>
      </c>
      <c r="AM47" s="31"/>
      <c r="AN47" s="40" t="str">
        <f t="shared" si="12"/>
        <v/>
      </c>
      <c r="AO47" s="31"/>
      <c r="AP47" s="40" t="str">
        <f t="shared" si="13"/>
        <v/>
      </c>
      <c r="AQ47" s="31"/>
      <c r="AR47" s="40" t="str">
        <f t="shared" si="14"/>
        <v/>
      </c>
      <c r="AS47" s="31"/>
      <c r="AT47" s="40" t="str">
        <f t="shared" si="15"/>
        <v/>
      </c>
      <c r="AU47" s="31"/>
      <c r="AV47" s="40" t="str">
        <f t="shared" si="16"/>
        <v/>
      </c>
      <c r="AW47" s="31"/>
      <c r="AX47" s="40" t="str">
        <f t="shared" si="17"/>
        <v/>
      </c>
      <c r="AY47" s="35"/>
      <c r="AZ47" s="40" t="str">
        <f t="shared" si="18"/>
        <v/>
      </c>
    </row>
    <row r="48" spans="1:53" ht="20" customHeight="1" x14ac:dyDescent="0.2">
      <c r="A48" s="128"/>
      <c r="B48" s="133"/>
      <c r="C48" s="75"/>
      <c r="D48" s="75" t="s">
        <v>255</v>
      </c>
      <c r="E48" s="76" t="s">
        <v>145</v>
      </c>
      <c r="F48" s="76" t="s">
        <v>146</v>
      </c>
      <c r="G48" s="75">
        <v>2009</v>
      </c>
      <c r="H48" s="81"/>
      <c r="I48" s="84" t="s">
        <v>191</v>
      </c>
      <c r="J48" s="64">
        <v>21</v>
      </c>
      <c r="K48" s="65">
        <v>293</v>
      </c>
      <c r="L48" s="112">
        <f t="shared" si="19"/>
        <v>7.1672354948805461</v>
      </c>
      <c r="M48" s="31">
        <v>6</v>
      </c>
      <c r="N48" s="40">
        <f t="shared" si="20"/>
        <v>2.0477815699658701</v>
      </c>
      <c r="O48" s="31"/>
      <c r="P48" s="40" t="str">
        <f t="shared" si="0"/>
        <v/>
      </c>
      <c r="Q48" s="31">
        <v>1</v>
      </c>
      <c r="R48" s="40">
        <f t="shared" si="1"/>
        <v>0.34129692832764508</v>
      </c>
      <c r="S48" s="31"/>
      <c r="T48" s="40" t="str">
        <f t="shared" si="21"/>
        <v/>
      </c>
      <c r="U48" s="31"/>
      <c r="V48" s="40" t="str">
        <f t="shared" si="22"/>
        <v/>
      </c>
      <c r="W48" s="31"/>
      <c r="X48" s="40" t="str">
        <f t="shared" si="4"/>
        <v/>
      </c>
      <c r="Y48" s="31">
        <v>5</v>
      </c>
      <c r="Z48" s="40">
        <f t="shared" si="5"/>
        <v>1.7064846416382253</v>
      </c>
      <c r="AA48" s="31">
        <v>2</v>
      </c>
      <c r="AB48" s="40">
        <f t="shared" si="6"/>
        <v>0.68259385665529015</v>
      </c>
      <c r="AC48" s="31">
        <v>2</v>
      </c>
      <c r="AD48" s="40">
        <f t="shared" si="7"/>
        <v>0.68259385665529015</v>
      </c>
      <c r="AE48" s="31"/>
      <c r="AF48" s="40" t="str">
        <f t="shared" si="8"/>
        <v/>
      </c>
      <c r="AG48" s="31"/>
      <c r="AH48" s="40" t="str">
        <f t="shared" si="9"/>
        <v/>
      </c>
      <c r="AI48" s="31"/>
      <c r="AJ48" s="40" t="str">
        <f t="shared" si="10"/>
        <v/>
      </c>
      <c r="AK48" s="31">
        <v>1</v>
      </c>
      <c r="AL48" s="40">
        <f t="shared" si="11"/>
        <v>0.34129692832764508</v>
      </c>
      <c r="AM48" s="31">
        <v>2</v>
      </c>
      <c r="AN48" s="40">
        <f t="shared" si="12"/>
        <v>0.68259385665529015</v>
      </c>
      <c r="AO48" s="31">
        <v>1</v>
      </c>
      <c r="AP48" s="40">
        <f t="shared" si="13"/>
        <v>0.34129692832764508</v>
      </c>
      <c r="AQ48" s="31">
        <v>1</v>
      </c>
      <c r="AR48" s="40">
        <f t="shared" si="14"/>
        <v>0.34129692832764508</v>
      </c>
      <c r="AS48" s="31">
        <v>2</v>
      </c>
      <c r="AT48" s="40">
        <f t="shared" si="15"/>
        <v>0.68259385665529015</v>
      </c>
      <c r="AU48" s="31">
        <v>1</v>
      </c>
      <c r="AV48" s="40">
        <f t="shared" si="16"/>
        <v>0.34129692832764508</v>
      </c>
      <c r="AW48" s="31"/>
      <c r="AX48" s="40" t="str">
        <f t="shared" si="17"/>
        <v/>
      </c>
      <c r="AY48" s="35"/>
      <c r="AZ48" s="40" t="str">
        <f t="shared" si="18"/>
        <v/>
      </c>
    </row>
    <row r="49" spans="1:53" ht="20" customHeight="1" x14ac:dyDescent="0.2">
      <c r="A49" s="128"/>
      <c r="B49" s="129"/>
      <c r="C49" s="75"/>
      <c r="D49" s="75" t="s">
        <v>279</v>
      </c>
      <c r="E49" s="76" t="s">
        <v>147</v>
      </c>
      <c r="F49" s="76" t="s">
        <v>148</v>
      </c>
      <c r="G49" s="75">
        <v>2007</v>
      </c>
      <c r="H49" s="81">
        <v>34</v>
      </c>
      <c r="I49" s="84" t="s">
        <v>112</v>
      </c>
      <c r="J49" s="64">
        <v>7</v>
      </c>
      <c r="K49" s="65">
        <v>109</v>
      </c>
      <c r="L49" s="112">
        <f t="shared" si="19"/>
        <v>6.4220183486238538</v>
      </c>
      <c r="M49" s="31">
        <v>3</v>
      </c>
      <c r="N49" s="40">
        <f t="shared" si="20"/>
        <v>2.7522935779816518</v>
      </c>
      <c r="O49" s="31">
        <v>4</v>
      </c>
      <c r="P49" s="40">
        <f t="shared" si="0"/>
        <v>3.669724770642202</v>
      </c>
      <c r="Q49" s="31"/>
      <c r="R49" s="40" t="str">
        <f t="shared" si="1"/>
        <v/>
      </c>
      <c r="S49" s="31">
        <v>4</v>
      </c>
      <c r="T49" s="40">
        <f t="shared" si="21"/>
        <v>3.669724770642202</v>
      </c>
      <c r="U49" s="31">
        <v>1</v>
      </c>
      <c r="V49" s="40">
        <f t="shared" si="22"/>
        <v>0.91743119266055051</v>
      </c>
      <c r="W49" s="31"/>
      <c r="X49" s="40" t="str">
        <f t="shared" si="4"/>
        <v/>
      </c>
      <c r="Y49" s="31"/>
      <c r="Z49" s="40" t="str">
        <f t="shared" si="5"/>
        <v/>
      </c>
      <c r="AA49" s="31"/>
      <c r="AB49" s="40" t="str">
        <f t="shared" si="6"/>
        <v/>
      </c>
      <c r="AC49" s="31"/>
      <c r="AD49" s="40" t="str">
        <f t="shared" si="7"/>
        <v/>
      </c>
      <c r="AE49" s="31"/>
      <c r="AF49" s="40" t="str">
        <f t="shared" si="8"/>
        <v/>
      </c>
      <c r="AG49" s="31"/>
      <c r="AH49" s="40" t="str">
        <f t="shared" si="9"/>
        <v/>
      </c>
      <c r="AI49" s="31"/>
      <c r="AJ49" s="40" t="str">
        <f t="shared" si="10"/>
        <v/>
      </c>
      <c r="AK49" s="31"/>
      <c r="AL49" s="40" t="str">
        <f t="shared" si="11"/>
        <v/>
      </c>
      <c r="AM49" s="31"/>
      <c r="AN49" s="40" t="str">
        <f t="shared" si="12"/>
        <v/>
      </c>
      <c r="AO49" s="31"/>
      <c r="AP49" s="40" t="str">
        <f t="shared" si="13"/>
        <v/>
      </c>
      <c r="AQ49" s="31"/>
      <c r="AR49" s="40" t="str">
        <f t="shared" si="14"/>
        <v/>
      </c>
      <c r="AS49" s="31"/>
      <c r="AT49" s="40" t="str">
        <f t="shared" si="15"/>
        <v/>
      </c>
      <c r="AU49" s="31"/>
      <c r="AV49" s="40" t="str">
        <f t="shared" si="16"/>
        <v/>
      </c>
      <c r="AW49" s="31"/>
      <c r="AX49" s="40" t="str">
        <f t="shared" si="17"/>
        <v/>
      </c>
      <c r="AY49" s="35">
        <v>8</v>
      </c>
      <c r="AZ49" s="40">
        <f t="shared" si="18"/>
        <v>7.3394495412844041</v>
      </c>
      <c r="BA49" s="19" t="s">
        <v>194</v>
      </c>
    </row>
    <row r="50" spans="1:53" ht="20" customHeight="1" x14ac:dyDescent="0.2">
      <c r="A50" s="128"/>
      <c r="B50" s="129"/>
      <c r="C50" s="75"/>
      <c r="D50" s="75"/>
      <c r="E50" s="76" t="s">
        <v>149</v>
      </c>
      <c r="F50" s="76" t="s">
        <v>150</v>
      </c>
      <c r="G50" s="75">
        <v>2010</v>
      </c>
      <c r="H50" s="81">
        <v>50</v>
      </c>
      <c r="I50" s="84"/>
      <c r="J50" s="64">
        <v>2</v>
      </c>
      <c r="K50" s="65">
        <v>56</v>
      </c>
      <c r="L50" s="112">
        <f t="shared" si="19"/>
        <v>3.5714285714285712</v>
      </c>
      <c r="M50" s="31">
        <v>2</v>
      </c>
      <c r="N50" s="40">
        <f t="shared" si="20"/>
        <v>3.5714285714285712</v>
      </c>
      <c r="O50" s="31"/>
      <c r="P50" s="40" t="str">
        <f t="shared" si="0"/>
        <v/>
      </c>
      <c r="Q50" s="31"/>
      <c r="R50" s="40" t="str">
        <f t="shared" si="1"/>
        <v/>
      </c>
      <c r="S50" s="31"/>
      <c r="T50" s="40" t="str">
        <f t="shared" si="21"/>
        <v/>
      </c>
      <c r="U50" s="31"/>
      <c r="V50" s="40" t="str">
        <f t="shared" si="22"/>
        <v/>
      </c>
      <c r="W50" s="31"/>
      <c r="X50" s="40" t="str">
        <f t="shared" si="4"/>
        <v/>
      </c>
      <c r="Y50" s="31"/>
      <c r="Z50" s="40" t="str">
        <f t="shared" si="5"/>
        <v/>
      </c>
      <c r="AA50" s="31"/>
      <c r="AB50" s="40" t="str">
        <f t="shared" si="6"/>
        <v/>
      </c>
      <c r="AC50" s="31"/>
      <c r="AD50" s="40" t="str">
        <f t="shared" si="7"/>
        <v/>
      </c>
      <c r="AE50" s="31"/>
      <c r="AF50" s="40" t="str">
        <f t="shared" si="8"/>
        <v/>
      </c>
      <c r="AG50" s="31"/>
      <c r="AH50" s="40" t="str">
        <f t="shared" si="9"/>
        <v/>
      </c>
      <c r="AI50" s="31"/>
      <c r="AJ50" s="40" t="str">
        <f t="shared" si="10"/>
        <v/>
      </c>
      <c r="AK50" s="31"/>
      <c r="AL50" s="40" t="str">
        <f t="shared" si="11"/>
        <v/>
      </c>
      <c r="AM50" s="31"/>
      <c r="AN50" s="40" t="str">
        <f t="shared" si="12"/>
        <v/>
      </c>
      <c r="AO50" s="31"/>
      <c r="AP50" s="40" t="str">
        <f t="shared" si="13"/>
        <v/>
      </c>
      <c r="AQ50" s="31"/>
      <c r="AR50" s="40" t="str">
        <f t="shared" si="14"/>
        <v/>
      </c>
      <c r="AS50" s="31"/>
      <c r="AT50" s="40" t="str">
        <f t="shared" si="15"/>
        <v/>
      </c>
      <c r="AU50" s="31"/>
      <c r="AV50" s="40" t="str">
        <f t="shared" si="16"/>
        <v/>
      </c>
      <c r="AW50" s="31"/>
      <c r="AX50" s="40" t="str">
        <f t="shared" si="17"/>
        <v/>
      </c>
      <c r="AY50" s="35"/>
      <c r="AZ50" s="40" t="str">
        <f t="shared" si="18"/>
        <v/>
      </c>
    </row>
    <row r="51" spans="1:53" ht="20" customHeight="1" x14ac:dyDescent="0.2">
      <c r="A51" s="130"/>
      <c r="B51" s="131"/>
      <c r="C51" s="75"/>
      <c r="D51" s="75"/>
      <c r="E51" s="76" t="s">
        <v>151</v>
      </c>
      <c r="F51" s="76" t="s">
        <v>152</v>
      </c>
      <c r="G51" s="75">
        <v>2011</v>
      </c>
      <c r="H51" s="81">
        <v>33</v>
      </c>
      <c r="I51" s="84" t="s">
        <v>195</v>
      </c>
      <c r="J51" s="64">
        <v>39</v>
      </c>
      <c r="K51" s="65">
        <v>130</v>
      </c>
      <c r="L51" s="112">
        <f t="shared" si="19"/>
        <v>30</v>
      </c>
      <c r="M51" s="32"/>
      <c r="N51" s="32" t="str">
        <f t="shared" si="20"/>
        <v/>
      </c>
      <c r="O51" s="32"/>
      <c r="P51" s="32" t="str">
        <f t="shared" si="0"/>
        <v/>
      </c>
      <c r="Q51" s="31"/>
      <c r="R51" s="40" t="str">
        <f t="shared" si="1"/>
        <v/>
      </c>
      <c r="S51" s="31"/>
      <c r="T51" s="40" t="str">
        <f t="shared" si="21"/>
        <v/>
      </c>
      <c r="U51" s="31"/>
      <c r="V51" s="40" t="str">
        <f t="shared" si="22"/>
        <v/>
      </c>
      <c r="W51" s="31"/>
      <c r="X51" s="40" t="str">
        <f t="shared" si="4"/>
        <v/>
      </c>
      <c r="Y51" s="31"/>
      <c r="Z51" s="40" t="str">
        <f t="shared" si="5"/>
        <v/>
      </c>
      <c r="AA51" s="31"/>
      <c r="AB51" s="40" t="str">
        <f t="shared" si="6"/>
        <v/>
      </c>
      <c r="AC51" s="31"/>
      <c r="AD51" s="40" t="str">
        <f t="shared" si="7"/>
        <v/>
      </c>
      <c r="AE51" s="31"/>
      <c r="AF51" s="40" t="str">
        <f t="shared" si="8"/>
        <v/>
      </c>
      <c r="AG51" s="31"/>
      <c r="AH51" s="40" t="str">
        <f t="shared" si="9"/>
        <v/>
      </c>
      <c r="AI51" s="31"/>
      <c r="AJ51" s="40" t="str">
        <f t="shared" si="10"/>
        <v/>
      </c>
      <c r="AK51" s="31"/>
      <c r="AL51" s="40" t="str">
        <f t="shared" si="11"/>
        <v/>
      </c>
      <c r="AM51" s="31"/>
      <c r="AN51" s="40" t="str">
        <f t="shared" si="12"/>
        <v/>
      </c>
      <c r="AO51" s="31"/>
      <c r="AP51" s="40" t="str">
        <f t="shared" si="13"/>
        <v/>
      </c>
      <c r="AQ51" s="31"/>
      <c r="AR51" s="40" t="str">
        <f t="shared" si="14"/>
        <v/>
      </c>
      <c r="AS51" s="31"/>
      <c r="AT51" s="40" t="str">
        <f t="shared" si="15"/>
        <v/>
      </c>
      <c r="AU51" s="31"/>
      <c r="AV51" s="40" t="str">
        <f t="shared" si="16"/>
        <v/>
      </c>
      <c r="AW51" s="31"/>
      <c r="AX51" s="40" t="str">
        <f t="shared" si="17"/>
        <v/>
      </c>
      <c r="AY51" s="35"/>
      <c r="AZ51" s="40" t="str">
        <f t="shared" si="18"/>
        <v/>
      </c>
      <c r="BA51" s="22" t="s">
        <v>196</v>
      </c>
    </row>
    <row r="52" spans="1:53" ht="20" customHeight="1" x14ac:dyDescent="0.2">
      <c r="A52" s="128"/>
      <c r="B52" s="133"/>
      <c r="C52" s="75"/>
      <c r="D52" s="75"/>
      <c r="E52" s="76" t="s">
        <v>153</v>
      </c>
      <c r="F52" s="76" t="s">
        <v>154</v>
      </c>
      <c r="G52" s="75">
        <v>2014</v>
      </c>
      <c r="H52" s="81">
        <v>9</v>
      </c>
      <c r="I52" s="84" t="s">
        <v>155</v>
      </c>
      <c r="J52" s="64">
        <v>58</v>
      </c>
      <c r="K52" s="65">
        <v>1109</v>
      </c>
      <c r="L52" s="112">
        <f t="shared" si="19"/>
        <v>5.2299368800721373</v>
      </c>
      <c r="M52" s="31">
        <v>21</v>
      </c>
      <c r="N52" s="40">
        <f t="shared" si="20"/>
        <v>1.8935978358881875</v>
      </c>
      <c r="O52" s="31">
        <v>38</v>
      </c>
      <c r="P52" s="40">
        <f t="shared" si="0"/>
        <v>3.4265103697024344</v>
      </c>
      <c r="Q52" s="31"/>
      <c r="R52" s="40" t="str">
        <f t="shared" si="1"/>
        <v/>
      </c>
      <c r="S52" s="31"/>
      <c r="T52" s="40" t="str">
        <f t="shared" si="21"/>
        <v/>
      </c>
      <c r="U52" s="31"/>
      <c r="V52" s="40" t="str">
        <f t="shared" si="22"/>
        <v/>
      </c>
      <c r="W52" s="31"/>
      <c r="X52" s="40" t="str">
        <f t="shared" si="4"/>
        <v/>
      </c>
      <c r="Y52" s="31"/>
      <c r="Z52" s="40" t="str">
        <f t="shared" si="5"/>
        <v/>
      </c>
      <c r="AA52" s="31"/>
      <c r="AB52" s="40" t="str">
        <f t="shared" si="6"/>
        <v/>
      </c>
      <c r="AC52" s="31"/>
      <c r="AD52" s="40" t="str">
        <f t="shared" si="7"/>
        <v/>
      </c>
      <c r="AE52" s="31"/>
      <c r="AF52" s="40" t="str">
        <f t="shared" si="8"/>
        <v/>
      </c>
      <c r="AG52" s="31"/>
      <c r="AH52" s="40" t="str">
        <f t="shared" si="9"/>
        <v/>
      </c>
      <c r="AI52" s="31"/>
      <c r="AJ52" s="40" t="str">
        <f t="shared" si="10"/>
        <v/>
      </c>
      <c r="AK52" s="31"/>
      <c r="AL52" s="40" t="str">
        <f t="shared" si="11"/>
        <v/>
      </c>
      <c r="AM52" s="31"/>
      <c r="AN52" s="40" t="str">
        <f t="shared" si="12"/>
        <v/>
      </c>
      <c r="AO52" s="31"/>
      <c r="AP52" s="40" t="str">
        <f t="shared" si="13"/>
        <v/>
      </c>
      <c r="AQ52" s="31"/>
      <c r="AR52" s="40" t="str">
        <f t="shared" si="14"/>
        <v/>
      </c>
      <c r="AS52" s="31"/>
      <c r="AT52" s="40" t="str">
        <f t="shared" si="15"/>
        <v/>
      </c>
      <c r="AU52" s="31"/>
      <c r="AV52" s="40" t="str">
        <f t="shared" si="16"/>
        <v/>
      </c>
      <c r="AW52" s="31"/>
      <c r="AX52" s="40" t="str">
        <f t="shared" si="17"/>
        <v/>
      </c>
      <c r="AY52" s="35"/>
      <c r="AZ52" s="40" t="str">
        <f t="shared" si="18"/>
        <v/>
      </c>
      <c r="BA52" s="19" t="s">
        <v>156</v>
      </c>
    </row>
    <row r="53" spans="1:53" ht="20" customHeight="1" x14ac:dyDescent="0.2">
      <c r="A53" s="130"/>
      <c r="B53" s="131"/>
      <c r="C53" s="75"/>
      <c r="D53" s="75"/>
      <c r="E53" s="76" t="s">
        <v>157</v>
      </c>
      <c r="F53" s="76" t="s">
        <v>158</v>
      </c>
      <c r="G53" s="75">
        <v>2014</v>
      </c>
      <c r="H53" s="81">
        <v>4</v>
      </c>
      <c r="I53" s="84"/>
      <c r="J53" s="64">
        <v>98</v>
      </c>
      <c r="K53" s="65">
        <v>1109</v>
      </c>
      <c r="L53" s="112">
        <f t="shared" si="19"/>
        <v>8.8367899008115423</v>
      </c>
      <c r="M53" s="31">
        <v>99</v>
      </c>
      <c r="N53" s="40">
        <f t="shared" si="20"/>
        <v>8.9269612263300271</v>
      </c>
      <c r="O53" s="31"/>
      <c r="P53" s="40" t="str">
        <f t="shared" si="0"/>
        <v/>
      </c>
      <c r="Q53" s="31"/>
      <c r="R53" s="40" t="str">
        <f t="shared" si="1"/>
        <v/>
      </c>
      <c r="S53" s="31"/>
      <c r="T53" s="40" t="str">
        <f t="shared" si="21"/>
        <v/>
      </c>
      <c r="U53" s="31"/>
      <c r="V53" s="40" t="str">
        <f t="shared" si="22"/>
        <v/>
      </c>
      <c r="W53" s="31"/>
      <c r="X53" s="40" t="str">
        <f t="shared" si="4"/>
        <v/>
      </c>
      <c r="Y53" s="31"/>
      <c r="Z53" s="40" t="str">
        <f t="shared" si="5"/>
        <v/>
      </c>
      <c r="AA53" s="31"/>
      <c r="AB53" s="40" t="str">
        <f t="shared" si="6"/>
        <v/>
      </c>
      <c r="AC53" s="31"/>
      <c r="AD53" s="40" t="str">
        <f t="shared" si="7"/>
        <v/>
      </c>
      <c r="AE53" s="31"/>
      <c r="AF53" s="40" t="str">
        <f t="shared" si="8"/>
        <v/>
      </c>
      <c r="AG53" s="31"/>
      <c r="AH53" s="40" t="str">
        <f t="shared" si="9"/>
        <v/>
      </c>
      <c r="AI53" s="31"/>
      <c r="AJ53" s="40" t="str">
        <f t="shared" si="10"/>
        <v/>
      </c>
      <c r="AK53" s="31"/>
      <c r="AL53" s="40" t="str">
        <f t="shared" si="11"/>
        <v/>
      </c>
      <c r="AM53" s="31"/>
      <c r="AN53" s="40" t="str">
        <f t="shared" si="12"/>
        <v/>
      </c>
      <c r="AO53" s="31"/>
      <c r="AP53" s="40" t="str">
        <f t="shared" si="13"/>
        <v/>
      </c>
      <c r="AQ53" s="31"/>
      <c r="AR53" s="40" t="str">
        <f t="shared" si="14"/>
        <v/>
      </c>
      <c r="AS53" s="31"/>
      <c r="AT53" s="40" t="str">
        <f t="shared" si="15"/>
        <v/>
      </c>
      <c r="AU53" s="31"/>
      <c r="AV53" s="40" t="str">
        <f t="shared" si="16"/>
        <v/>
      </c>
      <c r="AW53" s="31"/>
      <c r="AX53" s="40" t="str">
        <f t="shared" si="17"/>
        <v/>
      </c>
      <c r="AY53" s="35"/>
      <c r="AZ53" s="40" t="str">
        <f t="shared" si="18"/>
        <v/>
      </c>
      <c r="BA53" s="19" t="s">
        <v>159</v>
      </c>
    </row>
    <row r="54" spans="1:53" ht="20" customHeight="1" x14ac:dyDescent="0.2">
      <c r="A54" s="130"/>
      <c r="B54" s="129"/>
      <c r="C54" s="75"/>
      <c r="D54" s="75" t="s">
        <v>255</v>
      </c>
      <c r="E54" s="76" t="s">
        <v>160</v>
      </c>
      <c r="F54" s="76" t="s">
        <v>161</v>
      </c>
      <c r="G54" s="75">
        <v>2005</v>
      </c>
      <c r="H54" s="81">
        <v>36</v>
      </c>
      <c r="I54" s="84"/>
      <c r="J54" s="64">
        <v>11</v>
      </c>
      <c r="K54" s="65">
        <v>11</v>
      </c>
      <c r="L54" s="112">
        <f t="shared" si="19"/>
        <v>100</v>
      </c>
      <c r="M54" s="31">
        <v>11</v>
      </c>
      <c r="N54" s="40">
        <f t="shared" si="20"/>
        <v>100</v>
      </c>
      <c r="O54" s="31">
        <v>4</v>
      </c>
      <c r="P54" s="40">
        <f t="shared" si="0"/>
        <v>36.363636363636367</v>
      </c>
      <c r="Q54" s="31"/>
      <c r="R54" s="40" t="str">
        <f t="shared" si="1"/>
        <v/>
      </c>
      <c r="S54" s="31"/>
      <c r="T54" s="40" t="str">
        <f t="shared" si="21"/>
        <v/>
      </c>
      <c r="U54" s="31"/>
      <c r="V54" s="40" t="str">
        <f t="shared" si="22"/>
        <v/>
      </c>
      <c r="W54" s="31"/>
      <c r="X54" s="40" t="str">
        <f t="shared" si="4"/>
        <v/>
      </c>
      <c r="Y54" s="31"/>
      <c r="Z54" s="40" t="str">
        <f t="shared" si="5"/>
        <v/>
      </c>
      <c r="AA54" s="31"/>
      <c r="AB54" s="40" t="str">
        <f t="shared" si="6"/>
        <v/>
      </c>
      <c r="AC54" s="31"/>
      <c r="AD54" s="40" t="str">
        <f t="shared" si="7"/>
        <v/>
      </c>
      <c r="AE54" s="31"/>
      <c r="AF54" s="40" t="str">
        <f t="shared" si="8"/>
        <v/>
      </c>
      <c r="AG54" s="31"/>
      <c r="AH54" s="40" t="str">
        <f t="shared" si="9"/>
        <v/>
      </c>
      <c r="AI54" s="31"/>
      <c r="AJ54" s="40" t="str">
        <f t="shared" si="10"/>
        <v/>
      </c>
      <c r="AK54" s="31"/>
      <c r="AL54" s="40" t="str">
        <f t="shared" si="11"/>
        <v/>
      </c>
      <c r="AM54" s="31"/>
      <c r="AN54" s="40" t="str">
        <f t="shared" si="12"/>
        <v/>
      </c>
      <c r="AO54" s="31"/>
      <c r="AP54" s="40" t="str">
        <f t="shared" si="13"/>
        <v/>
      </c>
      <c r="AQ54" s="31"/>
      <c r="AR54" s="40" t="str">
        <f t="shared" si="14"/>
        <v/>
      </c>
      <c r="AS54" s="31"/>
      <c r="AT54" s="40" t="str">
        <f t="shared" si="15"/>
        <v/>
      </c>
      <c r="AU54" s="31"/>
      <c r="AV54" s="40" t="str">
        <f t="shared" si="16"/>
        <v/>
      </c>
      <c r="AW54" s="31"/>
      <c r="AX54" s="40" t="str">
        <f t="shared" si="17"/>
        <v/>
      </c>
      <c r="AY54" s="35"/>
      <c r="AZ54" s="40" t="str">
        <f t="shared" si="18"/>
        <v/>
      </c>
      <c r="BA54" s="22" t="s">
        <v>73</v>
      </c>
    </row>
    <row r="55" spans="1:53" ht="20" customHeight="1" thickBot="1" x14ac:dyDescent="0.25">
      <c r="A55" s="134"/>
      <c r="B55" s="135"/>
      <c r="C55" s="79"/>
      <c r="D55" s="79"/>
      <c r="E55" s="80" t="s">
        <v>162</v>
      </c>
      <c r="F55" s="80" t="s">
        <v>163</v>
      </c>
      <c r="G55" s="79">
        <v>2014</v>
      </c>
      <c r="H55" s="83"/>
      <c r="I55" s="86"/>
      <c r="J55" s="68"/>
      <c r="K55" s="69">
        <v>3</v>
      </c>
      <c r="L55" s="113" t="str">
        <f t="shared" si="19"/>
        <v/>
      </c>
      <c r="M55" s="33"/>
      <c r="N55" s="34" t="str">
        <f t="shared" si="20"/>
        <v/>
      </c>
      <c r="O55" s="33"/>
      <c r="P55" s="34" t="str">
        <f t="shared" si="0"/>
        <v/>
      </c>
      <c r="Q55" s="33"/>
      <c r="R55" s="41" t="str">
        <f t="shared" si="1"/>
        <v/>
      </c>
      <c r="S55" s="33"/>
      <c r="T55" s="41" t="str">
        <f t="shared" si="21"/>
        <v/>
      </c>
      <c r="U55" s="33"/>
      <c r="V55" s="41" t="str">
        <f t="shared" si="22"/>
        <v/>
      </c>
      <c r="W55" s="33"/>
      <c r="X55" s="41" t="str">
        <f t="shared" si="4"/>
        <v/>
      </c>
      <c r="Y55" s="33"/>
      <c r="Z55" s="41" t="str">
        <f t="shared" si="5"/>
        <v/>
      </c>
      <c r="AA55" s="33"/>
      <c r="AB55" s="41" t="str">
        <f t="shared" si="6"/>
        <v/>
      </c>
      <c r="AC55" s="33"/>
      <c r="AD55" s="41" t="str">
        <f t="shared" si="7"/>
        <v/>
      </c>
      <c r="AE55" s="33"/>
      <c r="AF55" s="41" t="str">
        <f t="shared" si="8"/>
        <v/>
      </c>
      <c r="AG55" s="33"/>
      <c r="AH55" s="41" t="str">
        <f t="shared" si="9"/>
        <v/>
      </c>
      <c r="AI55" s="33"/>
      <c r="AJ55" s="41" t="str">
        <f t="shared" si="10"/>
        <v/>
      </c>
      <c r="AK55" s="33"/>
      <c r="AL55" s="41" t="str">
        <f t="shared" si="11"/>
        <v/>
      </c>
      <c r="AM55" s="33"/>
      <c r="AN55" s="41" t="str">
        <f t="shared" si="12"/>
        <v/>
      </c>
      <c r="AO55" s="33"/>
      <c r="AP55" s="41" t="str">
        <f t="shared" si="13"/>
        <v/>
      </c>
      <c r="AQ55" s="33"/>
      <c r="AR55" s="41" t="str">
        <f t="shared" si="14"/>
        <v/>
      </c>
      <c r="AS55" s="33"/>
      <c r="AT55" s="41" t="str">
        <f t="shared" si="15"/>
        <v/>
      </c>
      <c r="AU55" s="33"/>
      <c r="AV55" s="41" t="str">
        <f t="shared" si="16"/>
        <v/>
      </c>
      <c r="AW55" s="33"/>
      <c r="AX55" s="41" t="str">
        <f t="shared" si="17"/>
        <v/>
      </c>
      <c r="AY55" s="36"/>
      <c r="AZ55" s="41" t="str">
        <f t="shared" si="18"/>
        <v/>
      </c>
      <c r="BA55" s="22" t="s">
        <v>73</v>
      </c>
    </row>
    <row r="56" spans="1:53" x14ac:dyDescent="0.2">
      <c r="E56" s="147" t="s">
        <v>203</v>
      </c>
      <c r="F56" s="147"/>
      <c r="G56" s="147"/>
      <c r="H56" s="147"/>
      <c r="I56" s="147"/>
      <c r="J56" s="148"/>
      <c r="K56" s="63">
        <f>SUM(K12:K55) - (K25 + K27)</f>
        <v>8522</v>
      </c>
      <c r="L56" s="114" t="s">
        <v>198</v>
      </c>
      <c r="M56" s="47">
        <f>IF((SUM(M12:M55)&lt;&gt;0),SUMIF($K12:$K55, "&gt;0", M12:M55), "")</f>
        <v>385</v>
      </c>
      <c r="N56" s="59">
        <f>IF(ISERROR((M56/$K56)*100), "", IF(((M56/$K56)*100) &lt;&gt; 0, (M56/$K56)*100, ""))</f>
        <v>4.5177188453414692</v>
      </c>
      <c r="O56" s="46">
        <f>IF((SUM(O12:O55)&lt;&gt;0),SUMIF($K12:$K55, "&gt;0", O12:O55), "")</f>
        <v>81</v>
      </c>
      <c r="P56" s="59">
        <f>IF(ISERROR((O56/$K56)*100), "", IF(((O56/$K56)*100) &lt;&gt; 0, (O56/$K56)*100, ""))</f>
        <v>0.95048110772119232</v>
      </c>
      <c r="Q56" s="47">
        <f>IF((SUM(Q12:Q55)&lt;&gt;0),SUMIF($K12:$K55, "&gt;0", Q12:Q55), "")</f>
        <v>24</v>
      </c>
      <c r="R56" s="59">
        <f>IF(ISERROR((Q56/$K56)*100), "", IF(((Q56/$K56)*100) &lt;&gt; 0, (Q56/$K56)*100, ""))</f>
        <v>0.28162403191739027</v>
      </c>
      <c r="S56" s="47">
        <f>IF((SUM(S12:S55)&lt;&gt;0),SUMIF($K12:$K55, "&gt;0", S12:S55), "")</f>
        <v>80</v>
      </c>
      <c r="T56" s="59">
        <f>IF(ISERROR((S56/$K56)*100), "", IF(((S56/$K56)*100) &lt;&gt; 0, (S56/$K56)*100, ""))</f>
        <v>0.93874677305796772</v>
      </c>
      <c r="U56" s="46">
        <f>IF((SUM(U12:U55)&lt;&gt;0),SUMIF($K12:$K55, "&gt;0", U12:U55), "")</f>
        <v>2</v>
      </c>
      <c r="V56" s="59">
        <f>IF(ISERROR((U56/$K56)*100), "", IF(((U56/$K56)*100) &lt;&gt; 0, (U56/$K56)*100, ""))</f>
        <v>2.3468669326449192E-2</v>
      </c>
      <c r="W56" s="46">
        <f>IF((SUM(W12:W55)&lt;&gt;0),SUMIF($K12:$K55, "&gt;0", W12:W55), "")</f>
        <v>85</v>
      </c>
      <c r="X56" s="59">
        <f>IF(ISERROR((W56/$K56)*100), "", IF(((W56/$K56)*100) &lt;&gt; 0, (W56/$K56)*100, ""))</f>
        <v>0.99741844637409061</v>
      </c>
      <c r="Y56" s="47">
        <f>IF((SUM(Y12:Y55)&lt;&gt;0),SUMIF($K12:$K55, "&gt;0", Y12:Y55), "")</f>
        <v>141</v>
      </c>
      <c r="Z56" s="59">
        <f>IF(ISERROR((Y56/$K56)*100), "", IF(((Y56/$K56)*100) &lt;&gt; 0, (Y56/$K56)*100, ""))</f>
        <v>1.6545411875146681</v>
      </c>
      <c r="AA56" s="47">
        <f>IF((SUM(AA12:AA55)&lt;&gt;0),SUMIF($K12:$K55, "&gt;0", AA12:AA55), "")</f>
        <v>39</v>
      </c>
      <c r="AB56" s="59">
        <f>IF(ISERROR((AA56/$K56)*100), "", IF(((AA56/$K56)*100) &lt;&gt; 0, (AA56/$K56)*100, ""))</f>
        <v>0.45763905186575921</v>
      </c>
      <c r="AC56" s="47">
        <f>IF((SUM(AC12:AC55)&lt;&gt;0),SUMIF($K12:$K55, "&gt;0", AC12:AC55), "")</f>
        <v>159</v>
      </c>
      <c r="AD56" s="59">
        <f>IF(ISERROR((AC56/$K56)*100), "", IF(((AC56/$K56)*100) &lt;&gt; 0, (AC56/$K56)*100, ""))</f>
        <v>1.8657592114527106</v>
      </c>
      <c r="AE56" s="47">
        <f>IF((SUM(AE12:AE55)&lt;&gt;0),SUMIF($K12:$K55, "&gt;0", AE12:AE55), "")</f>
        <v>192</v>
      </c>
      <c r="AF56" s="59">
        <f>IF(ISERROR((AE56/$K56)*100), "", IF(((AE56/$K56)*100) &lt;&gt; 0, (AE56/$K56)*100, ""))</f>
        <v>2.2529922553391222</v>
      </c>
      <c r="AG56" s="47">
        <f>IF((SUM(AG12:AG55)&lt;&gt;0),SUMIF($K12:$K55, "&gt;0", AG12:AG55), "")</f>
        <v>14</v>
      </c>
      <c r="AH56" s="59">
        <f>IF(ISERROR((AG56/$K56)*100), "", IF(((AG56/$K56)*100) &lt;&gt; 0, (AG56/$K56)*100, ""))</f>
        <v>0.16428068528514433</v>
      </c>
      <c r="AI56" s="47">
        <f>IF((SUM(AI12:AI55)&lt;&gt;0),SUMIF($K12:$K55, "&gt;0", AI12:AI55), "")</f>
        <v>99</v>
      </c>
      <c r="AJ56" s="59">
        <f>IF(ISERROR((AI56/$K56)*100), "", IF(((AI56/$K56)*100) &lt;&gt; 0, (AI56/$K56)*100, ""))</f>
        <v>1.1616991316592349</v>
      </c>
      <c r="AK56" s="46">
        <f>IF((SUM(AK12:AK55)&lt;&gt;0),SUMIF($K12:$K55, "&gt;0", AK12:AK55), "")</f>
        <v>42</v>
      </c>
      <c r="AL56" s="59">
        <f>IF(ISERROR((AK56/$K56)*100), "", IF(((AK56/$K56)*100) &lt;&gt; 0, (AK56/$K56)*100, ""))</f>
        <v>0.49284205585543295</v>
      </c>
      <c r="AM56" s="46">
        <f>IF((SUM(AM12:AM55)&lt;&gt;0),SUMIF($K12:$K55, "&gt;0", AM12:AM55), "")</f>
        <v>118</v>
      </c>
      <c r="AN56" s="59">
        <f>IF(ISERROR((AM56/$K56)*100), "", IF(((AM56/$K56)*100) &lt;&gt; 0, (AM56/$K56)*100, ""))</f>
        <v>1.3846514902605023</v>
      </c>
      <c r="AO56" s="46">
        <f>IF((SUM(AO12:AO55)&lt;&gt;0),SUMIF($K12:$K55, "&gt;0", AO12:AO55), "")</f>
        <v>1</v>
      </c>
      <c r="AP56" s="59">
        <f>IF(ISERROR((AO56/$K56)*100), "", IF(((AO56/$K56)*100) &lt;&gt; 0, (AO56/$K56)*100, ""))</f>
        <v>1.1734334663224596E-2</v>
      </c>
      <c r="AQ56" s="46">
        <f>IF((SUM(AQ12:AQ55)&lt;&gt;0),SUMIF($K12:$K55, "&gt;0", AQ12:AQ55), "")</f>
        <v>12</v>
      </c>
      <c r="AR56" s="59">
        <f>IF(ISERROR((AQ56/$K56)*100), "", IF(((AQ56/$K56)*100) &lt;&gt; 0, (AQ56/$K56)*100, ""))</f>
        <v>0.14081201595869514</v>
      </c>
      <c r="AS56" s="47">
        <f>IF((SUM(AS12:AS55)&lt;&gt;0),SUMIF($K12:$K55, "&gt;0", AS12:AS55), "")</f>
        <v>7</v>
      </c>
      <c r="AT56" s="59">
        <f>IF(ISERROR((AS56/$K56)*100), "", IF(((AS56/$K56)*100) &lt;&gt; 0, (AS56/$K56)*100, ""))</f>
        <v>8.2140342642572167E-2</v>
      </c>
      <c r="AU56" s="46">
        <f>IF((SUM(AU12:AU55)&lt;&gt;0),SUMIF($K12:$K55, "&gt;0", AU12:AU55), "")</f>
        <v>1</v>
      </c>
      <c r="AV56" s="59">
        <f>IF(ISERROR((AU56/$K56)*100), "", IF(((AU56/$K56)*100) &lt;&gt; 0, (AU56/$K56)*100, ""))</f>
        <v>1.1734334663224596E-2</v>
      </c>
      <c r="AW56" s="47">
        <f>IF((SUM(AW12:AW55)&lt;&gt;0),SUMIF($K12:$K55, "&gt;0", AW12:AW55), "")</f>
        <v>165</v>
      </c>
      <c r="AX56" s="59">
        <f>IF(ISERROR((AW56/$K56)*100), "", IF(((AW56/$K56)*100) &lt;&gt; 0, (AW56/$K56)*100, ""))</f>
        <v>1.936165219432058</v>
      </c>
      <c r="AY56" s="50">
        <f>IF((SUM(AY12:AY55)&lt;&gt;0),SUMIF($K12:$K55, "&gt;0", AY12:AY55), "")</f>
        <v>335</v>
      </c>
      <c r="AZ56" s="59">
        <f>IF(ISERROR((AY56/$K56)*100), "", IF(((AY56/$K56)*100) &lt;&gt; 0, (AY56/$K56)*100, ""))</f>
        <v>3.9310021121802396</v>
      </c>
    </row>
    <row r="57" spans="1:53" ht="16" customHeight="1" x14ac:dyDescent="0.2">
      <c r="E57" s="149" t="s">
        <v>204</v>
      </c>
      <c r="F57" s="149"/>
      <c r="G57" s="149"/>
      <c r="H57" s="149"/>
      <c r="I57" s="149"/>
      <c r="J57" s="148"/>
      <c r="K57" s="88" t="s">
        <v>199</v>
      </c>
      <c r="L57" s="115" t="s">
        <v>198</v>
      </c>
      <c r="M57" s="48">
        <f>IF(SUMIF(M12:M55, "&gt;0", $K12:$K55) &gt; 0, SUMIF(M12:M55, "&gt;0", $K12:$K55), "")</f>
        <v>6691</v>
      </c>
      <c r="N57" s="49">
        <f>M56/M57*100</f>
        <v>5.7539979076371246</v>
      </c>
      <c r="O57" s="44">
        <f>IF(SUMIF(O12:O55, "&gt;0", $K12:$K55) &gt; 0, SUMIF(O12:O55, "&gt;0", $K12:$K55), "")</f>
        <v>2415</v>
      </c>
      <c r="P57" s="45">
        <f>O56/O57*100</f>
        <v>3.354037267080745</v>
      </c>
      <c r="Q57" s="48">
        <f>IF(SUMIF(Q12:Q55, "&gt;0", $K12:$K55) &gt; 0, SUMIF(Q12:Q55, "&gt;0", $K12:$K55), "")</f>
        <v>415</v>
      </c>
      <c r="R57" s="49">
        <f>Q56/Q57*100</f>
        <v>5.7831325301204819</v>
      </c>
      <c r="S57" s="48">
        <f>IF(SUMIF(S12:S55, "&gt;0", $K12:$K55) &gt; 0, SUMIF(S12:S55, "&gt;0", $K12:$K55), "")</f>
        <v>1503</v>
      </c>
      <c r="T57" s="49">
        <f>S56/S57*100</f>
        <v>5.3226879574184958</v>
      </c>
      <c r="U57" s="44">
        <f>IF(SUMIF(U12:U55, "&gt;0", $K12:$K55) &gt; 0, SUMIF(U12:U55, "&gt;0", $K12:$K55), "")</f>
        <v>110</v>
      </c>
      <c r="V57" s="45">
        <f>U56/U57*100</f>
        <v>1.8181818181818181</v>
      </c>
      <c r="W57" s="44">
        <f>IF(SUMIF(W12:W55, "&gt;0", $K12:$K55) &gt; 0, SUMIF(W12:W55, "&gt;0", $K12:$K55), "")</f>
        <v>452</v>
      </c>
      <c r="X57" s="45">
        <f>W56/W57*100</f>
        <v>18.805309734513273</v>
      </c>
      <c r="Y57" s="48">
        <f>IF(SUMIF(Y12:Y55, "&gt;0", $K12:$K55) &gt; 0, SUMIF(Y12:Y55, "&gt;0", $K12:$K55), "")</f>
        <v>1885</v>
      </c>
      <c r="Z57" s="49">
        <f>Y56/Y57*100</f>
        <v>7.480106100795755</v>
      </c>
      <c r="AA57" s="48">
        <f>IF(SUMIF(AA12:AA55, "&gt;0", $K12:$K55) &gt; 0, SUMIF(AA12:AA55, "&gt;0", $K12:$K55), "")</f>
        <v>596</v>
      </c>
      <c r="AB57" s="49">
        <f>AA56/AA57*100</f>
        <v>6.5436241610738257</v>
      </c>
      <c r="AC57" s="48">
        <f>IF(SUMIF(AC12:AC55, "&gt;0", $K12:$K55) &gt; 0, SUMIF(AC12:AC55, "&gt;0", $K12:$K55), "")</f>
        <v>1876</v>
      </c>
      <c r="AD57" s="49">
        <f>AC56/AC57*100</f>
        <v>8.4754797441364609</v>
      </c>
      <c r="AE57" s="48">
        <f>IF(SUMIF(AE12:AE55, "&gt;0", $K12:$K55) &gt; 0, SUMIF(AE12:AE55, "&gt;0", $K12:$K55), "")</f>
        <v>451</v>
      </c>
      <c r="AF57" s="49">
        <f>AE56/AE57*100</f>
        <v>42.572062084257205</v>
      </c>
      <c r="AG57" s="48">
        <f>IF(SUMIF(AG12:AG55, "&gt;0", $K12:$K55) &gt; 0, SUMIF(AG12:AG55, "&gt;0", $K12:$K55), "")</f>
        <v>1099</v>
      </c>
      <c r="AH57" s="49">
        <f>AG56/AG57*100</f>
        <v>1.2738853503184715</v>
      </c>
      <c r="AI57" s="48">
        <f>IF(SUMIF(AI12:AI55, "&gt;0", $K12:$K55) &gt; 0, SUMIF(AI12:AI55, "&gt;0", $K12:$K55), "")</f>
        <v>903</v>
      </c>
      <c r="AJ57" s="49">
        <f>AI56/AI57*100</f>
        <v>10.963455149501661</v>
      </c>
      <c r="AK57" s="44">
        <f>IF(SUMIF(AK12:AK55, "&gt;0", $K12:$K55) &gt; 0, SUMIF(AK12:AK55, "&gt;0", $K12:$K55), "")</f>
        <v>844</v>
      </c>
      <c r="AL57" s="45">
        <f>AK56/AK57*100</f>
        <v>4.9763033175355451</v>
      </c>
      <c r="AM57" s="44">
        <f>IF(SUMIF(AM12:AM55, "&gt;0", $K12:$K55) &gt; 0, SUMIF(AM12:AM55, "&gt;0", $K12:$K55), "")</f>
        <v>853</v>
      </c>
      <c r="AN57" s="45">
        <f>AM56/AM57*100</f>
        <v>13.833528722157093</v>
      </c>
      <c r="AO57" s="44">
        <f>IF(SUMIF(AO12:AO55, "&gt;0", $K12:$K55) &gt; 0, SUMIF(AO12:AO55, "&gt;0", $K12:$K55), "")</f>
        <v>293</v>
      </c>
      <c r="AP57" s="45">
        <f>AO56/AO57*100</f>
        <v>0.34129692832764508</v>
      </c>
      <c r="AQ57" s="44">
        <f>IF(SUMIF(AQ12:AQ55, "&gt;0", $K12:$K55) &gt; 0, SUMIF(AQ12:AQ55, "&gt;0", $K12:$K55), "")</f>
        <v>1283</v>
      </c>
      <c r="AR57" s="45">
        <f>AQ56/AQ57*100</f>
        <v>0.93530787217459088</v>
      </c>
      <c r="AS57" s="48">
        <f>IF(SUMIF(AS12:AS55, "&gt;0", $K12:$K55) &gt; 0, SUMIF(AS12:AS55, "&gt;0", $K12:$K55), "")</f>
        <v>1292</v>
      </c>
      <c r="AT57" s="49">
        <f>AS56/AS57*100</f>
        <v>0.54179566563467496</v>
      </c>
      <c r="AU57" s="44">
        <f>IF(SUMIF(AU12:AU55, "&gt;0", $K12:$K55) &gt; 0, SUMIF(AU12:AU55, "&gt;0", $K12:$K55), "")</f>
        <v>293</v>
      </c>
      <c r="AV57" s="45">
        <f>AU56/AU57*100</f>
        <v>0.34129692832764508</v>
      </c>
      <c r="AW57" s="48">
        <f>IF(SUMIF(AW12:AW55, "&gt;0", $K12:$K55) &gt; 0, SUMIF(AW12:AW55, "&gt;0", $K12:$K55), "")</f>
        <v>551</v>
      </c>
      <c r="AX57" s="49">
        <f>AW56/AW57*100</f>
        <v>29.945553539019965</v>
      </c>
      <c r="AY57" s="51">
        <f>IF(SUMIF(AY12:AY55, "&gt;0", $K12:$K55) &gt; 0, SUMIF(AY12:AY55, "&gt;0", $K12:$K55), "")</f>
        <v>1731</v>
      </c>
      <c r="AZ57" s="49">
        <f>AY56/AY57*100</f>
        <v>19.352975158867704</v>
      </c>
    </row>
    <row r="58" spans="1:53" ht="16" customHeight="1" thickBot="1" x14ac:dyDescent="0.25">
      <c r="F58" s="52"/>
      <c r="G58" s="52"/>
      <c r="H58" s="52"/>
      <c r="I58" s="52"/>
      <c r="J58" s="53"/>
      <c r="K58" s="227" t="s">
        <v>202</v>
      </c>
      <c r="L58" s="230"/>
      <c r="M58" s="212" t="s">
        <v>199</v>
      </c>
      <c r="N58" s="215" t="s">
        <v>198</v>
      </c>
      <c r="O58" s="212" t="s">
        <v>199</v>
      </c>
      <c r="P58" s="218" t="s">
        <v>198</v>
      </c>
      <c r="Q58" s="212" t="s">
        <v>199</v>
      </c>
      <c r="R58" s="218" t="s">
        <v>198</v>
      </c>
      <c r="S58" s="212" t="s">
        <v>199</v>
      </c>
      <c r="T58" s="218" t="s">
        <v>198</v>
      </c>
      <c r="U58" s="212" t="s">
        <v>199</v>
      </c>
      <c r="V58" s="218" t="s">
        <v>198</v>
      </c>
      <c r="W58" s="212" t="s">
        <v>199</v>
      </c>
      <c r="X58" s="218" t="s">
        <v>198</v>
      </c>
      <c r="Y58" s="212" t="s">
        <v>199</v>
      </c>
      <c r="Z58" s="218" t="s">
        <v>198</v>
      </c>
      <c r="AA58" s="212" t="s">
        <v>199</v>
      </c>
      <c r="AB58" s="218" t="s">
        <v>198</v>
      </c>
      <c r="AC58" s="212" t="s">
        <v>199</v>
      </c>
      <c r="AD58" s="218" t="s">
        <v>198</v>
      </c>
      <c r="AE58" s="212" t="s">
        <v>199</v>
      </c>
      <c r="AF58" s="218" t="s">
        <v>198</v>
      </c>
      <c r="AG58" s="212" t="s">
        <v>199</v>
      </c>
      <c r="AH58" s="218" t="s">
        <v>198</v>
      </c>
      <c r="AI58" s="212" t="s">
        <v>199</v>
      </c>
      <c r="AJ58" s="218" t="s">
        <v>198</v>
      </c>
      <c r="AK58" s="212" t="s">
        <v>199</v>
      </c>
      <c r="AL58" s="218" t="s">
        <v>198</v>
      </c>
      <c r="AM58" s="212" t="s">
        <v>199</v>
      </c>
      <c r="AN58" s="218" t="s">
        <v>198</v>
      </c>
      <c r="AO58" s="212" t="s">
        <v>199</v>
      </c>
      <c r="AP58" s="218" t="s">
        <v>198</v>
      </c>
      <c r="AQ58" s="212" t="s">
        <v>199</v>
      </c>
      <c r="AR58" s="218" t="s">
        <v>198</v>
      </c>
      <c r="AS58" s="212" t="s">
        <v>199</v>
      </c>
      <c r="AT58" s="218" t="s">
        <v>198</v>
      </c>
      <c r="AU58" s="212" t="s">
        <v>199</v>
      </c>
      <c r="AV58" s="218" t="s">
        <v>198</v>
      </c>
      <c r="AW58" s="212" t="s">
        <v>199</v>
      </c>
      <c r="AX58" s="218" t="s">
        <v>198</v>
      </c>
      <c r="AY58" s="238" t="s">
        <v>199</v>
      </c>
      <c r="AZ58" s="218" t="s">
        <v>198</v>
      </c>
    </row>
    <row r="59" spans="1:53" ht="16" customHeight="1" x14ac:dyDescent="0.2">
      <c r="F59" s="232" t="s">
        <v>213</v>
      </c>
      <c r="G59" s="233"/>
      <c r="H59" s="52"/>
      <c r="I59" s="52"/>
      <c r="K59" s="228"/>
      <c r="L59" s="230"/>
      <c r="M59" s="213"/>
      <c r="N59" s="216"/>
      <c r="O59" s="213"/>
      <c r="P59" s="219"/>
      <c r="Q59" s="213"/>
      <c r="R59" s="219"/>
      <c r="S59" s="213"/>
      <c r="T59" s="219"/>
      <c r="U59" s="213"/>
      <c r="V59" s="219"/>
      <c r="W59" s="213"/>
      <c r="X59" s="219"/>
      <c r="Y59" s="213"/>
      <c r="Z59" s="219"/>
      <c r="AA59" s="213"/>
      <c r="AB59" s="219"/>
      <c r="AC59" s="213"/>
      <c r="AD59" s="219"/>
      <c r="AE59" s="213"/>
      <c r="AF59" s="219"/>
      <c r="AG59" s="213"/>
      <c r="AH59" s="219"/>
      <c r="AI59" s="213"/>
      <c r="AJ59" s="219"/>
      <c r="AK59" s="213"/>
      <c r="AL59" s="219"/>
      <c r="AM59" s="213"/>
      <c r="AN59" s="219"/>
      <c r="AO59" s="213"/>
      <c r="AP59" s="219"/>
      <c r="AQ59" s="213"/>
      <c r="AR59" s="219"/>
      <c r="AS59" s="213"/>
      <c r="AT59" s="219"/>
      <c r="AU59" s="213"/>
      <c r="AV59" s="219"/>
      <c r="AW59" s="213"/>
      <c r="AX59" s="219"/>
      <c r="AY59" s="239"/>
      <c r="AZ59" s="219"/>
    </row>
    <row r="60" spans="1:53" x14ac:dyDescent="0.2">
      <c r="F60" s="234"/>
      <c r="G60" s="235"/>
      <c r="H60" s="52"/>
      <c r="I60" s="52"/>
      <c r="K60" s="228"/>
      <c r="L60" s="230"/>
      <c r="M60" s="213"/>
      <c r="N60" s="216"/>
      <c r="O60" s="213"/>
      <c r="P60" s="219"/>
      <c r="Q60" s="213"/>
      <c r="R60" s="219"/>
      <c r="S60" s="213"/>
      <c r="T60" s="219"/>
      <c r="U60" s="213"/>
      <c r="V60" s="219"/>
      <c r="W60" s="213"/>
      <c r="X60" s="219"/>
      <c r="Y60" s="213"/>
      <c r="Z60" s="219"/>
      <c r="AA60" s="213"/>
      <c r="AB60" s="219"/>
      <c r="AC60" s="213"/>
      <c r="AD60" s="219"/>
      <c r="AE60" s="213"/>
      <c r="AF60" s="219"/>
      <c r="AG60" s="213"/>
      <c r="AH60" s="219"/>
      <c r="AI60" s="213"/>
      <c r="AJ60" s="219"/>
      <c r="AK60" s="213"/>
      <c r="AL60" s="219"/>
      <c r="AM60" s="213"/>
      <c r="AN60" s="219"/>
      <c r="AO60" s="213"/>
      <c r="AP60" s="219"/>
      <c r="AQ60" s="213"/>
      <c r="AR60" s="219"/>
      <c r="AS60" s="213"/>
      <c r="AT60" s="219"/>
      <c r="AU60" s="213"/>
      <c r="AV60" s="219"/>
      <c r="AW60" s="213"/>
      <c r="AX60" s="219"/>
      <c r="AY60" s="239"/>
      <c r="AZ60" s="219"/>
    </row>
    <row r="61" spans="1:53" x14ac:dyDescent="0.2">
      <c r="F61" s="234"/>
      <c r="G61" s="235"/>
      <c r="H61" s="52"/>
      <c r="I61" s="52"/>
      <c r="K61" s="228"/>
      <c r="L61" s="230"/>
      <c r="M61" s="214"/>
      <c r="N61" s="217"/>
      <c r="O61" s="214"/>
      <c r="P61" s="220"/>
      <c r="Q61" s="214"/>
      <c r="R61" s="220"/>
      <c r="S61" s="214"/>
      <c r="T61" s="220"/>
      <c r="U61" s="214"/>
      <c r="V61" s="220"/>
      <c r="W61" s="214"/>
      <c r="X61" s="220"/>
      <c r="Y61" s="214"/>
      <c r="Z61" s="220"/>
      <c r="AA61" s="214"/>
      <c r="AB61" s="220"/>
      <c r="AC61" s="214"/>
      <c r="AD61" s="220"/>
      <c r="AE61" s="214"/>
      <c r="AF61" s="220"/>
      <c r="AG61" s="214"/>
      <c r="AH61" s="220"/>
      <c r="AI61" s="214"/>
      <c r="AJ61" s="220"/>
      <c r="AK61" s="214"/>
      <c r="AL61" s="220"/>
      <c r="AM61" s="214"/>
      <c r="AN61" s="220"/>
      <c r="AO61" s="214"/>
      <c r="AP61" s="220"/>
      <c r="AQ61" s="214"/>
      <c r="AR61" s="220"/>
      <c r="AS61" s="214"/>
      <c r="AT61" s="220"/>
      <c r="AU61" s="214"/>
      <c r="AV61" s="220"/>
      <c r="AW61" s="214"/>
      <c r="AX61" s="220"/>
      <c r="AY61" s="240"/>
      <c r="AZ61" s="220"/>
    </row>
    <row r="62" spans="1:53" ht="16" customHeight="1" x14ac:dyDescent="0.2">
      <c r="F62" s="234"/>
      <c r="G62" s="235"/>
      <c r="H62" s="52"/>
      <c r="I62" s="52"/>
      <c r="K62" s="228"/>
      <c r="L62" s="230"/>
      <c r="M62" s="191" t="s">
        <v>44</v>
      </c>
      <c r="N62" s="192"/>
      <c r="O62" s="191" t="s">
        <v>45</v>
      </c>
      <c r="P62" s="192"/>
      <c r="Q62" s="191" t="s">
        <v>46</v>
      </c>
      <c r="R62" s="192"/>
      <c r="S62" s="191" t="s">
        <v>201</v>
      </c>
      <c r="T62" s="192"/>
      <c r="U62" s="191" t="s">
        <v>48</v>
      </c>
      <c r="V62" s="192"/>
      <c r="W62" s="191" t="s">
        <v>49</v>
      </c>
      <c r="X62" s="192"/>
      <c r="Y62" s="191" t="s">
        <v>50</v>
      </c>
      <c r="Z62" s="192"/>
      <c r="AA62" s="191" t="s">
        <v>51</v>
      </c>
      <c r="AB62" s="192"/>
      <c r="AC62" s="191" t="s">
        <v>52</v>
      </c>
      <c r="AD62" s="192"/>
      <c r="AE62" s="191" t="s">
        <v>53</v>
      </c>
      <c r="AF62" s="192"/>
      <c r="AG62" s="191" t="s">
        <v>197</v>
      </c>
      <c r="AH62" s="192"/>
      <c r="AI62" s="191" t="s">
        <v>55</v>
      </c>
      <c r="AJ62" s="192"/>
      <c r="AK62" s="191" t="s">
        <v>56</v>
      </c>
      <c r="AL62" s="192"/>
      <c r="AM62" s="191" t="s">
        <v>57</v>
      </c>
      <c r="AN62" s="192"/>
      <c r="AO62" s="191" t="s">
        <v>58</v>
      </c>
      <c r="AP62" s="192"/>
      <c r="AQ62" s="191" t="s">
        <v>59</v>
      </c>
      <c r="AR62" s="192"/>
      <c r="AS62" s="191" t="s">
        <v>60</v>
      </c>
      <c r="AT62" s="192"/>
      <c r="AU62" s="191" t="s">
        <v>61</v>
      </c>
      <c r="AV62" s="192"/>
      <c r="AW62" s="191" t="s">
        <v>200</v>
      </c>
      <c r="AX62" s="192"/>
      <c r="AY62" s="209" t="s">
        <v>173</v>
      </c>
      <c r="AZ62" s="192"/>
    </row>
    <row r="63" spans="1:53" x14ac:dyDescent="0.2">
      <c r="F63" s="234"/>
      <c r="G63" s="235"/>
      <c r="H63" s="52"/>
      <c r="I63" s="52"/>
      <c r="K63" s="228"/>
      <c r="L63" s="230"/>
      <c r="M63" s="191"/>
      <c r="N63" s="192"/>
      <c r="O63" s="191"/>
      <c r="P63" s="192"/>
      <c r="Q63" s="191"/>
      <c r="R63" s="192"/>
      <c r="S63" s="191"/>
      <c r="T63" s="192"/>
      <c r="U63" s="191"/>
      <c r="V63" s="192"/>
      <c r="W63" s="191"/>
      <c r="X63" s="192"/>
      <c r="Y63" s="191"/>
      <c r="Z63" s="192"/>
      <c r="AA63" s="191"/>
      <c r="AB63" s="192"/>
      <c r="AC63" s="191"/>
      <c r="AD63" s="192"/>
      <c r="AE63" s="191"/>
      <c r="AF63" s="192"/>
      <c r="AG63" s="191"/>
      <c r="AH63" s="192"/>
      <c r="AI63" s="191"/>
      <c r="AJ63" s="192"/>
      <c r="AK63" s="191"/>
      <c r="AL63" s="192"/>
      <c r="AM63" s="191"/>
      <c r="AN63" s="192"/>
      <c r="AO63" s="191"/>
      <c r="AP63" s="192"/>
      <c r="AQ63" s="191"/>
      <c r="AR63" s="192"/>
      <c r="AS63" s="191"/>
      <c r="AT63" s="192"/>
      <c r="AU63" s="191"/>
      <c r="AV63" s="192"/>
      <c r="AW63" s="191"/>
      <c r="AX63" s="192"/>
      <c r="AY63" s="209"/>
      <c r="AZ63" s="192"/>
    </row>
    <row r="64" spans="1:53" ht="17" thickBot="1" x14ac:dyDescent="0.25">
      <c r="F64" s="236"/>
      <c r="G64" s="237"/>
      <c r="H64" s="52"/>
      <c r="I64" s="52"/>
      <c r="K64" s="228"/>
      <c r="L64" s="230"/>
      <c r="M64" s="204"/>
      <c r="N64" s="205"/>
      <c r="O64" s="204"/>
      <c r="P64" s="205"/>
      <c r="Q64" s="204"/>
      <c r="R64" s="205"/>
      <c r="S64" s="204"/>
      <c r="T64" s="205"/>
      <c r="U64" s="204"/>
      <c r="V64" s="205"/>
      <c r="W64" s="204"/>
      <c r="X64" s="205"/>
      <c r="Y64" s="204"/>
      <c r="Z64" s="205"/>
      <c r="AA64" s="204"/>
      <c r="AB64" s="205"/>
      <c r="AC64" s="204"/>
      <c r="AD64" s="205"/>
      <c r="AE64" s="204"/>
      <c r="AF64" s="205"/>
      <c r="AG64" s="204"/>
      <c r="AH64" s="205"/>
      <c r="AI64" s="204"/>
      <c r="AJ64" s="205"/>
      <c r="AK64" s="204"/>
      <c r="AL64" s="205"/>
      <c r="AM64" s="204"/>
      <c r="AN64" s="205"/>
      <c r="AO64" s="204"/>
      <c r="AP64" s="205"/>
      <c r="AQ64" s="204"/>
      <c r="AR64" s="205"/>
      <c r="AS64" s="204"/>
      <c r="AT64" s="205"/>
      <c r="AU64" s="204"/>
      <c r="AV64" s="205"/>
      <c r="AW64" s="204"/>
      <c r="AX64" s="205"/>
      <c r="AY64" s="211"/>
      <c r="AZ64" s="205"/>
    </row>
    <row r="65" spans="7:52" ht="25" customHeight="1" thickBot="1" x14ac:dyDescent="0.25">
      <c r="G65" s="19"/>
      <c r="H65" s="19"/>
      <c r="I65" s="19"/>
      <c r="K65" s="229"/>
      <c r="L65" s="231"/>
      <c r="M65" s="201" t="s">
        <v>235</v>
      </c>
      <c r="N65" s="202"/>
      <c r="O65" s="202"/>
      <c r="P65" s="202"/>
      <c r="Q65" s="202"/>
      <c r="R65" s="202"/>
      <c r="S65" s="202"/>
      <c r="T65" s="202"/>
      <c r="U65" s="202"/>
      <c r="V65" s="202"/>
      <c r="W65" s="202"/>
      <c r="X65" s="202"/>
      <c r="Y65" s="202"/>
      <c r="Z65" s="202"/>
      <c r="AA65" s="202"/>
      <c r="AB65" s="202"/>
      <c r="AC65" s="202"/>
      <c r="AD65" s="202"/>
      <c r="AE65" s="202"/>
      <c r="AF65" s="202"/>
      <c r="AG65" s="202"/>
      <c r="AH65" s="202"/>
      <c r="AI65" s="202"/>
      <c r="AJ65" s="202"/>
      <c r="AK65" s="202"/>
      <c r="AL65" s="202"/>
      <c r="AM65" s="202"/>
      <c r="AN65" s="202"/>
      <c r="AO65" s="202"/>
      <c r="AP65" s="202"/>
      <c r="AQ65" s="202"/>
      <c r="AR65" s="202"/>
      <c r="AS65" s="202"/>
      <c r="AT65" s="202"/>
      <c r="AU65" s="202"/>
      <c r="AV65" s="202"/>
      <c r="AW65" s="202"/>
      <c r="AX65" s="202"/>
      <c r="AY65" s="202"/>
      <c r="AZ65" s="203"/>
    </row>
  </sheetData>
  <mergeCells count="141">
    <mergeCell ref="E3:E5"/>
    <mergeCell ref="B7:B11"/>
    <mergeCell ref="K58:K65"/>
    <mergeCell ref="L58:L65"/>
    <mergeCell ref="F59:G64"/>
    <mergeCell ref="AY58:AY61"/>
    <mergeCell ref="AZ58:AZ61"/>
    <mergeCell ref="AS58:AS61"/>
    <mergeCell ref="AT58:AT61"/>
    <mergeCell ref="AU58:AU61"/>
    <mergeCell ref="AV58:AV61"/>
    <mergeCell ref="AW58:AW61"/>
    <mergeCell ref="AX58:AX61"/>
    <mergeCell ref="AM58:AM61"/>
    <mergeCell ref="AN58:AN61"/>
    <mergeCell ref="AO58:AO61"/>
    <mergeCell ref="AP58:AP61"/>
    <mergeCell ref="AQ58:AQ61"/>
    <mergeCell ref="AR58:AR61"/>
    <mergeCell ref="AG58:AG61"/>
    <mergeCell ref="AH58:AH61"/>
    <mergeCell ref="AI58:AI61"/>
    <mergeCell ref="U58:U61"/>
    <mergeCell ref="V58:V61"/>
    <mergeCell ref="W58:W61"/>
    <mergeCell ref="AQ62:AR64"/>
    <mergeCell ref="AS62:AT64"/>
    <mergeCell ref="AU62:AV64"/>
    <mergeCell ref="AJ58:AJ61"/>
    <mergeCell ref="AK58:AK61"/>
    <mergeCell ref="AL58:AL61"/>
    <mergeCell ref="AA58:AA61"/>
    <mergeCell ref="AB58:AB61"/>
    <mergeCell ref="AC58:AC61"/>
    <mergeCell ref="AD58:AD61"/>
    <mergeCell ref="AE58:AE61"/>
    <mergeCell ref="AF58:AF61"/>
    <mergeCell ref="AW62:AX64"/>
    <mergeCell ref="AY62:AZ64"/>
    <mergeCell ref="M58:M61"/>
    <mergeCell ref="N58:N61"/>
    <mergeCell ref="O58:O61"/>
    <mergeCell ref="P58:P61"/>
    <mergeCell ref="Q58:Q61"/>
    <mergeCell ref="U62:V64"/>
    <mergeCell ref="W62:X64"/>
    <mergeCell ref="Y62:Z64"/>
    <mergeCell ref="AA62:AB64"/>
    <mergeCell ref="AC62:AD64"/>
    <mergeCell ref="AE62:AF64"/>
    <mergeCell ref="AI62:AJ64"/>
    <mergeCell ref="AK62:AL64"/>
    <mergeCell ref="AM62:AN64"/>
    <mergeCell ref="AO62:AP64"/>
    <mergeCell ref="AG62:AH64"/>
    <mergeCell ref="X58:X61"/>
    <mergeCell ref="Y58:Y61"/>
    <mergeCell ref="Z58:Z61"/>
    <mergeCell ref="R58:R61"/>
    <mergeCell ref="S58:S61"/>
    <mergeCell ref="T58:T61"/>
    <mergeCell ref="M65:AZ65"/>
    <mergeCell ref="M62:N64"/>
    <mergeCell ref="O62:P64"/>
    <mergeCell ref="Q62:R64"/>
    <mergeCell ref="S62:T64"/>
    <mergeCell ref="AS4:AT6"/>
    <mergeCell ref="AU4:AV6"/>
    <mergeCell ref="AW4:AX6"/>
    <mergeCell ref="AY7:AY11"/>
    <mergeCell ref="AY4:AZ6"/>
    <mergeCell ref="AC4:AD6"/>
    <mergeCell ref="AE4:AF6"/>
    <mergeCell ref="AB7:AB11"/>
    <mergeCell ref="AD7:AD11"/>
    <mergeCell ref="AS7:AS11"/>
    <mergeCell ref="AU7:AU11"/>
    <mergeCell ref="AN7:AN11"/>
    <mergeCell ref="AP7:AP11"/>
    <mergeCell ref="AR7:AR11"/>
    <mergeCell ref="AT7:AT11"/>
    <mergeCell ref="P7:P11"/>
    <mergeCell ref="R7:R11"/>
    <mergeCell ref="T7:T11"/>
    <mergeCell ref="V7:V11"/>
    <mergeCell ref="M2:AZ2"/>
    <mergeCell ref="M3:AZ3"/>
    <mergeCell ref="AX7:AX11"/>
    <mergeCell ref="AZ7:AZ11"/>
    <mergeCell ref="AG4:AH6"/>
    <mergeCell ref="AI4:AJ6"/>
    <mergeCell ref="AK4:AL6"/>
    <mergeCell ref="AM4:AN6"/>
    <mergeCell ref="AO4:AP6"/>
    <mergeCell ref="AQ4:AR6"/>
    <mergeCell ref="AV7:AV11"/>
    <mergeCell ref="AW7:AW11"/>
    <mergeCell ref="M4:N6"/>
    <mergeCell ref="O4:P6"/>
    <mergeCell ref="Q4:R6"/>
    <mergeCell ref="S4:T6"/>
    <mergeCell ref="U4:V6"/>
    <mergeCell ref="W4:X6"/>
    <mergeCell ref="AF7:AF11"/>
    <mergeCell ref="AH7:AH11"/>
    <mergeCell ref="AJ7:AJ11"/>
    <mergeCell ref="AL7:AL11"/>
    <mergeCell ref="Y4:Z6"/>
    <mergeCell ref="AA4:AB6"/>
    <mergeCell ref="Z7:Z11"/>
    <mergeCell ref="AM7:AM11"/>
    <mergeCell ref="AO7:AO11"/>
    <mergeCell ref="AQ7:AQ11"/>
    <mergeCell ref="N7:N11"/>
    <mergeCell ref="A7:A11"/>
    <mergeCell ref="K7:K11"/>
    <mergeCell ref="L7:L11"/>
    <mergeCell ref="M7:M11"/>
    <mergeCell ref="H7:H11"/>
    <mergeCell ref="O7:O11"/>
    <mergeCell ref="Q7:Q11"/>
    <mergeCell ref="S7:S11"/>
    <mergeCell ref="U7:U11"/>
    <mergeCell ref="W7:W11"/>
    <mergeCell ref="AE7:AE11"/>
    <mergeCell ref="AG7:AG11"/>
    <mergeCell ref="AI7:AI11"/>
    <mergeCell ref="AK7:AK11"/>
    <mergeCell ref="Y7:Y11"/>
    <mergeCell ref="AA7:AA11"/>
    <mergeCell ref="AC7:AC11"/>
    <mergeCell ref="C7:C11"/>
    <mergeCell ref="E56:J56"/>
    <mergeCell ref="E57:J57"/>
    <mergeCell ref="E7:E11"/>
    <mergeCell ref="F7:F11"/>
    <mergeCell ref="G7:G11"/>
    <mergeCell ref="D7:D11"/>
    <mergeCell ref="J7:J11"/>
    <mergeCell ref="I7:I11"/>
    <mergeCell ref="X7:X11"/>
  </mergeCells>
  <pageMargins left="0.7" right="0.7" top="0.75" bottom="0.75" header="0.3" footer="0.3"/>
  <ignoredErrors>
    <ignoredError sqref="N56"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65"/>
  <sheetViews>
    <sheetView showRuler="0" workbookViewId="0"/>
  </sheetViews>
  <sheetFormatPr baseColWidth="10" defaultRowHeight="16" x14ac:dyDescent="0.2"/>
  <cols>
    <col min="1" max="1" width="5.6640625" style="19" customWidth="1"/>
    <col min="2" max="2" width="5.6640625" customWidth="1"/>
    <col min="3" max="4" width="12.5" style="20" customWidth="1"/>
    <col min="5" max="5" width="75.83203125" style="19" customWidth="1"/>
    <col min="6" max="6" width="25" style="19" customWidth="1"/>
    <col min="7" max="7" width="7.5" style="20" customWidth="1"/>
    <col min="8" max="11" width="6.6640625" style="20" customWidth="1"/>
    <col min="12" max="12" width="6.6640625" style="39" customWidth="1"/>
    <col min="13" max="13" width="6.6640625" style="20" customWidth="1"/>
    <col min="14" max="14" width="6.6640625" style="39" customWidth="1"/>
    <col min="15" max="52" width="6.6640625" style="20" customWidth="1"/>
    <col min="53" max="53" width="113.83203125" style="19" customWidth="1"/>
    <col min="54" max="16384" width="10.83203125" style="19"/>
  </cols>
  <sheetData>
    <row r="1" spans="1:53" ht="17" thickBot="1" x14ac:dyDescent="0.25">
      <c r="E1" s="30"/>
    </row>
    <row r="2" spans="1:53" ht="25" customHeight="1" x14ac:dyDescent="0.2">
      <c r="E2" s="56" t="s">
        <v>242</v>
      </c>
      <c r="M2" s="183" t="s">
        <v>235</v>
      </c>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4"/>
      <c r="AW2" s="184"/>
      <c r="AX2" s="184"/>
      <c r="AY2" s="184"/>
      <c r="AZ2" s="185"/>
    </row>
    <row r="3" spans="1:53" ht="25" customHeight="1" thickBot="1" x14ac:dyDescent="0.25">
      <c r="E3" s="221" t="s">
        <v>214</v>
      </c>
      <c r="M3" s="186" t="s">
        <v>236</v>
      </c>
      <c r="N3" s="187"/>
      <c r="O3" s="187"/>
      <c r="P3" s="187"/>
      <c r="Q3" s="187"/>
      <c r="R3" s="187"/>
      <c r="S3" s="187"/>
      <c r="T3" s="187"/>
      <c r="U3" s="187"/>
      <c r="V3" s="187"/>
      <c r="W3" s="187"/>
      <c r="X3" s="187"/>
      <c r="Y3" s="187"/>
      <c r="Z3" s="187"/>
      <c r="AA3" s="187"/>
      <c r="AB3" s="187"/>
      <c r="AC3" s="187"/>
      <c r="AD3" s="187"/>
      <c r="AE3" s="187"/>
      <c r="AF3" s="187"/>
      <c r="AG3" s="187"/>
      <c r="AH3" s="187"/>
      <c r="AI3" s="187"/>
      <c r="AJ3" s="187"/>
      <c r="AK3" s="187"/>
      <c r="AL3" s="187"/>
      <c r="AM3" s="187"/>
      <c r="AN3" s="187"/>
      <c r="AO3" s="187"/>
      <c r="AP3" s="187"/>
      <c r="AQ3" s="187"/>
      <c r="AR3" s="187"/>
      <c r="AS3" s="187"/>
      <c r="AT3" s="187"/>
      <c r="AU3" s="187"/>
      <c r="AV3" s="187"/>
      <c r="AW3" s="187"/>
      <c r="AX3" s="187"/>
      <c r="AY3" s="187"/>
      <c r="AZ3" s="188"/>
    </row>
    <row r="4" spans="1:53" ht="19" customHeight="1" x14ac:dyDescent="0.2">
      <c r="B4" s="55"/>
      <c r="E4" s="222"/>
      <c r="M4" s="189" t="s">
        <v>49</v>
      </c>
      <c r="N4" s="190"/>
      <c r="O4" s="189" t="s">
        <v>173</v>
      </c>
      <c r="P4" s="190"/>
      <c r="Q4" s="189" t="s">
        <v>200</v>
      </c>
      <c r="R4" s="190"/>
      <c r="S4" s="189" t="s">
        <v>197</v>
      </c>
      <c r="T4" s="190"/>
      <c r="U4" s="189" t="s">
        <v>55</v>
      </c>
      <c r="V4" s="190"/>
      <c r="W4" s="189" t="s">
        <v>48</v>
      </c>
      <c r="X4" s="190"/>
      <c r="Y4" s="195" t="s">
        <v>46</v>
      </c>
      <c r="Z4" s="196"/>
      <c r="AA4" s="189" t="s">
        <v>50</v>
      </c>
      <c r="AB4" s="190"/>
      <c r="AC4" s="195" t="s">
        <v>44</v>
      </c>
      <c r="AD4" s="196"/>
      <c r="AE4" s="189" t="s">
        <v>51</v>
      </c>
      <c r="AF4" s="190"/>
      <c r="AG4" s="189" t="s">
        <v>201</v>
      </c>
      <c r="AH4" s="190"/>
      <c r="AI4" s="189" t="s">
        <v>52</v>
      </c>
      <c r="AJ4" s="190"/>
      <c r="AK4" s="189" t="s">
        <v>56</v>
      </c>
      <c r="AL4" s="190"/>
      <c r="AM4" s="195" t="s">
        <v>45</v>
      </c>
      <c r="AN4" s="196"/>
      <c r="AO4" s="189" t="s">
        <v>57</v>
      </c>
      <c r="AP4" s="190"/>
      <c r="AQ4" s="189" t="s">
        <v>60</v>
      </c>
      <c r="AR4" s="190"/>
      <c r="AS4" s="189" t="s">
        <v>216</v>
      </c>
      <c r="AT4" s="190"/>
      <c r="AU4" s="189" t="s">
        <v>59</v>
      </c>
      <c r="AV4" s="190"/>
      <c r="AW4" s="189" t="s">
        <v>61</v>
      </c>
      <c r="AX4" s="190"/>
      <c r="AY4" s="189" t="s">
        <v>53</v>
      </c>
      <c r="AZ4" s="190"/>
    </row>
    <row r="5" spans="1:53" ht="19" customHeight="1" thickBot="1" x14ac:dyDescent="0.25">
      <c r="A5" s="27"/>
      <c r="B5" s="29"/>
      <c r="E5" s="223"/>
      <c r="M5" s="191"/>
      <c r="N5" s="192"/>
      <c r="O5" s="191"/>
      <c r="P5" s="192"/>
      <c r="Q5" s="191"/>
      <c r="R5" s="192"/>
      <c r="S5" s="191"/>
      <c r="T5" s="192"/>
      <c r="U5" s="191"/>
      <c r="V5" s="192"/>
      <c r="W5" s="191"/>
      <c r="X5" s="192"/>
      <c r="Y5" s="197"/>
      <c r="Z5" s="198"/>
      <c r="AA5" s="191"/>
      <c r="AB5" s="192"/>
      <c r="AC5" s="197"/>
      <c r="AD5" s="198"/>
      <c r="AE5" s="191"/>
      <c r="AF5" s="192"/>
      <c r="AG5" s="191"/>
      <c r="AH5" s="192"/>
      <c r="AI5" s="191"/>
      <c r="AJ5" s="192"/>
      <c r="AK5" s="191"/>
      <c r="AL5" s="192"/>
      <c r="AM5" s="197"/>
      <c r="AN5" s="198"/>
      <c r="AO5" s="191"/>
      <c r="AP5" s="192"/>
      <c r="AQ5" s="191"/>
      <c r="AR5" s="192"/>
      <c r="AS5" s="191"/>
      <c r="AT5" s="192"/>
      <c r="AU5" s="191"/>
      <c r="AV5" s="192"/>
      <c r="AW5" s="191"/>
      <c r="AX5" s="192"/>
      <c r="AY5" s="191"/>
      <c r="AZ5" s="192"/>
    </row>
    <row r="6" spans="1:53" ht="19" customHeight="1" thickBot="1" x14ac:dyDescent="0.25">
      <c r="A6" s="28"/>
      <c r="B6" s="54"/>
      <c r="H6" s="19"/>
      <c r="I6" s="19"/>
      <c r="J6" s="19"/>
      <c r="K6" s="19"/>
      <c r="L6" s="111"/>
      <c r="M6" s="193"/>
      <c r="N6" s="194"/>
      <c r="O6" s="193"/>
      <c r="P6" s="194"/>
      <c r="Q6" s="193"/>
      <c r="R6" s="194"/>
      <c r="S6" s="193"/>
      <c r="T6" s="194"/>
      <c r="U6" s="193"/>
      <c r="V6" s="194"/>
      <c r="W6" s="193"/>
      <c r="X6" s="194"/>
      <c r="Y6" s="199"/>
      <c r="Z6" s="200"/>
      <c r="AA6" s="193"/>
      <c r="AB6" s="194"/>
      <c r="AC6" s="199"/>
      <c r="AD6" s="200"/>
      <c r="AE6" s="193"/>
      <c r="AF6" s="194"/>
      <c r="AG6" s="193"/>
      <c r="AH6" s="194"/>
      <c r="AI6" s="193"/>
      <c r="AJ6" s="194"/>
      <c r="AK6" s="193"/>
      <c r="AL6" s="194"/>
      <c r="AM6" s="199"/>
      <c r="AN6" s="200"/>
      <c r="AO6" s="193"/>
      <c r="AP6" s="194"/>
      <c r="AQ6" s="193"/>
      <c r="AR6" s="194"/>
      <c r="AS6" s="193"/>
      <c r="AT6" s="194"/>
      <c r="AU6" s="193"/>
      <c r="AV6" s="194"/>
      <c r="AW6" s="193"/>
      <c r="AX6" s="194"/>
      <c r="AY6" s="193"/>
      <c r="AZ6" s="194"/>
    </row>
    <row r="7" spans="1:53" ht="20" customHeight="1" x14ac:dyDescent="0.2">
      <c r="A7" s="241" t="s">
        <v>190</v>
      </c>
      <c r="B7" s="224" t="s">
        <v>215</v>
      </c>
      <c r="C7" s="153" t="s">
        <v>63</v>
      </c>
      <c r="D7" s="153" t="s">
        <v>226</v>
      </c>
      <c r="E7" s="150" t="s">
        <v>64</v>
      </c>
      <c r="F7" s="150" t="s">
        <v>65</v>
      </c>
      <c r="G7" s="153" t="s">
        <v>66</v>
      </c>
      <c r="H7" s="180" t="s">
        <v>42</v>
      </c>
      <c r="I7" s="159" t="s">
        <v>43</v>
      </c>
      <c r="J7" s="156" t="s">
        <v>223</v>
      </c>
      <c r="K7" s="174" t="s">
        <v>224</v>
      </c>
      <c r="L7" s="177" t="s">
        <v>225</v>
      </c>
      <c r="M7" s="165" t="s">
        <v>199</v>
      </c>
      <c r="N7" s="162" t="s">
        <v>198</v>
      </c>
      <c r="O7" s="206" t="s">
        <v>199</v>
      </c>
      <c r="P7" s="162" t="s">
        <v>198</v>
      </c>
      <c r="Q7" s="165" t="s">
        <v>199</v>
      </c>
      <c r="R7" s="162" t="s">
        <v>198</v>
      </c>
      <c r="S7" s="165" t="s">
        <v>199</v>
      </c>
      <c r="T7" s="162" t="s">
        <v>198</v>
      </c>
      <c r="U7" s="165" t="s">
        <v>199</v>
      </c>
      <c r="V7" s="162" t="s">
        <v>198</v>
      </c>
      <c r="W7" s="165" t="s">
        <v>199</v>
      </c>
      <c r="X7" s="162" t="s">
        <v>198</v>
      </c>
      <c r="Y7" s="165" t="s">
        <v>199</v>
      </c>
      <c r="Z7" s="162" t="s">
        <v>198</v>
      </c>
      <c r="AA7" s="165" t="s">
        <v>199</v>
      </c>
      <c r="AB7" s="162" t="s">
        <v>198</v>
      </c>
      <c r="AC7" s="165" t="s">
        <v>199</v>
      </c>
      <c r="AD7" s="168" t="s">
        <v>198</v>
      </c>
      <c r="AE7" s="165" t="s">
        <v>199</v>
      </c>
      <c r="AF7" s="162" t="s">
        <v>198</v>
      </c>
      <c r="AG7" s="165" t="s">
        <v>199</v>
      </c>
      <c r="AH7" s="162" t="s">
        <v>198</v>
      </c>
      <c r="AI7" s="165" t="s">
        <v>199</v>
      </c>
      <c r="AJ7" s="162" t="s">
        <v>198</v>
      </c>
      <c r="AK7" s="165" t="s">
        <v>199</v>
      </c>
      <c r="AL7" s="162" t="s">
        <v>198</v>
      </c>
      <c r="AM7" s="165" t="s">
        <v>199</v>
      </c>
      <c r="AN7" s="162" t="s">
        <v>198</v>
      </c>
      <c r="AO7" s="165" t="s">
        <v>199</v>
      </c>
      <c r="AP7" s="162" t="s">
        <v>198</v>
      </c>
      <c r="AQ7" s="165" t="s">
        <v>199</v>
      </c>
      <c r="AR7" s="162" t="s">
        <v>198</v>
      </c>
      <c r="AS7" s="165" t="s">
        <v>199</v>
      </c>
      <c r="AT7" s="162" t="s">
        <v>198</v>
      </c>
      <c r="AU7" s="165" t="s">
        <v>199</v>
      </c>
      <c r="AV7" s="162" t="s">
        <v>198</v>
      </c>
      <c r="AW7" s="165" t="s">
        <v>199</v>
      </c>
      <c r="AX7" s="162" t="s">
        <v>198</v>
      </c>
      <c r="AY7" s="165" t="s">
        <v>199</v>
      </c>
      <c r="AZ7" s="162" t="s">
        <v>198</v>
      </c>
    </row>
    <row r="8" spans="1:53" ht="20" customHeight="1" x14ac:dyDescent="0.2">
      <c r="A8" s="242"/>
      <c r="B8" s="225"/>
      <c r="C8" s="154"/>
      <c r="D8" s="154"/>
      <c r="E8" s="151"/>
      <c r="F8" s="151"/>
      <c r="G8" s="154"/>
      <c r="H8" s="181"/>
      <c r="I8" s="160"/>
      <c r="J8" s="157"/>
      <c r="K8" s="175"/>
      <c r="L8" s="178"/>
      <c r="M8" s="166"/>
      <c r="N8" s="163"/>
      <c r="O8" s="207"/>
      <c r="P8" s="163"/>
      <c r="Q8" s="166"/>
      <c r="R8" s="163"/>
      <c r="S8" s="166"/>
      <c r="T8" s="163"/>
      <c r="U8" s="166"/>
      <c r="V8" s="163"/>
      <c r="W8" s="166"/>
      <c r="X8" s="163"/>
      <c r="Y8" s="166"/>
      <c r="Z8" s="163"/>
      <c r="AA8" s="166"/>
      <c r="AB8" s="163"/>
      <c r="AC8" s="166"/>
      <c r="AD8" s="169"/>
      <c r="AE8" s="166"/>
      <c r="AF8" s="163"/>
      <c r="AG8" s="166"/>
      <c r="AH8" s="163"/>
      <c r="AI8" s="166"/>
      <c r="AJ8" s="163"/>
      <c r="AK8" s="166"/>
      <c r="AL8" s="163"/>
      <c r="AM8" s="166"/>
      <c r="AN8" s="163"/>
      <c r="AO8" s="166"/>
      <c r="AP8" s="163"/>
      <c r="AQ8" s="166"/>
      <c r="AR8" s="163"/>
      <c r="AS8" s="166"/>
      <c r="AT8" s="163"/>
      <c r="AU8" s="166"/>
      <c r="AV8" s="163"/>
      <c r="AW8" s="166"/>
      <c r="AX8" s="163"/>
      <c r="AY8" s="166"/>
      <c r="AZ8" s="163"/>
    </row>
    <row r="9" spans="1:53" ht="20" customHeight="1" x14ac:dyDescent="0.2">
      <c r="A9" s="242"/>
      <c r="B9" s="225"/>
      <c r="C9" s="154"/>
      <c r="D9" s="154"/>
      <c r="E9" s="151"/>
      <c r="F9" s="151"/>
      <c r="G9" s="154"/>
      <c r="H9" s="181"/>
      <c r="I9" s="160"/>
      <c r="J9" s="157"/>
      <c r="K9" s="175"/>
      <c r="L9" s="178"/>
      <c r="M9" s="166"/>
      <c r="N9" s="163"/>
      <c r="O9" s="207"/>
      <c r="P9" s="163"/>
      <c r="Q9" s="166"/>
      <c r="R9" s="163"/>
      <c r="S9" s="166"/>
      <c r="T9" s="163"/>
      <c r="U9" s="166"/>
      <c r="V9" s="163"/>
      <c r="W9" s="166"/>
      <c r="X9" s="163"/>
      <c r="Y9" s="166"/>
      <c r="Z9" s="163"/>
      <c r="AA9" s="166"/>
      <c r="AB9" s="163"/>
      <c r="AC9" s="166"/>
      <c r="AD9" s="169"/>
      <c r="AE9" s="166"/>
      <c r="AF9" s="163"/>
      <c r="AG9" s="166"/>
      <c r="AH9" s="163"/>
      <c r="AI9" s="166"/>
      <c r="AJ9" s="163"/>
      <c r="AK9" s="166"/>
      <c r="AL9" s="163"/>
      <c r="AM9" s="166"/>
      <c r="AN9" s="163"/>
      <c r="AO9" s="166"/>
      <c r="AP9" s="163"/>
      <c r="AQ9" s="166"/>
      <c r="AR9" s="163"/>
      <c r="AS9" s="166"/>
      <c r="AT9" s="163"/>
      <c r="AU9" s="166"/>
      <c r="AV9" s="163"/>
      <c r="AW9" s="166"/>
      <c r="AX9" s="163"/>
      <c r="AY9" s="166"/>
      <c r="AZ9" s="163"/>
    </row>
    <row r="10" spans="1:53" ht="20" customHeight="1" x14ac:dyDescent="0.2">
      <c r="A10" s="242"/>
      <c r="B10" s="225"/>
      <c r="C10" s="154"/>
      <c r="D10" s="154"/>
      <c r="E10" s="151"/>
      <c r="F10" s="151"/>
      <c r="G10" s="154"/>
      <c r="H10" s="181"/>
      <c r="I10" s="160"/>
      <c r="J10" s="157"/>
      <c r="K10" s="175"/>
      <c r="L10" s="178"/>
      <c r="M10" s="166"/>
      <c r="N10" s="163"/>
      <c r="O10" s="207"/>
      <c r="P10" s="163"/>
      <c r="Q10" s="166"/>
      <c r="R10" s="163"/>
      <c r="S10" s="166"/>
      <c r="T10" s="163"/>
      <c r="U10" s="166"/>
      <c r="V10" s="163"/>
      <c r="W10" s="166"/>
      <c r="X10" s="163"/>
      <c r="Y10" s="166"/>
      <c r="Z10" s="163"/>
      <c r="AA10" s="166"/>
      <c r="AB10" s="163"/>
      <c r="AC10" s="166"/>
      <c r="AD10" s="169"/>
      <c r="AE10" s="166"/>
      <c r="AF10" s="163"/>
      <c r="AG10" s="166"/>
      <c r="AH10" s="163"/>
      <c r="AI10" s="166"/>
      <c r="AJ10" s="163"/>
      <c r="AK10" s="166"/>
      <c r="AL10" s="163"/>
      <c r="AM10" s="166"/>
      <c r="AN10" s="163"/>
      <c r="AO10" s="166"/>
      <c r="AP10" s="163"/>
      <c r="AQ10" s="166"/>
      <c r="AR10" s="163"/>
      <c r="AS10" s="166"/>
      <c r="AT10" s="163"/>
      <c r="AU10" s="166"/>
      <c r="AV10" s="163"/>
      <c r="AW10" s="166"/>
      <c r="AX10" s="163"/>
      <c r="AY10" s="166"/>
      <c r="AZ10" s="163"/>
    </row>
    <row r="11" spans="1:53" s="21" customFormat="1" ht="20" customHeight="1" thickBot="1" x14ac:dyDescent="0.25">
      <c r="A11" s="243"/>
      <c r="B11" s="226"/>
      <c r="C11" s="155"/>
      <c r="D11" s="155"/>
      <c r="E11" s="152"/>
      <c r="F11" s="152"/>
      <c r="G11" s="155"/>
      <c r="H11" s="182"/>
      <c r="I11" s="161"/>
      <c r="J11" s="158"/>
      <c r="K11" s="176"/>
      <c r="L11" s="179"/>
      <c r="M11" s="167"/>
      <c r="N11" s="164"/>
      <c r="O11" s="208"/>
      <c r="P11" s="164"/>
      <c r="Q11" s="167"/>
      <c r="R11" s="164"/>
      <c r="S11" s="167"/>
      <c r="T11" s="164"/>
      <c r="U11" s="167"/>
      <c r="V11" s="164"/>
      <c r="W11" s="167"/>
      <c r="X11" s="164"/>
      <c r="Y11" s="167"/>
      <c r="Z11" s="164"/>
      <c r="AA11" s="167"/>
      <c r="AB11" s="164"/>
      <c r="AC11" s="167"/>
      <c r="AD11" s="170"/>
      <c r="AE11" s="167"/>
      <c r="AF11" s="164"/>
      <c r="AG11" s="167"/>
      <c r="AH11" s="164"/>
      <c r="AI11" s="167"/>
      <c r="AJ11" s="164"/>
      <c r="AK11" s="167"/>
      <c r="AL11" s="164"/>
      <c r="AM11" s="167"/>
      <c r="AN11" s="164"/>
      <c r="AO11" s="167"/>
      <c r="AP11" s="164"/>
      <c r="AQ11" s="167"/>
      <c r="AR11" s="164"/>
      <c r="AS11" s="167"/>
      <c r="AT11" s="164"/>
      <c r="AU11" s="167"/>
      <c r="AV11" s="164"/>
      <c r="AW11" s="167"/>
      <c r="AX11" s="164"/>
      <c r="AY11" s="167"/>
      <c r="AZ11" s="164"/>
      <c r="BA11" s="74" t="s">
        <v>67</v>
      </c>
    </row>
    <row r="12" spans="1:53" s="21" customFormat="1" ht="20" customHeight="1" x14ac:dyDescent="0.2">
      <c r="A12" s="126"/>
      <c r="B12" s="127"/>
      <c r="C12" s="116" t="s">
        <v>207</v>
      </c>
      <c r="D12" s="116" t="s">
        <v>247</v>
      </c>
      <c r="E12" s="117" t="s">
        <v>245</v>
      </c>
      <c r="F12" s="117" t="s">
        <v>246</v>
      </c>
      <c r="G12" s="116">
        <v>2013</v>
      </c>
      <c r="H12" s="118"/>
      <c r="I12" s="84"/>
      <c r="J12" s="64">
        <v>10</v>
      </c>
      <c r="K12" s="65">
        <v>490</v>
      </c>
      <c r="L12" s="112">
        <f>IF(AND(NOT(ISERROR(J12/K12*100)), J12&lt;&gt;""), J12/K12*100, "")</f>
        <v>2.0408163265306123</v>
      </c>
      <c r="M12" s="31"/>
      <c r="N12" s="40"/>
      <c r="O12" s="31">
        <v>17</v>
      </c>
      <c r="P12" s="40">
        <f t="shared" ref="N12:P55" si="0">IF((ISERROR((O12/$K12)*100)), "", IF(AND(NOT(ISERROR((O12/$K12)*100)),((O12/$K12)*100) &lt;&gt; 0), (O12/$K12)*100, ""))</f>
        <v>3.4693877551020407</v>
      </c>
      <c r="Q12" s="31"/>
      <c r="R12" s="40"/>
      <c r="S12" s="31">
        <v>1</v>
      </c>
      <c r="T12" s="40">
        <f t="shared" ref="T12" si="1">IF((ISERROR((S12/$K12)*100)), "", IF(AND(NOT(ISERROR((S12/$K12)*100)),((S12/$K12)*100) &lt;&gt; 0), (S12/$K12)*100, ""))</f>
        <v>0.20408163265306123</v>
      </c>
      <c r="U12" s="31"/>
      <c r="V12" s="40"/>
      <c r="W12" s="31"/>
      <c r="X12" s="40"/>
      <c r="Y12" s="31"/>
      <c r="Z12" s="40"/>
      <c r="AA12" s="31">
        <v>1</v>
      </c>
      <c r="AB12" s="40">
        <f t="shared" ref="AB12" si="2">IF((ISERROR((AA12/$K12)*100)), "", IF(AND(NOT(ISERROR((AA12/$K12)*100)),((AA12/$K12)*100) &lt;&gt; 0), (AA12/$K12)*100, ""))</f>
        <v>0.20408163265306123</v>
      </c>
      <c r="AC12" s="31">
        <v>1</v>
      </c>
      <c r="AD12" s="40">
        <f t="shared" ref="AD12" si="3">IF((ISERROR((AC12/$K12)*100)), "", IF(AND(NOT(ISERROR((AC12/$K12)*100)),((AC12/$K12)*100) &lt;&gt; 0), (AC12/$K12)*100, ""))</f>
        <v>0.20408163265306123</v>
      </c>
      <c r="AE12" s="31"/>
      <c r="AF12" s="40"/>
      <c r="AG12" s="31">
        <v>1</v>
      </c>
      <c r="AH12" s="40">
        <f t="shared" ref="AH12" si="4">IF((ISERROR((AG12/$K12)*100)), "", IF(AND(NOT(ISERROR((AG12/$K12)*100)),((AG12/$K12)*100) &lt;&gt; 0), (AG12/$K12)*100, ""))</f>
        <v>0.20408163265306123</v>
      </c>
      <c r="AI12" s="31">
        <v>1</v>
      </c>
      <c r="AJ12" s="40">
        <f t="shared" ref="AJ12" si="5">IF((ISERROR((AI12/$K12)*100)), "", IF(AND(NOT(ISERROR((AI12/$K12)*100)),((AI12/$K12)*100) &lt;&gt; 0), (AI12/$K12)*100, ""))</f>
        <v>0.20408163265306123</v>
      </c>
      <c r="AK12" s="31"/>
      <c r="AL12" s="40"/>
      <c r="AM12" s="31"/>
      <c r="AN12" s="40"/>
      <c r="AO12" s="31"/>
      <c r="AP12" s="40"/>
      <c r="AQ12" s="31">
        <v>2</v>
      </c>
      <c r="AR12" s="40">
        <f t="shared" ref="AR12" si="6">IF((ISERROR((AQ12/$K12)*100)), "", IF(AND(NOT(ISERROR((AQ12/$K12)*100)),((AQ12/$K12)*100) &lt;&gt; 0), (AQ12/$K12)*100, ""))</f>
        <v>0.40816326530612246</v>
      </c>
      <c r="AS12" s="31"/>
      <c r="AT12" s="40"/>
      <c r="AU12" s="31">
        <v>1</v>
      </c>
      <c r="AV12" s="40">
        <f t="shared" ref="AV12" si="7">IF((ISERROR((AU12/$K12)*100)), "", IF(AND(NOT(ISERROR((AU12/$K12)*100)),((AU12/$K12)*100) &lt;&gt; 0), (AU12/$K12)*100, ""))</f>
        <v>0.20408163265306123</v>
      </c>
      <c r="AW12" s="31"/>
      <c r="AX12" s="40"/>
      <c r="AY12" s="35"/>
      <c r="AZ12" s="40"/>
      <c r="BA12" s="70" t="s">
        <v>249</v>
      </c>
    </row>
    <row r="13" spans="1:53" ht="20" customHeight="1" x14ac:dyDescent="0.2">
      <c r="A13" s="128"/>
      <c r="B13" s="129"/>
      <c r="C13" s="75" t="s">
        <v>207</v>
      </c>
      <c r="D13" s="75"/>
      <c r="E13" s="76" t="s">
        <v>68</v>
      </c>
      <c r="F13" s="76" t="s">
        <v>69</v>
      </c>
      <c r="G13" s="75">
        <v>2015</v>
      </c>
      <c r="H13" s="119">
        <v>3</v>
      </c>
      <c r="I13" s="87" t="s">
        <v>70</v>
      </c>
      <c r="J13" s="71">
        <v>14</v>
      </c>
      <c r="K13" s="72">
        <v>100</v>
      </c>
      <c r="L13" s="122">
        <f>IF(AND(NOT(ISERROR(J13/K13*100)), J13&lt;&gt;""), J13/K13*100, "")</f>
        <v>14.000000000000002</v>
      </c>
      <c r="M13" s="38"/>
      <c r="N13" s="43" t="str">
        <f t="shared" si="0"/>
        <v/>
      </c>
      <c r="O13" s="73"/>
      <c r="P13" s="43" t="str">
        <f t="shared" ref="P13:P55" si="8">IF((ISERROR((O13/$K13)*100)), "", IF(AND(NOT(ISERROR((O13/$K13)*100)),((O13/$K13)*100) &lt;&gt; 0), (O13/$K13)*100, ""))</f>
        <v/>
      </c>
      <c r="Q13" s="38"/>
      <c r="R13" s="43" t="str">
        <f t="shared" ref="R13:R55" si="9">IF((ISERROR((Q13/$K13)*100)), "", IF(AND(NOT(ISERROR((Q13/$K13)*100)),((Q13/$K13)*100) &lt;&gt; 0), (Q13/$K13)*100, ""))</f>
        <v/>
      </c>
      <c r="S13" s="38"/>
      <c r="T13" s="43" t="str">
        <f t="shared" ref="T13:T55" si="10">IF((ISERROR((S13/$K13)*100)), "", IF(AND(NOT(ISERROR((S13/$K13)*100)),((S13/$K13)*100) &lt;&gt; 0), (S13/$K13)*100, ""))</f>
        <v/>
      </c>
      <c r="U13" s="38"/>
      <c r="V13" s="43" t="str">
        <f t="shared" ref="V13:V55" si="11">IF((ISERROR((U13/$K13)*100)), "", IF(AND(NOT(ISERROR((U13/$K13)*100)),((U13/$K13)*100) &lt;&gt; 0), (U13/$K13)*100, ""))</f>
        <v/>
      </c>
      <c r="W13" s="38"/>
      <c r="X13" s="43" t="str">
        <f t="shared" ref="X13:X30" si="12">IF((ISERROR((W13/$K13)*100)), "", IF(AND(NOT(ISERROR((W13/$K13)*100)),((W13/$K13)*100) &lt;&gt; 0), (W13/$K13)*100, ""))</f>
        <v/>
      </c>
      <c r="Y13" s="38"/>
      <c r="Z13" s="43" t="str">
        <f t="shared" ref="Z13:Z55" si="13">IF((ISERROR((Y13/$K13)*100)), "", IF(AND(NOT(ISERROR((Y13/$K13)*100)),((Y13/$K13)*100) &lt;&gt; 0), (Y13/$K13)*100, ""))</f>
        <v/>
      </c>
      <c r="AA13" s="38"/>
      <c r="AB13" s="43" t="str">
        <f t="shared" ref="AB13:AB55" si="14">IF((ISERROR((AA13/$K13)*100)), "", IF(AND(NOT(ISERROR((AA13/$K13)*100)),((AA13/$K13)*100) &lt;&gt; 0), (AA13/$K13)*100, ""))</f>
        <v/>
      </c>
      <c r="AC13" s="38">
        <v>13</v>
      </c>
      <c r="AD13" s="43">
        <f>IF((ISERROR((AC13/$K13)*100)), "", IF(AND(NOT(ISERROR((AC13/$K13)*100)),((AC13/$K13)*100) &lt;&gt; 0), (AC13/$K13)*100, ""))</f>
        <v>13</v>
      </c>
      <c r="AE13" s="38"/>
      <c r="AF13" s="43" t="str">
        <f t="shared" ref="AF13:AF55" si="15">IF((ISERROR((AE13/$K13)*100)), "", IF(AND(NOT(ISERROR((AE13/$K13)*100)),((AE13/$K13)*100) &lt;&gt; 0), (AE13/$K13)*100, ""))</f>
        <v/>
      </c>
      <c r="AG13" s="38"/>
      <c r="AH13" s="43" t="str">
        <f t="shared" ref="AH13:AH55" si="16">IF((ISERROR((AG13/$K13)*100)), "", IF(AND(NOT(ISERROR((AG13/$K13)*100)),((AG13/$K13)*100) &lt;&gt; 0), (AG13/$K13)*100, ""))</f>
        <v/>
      </c>
      <c r="AI13" s="38"/>
      <c r="AJ13" s="43" t="str">
        <f t="shared" ref="AJ13:AJ55" si="17">IF((ISERROR((AI13/$K13)*100)), "", IF(AND(NOT(ISERROR((AI13/$K13)*100)),((AI13/$K13)*100) &lt;&gt; 0), (AI13/$K13)*100, ""))</f>
        <v/>
      </c>
      <c r="AK13" s="38"/>
      <c r="AL13" s="43" t="str">
        <f t="shared" ref="AL13:AL55" si="18">IF((ISERROR((AK13/$K13)*100)), "", IF(AND(NOT(ISERROR((AK13/$K13)*100)),((AK13/$K13)*100) &lt;&gt; 0), (AK13/$K13)*100, ""))</f>
        <v/>
      </c>
      <c r="AM13" s="38">
        <v>1</v>
      </c>
      <c r="AN13" s="43">
        <f t="shared" ref="AN13:AN55" si="19">IF((ISERROR((AM13/$K13)*100)), "", IF(AND(NOT(ISERROR((AM13/$K13)*100)),((AM13/$K13)*100) &lt;&gt; 0), (AM13/$K13)*100, ""))</f>
        <v>1</v>
      </c>
      <c r="AO13" s="38"/>
      <c r="AP13" s="43" t="str">
        <f t="shared" ref="AP13:AP55" si="20">IF((ISERROR((AO13/$K13)*100)), "", IF(AND(NOT(ISERROR((AO13/$K13)*100)),((AO13/$K13)*100) &lt;&gt; 0), (AO13/$K13)*100, ""))</f>
        <v/>
      </c>
      <c r="AQ13" s="38"/>
      <c r="AR13" s="43" t="str">
        <f t="shared" ref="AR13:AR55" si="21">IF((ISERROR((AQ13/$K13)*100)), "", IF(AND(NOT(ISERROR((AQ13/$K13)*100)),((AQ13/$K13)*100) &lt;&gt; 0), (AQ13/$K13)*100, ""))</f>
        <v/>
      </c>
      <c r="AS13" s="38"/>
      <c r="AT13" s="43" t="str">
        <f t="shared" ref="AT13:AT55" si="22">IF((ISERROR((AS13/$K13)*100)), "", IF(AND(NOT(ISERROR((AS13/$K13)*100)),((AS13/$K13)*100) &lt;&gt; 0), (AS13/$K13)*100, ""))</f>
        <v/>
      </c>
      <c r="AU13" s="38"/>
      <c r="AV13" s="43" t="str">
        <f t="shared" ref="AV13:AV55" si="23">IF((ISERROR((AU13/$K13)*100)), "", IF(AND(NOT(ISERROR((AU13/$K13)*100)),((AU13/$K13)*100) &lt;&gt; 0), (AU13/$K13)*100, ""))</f>
        <v/>
      </c>
      <c r="AW13" s="38"/>
      <c r="AX13" s="43" t="str">
        <f t="shared" ref="AX13:AX55" si="24">IF((ISERROR((AW13/$K13)*100)), "", IF(AND(NOT(ISERROR((AW13/$K13)*100)),((AW13/$K13)*100) &lt;&gt; 0), (AW13/$K13)*100, ""))</f>
        <v/>
      </c>
      <c r="AY13" s="38"/>
      <c r="AZ13" s="43" t="str">
        <f t="shared" ref="AZ13:AZ55" si="25">IF((ISERROR((AY13/$K13)*100)), "", IF(AND(NOT(ISERROR((AY13/$K13)*100)),((AY13/$K13)*100) &lt;&gt; 0), (AY13/$K13)*100, ""))</f>
        <v/>
      </c>
      <c r="BA13" s="19" t="s">
        <v>205</v>
      </c>
    </row>
    <row r="14" spans="1:53" ht="20" customHeight="1" x14ac:dyDescent="0.2">
      <c r="A14" s="128"/>
      <c r="B14" s="129"/>
      <c r="C14" s="75" t="s">
        <v>207</v>
      </c>
      <c r="D14" s="75"/>
      <c r="E14" s="76" t="s">
        <v>71</v>
      </c>
      <c r="F14" s="76" t="s">
        <v>72</v>
      </c>
      <c r="G14" s="75">
        <v>2014</v>
      </c>
      <c r="H14" s="81">
        <v>9</v>
      </c>
      <c r="I14" s="84"/>
      <c r="J14" s="64">
        <v>8</v>
      </c>
      <c r="K14" s="65">
        <v>82</v>
      </c>
      <c r="L14" s="112">
        <f t="shared" ref="L14:L55" si="26">IF(AND(NOT(ISERROR(J14/K14*100)), J14&lt;&gt;""), J14/K14*100, "")</f>
        <v>9.7560975609756095</v>
      </c>
      <c r="M14" s="31"/>
      <c r="N14" s="40" t="str">
        <f t="shared" si="0"/>
        <v/>
      </c>
      <c r="O14" s="35"/>
      <c r="P14" s="40" t="str">
        <f t="shared" si="8"/>
        <v/>
      </c>
      <c r="Q14" s="31"/>
      <c r="R14" s="40" t="str">
        <f t="shared" si="9"/>
        <v/>
      </c>
      <c r="S14" s="31"/>
      <c r="T14" s="40" t="str">
        <f t="shared" si="10"/>
        <v/>
      </c>
      <c r="U14" s="31"/>
      <c r="V14" s="40" t="str">
        <f t="shared" si="11"/>
        <v/>
      </c>
      <c r="W14" s="31"/>
      <c r="X14" s="40" t="str">
        <f t="shared" si="12"/>
        <v/>
      </c>
      <c r="Y14" s="31"/>
      <c r="Z14" s="40" t="str">
        <f t="shared" si="13"/>
        <v/>
      </c>
      <c r="AA14" s="31"/>
      <c r="AB14" s="40" t="str">
        <f t="shared" si="14"/>
        <v/>
      </c>
      <c r="AC14" s="31">
        <v>8</v>
      </c>
      <c r="AD14" s="40">
        <f t="shared" ref="AD14:AD55" si="27">IF((ISERROR((AC14/K14)*100)), "", IF(AND(NOT(ISERROR((AC14/K14)*100)),((AC14/K14)*100) &lt;&gt; 0), (AC14/K14)*100, ""))</f>
        <v>9.7560975609756095</v>
      </c>
      <c r="AE14" s="31"/>
      <c r="AF14" s="40" t="str">
        <f t="shared" si="15"/>
        <v/>
      </c>
      <c r="AG14" s="31"/>
      <c r="AH14" s="40" t="str">
        <f t="shared" si="16"/>
        <v/>
      </c>
      <c r="AI14" s="31"/>
      <c r="AJ14" s="40" t="str">
        <f t="shared" si="17"/>
        <v/>
      </c>
      <c r="AK14" s="31"/>
      <c r="AL14" s="40" t="str">
        <f t="shared" si="18"/>
        <v/>
      </c>
      <c r="AM14" s="31"/>
      <c r="AN14" s="40" t="str">
        <f t="shared" si="19"/>
        <v/>
      </c>
      <c r="AO14" s="31"/>
      <c r="AP14" s="40" t="str">
        <f t="shared" si="20"/>
        <v/>
      </c>
      <c r="AQ14" s="31"/>
      <c r="AR14" s="40" t="str">
        <f t="shared" si="21"/>
        <v/>
      </c>
      <c r="AS14" s="31"/>
      <c r="AT14" s="40" t="str">
        <f t="shared" si="22"/>
        <v/>
      </c>
      <c r="AU14" s="31"/>
      <c r="AV14" s="40" t="str">
        <f t="shared" si="23"/>
        <v/>
      </c>
      <c r="AW14" s="31"/>
      <c r="AX14" s="40" t="str">
        <f t="shared" si="24"/>
        <v/>
      </c>
      <c r="AY14" s="31"/>
      <c r="AZ14" s="40" t="str">
        <f t="shared" si="25"/>
        <v/>
      </c>
      <c r="BA14" s="22" t="s">
        <v>206</v>
      </c>
    </row>
    <row r="15" spans="1:53" ht="20" customHeight="1" x14ac:dyDescent="0.2">
      <c r="A15" s="130"/>
      <c r="B15" s="131"/>
      <c r="C15" s="75"/>
      <c r="D15" s="75"/>
      <c r="E15" s="76" t="s">
        <v>74</v>
      </c>
      <c r="F15" s="76" t="s">
        <v>75</v>
      </c>
      <c r="G15" s="75">
        <v>2013</v>
      </c>
      <c r="H15" s="81">
        <v>15</v>
      </c>
      <c r="I15" s="84"/>
      <c r="J15" s="64"/>
      <c r="K15" s="65"/>
      <c r="L15" s="112" t="str">
        <f t="shared" si="26"/>
        <v/>
      </c>
      <c r="M15" s="31"/>
      <c r="N15" s="40" t="str">
        <f t="shared" si="0"/>
        <v/>
      </c>
      <c r="O15" s="35"/>
      <c r="P15" s="40" t="str">
        <f t="shared" si="8"/>
        <v/>
      </c>
      <c r="Q15" s="31"/>
      <c r="R15" s="40" t="str">
        <f t="shared" si="9"/>
        <v/>
      </c>
      <c r="S15" s="31"/>
      <c r="T15" s="40" t="str">
        <f t="shared" si="10"/>
        <v/>
      </c>
      <c r="U15" s="31"/>
      <c r="V15" s="40" t="str">
        <f t="shared" si="11"/>
        <v/>
      </c>
      <c r="W15" s="31"/>
      <c r="X15" s="40" t="str">
        <f t="shared" si="12"/>
        <v/>
      </c>
      <c r="Y15" s="31"/>
      <c r="Z15" s="40" t="str">
        <f t="shared" si="13"/>
        <v/>
      </c>
      <c r="AA15" s="31"/>
      <c r="AB15" s="40" t="str">
        <f t="shared" si="14"/>
        <v/>
      </c>
      <c r="AC15" s="31"/>
      <c r="AD15" s="40" t="str">
        <f t="shared" si="27"/>
        <v/>
      </c>
      <c r="AE15" s="31"/>
      <c r="AF15" s="40" t="str">
        <f t="shared" si="15"/>
        <v/>
      </c>
      <c r="AG15" s="31"/>
      <c r="AH15" s="40" t="str">
        <f t="shared" si="16"/>
        <v/>
      </c>
      <c r="AI15" s="31"/>
      <c r="AJ15" s="40" t="str">
        <f t="shared" si="17"/>
        <v/>
      </c>
      <c r="AK15" s="31"/>
      <c r="AL15" s="40" t="str">
        <f t="shared" si="18"/>
        <v/>
      </c>
      <c r="AM15" s="31"/>
      <c r="AN15" s="40" t="str">
        <f t="shared" si="19"/>
        <v/>
      </c>
      <c r="AO15" s="31"/>
      <c r="AP15" s="40" t="str">
        <f t="shared" si="20"/>
        <v/>
      </c>
      <c r="AQ15" s="31"/>
      <c r="AR15" s="40" t="str">
        <f t="shared" si="21"/>
        <v/>
      </c>
      <c r="AS15" s="31"/>
      <c r="AT15" s="40" t="str">
        <f t="shared" si="22"/>
        <v/>
      </c>
      <c r="AU15" s="31"/>
      <c r="AV15" s="40" t="str">
        <f t="shared" si="23"/>
        <v/>
      </c>
      <c r="AW15" s="31"/>
      <c r="AX15" s="40" t="str">
        <f t="shared" si="24"/>
        <v/>
      </c>
      <c r="AY15" s="31"/>
      <c r="AZ15" s="40" t="str">
        <f t="shared" si="25"/>
        <v/>
      </c>
      <c r="BA15" s="22" t="s">
        <v>73</v>
      </c>
    </row>
    <row r="16" spans="1:53" ht="20" customHeight="1" x14ac:dyDescent="0.2">
      <c r="A16" s="130"/>
      <c r="B16" s="131"/>
      <c r="C16" s="75" t="s">
        <v>207</v>
      </c>
      <c r="D16" s="75"/>
      <c r="E16" s="76" t="s">
        <v>76</v>
      </c>
      <c r="F16" s="76" t="s">
        <v>77</v>
      </c>
      <c r="G16" s="75">
        <v>1986</v>
      </c>
      <c r="H16" s="81">
        <v>146</v>
      </c>
      <c r="I16" s="84" t="s">
        <v>78</v>
      </c>
      <c r="J16" s="64">
        <v>13</v>
      </c>
      <c r="K16" s="65">
        <v>13</v>
      </c>
      <c r="L16" s="112">
        <f t="shared" si="26"/>
        <v>100</v>
      </c>
      <c r="M16" s="31"/>
      <c r="N16" s="40" t="str">
        <f t="shared" si="0"/>
        <v/>
      </c>
      <c r="O16" s="35"/>
      <c r="P16" s="40" t="str">
        <f t="shared" si="8"/>
        <v/>
      </c>
      <c r="Q16" s="31"/>
      <c r="R16" s="40" t="str">
        <f t="shared" si="9"/>
        <v/>
      </c>
      <c r="S16" s="31"/>
      <c r="T16" s="40" t="str">
        <f t="shared" si="10"/>
        <v/>
      </c>
      <c r="U16" s="31"/>
      <c r="V16" s="40" t="str">
        <f t="shared" si="11"/>
        <v/>
      </c>
      <c r="W16" s="31"/>
      <c r="X16" s="40" t="str">
        <f t="shared" si="12"/>
        <v/>
      </c>
      <c r="Y16" s="31">
        <v>13</v>
      </c>
      <c r="Z16" s="40">
        <f t="shared" si="13"/>
        <v>100</v>
      </c>
      <c r="AA16" s="31"/>
      <c r="AB16" s="40" t="str">
        <f t="shared" si="14"/>
        <v/>
      </c>
      <c r="AC16" s="31"/>
      <c r="AD16" s="40" t="str">
        <f t="shared" si="27"/>
        <v/>
      </c>
      <c r="AE16" s="31">
        <v>12</v>
      </c>
      <c r="AF16" s="40">
        <f t="shared" si="15"/>
        <v>92.307692307692307</v>
      </c>
      <c r="AG16" s="31"/>
      <c r="AH16" s="40" t="str">
        <f t="shared" si="16"/>
        <v/>
      </c>
      <c r="AI16" s="31"/>
      <c r="AJ16" s="40" t="str">
        <f t="shared" si="17"/>
        <v/>
      </c>
      <c r="AK16" s="31"/>
      <c r="AL16" s="40" t="str">
        <f t="shared" si="18"/>
        <v/>
      </c>
      <c r="AM16" s="31"/>
      <c r="AN16" s="40" t="str">
        <f t="shared" si="19"/>
        <v/>
      </c>
      <c r="AO16" s="31"/>
      <c r="AP16" s="40" t="str">
        <f t="shared" si="20"/>
        <v/>
      </c>
      <c r="AQ16" s="31"/>
      <c r="AR16" s="40" t="str">
        <f t="shared" si="21"/>
        <v/>
      </c>
      <c r="AS16" s="31"/>
      <c r="AT16" s="40" t="str">
        <f t="shared" si="22"/>
        <v/>
      </c>
      <c r="AU16" s="31"/>
      <c r="AV16" s="40" t="str">
        <f t="shared" si="23"/>
        <v/>
      </c>
      <c r="AW16" s="31"/>
      <c r="AX16" s="40" t="str">
        <f t="shared" si="24"/>
        <v/>
      </c>
      <c r="AY16" s="31"/>
      <c r="AZ16" s="40" t="str">
        <f t="shared" si="25"/>
        <v/>
      </c>
      <c r="BA16" s="22" t="s">
        <v>208</v>
      </c>
    </row>
    <row r="17" spans="1:53" ht="20" customHeight="1" x14ac:dyDescent="0.2">
      <c r="A17" s="130"/>
      <c r="B17" s="131"/>
      <c r="C17" s="75"/>
      <c r="D17" s="75"/>
      <c r="E17" s="76" t="s">
        <v>80</v>
      </c>
      <c r="F17" s="76" t="s">
        <v>81</v>
      </c>
      <c r="G17" s="75">
        <v>2008</v>
      </c>
      <c r="H17" s="81">
        <v>33</v>
      </c>
      <c r="I17" s="84"/>
      <c r="J17" s="64">
        <v>12</v>
      </c>
      <c r="K17" s="65">
        <v>101</v>
      </c>
      <c r="L17" s="112">
        <f t="shared" si="26"/>
        <v>11.881188118811881</v>
      </c>
      <c r="M17" s="31"/>
      <c r="N17" s="40" t="str">
        <f t="shared" si="0"/>
        <v/>
      </c>
      <c r="O17" s="35"/>
      <c r="P17" s="40" t="str">
        <f t="shared" si="8"/>
        <v/>
      </c>
      <c r="Q17" s="31"/>
      <c r="R17" s="40" t="str">
        <f t="shared" si="9"/>
        <v/>
      </c>
      <c r="S17" s="31"/>
      <c r="T17" s="40" t="str">
        <f t="shared" si="10"/>
        <v/>
      </c>
      <c r="U17" s="31"/>
      <c r="V17" s="40" t="str">
        <f t="shared" si="11"/>
        <v/>
      </c>
      <c r="W17" s="31"/>
      <c r="X17" s="40" t="str">
        <f t="shared" si="12"/>
        <v/>
      </c>
      <c r="Y17" s="31"/>
      <c r="Z17" s="40" t="str">
        <f t="shared" si="13"/>
        <v/>
      </c>
      <c r="AA17" s="31"/>
      <c r="AB17" s="40" t="str">
        <f t="shared" si="14"/>
        <v/>
      </c>
      <c r="AC17" s="31">
        <v>6</v>
      </c>
      <c r="AD17" s="40">
        <f t="shared" si="27"/>
        <v>5.9405940594059405</v>
      </c>
      <c r="AE17" s="31"/>
      <c r="AF17" s="40" t="str">
        <f t="shared" si="15"/>
        <v/>
      </c>
      <c r="AG17" s="31"/>
      <c r="AH17" s="40" t="str">
        <f t="shared" si="16"/>
        <v/>
      </c>
      <c r="AI17" s="31"/>
      <c r="AJ17" s="40" t="str">
        <f t="shared" si="17"/>
        <v/>
      </c>
      <c r="AK17" s="31"/>
      <c r="AL17" s="40" t="str">
        <f t="shared" si="18"/>
        <v/>
      </c>
      <c r="AM17" s="31">
        <v>6</v>
      </c>
      <c r="AN17" s="40">
        <f t="shared" si="19"/>
        <v>5.9405940594059405</v>
      </c>
      <c r="AO17" s="31"/>
      <c r="AP17" s="40" t="str">
        <f t="shared" si="20"/>
        <v/>
      </c>
      <c r="AQ17" s="31"/>
      <c r="AR17" s="40" t="str">
        <f t="shared" si="21"/>
        <v/>
      </c>
      <c r="AS17" s="31"/>
      <c r="AT17" s="40" t="str">
        <f t="shared" si="22"/>
        <v/>
      </c>
      <c r="AU17" s="31"/>
      <c r="AV17" s="40" t="str">
        <f t="shared" si="23"/>
        <v/>
      </c>
      <c r="AW17" s="31"/>
      <c r="AX17" s="40" t="str">
        <f t="shared" si="24"/>
        <v/>
      </c>
      <c r="AY17" s="31"/>
      <c r="AZ17" s="40" t="str">
        <f t="shared" si="25"/>
        <v/>
      </c>
      <c r="BA17" s="19" t="s">
        <v>82</v>
      </c>
    </row>
    <row r="18" spans="1:53" ht="20" customHeight="1" x14ac:dyDescent="0.2">
      <c r="A18" s="128"/>
      <c r="B18" s="131"/>
      <c r="C18" s="75"/>
      <c r="D18" s="75" t="s">
        <v>252</v>
      </c>
      <c r="E18" s="76" t="s">
        <v>256</v>
      </c>
      <c r="F18" s="76" t="s">
        <v>257</v>
      </c>
      <c r="G18" s="75">
        <v>1996</v>
      </c>
      <c r="H18" s="81"/>
      <c r="I18" s="84"/>
      <c r="J18" s="64">
        <v>56</v>
      </c>
      <c r="K18" s="65">
        <v>72</v>
      </c>
      <c r="L18" s="112">
        <f t="shared" si="26"/>
        <v>77.777777777777786</v>
      </c>
      <c r="M18" s="31"/>
      <c r="N18" s="40"/>
      <c r="O18" s="35">
        <v>56</v>
      </c>
      <c r="P18" s="40"/>
      <c r="Q18" s="31"/>
      <c r="R18" s="40"/>
      <c r="S18" s="31"/>
      <c r="T18" s="40"/>
      <c r="U18" s="31"/>
      <c r="V18" s="40"/>
      <c r="W18" s="31"/>
      <c r="X18" s="40"/>
      <c r="Y18" s="31"/>
      <c r="Z18" s="40"/>
      <c r="AA18" s="31"/>
      <c r="AB18" s="40"/>
      <c r="AC18" s="31"/>
      <c r="AD18" s="40"/>
      <c r="AE18" s="31"/>
      <c r="AF18" s="40"/>
      <c r="AG18" s="31"/>
      <c r="AH18" s="40"/>
      <c r="AI18" s="31"/>
      <c r="AJ18" s="40"/>
      <c r="AK18" s="31"/>
      <c r="AL18" s="40"/>
      <c r="AM18" s="31"/>
      <c r="AN18" s="40"/>
      <c r="AO18" s="31"/>
      <c r="AP18" s="40"/>
      <c r="AQ18" s="31"/>
      <c r="AR18" s="40"/>
      <c r="AS18" s="31"/>
      <c r="AT18" s="40"/>
      <c r="AU18" s="31"/>
      <c r="AV18" s="40"/>
      <c r="AW18" s="31"/>
      <c r="AX18" s="40"/>
      <c r="AY18" s="32"/>
      <c r="AZ18" s="32"/>
      <c r="BA18" s="19" t="s">
        <v>258</v>
      </c>
    </row>
    <row r="19" spans="1:53" ht="20" customHeight="1" x14ac:dyDescent="0.2">
      <c r="A19" s="128"/>
      <c r="B19" s="129"/>
      <c r="C19" s="75"/>
      <c r="D19" s="75"/>
      <c r="E19" s="76" t="s">
        <v>83</v>
      </c>
      <c r="F19" s="76" t="s">
        <v>84</v>
      </c>
      <c r="G19" s="75">
        <v>2011</v>
      </c>
      <c r="H19" s="81"/>
      <c r="I19" s="84"/>
      <c r="J19" s="64">
        <v>1</v>
      </c>
      <c r="K19" s="65">
        <v>1</v>
      </c>
      <c r="L19" s="112">
        <f t="shared" si="26"/>
        <v>100</v>
      </c>
      <c r="M19" s="31">
        <v>1</v>
      </c>
      <c r="N19" s="40">
        <f t="shared" si="0"/>
        <v>100</v>
      </c>
      <c r="O19" s="35"/>
      <c r="P19" s="40" t="str">
        <f t="shared" si="8"/>
        <v/>
      </c>
      <c r="Q19" s="31"/>
      <c r="R19" s="40" t="str">
        <f t="shared" si="9"/>
        <v/>
      </c>
      <c r="S19" s="31"/>
      <c r="T19" s="40" t="str">
        <f t="shared" si="10"/>
        <v/>
      </c>
      <c r="U19" s="31"/>
      <c r="V19" s="40" t="str">
        <f t="shared" si="11"/>
        <v/>
      </c>
      <c r="W19" s="31"/>
      <c r="X19" s="40" t="str">
        <f t="shared" si="12"/>
        <v/>
      </c>
      <c r="Y19" s="31"/>
      <c r="Z19" s="40" t="str">
        <f t="shared" si="13"/>
        <v/>
      </c>
      <c r="AA19" s="31"/>
      <c r="AB19" s="40" t="str">
        <f t="shared" si="14"/>
        <v/>
      </c>
      <c r="AC19" s="31"/>
      <c r="AD19" s="40" t="str">
        <f t="shared" si="27"/>
        <v/>
      </c>
      <c r="AE19" s="31"/>
      <c r="AF19" s="40" t="str">
        <f t="shared" si="15"/>
        <v/>
      </c>
      <c r="AG19" s="31"/>
      <c r="AH19" s="40" t="str">
        <f t="shared" si="16"/>
        <v/>
      </c>
      <c r="AI19" s="31"/>
      <c r="AJ19" s="40" t="str">
        <f t="shared" si="17"/>
        <v/>
      </c>
      <c r="AK19" s="31"/>
      <c r="AL19" s="40" t="str">
        <f t="shared" si="18"/>
        <v/>
      </c>
      <c r="AM19" s="31"/>
      <c r="AN19" s="40" t="str">
        <f t="shared" si="19"/>
        <v/>
      </c>
      <c r="AO19" s="31"/>
      <c r="AP19" s="40" t="str">
        <f t="shared" si="20"/>
        <v/>
      </c>
      <c r="AQ19" s="31"/>
      <c r="AR19" s="40" t="str">
        <f t="shared" si="21"/>
        <v/>
      </c>
      <c r="AS19" s="31"/>
      <c r="AT19" s="40" t="str">
        <f t="shared" si="22"/>
        <v/>
      </c>
      <c r="AU19" s="31"/>
      <c r="AV19" s="40" t="str">
        <f t="shared" si="23"/>
        <v/>
      </c>
      <c r="AW19" s="31"/>
      <c r="AX19" s="40" t="str">
        <f t="shared" si="24"/>
        <v/>
      </c>
      <c r="AY19" s="31"/>
      <c r="AZ19" s="40" t="str">
        <f t="shared" si="25"/>
        <v/>
      </c>
      <c r="BA19" s="19" t="s">
        <v>259</v>
      </c>
    </row>
    <row r="20" spans="1:53" ht="20" customHeight="1" x14ac:dyDescent="0.2">
      <c r="A20" s="130"/>
      <c r="B20" s="131"/>
      <c r="C20" s="75"/>
      <c r="D20" s="75"/>
      <c r="E20" s="76" t="s">
        <v>85</v>
      </c>
      <c r="F20" s="76" t="s">
        <v>86</v>
      </c>
      <c r="G20" s="75">
        <v>2010</v>
      </c>
      <c r="H20" s="81">
        <v>17</v>
      </c>
      <c r="I20" s="84"/>
      <c r="J20" s="64"/>
      <c r="K20" s="65">
        <v>83</v>
      </c>
      <c r="L20" s="112" t="str">
        <f t="shared" si="26"/>
        <v/>
      </c>
      <c r="M20" s="31"/>
      <c r="N20" s="40" t="str">
        <f t="shared" si="0"/>
        <v/>
      </c>
      <c r="O20" s="35"/>
      <c r="P20" s="40" t="str">
        <f t="shared" si="8"/>
        <v/>
      </c>
      <c r="Q20" s="31"/>
      <c r="R20" s="40" t="str">
        <f t="shared" si="9"/>
        <v/>
      </c>
      <c r="S20" s="31"/>
      <c r="T20" s="40" t="str">
        <f t="shared" si="10"/>
        <v/>
      </c>
      <c r="U20" s="31"/>
      <c r="V20" s="40" t="str">
        <f t="shared" si="11"/>
        <v/>
      </c>
      <c r="W20" s="31"/>
      <c r="X20" s="40" t="str">
        <f t="shared" si="12"/>
        <v/>
      </c>
      <c r="Y20" s="31"/>
      <c r="Z20" s="40" t="str">
        <f t="shared" si="13"/>
        <v/>
      </c>
      <c r="AA20" s="31"/>
      <c r="AB20" s="40" t="str">
        <f t="shared" si="14"/>
        <v/>
      </c>
      <c r="AC20" s="31"/>
      <c r="AD20" s="40" t="str">
        <f t="shared" si="27"/>
        <v/>
      </c>
      <c r="AE20" s="31"/>
      <c r="AF20" s="40" t="str">
        <f t="shared" si="15"/>
        <v/>
      </c>
      <c r="AG20" s="31"/>
      <c r="AH20" s="40" t="str">
        <f t="shared" si="16"/>
        <v/>
      </c>
      <c r="AI20" s="31"/>
      <c r="AJ20" s="40" t="str">
        <f t="shared" si="17"/>
        <v/>
      </c>
      <c r="AK20" s="31"/>
      <c r="AL20" s="40" t="str">
        <f t="shared" si="18"/>
        <v/>
      </c>
      <c r="AM20" s="31"/>
      <c r="AN20" s="40" t="str">
        <f t="shared" si="19"/>
        <v/>
      </c>
      <c r="AO20" s="31"/>
      <c r="AP20" s="40" t="str">
        <f t="shared" si="20"/>
        <v/>
      </c>
      <c r="AQ20" s="31"/>
      <c r="AR20" s="40" t="str">
        <f t="shared" si="21"/>
        <v/>
      </c>
      <c r="AS20" s="31"/>
      <c r="AT20" s="40" t="str">
        <f t="shared" si="22"/>
        <v/>
      </c>
      <c r="AU20" s="31"/>
      <c r="AV20" s="40" t="str">
        <f t="shared" si="23"/>
        <v/>
      </c>
      <c r="AW20" s="31"/>
      <c r="AX20" s="40" t="str">
        <f t="shared" si="24"/>
        <v/>
      </c>
      <c r="AY20" s="31"/>
      <c r="AZ20" s="40" t="str">
        <f t="shared" si="25"/>
        <v/>
      </c>
      <c r="BA20" s="19" t="s">
        <v>260</v>
      </c>
    </row>
    <row r="21" spans="1:53" ht="20" customHeight="1" x14ac:dyDescent="0.2">
      <c r="A21" s="130"/>
      <c r="B21" s="131"/>
      <c r="C21" s="75"/>
      <c r="D21" s="75"/>
      <c r="E21" s="76" t="s">
        <v>87</v>
      </c>
      <c r="F21" s="76" t="s">
        <v>88</v>
      </c>
      <c r="G21" s="75">
        <v>2013</v>
      </c>
      <c r="H21" s="81">
        <v>13</v>
      </c>
      <c r="I21" s="84"/>
      <c r="J21" s="64">
        <v>16</v>
      </c>
      <c r="K21" s="65">
        <v>201</v>
      </c>
      <c r="L21" s="112">
        <f t="shared" si="26"/>
        <v>7.9601990049751246</v>
      </c>
      <c r="M21" s="31"/>
      <c r="N21" s="40" t="str">
        <f t="shared" si="0"/>
        <v/>
      </c>
      <c r="O21" s="35"/>
      <c r="P21" s="40" t="str">
        <f t="shared" si="8"/>
        <v/>
      </c>
      <c r="Q21" s="31"/>
      <c r="R21" s="40" t="str">
        <f t="shared" si="9"/>
        <v/>
      </c>
      <c r="S21" s="31"/>
      <c r="T21" s="40" t="str">
        <f t="shared" si="10"/>
        <v/>
      </c>
      <c r="U21" s="31"/>
      <c r="V21" s="40" t="str">
        <f t="shared" si="11"/>
        <v/>
      </c>
      <c r="W21" s="31"/>
      <c r="X21" s="40" t="str">
        <f t="shared" si="12"/>
        <v/>
      </c>
      <c r="Y21" s="31"/>
      <c r="Z21" s="40" t="str">
        <f t="shared" si="13"/>
        <v/>
      </c>
      <c r="AA21" s="31"/>
      <c r="AB21" s="40" t="str">
        <f t="shared" si="14"/>
        <v/>
      </c>
      <c r="AC21" s="31">
        <v>16</v>
      </c>
      <c r="AD21" s="40">
        <f t="shared" si="27"/>
        <v>7.9601990049751246</v>
      </c>
      <c r="AE21" s="31"/>
      <c r="AF21" s="40" t="str">
        <f t="shared" si="15"/>
        <v/>
      </c>
      <c r="AG21" s="31"/>
      <c r="AH21" s="40" t="str">
        <f t="shared" si="16"/>
        <v/>
      </c>
      <c r="AI21" s="31"/>
      <c r="AJ21" s="40" t="str">
        <f t="shared" si="17"/>
        <v/>
      </c>
      <c r="AK21" s="31"/>
      <c r="AL21" s="40" t="str">
        <f t="shared" si="18"/>
        <v/>
      </c>
      <c r="AM21" s="31"/>
      <c r="AN21" s="40" t="str">
        <f t="shared" si="19"/>
        <v/>
      </c>
      <c r="AO21" s="31"/>
      <c r="AP21" s="40" t="str">
        <f t="shared" si="20"/>
        <v/>
      </c>
      <c r="AQ21" s="31"/>
      <c r="AR21" s="40" t="str">
        <f t="shared" si="21"/>
        <v/>
      </c>
      <c r="AS21" s="31"/>
      <c r="AT21" s="40" t="str">
        <f t="shared" si="22"/>
        <v/>
      </c>
      <c r="AU21" s="31"/>
      <c r="AV21" s="40" t="str">
        <f t="shared" si="23"/>
        <v/>
      </c>
      <c r="AW21" s="31"/>
      <c r="AX21" s="40" t="str">
        <f t="shared" si="24"/>
        <v/>
      </c>
      <c r="AY21" s="31"/>
      <c r="AZ21" s="40" t="str">
        <f t="shared" si="25"/>
        <v/>
      </c>
      <c r="BA21" s="22" t="s">
        <v>73</v>
      </c>
    </row>
    <row r="22" spans="1:53" ht="20" customHeight="1" x14ac:dyDescent="0.2">
      <c r="A22" s="128"/>
      <c r="B22" s="129"/>
      <c r="C22" s="75"/>
      <c r="D22" s="75"/>
      <c r="E22" s="76" t="s">
        <v>89</v>
      </c>
      <c r="F22" s="76" t="s">
        <v>90</v>
      </c>
      <c r="G22" s="75">
        <v>2013</v>
      </c>
      <c r="H22" s="81">
        <v>12</v>
      </c>
      <c r="I22" s="84" t="s">
        <v>91</v>
      </c>
      <c r="J22" s="64"/>
      <c r="K22" s="65">
        <v>304</v>
      </c>
      <c r="L22" s="112" t="str">
        <f t="shared" si="26"/>
        <v/>
      </c>
      <c r="M22" s="31"/>
      <c r="N22" s="40" t="str">
        <f t="shared" si="0"/>
        <v/>
      </c>
      <c r="O22" s="35"/>
      <c r="P22" s="40" t="str">
        <f t="shared" si="8"/>
        <v/>
      </c>
      <c r="Q22" s="31"/>
      <c r="R22" s="40" t="str">
        <f t="shared" si="9"/>
        <v/>
      </c>
      <c r="S22" s="31"/>
      <c r="T22" s="40" t="str">
        <f t="shared" si="10"/>
        <v/>
      </c>
      <c r="U22" s="31"/>
      <c r="V22" s="40" t="str">
        <f t="shared" si="11"/>
        <v/>
      </c>
      <c r="W22" s="31"/>
      <c r="X22" s="40" t="str">
        <f t="shared" si="12"/>
        <v/>
      </c>
      <c r="Y22" s="31"/>
      <c r="Z22" s="40" t="str">
        <f t="shared" si="13"/>
        <v/>
      </c>
      <c r="AA22" s="31"/>
      <c r="AB22" s="40" t="str">
        <f t="shared" si="14"/>
        <v/>
      </c>
      <c r="AC22" s="31">
        <v>14</v>
      </c>
      <c r="AD22" s="40">
        <f t="shared" si="27"/>
        <v>4.6052631578947363</v>
      </c>
      <c r="AE22" s="31"/>
      <c r="AF22" s="40" t="str">
        <f t="shared" si="15"/>
        <v/>
      </c>
      <c r="AG22" s="31"/>
      <c r="AH22" s="40" t="str">
        <f t="shared" si="16"/>
        <v/>
      </c>
      <c r="AI22" s="31"/>
      <c r="AJ22" s="40" t="str">
        <f t="shared" si="17"/>
        <v/>
      </c>
      <c r="AK22" s="31"/>
      <c r="AL22" s="40" t="str">
        <f t="shared" si="18"/>
        <v/>
      </c>
      <c r="AM22" s="31"/>
      <c r="AN22" s="40" t="str">
        <f t="shared" si="19"/>
        <v/>
      </c>
      <c r="AO22" s="31"/>
      <c r="AP22" s="40" t="str">
        <f t="shared" si="20"/>
        <v/>
      </c>
      <c r="AQ22" s="31"/>
      <c r="AR22" s="40" t="str">
        <f t="shared" si="21"/>
        <v/>
      </c>
      <c r="AS22" s="31"/>
      <c r="AT22" s="40" t="str">
        <f t="shared" si="22"/>
        <v/>
      </c>
      <c r="AU22" s="31"/>
      <c r="AV22" s="40" t="str">
        <f t="shared" si="23"/>
        <v/>
      </c>
      <c r="AW22" s="31"/>
      <c r="AX22" s="40" t="str">
        <f t="shared" si="24"/>
        <v/>
      </c>
      <c r="AY22" s="31"/>
      <c r="AZ22" s="40" t="str">
        <f t="shared" si="25"/>
        <v/>
      </c>
    </row>
    <row r="23" spans="1:53" ht="20" customHeight="1" x14ac:dyDescent="0.2">
      <c r="A23" s="128"/>
      <c r="B23" s="132"/>
      <c r="C23" s="75"/>
      <c r="D23" s="75"/>
      <c r="E23" s="76" t="s">
        <v>92</v>
      </c>
      <c r="F23" s="76" t="s">
        <v>93</v>
      </c>
      <c r="G23" s="75">
        <v>2010</v>
      </c>
      <c r="H23" s="81">
        <v>28</v>
      </c>
      <c r="I23" s="84"/>
      <c r="J23" s="64"/>
      <c r="K23" s="65">
        <v>597</v>
      </c>
      <c r="L23" s="112" t="str">
        <f t="shared" si="26"/>
        <v/>
      </c>
      <c r="M23" s="31"/>
      <c r="N23" s="40" t="str">
        <f t="shared" si="0"/>
        <v/>
      </c>
      <c r="O23" s="35"/>
      <c r="P23" s="40" t="str">
        <f t="shared" si="8"/>
        <v/>
      </c>
      <c r="Q23" s="31"/>
      <c r="R23" s="40" t="str">
        <f t="shared" si="9"/>
        <v/>
      </c>
      <c r="S23" s="31"/>
      <c r="T23" s="40" t="str">
        <f t="shared" si="10"/>
        <v/>
      </c>
      <c r="U23" s="31"/>
      <c r="V23" s="40" t="str">
        <f t="shared" si="11"/>
        <v/>
      </c>
      <c r="W23" s="32"/>
      <c r="X23" s="32" t="str">
        <f t="shared" si="12"/>
        <v/>
      </c>
      <c r="Y23" s="31"/>
      <c r="Z23" s="40" t="str">
        <f t="shared" si="13"/>
        <v/>
      </c>
      <c r="AA23" s="31"/>
      <c r="AB23" s="40" t="str">
        <f t="shared" si="14"/>
        <v/>
      </c>
      <c r="AC23" s="31">
        <v>14</v>
      </c>
      <c r="AD23" s="40">
        <f t="shared" si="27"/>
        <v>2.3450586264656614</v>
      </c>
      <c r="AE23" s="31"/>
      <c r="AF23" s="40" t="str">
        <f t="shared" si="15"/>
        <v/>
      </c>
      <c r="AG23" s="32"/>
      <c r="AH23" s="32" t="str">
        <f t="shared" si="16"/>
        <v/>
      </c>
      <c r="AI23" s="31"/>
      <c r="AJ23" s="40" t="str">
        <f t="shared" si="17"/>
        <v/>
      </c>
      <c r="AK23" s="31"/>
      <c r="AL23" s="40" t="str">
        <f t="shared" si="18"/>
        <v/>
      </c>
      <c r="AM23" s="31">
        <v>12</v>
      </c>
      <c r="AN23" s="40">
        <f t="shared" si="19"/>
        <v>2.0100502512562812</v>
      </c>
      <c r="AO23" s="31"/>
      <c r="AP23" s="40" t="str">
        <f t="shared" si="20"/>
        <v/>
      </c>
      <c r="AQ23" s="31"/>
      <c r="AR23" s="40" t="str">
        <f t="shared" si="21"/>
        <v/>
      </c>
      <c r="AS23" s="31"/>
      <c r="AT23" s="40" t="str">
        <f t="shared" si="22"/>
        <v/>
      </c>
      <c r="AU23" s="31"/>
      <c r="AV23" s="40" t="str">
        <f t="shared" si="23"/>
        <v/>
      </c>
      <c r="AW23" s="31"/>
      <c r="AX23" s="40" t="str">
        <f t="shared" si="24"/>
        <v/>
      </c>
      <c r="AY23" s="31"/>
      <c r="AZ23" s="40" t="str">
        <f t="shared" si="25"/>
        <v/>
      </c>
      <c r="BA23" s="19" t="s">
        <v>264</v>
      </c>
    </row>
    <row r="24" spans="1:53" ht="20" customHeight="1" x14ac:dyDescent="0.2">
      <c r="A24" s="128"/>
      <c r="B24" s="132"/>
      <c r="C24" s="75"/>
      <c r="D24" s="75"/>
      <c r="E24" s="76" t="s">
        <v>94</v>
      </c>
      <c r="F24" s="76" t="s">
        <v>95</v>
      </c>
      <c r="G24" s="75">
        <v>2012</v>
      </c>
      <c r="H24" s="81">
        <v>22</v>
      </c>
      <c r="I24" s="84" t="s">
        <v>96</v>
      </c>
      <c r="J24" s="64"/>
      <c r="K24" s="65">
        <v>19</v>
      </c>
      <c r="L24" s="112" t="str">
        <f t="shared" si="26"/>
        <v/>
      </c>
      <c r="M24" s="31"/>
      <c r="N24" s="40" t="str">
        <f t="shared" si="0"/>
        <v/>
      </c>
      <c r="O24" s="37"/>
      <c r="P24" s="37" t="str">
        <f t="shared" si="8"/>
        <v/>
      </c>
      <c r="Q24" s="37"/>
      <c r="R24" s="37" t="str">
        <f t="shared" si="9"/>
        <v/>
      </c>
      <c r="S24" s="32"/>
      <c r="T24" s="37" t="str">
        <f t="shared" si="10"/>
        <v/>
      </c>
      <c r="U24" s="31"/>
      <c r="V24" s="40" t="str">
        <f t="shared" si="11"/>
        <v/>
      </c>
      <c r="W24" s="31"/>
      <c r="X24" s="40" t="str">
        <f t="shared" si="12"/>
        <v/>
      </c>
      <c r="Y24" s="32"/>
      <c r="Z24" s="37" t="str">
        <f t="shared" si="13"/>
        <v/>
      </c>
      <c r="AA24" s="31"/>
      <c r="AB24" s="40" t="str">
        <f t="shared" si="14"/>
        <v/>
      </c>
      <c r="AC24" s="32"/>
      <c r="AD24" s="37" t="str">
        <f t="shared" si="27"/>
        <v/>
      </c>
      <c r="AE24" s="31"/>
      <c r="AF24" s="40" t="str">
        <f t="shared" si="15"/>
        <v/>
      </c>
      <c r="AG24" s="31"/>
      <c r="AH24" s="40" t="str">
        <f t="shared" si="16"/>
        <v/>
      </c>
      <c r="AI24" s="31"/>
      <c r="AJ24" s="40" t="str">
        <f t="shared" si="17"/>
        <v/>
      </c>
      <c r="AK24" s="31"/>
      <c r="AL24" s="40" t="str">
        <f t="shared" si="18"/>
        <v/>
      </c>
      <c r="AM24" s="31"/>
      <c r="AN24" s="40" t="str">
        <f t="shared" si="19"/>
        <v/>
      </c>
      <c r="AO24" s="31"/>
      <c r="AP24" s="40" t="str">
        <f t="shared" si="20"/>
        <v/>
      </c>
      <c r="AQ24" s="32"/>
      <c r="AR24" s="32" t="str">
        <f t="shared" si="21"/>
        <v/>
      </c>
      <c r="AS24" s="32"/>
      <c r="AT24" s="32" t="str">
        <f t="shared" si="22"/>
        <v/>
      </c>
      <c r="AU24" s="31"/>
      <c r="AV24" s="40" t="str">
        <f t="shared" si="23"/>
        <v/>
      </c>
      <c r="AW24" s="31"/>
      <c r="AX24" s="40" t="str">
        <f t="shared" si="24"/>
        <v/>
      </c>
      <c r="AY24" s="31"/>
      <c r="AZ24" s="40" t="str">
        <f t="shared" si="25"/>
        <v/>
      </c>
      <c r="BA24" s="19" t="s">
        <v>265</v>
      </c>
    </row>
    <row r="25" spans="1:53" ht="20" customHeight="1" x14ac:dyDescent="0.2">
      <c r="A25" s="128"/>
      <c r="B25" s="132"/>
      <c r="C25" s="75"/>
      <c r="D25" s="75" t="s">
        <v>227</v>
      </c>
      <c r="E25" s="77" t="s">
        <v>209</v>
      </c>
      <c r="F25" s="77" t="s">
        <v>95</v>
      </c>
      <c r="G25" s="78">
        <v>2013</v>
      </c>
      <c r="H25" s="82">
        <v>12</v>
      </c>
      <c r="I25" s="85"/>
      <c r="J25" s="66"/>
      <c r="K25" s="67">
        <v>19</v>
      </c>
      <c r="L25" s="112" t="str">
        <f t="shared" si="26"/>
        <v/>
      </c>
      <c r="M25" s="31"/>
      <c r="N25" s="40" t="str">
        <f t="shared" si="0"/>
        <v/>
      </c>
      <c r="O25" s="37"/>
      <c r="P25" s="37" t="str">
        <f t="shared" si="8"/>
        <v/>
      </c>
      <c r="Q25" s="37"/>
      <c r="R25" s="37" t="str">
        <f t="shared" si="9"/>
        <v/>
      </c>
      <c r="S25" s="32"/>
      <c r="T25" s="37" t="str">
        <f t="shared" si="10"/>
        <v/>
      </c>
      <c r="U25" s="31"/>
      <c r="V25" s="40" t="str">
        <f t="shared" si="11"/>
        <v/>
      </c>
      <c r="W25" s="31"/>
      <c r="X25" s="40" t="str">
        <f t="shared" si="12"/>
        <v/>
      </c>
      <c r="Y25" s="32"/>
      <c r="Z25" s="37" t="str">
        <f t="shared" si="13"/>
        <v/>
      </c>
      <c r="AA25" s="31"/>
      <c r="AB25" s="40" t="str">
        <f t="shared" si="14"/>
        <v/>
      </c>
      <c r="AC25" s="32"/>
      <c r="AD25" s="37" t="str">
        <f t="shared" si="27"/>
        <v/>
      </c>
      <c r="AE25" s="31"/>
      <c r="AF25" s="40" t="str">
        <f t="shared" si="15"/>
        <v/>
      </c>
      <c r="AG25" s="31"/>
      <c r="AH25" s="40" t="str">
        <f t="shared" si="16"/>
        <v/>
      </c>
      <c r="AI25" s="31"/>
      <c r="AJ25" s="40" t="str">
        <f t="shared" si="17"/>
        <v/>
      </c>
      <c r="AK25" s="31"/>
      <c r="AL25" s="40" t="str">
        <f t="shared" si="18"/>
        <v/>
      </c>
      <c r="AM25" s="31"/>
      <c r="AN25" s="40" t="str">
        <f t="shared" si="19"/>
        <v/>
      </c>
      <c r="AO25" s="31"/>
      <c r="AP25" s="40" t="str">
        <f t="shared" si="20"/>
        <v/>
      </c>
      <c r="AQ25" s="32"/>
      <c r="AR25" s="32" t="str">
        <f t="shared" si="21"/>
        <v/>
      </c>
      <c r="AS25" s="32"/>
      <c r="AT25" s="32" t="str">
        <f t="shared" si="22"/>
        <v/>
      </c>
      <c r="AU25" s="31"/>
      <c r="AV25" s="40" t="str">
        <f t="shared" si="23"/>
        <v/>
      </c>
      <c r="AW25" s="31"/>
      <c r="AX25" s="40" t="str">
        <f t="shared" si="24"/>
        <v/>
      </c>
      <c r="AY25" s="31"/>
      <c r="AZ25" s="40" t="str">
        <f t="shared" si="25"/>
        <v/>
      </c>
      <c r="BA25" s="19" t="s">
        <v>174</v>
      </c>
    </row>
    <row r="26" spans="1:53" ht="20" customHeight="1" x14ac:dyDescent="0.2">
      <c r="A26" s="128"/>
      <c r="B26" s="132"/>
      <c r="C26" s="75"/>
      <c r="D26" s="75"/>
      <c r="E26" s="76" t="s">
        <v>98</v>
      </c>
      <c r="F26" s="76" t="s">
        <v>99</v>
      </c>
      <c r="G26" s="75">
        <v>2007</v>
      </c>
      <c r="H26" s="81">
        <v>41</v>
      </c>
      <c r="I26" s="84"/>
      <c r="J26" s="64"/>
      <c r="K26" s="65">
        <v>71</v>
      </c>
      <c r="L26" s="112" t="str">
        <f t="shared" si="26"/>
        <v/>
      </c>
      <c r="M26" s="31"/>
      <c r="N26" s="40" t="str">
        <f t="shared" si="0"/>
        <v/>
      </c>
      <c r="O26" s="35"/>
      <c r="P26" s="40" t="str">
        <f t="shared" si="8"/>
        <v/>
      </c>
      <c r="Q26" s="31"/>
      <c r="R26" s="40" t="str">
        <f t="shared" si="9"/>
        <v/>
      </c>
      <c r="S26" s="31"/>
      <c r="T26" s="40" t="str">
        <f t="shared" si="10"/>
        <v/>
      </c>
      <c r="U26" s="31"/>
      <c r="V26" s="40" t="str">
        <f t="shared" si="11"/>
        <v/>
      </c>
      <c r="W26" s="31"/>
      <c r="X26" s="40" t="str">
        <f t="shared" si="12"/>
        <v/>
      </c>
      <c r="Y26" s="31"/>
      <c r="Z26" s="40" t="str">
        <f t="shared" si="13"/>
        <v/>
      </c>
      <c r="AA26" s="31"/>
      <c r="AB26" s="40" t="str">
        <f t="shared" si="14"/>
        <v/>
      </c>
      <c r="AC26" s="31"/>
      <c r="AD26" s="40" t="str">
        <f t="shared" si="27"/>
        <v/>
      </c>
      <c r="AE26" s="31"/>
      <c r="AF26" s="40" t="str">
        <f t="shared" si="15"/>
        <v/>
      </c>
      <c r="AG26" s="31"/>
      <c r="AH26" s="40" t="str">
        <f t="shared" si="16"/>
        <v/>
      </c>
      <c r="AI26" s="31"/>
      <c r="AJ26" s="40" t="str">
        <f t="shared" si="17"/>
        <v/>
      </c>
      <c r="AK26" s="31"/>
      <c r="AL26" s="40" t="str">
        <f t="shared" si="18"/>
        <v/>
      </c>
      <c r="AM26" s="31"/>
      <c r="AN26" s="40" t="str">
        <f t="shared" si="19"/>
        <v/>
      </c>
      <c r="AO26" s="31"/>
      <c r="AP26" s="40" t="str">
        <f t="shared" si="20"/>
        <v/>
      </c>
      <c r="AQ26" s="31"/>
      <c r="AR26" s="40" t="str">
        <f t="shared" si="21"/>
        <v/>
      </c>
      <c r="AS26" s="31"/>
      <c r="AT26" s="40" t="str">
        <f t="shared" si="22"/>
        <v/>
      </c>
      <c r="AU26" s="31"/>
      <c r="AV26" s="40" t="str">
        <f t="shared" si="23"/>
        <v/>
      </c>
      <c r="AW26" s="31"/>
      <c r="AX26" s="40" t="str">
        <f t="shared" si="24"/>
        <v/>
      </c>
      <c r="AY26" s="31"/>
      <c r="AZ26" s="40" t="str">
        <f t="shared" si="25"/>
        <v/>
      </c>
      <c r="BA26" s="19" t="s">
        <v>100</v>
      </c>
    </row>
    <row r="27" spans="1:53" ht="20" customHeight="1" x14ac:dyDescent="0.2">
      <c r="A27" s="128"/>
      <c r="B27" s="133"/>
      <c r="C27" s="75"/>
      <c r="D27" s="75"/>
      <c r="E27" s="77" t="s">
        <v>101</v>
      </c>
      <c r="F27" s="77" t="s">
        <v>102</v>
      </c>
      <c r="G27" s="78">
        <v>2007</v>
      </c>
      <c r="H27" s="82">
        <v>140</v>
      </c>
      <c r="I27" s="84"/>
      <c r="J27" s="64"/>
      <c r="K27" s="67">
        <v>71</v>
      </c>
      <c r="L27" s="112" t="str">
        <f t="shared" si="26"/>
        <v/>
      </c>
      <c r="M27" s="31"/>
      <c r="N27" s="40" t="str">
        <f t="shared" si="0"/>
        <v/>
      </c>
      <c r="O27" s="35"/>
      <c r="P27" s="40" t="str">
        <f t="shared" si="8"/>
        <v/>
      </c>
      <c r="Q27" s="31"/>
      <c r="R27" s="40" t="str">
        <f t="shared" si="9"/>
        <v/>
      </c>
      <c r="S27" s="31"/>
      <c r="T27" s="40" t="str">
        <f t="shared" si="10"/>
        <v/>
      </c>
      <c r="U27" s="31"/>
      <c r="V27" s="40" t="str">
        <f t="shared" si="11"/>
        <v/>
      </c>
      <c r="W27" s="31"/>
      <c r="X27" s="40" t="str">
        <f t="shared" si="12"/>
        <v/>
      </c>
      <c r="Y27" s="31"/>
      <c r="Z27" s="40" t="str">
        <f t="shared" si="13"/>
        <v/>
      </c>
      <c r="AA27" s="31"/>
      <c r="AB27" s="40" t="str">
        <f t="shared" si="14"/>
        <v/>
      </c>
      <c r="AC27" s="31"/>
      <c r="AD27" s="40" t="str">
        <f t="shared" si="27"/>
        <v/>
      </c>
      <c r="AE27" s="31"/>
      <c r="AF27" s="40" t="str">
        <f t="shared" si="15"/>
        <v/>
      </c>
      <c r="AG27" s="31"/>
      <c r="AH27" s="40" t="str">
        <f t="shared" si="16"/>
        <v/>
      </c>
      <c r="AI27" s="31"/>
      <c r="AJ27" s="40" t="str">
        <f t="shared" si="17"/>
        <v/>
      </c>
      <c r="AK27" s="31"/>
      <c r="AL27" s="40" t="str">
        <f t="shared" si="18"/>
        <v/>
      </c>
      <c r="AM27" s="31"/>
      <c r="AN27" s="40" t="str">
        <f t="shared" si="19"/>
        <v/>
      </c>
      <c r="AO27" s="31"/>
      <c r="AP27" s="40" t="str">
        <f t="shared" si="20"/>
        <v/>
      </c>
      <c r="AQ27" s="31"/>
      <c r="AR27" s="40" t="str">
        <f t="shared" si="21"/>
        <v/>
      </c>
      <c r="AS27" s="31"/>
      <c r="AT27" s="40" t="str">
        <f t="shared" si="22"/>
        <v/>
      </c>
      <c r="AU27" s="31"/>
      <c r="AV27" s="40" t="str">
        <f t="shared" si="23"/>
        <v/>
      </c>
      <c r="AW27" s="31"/>
      <c r="AX27" s="40" t="str">
        <f t="shared" si="24"/>
        <v/>
      </c>
      <c r="AY27" s="31"/>
      <c r="AZ27" s="40" t="str">
        <f t="shared" si="25"/>
        <v/>
      </c>
      <c r="BA27" s="19" t="s">
        <v>103</v>
      </c>
    </row>
    <row r="28" spans="1:53" ht="20" customHeight="1" x14ac:dyDescent="0.2">
      <c r="A28" s="130"/>
      <c r="B28" s="131"/>
      <c r="C28" s="75"/>
      <c r="D28" s="75"/>
      <c r="E28" s="76" t="s">
        <v>104</v>
      </c>
      <c r="F28" s="76" t="s">
        <v>105</v>
      </c>
      <c r="G28" s="75">
        <v>2015</v>
      </c>
      <c r="H28" s="81">
        <v>8</v>
      </c>
      <c r="I28" s="84" t="s">
        <v>106</v>
      </c>
      <c r="J28" s="64"/>
      <c r="K28" s="65">
        <v>255</v>
      </c>
      <c r="L28" s="112" t="str">
        <f t="shared" si="26"/>
        <v/>
      </c>
      <c r="M28" s="31"/>
      <c r="N28" s="40" t="str">
        <f t="shared" si="0"/>
        <v/>
      </c>
      <c r="O28" s="35"/>
      <c r="P28" s="40" t="str">
        <f t="shared" si="8"/>
        <v/>
      </c>
      <c r="Q28" s="31"/>
      <c r="R28" s="40" t="str">
        <f t="shared" si="9"/>
        <v/>
      </c>
      <c r="S28" s="31"/>
      <c r="T28" s="40" t="str">
        <f t="shared" si="10"/>
        <v/>
      </c>
      <c r="U28" s="31"/>
      <c r="V28" s="40" t="str">
        <f t="shared" si="11"/>
        <v/>
      </c>
      <c r="W28" s="31"/>
      <c r="X28" s="40" t="str">
        <f t="shared" si="12"/>
        <v/>
      </c>
      <c r="Y28" s="31"/>
      <c r="Z28" s="40" t="str">
        <f t="shared" si="13"/>
        <v/>
      </c>
      <c r="AA28" s="31"/>
      <c r="AB28" s="40" t="str">
        <f t="shared" si="14"/>
        <v/>
      </c>
      <c r="AC28" s="32"/>
      <c r="AD28" s="37" t="str">
        <f t="shared" si="27"/>
        <v/>
      </c>
      <c r="AE28" s="31"/>
      <c r="AF28" s="40" t="str">
        <f t="shared" si="15"/>
        <v/>
      </c>
      <c r="AG28" s="31"/>
      <c r="AH28" s="40" t="str">
        <f t="shared" si="16"/>
        <v/>
      </c>
      <c r="AI28" s="31"/>
      <c r="AJ28" s="40" t="str">
        <f t="shared" si="17"/>
        <v/>
      </c>
      <c r="AK28" s="31"/>
      <c r="AL28" s="40" t="str">
        <f t="shared" si="18"/>
        <v/>
      </c>
      <c r="AM28" s="31"/>
      <c r="AN28" s="40" t="str">
        <f t="shared" si="19"/>
        <v/>
      </c>
      <c r="AO28" s="31"/>
      <c r="AP28" s="40" t="str">
        <f t="shared" si="20"/>
        <v/>
      </c>
      <c r="AQ28" s="31"/>
      <c r="AR28" s="40" t="str">
        <f t="shared" si="21"/>
        <v/>
      </c>
      <c r="AS28" s="31"/>
      <c r="AT28" s="40" t="str">
        <f t="shared" si="22"/>
        <v/>
      </c>
      <c r="AU28" s="31"/>
      <c r="AV28" s="40" t="str">
        <f t="shared" si="23"/>
        <v/>
      </c>
      <c r="AW28" s="31"/>
      <c r="AX28" s="40" t="str">
        <f t="shared" si="24"/>
        <v/>
      </c>
      <c r="AY28" s="31"/>
      <c r="AZ28" s="40" t="str">
        <f t="shared" si="25"/>
        <v/>
      </c>
      <c r="BA28" s="19" t="s">
        <v>107</v>
      </c>
    </row>
    <row r="29" spans="1:53" ht="20" customHeight="1" x14ac:dyDescent="0.2">
      <c r="A29" s="128"/>
      <c r="B29" s="132"/>
      <c r="C29" s="75"/>
      <c r="D29" s="75"/>
      <c r="E29" s="76" t="s">
        <v>108</v>
      </c>
      <c r="F29" s="76" t="s">
        <v>109</v>
      </c>
      <c r="G29" s="75">
        <v>1993</v>
      </c>
      <c r="H29" s="81">
        <v>56</v>
      </c>
      <c r="I29" s="84"/>
      <c r="J29" s="64">
        <v>43</v>
      </c>
      <c r="K29" s="65">
        <v>148</v>
      </c>
      <c r="L29" s="112">
        <f t="shared" si="26"/>
        <v>29.054054054054053</v>
      </c>
      <c r="M29" s="31">
        <v>1</v>
      </c>
      <c r="N29" s="40">
        <f t="shared" si="0"/>
        <v>0.67567567567567566</v>
      </c>
      <c r="O29" s="35">
        <v>11</v>
      </c>
      <c r="P29" s="40">
        <f t="shared" si="8"/>
        <v>7.4324324324324325</v>
      </c>
      <c r="Q29" s="31">
        <v>4</v>
      </c>
      <c r="R29" s="40">
        <f t="shared" si="9"/>
        <v>2.7027027027027026</v>
      </c>
      <c r="S29" s="31"/>
      <c r="T29" s="40" t="str">
        <f t="shared" si="10"/>
        <v/>
      </c>
      <c r="U29" s="31"/>
      <c r="V29" s="40" t="str">
        <f t="shared" si="11"/>
        <v/>
      </c>
      <c r="W29" s="31"/>
      <c r="X29" s="40" t="str">
        <f t="shared" si="12"/>
        <v/>
      </c>
      <c r="Y29" s="31"/>
      <c r="Z29" s="40" t="str">
        <f t="shared" si="13"/>
        <v/>
      </c>
      <c r="AA29" s="31">
        <v>15</v>
      </c>
      <c r="AB29" s="40">
        <f t="shared" si="14"/>
        <v>10.135135135135135</v>
      </c>
      <c r="AC29" s="31">
        <v>8</v>
      </c>
      <c r="AD29" s="40">
        <f t="shared" si="27"/>
        <v>5.4054054054054053</v>
      </c>
      <c r="AE29" s="31">
        <v>6</v>
      </c>
      <c r="AF29" s="40">
        <f t="shared" si="15"/>
        <v>4.0540540540540544</v>
      </c>
      <c r="AG29" s="31"/>
      <c r="AH29" s="40" t="str">
        <f t="shared" si="16"/>
        <v/>
      </c>
      <c r="AI29" s="31">
        <v>4</v>
      </c>
      <c r="AJ29" s="40">
        <f t="shared" si="17"/>
        <v>2.7027027027027026</v>
      </c>
      <c r="AK29" s="31">
        <v>1</v>
      </c>
      <c r="AL29" s="40">
        <f t="shared" si="18"/>
        <v>0.67567567567567566</v>
      </c>
      <c r="AM29" s="31"/>
      <c r="AN29" s="40" t="str">
        <f t="shared" si="19"/>
        <v/>
      </c>
      <c r="AO29" s="31">
        <v>2</v>
      </c>
      <c r="AP29" s="40">
        <f t="shared" si="20"/>
        <v>1.3513513513513513</v>
      </c>
      <c r="AQ29" s="31"/>
      <c r="AR29" s="40" t="str">
        <f t="shared" si="21"/>
        <v/>
      </c>
      <c r="AS29" s="31"/>
      <c r="AT29" s="40" t="str">
        <f t="shared" si="22"/>
        <v/>
      </c>
      <c r="AU29" s="31"/>
      <c r="AV29" s="40" t="str">
        <f t="shared" si="23"/>
        <v/>
      </c>
      <c r="AW29" s="31"/>
      <c r="AX29" s="40" t="str">
        <f t="shared" si="24"/>
        <v/>
      </c>
      <c r="AY29" s="31">
        <v>5</v>
      </c>
      <c r="AZ29" s="40">
        <f t="shared" si="25"/>
        <v>3.3783783783783785</v>
      </c>
      <c r="BA29" s="19" t="s">
        <v>217</v>
      </c>
    </row>
    <row r="30" spans="1:53" ht="20" customHeight="1" x14ac:dyDescent="0.2">
      <c r="A30" s="128"/>
      <c r="B30" s="129"/>
      <c r="C30" s="75"/>
      <c r="D30" s="75"/>
      <c r="E30" s="76" t="s">
        <v>110</v>
      </c>
      <c r="F30" s="76" t="s">
        <v>111</v>
      </c>
      <c r="G30" s="75">
        <v>2009</v>
      </c>
      <c r="H30" s="81"/>
      <c r="I30" s="84" t="s">
        <v>112</v>
      </c>
      <c r="J30" s="64">
        <v>33</v>
      </c>
      <c r="K30" s="65">
        <v>170</v>
      </c>
      <c r="L30" s="112">
        <f t="shared" si="26"/>
        <v>19.411764705882355</v>
      </c>
      <c r="M30" s="31"/>
      <c r="N30" s="40" t="str">
        <f t="shared" si="0"/>
        <v/>
      </c>
      <c r="O30" s="35"/>
      <c r="P30" s="40" t="str">
        <f t="shared" si="8"/>
        <v/>
      </c>
      <c r="Q30" s="31"/>
      <c r="R30" s="40" t="str">
        <f t="shared" si="9"/>
        <v/>
      </c>
      <c r="S30" s="31"/>
      <c r="T30" s="40" t="str">
        <f t="shared" si="10"/>
        <v/>
      </c>
      <c r="U30" s="31"/>
      <c r="V30" s="40" t="str">
        <f t="shared" si="11"/>
        <v/>
      </c>
      <c r="W30" s="31"/>
      <c r="X30" s="40" t="str">
        <f t="shared" si="12"/>
        <v/>
      </c>
      <c r="Y30" s="31"/>
      <c r="Z30" s="40" t="str">
        <f t="shared" si="13"/>
        <v/>
      </c>
      <c r="AA30" s="31"/>
      <c r="AB30" s="40" t="str">
        <f t="shared" si="14"/>
        <v/>
      </c>
      <c r="AC30" s="31">
        <v>33</v>
      </c>
      <c r="AD30" s="40">
        <f t="shared" si="27"/>
        <v>19.411764705882355</v>
      </c>
      <c r="AE30" s="31"/>
      <c r="AF30" s="40" t="str">
        <f t="shared" si="15"/>
        <v/>
      </c>
      <c r="AG30" s="31"/>
      <c r="AH30" s="40" t="str">
        <f t="shared" si="16"/>
        <v/>
      </c>
      <c r="AI30" s="31"/>
      <c r="AJ30" s="40" t="str">
        <f t="shared" si="17"/>
        <v/>
      </c>
      <c r="AK30" s="31"/>
      <c r="AL30" s="40" t="str">
        <f t="shared" si="18"/>
        <v/>
      </c>
      <c r="AM30" s="31"/>
      <c r="AN30" s="40" t="str">
        <f t="shared" si="19"/>
        <v/>
      </c>
      <c r="AO30" s="31"/>
      <c r="AP30" s="40" t="str">
        <f t="shared" si="20"/>
        <v/>
      </c>
      <c r="AQ30" s="31"/>
      <c r="AR30" s="40" t="str">
        <f t="shared" si="21"/>
        <v/>
      </c>
      <c r="AS30" s="31"/>
      <c r="AT30" s="40" t="str">
        <f t="shared" si="22"/>
        <v/>
      </c>
      <c r="AU30" s="31"/>
      <c r="AV30" s="40" t="str">
        <f t="shared" si="23"/>
        <v/>
      </c>
      <c r="AW30" s="31"/>
      <c r="AX30" s="40" t="str">
        <f t="shared" si="24"/>
        <v/>
      </c>
      <c r="AY30" s="31"/>
      <c r="AZ30" s="40" t="str">
        <f t="shared" si="25"/>
        <v/>
      </c>
      <c r="BA30" s="19" t="s">
        <v>270</v>
      </c>
    </row>
    <row r="31" spans="1:53" ht="20" customHeight="1" x14ac:dyDescent="0.2">
      <c r="A31" s="128"/>
      <c r="B31" s="76"/>
      <c r="C31" s="75"/>
      <c r="D31" s="75"/>
      <c r="E31" s="76" t="s">
        <v>210</v>
      </c>
      <c r="F31" s="76" t="s">
        <v>211</v>
      </c>
      <c r="G31" s="75">
        <v>2013</v>
      </c>
      <c r="H31" s="81">
        <v>8</v>
      </c>
      <c r="I31" s="84"/>
      <c r="J31" s="64">
        <v>14</v>
      </c>
      <c r="K31" s="65">
        <v>98</v>
      </c>
      <c r="L31" s="112">
        <f t="shared" si="26"/>
        <v>14.285714285714285</v>
      </c>
      <c r="M31" s="31"/>
      <c r="N31" s="40" t="str">
        <f t="shared" si="0"/>
        <v/>
      </c>
      <c r="O31" s="35"/>
      <c r="P31" s="40" t="str">
        <f t="shared" si="8"/>
        <v/>
      </c>
      <c r="Q31" s="31"/>
      <c r="R31" s="40" t="str">
        <f t="shared" si="9"/>
        <v/>
      </c>
      <c r="S31" s="31"/>
      <c r="T31" s="40" t="str">
        <f t="shared" si="10"/>
        <v/>
      </c>
      <c r="U31" s="31"/>
      <c r="V31" s="40" t="str">
        <f t="shared" si="11"/>
        <v/>
      </c>
      <c r="W31" s="31"/>
      <c r="X31" s="40"/>
      <c r="Y31" s="31"/>
      <c r="Z31" s="40" t="str">
        <f t="shared" si="13"/>
        <v/>
      </c>
      <c r="AA31" s="31"/>
      <c r="AB31" s="40" t="str">
        <f t="shared" si="14"/>
        <v/>
      </c>
      <c r="AC31" s="31">
        <v>14</v>
      </c>
      <c r="AD31" s="40">
        <f t="shared" si="27"/>
        <v>14.285714285714285</v>
      </c>
      <c r="AE31" s="31"/>
      <c r="AF31" s="40" t="str">
        <f t="shared" si="15"/>
        <v/>
      </c>
      <c r="AG31" s="31"/>
      <c r="AH31" s="40"/>
      <c r="AI31" s="31"/>
      <c r="AJ31" s="40" t="str">
        <f t="shared" si="17"/>
        <v/>
      </c>
      <c r="AK31" s="31"/>
      <c r="AL31" s="40" t="str">
        <f t="shared" si="18"/>
        <v/>
      </c>
      <c r="AM31" s="31"/>
      <c r="AN31" s="40" t="str">
        <f t="shared" si="19"/>
        <v/>
      </c>
      <c r="AO31" s="31"/>
      <c r="AP31" s="40" t="str">
        <f t="shared" si="20"/>
        <v/>
      </c>
      <c r="AQ31" s="31"/>
      <c r="AR31" s="40" t="str">
        <f t="shared" si="21"/>
        <v/>
      </c>
      <c r="AS31" s="31"/>
      <c r="AT31" s="40" t="str">
        <f t="shared" si="22"/>
        <v/>
      </c>
      <c r="AU31" s="31"/>
      <c r="AV31" s="40" t="str">
        <f t="shared" si="23"/>
        <v/>
      </c>
      <c r="AW31" s="31"/>
      <c r="AX31" s="40" t="str">
        <f t="shared" si="24"/>
        <v/>
      </c>
      <c r="AY31" s="31"/>
      <c r="AZ31" s="40" t="str">
        <f t="shared" si="25"/>
        <v/>
      </c>
    </row>
    <row r="32" spans="1:53" ht="20" customHeight="1" x14ac:dyDescent="0.2">
      <c r="A32" s="128"/>
      <c r="B32" s="131"/>
      <c r="C32" s="75"/>
      <c r="D32" s="75"/>
      <c r="E32" s="76" t="s">
        <v>113</v>
      </c>
      <c r="F32" s="76" t="s">
        <v>114</v>
      </c>
      <c r="G32" s="75">
        <v>2008</v>
      </c>
      <c r="H32" s="81">
        <v>21</v>
      </c>
      <c r="I32" s="84" t="s">
        <v>115</v>
      </c>
      <c r="J32" s="64">
        <v>3</v>
      </c>
      <c r="K32" s="65">
        <v>111</v>
      </c>
      <c r="L32" s="112">
        <f t="shared" si="26"/>
        <v>2.7027027027027026</v>
      </c>
      <c r="M32" s="31"/>
      <c r="N32" s="40" t="str">
        <f t="shared" si="0"/>
        <v/>
      </c>
      <c r="O32" s="35"/>
      <c r="P32" s="40" t="str">
        <f t="shared" si="8"/>
        <v/>
      </c>
      <c r="Q32" s="31"/>
      <c r="R32" s="40" t="str">
        <f t="shared" si="9"/>
        <v/>
      </c>
      <c r="S32" s="31"/>
      <c r="T32" s="40" t="str">
        <f t="shared" si="10"/>
        <v/>
      </c>
      <c r="U32" s="31"/>
      <c r="V32" s="40" t="str">
        <f t="shared" si="11"/>
        <v/>
      </c>
      <c r="W32" s="31"/>
      <c r="X32" s="40" t="str">
        <f t="shared" ref="X32:X55" si="28">IF((ISERROR((W32/$K32)*100)), "", IF(AND(NOT(ISERROR((W32/$K32)*100)),((W32/$K32)*100) &lt;&gt; 0), (W32/$K32)*100, ""))</f>
        <v/>
      </c>
      <c r="Y32" s="31"/>
      <c r="Z32" s="40" t="str">
        <f t="shared" si="13"/>
        <v/>
      </c>
      <c r="AA32" s="31"/>
      <c r="AB32" s="40" t="str">
        <f t="shared" si="14"/>
        <v/>
      </c>
      <c r="AC32" s="31">
        <v>3</v>
      </c>
      <c r="AD32" s="40">
        <f t="shared" si="27"/>
        <v>2.7027027027027026</v>
      </c>
      <c r="AE32" s="31"/>
      <c r="AF32" s="40" t="str">
        <f t="shared" si="15"/>
        <v/>
      </c>
      <c r="AG32" s="31"/>
      <c r="AH32" s="40" t="str">
        <f t="shared" si="16"/>
        <v/>
      </c>
      <c r="AI32" s="31"/>
      <c r="AJ32" s="40" t="str">
        <f t="shared" si="17"/>
        <v/>
      </c>
      <c r="AK32" s="31"/>
      <c r="AL32" s="40" t="str">
        <f t="shared" si="18"/>
        <v/>
      </c>
      <c r="AM32" s="31"/>
      <c r="AN32" s="40" t="str">
        <f t="shared" si="19"/>
        <v/>
      </c>
      <c r="AO32" s="31"/>
      <c r="AP32" s="40" t="str">
        <f t="shared" si="20"/>
        <v/>
      </c>
      <c r="AQ32" s="31"/>
      <c r="AR32" s="40" t="str">
        <f t="shared" si="21"/>
        <v/>
      </c>
      <c r="AS32" s="31"/>
      <c r="AT32" s="40" t="str">
        <f t="shared" si="22"/>
        <v/>
      </c>
      <c r="AU32" s="31"/>
      <c r="AV32" s="40" t="str">
        <f t="shared" si="23"/>
        <v/>
      </c>
      <c r="AW32" s="31"/>
      <c r="AX32" s="40" t="str">
        <f t="shared" si="24"/>
        <v/>
      </c>
      <c r="AY32" s="31"/>
      <c r="AZ32" s="40" t="str">
        <f t="shared" si="25"/>
        <v/>
      </c>
    </row>
    <row r="33" spans="1:53" ht="20" customHeight="1" x14ac:dyDescent="0.2">
      <c r="A33" s="128"/>
      <c r="B33" s="132"/>
      <c r="C33" s="75"/>
      <c r="D33" s="75"/>
      <c r="E33" s="76" t="s">
        <v>116</v>
      </c>
      <c r="F33" s="76" t="s">
        <v>117</v>
      </c>
      <c r="G33" s="75">
        <v>2005</v>
      </c>
      <c r="H33" s="81">
        <v>23</v>
      </c>
      <c r="I33" s="84"/>
      <c r="J33" s="64">
        <v>21</v>
      </c>
      <c r="K33" s="65">
        <v>174</v>
      </c>
      <c r="L33" s="112">
        <f t="shared" si="26"/>
        <v>12.068965517241379</v>
      </c>
      <c r="M33" s="31"/>
      <c r="N33" s="40" t="str">
        <f t="shared" si="0"/>
        <v/>
      </c>
      <c r="O33" s="35"/>
      <c r="P33" s="40" t="str">
        <f t="shared" si="8"/>
        <v/>
      </c>
      <c r="Q33" s="31"/>
      <c r="R33" s="40" t="str">
        <f t="shared" si="9"/>
        <v/>
      </c>
      <c r="S33" s="31"/>
      <c r="T33" s="40" t="str">
        <f t="shared" si="10"/>
        <v/>
      </c>
      <c r="U33" s="32"/>
      <c r="V33" s="32" t="str">
        <f t="shared" si="11"/>
        <v/>
      </c>
      <c r="W33" s="31"/>
      <c r="X33" s="40" t="str">
        <f t="shared" si="28"/>
        <v/>
      </c>
      <c r="Y33" s="32"/>
      <c r="Z33" s="32" t="str">
        <f t="shared" si="13"/>
        <v/>
      </c>
      <c r="AA33" s="32"/>
      <c r="AB33" s="32" t="str">
        <f t="shared" si="14"/>
        <v/>
      </c>
      <c r="AC33" s="32"/>
      <c r="AD33" s="32" t="str">
        <f t="shared" si="27"/>
        <v/>
      </c>
      <c r="AE33" s="32"/>
      <c r="AF33" s="32" t="str">
        <f t="shared" si="15"/>
        <v/>
      </c>
      <c r="AG33" s="32"/>
      <c r="AH33" s="42" t="str">
        <f t="shared" si="16"/>
        <v/>
      </c>
      <c r="AI33" s="31"/>
      <c r="AJ33" s="40" t="str">
        <f t="shared" si="17"/>
        <v/>
      </c>
      <c r="AK33" s="31"/>
      <c r="AL33" s="40" t="str">
        <f t="shared" si="18"/>
        <v/>
      </c>
      <c r="AM33" s="31"/>
      <c r="AN33" s="40" t="str">
        <f t="shared" si="19"/>
        <v/>
      </c>
      <c r="AO33" s="31"/>
      <c r="AP33" s="40" t="str">
        <f t="shared" si="20"/>
        <v/>
      </c>
      <c r="AQ33" s="31"/>
      <c r="AR33" s="40" t="str">
        <f t="shared" si="21"/>
        <v/>
      </c>
      <c r="AS33" s="31"/>
      <c r="AT33" s="40" t="str">
        <f t="shared" si="22"/>
        <v/>
      </c>
      <c r="AU33" s="31"/>
      <c r="AV33" s="40" t="str">
        <f t="shared" si="23"/>
        <v/>
      </c>
      <c r="AW33" s="31"/>
      <c r="AX33" s="40" t="str">
        <f t="shared" si="24"/>
        <v/>
      </c>
      <c r="AY33" s="31"/>
      <c r="AZ33" s="40" t="str">
        <f t="shared" si="25"/>
        <v/>
      </c>
      <c r="BA33" s="19" t="s">
        <v>118</v>
      </c>
    </row>
    <row r="34" spans="1:53" ht="20" customHeight="1" x14ac:dyDescent="0.2">
      <c r="A34" s="128"/>
      <c r="B34" s="129"/>
      <c r="C34" s="75"/>
      <c r="D34" s="75"/>
      <c r="E34" s="76" t="s">
        <v>119</v>
      </c>
      <c r="F34" s="76" t="s">
        <v>120</v>
      </c>
      <c r="G34" s="75">
        <v>2015</v>
      </c>
      <c r="H34" s="81">
        <v>7</v>
      </c>
      <c r="I34" s="84" t="s">
        <v>115</v>
      </c>
      <c r="J34" s="64">
        <v>26</v>
      </c>
      <c r="K34" s="65">
        <v>388</v>
      </c>
      <c r="L34" s="112">
        <f t="shared" si="26"/>
        <v>6.7010309278350517</v>
      </c>
      <c r="M34" s="31"/>
      <c r="N34" s="40" t="str">
        <f t="shared" si="0"/>
        <v/>
      </c>
      <c r="O34" s="35"/>
      <c r="P34" s="40" t="str">
        <f t="shared" si="8"/>
        <v/>
      </c>
      <c r="Q34" s="31"/>
      <c r="R34" s="40" t="str">
        <f t="shared" si="9"/>
        <v/>
      </c>
      <c r="S34" s="31"/>
      <c r="T34" s="40" t="str">
        <f t="shared" si="10"/>
        <v/>
      </c>
      <c r="U34" s="31"/>
      <c r="V34" s="40" t="str">
        <f t="shared" si="11"/>
        <v/>
      </c>
      <c r="W34" s="31"/>
      <c r="X34" s="40" t="str">
        <f t="shared" si="28"/>
        <v/>
      </c>
      <c r="Y34" s="31"/>
      <c r="Z34" s="40" t="str">
        <f t="shared" si="13"/>
        <v/>
      </c>
      <c r="AA34" s="31"/>
      <c r="AB34" s="40" t="str">
        <f t="shared" si="14"/>
        <v/>
      </c>
      <c r="AC34" s="31">
        <v>10</v>
      </c>
      <c r="AD34" s="40">
        <f t="shared" si="27"/>
        <v>2.5773195876288657</v>
      </c>
      <c r="AE34" s="31"/>
      <c r="AF34" s="40" t="str">
        <f t="shared" si="15"/>
        <v/>
      </c>
      <c r="AG34" s="31"/>
      <c r="AH34" s="40" t="str">
        <f t="shared" si="16"/>
        <v/>
      </c>
      <c r="AI34" s="31"/>
      <c r="AJ34" s="40" t="str">
        <f t="shared" si="17"/>
        <v/>
      </c>
      <c r="AK34" s="31"/>
      <c r="AL34" s="40" t="str">
        <f t="shared" si="18"/>
        <v/>
      </c>
      <c r="AM34" s="31">
        <v>16</v>
      </c>
      <c r="AN34" s="40">
        <f t="shared" si="19"/>
        <v>4.1237113402061851</v>
      </c>
      <c r="AO34" s="31"/>
      <c r="AP34" s="40" t="str">
        <f t="shared" si="20"/>
        <v/>
      </c>
      <c r="AQ34" s="31"/>
      <c r="AR34" s="40" t="str">
        <f t="shared" si="21"/>
        <v/>
      </c>
      <c r="AS34" s="31"/>
      <c r="AT34" s="40" t="str">
        <f t="shared" si="22"/>
        <v/>
      </c>
      <c r="AU34" s="31"/>
      <c r="AV34" s="40" t="str">
        <f t="shared" si="23"/>
        <v/>
      </c>
      <c r="AW34" s="31"/>
      <c r="AX34" s="40" t="str">
        <f t="shared" si="24"/>
        <v/>
      </c>
      <c r="AY34" s="31"/>
      <c r="AZ34" s="40" t="str">
        <f t="shared" si="25"/>
        <v/>
      </c>
    </row>
    <row r="35" spans="1:53" ht="20" customHeight="1" x14ac:dyDescent="0.2">
      <c r="A35" s="128"/>
      <c r="B35" s="132"/>
      <c r="C35" s="75"/>
      <c r="D35" s="75" t="s">
        <v>227</v>
      </c>
      <c r="E35" s="76" t="s">
        <v>121</v>
      </c>
      <c r="F35" s="76" t="s">
        <v>122</v>
      </c>
      <c r="G35" s="75">
        <v>2011</v>
      </c>
      <c r="H35" s="81">
        <v>12</v>
      </c>
      <c r="I35" s="84" t="s">
        <v>123</v>
      </c>
      <c r="J35" s="64"/>
      <c r="K35" s="65">
        <v>11</v>
      </c>
      <c r="L35" s="112" t="str">
        <f t="shared" si="26"/>
        <v/>
      </c>
      <c r="M35" s="31"/>
      <c r="N35" s="40" t="str">
        <f t="shared" si="0"/>
        <v/>
      </c>
      <c r="O35" s="35"/>
      <c r="P35" s="40" t="str">
        <f t="shared" si="8"/>
        <v/>
      </c>
      <c r="Q35" s="31"/>
      <c r="R35" s="40" t="str">
        <f t="shared" si="9"/>
        <v/>
      </c>
      <c r="S35" s="31"/>
      <c r="T35" s="40" t="str">
        <f t="shared" si="10"/>
        <v/>
      </c>
      <c r="U35" s="31"/>
      <c r="V35" s="40" t="str">
        <f t="shared" si="11"/>
        <v/>
      </c>
      <c r="W35" s="31"/>
      <c r="X35" s="40" t="str">
        <f t="shared" si="28"/>
        <v/>
      </c>
      <c r="Y35" s="31"/>
      <c r="Z35" s="40" t="str">
        <f t="shared" si="13"/>
        <v/>
      </c>
      <c r="AA35" s="31"/>
      <c r="AB35" s="40" t="str">
        <f t="shared" si="14"/>
        <v/>
      </c>
      <c r="AC35" s="31"/>
      <c r="AD35" s="40" t="str">
        <f t="shared" si="27"/>
        <v/>
      </c>
      <c r="AE35" s="31"/>
      <c r="AF35" s="40" t="str">
        <f t="shared" si="15"/>
        <v/>
      </c>
      <c r="AG35" s="31"/>
      <c r="AH35" s="40" t="str">
        <f t="shared" si="16"/>
        <v/>
      </c>
      <c r="AI35" s="31"/>
      <c r="AJ35" s="40" t="str">
        <f t="shared" si="17"/>
        <v/>
      </c>
      <c r="AK35" s="31"/>
      <c r="AL35" s="40" t="str">
        <f t="shared" si="18"/>
        <v/>
      </c>
      <c r="AM35" s="31"/>
      <c r="AN35" s="40" t="str">
        <f t="shared" si="19"/>
        <v/>
      </c>
      <c r="AO35" s="31"/>
      <c r="AP35" s="40" t="str">
        <f t="shared" si="20"/>
        <v/>
      </c>
      <c r="AQ35" s="31"/>
      <c r="AR35" s="40" t="str">
        <f t="shared" si="21"/>
        <v/>
      </c>
      <c r="AS35" s="31"/>
      <c r="AT35" s="40" t="str">
        <f t="shared" si="22"/>
        <v/>
      </c>
      <c r="AU35" s="31"/>
      <c r="AV35" s="40" t="str">
        <f t="shared" si="23"/>
        <v/>
      </c>
      <c r="AW35" s="31"/>
      <c r="AX35" s="40" t="str">
        <f t="shared" si="24"/>
        <v/>
      </c>
      <c r="AY35" s="31"/>
      <c r="AZ35" s="40" t="str">
        <f t="shared" si="25"/>
        <v/>
      </c>
      <c r="BA35" s="19" t="s">
        <v>124</v>
      </c>
    </row>
    <row r="36" spans="1:53" ht="20" customHeight="1" x14ac:dyDescent="0.2">
      <c r="A36" s="128"/>
      <c r="B36" s="129"/>
      <c r="C36" s="75"/>
      <c r="D36" s="75"/>
      <c r="E36" s="76" t="s">
        <v>125</v>
      </c>
      <c r="F36" s="76" t="s">
        <v>126</v>
      </c>
      <c r="G36" s="75">
        <v>2017</v>
      </c>
      <c r="H36" s="81"/>
      <c r="I36" s="84" t="s">
        <v>112</v>
      </c>
      <c r="J36" s="64">
        <v>4</v>
      </c>
      <c r="K36" s="65">
        <v>124</v>
      </c>
      <c r="L36" s="112">
        <f t="shared" si="26"/>
        <v>3.225806451612903</v>
      </c>
      <c r="M36" s="31"/>
      <c r="N36" s="40" t="str">
        <f t="shared" si="0"/>
        <v/>
      </c>
      <c r="O36" s="35"/>
      <c r="P36" s="40" t="str">
        <f t="shared" si="8"/>
        <v/>
      </c>
      <c r="Q36" s="31"/>
      <c r="R36" s="40" t="str">
        <f t="shared" si="9"/>
        <v/>
      </c>
      <c r="S36" s="31"/>
      <c r="T36" s="40" t="str">
        <f t="shared" si="10"/>
        <v/>
      </c>
      <c r="U36" s="31"/>
      <c r="V36" s="40" t="str">
        <f t="shared" si="11"/>
        <v/>
      </c>
      <c r="W36" s="31"/>
      <c r="X36" s="40" t="str">
        <f t="shared" si="28"/>
        <v/>
      </c>
      <c r="Y36" s="31"/>
      <c r="Z36" s="40" t="str">
        <f t="shared" si="13"/>
        <v/>
      </c>
      <c r="AA36" s="31"/>
      <c r="AB36" s="40" t="str">
        <f t="shared" si="14"/>
        <v/>
      </c>
      <c r="AC36" s="31">
        <v>4</v>
      </c>
      <c r="AD36" s="40">
        <f t="shared" si="27"/>
        <v>3.225806451612903</v>
      </c>
      <c r="AE36" s="31"/>
      <c r="AF36" s="40" t="str">
        <f t="shared" si="15"/>
        <v/>
      </c>
      <c r="AG36" s="31"/>
      <c r="AH36" s="40" t="str">
        <f t="shared" si="16"/>
        <v/>
      </c>
      <c r="AI36" s="31"/>
      <c r="AJ36" s="40" t="str">
        <f t="shared" si="17"/>
        <v/>
      </c>
      <c r="AK36" s="31"/>
      <c r="AL36" s="40" t="str">
        <f t="shared" si="18"/>
        <v/>
      </c>
      <c r="AM36" s="31"/>
      <c r="AN36" s="40" t="str">
        <f t="shared" si="19"/>
        <v/>
      </c>
      <c r="AO36" s="31"/>
      <c r="AP36" s="40" t="str">
        <f t="shared" si="20"/>
        <v/>
      </c>
      <c r="AQ36" s="31"/>
      <c r="AR36" s="40" t="str">
        <f t="shared" si="21"/>
        <v/>
      </c>
      <c r="AS36" s="31"/>
      <c r="AT36" s="40" t="str">
        <f t="shared" si="22"/>
        <v/>
      </c>
      <c r="AU36" s="31"/>
      <c r="AV36" s="40" t="str">
        <f t="shared" si="23"/>
        <v/>
      </c>
      <c r="AW36" s="31"/>
      <c r="AX36" s="40" t="str">
        <f t="shared" si="24"/>
        <v/>
      </c>
      <c r="AY36" s="31"/>
      <c r="AZ36" s="40" t="str">
        <f t="shared" si="25"/>
        <v/>
      </c>
    </row>
    <row r="37" spans="1:53" ht="20" customHeight="1" x14ac:dyDescent="0.2">
      <c r="A37" s="128"/>
      <c r="B37" s="132"/>
      <c r="C37" s="75"/>
      <c r="D37" s="75"/>
      <c r="E37" s="76" t="s">
        <v>127</v>
      </c>
      <c r="F37" s="76" t="s">
        <v>128</v>
      </c>
      <c r="G37" s="75">
        <v>2010</v>
      </c>
      <c r="H37" s="81">
        <v>61</v>
      </c>
      <c r="I37" s="84"/>
      <c r="J37" s="64"/>
      <c r="K37" s="65">
        <v>142</v>
      </c>
      <c r="L37" s="112" t="str">
        <f t="shared" si="26"/>
        <v/>
      </c>
      <c r="M37" s="31"/>
      <c r="N37" s="40" t="str">
        <f t="shared" si="0"/>
        <v/>
      </c>
      <c r="O37" s="35"/>
      <c r="P37" s="40" t="str">
        <f t="shared" si="8"/>
        <v/>
      </c>
      <c r="Q37" s="31"/>
      <c r="R37" s="40" t="str">
        <f t="shared" si="9"/>
        <v/>
      </c>
      <c r="S37" s="31"/>
      <c r="T37" s="40" t="str">
        <f t="shared" si="10"/>
        <v/>
      </c>
      <c r="U37" s="31"/>
      <c r="V37" s="40" t="str">
        <f t="shared" si="11"/>
        <v/>
      </c>
      <c r="W37" s="31"/>
      <c r="X37" s="40" t="str">
        <f t="shared" si="28"/>
        <v/>
      </c>
      <c r="Y37" s="31"/>
      <c r="Z37" s="40" t="str">
        <f t="shared" si="13"/>
        <v/>
      </c>
      <c r="AA37" s="31">
        <v>19</v>
      </c>
      <c r="AB37" s="40">
        <f t="shared" si="14"/>
        <v>13.380281690140844</v>
      </c>
      <c r="AC37" s="31"/>
      <c r="AD37" s="40" t="str">
        <f t="shared" si="27"/>
        <v/>
      </c>
      <c r="AE37" s="31">
        <v>19</v>
      </c>
      <c r="AF37" s="40">
        <f t="shared" si="15"/>
        <v>13.380281690140844</v>
      </c>
      <c r="AG37" s="31"/>
      <c r="AH37" s="40" t="str">
        <f t="shared" si="16"/>
        <v/>
      </c>
      <c r="AI37" s="31">
        <v>16</v>
      </c>
      <c r="AJ37" s="40">
        <f t="shared" si="17"/>
        <v>11.267605633802818</v>
      </c>
      <c r="AK37" s="31"/>
      <c r="AL37" s="40" t="str">
        <f t="shared" si="18"/>
        <v/>
      </c>
      <c r="AM37" s="31"/>
      <c r="AN37" s="40" t="str">
        <f t="shared" si="19"/>
        <v/>
      </c>
      <c r="AO37" s="31"/>
      <c r="AP37" s="40" t="str">
        <f t="shared" si="20"/>
        <v/>
      </c>
      <c r="AQ37" s="31"/>
      <c r="AR37" s="40" t="str">
        <f t="shared" si="21"/>
        <v/>
      </c>
      <c r="AS37" s="31"/>
      <c r="AT37" s="40" t="str">
        <f t="shared" si="22"/>
        <v/>
      </c>
      <c r="AU37" s="31"/>
      <c r="AV37" s="40" t="str">
        <f t="shared" si="23"/>
        <v/>
      </c>
      <c r="AW37" s="31"/>
      <c r="AX37" s="40" t="str">
        <f t="shared" si="24"/>
        <v/>
      </c>
      <c r="AY37" s="31"/>
      <c r="AZ37" s="40" t="str">
        <f t="shared" si="25"/>
        <v/>
      </c>
      <c r="BA37" s="19" t="s">
        <v>182</v>
      </c>
    </row>
    <row r="38" spans="1:53" ht="20" customHeight="1" x14ac:dyDescent="0.2">
      <c r="A38" s="130"/>
      <c r="B38" s="131"/>
      <c r="C38" s="75"/>
      <c r="D38" s="75"/>
      <c r="E38" s="76" t="s">
        <v>165</v>
      </c>
      <c r="F38" s="76" t="s">
        <v>129</v>
      </c>
      <c r="G38" s="75">
        <v>2008</v>
      </c>
      <c r="H38" s="81">
        <v>78</v>
      </c>
      <c r="I38" s="84"/>
      <c r="J38" s="64"/>
      <c r="K38" s="65">
        <v>143</v>
      </c>
      <c r="L38" s="112" t="str">
        <f t="shared" si="26"/>
        <v/>
      </c>
      <c r="M38" s="31"/>
      <c r="N38" s="40" t="str">
        <f t="shared" si="0"/>
        <v/>
      </c>
      <c r="O38" s="35"/>
      <c r="P38" s="40" t="str">
        <f t="shared" si="8"/>
        <v/>
      </c>
      <c r="Q38" s="31"/>
      <c r="R38" s="40" t="str">
        <f t="shared" si="9"/>
        <v/>
      </c>
      <c r="S38" s="31"/>
      <c r="T38" s="40" t="str">
        <f t="shared" si="10"/>
        <v/>
      </c>
      <c r="U38" s="31"/>
      <c r="V38" s="40" t="str">
        <f t="shared" si="11"/>
        <v/>
      </c>
      <c r="W38" s="31"/>
      <c r="X38" s="40" t="str">
        <f t="shared" si="28"/>
        <v/>
      </c>
      <c r="Y38" s="31"/>
      <c r="Z38" s="40" t="str">
        <f t="shared" si="13"/>
        <v/>
      </c>
      <c r="AA38" s="31"/>
      <c r="AB38" s="40" t="str">
        <f t="shared" si="14"/>
        <v/>
      </c>
      <c r="AC38" s="31"/>
      <c r="AD38" s="40" t="str">
        <f t="shared" si="27"/>
        <v/>
      </c>
      <c r="AE38" s="31"/>
      <c r="AF38" s="40" t="str">
        <f t="shared" si="15"/>
        <v/>
      </c>
      <c r="AG38" s="31"/>
      <c r="AH38" s="40" t="str">
        <f t="shared" si="16"/>
        <v/>
      </c>
      <c r="AI38" s="31"/>
      <c r="AJ38" s="40" t="str">
        <f t="shared" si="17"/>
        <v/>
      </c>
      <c r="AK38" s="31"/>
      <c r="AL38" s="40" t="str">
        <f t="shared" si="18"/>
        <v/>
      </c>
      <c r="AM38" s="31"/>
      <c r="AN38" s="40" t="str">
        <f t="shared" si="19"/>
        <v/>
      </c>
      <c r="AO38" s="31"/>
      <c r="AP38" s="40" t="str">
        <f t="shared" si="20"/>
        <v/>
      </c>
      <c r="AQ38" s="31"/>
      <c r="AR38" s="40" t="str">
        <f t="shared" si="21"/>
        <v/>
      </c>
      <c r="AS38" s="31"/>
      <c r="AT38" s="40" t="str">
        <f t="shared" si="22"/>
        <v/>
      </c>
      <c r="AU38" s="31"/>
      <c r="AV38" s="40" t="str">
        <f t="shared" si="23"/>
        <v/>
      </c>
      <c r="AW38" s="31"/>
      <c r="AX38" s="40" t="str">
        <f t="shared" si="24"/>
        <v/>
      </c>
      <c r="AY38" s="31"/>
      <c r="AZ38" s="40" t="str">
        <f t="shared" si="25"/>
        <v/>
      </c>
      <c r="BA38" s="22" t="s">
        <v>184</v>
      </c>
    </row>
    <row r="39" spans="1:53" ht="20" customHeight="1" x14ac:dyDescent="0.2">
      <c r="A39" s="130"/>
      <c r="B39" s="131"/>
      <c r="C39" s="75"/>
      <c r="D39" s="75" t="s">
        <v>252</v>
      </c>
      <c r="E39" s="76" t="s">
        <v>130</v>
      </c>
      <c r="F39" s="76" t="s">
        <v>131</v>
      </c>
      <c r="G39" s="75">
        <v>2017</v>
      </c>
      <c r="H39" s="81"/>
      <c r="I39" s="84"/>
      <c r="J39" s="64">
        <v>32</v>
      </c>
      <c r="K39" s="65">
        <v>150</v>
      </c>
      <c r="L39" s="112">
        <f t="shared" si="26"/>
        <v>21.333333333333336</v>
      </c>
      <c r="M39" s="31"/>
      <c r="N39" s="40" t="str">
        <f t="shared" si="0"/>
        <v/>
      </c>
      <c r="O39" s="35"/>
      <c r="P39" s="40" t="str">
        <f t="shared" si="8"/>
        <v/>
      </c>
      <c r="Q39" s="31"/>
      <c r="R39" s="40" t="str">
        <f t="shared" si="9"/>
        <v/>
      </c>
      <c r="S39" s="32"/>
      <c r="T39" s="32" t="str">
        <f t="shared" si="10"/>
        <v/>
      </c>
      <c r="U39" s="31"/>
      <c r="V39" s="40" t="str">
        <f t="shared" si="11"/>
        <v/>
      </c>
      <c r="W39" s="31"/>
      <c r="X39" s="40" t="str">
        <f t="shared" si="28"/>
        <v/>
      </c>
      <c r="Y39" s="31"/>
      <c r="Z39" s="40" t="str">
        <f t="shared" si="13"/>
        <v/>
      </c>
      <c r="AA39" s="31"/>
      <c r="AB39" s="40" t="str">
        <f t="shared" si="14"/>
        <v/>
      </c>
      <c r="AC39" s="31"/>
      <c r="AD39" s="40" t="str">
        <f t="shared" si="27"/>
        <v/>
      </c>
      <c r="AE39" s="31"/>
      <c r="AF39" s="40" t="str">
        <f t="shared" si="15"/>
        <v/>
      </c>
      <c r="AG39" s="31"/>
      <c r="AH39" s="40" t="str">
        <f t="shared" si="16"/>
        <v/>
      </c>
      <c r="AI39" s="31"/>
      <c r="AJ39" s="40" t="str">
        <f t="shared" si="17"/>
        <v/>
      </c>
      <c r="AK39" s="31"/>
      <c r="AL39" s="40" t="str">
        <f t="shared" si="18"/>
        <v/>
      </c>
      <c r="AM39" s="31"/>
      <c r="AN39" s="40" t="str">
        <f t="shared" si="19"/>
        <v/>
      </c>
      <c r="AO39" s="31"/>
      <c r="AP39" s="40" t="str">
        <f t="shared" si="20"/>
        <v/>
      </c>
      <c r="AQ39" s="31"/>
      <c r="AR39" s="40" t="str">
        <f t="shared" si="21"/>
        <v/>
      </c>
      <c r="AS39" s="31"/>
      <c r="AT39" s="40" t="str">
        <f t="shared" si="22"/>
        <v/>
      </c>
      <c r="AU39" s="31"/>
      <c r="AV39" s="40" t="str">
        <f t="shared" si="23"/>
        <v/>
      </c>
      <c r="AW39" s="31"/>
      <c r="AX39" s="40" t="str">
        <f t="shared" si="24"/>
        <v/>
      </c>
      <c r="AY39" s="31"/>
      <c r="AZ39" s="40" t="str">
        <f t="shared" si="25"/>
        <v/>
      </c>
      <c r="BA39" s="22" t="s">
        <v>73</v>
      </c>
    </row>
    <row r="40" spans="1:53" ht="20" customHeight="1" x14ac:dyDescent="0.2">
      <c r="A40" s="128"/>
      <c r="B40" s="132"/>
      <c r="C40" s="75"/>
      <c r="D40" s="75"/>
      <c r="E40" s="76" t="s">
        <v>185</v>
      </c>
      <c r="F40" s="76" t="s">
        <v>186</v>
      </c>
      <c r="G40" s="75">
        <v>2006</v>
      </c>
      <c r="H40" s="81">
        <v>65</v>
      </c>
      <c r="I40" s="84"/>
      <c r="J40" s="64">
        <v>6</v>
      </c>
      <c r="K40" s="65">
        <v>9</v>
      </c>
      <c r="L40" s="112">
        <f t="shared" si="26"/>
        <v>66.666666666666657</v>
      </c>
      <c r="M40" s="31"/>
      <c r="N40" s="40" t="str">
        <f t="shared" si="0"/>
        <v/>
      </c>
      <c r="O40" s="35">
        <v>13</v>
      </c>
      <c r="P40" s="40">
        <f t="shared" si="8"/>
        <v>144.44444444444443</v>
      </c>
      <c r="Q40" s="31"/>
      <c r="R40" s="40" t="str">
        <f t="shared" si="9"/>
        <v/>
      </c>
      <c r="S40" s="31">
        <v>4</v>
      </c>
      <c r="T40" s="40">
        <f t="shared" si="10"/>
        <v>44.444444444444443</v>
      </c>
      <c r="U40" s="31"/>
      <c r="V40" s="40" t="str">
        <f t="shared" si="11"/>
        <v/>
      </c>
      <c r="W40" s="31"/>
      <c r="X40" s="40" t="str">
        <f t="shared" si="28"/>
        <v/>
      </c>
      <c r="Y40" s="31">
        <v>1</v>
      </c>
      <c r="Z40" s="40">
        <f t="shared" si="13"/>
        <v>11.111111111111111</v>
      </c>
      <c r="AA40" s="31">
        <v>1</v>
      </c>
      <c r="AB40" s="40">
        <f t="shared" si="14"/>
        <v>11.111111111111111</v>
      </c>
      <c r="AC40" s="31">
        <v>2</v>
      </c>
      <c r="AD40" s="40">
        <f t="shared" si="27"/>
        <v>22.222222222222221</v>
      </c>
      <c r="AE40" s="31"/>
      <c r="AF40" s="40" t="str">
        <f t="shared" si="15"/>
        <v/>
      </c>
      <c r="AG40" s="31"/>
      <c r="AH40" s="40" t="str">
        <f t="shared" si="16"/>
        <v/>
      </c>
      <c r="AI40" s="31"/>
      <c r="AJ40" s="40" t="str">
        <f t="shared" si="17"/>
        <v/>
      </c>
      <c r="AK40" s="31"/>
      <c r="AL40" s="40" t="str">
        <f t="shared" si="18"/>
        <v/>
      </c>
      <c r="AM40" s="31"/>
      <c r="AN40" s="40" t="str">
        <f t="shared" si="19"/>
        <v/>
      </c>
      <c r="AO40" s="31">
        <v>1</v>
      </c>
      <c r="AP40" s="40">
        <f t="shared" si="20"/>
        <v>11.111111111111111</v>
      </c>
      <c r="AQ40" s="31">
        <v>1</v>
      </c>
      <c r="AR40" s="40">
        <f t="shared" si="21"/>
        <v>11.111111111111111</v>
      </c>
      <c r="AS40" s="31"/>
      <c r="AT40" s="40" t="str">
        <f t="shared" si="22"/>
        <v/>
      </c>
      <c r="AU40" s="31"/>
      <c r="AV40" s="40" t="str">
        <f t="shared" si="23"/>
        <v/>
      </c>
      <c r="AW40" s="31"/>
      <c r="AX40" s="40" t="str">
        <f t="shared" si="24"/>
        <v/>
      </c>
      <c r="AY40" s="31"/>
      <c r="AZ40" s="40" t="str">
        <f t="shared" si="25"/>
        <v/>
      </c>
      <c r="BA40" s="19" t="s">
        <v>220</v>
      </c>
    </row>
    <row r="41" spans="1:53" ht="20" customHeight="1" x14ac:dyDescent="0.2">
      <c r="A41" s="128"/>
      <c r="B41" s="132"/>
      <c r="C41" s="75"/>
      <c r="D41" s="75"/>
      <c r="E41" s="76" t="s">
        <v>132</v>
      </c>
      <c r="F41" s="76" t="s">
        <v>133</v>
      </c>
      <c r="G41" s="75">
        <v>2009</v>
      </c>
      <c r="H41" s="81">
        <v>31</v>
      </c>
      <c r="I41" s="84"/>
      <c r="J41" s="64">
        <v>196</v>
      </c>
      <c r="K41" s="65">
        <v>225</v>
      </c>
      <c r="L41" s="112">
        <f t="shared" si="26"/>
        <v>87.1111111111111</v>
      </c>
      <c r="M41" s="31">
        <v>66</v>
      </c>
      <c r="N41" s="40">
        <f t="shared" si="0"/>
        <v>29.333333333333332</v>
      </c>
      <c r="O41" s="35">
        <v>152</v>
      </c>
      <c r="P41" s="40">
        <f t="shared" si="8"/>
        <v>67.555555555555557</v>
      </c>
      <c r="Q41" s="31">
        <v>117</v>
      </c>
      <c r="R41" s="40">
        <f t="shared" si="9"/>
        <v>52</v>
      </c>
      <c r="S41" s="31"/>
      <c r="T41" s="40" t="str">
        <f t="shared" si="10"/>
        <v/>
      </c>
      <c r="U41" s="31">
        <v>66</v>
      </c>
      <c r="V41" s="40">
        <f t="shared" si="11"/>
        <v>29.333333333333332</v>
      </c>
      <c r="W41" s="31"/>
      <c r="X41" s="40" t="str">
        <f t="shared" si="28"/>
        <v/>
      </c>
      <c r="Y41" s="31"/>
      <c r="Z41" s="40" t="str">
        <f t="shared" si="13"/>
        <v/>
      </c>
      <c r="AA41" s="31">
        <v>65</v>
      </c>
      <c r="AB41" s="40">
        <f t="shared" si="14"/>
        <v>28.888888888888886</v>
      </c>
      <c r="AC41" s="31">
        <v>65</v>
      </c>
      <c r="AD41" s="40">
        <f t="shared" si="27"/>
        <v>28.888888888888886</v>
      </c>
      <c r="AE41" s="31"/>
      <c r="AF41" s="40" t="str">
        <f t="shared" si="15"/>
        <v/>
      </c>
      <c r="AG41" s="31">
        <v>59</v>
      </c>
      <c r="AH41" s="40">
        <f t="shared" si="16"/>
        <v>26.222222222222225</v>
      </c>
      <c r="AI41" s="31">
        <v>103</v>
      </c>
      <c r="AJ41" s="40">
        <f t="shared" si="17"/>
        <v>45.777777777777779</v>
      </c>
      <c r="AK41" s="31">
        <v>20</v>
      </c>
      <c r="AL41" s="40">
        <f t="shared" si="18"/>
        <v>8.8888888888888893</v>
      </c>
      <c r="AM41" s="31"/>
      <c r="AN41" s="40" t="str">
        <f t="shared" si="19"/>
        <v/>
      </c>
      <c r="AO41" s="31">
        <v>85</v>
      </c>
      <c r="AP41" s="40">
        <f t="shared" si="20"/>
        <v>37.777777777777779</v>
      </c>
      <c r="AQ41" s="31"/>
      <c r="AR41" s="40" t="str">
        <f t="shared" si="21"/>
        <v/>
      </c>
      <c r="AS41" s="31"/>
      <c r="AT41" s="40" t="str">
        <f t="shared" si="22"/>
        <v/>
      </c>
      <c r="AU41" s="31"/>
      <c r="AV41" s="40" t="str">
        <f t="shared" si="23"/>
        <v/>
      </c>
      <c r="AW41" s="31"/>
      <c r="AX41" s="40" t="str">
        <f t="shared" si="24"/>
        <v/>
      </c>
      <c r="AY41" s="31">
        <v>154</v>
      </c>
      <c r="AZ41" s="40">
        <f t="shared" si="25"/>
        <v>68.444444444444443</v>
      </c>
      <c r="BA41" s="19" t="s">
        <v>222</v>
      </c>
    </row>
    <row r="42" spans="1:53" ht="20" customHeight="1" x14ac:dyDescent="0.2">
      <c r="A42" s="128"/>
      <c r="B42" s="132"/>
      <c r="C42" s="75"/>
      <c r="D42" s="75"/>
      <c r="E42" s="76" t="s">
        <v>135</v>
      </c>
      <c r="F42" s="76" t="s">
        <v>133</v>
      </c>
      <c r="G42" s="75">
        <v>2009</v>
      </c>
      <c r="H42" s="81">
        <v>6</v>
      </c>
      <c r="I42" s="84"/>
      <c r="J42" s="64">
        <v>58</v>
      </c>
      <c r="K42" s="65">
        <v>78</v>
      </c>
      <c r="L42" s="112">
        <f t="shared" si="26"/>
        <v>74.358974358974365</v>
      </c>
      <c r="M42" s="31">
        <v>17</v>
      </c>
      <c r="N42" s="40">
        <f t="shared" si="0"/>
        <v>21.794871794871796</v>
      </c>
      <c r="O42" s="35">
        <v>50</v>
      </c>
      <c r="P42" s="40">
        <f t="shared" si="8"/>
        <v>64.102564102564102</v>
      </c>
      <c r="Q42" s="31">
        <v>33</v>
      </c>
      <c r="R42" s="40">
        <f t="shared" si="9"/>
        <v>42.307692307692307</v>
      </c>
      <c r="S42" s="31"/>
      <c r="T42" s="40" t="str">
        <f t="shared" si="10"/>
        <v/>
      </c>
      <c r="U42" s="31">
        <v>25</v>
      </c>
      <c r="V42" s="40">
        <f t="shared" si="11"/>
        <v>32.051282051282051</v>
      </c>
      <c r="W42" s="31"/>
      <c r="X42" s="40" t="str">
        <f t="shared" si="28"/>
        <v/>
      </c>
      <c r="Y42" s="31"/>
      <c r="Z42" s="40" t="str">
        <f t="shared" si="13"/>
        <v/>
      </c>
      <c r="AA42" s="31">
        <v>34</v>
      </c>
      <c r="AB42" s="40">
        <f t="shared" si="14"/>
        <v>43.589743589743591</v>
      </c>
      <c r="AC42" s="31">
        <v>20</v>
      </c>
      <c r="AD42" s="40">
        <f t="shared" si="27"/>
        <v>25.641025641025639</v>
      </c>
      <c r="AE42" s="31"/>
      <c r="AF42" s="40" t="str">
        <f t="shared" si="15"/>
        <v/>
      </c>
      <c r="AG42" s="31">
        <v>10</v>
      </c>
      <c r="AH42" s="40">
        <f t="shared" si="16"/>
        <v>12.820512820512819</v>
      </c>
      <c r="AI42" s="31">
        <v>32</v>
      </c>
      <c r="AJ42" s="40">
        <f t="shared" si="17"/>
        <v>41.025641025641022</v>
      </c>
      <c r="AK42" s="31">
        <v>7</v>
      </c>
      <c r="AL42" s="40">
        <f t="shared" si="18"/>
        <v>8.9743589743589745</v>
      </c>
      <c r="AM42" s="31"/>
      <c r="AN42" s="40" t="str">
        <f t="shared" si="19"/>
        <v/>
      </c>
      <c r="AO42" s="31">
        <v>24</v>
      </c>
      <c r="AP42" s="40">
        <f t="shared" si="20"/>
        <v>30.76923076923077</v>
      </c>
      <c r="AQ42" s="31"/>
      <c r="AR42" s="40" t="str">
        <f t="shared" si="21"/>
        <v/>
      </c>
      <c r="AS42" s="31"/>
      <c r="AT42" s="40" t="str">
        <f t="shared" si="22"/>
        <v/>
      </c>
      <c r="AU42" s="31"/>
      <c r="AV42" s="40" t="str">
        <f t="shared" si="23"/>
        <v/>
      </c>
      <c r="AW42" s="31"/>
      <c r="AX42" s="40" t="str">
        <f t="shared" si="24"/>
        <v/>
      </c>
      <c r="AY42" s="31">
        <v>33</v>
      </c>
      <c r="AZ42" s="40">
        <f t="shared" si="25"/>
        <v>42.307692307692307</v>
      </c>
      <c r="BA42" s="19" t="s">
        <v>219</v>
      </c>
    </row>
    <row r="43" spans="1:53" ht="20" customHeight="1" x14ac:dyDescent="0.2">
      <c r="A43" s="128"/>
      <c r="B43" s="133"/>
      <c r="C43" s="75"/>
      <c r="D43" s="75"/>
      <c r="E43" s="76" t="s">
        <v>137</v>
      </c>
      <c r="F43" s="76" t="s">
        <v>138</v>
      </c>
      <c r="G43" s="75">
        <v>1997</v>
      </c>
      <c r="H43" s="81">
        <v>94</v>
      </c>
      <c r="I43" s="84"/>
      <c r="J43" s="64">
        <v>262</v>
      </c>
      <c r="K43" s="65">
        <v>562</v>
      </c>
      <c r="L43" s="112">
        <f t="shared" si="26"/>
        <v>46.619217081850536</v>
      </c>
      <c r="M43" s="31"/>
      <c r="N43" s="40" t="str">
        <f t="shared" si="0"/>
        <v/>
      </c>
      <c r="O43" s="35"/>
      <c r="P43" s="40" t="str">
        <f t="shared" si="8"/>
        <v/>
      </c>
      <c r="Q43" s="31"/>
      <c r="R43" s="40" t="str">
        <f t="shared" si="9"/>
        <v/>
      </c>
      <c r="S43" s="31"/>
      <c r="T43" s="40" t="str">
        <f t="shared" si="10"/>
        <v/>
      </c>
      <c r="U43" s="31"/>
      <c r="V43" s="40" t="str">
        <f t="shared" si="11"/>
        <v/>
      </c>
      <c r="W43" s="31"/>
      <c r="X43" s="40" t="str">
        <f t="shared" si="28"/>
        <v/>
      </c>
      <c r="Y43" s="31"/>
      <c r="Z43" s="40" t="str">
        <f t="shared" si="13"/>
        <v/>
      </c>
      <c r="AA43" s="31"/>
      <c r="AB43" s="40" t="str">
        <f t="shared" si="14"/>
        <v/>
      </c>
      <c r="AC43" s="32"/>
      <c r="AD43" s="32" t="str">
        <f t="shared" si="27"/>
        <v/>
      </c>
      <c r="AE43" s="31"/>
      <c r="AF43" s="40" t="str">
        <f t="shared" si="15"/>
        <v/>
      </c>
      <c r="AG43" s="32"/>
      <c r="AH43" s="42" t="str">
        <f t="shared" si="16"/>
        <v/>
      </c>
      <c r="AI43" s="31"/>
      <c r="AJ43" s="40" t="str">
        <f t="shared" si="17"/>
        <v/>
      </c>
      <c r="AK43" s="31"/>
      <c r="AL43" s="40" t="str">
        <f t="shared" si="18"/>
        <v/>
      </c>
      <c r="AM43" s="31"/>
      <c r="AN43" s="40" t="str">
        <f t="shared" si="19"/>
        <v/>
      </c>
      <c r="AO43" s="31"/>
      <c r="AP43" s="40" t="str">
        <f t="shared" si="20"/>
        <v/>
      </c>
      <c r="AQ43" s="31"/>
      <c r="AR43" s="40" t="str">
        <f t="shared" si="21"/>
        <v/>
      </c>
      <c r="AS43" s="31"/>
      <c r="AT43" s="40" t="str">
        <f t="shared" si="22"/>
        <v/>
      </c>
      <c r="AU43" s="31"/>
      <c r="AV43" s="40" t="str">
        <f t="shared" si="23"/>
        <v/>
      </c>
      <c r="AW43" s="31"/>
      <c r="AX43" s="40" t="str">
        <f t="shared" si="24"/>
        <v/>
      </c>
      <c r="AY43" s="32"/>
      <c r="AZ43" s="32" t="str">
        <f t="shared" si="25"/>
        <v/>
      </c>
    </row>
    <row r="44" spans="1:53" ht="20" customHeight="1" x14ac:dyDescent="0.2">
      <c r="A44" s="130"/>
      <c r="B44" s="131"/>
      <c r="C44" s="75"/>
      <c r="D44" s="75"/>
      <c r="E44" s="76" t="s">
        <v>277</v>
      </c>
      <c r="F44" s="76" t="s">
        <v>278</v>
      </c>
      <c r="G44" s="75">
        <v>1991</v>
      </c>
      <c r="H44" s="81"/>
      <c r="I44" s="84"/>
      <c r="J44" s="64"/>
      <c r="K44" s="65">
        <v>3</v>
      </c>
      <c r="L44" s="112"/>
      <c r="M44" s="31"/>
      <c r="N44" s="40"/>
      <c r="O44" s="35"/>
      <c r="P44" s="40"/>
      <c r="Q44" s="31"/>
      <c r="R44" s="40"/>
      <c r="S44" s="31"/>
      <c r="T44" s="40"/>
      <c r="U44" s="31"/>
      <c r="V44" s="40"/>
      <c r="W44" s="31"/>
      <c r="X44" s="40"/>
      <c r="Y44" s="31"/>
      <c r="Z44" s="40"/>
      <c r="AA44" s="31"/>
      <c r="AB44" s="40"/>
      <c r="AC44" s="31"/>
      <c r="AD44" s="40"/>
      <c r="AE44" s="31"/>
      <c r="AF44" s="40"/>
      <c r="AG44" s="31"/>
      <c r="AH44" s="40"/>
      <c r="AI44" s="31"/>
      <c r="AJ44" s="40"/>
      <c r="AK44" s="31"/>
      <c r="AL44" s="40"/>
      <c r="AM44" s="31"/>
      <c r="AN44" s="40"/>
      <c r="AO44" s="31"/>
      <c r="AP44" s="40"/>
      <c r="AQ44" s="31"/>
      <c r="AR44" s="40"/>
      <c r="AS44" s="31"/>
      <c r="AT44" s="40"/>
      <c r="AU44" s="31"/>
      <c r="AV44" s="40"/>
      <c r="AW44" s="31"/>
      <c r="AX44" s="40"/>
      <c r="AY44" s="31"/>
      <c r="AZ44" s="40"/>
    </row>
    <row r="45" spans="1:53" ht="20" customHeight="1" x14ac:dyDescent="0.2">
      <c r="A45" s="128"/>
      <c r="B45" s="132"/>
      <c r="C45" s="75"/>
      <c r="D45" s="75"/>
      <c r="E45" s="76" t="s">
        <v>139</v>
      </c>
      <c r="F45" s="76" t="s">
        <v>140</v>
      </c>
      <c r="G45" s="75">
        <v>2009</v>
      </c>
      <c r="H45" s="81">
        <v>38</v>
      </c>
      <c r="I45" s="84"/>
      <c r="J45" s="64">
        <v>39</v>
      </c>
      <c r="K45" s="65">
        <v>100</v>
      </c>
      <c r="L45" s="112">
        <f t="shared" si="26"/>
        <v>39</v>
      </c>
      <c r="M45" s="31"/>
      <c r="N45" s="40" t="str">
        <f t="shared" si="0"/>
        <v/>
      </c>
      <c r="O45" s="35">
        <v>19</v>
      </c>
      <c r="P45" s="40">
        <f t="shared" si="8"/>
        <v>19</v>
      </c>
      <c r="Q45" s="31">
        <v>11</v>
      </c>
      <c r="R45" s="40">
        <f t="shared" si="9"/>
        <v>11</v>
      </c>
      <c r="S45" s="31">
        <v>7</v>
      </c>
      <c r="T45" s="40">
        <f t="shared" si="10"/>
        <v>7.0000000000000009</v>
      </c>
      <c r="U45" s="31">
        <v>7</v>
      </c>
      <c r="V45" s="40">
        <f t="shared" si="11"/>
        <v>7.0000000000000009</v>
      </c>
      <c r="W45" s="31"/>
      <c r="X45" s="40" t="str">
        <f t="shared" si="28"/>
        <v/>
      </c>
      <c r="Y45" s="31">
        <v>9</v>
      </c>
      <c r="Z45" s="40">
        <f t="shared" si="13"/>
        <v>9</v>
      </c>
      <c r="AA45" s="31"/>
      <c r="AB45" s="40" t="str">
        <f t="shared" si="14"/>
        <v/>
      </c>
      <c r="AC45" s="31">
        <v>2</v>
      </c>
      <c r="AD45" s="40">
        <f t="shared" si="27"/>
        <v>2</v>
      </c>
      <c r="AE45" s="31"/>
      <c r="AF45" s="40" t="str">
        <f t="shared" si="15"/>
        <v/>
      </c>
      <c r="AG45" s="31">
        <v>3</v>
      </c>
      <c r="AH45" s="40">
        <f t="shared" si="16"/>
        <v>3</v>
      </c>
      <c r="AI45" s="31"/>
      <c r="AJ45" s="40" t="str">
        <f t="shared" si="17"/>
        <v/>
      </c>
      <c r="AK45" s="31">
        <v>13</v>
      </c>
      <c r="AL45" s="40">
        <f t="shared" si="18"/>
        <v>13</v>
      </c>
      <c r="AM45" s="31"/>
      <c r="AN45" s="40" t="str">
        <f t="shared" si="19"/>
        <v/>
      </c>
      <c r="AO45" s="31">
        <v>4</v>
      </c>
      <c r="AP45" s="40">
        <f t="shared" si="20"/>
        <v>4</v>
      </c>
      <c r="AQ45" s="31"/>
      <c r="AR45" s="40" t="str">
        <f t="shared" si="21"/>
        <v/>
      </c>
      <c r="AS45" s="31"/>
      <c r="AT45" s="40" t="str">
        <f t="shared" si="22"/>
        <v/>
      </c>
      <c r="AU45" s="31"/>
      <c r="AV45" s="40" t="str">
        <f t="shared" si="23"/>
        <v/>
      </c>
      <c r="AW45" s="31"/>
      <c r="AX45" s="40" t="str">
        <f t="shared" si="24"/>
        <v/>
      </c>
      <c r="AY45" s="31"/>
      <c r="AZ45" s="40" t="str">
        <f t="shared" si="25"/>
        <v/>
      </c>
      <c r="BA45" s="19" t="s">
        <v>212</v>
      </c>
    </row>
    <row r="46" spans="1:53" ht="20" customHeight="1" x14ac:dyDescent="0.2">
      <c r="A46" s="128"/>
      <c r="B46" s="132"/>
      <c r="C46" s="75"/>
      <c r="D46" s="75"/>
      <c r="E46" s="76" t="s">
        <v>141</v>
      </c>
      <c r="F46" s="76" t="s">
        <v>142</v>
      </c>
      <c r="G46" s="75">
        <v>2006</v>
      </c>
      <c r="H46" s="81">
        <v>56</v>
      </c>
      <c r="I46" s="84"/>
      <c r="J46" s="64">
        <v>35</v>
      </c>
      <c r="K46" s="65">
        <v>500</v>
      </c>
      <c r="L46" s="112">
        <f t="shared" si="26"/>
        <v>7.0000000000000009</v>
      </c>
      <c r="M46" s="31"/>
      <c r="N46" s="40" t="str">
        <f t="shared" si="0"/>
        <v/>
      </c>
      <c r="O46" s="35">
        <v>9</v>
      </c>
      <c r="P46" s="40">
        <f t="shared" si="8"/>
        <v>1.7999999999999998</v>
      </c>
      <c r="Q46" s="31"/>
      <c r="R46" s="40" t="str">
        <f t="shared" si="9"/>
        <v/>
      </c>
      <c r="S46" s="31">
        <v>2</v>
      </c>
      <c r="T46" s="40">
        <f t="shared" si="10"/>
        <v>0.4</v>
      </c>
      <c r="U46" s="31">
        <v>1</v>
      </c>
      <c r="V46" s="40">
        <f t="shared" si="11"/>
        <v>0.2</v>
      </c>
      <c r="W46" s="31"/>
      <c r="X46" s="40" t="str">
        <f t="shared" si="28"/>
        <v/>
      </c>
      <c r="Y46" s="31"/>
      <c r="Z46" s="40" t="str">
        <f t="shared" si="13"/>
        <v/>
      </c>
      <c r="AA46" s="31">
        <v>1</v>
      </c>
      <c r="AB46" s="40">
        <f t="shared" si="14"/>
        <v>0.2</v>
      </c>
      <c r="AC46" s="31">
        <v>6</v>
      </c>
      <c r="AD46" s="40">
        <f t="shared" si="27"/>
        <v>1.2</v>
      </c>
      <c r="AE46" s="31"/>
      <c r="AF46" s="40" t="str">
        <f t="shared" si="15"/>
        <v/>
      </c>
      <c r="AG46" s="31">
        <v>2</v>
      </c>
      <c r="AH46" s="40">
        <f t="shared" si="16"/>
        <v>0.4</v>
      </c>
      <c r="AI46" s="31">
        <v>1</v>
      </c>
      <c r="AJ46" s="40">
        <f t="shared" si="17"/>
        <v>0.2</v>
      </c>
      <c r="AK46" s="31"/>
      <c r="AL46" s="40" t="str">
        <f t="shared" si="18"/>
        <v/>
      </c>
      <c r="AM46" s="31"/>
      <c r="AN46" s="40" t="str">
        <f t="shared" si="19"/>
        <v/>
      </c>
      <c r="AO46" s="31"/>
      <c r="AP46" s="40" t="str">
        <f t="shared" si="20"/>
        <v/>
      </c>
      <c r="AQ46" s="31">
        <v>2</v>
      </c>
      <c r="AR46" s="40">
        <f t="shared" si="21"/>
        <v>0.4</v>
      </c>
      <c r="AS46" s="31"/>
      <c r="AT46" s="40" t="str">
        <f t="shared" si="22"/>
        <v/>
      </c>
      <c r="AU46" s="31">
        <v>10</v>
      </c>
      <c r="AV46" s="40">
        <f t="shared" si="23"/>
        <v>2</v>
      </c>
      <c r="AW46" s="31"/>
      <c r="AX46" s="40" t="str">
        <f t="shared" si="24"/>
        <v/>
      </c>
      <c r="AY46" s="31"/>
      <c r="AZ46" s="40" t="str">
        <f t="shared" si="25"/>
        <v/>
      </c>
      <c r="BA46" s="19" t="s">
        <v>280</v>
      </c>
    </row>
    <row r="47" spans="1:53" ht="20" customHeight="1" x14ac:dyDescent="0.2">
      <c r="A47" s="130"/>
      <c r="B47" s="129"/>
      <c r="C47" s="75"/>
      <c r="D47" s="75"/>
      <c r="E47" s="76" t="s">
        <v>143</v>
      </c>
      <c r="F47" s="76" t="s">
        <v>144</v>
      </c>
      <c r="G47" s="75">
        <v>2016</v>
      </c>
      <c r="H47" s="81">
        <v>2</v>
      </c>
      <c r="I47" s="84"/>
      <c r="J47" s="64">
        <v>3</v>
      </c>
      <c r="K47" s="65">
        <v>177</v>
      </c>
      <c r="L47" s="112">
        <f t="shared" si="26"/>
        <v>1.6949152542372881</v>
      </c>
      <c r="M47" s="31"/>
      <c r="N47" s="40" t="str">
        <f t="shared" si="0"/>
        <v/>
      </c>
      <c r="O47" s="35"/>
      <c r="P47" s="40" t="str">
        <f t="shared" si="8"/>
        <v/>
      </c>
      <c r="Q47" s="31"/>
      <c r="R47" s="40" t="str">
        <f t="shared" si="9"/>
        <v/>
      </c>
      <c r="S47" s="31"/>
      <c r="T47" s="40" t="str">
        <f t="shared" si="10"/>
        <v/>
      </c>
      <c r="U47" s="31"/>
      <c r="V47" s="40" t="str">
        <f t="shared" si="11"/>
        <v/>
      </c>
      <c r="W47" s="31"/>
      <c r="X47" s="40" t="str">
        <f t="shared" si="28"/>
        <v/>
      </c>
      <c r="Y47" s="31"/>
      <c r="Z47" s="40" t="str">
        <f t="shared" si="13"/>
        <v/>
      </c>
      <c r="AA47" s="31"/>
      <c r="AB47" s="40" t="str">
        <f t="shared" si="14"/>
        <v/>
      </c>
      <c r="AC47" s="31">
        <v>3</v>
      </c>
      <c r="AD47" s="40">
        <f t="shared" si="27"/>
        <v>1.6949152542372881</v>
      </c>
      <c r="AE47" s="31"/>
      <c r="AF47" s="40" t="str">
        <f t="shared" si="15"/>
        <v/>
      </c>
      <c r="AG47" s="31"/>
      <c r="AH47" s="40" t="str">
        <f t="shared" si="16"/>
        <v/>
      </c>
      <c r="AI47" s="31"/>
      <c r="AJ47" s="40" t="str">
        <f t="shared" si="17"/>
        <v/>
      </c>
      <c r="AK47" s="31"/>
      <c r="AL47" s="40" t="str">
        <f t="shared" si="18"/>
        <v/>
      </c>
      <c r="AM47" s="31"/>
      <c r="AN47" s="40" t="str">
        <f t="shared" si="19"/>
        <v/>
      </c>
      <c r="AO47" s="31"/>
      <c r="AP47" s="40" t="str">
        <f t="shared" si="20"/>
        <v/>
      </c>
      <c r="AQ47" s="31"/>
      <c r="AR47" s="40" t="str">
        <f t="shared" si="21"/>
        <v/>
      </c>
      <c r="AS47" s="31"/>
      <c r="AT47" s="40" t="str">
        <f t="shared" si="22"/>
        <v/>
      </c>
      <c r="AU47" s="31"/>
      <c r="AV47" s="40" t="str">
        <f t="shared" si="23"/>
        <v/>
      </c>
      <c r="AW47" s="31"/>
      <c r="AX47" s="40" t="str">
        <f t="shared" si="24"/>
        <v/>
      </c>
      <c r="AY47" s="31"/>
      <c r="AZ47" s="40" t="str">
        <f t="shared" si="25"/>
        <v/>
      </c>
    </row>
    <row r="48" spans="1:53" ht="20" customHeight="1" x14ac:dyDescent="0.2">
      <c r="A48" s="128"/>
      <c r="B48" s="133"/>
      <c r="C48" s="75"/>
      <c r="D48" s="75"/>
      <c r="E48" s="76" t="s">
        <v>145</v>
      </c>
      <c r="F48" s="76" t="s">
        <v>146</v>
      </c>
      <c r="G48" s="75">
        <v>2009</v>
      </c>
      <c r="H48" s="81"/>
      <c r="I48" s="84" t="s">
        <v>191</v>
      </c>
      <c r="J48" s="64">
        <v>21</v>
      </c>
      <c r="K48" s="65">
        <v>293</v>
      </c>
      <c r="L48" s="112">
        <f t="shared" si="26"/>
        <v>7.1672354948805461</v>
      </c>
      <c r="M48" s="31"/>
      <c r="N48" s="40" t="str">
        <f t="shared" si="0"/>
        <v/>
      </c>
      <c r="O48" s="35"/>
      <c r="P48" s="40" t="str">
        <f t="shared" si="8"/>
        <v/>
      </c>
      <c r="Q48" s="31"/>
      <c r="R48" s="40" t="str">
        <f t="shared" si="9"/>
        <v/>
      </c>
      <c r="S48" s="31"/>
      <c r="T48" s="40" t="str">
        <f t="shared" si="10"/>
        <v/>
      </c>
      <c r="U48" s="31"/>
      <c r="V48" s="40" t="str">
        <f t="shared" si="11"/>
        <v/>
      </c>
      <c r="W48" s="31"/>
      <c r="X48" s="40" t="str">
        <f t="shared" si="28"/>
        <v/>
      </c>
      <c r="Y48" s="31">
        <v>1</v>
      </c>
      <c r="Z48" s="40">
        <f t="shared" si="13"/>
        <v>0.34129692832764508</v>
      </c>
      <c r="AA48" s="31">
        <v>5</v>
      </c>
      <c r="AB48" s="40">
        <f t="shared" si="14"/>
        <v>1.7064846416382253</v>
      </c>
      <c r="AC48" s="31">
        <v>6</v>
      </c>
      <c r="AD48" s="40">
        <f t="shared" si="27"/>
        <v>2.0477815699658701</v>
      </c>
      <c r="AE48" s="31">
        <v>2</v>
      </c>
      <c r="AF48" s="40">
        <f t="shared" si="15"/>
        <v>0.68259385665529015</v>
      </c>
      <c r="AG48" s="31"/>
      <c r="AH48" s="40" t="str">
        <f t="shared" si="16"/>
        <v/>
      </c>
      <c r="AI48" s="31">
        <v>2</v>
      </c>
      <c r="AJ48" s="40">
        <f t="shared" si="17"/>
        <v>0.68259385665529015</v>
      </c>
      <c r="AK48" s="31">
        <v>1</v>
      </c>
      <c r="AL48" s="40">
        <f t="shared" si="18"/>
        <v>0.34129692832764508</v>
      </c>
      <c r="AM48" s="31"/>
      <c r="AN48" s="40" t="str">
        <f t="shared" si="19"/>
        <v/>
      </c>
      <c r="AO48" s="31">
        <v>2</v>
      </c>
      <c r="AP48" s="40">
        <f t="shared" si="20"/>
        <v>0.68259385665529015</v>
      </c>
      <c r="AQ48" s="31">
        <v>2</v>
      </c>
      <c r="AR48" s="40">
        <f t="shared" si="21"/>
        <v>0.68259385665529015</v>
      </c>
      <c r="AS48" s="31">
        <v>1</v>
      </c>
      <c r="AT48" s="40">
        <f t="shared" si="22"/>
        <v>0.34129692832764508</v>
      </c>
      <c r="AU48" s="31">
        <v>1</v>
      </c>
      <c r="AV48" s="40">
        <f t="shared" si="23"/>
        <v>0.34129692832764508</v>
      </c>
      <c r="AW48" s="31">
        <v>1</v>
      </c>
      <c r="AX48" s="40">
        <f t="shared" si="24"/>
        <v>0.34129692832764508</v>
      </c>
      <c r="AY48" s="31"/>
      <c r="AZ48" s="40" t="str">
        <f t="shared" si="25"/>
        <v/>
      </c>
    </row>
    <row r="49" spans="1:53" ht="20" customHeight="1" x14ac:dyDescent="0.2">
      <c r="A49" s="128"/>
      <c r="B49" s="129"/>
      <c r="C49" s="75"/>
      <c r="D49" s="75"/>
      <c r="E49" s="76" t="s">
        <v>147</v>
      </c>
      <c r="F49" s="76" t="s">
        <v>148</v>
      </c>
      <c r="G49" s="75">
        <v>2007</v>
      </c>
      <c r="H49" s="81">
        <v>34</v>
      </c>
      <c r="I49" s="84" t="s">
        <v>112</v>
      </c>
      <c r="J49" s="64">
        <v>7</v>
      </c>
      <c r="K49" s="65">
        <v>109</v>
      </c>
      <c r="L49" s="112">
        <f t="shared" si="26"/>
        <v>6.4220183486238538</v>
      </c>
      <c r="M49" s="31"/>
      <c r="N49" s="40" t="str">
        <f t="shared" si="0"/>
        <v/>
      </c>
      <c r="O49" s="35">
        <v>8</v>
      </c>
      <c r="P49" s="40">
        <f t="shared" si="8"/>
        <v>7.3394495412844041</v>
      </c>
      <c r="Q49" s="31"/>
      <c r="R49" s="40" t="str">
        <f t="shared" si="9"/>
        <v/>
      </c>
      <c r="S49" s="31"/>
      <c r="T49" s="40" t="str">
        <f t="shared" si="10"/>
        <v/>
      </c>
      <c r="U49" s="31"/>
      <c r="V49" s="40" t="str">
        <f t="shared" si="11"/>
        <v/>
      </c>
      <c r="W49" s="31">
        <v>1</v>
      </c>
      <c r="X49" s="40">
        <f t="shared" si="28"/>
        <v>0.91743119266055051</v>
      </c>
      <c r="Y49" s="31"/>
      <c r="Z49" s="40" t="str">
        <f t="shared" si="13"/>
        <v/>
      </c>
      <c r="AA49" s="31"/>
      <c r="AB49" s="40" t="str">
        <f t="shared" si="14"/>
        <v/>
      </c>
      <c r="AC49" s="31">
        <v>3</v>
      </c>
      <c r="AD49" s="40">
        <f t="shared" si="27"/>
        <v>2.7522935779816518</v>
      </c>
      <c r="AE49" s="31"/>
      <c r="AF49" s="40" t="str">
        <f t="shared" si="15"/>
        <v/>
      </c>
      <c r="AG49" s="31">
        <v>4</v>
      </c>
      <c r="AH49" s="40">
        <f t="shared" si="16"/>
        <v>3.669724770642202</v>
      </c>
      <c r="AI49" s="31"/>
      <c r="AJ49" s="40" t="str">
        <f t="shared" si="17"/>
        <v/>
      </c>
      <c r="AK49" s="31"/>
      <c r="AL49" s="40" t="str">
        <f t="shared" si="18"/>
        <v/>
      </c>
      <c r="AM49" s="31">
        <v>4</v>
      </c>
      <c r="AN49" s="40">
        <f t="shared" si="19"/>
        <v>3.669724770642202</v>
      </c>
      <c r="AO49" s="31"/>
      <c r="AP49" s="40" t="str">
        <f t="shared" si="20"/>
        <v/>
      </c>
      <c r="AQ49" s="31"/>
      <c r="AR49" s="40" t="str">
        <f t="shared" si="21"/>
        <v/>
      </c>
      <c r="AS49" s="31"/>
      <c r="AT49" s="40" t="str">
        <f t="shared" si="22"/>
        <v/>
      </c>
      <c r="AU49" s="31"/>
      <c r="AV49" s="40" t="str">
        <f t="shared" si="23"/>
        <v/>
      </c>
      <c r="AW49" s="31"/>
      <c r="AX49" s="40" t="str">
        <f t="shared" si="24"/>
        <v/>
      </c>
      <c r="AY49" s="31"/>
      <c r="AZ49" s="40" t="str">
        <f t="shared" si="25"/>
        <v/>
      </c>
      <c r="BA49" s="19" t="s">
        <v>194</v>
      </c>
    </row>
    <row r="50" spans="1:53" ht="20" customHeight="1" x14ac:dyDescent="0.2">
      <c r="A50" s="128"/>
      <c r="B50" s="129"/>
      <c r="C50" s="75"/>
      <c r="D50" s="75"/>
      <c r="E50" s="76" t="s">
        <v>149</v>
      </c>
      <c r="F50" s="76" t="s">
        <v>150</v>
      </c>
      <c r="G50" s="75">
        <v>2010</v>
      </c>
      <c r="H50" s="81">
        <v>50</v>
      </c>
      <c r="I50" s="84"/>
      <c r="J50" s="64">
        <v>2</v>
      </c>
      <c r="K50" s="65">
        <v>56</v>
      </c>
      <c r="L50" s="112">
        <f t="shared" si="26"/>
        <v>3.5714285714285712</v>
      </c>
      <c r="M50" s="31"/>
      <c r="N50" s="40" t="str">
        <f t="shared" si="0"/>
        <v/>
      </c>
      <c r="O50" s="35"/>
      <c r="P50" s="40" t="str">
        <f t="shared" si="8"/>
        <v/>
      </c>
      <c r="Q50" s="31"/>
      <c r="R50" s="40" t="str">
        <f t="shared" si="9"/>
        <v/>
      </c>
      <c r="S50" s="31"/>
      <c r="T50" s="40" t="str">
        <f t="shared" si="10"/>
        <v/>
      </c>
      <c r="U50" s="31"/>
      <c r="V50" s="40" t="str">
        <f t="shared" si="11"/>
        <v/>
      </c>
      <c r="W50" s="31"/>
      <c r="X50" s="40" t="str">
        <f t="shared" si="28"/>
        <v/>
      </c>
      <c r="Y50" s="31"/>
      <c r="Z50" s="40" t="str">
        <f t="shared" si="13"/>
        <v/>
      </c>
      <c r="AA50" s="31"/>
      <c r="AB50" s="40" t="str">
        <f t="shared" si="14"/>
        <v/>
      </c>
      <c r="AC50" s="31">
        <v>2</v>
      </c>
      <c r="AD50" s="40">
        <f t="shared" si="27"/>
        <v>3.5714285714285712</v>
      </c>
      <c r="AE50" s="31"/>
      <c r="AF50" s="40" t="str">
        <f t="shared" si="15"/>
        <v/>
      </c>
      <c r="AG50" s="31"/>
      <c r="AH50" s="40" t="str">
        <f t="shared" si="16"/>
        <v/>
      </c>
      <c r="AI50" s="31"/>
      <c r="AJ50" s="40" t="str">
        <f t="shared" si="17"/>
        <v/>
      </c>
      <c r="AK50" s="31"/>
      <c r="AL50" s="40" t="str">
        <f t="shared" si="18"/>
        <v/>
      </c>
      <c r="AM50" s="31"/>
      <c r="AN50" s="40" t="str">
        <f t="shared" si="19"/>
        <v/>
      </c>
      <c r="AO50" s="31"/>
      <c r="AP50" s="40" t="str">
        <f t="shared" si="20"/>
        <v/>
      </c>
      <c r="AQ50" s="31"/>
      <c r="AR50" s="40" t="str">
        <f t="shared" si="21"/>
        <v/>
      </c>
      <c r="AS50" s="31"/>
      <c r="AT50" s="40" t="str">
        <f t="shared" si="22"/>
        <v/>
      </c>
      <c r="AU50" s="31"/>
      <c r="AV50" s="40" t="str">
        <f t="shared" si="23"/>
        <v/>
      </c>
      <c r="AW50" s="31"/>
      <c r="AX50" s="40" t="str">
        <f t="shared" si="24"/>
        <v/>
      </c>
      <c r="AY50" s="31"/>
      <c r="AZ50" s="40" t="str">
        <f t="shared" si="25"/>
        <v/>
      </c>
    </row>
    <row r="51" spans="1:53" ht="20" customHeight="1" x14ac:dyDescent="0.2">
      <c r="A51" s="130"/>
      <c r="B51" s="131"/>
      <c r="C51" s="75"/>
      <c r="D51" s="75"/>
      <c r="E51" s="76" t="s">
        <v>151</v>
      </c>
      <c r="F51" s="76" t="s">
        <v>152</v>
      </c>
      <c r="G51" s="75">
        <v>2011</v>
      </c>
      <c r="H51" s="81">
        <v>33</v>
      </c>
      <c r="I51" s="84" t="s">
        <v>195</v>
      </c>
      <c r="J51" s="64">
        <v>39</v>
      </c>
      <c r="K51" s="65">
        <v>130</v>
      </c>
      <c r="L51" s="112">
        <f t="shared" si="26"/>
        <v>30</v>
      </c>
      <c r="M51" s="31"/>
      <c r="N51" s="40" t="str">
        <f t="shared" si="0"/>
        <v/>
      </c>
      <c r="O51" s="35"/>
      <c r="P51" s="40" t="str">
        <f t="shared" si="8"/>
        <v/>
      </c>
      <c r="Q51" s="31"/>
      <c r="R51" s="40" t="str">
        <f t="shared" si="9"/>
        <v/>
      </c>
      <c r="S51" s="31"/>
      <c r="T51" s="40" t="str">
        <f t="shared" si="10"/>
        <v/>
      </c>
      <c r="U51" s="31"/>
      <c r="V51" s="40" t="str">
        <f t="shared" si="11"/>
        <v/>
      </c>
      <c r="W51" s="31"/>
      <c r="X51" s="40" t="str">
        <f t="shared" si="28"/>
        <v/>
      </c>
      <c r="Y51" s="31"/>
      <c r="Z51" s="40" t="str">
        <f t="shared" si="13"/>
        <v/>
      </c>
      <c r="AA51" s="31"/>
      <c r="AB51" s="40" t="str">
        <f t="shared" si="14"/>
        <v/>
      </c>
      <c r="AC51" s="32"/>
      <c r="AD51" s="32" t="str">
        <f t="shared" si="27"/>
        <v/>
      </c>
      <c r="AE51" s="31"/>
      <c r="AF51" s="40" t="str">
        <f t="shared" si="15"/>
        <v/>
      </c>
      <c r="AG51" s="31"/>
      <c r="AH51" s="40" t="str">
        <f t="shared" si="16"/>
        <v/>
      </c>
      <c r="AI51" s="31"/>
      <c r="AJ51" s="40" t="str">
        <f t="shared" si="17"/>
        <v/>
      </c>
      <c r="AK51" s="31"/>
      <c r="AL51" s="40" t="str">
        <f t="shared" si="18"/>
        <v/>
      </c>
      <c r="AM51" s="32"/>
      <c r="AN51" s="32" t="str">
        <f t="shared" si="19"/>
        <v/>
      </c>
      <c r="AO51" s="31"/>
      <c r="AP51" s="40" t="str">
        <f t="shared" si="20"/>
        <v/>
      </c>
      <c r="AQ51" s="31"/>
      <c r="AR51" s="40" t="str">
        <f t="shared" si="21"/>
        <v/>
      </c>
      <c r="AS51" s="31"/>
      <c r="AT51" s="40" t="str">
        <f t="shared" si="22"/>
        <v/>
      </c>
      <c r="AU51" s="31"/>
      <c r="AV51" s="40" t="str">
        <f t="shared" si="23"/>
        <v/>
      </c>
      <c r="AW51" s="31"/>
      <c r="AX51" s="40" t="str">
        <f t="shared" si="24"/>
        <v/>
      </c>
      <c r="AY51" s="31"/>
      <c r="AZ51" s="40" t="str">
        <f t="shared" si="25"/>
        <v/>
      </c>
      <c r="BA51" s="22" t="s">
        <v>196</v>
      </c>
    </row>
    <row r="52" spans="1:53" ht="20" customHeight="1" x14ac:dyDescent="0.2">
      <c r="A52" s="128"/>
      <c r="B52" s="133"/>
      <c r="C52" s="75"/>
      <c r="D52" s="75"/>
      <c r="E52" s="76" t="s">
        <v>153</v>
      </c>
      <c r="F52" s="76" t="s">
        <v>154</v>
      </c>
      <c r="G52" s="75">
        <v>2014</v>
      </c>
      <c r="H52" s="81">
        <v>9</v>
      </c>
      <c r="I52" s="84" t="s">
        <v>155</v>
      </c>
      <c r="J52" s="64">
        <v>58</v>
      </c>
      <c r="K52" s="65">
        <v>1109</v>
      </c>
      <c r="L52" s="112">
        <f t="shared" si="26"/>
        <v>5.2299368800721373</v>
      </c>
      <c r="M52" s="31"/>
      <c r="N52" s="40" t="str">
        <f t="shared" si="0"/>
        <v/>
      </c>
      <c r="O52" s="35"/>
      <c r="P52" s="40" t="str">
        <f t="shared" si="8"/>
        <v/>
      </c>
      <c r="Q52" s="31"/>
      <c r="R52" s="40" t="str">
        <f t="shared" si="9"/>
        <v/>
      </c>
      <c r="S52" s="31"/>
      <c r="T52" s="40" t="str">
        <f t="shared" si="10"/>
        <v/>
      </c>
      <c r="U52" s="31"/>
      <c r="V52" s="40" t="str">
        <f t="shared" si="11"/>
        <v/>
      </c>
      <c r="W52" s="31"/>
      <c r="X52" s="40" t="str">
        <f t="shared" si="28"/>
        <v/>
      </c>
      <c r="Y52" s="31"/>
      <c r="Z52" s="40" t="str">
        <f t="shared" si="13"/>
        <v/>
      </c>
      <c r="AA52" s="31"/>
      <c r="AB52" s="40" t="str">
        <f t="shared" si="14"/>
        <v/>
      </c>
      <c r="AC52" s="31">
        <v>21</v>
      </c>
      <c r="AD52" s="40">
        <f t="shared" si="27"/>
        <v>1.8935978358881875</v>
      </c>
      <c r="AE52" s="31"/>
      <c r="AF52" s="40" t="str">
        <f t="shared" si="15"/>
        <v/>
      </c>
      <c r="AG52" s="31"/>
      <c r="AH52" s="40" t="str">
        <f t="shared" si="16"/>
        <v/>
      </c>
      <c r="AI52" s="31"/>
      <c r="AJ52" s="40" t="str">
        <f t="shared" si="17"/>
        <v/>
      </c>
      <c r="AK52" s="31"/>
      <c r="AL52" s="40" t="str">
        <f t="shared" si="18"/>
        <v/>
      </c>
      <c r="AM52" s="31">
        <v>38</v>
      </c>
      <c r="AN52" s="40">
        <f t="shared" si="19"/>
        <v>3.4265103697024344</v>
      </c>
      <c r="AO52" s="31"/>
      <c r="AP52" s="40" t="str">
        <f t="shared" si="20"/>
        <v/>
      </c>
      <c r="AQ52" s="31"/>
      <c r="AR52" s="40" t="str">
        <f t="shared" si="21"/>
        <v/>
      </c>
      <c r="AS52" s="31"/>
      <c r="AT52" s="40" t="str">
        <f t="shared" si="22"/>
        <v/>
      </c>
      <c r="AU52" s="31"/>
      <c r="AV52" s="40" t="str">
        <f t="shared" si="23"/>
        <v/>
      </c>
      <c r="AW52" s="31"/>
      <c r="AX52" s="40" t="str">
        <f t="shared" si="24"/>
        <v/>
      </c>
      <c r="AY52" s="31"/>
      <c r="AZ52" s="40" t="str">
        <f t="shared" si="25"/>
        <v/>
      </c>
      <c r="BA52" s="19" t="s">
        <v>156</v>
      </c>
    </row>
    <row r="53" spans="1:53" ht="20" customHeight="1" x14ac:dyDescent="0.2">
      <c r="A53" s="130"/>
      <c r="B53" s="131"/>
      <c r="C53" s="75"/>
      <c r="D53" s="75"/>
      <c r="E53" s="76" t="s">
        <v>157</v>
      </c>
      <c r="F53" s="76" t="s">
        <v>158</v>
      </c>
      <c r="G53" s="75">
        <v>2014</v>
      </c>
      <c r="H53" s="81">
        <v>4</v>
      </c>
      <c r="I53" s="84"/>
      <c r="J53" s="64">
        <v>98</v>
      </c>
      <c r="K53" s="65">
        <v>1109</v>
      </c>
      <c r="L53" s="112">
        <f t="shared" si="26"/>
        <v>8.8367899008115423</v>
      </c>
      <c r="M53" s="31"/>
      <c r="N53" s="40" t="str">
        <f t="shared" si="0"/>
        <v/>
      </c>
      <c r="O53" s="35"/>
      <c r="P53" s="40" t="str">
        <f t="shared" si="8"/>
        <v/>
      </c>
      <c r="Q53" s="31"/>
      <c r="R53" s="40" t="str">
        <f t="shared" si="9"/>
        <v/>
      </c>
      <c r="S53" s="31"/>
      <c r="T53" s="40" t="str">
        <f t="shared" si="10"/>
        <v/>
      </c>
      <c r="U53" s="31"/>
      <c r="V53" s="40" t="str">
        <f t="shared" si="11"/>
        <v/>
      </c>
      <c r="W53" s="31"/>
      <c r="X53" s="40" t="str">
        <f t="shared" si="28"/>
        <v/>
      </c>
      <c r="Y53" s="31"/>
      <c r="Z53" s="40" t="str">
        <f t="shared" si="13"/>
        <v/>
      </c>
      <c r="AA53" s="31"/>
      <c r="AB53" s="40" t="str">
        <f t="shared" si="14"/>
        <v/>
      </c>
      <c r="AC53" s="31">
        <v>99</v>
      </c>
      <c r="AD53" s="40">
        <f t="shared" si="27"/>
        <v>8.9269612263300271</v>
      </c>
      <c r="AE53" s="31"/>
      <c r="AF53" s="40" t="str">
        <f t="shared" si="15"/>
        <v/>
      </c>
      <c r="AG53" s="31"/>
      <c r="AH53" s="40" t="str">
        <f t="shared" si="16"/>
        <v/>
      </c>
      <c r="AI53" s="31"/>
      <c r="AJ53" s="40" t="str">
        <f t="shared" si="17"/>
        <v/>
      </c>
      <c r="AK53" s="31"/>
      <c r="AL53" s="40" t="str">
        <f t="shared" si="18"/>
        <v/>
      </c>
      <c r="AM53" s="31"/>
      <c r="AN53" s="40" t="str">
        <f t="shared" si="19"/>
        <v/>
      </c>
      <c r="AO53" s="31"/>
      <c r="AP53" s="40" t="str">
        <f t="shared" si="20"/>
        <v/>
      </c>
      <c r="AQ53" s="31"/>
      <c r="AR53" s="40" t="str">
        <f t="shared" si="21"/>
        <v/>
      </c>
      <c r="AS53" s="31"/>
      <c r="AT53" s="40" t="str">
        <f t="shared" si="22"/>
        <v/>
      </c>
      <c r="AU53" s="31"/>
      <c r="AV53" s="40" t="str">
        <f t="shared" si="23"/>
        <v/>
      </c>
      <c r="AW53" s="31"/>
      <c r="AX53" s="40" t="str">
        <f t="shared" si="24"/>
        <v/>
      </c>
      <c r="AY53" s="31"/>
      <c r="AZ53" s="40" t="str">
        <f t="shared" si="25"/>
        <v/>
      </c>
      <c r="BA53" s="19" t="s">
        <v>159</v>
      </c>
    </row>
    <row r="54" spans="1:53" ht="20" customHeight="1" x14ac:dyDescent="0.2">
      <c r="A54" s="130"/>
      <c r="B54" s="129"/>
      <c r="C54" s="75"/>
      <c r="D54" s="75"/>
      <c r="E54" s="76" t="s">
        <v>160</v>
      </c>
      <c r="F54" s="76" t="s">
        <v>161</v>
      </c>
      <c r="G54" s="75">
        <v>2005</v>
      </c>
      <c r="H54" s="81">
        <v>36</v>
      </c>
      <c r="I54" s="84"/>
      <c r="J54" s="64">
        <v>11</v>
      </c>
      <c r="K54" s="65">
        <v>11</v>
      </c>
      <c r="L54" s="112">
        <f t="shared" si="26"/>
        <v>100</v>
      </c>
      <c r="M54" s="31"/>
      <c r="N54" s="40" t="str">
        <f t="shared" si="0"/>
        <v/>
      </c>
      <c r="O54" s="35"/>
      <c r="P54" s="40" t="str">
        <f t="shared" si="8"/>
        <v/>
      </c>
      <c r="Q54" s="31"/>
      <c r="R54" s="40" t="str">
        <f t="shared" si="9"/>
        <v/>
      </c>
      <c r="S54" s="31"/>
      <c r="T54" s="40" t="str">
        <f t="shared" si="10"/>
        <v/>
      </c>
      <c r="U54" s="31"/>
      <c r="V54" s="40" t="str">
        <f t="shared" si="11"/>
        <v/>
      </c>
      <c r="W54" s="31"/>
      <c r="X54" s="40" t="str">
        <f t="shared" si="28"/>
        <v/>
      </c>
      <c r="Y54" s="31"/>
      <c r="Z54" s="40" t="str">
        <f t="shared" si="13"/>
        <v/>
      </c>
      <c r="AA54" s="31"/>
      <c r="AB54" s="40" t="str">
        <f t="shared" si="14"/>
        <v/>
      </c>
      <c r="AC54" s="31">
        <v>11</v>
      </c>
      <c r="AD54" s="40">
        <f t="shared" si="27"/>
        <v>100</v>
      </c>
      <c r="AE54" s="31"/>
      <c r="AF54" s="40" t="str">
        <f t="shared" si="15"/>
        <v/>
      </c>
      <c r="AG54" s="31"/>
      <c r="AH54" s="40" t="str">
        <f t="shared" si="16"/>
        <v/>
      </c>
      <c r="AI54" s="31"/>
      <c r="AJ54" s="40" t="str">
        <f t="shared" si="17"/>
        <v/>
      </c>
      <c r="AK54" s="31"/>
      <c r="AL54" s="40" t="str">
        <f t="shared" si="18"/>
        <v/>
      </c>
      <c r="AM54" s="31">
        <v>4</v>
      </c>
      <c r="AN54" s="40">
        <f t="shared" si="19"/>
        <v>36.363636363636367</v>
      </c>
      <c r="AO54" s="31"/>
      <c r="AP54" s="40" t="str">
        <f t="shared" si="20"/>
        <v/>
      </c>
      <c r="AQ54" s="31"/>
      <c r="AR54" s="40" t="str">
        <f t="shared" si="21"/>
        <v/>
      </c>
      <c r="AS54" s="31"/>
      <c r="AT54" s="40" t="str">
        <f t="shared" si="22"/>
        <v/>
      </c>
      <c r="AU54" s="31"/>
      <c r="AV54" s="40" t="str">
        <f t="shared" si="23"/>
        <v/>
      </c>
      <c r="AW54" s="31"/>
      <c r="AX54" s="40" t="str">
        <f t="shared" si="24"/>
        <v/>
      </c>
      <c r="AY54" s="31"/>
      <c r="AZ54" s="40" t="str">
        <f t="shared" si="25"/>
        <v/>
      </c>
      <c r="BA54" s="22" t="s">
        <v>73</v>
      </c>
    </row>
    <row r="55" spans="1:53" ht="20" customHeight="1" thickBot="1" x14ac:dyDescent="0.25">
      <c r="A55" s="134"/>
      <c r="B55" s="135"/>
      <c r="C55" s="79"/>
      <c r="D55" s="79"/>
      <c r="E55" s="80" t="s">
        <v>162</v>
      </c>
      <c r="F55" s="80" t="s">
        <v>163</v>
      </c>
      <c r="G55" s="79">
        <v>2014</v>
      </c>
      <c r="H55" s="83"/>
      <c r="I55" s="86"/>
      <c r="J55" s="68"/>
      <c r="K55" s="69">
        <v>3</v>
      </c>
      <c r="L55" s="113" t="str">
        <f t="shared" si="26"/>
        <v/>
      </c>
      <c r="M55" s="33"/>
      <c r="N55" s="41" t="str">
        <f t="shared" si="0"/>
        <v/>
      </c>
      <c r="O55" s="36"/>
      <c r="P55" s="41" t="str">
        <f t="shared" si="8"/>
        <v/>
      </c>
      <c r="Q55" s="33"/>
      <c r="R55" s="41" t="str">
        <f t="shared" si="9"/>
        <v/>
      </c>
      <c r="S55" s="33"/>
      <c r="T55" s="41" t="str">
        <f t="shared" si="10"/>
        <v/>
      </c>
      <c r="U55" s="33"/>
      <c r="V55" s="41" t="str">
        <f t="shared" si="11"/>
        <v/>
      </c>
      <c r="W55" s="33"/>
      <c r="X55" s="41" t="str">
        <f t="shared" si="28"/>
        <v/>
      </c>
      <c r="Y55" s="33"/>
      <c r="Z55" s="41" t="str">
        <f t="shared" si="13"/>
        <v/>
      </c>
      <c r="AA55" s="33"/>
      <c r="AB55" s="41" t="str">
        <f t="shared" si="14"/>
        <v/>
      </c>
      <c r="AC55" s="33"/>
      <c r="AD55" s="34" t="str">
        <f t="shared" si="27"/>
        <v/>
      </c>
      <c r="AE55" s="33"/>
      <c r="AF55" s="41" t="str">
        <f t="shared" si="15"/>
        <v/>
      </c>
      <c r="AG55" s="33"/>
      <c r="AH55" s="41" t="str">
        <f t="shared" si="16"/>
        <v/>
      </c>
      <c r="AI55" s="33"/>
      <c r="AJ55" s="41" t="str">
        <f t="shared" si="17"/>
        <v/>
      </c>
      <c r="AK55" s="33"/>
      <c r="AL55" s="41" t="str">
        <f t="shared" si="18"/>
        <v/>
      </c>
      <c r="AM55" s="33"/>
      <c r="AN55" s="34" t="str">
        <f t="shared" si="19"/>
        <v/>
      </c>
      <c r="AO55" s="33"/>
      <c r="AP55" s="41" t="str">
        <f t="shared" si="20"/>
        <v/>
      </c>
      <c r="AQ55" s="33"/>
      <c r="AR55" s="41" t="str">
        <f t="shared" si="21"/>
        <v/>
      </c>
      <c r="AS55" s="33"/>
      <c r="AT55" s="41" t="str">
        <f t="shared" si="22"/>
        <v/>
      </c>
      <c r="AU55" s="33"/>
      <c r="AV55" s="41" t="str">
        <f t="shared" si="23"/>
        <v/>
      </c>
      <c r="AW55" s="33"/>
      <c r="AX55" s="41" t="str">
        <f t="shared" si="24"/>
        <v/>
      </c>
      <c r="AY55" s="33"/>
      <c r="AZ55" s="41" t="str">
        <f t="shared" si="25"/>
        <v/>
      </c>
      <c r="BA55" s="22" t="s">
        <v>73</v>
      </c>
    </row>
    <row r="56" spans="1:53" x14ac:dyDescent="0.2">
      <c r="E56" s="147" t="s">
        <v>203</v>
      </c>
      <c r="F56" s="147"/>
      <c r="G56" s="147"/>
      <c r="H56" s="147"/>
      <c r="I56" s="147"/>
      <c r="J56" s="148"/>
      <c r="K56" s="63">
        <f>SUM(K12:K55) - (K25 + K27)</f>
        <v>8522</v>
      </c>
      <c r="L56" s="114" t="s">
        <v>198</v>
      </c>
      <c r="M56" s="46">
        <f>IF((SUM(M12:M55)&lt;&gt;0),SUMIF($K12:$K55, "&gt;0", M12:M55), "")</f>
        <v>85</v>
      </c>
      <c r="N56" s="59">
        <f>IF(ISERROR((M56/$K56)*100), "", IF(((M56/$K56)*100) &lt;&gt; 0, (M56/$K56)*100, ""))</f>
        <v>0.99741844637409061</v>
      </c>
      <c r="O56" s="50">
        <f>IF((SUM(O12:O55)&lt;&gt;0),SUMIF($K12:$K55, "&gt;0", O12:O55), "")</f>
        <v>335</v>
      </c>
      <c r="P56" s="61">
        <f>IF(ISERROR((O56/$K56)*100), "", IF(((O56/$K56)*100) &lt;&gt; 0, (O56/$K56)*100, ""))</f>
        <v>3.9310021121802396</v>
      </c>
      <c r="Q56" s="47">
        <f>IF((SUM(Q12:Q55)&lt;&gt;0),SUMIF($K12:$K55, "&gt;0", Q12:Q55), "")</f>
        <v>165</v>
      </c>
      <c r="R56" s="59">
        <f>IF(ISERROR((Q56/$K56)*100), "", IF(((Q56/$K56)*100) &lt;&gt; 0, (Q56/$K56)*100, ""))</f>
        <v>1.936165219432058</v>
      </c>
      <c r="S56" s="47">
        <f>IF((SUM(S12:S55)&lt;&gt;0),SUMIF($K12:$K55, "&gt;0", S12:S55), "")</f>
        <v>14</v>
      </c>
      <c r="T56" s="59">
        <f>IF(ISERROR((S56/$K56)*100), "", IF(((S56/$K56)*100) &lt;&gt; 0, (S56/$K56)*100, ""))</f>
        <v>0.16428068528514433</v>
      </c>
      <c r="U56" s="47">
        <f>IF((SUM(U12:U55)&lt;&gt;0),SUMIF($K12:$K55, "&gt;0", U12:U55), "")</f>
        <v>99</v>
      </c>
      <c r="V56" s="59">
        <f>IF(ISERROR((U56/$K56)*100), "", IF(((U56/$K56)*100) &lt;&gt; 0, (U56/$K56)*100, ""))</f>
        <v>1.1616991316592349</v>
      </c>
      <c r="W56" s="46">
        <f>IF((SUM(W12:W55)&lt;&gt;0),SUMIF($K12:$K55, "&gt;0", W12:W55), "")</f>
        <v>1</v>
      </c>
      <c r="X56" s="59">
        <f>IF(ISERROR((W56/$K56)*100), "", IF(((W56/$K56)*100) &lt;&gt; 0, (W56/$K56)*100, ""))</f>
        <v>1.1734334663224596E-2</v>
      </c>
      <c r="Y56" s="47">
        <f>IF((SUM(Y12:Y55)&lt;&gt;0),SUMIF($K12:$K55, "&gt;0", Y12:Y55), "")</f>
        <v>24</v>
      </c>
      <c r="Z56" s="59">
        <f>IF(ISERROR((Y56/$K56)*100), "", IF(((Y56/$K56)*100) &lt;&gt; 0, (Y56/$K56)*100, ""))</f>
        <v>0.28162403191739027</v>
      </c>
      <c r="AA56" s="47">
        <f>IF((SUM(AA12:AA55)&lt;&gt;0),SUMIF($K12:$K55, "&gt;0", AA12:AA55), "")</f>
        <v>141</v>
      </c>
      <c r="AB56" s="59">
        <f>IF(ISERROR((AA56/$K56)*100), "", IF(((AA56/$K56)*100) &lt;&gt; 0, (AA56/$K56)*100, ""))</f>
        <v>1.6545411875146681</v>
      </c>
      <c r="AC56" s="47">
        <f>IF((SUM(AC12:AC55)&lt;&gt;0),SUMIF($K12:$K55, "&gt;0", AC12:AC55), "")</f>
        <v>384</v>
      </c>
      <c r="AD56" s="59">
        <f>IF(ISERROR((AC56/$K56)*100), "", IF(((AC56/$K56)*100) &lt;&gt; 0, (AC56/$K56)*100, ""))</f>
        <v>4.5059845106782443</v>
      </c>
      <c r="AE56" s="47">
        <f>IF((SUM(AE12:AE55)&lt;&gt;0),SUMIF($K12:$K55, "&gt;0", AE12:AE55), "")</f>
        <v>39</v>
      </c>
      <c r="AF56" s="59">
        <f>IF(ISERROR((AE56/$K56)*100), "", IF(((AE56/$K56)*100) &lt;&gt; 0, (AE56/$K56)*100, ""))</f>
        <v>0.45763905186575921</v>
      </c>
      <c r="AG56" s="47">
        <f>IF((SUM(AG12:AG55)&lt;&gt;0),SUMIF($K12:$K55, "&gt;0", AG12:AG55), "")</f>
        <v>79</v>
      </c>
      <c r="AH56" s="59">
        <f>IF(ISERROR((AG56/$K56)*100), "", IF(((AG56/$K56)*100) &lt;&gt; 0, (AG56/$K56)*100, ""))</f>
        <v>0.92701243839474301</v>
      </c>
      <c r="AI56" s="47">
        <f>IF((SUM(AI12:AI55)&lt;&gt;0),SUMIF($K12:$K55, "&gt;0", AI12:AI55), "")</f>
        <v>159</v>
      </c>
      <c r="AJ56" s="59">
        <f>IF(ISERROR((AI56/$K56)*100), "", IF(((AI56/$K56)*100) &lt;&gt; 0, (AI56/$K56)*100, ""))</f>
        <v>1.8657592114527106</v>
      </c>
      <c r="AK56" s="46">
        <f>IF((SUM(AK12:AK55)&lt;&gt;0),SUMIF($K12:$K55, "&gt;0", AK12:AK55), "")</f>
        <v>42</v>
      </c>
      <c r="AL56" s="59">
        <f>IF(ISERROR((AK56/$K56)*100), "", IF(((AK56/$K56)*100) &lt;&gt; 0, (AK56/$K56)*100, ""))</f>
        <v>0.49284205585543295</v>
      </c>
      <c r="AM56" s="46">
        <f>IF((SUM(AM12:AM55)&lt;&gt;0),SUMIF($K12:$K55, "&gt;0", AM12:AM55), "")</f>
        <v>81</v>
      </c>
      <c r="AN56" s="59">
        <f>IF(ISERROR((AM56/$K56)*100), "", IF(((AM56/$K56)*100) &lt;&gt; 0, (AM56/$K56)*100, ""))</f>
        <v>0.95048110772119232</v>
      </c>
      <c r="AO56" s="46">
        <f>IF((SUM(AO12:AO55)&lt;&gt;0),SUMIF($K12:$K55, "&gt;0", AO12:AO55), "")</f>
        <v>118</v>
      </c>
      <c r="AP56" s="59">
        <f>IF(ISERROR((AO56/$K56)*100), "", IF(((AO56/$K56)*100) &lt;&gt; 0, (AO56/$K56)*100, ""))</f>
        <v>1.3846514902605023</v>
      </c>
      <c r="AQ56" s="47">
        <f>IF((SUM(AQ12:AQ55)&lt;&gt;0),SUMIF($K12:$K55, "&gt;0", AQ12:AQ55), "")</f>
        <v>7</v>
      </c>
      <c r="AR56" s="59">
        <f>IF(ISERROR((AQ56/$K56)*100), "", IF(((AQ56/$K56)*100) &lt;&gt; 0, (AQ56/$K56)*100, ""))</f>
        <v>8.2140342642572167E-2</v>
      </c>
      <c r="AS56" s="46">
        <f>IF((SUM(AS12:AS55)&lt;&gt;0),SUMIF($K12:$K55, "&gt;0", AS12:AS55), "")</f>
        <v>1</v>
      </c>
      <c r="AT56" s="59">
        <f>IF(ISERROR((AS56/$K56)*100), "", IF(((AS56/$K56)*100) &lt;&gt; 0, (AS56/$K56)*100, ""))</f>
        <v>1.1734334663224596E-2</v>
      </c>
      <c r="AU56" s="46">
        <f>IF((SUM(AU12:AU55)&lt;&gt;0),SUMIF($K12:$K55, "&gt;0", AU12:AU55), "")</f>
        <v>12</v>
      </c>
      <c r="AV56" s="59">
        <f>IF(ISERROR((AU56/$K56)*100), "", IF(((AU56/$K56)*100) &lt;&gt; 0, (AU56/$K56)*100, ""))</f>
        <v>0.14081201595869514</v>
      </c>
      <c r="AW56" s="46">
        <f>IF((SUM(AW12:AW55)&lt;&gt;0),SUMIF($K12:$K55, "&gt;0", AW12:AW55), "")</f>
        <v>1</v>
      </c>
      <c r="AX56" s="59">
        <f>IF(ISERROR((AW56/$K56)*100), "", IF(((AW56/$K56)*100) &lt;&gt; 0, (AW56/$K56)*100, ""))</f>
        <v>1.1734334663224596E-2</v>
      </c>
      <c r="AY56" s="47">
        <f>IF((SUM(AY12:AY55)&lt;&gt;0),SUMIF($K12:$K55, "&gt;0", AY12:AY55), "")</f>
        <v>192</v>
      </c>
      <c r="AZ56" s="59">
        <f>IF(ISERROR((AY56/$K56)*100), "", IF(((AY56/$K56)*100) &lt;&gt; 0, (AY56/$K56)*100, ""))</f>
        <v>2.2529922553391222</v>
      </c>
    </row>
    <row r="57" spans="1:53" ht="16" customHeight="1" x14ac:dyDescent="0.2">
      <c r="E57" s="147" t="s">
        <v>204</v>
      </c>
      <c r="F57" s="147"/>
      <c r="G57" s="147"/>
      <c r="H57" s="147"/>
      <c r="I57" s="147"/>
      <c r="J57" s="148"/>
      <c r="K57" s="88" t="s">
        <v>199</v>
      </c>
      <c r="L57" s="115" t="s">
        <v>198</v>
      </c>
      <c r="M57" s="44">
        <f>IF(SUMIF(M12:M55, "&gt;0", $K12:$K55) &gt; 0, SUMIF(M12:M55, "&gt;0", $K12:$K55), "")</f>
        <v>452</v>
      </c>
      <c r="N57" s="45">
        <f>M56/M57*100</f>
        <v>18.805309734513273</v>
      </c>
      <c r="O57" s="51">
        <f>IF(SUMIF(O12:O55, "&gt;0", $K12:$K55) &gt; 0, SUMIF(O12:O55, "&gt;0", $K12:$K55), "")</f>
        <v>1731</v>
      </c>
      <c r="P57" s="49">
        <f>O56/O57*100</f>
        <v>19.352975158867704</v>
      </c>
      <c r="Q57" s="48">
        <f>IF(SUMIF(Q12:Q55, "&gt;0", $K12:$K55) &gt; 0, SUMIF(Q12:Q55, "&gt;0", $K12:$K55), "")</f>
        <v>551</v>
      </c>
      <c r="R57" s="49">
        <f>Q56/Q57*100</f>
        <v>29.945553539019965</v>
      </c>
      <c r="S57" s="48">
        <f>IF(SUMIF(S12:S55, "&gt;0", $K12:$K55) &gt; 0, SUMIF(S12:S55, "&gt;0", $K12:$K55), "")</f>
        <v>1099</v>
      </c>
      <c r="T57" s="49">
        <f>S56/S57*100</f>
        <v>1.2738853503184715</v>
      </c>
      <c r="U57" s="48">
        <f>IF(SUMIF(U12:U55, "&gt;0", $K12:$K55) &gt; 0, SUMIF(U12:U55, "&gt;0", $K12:$K55), "")</f>
        <v>903</v>
      </c>
      <c r="V57" s="49">
        <f>U56/U57*100</f>
        <v>10.963455149501661</v>
      </c>
      <c r="W57" s="44">
        <f>IF(SUMIF(W12:W55, "&gt;0", $K12:$K55) &gt; 0, SUMIF(W12:W55, "&gt;0", $K12:$K55), "")</f>
        <v>109</v>
      </c>
      <c r="X57" s="45">
        <f>W56/W57*100</f>
        <v>0.91743119266055051</v>
      </c>
      <c r="Y57" s="48">
        <f>IF(SUMIF(Y12:Y55, "&gt;0", $K12:$K55) &gt; 0, SUMIF(Y12:Y55, "&gt;0", $K12:$K55), "")</f>
        <v>415</v>
      </c>
      <c r="Z57" s="49">
        <f>Y56/Y57*100</f>
        <v>5.7831325301204819</v>
      </c>
      <c r="AA57" s="48">
        <f>IF(SUMIF(AA12:AA55, "&gt;0", $K12:$K55) &gt; 0, SUMIF(AA12:AA55, "&gt;0", $K12:$K55), "")</f>
        <v>1885</v>
      </c>
      <c r="AB57" s="49">
        <f>AA56/AA57*100</f>
        <v>7.480106100795755</v>
      </c>
      <c r="AC57" s="48">
        <f>IF(SUMIF(AC12:AC55, "&gt;0", $K12:$K55) &gt; 0, SUMIF(AC12:AC55, "&gt;0", $K12:$K55), "")</f>
        <v>6690</v>
      </c>
      <c r="AD57" s="49">
        <f>AC56/AC57*100</f>
        <v>5.739910313901345</v>
      </c>
      <c r="AE57" s="48">
        <f>IF(SUMIF(AE12:AE55, "&gt;0", $K12:$K55) &gt; 0, SUMIF(AE12:AE55, "&gt;0", $K12:$K55), "")</f>
        <v>596</v>
      </c>
      <c r="AF57" s="49">
        <f>AE56/AE57*100</f>
        <v>6.5436241610738257</v>
      </c>
      <c r="AG57" s="48">
        <f>IF(SUMIF(AG12:AG55, "&gt;0", $K12:$K55) &gt; 0, SUMIF(AG12:AG55, "&gt;0", $K12:$K55), "")</f>
        <v>1502</v>
      </c>
      <c r="AH57" s="49">
        <f>AG56/AG57*100</f>
        <v>5.2596537949400801</v>
      </c>
      <c r="AI57" s="48">
        <f>IF(SUMIF(AI12:AI55, "&gt;0", $K12:$K55) &gt; 0, SUMIF(AI12:AI55, "&gt;0", $K12:$K55), "")</f>
        <v>1876</v>
      </c>
      <c r="AJ57" s="49">
        <f>AI56/AI57*100</f>
        <v>8.4754797441364609</v>
      </c>
      <c r="AK57" s="44">
        <f>IF(SUMIF(AK12:AK55, "&gt;0", $K12:$K55) &gt; 0, SUMIF(AK12:AK55, "&gt;0", $K12:$K55), "")</f>
        <v>844</v>
      </c>
      <c r="AL57" s="45">
        <f>AK56/AK57*100</f>
        <v>4.9763033175355451</v>
      </c>
      <c r="AM57" s="44">
        <f>IF(SUMIF(AM12:AM55, "&gt;0", $K12:$K55) &gt; 0, SUMIF(AM12:AM55, "&gt;0", $K12:$K55), "")</f>
        <v>2415</v>
      </c>
      <c r="AN57" s="45">
        <f>AM56/AM57*100</f>
        <v>3.354037267080745</v>
      </c>
      <c r="AO57" s="44">
        <f>IF(SUMIF(AO12:AO55, "&gt;0", $K12:$K55) &gt; 0, SUMIF(AO12:AO55, "&gt;0", $K12:$K55), "")</f>
        <v>853</v>
      </c>
      <c r="AP57" s="45">
        <f>AO56/AO57*100</f>
        <v>13.833528722157093</v>
      </c>
      <c r="AQ57" s="48">
        <f>IF(SUMIF(AQ12:AQ55, "&gt;0", $K12:$K55) &gt; 0, SUMIF(AQ12:AQ55, "&gt;0", $K12:$K55), "")</f>
        <v>1292</v>
      </c>
      <c r="AR57" s="49">
        <f>AQ56/AQ57*100</f>
        <v>0.54179566563467496</v>
      </c>
      <c r="AS57" s="44">
        <f>IF(SUMIF(AS12:AS55, "&gt;0", $K12:$K55) &gt; 0, SUMIF(AS12:AS55, "&gt;0", $K12:$K55), "")</f>
        <v>293</v>
      </c>
      <c r="AT57" s="45">
        <f>AS56/AS57*100</f>
        <v>0.34129692832764508</v>
      </c>
      <c r="AU57" s="44">
        <f>IF(SUMIF(AU12:AU55, "&gt;0", $K12:$K55) &gt; 0, SUMIF(AU12:AU55, "&gt;0", $K12:$K55), "")</f>
        <v>1283</v>
      </c>
      <c r="AV57" s="45">
        <f>AU56/AU57*100</f>
        <v>0.93530787217459088</v>
      </c>
      <c r="AW57" s="44">
        <f>IF(SUMIF(AW12:AW55, "&gt;0", $K12:$K55) &gt; 0, SUMIF(AW12:AW55, "&gt;0", $K12:$K55), "")</f>
        <v>293</v>
      </c>
      <c r="AX57" s="45">
        <f>AW56/AW57*100</f>
        <v>0.34129692832764508</v>
      </c>
      <c r="AY57" s="48">
        <f>IF(SUMIF(AY12:AY55, "&gt;0", $K12:$K55) &gt; 0, SUMIF(AY12:AY55, "&gt;0", $K12:$K55), "")</f>
        <v>451</v>
      </c>
      <c r="AZ57" s="49">
        <f>AY56/AY57*100</f>
        <v>42.572062084257205</v>
      </c>
    </row>
    <row r="58" spans="1:53" ht="16" customHeight="1" thickBot="1" x14ac:dyDescent="0.25">
      <c r="F58" s="52"/>
      <c r="G58" s="52"/>
      <c r="I58" s="62"/>
      <c r="J58" s="62"/>
      <c r="K58" s="227" t="s">
        <v>202</v>
      </c>
      <c r="L58" s="246"/>
      <c r="M58" s="212" t="s">
        <v>199</v>
      </c>
      <c r="N58" s="218" t="s">
        <v>198</v>
      </c>
      <c r="O58" s="212" t="s">
        <v>199</v>
      </c>
      <c r="P58" s="218" t="s">
        <v>198</v>
      </c>
      <c r="Q58" s="212" t="s">
        <v>199</v>
      </c>
      <c r="R58" s="218" t="s">
        <v>198</v>
      </c>
      <c r="S58" s="212" t="s">
        <v>199</v>
      </c>
      <c r="T58" s="218" t="s">
        <v>198</v>
      </c>
      <c r="U58" s="212" t="s">
        <v>199</v>
      </c>
      <c r="V58" s="218" t="s">
        <v>198</v>
      </c>
      <c r="W58" s="212" t="s">
        <v>199</v>
      </c>
      <c r="X58" s="218" t="s">
        <v>198</v>
      </c>
      <c r="Y58" s="212" t="s">
        <v>199</v>
      </c>
      <c r="Z58" s="218" t="s">
        <v>198</v>
      </c>
      <c r="AA58" s="212" t="s">
        <v>199</v>
      </c>
      <c r="AB58" s="218" t="s">
        <v>198</v>
      </c>
      <c r="AC58" s="212" t="s">
        <v>199</v>
      </c>
      <c r="AD58" s="215" t="s">
        <v>198</v>
      </c>
      <c r="AE58" s="212" t="s">
        <v>199</v>
      </c>
      <c r="AF58" s="218" t="s">
        <v>198</v>
      </c>
      <c r="AG58" s="212" t="s">
        <v>199</v>
      </c>
      <c r="AH58" s="218" t="s">
        <v>198</v>
      </c>
      <c r="AI58" s="212" t="s">
        <v>199</v>
      </c>
      <c r="AJ58" s="218" t="s">
        <v>198</v>
      </c>
      <c r="AK58" s="212" t="s">
        <v>199</v>
      </c>
      <c r="AL58" s="218" t="s">
        <v>198</v>
      </c>
      <c r="AM58" s="212" t="s">
        <v>199</v>
      </c>
      <c r="AN58" s="218" t="s">
        <v>198</v>
      </c>
      <c r="AO58" s="212" t="s">
        <v>199</v>
      </c>
      <c r="AP58" s="218" t="s">
        <v>198</v>
      </c>
      <c r="AQ58" s="212" t="s">
        <v>199</v>
      </c>
      <c r="AR58" s="218" t="s">
        <v>198</v>
      </c>
      <c r="AS58" s="212" t="s">
        <v>199</v>
      </c>
      <c r="AT58" s="218" t="s">
        <v>198</v>
      </c>
      <c r="AU58" s="212" t="s">
        <v>199</v>
      </c>
      <c r="AV58" s="218" t="s">
        <v>198</v>
      </c>
      <c r="AW58" s="212" t="s">
        <v>199</v>
      </c>
      <c r="AX58" s="218" t="s">
        <v>198</v>
      </c>
      <c r="AY58" s="212" t="s">
        <v>199</v>
      </c>
      <c r="AZ58" s="218" t="s">
        <v>198</v>
      </c>
    </row>
    <row r="59" spans="1:53" ht="16" customHeight="1" x14ac:dyDescent="0.2">
      <c r="F59" s="232" t="s">
        <v>213</v>
      </c>
      <c r="G59" s="233"/>
      <c r="K59" s="228"/>
      <c r="L59" s="230"/>
      <c r="M59" s="213"/>
      <c r="N59" s="219"/>
      <c r="O59" s="213"/>
      <c r="P59" s="219"/>
      <c r="Q59" s="213"/>
      <c r="R59" s="219"/>
      <c r="S59" s="213"/>
      <c r="T59" s="219"/>
      <c r="U59" s="213"/>
      <c r="V59" s="219"/>
      <c r="W59" s="213"/>
      <c r="X59" s="219"/>
      <c r="Y59" s="213"/>
      <c r="Z59" s="219"/>
      <c r="AA59" s="213"/>
      <c r="AB59" s="219"/>
      <c r="AC59" s="213"/>
      <c r="AD59" s="216"/>
      <c r="AE59" s="213"/>
      <c r="AF59" s="219"/>
      <c r="AG59" s="213"/>
      <c r="AH59" s="219"/>
      <c r="AI59" s="213"/>
      <c r="AJ59" s="219"/>
      <c r="AK59" s="213"/>
      <c r="AL59" s="219"/>
      <c r="AM59" s="213"/>
      <c r="AN59" s="219"/>
      <c r="AO59" s="213"/>
      <c r="AP59" s="219"/>
      <c r="AQ59" s="213"/>
      <c r="AR59" s="219"/>
      <c r="AS59" s="213"/>
      <c r="AT59" s="219"/>
      <c r="AU59" s="213"/>
      <c r="AV59" s="219"/>
      <c r="AW59" s="213"/>
      <c r="AX59" s="219"/>
      <c r="AY59" s="213"/>
      <c r="AZ59" s="219"/>
    </row>
    <row r="60" spans="1:53" x14ac:dyDescent="0.2">
      <c r="F60" s="234"/>
      <c r="G60" s="235"/>
      <c r="K60" s="228"/>
      <c r="L60" s="230"/>
      <c r="M60" s="213"/>
      <c r="N60" s="219"/>
      <c r="O60" s="213"/>
      <c r="P60" s="219"/>
      <c r="Q60" s="213"/>
      <c r="R60" s="219"/>
      <c r="S60" s="213"/>
      <c r="T60" s="219"/>
      <c r="U60" s="213"/>
      <c r="V60" s="219"/>
      <c r="W60" s="213"/>
      <c r="X60" s="219"/>
      <c r="Y60" s="213"/>
      <c r="Z60" s="219"/>
      <c r="AA60" s="213"/>
      <c r="AB60" s="219"/>
      <c r="AC60" s="213"/>
      <c r="AD60" s="216"/>
      <c r="AE60" s="213"/>
      <c r="AF60" s="219"/>
      <c r="AG60" s="213"/>
      <c r="AH60" s="219"/>
      <c r="AI60" s="213"/>
      <c r="AJ60" s="219"/>
      <c r="AK60" s="213"/>
      <c r="AL60" s="219"/>
      <c r="AM60" s="213"/>
      <c r="AN60" s="219"/>
      <c r="AO60" s="213"/>
      <c r="AP60" s="219"/>
      <c r="AQ60" s="213"/>
      <c r="AR60" s="219"/>
      <c r="AS60" s="213"/>
      <c r="AT60" s="219"/>
      <c r="AU60" s="213"/>
      <c r="AV60" s="219"/>
      <c r="AW60" s="213"/>
      <c r="AX60" s="219"/>
      <c r="AY60" s="213"/>
      <c r="AZ60" s="219"/>
    </row>
    <row r="61" spans="1:53" x14ac:dyDescent="0.2">
      <c r="F61" s="234"/>
      <c r="G61" s="235"/>
      <c r="K61" s="228"/>
      <c r="L61" s="230"/>
      <c r="M61" s="214"/>
      <c r="N61" s="220"/>
      <c r="O61" s="214"/>
      <c r="P61" s="220"/>
      <c r="Q61" s="214"/>
      <c r="R61" s="220"/>
      <c r="S61" s="214"/>
      <c r="T61" s="220"/>
      <c r="U61" s="214"/>
      <c r="V61" s="220"/>
      <c r="W61" s="214"/>
      <c r="X61" s="220"/>
      <c r="Y61" s="214"/>
      <c r="Z61" s="220"/>
      <c r="AA61" s="214"/>
      <c r="AB61" s="220"/>
      <c r="AC61" s="214"/>
      <c r="AD61" s="217"/>
      <c r="AE61" s="214"/>
      <c r="AF61" s="220"/>
      <c r="AG61" s="214"/>
      <c r="AH61" s="220"/>
      <c r="AI61" s="214"/>
      <c r="AJ61" s="220"/>
      <c r="AK61" s="214"/>
      <c r="AL61" s="220"/>
      <c r="AM61" s="214"/>
      <c r="AN61" s="220"/>
      <c r="AO61" s="214"/>
      <c r="AP61" s="220"/>
      <c r="AQ61" s="214"/>
      <c r="AR61" s="220"/>
      <c r="AS61" s="214"/>
      <c r="AT61" s="220"/>
      <c r="AU61" s="214"/>
      <c r="AV61" s="220"/>
      <c r="AW61" s="214"/>
      <c r="AX61" s="220"/>
      <c r="AY61" s="214"/>
      <c r="AZ61" s="220"/>
    </row>
    <row r="62" spans="1:53" ht="16" customHeight="1" x14ac:dyDescent="0.2">
      <c r="F62" s="234"/>
      <c r="G62" s="235"/>
      <c r="K62" s="228"/>
      <c r="L62" s="230"/>
      <c r="M62" s="244" t="s">
        <v>49</v>
      </c>
      <c r="N62" s="245"/>
      <c r="O62" s="244" t="s">
        <v>173</v>
      </c>
      <c r="P62" s="245"/>
      <c r="Q62" s="244" t="s">
        <v>200</v>
      </c>
      <c r="R62" s="245"/>
      <c r="S62" s="244" t="s">
        <v>197</v>
      </c>
      <c r="T62" s="245"/>
      <c r="U62" s="244" t="s">
        <v>55</v>
      </c>
      <c r="V62" s="245"/>
      <c r="W62" s="244" t="s">
        <v>48</v>
      </c>
      <c r="X62" s="245"/>
      <c r="Y62" s="244" t="s">
        <v>46</v>
      </c>
      <c r="Z62" s="245"/>
      <c r="AA62" s="244" t="s">
        <v>50</v>
      </c>
      <c r="AB62" s="245"/>
      <c r="AC62" s="244" t="s">
        <v>44</v>
      </c>
      <c r="AD62" s="245"/>
      <c r="AE62" s="244" t="s">
        <v>51</v>
      </c>
      <c r="AF62" s="245"/>
      <c r="AG62" s="244" t="s">
        <v>201</v>
      </c>
      <c r="AH62" s="245"/>
      <c r="AI62" s="244" t="s">
        <v>52</v>
      </c>
      <c r="AJ62" s="245"/>
      <c r="AK62" s="244" t="s">
        <v>56</v>
      </c>
      <c r="AL62" s="245"/>
      <c r="AM62" s="244" t="s">
        <v>45</v>
      </c>
      <c r="AN62" s="245"/>
      <c r="AO62" s="244" t="s">
        <v>57</v>
      </c>
      <c r="AP62" s="245"/>
      <c r="AQ62" s="244" t="s">
        <v>60</v>
      </c>
      <c r="AR62" s="245"/>
      <c r="AS62" s="244" t="s">
        <v>58</v>
      </c>
      <c r="AT62" s="245"/>
      <c r="AU62" s="244" t="s">
        <v>59</v>
      </c>
      <c r="AV62" s="245"/>
      <c r="AW62" s="244" t="s">
        <v>61</v>
      </c>
      <c r="AX62" s="245"/>
      <c r="AY62" s="244" t="s">
        <v>53</v>
      </c>
      <c r="AZ62" s="245"/>
    </row>
    <row r="63" spans="1:53" x14ac:dyDescent="0.2">
      <c r="F63" s="234"/>
      <c r="G63" s="235"/>
      <c r="K63" s="228"/>
      <c r="L63" s="230"/>
      <c r="M63" s="191"/>
      <c r="N63" s="192"/>
      <c r="O63" s="191"/>
      <c r="P63" s="192"/>
      <c r="Q63" s="191"/>
      <c r="R63" s="192"/>
      <c r="S63" s="191"/>
      <c r="T63" s="192"/>
      <c r="U63" s="191"/>
      <c r="V63" s="192"/>
      <c r="W63" s="191"/>
      <c r="X63" s="192"/>
      <c r="Y63" s="191"/>
      <c r="Z63" s="192"/>
      <c r="AA63" s="191"/>
      <c r="AB63" s="192"/>
      <c r="AC63" s="191"/>
      <c r="AD63" s="192"/>
      <c r="AE63" s="191"/>
      <c r="AF63" s="192"/>
      <c r="AG63" s="191"/>
      <c r="AH63" s="192"/>
      <c r="AI63" s="191"/>
      <c r="AJ63" s="192"/>
      <c r="AK63" s="191"/>
      <c r="AL63" s="192"/>
      <c r="AM63" s="191"/>
      <c r="AN63" s="192"/>
      <c r="AO63" s="191"/>
      <c r="AP63" s="192"/>
      <c r="AQ63" s="191"/>
      <c r="AR63" s="192"/>
      <c r="AS63" s="191"/>
      <c r="AT63" s="192"/>
      <c r="AU63" s="191"/>
      <c r="AV63" s="192"/>
      <c r="AW63" s="191"/>
      <c r="AX63" s="192"/>
      <c r="AY63" s="191"/>
      <c r="AZ63" s="192"/>
    </row>
    <row r="64" spans="1:53" ht="17" thickBot="1" x14ac:dyDescent="0.25">
      <c r="F64" s="236"/>
      <c r="G64" s="237"/>
      <c r="K64" s="228"/>
      <c r="L64" s="230"/>
      <c r="M64" s="204"/>
      <c r="N64" s="205"/>
      <c r="O64" s="204"/>
      <c r="P64" s="205"/>
      <c r="Q64" s="204"/>
      <c r="R64" s="205"/>
      <c r="S64" s="204"/>
      <c r="T64" s="205"/>
      <c r="U64" s="204"/>
      <c r="V64" s="205"/>
      <c r="W64" s="204"/>
      <c r="X64" s="205"/>
      <c r="Y64" s="204"/>
      <c r="Z64" s="205"/>
      <c r="AA64" s="204"/>
      <c r="AB64" s="205"/>
      <c r="AC64" s="204"/>
      <c r="AD64" s="205"/>
      <c r="AE64" s="204"/>
      <c r="AF64" s="205"/>
      <c r="AG64" s="204"/>
      <c r="AH64" s="205"/>
      <c r="AI64" s="204"/>
      <c r="AJ64" s="205"/>
      <c r="AK64" s="204"/>
      <c r="AL64" s="205"/>
      <c r="AM64" s="204"/>
      <c r="AN64" s="205"/>
      <c r="AO64" s="204"/>
      <c r="AP64" s="205"/>
      <c r="AQ64" s="204"/>
      <c r="AR64" s="205"/>
      <c r="AS64" s="204"/>
      <c r="AT64" s="205"/>
      <c r="AU64" s="204"/>
      <c r="AV64" s="205"/>
      <c r="AW64" s="204"/>
      <c r="AX64" s="205"/>
      <c r="AY64" s="204"/>
      <c r="AZ64" s="205"/>
    </row>
    <row r="65" spans="7:52" ht="25" customHeight="1" thickBot="1" x14ac:dyDescent="0.25">
      <c r="G65" s="19"/>
      <c r="K65" s="229"/>
      <c r="L65" s="231"/>
      <c r="M65" s="201" t="s">
        <v>235</v>
      </c>
      <c r="N65" s="202"/>
      <c r="O65" s="202"/>
      <c r="P65" s="202"/>
      <c r="Q65" s="202"/>
      <c r="R65" s="202"/>
      <c r="S65" s="202"/>
      <c r="T65" s="202"/>
      <c r="U65" s="202"/>
      <c r="V65" s="202"/>
      <c r="W65" s="202"/>
      <c r="X65" s="202"/>
      <c r="Y65" s="202"/>
      <c r="Z65" s="202"/>
      <c r="AA65" s="202"/>
      <c r="AB65" s="202"/>
      <c r="AC65" s="202"/>
      <c r="AD65" s="202"/>
      <c r="AE65" s="202"/>
      <c r="AF65" s="202"/>
      <c r="AG65" s="202"/>
      <c r="AH65" s="202"/>
      <c r="AI65" s="202"/>
      <c r="AJ65" s="202"/>
      <c r="AK65" s="202"/>
      <c r="AL65" s="202"/>
      <c r="AM65" s="202"/>
      <c r="AN65" s="202"/>
      <c r="AO65" s="202"/>
      <c r="AP65" s="202"/>
      <c r="AQ65" s="202"/>
      <c r="AR65" s="202"/>
      <c r="AS65" s="202"/>
      <c r="AT65" s="202"/>
      <c r="AU65" s="202"/>
      <c r="AV65" s="202"/>
      <c r="AW65" s="202"/>
      <c r="AX65" s="202"/>
      <c r="AY65" s="202"/>
      <c r="AZ65" s="203"/>
    </row>
  </sheetData>
  <mergeCells count="141">
    <mergeCell ref="U62:V64"/>
    <mergeCell ref="AK62:AL64"/>
    <mergeCell ref="O58:O61"/>
    <mergeCell ref="P58:P61"/>
    <mergeCell ref="F59:G64"/>
    <mergeCell ref="AC62:AD64"/>
    <mergeCell ref="AM62:AN64"/>
    <mergeCell ref="Y62:Z64"/>
    <mergeCell ref="AG62:AH64"/>
    <mergeCell ref="W62:X64"/>
    <mergeCell ref="M62:N64"/>
    <mergeCell ref="AA62:AB64"/>
    <mergeCell ref="O62:P64"/>
    <mergeCell ref="L58:L65"/>
    <mergeCell ref="K58:K65"/>
    <mergeCell ref="M65:AZ65"/>
    <mergeCell ref="AO62:AP64"/>
    <mergeCell ref="AS62:AT64"/>
    <mergeCell ref="AU62:AV64"/>
    <mergeCell ref="AQ62:AR64"/>
    <mergeCell ref="AW62:AX64"/>
    <mergeCell ref="Q62:R64"/>
    <mergeCell ref="AE62:AF64"/>
    <mergeCell ref="AI62:AJ64"/>
    <mergeCell ref="AY62:AZ64"/>
    <mergeCell ref="S62:T64"/>
    <mergeCell ref="AU58:AU61"/>
    <mergeCell ref="AV58:AV61"/>
    <mergeCell ref="S58:S61"/>
    <mergeCell ref="T58:T61"/>
    <mergeCell ref="U58:U61"/>
    <mergeCell ref="V58:V61"/>
    <mergeCell ref="AK58:AK61"/>
    <mergeCell ref="AL58:AL61"/>
    <mergeCell ref="AE58:AE61"/>
    <mergeCell ref="AF58:AF61"/>
    <mergeCell ref="AI58:AI61"/>
    <mergeCell ref="AJ58:AJ61"/>
    <mergeCell ref="AD58:AD61"/>
    <mergeCell ref="AC58:AC61"/>
    <mergeCell ref="AY58:AY61"/>
    <mergeCell ref="AZ58:AZ61"/>
    <mergeCell ref="W58:W61"/>
    <mergeCell ref="X58:X61"/>
    <mergeCell ref="AQ58:AQ61"/>
    <mergeCell ref="AR58:AR61"/>
    <mergeCell ref="AW58:AW61"/>
    <mergeCell ref="AX58:AX61"/>
    <mergeCell ref="M58:M61"/>
    <mergeCell ref="N58:N61"/>
    <mergeCell ref="AA58:AA61"/>
    <mergeCell ref="AB58:AB61"/>
    <mergeCell ref="AM58:AM61"/>
    <mergeCell ref="AN58:AN61"/>
    <mergeCell ref="Y58:Y61"/>
    <mergeCell ref="Z58:Z61"/>
    <mergeCell ref="AG58:AG61"/>
    <mergeCell ref="AH58:AH61"/>
    <mergeCell ref="Q58:Q61"/>
    <mergeCell ref="R58:R61"/>
    <mergeCell ref="AO58:AO61"/>
    <mergeCell ref="AP58:AP61"/>
    <mergeCell ref="AS58:AS61"/>
    <mergeCell ref="AT58:AT61"/>
    <mergeCell ref="AT7:AT11"/>
    <mergeCell ref="AU7:AU11"/>
    <mergeCell ref="AV7:AV11"/>
    <mergeCell ref="AQ7:AQ11"/>
    <mergeCell ref="AR7:AR11"/>
    <mergeCell ref="AK7:AK11"/>
    <mergeCell ref="AL7:AL11"/>
    <mergeCell ref="AO7:AO11"/>
    <mergeCell ref="AP7:AP11"/>
    <mergeCell ref="AY7:AY11"/>
    <mergeCell ref="AZ7:AZ11"/>
    <mergeCell ref="S7:S11"/>
    <mergeCell ref="T7:T11"/>
    <mergeCell ref="AH7:AH11"/>
    <mergeCell ref="AN7:AN11"/>
    <mergeCell ref="AW7:AW11"/>
    <mergeCell ref="AX7:AX11"/>
    <mergeCell ref="AS7:AS11"/>
    <mergeCell ref="Y7:Y11"/>
    <mergeCell ref="Z7:Z11"/>
    <mergeCell ref="AG7:AG11"/>
    <mergeCell ref="W7:W11"/>
    <mergeCell ref="X7:X11"/>
    <mergeCell ref="Q7:Q11"/>
    <mergeCell ref="R7:R11"/>
    <mergeCell ref="O7:O11"/>
    <mergeCell ref="P7:P11"/>
    <mergeCell ref="U7:U11"/>
    <mergeCell ref="V7:V11"/>
    <mergeCell ref="O4:P6"/>
    <mergeCell ref="A7:A11"/>
    <mergeCell ref="B7:B11"/>
    <mergeCell ref="H7:H11"/>
    <mergeCell ref="K7:K11"/>
    <mergeCell ref="I7:I11"/>
    <mergeCell ref="AC7:AC11"/>
    <mergeCell ref="AD7:AD11"/>
    <mergeCell ref="AM7:AM11"/>
    <mergeCell ref="AI7:AI11"/>
    <mergeCell ref="AJ7:AJ11"/>
    <mergeCell ref="J7:J11"/>
    <mergeCell ref="L7:L11"/>
    <mergeCell ref="C7:C11"/>
    <mergeCell ref="D7:D11"/>
    <mergeCell ref="E7:E11"/>
    <mergeCell ref="F7:F11"/>
    <mergeCell ref="G7:G11"/>
    <mergeCell ref="M7:M11"/>
    <mergeCell ref="N7:N11"/>
    <mergeCell ref="AA7:AA11"/>
    <mergeCell ref="AB7:AB11"/>
    <mergeCell ref="AE7:AE11"/>
    <mergeCell ref="AF7:AF11"/>
    <mergeCell ref="E56:J56"/>
    <mergeCell ref="E57:J57"/>
    <mergeCell ref="M2:AZ2"/>
    <mergeCell ref="E3:E5"/>
    <mergeCell ref="M3:AZ3"/>
    <mergeCell ref="AC4:AD6"/>
    <mergeCell ref="AM4:AN6"/>
    <mergeCell ref="Y4:Z6"/>
    <mergeCell ref="AG4:AH6"/>
    <mergeCell ref="W4:X6"/>
    <mergeCell ref="M4:N6"/>
    <mergeCell ref="AA4:AB6"/>
    <mergeCell ref="AO4:AP6"/>
    <mergeCell ref="AS4:AT6"/>
    <mergeCell ref="AU4:AV6"/>
    <mergeCell ref="AQ4:AR6"/>
    <mergeCell ref="AW4:AX6"/>
    <mergeCell ref="Q4:R6"/>
    <mergeCell ref="AE4:AF6"/>
    <mergeCell ref="AI4:AJ6"/>
    <mergeCell ref="AY4:AZ6"/>
    <mergeCell ref="S4:T6"/>
    <mergeCell ref="U4:V6"/>
    <mergeCell ref="AK4:AL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Z135"/>
  <sheetViews>
    <sheetView showRuler="0" workbookViewId="0"/>
  </sheetViews>
  <sheetFormatPr baseColWidth="10" defaultRowHeight="16" x14ac:dyDescent="0.2"/>
  <cols>
    <col min="1" max="1" width="5.6640625" style="19" customWidth="1"/>
    <col min="2" max="2" width="5.6640625" customWidth="1"/>
    <col min="3" max="4" width="12.5" style="20" customWidth="1"/>
    <col min="5" max="5" width="75.83203125" style="19" customWidth="1"/>
    <col min="6" max="6" width="25" style="19" customWidth="1"/>
    <col min="7" max="7" width="7.5" style="20" customWidth="1"/>
    <col min="8" max="11" width="6.6640625" style="20" customWidth="1"/>
    <col min="12" max="12" width="6.6640625" style="39" customWidth="1"/>
    <col min="13" max="13" width="6.6640625" style="20" customWidth="1"/>
    <col min="14" max="14" width="6.6640625" style="39" customWidth="1"/>
    <col min="15" max="30" width="6.6640625" style="20" customWidth="1"/>
    <col min="31" max="34" width="6.6640625" style="19" customWidth="1"/>
    <col min="35" max="16384" width="10.83203125" style="19"/>
  </cols>
  <sheetData>
    <row r="1" spans="1:42" ht="15" customHeight="1" thickBot="1" x14ac:dyDescent="0.25"/>
    <row r="2" spans="1:42" ht="16" customHeight="1" x14ac:dyDescent="0.2">
      <c r="E2" s="247" t="s">
        <v>242</v>
      </c>
    </row>
    <row r="3" spans="1:42" ht="16" customHeight="1" thickBot="1" x14ac:dyDescent="0.25">
      <c r="E3" s="248"/>
    </row>
    <row r="4" spans="1:42" ht="20" customHeight="1" x14ac:dyDescent="0.2">
      <c r="E4" s="249" t="s">
        <v>243</v>
      </c>
      <c r="M4" s="251" t="s">
        <v>239</v>
      </c>
      <c r="N4" s="252"/>
      <c r="O4" s="252"/>
      <c r="P4" s="252"/>
      <c r="Q4" s="252"/>
      <c r="R4" s="252"/>
      <c r="S4" s="252"/>
      <c r="T4" s="252"/>
      <c r="U4" s="252"/>
      <c r="V4" s="252"/>
      <c r="W4" s="252"/>
      <c r="X4" s="252"/>
      <c r="Y4" s="252"/>
      <c r="Z4" s="252"/>
      <c r="AA4" s="252"/>
      <c r="AB4" s="252"/>
      <c r="AC4" s="252"/>
      <c r="AD4" s="253"/>
    </row>
    <row r="5" spans="1:42" ht="20" customHeight="1" thickBot="1" x14ac:dyDescent="0.25">
      <c r="E5" s="249"/>
      <c r="M5" s="186" t="s">
        <v>240</v>
      </c>
      <c r="N5" s="187"/>
      <c r="O5" s="187"/>
      <c r="P5" s="187"/>
      <c r="Q5" s="187"/>
      <c r="R5" s="187"/>
      <c r="S5" s="187"/>
      <c r="T5" s="187"/>
      <c r="U5" s="187"/>
      <c r="V5" s="187"/>
      <c r="W5" s="187"/>
      <c r="X5" s="187"/>
      <c r="Y5" s="187"/>
      <c r="Z5" s="187"/>
      <c r="AA5" s="187"/>
      <c r="AB5" s="187"/>
      <c r="AC5" s="187"/>
      <c r="AD5" s="188"/>
    </row>
    <row r="6" spans="1:42" ht="20" customHeight="1" x14ac:dyDescent="0.2">
      <c r="B6" s="55"/>
      <c r="E6" s="249"/>
      <c r="M6" s="189" t="s">
        <v>49</v>
      </c>
      <c r="N6" s="190"/>
      <c r="O6" s="209" t="s">
        <v>173</v>
      </c>
      <c r="P6" s="192"/>
      <c r="Q6" s="189" t="s">
        <v>200</v>
      </c>
      <c r="R6" s="190"/>
      <c r="S6" s="189" t="s">
        <v>197</v>
      </c>
      <c r="T6" s="190"/>
      <c r="U6" s="189" t="s">
        <v>55</v>
      </c>
      <c r="V6" s="190"/>
      <c r="W6" s="189" t="s">
        <v>48</v>
      </c>
      <c r="X6" s="190"/>
      <c r="Y6" s="195" t="s">
        <v>46</v>
      </c>
      <c r="Z6" s="196"/>
      <c r="AA6" s="189" t="s">
        <v>50</v>
      </c>
      <c r="AB6" s="190"/>
      <c r="AC6" s="195" t="s">
        <v>44</v>
      </c>
      <c r="AD6" s="196"/>
    </row>
    <row r="7" spans="1:42" ht="20" customHeight="1" thickBot="1" x14ac:dyDescent="0.25">
      <c r="A7" s="27"/>
      <c r="B7" s="29"/>
      <c r="E7" s="250"/>
      <c r="M7" s="191"/>
      <c r="N7" s="192"/>
      <c r="O7" s="209"/>
      <c r="P7" s="192"/>
      <c r="Q7" s="191"/>
      <c r="R7" s="192"/>
      <c r="S7" s="191"/>
      <c r="T7" s="192"/>
      <c r="U7" s="191"/>
      <c r="V7" s="192"/>
      <c r="W7" s="191"/>
      <c r="X7" s="192"/>
      <c r="Y7" s="197"/>
      <c r="Z7" s="198"/>
      <c r="AA7" s="191"/>
      <c r="AB7" s="192"/>
      <c r="AC7" s="197"/>
      <c r="AD7" s="198"/>
    </row>
    <row r="8" spans="1:42" ht="20" customHeight="1" thickBot="1" x14ac:dyDescent="0.25">
      <c r="A8" s="28"/>
      <c r="B8" s="54"/>
      <c r="E8" s="20"/>
      <c r="H8" s="19"/>
      <c r="I8" s="19"/>
      <c r="J8" s="19"/>
      <c r="K8" s="19"/>
      <c r="L8" s="111"/>
      <c r="M8" s="193"/>
      <c r="N8" s="194"/>
      <c r="O8" s="210"/>
      <c r="P8" s="194"/>
      <c r="Q8" s="193"/>
      <c r="R8" s="194"/>
      <c r="S8" s="193"/>
      <c r="T8" s="194"/>
      <c r="U8" s="193"/>
      <c r="V8" s="194"/>
      <c r="W8" s="193"/>
      <c r="X8" s="194"/>
      <c r="Y8" s="199"/>
      <c r="Z8" s="200"/>
      <c r="AA8" s="193"/>
      <c r="AB8" s="194"/>
      <c r="AC8" s="199"/>
      <c r="AD8" s="200"/>
    </row>
    <row r="9" spans="1:42" ht="20" customHeight="1" x14ac:dyDescent="0.2">
      <c r="A9" s="241" t="s">
        <v>190</v>
      </c>
      <c r="B9" s="224" t="s">
        <v>215</v>
      </c>
      <c r="C9" s="153" t="s">
        <v>63</v>
      </c>
      <c r="D9" s="153" t="s">
        <v>226</v>
      </c>
      <c r="E9" s="150" t="s">
        <v>64</v>
      </c>
      <c r="F9" s="150" t="s">
        <v>65</v>
      </c>
      <c r="G9" s="153" t="s">
        <v>66</v>
      </c>
      <c r="H9" s="180" t="s">
        <v>42</v>
      </c>
      <c r="I9" s="159" t="s">
        <v>43</v>
      </c>
      <c r="J9" s="156" t="s">
        <v>223</v>
      </c>
      <c r="K9" s="174" t="s">
        <v>224</v>
      </c>
      <c r="L9" s="177" t="s">
        <v>225</v>
      </c>
      <c r="M9" s="165" t="s">
        <v>199</v>
      </c>
      <c r="N9" s="162" t="s">
        <v>198</v>
      </c>
      <c r="O9" s="206" t="s">
        <v>199</v>
      </c>
      <c r="P9" s="162" t="s">
        <v>198</v>
      </c>
      <c r="Q9" s="165" t="s">
        <v>199</v>
      </c>
      <c r="R9" s="162" t="s">
        <v>198</v>
      </c>
      <c r="S9" s="165" t="s">
        <v>199</v>
      </c>
      <c r="T9" s="162" t="s">
        <v>198</v>
      </c>
      <c r="U9" s="165" t="s">
        <v>199</v>
      </c>
      <c r="V9" s="162" t="s">
        <v>198</v>
      </c>
      <c r="W9" s="165" t="s">
        <v>199</v>
      </c>
      <c r="X9" s="162" t="s">
        <v>198</v>
      </c>
      <c r="Y9" s="165" t="s">
        <v>199</v>
      </c>
      <c r="Z9" s="162" t="s">
        <v>198</v>
      </c>
      <c r="AA9" s="165" t="s">
        <v>199</v>
      </c>
      <c r="AB9" s="162" t="s">
        <v>198</v>
      </c>
      <c r="AC9" s="165" t="s">
        <v>199</v>
      </c>
      <c r="AD9" s="168" t="s">
        <v>198</v>
      </c>
    </row>
    <row r="10" spans="1:42" ht="20" customHeight="1" x14ac:dyDescent="0.2">
      <c r="A10" s="242"/>
      <c r="B10" s="225"/>
      <c r="C10" s="154"/>
      <c r="D10" s="154"/>
      <c r="E10" s="151"/>
      <c r="F10" s="151"/>
      <c r="G10" s="154"/>
      <c r="H10" s="181"/>
      <c r="I10" s="160"/>
      <c r="J10" s="157"/>
      <c r="K10" s="175"/>
      <c r="L10" s="178"/>
      <c r="M10" s="166"/>
      <c r="N10" s="163"/>
      <c r="O10" s="207"/>
      <c r="P10" s="163"/>
      <c r="Q10" s="166"/>
      <c r="R10" s="163"/>
      <c r="S10" s="166"/>
      <c r="T10" s="163"/>
      <c r="U10" s="166"/>
      <c r="V10" s="163"/>
      <c r="W10" s="166"/>
      <c r="X10" s="163"/>
      <c r="Y10" s="166"/>
      <c r="Z10" s="163"/>
      <c r="AA10" s="166"/>
      <c r="AB10" s="163"/>
      <c r="AC10" s="166"/>
      <c r="AD10" s="169"/>
    </row>
    <row r="11" spans="1:42" ht="20" customHeight="1" x14ac:dyDescent="0.2">
      <c r="A11" s="242"/>
      <c r="B11" s="225"/>
      <c r="C11" s="154"/>
      <c r="D11" s="154"/>
      <c r="E11" s="151"/>
      <c r="F11" s="151"/>
      <c r="G11" s="154"/>
      <c r="H11" s="181"/>
      <c r="I11" s="160"/>
      <c r="J11" s="157"/>
      <c r="K11" s="175"/>
      <c r="L11" s="178"/>
      <c r="M11" s="166"/>
      <c r="N11" s="163"/>
      <c r="O11" s="207"/>
      <c r="P11" s="163"/>
      <c r="Q11" s="166"/>
      <c r="R11" s="163"/>
      <c r="S11" s="166"/>
      <c r="T11" s="163"/>
      <c r="U11" s="166"/>
      <c r="V11" s="163"/>
      <c r="W11" s="166"/>
      <c r="X11" s="163"/>
      <c r="Y11" s="166"/>
      <c r="Z11" s="163"/>
      <c r="AA11" s="166"/>
      <c r="AB11" s="163"/>
      <c r="AC11" s="166"/>
      <c r="AD11" s="169"/>
    </row>
    <row r="12" spans="1:42" ht="20" customHeight="1" x14ac:dyDescent="0.2">
      <c r="A12" s="242"/>
      <c r="B12" s="225"/>
      <c r="C12" s="154"/>
      <c r="D12" s="154"/>
      <c r="E12" s="151"/>
      <c r="F12" s="151"/>
      <c r="G12" s="154"/>
      <c r="H12" s="181"/>
      <c r="I12" s="160"/>
      <c r="J12" s="157"/>
      <c r="K12" s="175"/>
      <c r="L12" s="178"/>
      <c r="M12" s="166"/>
      <c r="N12" s="163"/>
      <c r="O12" s="207"/>
      <c r="P12" s="163"/>
      <c r="Q12" s="166"/>
      <c r="R12" s="163"/>
      <c r="S12" s="166"/>
      <c r="T12" s="163"/>
      <c r="U12" s="166"/>
      <c r="V12" s="163"/>
      <c r="W12" s="166"/>
      <c r="X12" s="163"/>
      <c r="Y12" s="166"/>
      <c r="Z12" s="163"/>
      <c r="AA12" s="166"/>
      <c r="AB12" s="163"/>
      <c r="AC12" s="166"/>
      <c r="AD12" s="169"/>
    </row>
    <row r="13" spans="1:42" s="21" customFormat="1" ht="20" customHeight="1" thickBot="1" x14ac:dyDescent="0.25">
      <c r="A13" s="243"/>
      <c r="B13" s="226"/>
      <c r="C13" s="155"/>
      <c r="D13" s="155"/>
      <c r="E13" s="152"/>
      <c r="F13" s="152"/>
      <c r="G13" s="155"/>
      <c r="H13" s="182"/>
      <c r="I13" s="161"/>
      <c r="J13" s="158"/>
      <c r="K13" s="176"/>
      <c r="L13" s="179"/>
      <c r="M13" s="255"/>
      <c r="N13" s="254"/>
      <c r="O13" s="259"/>
      <c r="P13" s="254"/>
      <c r="Q13" s="255"/>
      <c r="R13" s="254"/>
      <c r="S13" s="255"/>
      <c r="T13" s="254"/>
      <c r="U13" s="255"/>
      <c r="V13" s="254"/>
      <c r="W13" s="255"/>
      <c r="X13" s="254"/>
      <c r="Y13" s="255"/>
      <c r="Z13" s="254"/>
      <c r="AA13" s="255"/>
      <c r="AB13" s="254"/>
      <c r="AC13" s="255"/>
      <c r="AD13" s="258"/>
      <c r="AE13" s="74" t="s">
        <v>67</v>
      </c>
      <c r="AF13" s="90"/>
      <c r="AG13" s="90"/>
      <c r="AH13" s="90"/>
      <c r="AI13" s="90"/>
      <c r="AJ13" s="90"/>
      <c r="AK13" s="90"/>
      <c r="AL13" s="90"/>
      <c r="AM13" s="90"/>
      <c r="AN13" s="90"/>
      <c r="AO13" s="90"/>
      <c r="AP13" s="90"/>
    </row>
    <row r="14" spans="1:42" s="21" customFormat="1" ht="20" customHeight="1" x14ac:dyDescent="0.2">
      <c r="A14" s="126"/>
      <c r="B14" s="127"/>
      <c r="C14" s="116" t="s">
        <v>207</v>
      </c>
      <c r="D14" s="116" t="s">
        <v>247</v>
      </c>
      <c r="E14" s="117" t="s">
        <v>245</v>
      </c>
      <c r="F14" s="117" t="s">
        <v>246</v>
      </c>
      <c r="G14" s="116">
        <v>2013</v>
      </c>
      <c r="H14" s="118"/>
      <c r="I14" s="84"/>
      <c r="J14" s="64">
        <v>10</v>
      </c>
      <c r="K14" s="65">
        <v>490</v>
      </c>
      <c r="L14" s="112">
        <f>IF(AND(NOT(ISERROR(J14/K14*100)), J14&lt;&gt;""), J14/K14*100, "")</f>
        <v>2.0408163265306123</v>
      </c>
      <c r="M14" s="31"/>
      <c r="N14" s="40" t="str">
        <f t="shared" ref="N14:AD57" si="0">IF((ISERROR((M14/$K14)*100)), "", IF(AND(NOT(ISERROR((M14/$K14)*100)),((M14/$K14)*100) &lt;&gt; 0), (M14/$K14)*100, ""))</f>
        <v/>
      </c>
      <c r="O14" s="35">
        <v>17</v>
      </c>
      <c r="P14" s="40">
        <f t="shared" si="0"/>
        <v>3.4693877551020407</v>
      </c>
      <c r="Q14" s="31"/>
      <c r="R14" s="40" t="str">
        <f t="shared" si="0"/>
        <v/>
      </c>
      <c r="S14" s="31">
        <v>1</v>
      </c>
      <c r="T14" s="40">
        <f t="shared" si="0"/>
        <v>0.20408163265306123</v>
      </c>
      <c r="U14" s="31"/>
      <c r="V14" s="40" t="str">
        <f t="shared" si="0"/>
        <v/>
      </c>
      <c r="W14" s="31"/>
      <c r="X14" s="40" t="str">
        <f t="shared" si="0"/>
        <v/>
      </c>
      <c r="Y14" s="31"/>
      <c r="Z14" s="40" t="str">
        <f t="shared" si="0"/>
        <v/>
      </c>
      <c r="AA14" s="31">
        <v>1</v>
      </c>
      <c r="AB14" s="40">
        <f t="shared" si="0"/>
        <v>0.20408163265306123</v>
      </c>
      <c r="AC14" s="31">
        <v>1</v>
      </c>
      <c r="AD14" s="40">
        <f t="shared" si="0"/>
        <v>0.20408163265306123</v>
      </c>
      <c r="AE14" s="70" t="s">
        <v>249</v>
      </c>
      <c r="AF14" s="90"/>
      <c r="AG14" s="90"/>
      <c r="AH14" s="90"/>
      <c r="AI14" s="90"/>
      <c r="AJ14" s="90"/>
      <c r="AK14" s="90"/>
      <c r="AL14" s="90"/>
      <c r="AM14" s="90"/>
      <c r="AN14" s="90"/>
      <c r="AO14" s="90"/>
      <c r="AP14" s="90"/>
    </row>
    <row r="15" spans="1:42" ht="20" customHeight="1" x14ac:dyDescent="0.2">
      <c r="A15" s="128"/>
      <c r="B15" s="129"/>
      <c r="C15" s="75" t="s">
        <v>207</v>
      </c>
      <c r="D15" s="75"/>
      <c r="E15" s="76" t="s">
        <v>68</v>
      </c>
      <c r="F15" s="76" t="s">
        <v>69</v>
      </c>
      <c r="G15" s="75">
        <v>2015</v>
      </c>
      <c r="H15" s="119">
        <v>3</v>
      </c>
      <c r="I15" s="87" t="s">
        <v>70</v>
      </c>
      <c r="J15" s="71">
        <v>14</v>
      </c>
      <c r="K15" s="72">
        <v>100</v>
      </c>
      <c r="L15" s="122">
        <f>IF(AND(NOT(ISERROR(J15/K15*100)), J15&lt;&gt;""), J15/K15*100, "")</f>
        <v>14.000000000000002</v>
      </c>
      <c r="M15" s="31"/>
      <c r="N15" s="40" t="str">
        <f t="shared" si="0"/>
        <v/>
      </c>
      <c r="O15" s="35"/>
      <c r="P15" s="40" t="str">
        <f t="shared" ref="P15:P57" si="1">IF((ISERROR((O15/$K15)*100)), "", IF(AND(NOT(ISERROR((O15/$K15)*100)),((O15/$K15)*100) &lt;&gt; 0), (O15/$K15)*100, ""))</f>
        <v/>
      </c>
      <c r="Q15" s="31"/>
      <c r="R15" s="40" t="str">
        <f t="shared" ref="R15:R57" si="2">IF((ISERROR((Q15/$K15)*100)), "", IF(AND(NOT(ISERROR((Q15/$K15)*100)),((Q15/$K15)*100) &lt;&gt; 0), (Q15/$K15)*100, ""))</f>
        <v/>
      </c>
      <c r="S15" s="31"/>
      <c r="T15" s="40" t="str">
        <f t="shared" ref="T15:T57" si="3">IF((ISERROR((S15/$K15)*100)), "", IF(AND(NOT(ISERROR((S15/$K15)*100)),((S15/$K15)*100) &lt;&gt; 0), (S15/$K15)*100, ""))</f>
        <v/>
      </c>
      <c r="U15" s="31"/>
      <c r="V15" s="40" t="str">
        <f t="shared" ref="V15:V57" si="4">IF((ISERROR((U15/$K15)*100)), "", IF(AND(NOT(ISERROR((U15/$K15)*100)),((U15/$K15)*100) &lt;&gt; 0), (U15/$K15)*100, ""))</f>
        <v/>
      </c>
      <c r="W15" s="31"/>
      <c r="X15" s="40" t="str">
        <f t="shared" ref="X15:X32" si="5">IF((ISERROR((W15/$K15)*100)), "", IF(AND(NOT(ISERROR((W15/$K15)*100)),((W15/$K15)*100) &lt;&gt; 0), (W15/$K15)*100, ""))</f>
        <v/>
      </c>
      <c r="Y15" s="31"/>
      <c r="Z15" s="40" t="str">
        <f t="shared" ref="Z15:Z57" si="6">IF((ISERROR((Y15/$K15)*100)), "", IF(AND(NOT(ISERROR((Y15/$K15)*100)),((Y15/$K15)*100) &lt;&gt; 0), (Y15/$K15)*100, ""))</f>
        <v/>
      </c>
      <c r="AA15" s="31"/>
      <c r="AB15" s="40" t="str">
        <f t="shared" ref="AB15:AB57" si="7">IF((ISERROR((AA15/$K15)*100)), "", IF(AND(NOT(ISERROR((AA15/$K15)*100)),((AA15/$K15)*100) &lt;&gt; 0), (AA15/$K15)*100, ""))</f>
        <v/>
      </c>
      <c r="AC15" s="31">
        <v>13</v>
      </c>
      <c r="AD15" s="40">
        <f>IF((ISERROR((AC15/$K15)*100)), "", IF(AND(NOT(ISERROR((AC15/$K15)*100)),((AC15/$K15)*100) &lt;&gt; 0), (AC15/$K15)*100, ""))</f>
        <v>13</v>
      </c>
      <c r="AE15" s="19" t="s">
        <v>205</v>
      </c>
    </row>
    <row r="16" spans="1:42" ht="20" customHeight="1" x14ac:dyDescent="0.2">
      <c r="A16" s="128"/>
      <c r="B16" s="129"/>
      <c r="C16" s="75" t="s">
        <v>207</v>
      </c>
      <c r="D16" s="75"/>
      <c r="E16" s="76" t="s">
        <v>71</v>
      </c>
      <c r="F16" s="76" t="s">
        <v>72</v>
      </c>
      <c r="G16" s="75">
        <v>2014</v>
      </c>
      <c r="H16" s="81">
        <v>9</v>
      </c>
      <c r="I16" s="84"/>
      <c r="J16" s="64"/>
      <c r="K16" s="65">
        <v>82</v>
      </c>
      <c r="L16" s="112" t="str">
        <f t="shared" ref="L16:L57" si="8">IF(AND(NOT(ISERROR(J16/K16*100)), J16&lt;&gt;""), J16/K16*100, "")</f>
        <v/>
      </c>
      <c r="M16" s="31"/>
      <c r="N16" s="40" t="str">
        <f t="shared" si="0"/>
        <v/>
      </c>
      <c r="O16" s="35"/>
      <c r="P16" s="40" t="str">
        <f t="shared" si="1"/>
        <v/>
      </c>
      <c r="Q16" s="31"/>
      <c r="R16" s="40" t="str">
        <f t="shared" si="2"/>
        <v/>
      </c>
      <c r="S16" s="31"/>
      <c r="T16" s="40" t="str">
        <f t="shared" si="3"/>
        <v/>
      </c>
      <c r="U16" s="31"/>
      <c r="V16" s="40" t="str">
        <f t="shared" si="4"/>
        <v/>
      </c>
      <c r="W16" s="31"/>
      <c r="X16" s="40" t="str">
        <f t="shared" si="5"/>
        <v/>
      </c>
      <c r="Y16" s="31"/>
      <c r="Z16" s="40" t="str">
        <f t="shared" si="6"/>
        <v/>
      </c>
      <c r="AA16" s="31"/>
      <c r="AB16" s="40" t="str">
        <f t="shared" si="7"/>
        <v/>
      </c>
      <c r="AC16" s="31">
        <v>8</v>
      </c>
      <c r="AD16" s="40">
        <f t="shared" ref="AD16:AD57" si="9">IF((ISERROR((AC16/K16)*100)), "", IF(AND(NOT(ISERROR((AC16/K16)*100)),((AC16/K16)*100) &lt;&gt; 0), (AC16/K16)*100, ""))</f>
        <v>9.7560975609756095</v>
      </c>
      <c r="AE16" s="22" t="s">
        <v>206</v>
      </c>
    </row>
    <row r="17" spans="1:31" ht="20" customHeight="1" x14ac:dyDescent="0.2">
      <c r="A17" s="130"/>
      <c r="B17" s="131"/>
      <c r="C17" s="75"/>
      <c r="D17" s="75"/>
      <c r="E17" s="76" t="s">
        <v>74</v>
      </c>
      <c r="F17" s="76" t="s">
        <v>75</v>
      </c>
      <c r="G17" s="75">
        <v>2013</v>
      </c>
      <c r="H17" s="81">
        <v>15</v>
      </c>
      <c r="I17" s="84"/>
      <c r="J17" s="64"/>
      <c r="K17" s="65"/>
      <c r="L17" s="112" t="str">
        <f t="shared" si="8"/>
        <v/>
      </c>
      <c r="M17" s="31"/>
      <c r="N17" s="40" t="str">
        <f t="shared" si="0"/>
        <v/>
      </c>
      <c r="O17" s="35"/>
      <c r="P17" s="40" t="str">
        <f t="shared" si="1"/>
        <v/>
      </c>
      <c r="Q17" s="31"/>
      <c r="R17" s="40" t="str">
        <f t="shared" si="2"/>
        <v/>
      </c>
      <c r="S17" s="31"/>
      <c r="T17" s="40" t="str">
        <f t="shared" si="3"/>
        <v/>
      </c>
      <c r="U17" s="31"/>
      <c r="V17" s="40" t="str">
        <f t="shared" si="4"/>
        <v/>
      </c>
      <c r="W17" s="31"/>
      <c r="X17" s="40" t="str">
        <f t="shared" si="5"/>
        <v/>
      </c>
      <c r="Y17" s="31"/>
      <c r="Z17" s="40" t="str">
        <f t="shared" si="6"/>
        <v/>
      </c>
      <c r="AA17" s="31"/>
      <c r="AB17" s="40" t="str">
        <f t="shared" si="7"/>
        <v/>
      </c>
      <c r="AC17" s="31"/>
      <c r="AD17" s="40" t="str">
        <f t="shared" si="9"/>
        <v/>
      </c>
      <c r="AE17" s="22" t="s">
        <v>73</v>
      </c>
    </row>
    <row r="18" spans="1:31" ht="20" customHeight="1" x14ac:dyDescent="0.2">
      <c r="A18" s="130"/>
      <c r="B18" s="131"/>
      <c r="C18" s="75" t="s">
        <v>207</v>
      </c>
      <c r="D18" s="75"/>
      <c r="E18" s="76" t="s">
        <v>76</v>
      </c>
      <c r="F18" s="76" t="s">
        <v>77</v>
      </c>
      <c r="G18" s="75">
        <v>1986</v>
      </c>
      <c r="H18" s="81">
        <v>146</v>
      </c>
      <c r="I18" s="84" t="s">
        <v>78</v>
      </c>
      <c r="J18" s="64">
        <v>13</v>
      </c>
      <c r="K18" s="65">
        <v>13</v>
      </c>
      <c r="L18" s="112">
        <f t="shared" si="8"/>
        <v>100</v>
      </c>
      <c r="M18" s="31"/>
      <c r="N18" s="40" t="str">
        <f t="shared" si="0"/>
        <v/>
      </c>
      <c r="O18" s="35"/>
      <c r="P18" s="40" t="str">
        <f t="shared" si="1"/>
        <v/>
      </c>
      <c r="Q18" s="31"/>
      <c r="R18" s="40" t="str">
        <f t="shared" si="2"/>
        <v/>
      </c>
      <c r="S18" s="31"/>
      <c r="T18" s="40" t="str">
        <f t="shared" si="3"/>
        <v/>
      </c>
      <c r="U18" s="31"/>
      <c r="V18" s="40" t="str">
        <f t="shared" si="4"/>
        <v/>
      </c>
      <c r="W18" s="31"/>
      <c r="X18" s="40" t="str">
        <f t="shared" si="5"/>
        <v/>
      </c>
      <c r="Y18" s="31">
        <v>13</v>
      </c>
      <c r="Z18" s="40">
        <f t="shared" si="6"/>
        <v>100</v>
      </c>
      <c r="AA18" s="31"/>
      <c r="AB18" s="40" t="str">
        <f t="shared" si="7"/>
        <v/>
      </c>
      <c r="AC18" s="31"/>
      <c r="AD18" s="40" t="str">
        <f t="shared" si="9"/>
        <v/>
      </c>
      <c r="AE18" s="22" t="s">
        <v>208</v>
      </c>
    </row>
    <row r="19" spans="1:31" ht="20" customHeight="1" x14ac:dyDescent="0.2">
      <c r="A19" s="130"/>
      <c r="B19" s="131"/>
      <c r="C19" s="75"/>
      <c r="D19" s="75"/>
      <c r="E19" s="76" t="s">
        <v>80</v>
      </c>
      <c r="F19" s="76" t="s">
        <v>81</v>
      </c>
      <c r="G19" s="75">
        <v>2008</v>
      </c>
      <c r="H19" s="81">
        <v>33</v>
      </c>
      <c r="I19" s="84"/>
      <c r="J19" s="64">
        <v>12</v>
      </c>
      <c r="K19" s="65">
        <v>101</v>
      </c>
      <c r="L19" s="112">
        <f t="shared" si="8"/>
        <v>11.881188118811881</v>
      </c>
      <c r="M19" s="31"/>
      <c r="N19" s="40" t="str">
        <f t="shared" si="0"/>
        <v/>
      </c>
      <c r="O19" s="35"/>
      <c r="P19" s="40" t="str">
        <f t="shared" si="1"/>
        <v/>
      </c>
      <c r="Q19" s="31"/>
      <c r="R19" s="40" t="str">
        <f t="shared" si="2"/>
        <v/>
      </c>
      <c r="S19" s="31"/>
      <c r="T19" s="40" t="str">
        <f t="shared" si="3"/>
        <v/>
      </c>
      <c r="U19" s="31"/>
      <c r="V19" s="40" t="str">
        <f t="shared" si="4"/>
        <v/>
      </c>
      <c r="W19" s="31"/>
      <c r="X19" s="40" t="str">
        <f t="shared" si="5"/>
        <v/>
      </c>
      <c r="Y19" s="31"/>
      <c r="Z19" s="40" t="str">
        <f t="shared" si="6"/>
        <v/>
      </c>
      <c r="AA19" s="31"/>
      <c r="AB19" s="40" t="str">
        <f t="shared" si="7"/>
        <v/>
      </c>
      <c r="AC19" s="31">
        <v>6</v>
      </c>
      <c r="AD19" s="40">
        <f t="shared" si="9"/>
        <v>5.9405940594059405</v>
      </c>
      <c r="AE19" s="19" t="s">
        <v>82</v>
      </c>
    </row>
    <row r="20" spans="1:31" ht="20" customHeight="1" x14ac:dyDescent="0.2">
      <c r="A20" s="136"/>
      <c r="B20" s="137"/>
      <c r="C20" s="138"/>
      <c r="D20" s="138" t="s">
        <v>252</v>
      </c>
      <c r="E20" s="139" t="s">
        <v>256</v>
      </c>
      <c r="F20" s="139" t="s">
        <v>257</v>
      </c>
      <c r="G20" s="138">
        <v>1996</v>
      </c>
      <c r="H20" s="140"/>
      <c r="I20" s="141"/>
      <c r="J20" s="142">
        <v>56</v>
      </c>
      <c r="K20" s="143">
        <v>72</v>
      </c>
      <c r="L20" s="144">
        <v>77.8</v>
      </c>
      <c r="M20" s="31"/>
      <c r="N20" s="40"/>
      <c r="O20" s="35">
        <v>56</v>
      </c>
      <c r="P20" s="40"/>
      <c r="Q20" s="31"/>
      <c r="R20" s="40"/>
      <c r="S20" s="31"/>
      <c r="T20" s="40"/>
      <c r="U20" s="31"/>
      <c r="V20" s="40"/>
      <c r="W20" s="31"/>
      <c r="X20" s="40"/>
      <c r="Y20" s="31"/>
      <c r="Z20" s="40"/>
      <c r="AA20" s="31"/>
      <c r="AB20" s="40"/>
      <c r="AC20" s="31"/>
      <c r="AD20" s="40"/>
      <c r="AE20" s="19" t="s">
        <v>258</v>
      </c>
    </row>
    <row r="21" spans="1:31" ht="20" customHeight="1" x14ac:dyDescent="0.2">
      <c r="A21" s="128"/>
      <c r="B21" s="129"/>
      <c r="C21" s="75"/>
      <c r="D21" s="75"/>
      <c r="E21" s="76" t="s">
        <v>83</v>
      </c>
      <c r="F21" s="76" t="s">
        <v>84</v>
      </c>
      <c r="G21" s="75">
        <v>2011</v>
      </c>
      <c r="H21" s="81"/>
      <c r="I21" s="84"/>
      <c r="J21" s="64">
        <v>1</v>
      </c>
      <c r="K21" s="65">
        <v>1</v>
      </c>
      <c r="L21" s="112">
        <f t="shared" si="8"/>
        <v>100</v>
      </c>
      <c r="M21" s="31">
        <v>1</v>
      </c>
      <c r="N21" s="40">
        <f t="shared" si="0"/>
        <v>100</v>
      </c>
      <c r="O21" s="35"/>
      <c r="P21" s="40" t="str">
        <f t="shared" si="1"/>
        <v/>
      </c>
      <c r="Q21" s="31"/>
      <c r="R21" s="40" t="str">
        <f t="shared" si="2"/>
        <v/>
      </c>
      <c r="S21" s="31"/>
      <c r="T21" s="40" t="str">
        <f t="shared" si="3"/>
        <v/>
      </c>
      <c r="U21" s="31"/>
      <c r="V21" s="40" t="str">
        <f t="shared" si="4"/>
        <v/>
      </c>
      <c r="W21" s="31"/>
      <c r="X21" s="40" t="str">
        <f t="shared" si="5"/>
        <v/>
      </c>
      <c r="Y21" s="31"/>
      <c r="Z21" s="40" t="str">
        <f t="shared" si="6"/>
        <v/>
      </c>
      <c r="AA21" s="31"/>
      <c r="AB21" s="40" t="str">
        <f t="shared" si="7"/>
        <v/>
      </c>
      <c r="AC21" s="31"/>
      <c r="AD21" s="40" t="str">
        <f t="shared" si="9"/>
        <v/>
      </c>
      <c r="AE21" s="19" t="s">
        <v>259</v>
      </c>
    </row>
    <row r="22" spans="1:31" ht="20" customHeight="1" x14ac:dyDescent="0.2">
      <c r="A22" s="130"/>
      <c r="B22" s="131"/>
      <c r="C22" s="75"/>
      <c r="D22" s="75"/>
      <c r="E22" s="76" t="s">
        <v>85</v>
      </c>
      <c r="F22" s="76" t="s">
        <v>86</v>
      </c>
      <c r="G22" s="75">
        <v>2010</v>
      </c>
      <c r="H22" s="81">
        <v>17</v>
      </c>
      <c r="I22" s="84"/>
      <c r="J22" s="64"/>
      <c r="K22" s="65">
        <v>83</v>
      </c>
      <c r="L22" s="112" t="str">
        <f t="shared" si="8"/>
        <v/>
      </c>
      <c r="M22" s="31"/>
      <c r="N22" s="40" t="str">
        <f t="shared" si="0"/>
        <v/>
      </c>
      <c r="O22" s="35"/>
      <c r="P22" s="40" t="str">
        <f t="shared" si="1"/>
        <v/>
      </c>
      <c r="Q22" s="31"/>
      <c r="R22" s="40" t="str">
        <f t="shared" si="2"/>
        <v/>
      </c>
      <c r="S22" s="31"/>
      <c r="T22" s="40" t="str">
        <f t="shared" si="3"/>
        <v/>
      </c>
      <c r="U22" s="31"/>
      <c r="V22" s="40" t="str">
        <f t="shared" si="4"/>
        <v/>
      </c>
      <c r="W22" s="31"/>
      <c r="X22" s="40" t="str">
        <f t="shared" si="5"/>
        <v/>
      </c>
      <c r="Y22" s="31"/>
      <c r="Z22" s="40" t="str">
        <f t="shared" si="6"/>
        <v/>
      </c>
      <c r="AA22" s="31"/>
      <c r="AB22" s="40" t="str">
        <f t="shared" si="7"/>
        <v/>
      </c>
      <c r="AC22" s="31"/>
      <c r="AD22" s="40" t="str">
        <f t="shared" si="9"/>
        <v/>
      </c>
      <c r="AE22" s="19" t="s">
        <v>260</v>
      </c>
    </row>
    <row r="23" spans="1:31" ht="20" customHeight="1" x14ac:dyDescent="0.2">
      <c r="A23" s="130"/>
      <c r="B23" s="131"/>
      <c r="C23" s="75"/>
      <c r="D23" s="75"/>
      <c r="E23" s="76" t="s">
        <v>87</v>
      </c>
      <c r="F23" s="76" t="s">
        <v>88</v>
      </c>
      <c r="G23" s="75">
        <v>2013</v>
      </c>
      <c r="H23" s="81">
        <v>13</v>
      </c>
      <c r="I23" s="84"/>
      <c r="J23" s="64">
        <v>16</v>
      </c>
      <c r="K23" s="65">
        <v>201</v>
      </c>
      <c r="L23" s="112">
        <f t="shared" si="8"/>
        <v>7.9601990049751246</v>
      </c>
      <c r="M23" s="31"/>
      <c r="N23" s="40" t="str">
        <f t="shared" si="0"/>
        <v/>
      </c>
      <c r="O23" s="35"/>
      <c r="P23" s="40" t="str">
        <f t="shared" si="1"/>
        <v/>
      </c>
      <c r="Q23" s="31"/>
      <c r="R23" s="40" t="str">
        <f t="shared" si="2"/>
        <v/>
      </c>
      <c r="S23" s="31"/>
      <c r="T23" s="40" t="str">
        <f t="shared" si="3"/>
        <v/>
      </c>
      <c r="U23" s="31"/>
      <c r="V23" s="40" t="str">
        <f t="shared" si="4"/>
        <v/>
      </c>
      <c r="W23" s="31"/>
      <c r="X23" s="40" t="str">
        <f t="shared" si="5"/>
        <v/>
      </c>
      <c r="Y23" s="31"/>
      <c r="Z23" s="40" t="str">
        <f t="shared" si="6"/>
        <v/>
      </c>
      <c r="AA23" s="31"/>
      <c r="AB23" s="40" t="str">
        <f t="shared" si="7"/>
        <v/>
      </c>
      <c r="AC23" s="31">
        <v>16</v>
      </c>
      <c r="AD23" s="40">
        <f t="shared" si="9"/>
        <v>7.9601990049751246</v>
      </c>
      <c r="AE23" s="22" t="s">
        <v>73</v>
      </c>
    </row>
    <row r="24" spans="1:31" ht="20" customHeight="1" x14ac:dyDescent="0.2">
      <c r="A24" s="128"/>
      <c r="B24" s="129"/>
      <c r="C24" s="75"/>
      <c r="D24" s="75"/>
      <c r="E24" s="76" t="s">
        <v>89</v>
      </c>
      <c r="F24" s="76" t="s">
        <v>90</v>
      </c>
      <c r="G24" s="75">
        <v>2013</v>
      </c>
      <c r="H24" s="81">
        <v>12</v>
      </c>
      <c r="I24" s="84" t="s">
        <v>91</v>
      </c>
      <c r="J24" s="64"/>
      <c r="K24" s="65">
        <v>304</v>
      </c>
      <c r="L24" s="112" t="str">
        <f t="shared" si="8"/>
        <v/>
      </c>
      <c r="M24" s="31"/>
      <c r="N24" s="40" t="str">
        <f t="shared" si="0"/>
        <v/>
      </c>
      <c r="O24" s="35"/>
      <c r="P24" s="40" t="str">
        <f t="shared" si="1"/>
        <v/>
      </c>
      <c r="Q24" s="31"/>
      <c r="R24" s="40" t="str">
        <f t="shared" si="2"/>
        <v/>
      </c>
      <c r="S24" s="31"/>
      <c r="T24" s="40" t="str">
        <f t="shared" si="3"/>
        <v/>
      </c>
      <c r="U24" s="31"/>
      <c r="V24" s="40" t="str">
        <f t="shared" si="4"/>
        <v/>
      </c>
      <c r="W24" s="31"/>
      <c r="X24" s="40" t="str">
        <f t="shared" si="5"/>
        <v/>
      </c>
      <c r="Y24" s="31"/>
      <c r="Z24" s="40" t="str">
        <f t="shared" si="6"/>
        <v/>
      </c>
      <c r="AA24" s="31"/>
      <c r="AB24" s="40" t="str">
        <f t="shared" si="7"/>
        <v/>
      </c>
      <c r="AC24" s="31">
        <v>14</v>
      </c>
      <c r="AD24" s="40">
        <f t="shared" si="9"/>
        <v>4.6052631578947363</v>
      </c>
    </row>
    <row r="25" spans="1:31" ht="20" customHeight="1" x14ac:dyDescent="0.2">
      <c r="A25" s="128"/>
      <c r="B25" s="132"/>
      <c r="C25" s="75"/>
      <c r="D25" s="75"/>
      <c r="E25" s="76" t="s">
        <v>92</v>
      </c>
      <c r="F25" s="76" t="s">
        <v>93</v>
      </c>
      <c r="G25" s="75">
        <v>2010</v>
      </c>
      <c r="H25" s="81">
        <v>28</v>
      </c>
      <c r="I25" s="84"/>
      <c r="J25" s="64"/>
      <c r="K25" s="65">
        <v>597</v>
      </c>
      <c r="L25" s="112" t="str">
        <f t="shared" si="8"/>
        <v/>
      </c>
      <c r="M25" s="31"/>
      <c r="N25" s="40" t="str">
        <f t="shared" si="0"/>
        <v/>
      </c>
      <c r="O25" s="35"/>
      <c r="P25" s="40" t="str">
        <f t="shared" si="1"/>
        <v/>
      </c>
      <c r="Q25" s="31"/>
      <c r="R25" s="40" t="str">
        <f t="shared" si="2"/>
        <v/>
      </c>
      <c r="S25" s="31"/>
      <c r="T25" s="40" t="str">
        <f t="shared" si="3"/>
        <v/>
      </c>
      <c r="U25" s="31"/>
      <c r="V25" s="40" t="str">
        <f t="shared" si="4"/>
        <v/>
      </c>
      <c r="W25" s="32"/>
      <c r="X25" s="32" t="str">
        <f t="shared" si="5"/>
        <v/>
      </c>
      <c r="Y25" s="31"/>
      <c r="Z25" s="40" t="str">
        <f t="shared" si="6"/>
        <v/>
      </c>
      <c r="AA25" s="31"/>
      <c r="AB25" s="40" t="str">
        <f t="shared" si="7"/>
        <v/>
      </c>
      <c r="AC25" s="31">
        <v>14</v>
      </c>
      <c r="AD25" s="40">
        <f t="shared" si="9"/>
        <v>2.3450586264656614</v>
      </c>
      <c r="AE25" s="19" t="s">
        <v>264</v>
      </c>
    </row>
    <row r="26" spans="1:31" ht="20" customHeight="1" x14ac:dyDescent="0.2">
      <c r="A26" s="128"/>
      <c r="B26" s="132"/>
      <c r="C26" s="75"/>
      <c r="D26" s="75"/>
      <c r="E26" s="76" t="s">
        <v>94</v>
      </c>
      <c r="F26" s="76" t="s">
        <v>95</v>
      </c>
      <c r="G26" s="75">
        <v>2012</v>
      </c>
      <c r="H26" s="81">
        <v>22</v>
      </c>
      <c r="I26" s="84" t="s">
        <v>96</v>
      </c>
      <c r="J26" s="64"/>
      <c r="K26" s="65">
        <v>19</v>
      </c>
      <c r="L26" s="112" t="str">
        <f t="shared" si="8"/>
        <v/>
      </c>
      <c r="M26" s="31"/>
      <c r="N26" s="40" t="str">
        <f t="shared" si="0"/>
        <v/>
      </c>
      <c r="O26" s="37"/>
      <c r="P26" s="37" t="str">
        <f t="shared" si="1"/>
        <v/>
      </c>
      <c r="Q26" s="37"/>
      <c r="R26" s="37" t="str">
        <f t="shared" si="2"/>
        <v/>
      </c>
      <c r="S26" s="32"/>
      <c r="T26" s="37" t="str">
        <f t="shared" si="3"/>
        <v/>
      </c>
      <c r="U26" s="31"/>
      <c r="V26" s="40" t="str">
        <f t="shared" si="4"/>
        <v/>
      </c>
      <c r="W26" s="31"/>
      <c r="X26" s="40" t="str">
        <f t="shared" si="5"/>
        <v/>
      </c>
      <c r="Y26" s="32"/>
      <c r="Z26" s="37" t="str">
        <f t="shared" si="6"/>
        <v/>
      </c>
      <c r="AA26" s="31"/>
      <c r="AB26" s="40" t="str">
        <f t="shared" si="7"/>
        <v/>
      </c>
      <c r="AC26" s="37"/>
      <c r="AD26" s="37" t="str">
        <f t="shared" si="9"/>
        <v/>
      </c>
      <c r="AE26" s="19" t="s">
        <v>265</v>
      </c>
    </row>
    <row r="27" spans="1:31" ht="20" customHeight="1" x14ac:dyDescent="0.2">
      <c r="A27" s="128"/>
      <c r="B27" s="132"/>
      <c r="C27" s="75"/>
      <c r="D27" s="75" t="s">
        <v>227</v>
      </c>
      <c r="E27" s="77" t="s">
        <v>209</v>
      </c>
      <c r="F27" s="77" t="s">
        <v>95</v>
      </c>
      <c r="G27" s="78">
        <v>2013</v>
      </c>
      <c r="H27" s="82">
        <v>12</v>
      </c>
      <c r="I27" s="85"/>
      <c r="J27" s="66"/>
      <c r="K27" s="67">
        <v>19</v>
      </c>
      <c r="L27" s="112" t="str">
        <f t="shared" si="8"/>
        <v/>
      </c>
      <c r="M27" s="31"/>
      <c r="N27" s="40" t="str">
        <f t="shared" si="0"/>
        <v/>
      </c>
      <c r="O27" s="37"/>
      <c r="P27" s="37" t="str">
        <f t="shared" si="1"/>
        <v/>
      </c>
      <c r="Q27" s="37"/>
      <c r="R27" s="37" t="str">
        <f t="shared" si="2"/>
        <v/>
      </c>
      <c r="S27" s="32"/>
      <c r="T27" s="37" t="str">
        <f t="shared" si="3"/>
        <v/>
      </c>
      <c r="U27" s="31"/>
      <c r="V27" s="40" t="str">
        <f t="shared" si="4"/>
        <v/>
      </c>
      <c r="W27" s="31"/>
      <c r="X27" s="40" t="str">
        <f t="shared" si="5"/>
        <v/>
      </c>
      <c r="Y27" s="32"/>
      <c r="Z27" s="37" t="str">
        <f t="shared" si="6"/>
        <v/>
      </c>
      <c r="AA27" s="31"/>
      <c r="AB27" s="40" t="str">
        <f t="shared" si="7"/>
        <v/>
      </c>
      <c r="AC27" s="37"/>
      <c r="AD27" s="37" t="str">
        <f t="shared" si="9"/>
        <v/>
      </c>
      <c r="AE27" s="19" t="s">
        <v>174</v>
      </c>
    </row>
    <row r="28" spans="1:31" ht="20" customHeight="1" x14ac:dyDescent="0.2">
      <c r="A28" s="128"/>
      <c r="B28" s="132"/>
      <c r="C28" s="75"/>
      <c r="D28" s="75"/>
      <c r="E28" s="76" t="s">
        <v>98</v>
      </c>
      <c r="F28" s="76" t="s">
        <v>99</v>
      </c>
      <c r="G28" s="75">
        <v>2007</v>
      </c>
      <c r="H28" s="81">
        <v>41</v>
      </c>
      <c r="I28" s="84"/>
      <c r="J28" s="64"/>
      <c r="K28" s="65">
        <v>71</v>
      </c>
      <c r="L28" s="112" t="str">
        <f t="shared" si="8"/>
        <v/>
      </c>
      <c r="M28" s="31"/>
      <c r="N28" s="40" t="str">
        <f t="shared" si="0"/>
        <v/>
      </c>
      <c r="O28" s="35"/>
      <c r="P28" s="40" t="str">
        <f t="shared" si="1"/>
        <v/>
      </c>
      <c r="Q28" s="31"/>
      <c r="R28" s="40" t="str">
        <f t="shared" si="2"/>
        <v/>
      </c>
      <c r="S28" s="31"/>
      <c r="T28" s="40" t="str">
        <f t="shared" si="3"/>
        <v/>
      </c>
      <c r="U28" s="31"/>
      <c r="V28" s="40" t="str">
        <f t="shared" si="4"/>
        <v/>
      </c>
      <c r="W28" s="31"/>
      <c r="X28" s="40" t="str">
        <f t="shared" si="5"/>
        <v/>
      </c>
      <c r="Y28" s="31"/>
      <c r="Z28" s="40" t="str">
        <f t="shared" si="6"/>
        <v/>
      </c>
      <c r="AA28" s="31"/>
      <c r="AB28" s="40" t="str">
        <f t="shared" si="7"/>
        <v/>
      </c>
      <c r="AC28" s="31"/>
      <c r="AD28" s="40" t="str">
        <f t="shared" si="9"/>
        <v/>
      </c>
      <c r="AE28" s="19" t="s">
        <v>100</v>
      </c>
    </row>
    <row r="29" spans="1:31" ht="20" customHeight="1" x14ac:dyDescent="0.2">
      <c r="A29" s="128"/>
      <c r="B29" s="133"/>
      <c r="C29" s="75"/>
      <c r="D29" s="75"/>
      <c r="E29" s="77" t="s">
        <v>101</v>
      </c>
      <c r="F29" s="77" t="s">
        <v>102</v>
      </c>
      <c r="G29" s="78">
        <v>2007</v>
      </c>
      <c r="H29" s="82">
        <v>140</v>
      </c>
      <c r="I29" s="84"/>
      <c r="J29" s="64"/>
      <c r="K29" s="67">
        <v>71</v>
      </c>
      <c r="L29" s="112" t="str">
        <f t="shared" si="8"/>
        <v/>
      </c>
      <c r="M29" s="31"/>
      <c r="N29" s="40" t="str">
        <f t="shared" si="0"/>
        <v/>
      </c>
      <c r="O29" s="35"/>
      <c r="P29" s="40" t="str">
        <f t="shared" si="1"/>
        <v/>
      </c>
      <c r="Q29" s="31"/>
      <c r="R29" s="40" t="str">
        <f t="shared" si="2"/>
        <v/>
      </c>
      <c r="S29" s="31"/>
      <c r="T29" s="40" t="str">
        <f t="shared" si="3"/>
        <v/>
      </c>
      <c r="U29" s="31"/>
      <c r="V29" s="40" t="str">
        <f t="shared" si="4"/>
        <v/>
      </c>
      <c r="W29" s="31"/>
      <c r="X29" s="40" t="str">
        <f t="shared" si="5"/>
        <v/>
      </c>
      <c r="Y29" s="31"/>
      <c r="Z29" s="40" t="str">
        <f t="shared" si="6"/>
        <v/>
      </c>
      <c r="AA29" s="31"/>
      <c r="AB29" s="40" t="str">
        <f t="shared" si="7"/>
        <v/>
      </c>
      <c r="AC29" s="31"/>
      <c r="AD29" s="40" t="str">
        <f t="shared" si="9"/>
        <v/>
      </c>
      <c r="AE29" s="19" t="s">
        <v>103</v>
      </c>
    </row>
    <row r="30" spans="1:31" ht="20" customHeight="1" x14ac:dyDescent="0.2">
      <c r="A30" s="130"/>
      <c r="B30" s="131"/>
      <c r="C30" s="75"/>
      <c r="D30" s="75"/>
      <c r="E30" s="76" t="s">
        <v>104</v>
      </c>
      <c r="F30" s="76" t="s">
        <v>105</v>
      </c>
      <c r="G30" s="75">
        <v>2015</v>
      </c>
      <c r="H30" s="81">
        <v>8</v>
      </c>
      <c r="I30" s="84" t="s">
        <v>106</v>
      </c>
      <c r="J30" s="64"/>
      <c r="K30" s="65">
        <v>255</v>
      </c>
      <c r="L30" s="112" t="str">
        <f t="shared" si="8"/>
        <v/>
      </c>
      <c r="M30" s="31"/>
      <c r="N30" s="40" t="str">
        <f t="shared" si="0"/>
        <v/>
      </c>
      <c r="O30" s="35"/>
      <c r="P30" s="40" t="str">
        <f t="shared" si="1"/>
        <v/>
      </c>
      <c r="Q30" s="31"/>
      <c r="R30" s="40" t="str">
        <f t="shared" si="2"/>
        <v/>
      </c>
      <c r="S30" s="31"/>
      <c r="T30" s="40" t="str">
        <f t="shared" si="3"/>
        <v/>
      </c>
      <c r="U30" s="31"/>
      <c r="V30" s="40" t="str">
        <f t="shared" si="4"/>
        <v/>
      </c>
      <c r="W30" s="31"/>
      <c r="X30" s="40" t="str">
        <f t="shared" si="5"/>
        <v/>
      </c>
      <c r="Y30" s="31"/>
      <c r="Z30" s="40" t="str">
        <f t="shared" si="6"/>
        <v/>
      </c>
      <c r="AA30" s="31"/>
      <c r="AB30" s="40" t="str">
        <f t="shared" si="7"/>
        <v/>
      </c>
      <c r="AC30" s="32"/>
      <c r="AD30" s="37" t="str">
        <f t="shared" si="9"/>
        <v/>
      </c>
      <c r="AE30" s="19" t="s">
        <v>107</v>
      </c>
    </row>
    <row r="31" spans="1:31" ht="20" customHeight="1" x14ac:dyDescent="0.2">
      <c r="A31" s="128"/>
      <c r="B31" s="132"/>
      <c r="C31" s="75"/>
      <c r="D31" s="75"/>
      <c r="E31" s="76" t="s">
        <v>108</v>
      </c>
      <c r="F31" s="76" t="s">
        <v>109</v>
      </c>
      <c r="G31" s="75">
        <v>1993</v>
      </c>
      <c r="H31" s="81">
        <v>56</v>
      </c>
      <c r="I31" s="84"/>
      <c r="J31" s="64">
        <v>43</v>
      </c>
      <c r="K31" s="65">
        <v>148</v>
      </c>
      <c r="L31" s="112">
        <f t="shared" si="8"/>
        <v>29.054054054054053</v>
      </c>
      <c r="M31" s="31">
        <v>1</v>
      </c>
      <c r="N31" s="40">
        <f t="shared" si="0"/>
        <v>0.67567567567567566</v>
      </c>
      <c r="O31" s="35">
        <v>11</v>
      </c>
      <c r="P31" s="40">
        <f t="shared" si="1"/>
        <v>7.4324324324324325</v>
      </c>
      <c r="Q31" s="31">
        <v>4</v>
      </c>
      <c r="R31" s="40">
        <f t="shared" si="2"/>
        <v>2.7027027027027026</v>
      </c>
      <c r="S31" s="31"/>
      <c r="T31" s="40" t="str">
        <f t="shared" si="3"/>
        <v/>
      </c>
      <c r="U31" s="31"/>
      <c r="V31" s="40" t="str">
        <f t="shared" si="4"/>
        <v/>
      </c>
      <c r="W31" s="31"/>
      <c r="X31" s="40" t="str">
        <f t="shared" si="5"/>
        <v/>
      </c>
      <c r="Y31" s="31"/>
      <c r="Z31" s="40" t="str">
        <f t="shared" si="6"/>
        <v/>
      </c>
      <c r="AA31" s="31">
        <v>15</v>
      </c>
      <c r="AB31" s="40">
        <f t="shared" si="7"/>
        <v>10.135135135135135</v>
      </c>
      <c r="AC31" s="31">
        <v>8</v>
      </c>
      <c r="AD31" s="40">
        <f t="shared" si="9"/>
        <v>5.4054054054054053</v>
      </c>
      <c r="AE31" s="19" t="s">
        <v>217</v>
      </c>
    </row>
    <row r="32" spans="1:31" ht="20" customHeight="1" x14ac:dyDescent="0.2">
      <c r="A32" s="128"/>
      <c r="B32" s="129"/>
      <c r="C32" s="75"/>
      <c r="D32" s="75"/>
      <c r="E32" s="76" t="s">
        <v>110</v>
      </c>
      <c r="F32" s="76" t="s">
        <v>111</v>
      </c>
      <c r="G32" s="75">
        <v>2009</v>
      </c>
      <c r="H32" s="81"/>
      <c r="I32" s="84" t="s">
        <v>112</v>
      </c>
      <c r="J32" s="64">
        <v>33</v>
      </c>
      <c r="K32" s="65">
        <v>170</v>
      </c>
      <c r="L32" s="112">
        <f t="shared" si="8"/>
        <v>19.411764705882355</v>
      </c>
      <c r="M32" s="31"/>
      <c r="N32" s="40" t="str">
        <f t="shared" si="0"/>
        <v/>
      </c>
      <c r="O32" s="35"/>
      <c r="P32" s="40" t="str">
        <f t="shared" si="1"/>
        <v/>
      </c>
      <c r="Q32" s="31"/>
      <c r="R32" s="40" t="str">
        <f t="shared" si="2"/>
        <v/>
      </c>
      <c r="S32" s="31"/>
      <c r="T32" s="40" t="str">
        <f t="shared" si="3"/>
        <v/>
      </c>
      <c r="U32" s="31"/>
      <c r="V32" s="40" t="str">
        <f t="shared" si="4"/>
        <v/>
      </c>
      <c r="W32" s="31"/>
      <c r="X32" s="40" t="str">
        <f t="shared" si="5"/>
        <v/>
      </c>
      <c r="Y32" s="31"/>
      <c r="Z32" s="40" t="str">
        <f t="shared" si="6"/>
        <v/>
      </c>
      <c r="AA32" s="31"/>
      <c r="AB32" s="40" t="str">
        <f t="shared" si="7"/>
        <v/>
      </c>
      <c r="AC32" s="31">
        <v>33</v>
      </c>
      <c r="AD32" s="40">
        <f t="shared" si="9"/>
        <v>19.411764705882355</v>
      </c>
      <c r="AE32" s="19" t="s">
        <v>270</v>
      </c>
    </row>
    <row r="33" spans="1:31" ht="20" customHeight="1" x14ac:dyDescent="0.2">
      <c r="A33" s="128"/>
      <c r="B33" s="76"/>
      <c r="C33" s="75"/>
      <c r="D33" s="75"/>
      <c r="E33" s="76" t="s">
        <v>210</v>
      </c>
      <c r="F33" s="76" t="s">
        <v>211</v>
      </c>
      <c r="G33" s="75">
        <v>2013</v>
      </c>
      <c r="H33" s="81">
        <v>8</v>
      </c>
      <c r="I33" s="84"/>
      <c r="J33" s="64">
        <v>14</v>
      </c>
      <c r="K33" s="65">
        <v>98</v>
      </c>
      <c r="L33" s="112">
        <f t="shared" si="8"/>
        <v>14.285714285714285</v>
      </c>
      <c r="M33" s="31"/>
      <c r="N33" s="40" t="str">
        <f t="shared" si="0"/>
        <v/>
      </c>
      <c r="O33" s="35"/>
      <c r="P33" s="40" t="str">
        <f t="shared" si="1"/>
        <v/>
      </c>
      <c r="Q33" s="31"/>
      <c r="R33" s="40" t="str">
        <f t="shared" si="2"/>
        <v/>
      </c>
      <c r="S33" s="31"/>
      <c r="T33" s="40" t="str">
        <f t="shared" si="3"/>
        <v/>
      </c>
      <c r="U33" s="31"/>
      <c r="V33" s="40" t="str">
        <f t="shared" si="4"/>
        <v/>
      </c>
      <c r="W33" s="31"/>
      <c r="X33" s="40"/>
      <c r="Y33" s="31"/>
      <c r="Z33" s="40" t="str">
        <f t="shared" si="6"/>
        <v/>
      </c>
      <c r="AA33" s="31"/>
      <c r="AB33" s="40" t="str">
        <f t="shared" si="7"/>
        <v/>
      </c>
      <c r="AC33" s="31">
        <v>14</v>
      </c>
      <c r="AD33" s="40">
        <f t="shared" si="9"/>
        <v>14.285714285714285</v>
      </c>
    </row>
    <row r="34" spans="1:31" ht="20" customHeight="1" x14ac:dyDescent="0.2">
      <c r="A34" s="128"/>
      <c r="B34" s="131"/>
      <c r="C34" s="75"/>
      <c r="D34" s="75"/>
      <c r="E34" s="76" t="s">
        <v>113</v>
      </c>
      <c r="F34" s="76" t="s">
        <v>114</v>
      </c>
      <c r="G34" s="75">
        <v>2008</v>
      </c>
      <c r="H34" s="81">
        <v>21</v>
      </c>
      <c r="I34" s="84" t="s">
        <v>115</v>
      </c>
      <c r="J34" s="64">
        <v>3</v>
      </c>
      <c r="K34" s="65">
        <v>111</v>
      </c>
      <c r="L34" s="112">
        <f t="shared" si="8"/>
        <v>2.7027027027027026</v>
      </c>
      <c r="M34" s="31"/>
      <c r="N34" s="40" t="str">
        <f t="shared" si="0"/>
        <v/>
      </c>
      <c r="O34" s="35"/>
      <c r="P34" s="40" t="str">
        <f t="shared" si="1"/>
        <v/>
      </c>
      <c r="Q34" s="31"/>
      <c r="R34" s="40" t="str">
        <f t="shared" si="2"/>
        <v/>
      </c>
      <c r="S34" s="31"/>
      <c r="T34" s="40" t="str">
        <f t="shared" si="3"/>
        <v/>
      </c>
      <c r="U34" s="31"/>
      <c r="V34" s="40" t="str">
        <f t="shared" si="4"/>
        <v/>
      </c>
      <c r="W34" s="31"/>
      <c r="X34" s="40" t="str">
        <f t="shared" ref="X34:X57" si="10">IF((ISERROR((W34/$K34)*100)), "", IF(AND(NOT(ISERROR((W34/$K34)*100)),((W34/$K34)*100) &lt;&gt; 0), (W34/$K34)*100, ""))</f>
        <v/>
      </c>
      <c r="Y34" s="31"/>
      <c r="Z34" s="40" t="str">
        <f t="shared" si="6"/>
        <v/>
      </c>
      <c r="AA34" s="31"/>
      <c r="AB34" s="40" t="str">
        <f t="shared" si="7"/>
        <v/>
      </c>
      <c r="AC34" s="31">
        <v>3</v>
      </c>
      <c r="AD34" s="40">
        <f t="shared" si="9"/>
        <v>2.7027027027027026</v>
      </c>
    </row>
    <row r="35" spans="1:31" ht="20" customHeight="1" x14ac:dyDescent="0.2">
      <c r="A35" s="128"/>
      <c r="B35" s="133"/>
      <c r="C35" s="75"/>
      <c r="D35" s="75"/>
      <c r="E35" s="76" t="s">
        <v>116</v>
      </c>
      <c r="F35" s="76" t="s">
        <v>117</v>
      </c>
      <c r="G35" s="75">
        <v>2005</v>
      </c>
      <c r="H35" s="81">
        <v>23</v>
      </c>
      <c r="I35" s="84"/>
      <c r="J35" s="64">
        <v>21</v>
      </c>
      <c r="K35" s="65">
        <v>174</v>
      </c>
      <c r="L35" s="112">
        <f t="shared" si="8"/>
        <v>12.068965517241379</v>
      </c>
      <c r="M35" s="31"/>
      <c r="N35" s="40" t="str">
        <f t="shared" si="0"/>
        <v/>
      </c>
      <c r="O35" s="35"/>
      <c r="P35" s="40" t="str">
        <f t="shared" si="1"/>
        <v/>
      </c>
      <c r="Q35" s="31"/>
      <c r="R35" s="40" t="str">
        <f t="shared" si="2"/>
        <v/>
      </c>
      <c r="S35" s="31"/>
      <c r="T35" s="40" t="str">
        <f t="shared" si="3"/>
        <v/>
      </c>
      <c r="U35" s="32"/>
      <c r="V35" s="32" t="str">
        <f t="shared" si="4"/>
        <v/>
      </c>
      <c r="W35" s="31"/>
      <c r="X35" s="40" t="str">
        <f t="shared" si="10"/>
        <v/>
      </c>
      <c r="Y35" s="32"/>
      <c r="Z35" s="32" t="str">
        <f t="shared" si="6"/>
        <v/>
      </c>
      <c r="AA35" s="32"/>
      <c r="AB35" s="32" t="str">
        <f t="shared" si="7"/>
        <v/>
      </c>
      <c r="AC35" s="32"/>
      <c r="AD35" s="32" t="str">
        <f t="shared" si="9"/>
        <v/>
      </c>
      <c r="AE35" s="19" t="s">
        <v>118</v>
      </c>
    </row>
    <row r="36" spans="1:31" ht="20" customHeight="1" x14ac:dyDescent="0.2">
      <c r="A36" s="128"/>
      <c r="B36" s="129"/>
      <c r="C36" s="75"/>
      <c r="D36" s="75"/>
      <c r="E36" s="76" t="s">
        <v>119</v>
      </c>
      <c r="F36" s="76" t="s">
        <v>120</v>
      </c>
      <c r="G36" s="75">
        <v>2015</v>
      </c>
      <c r="H36" s="81">
        <v>7</v>
      </c>
      <c r="I36" s="84" t="s">
        <v>115</v>
      </c>
      <c r="J36" s="64">
        <v>26</v>
      </c>
      <c r="K36" s="65">
        <v>388</v>
      </c>
      <c r="L36" s="112">
        <f t="shared" si="8"/>
        <v>6.7010309278350517</v>
      </c>
      <c r="M36" s="31"/>
      <c r="N36" s="40" t="str">
        <f t="shared" si="0"/>
        <v/>
      </c>
      <c r="O36" s="35"/>
      <c r="P36" s="40" t="str">
        <f t="shared" si="1"/>
        <v/>
      </c>
      <c r="Q36" s="31"/>
      <c r="R36" s="40" t="str">
        <f t="shared" si="2"/>
        <v/>
      </c>
      <c r="S36" s="31"/>
      <c r="T36" s="40" t="str">
        <f t="shared" si="3"/>
        <v/>
      </c>
      <c r="U36" s="31"/>
      <c r="V36" s="40" t="str">
        <f t="shared" si="4"/>
        <v/>
      </c>
      <c r="W36" s="31"/>
      <c r="X36" s="40" t="str">
        <f t="shared" si="10"/>
        <v/>
      </c>
      <c r="Y36" s="31"/>
      <c r="Z36" s="40" t="str">
        <f t="shared" si="6"/>
        <v/>
      </c>
      <c r="AA36" s="31"/>
      <c r="AB36" s="40" t="str">
        <f t="shared" si="7"/>
        <v/>
      </c>
      <c r="AC36" s="31">
        <v>10</v>
      </c>
      <c r="AD36" s="40">
        <f t="shared" si="9"/>
        <v>2.5773195876288657</v>
      </c>
    </row>
    <row r="37" spans="1:31" ht="20" customHeight="1" x14ac:dyDescent="0.2">
      <c r="A37" s="128"/>
      <c r="B37" s="132"/>
      <c r="C37" s="75"/>
      <c r="D37" s="75" t="s">
        <v>227</v>
      </c>
      <c r="E37" s="76" t="s">
        <v>121</v>
      </c>
      <c r="F37" s="76" t="s">
        <v>122</v>
      </c>
      <c r="G37" s="75">
        <v>2011</v>
      </c>
      <c r="H37" s="81">
        <v>12</v>
      </c>
      <c r="I37" s="84" t="s">
        <v>123</v>
      </c>
      <c r="J37" s="64"/>
      <c r="K37" s="65">
        <v>11</v>
      </c>
      <c r="L37" s="112" t="str">
        <f t="shared" si="8"/>
        <v/>
      </c>
      <c r="M37" s="31"/>
      <c r="N37" s="40" t="str">
        <f t="shared" si="0"/>
        <v/>
      </c>
      <c r="O37" s="35"/>
      <c r="P37" s="40" t="str">
        <f t="shared" si="1"/>
        <v/>
      </c>
      <c r="Q37" s="31"/>
      <c r="R37" s="40" t="str">
        <f t="shared" si="2"/>
        <v/>
      </c>
      <c r="S37" s="31"/>
      <c r="T37" s="40" t="str">
        <f t="shared" si="3"/>
        <v/>
      </c>
      <c r="U37" s="31"/>
      <c r="V37" s="40" t="str">
        <f t="shared" si="4"/>
        <v/>
      </c>
      <c r="W37" s="31"/>
      <c r="X37" s="40" t="str">
        <f t="shared" si="10"/>
        <v/>
      </c>
      <c r="Y37" s="31"/>
      <c r="Z37" s="40" t="str">
        <f t="shared" si="6"/>
        <v/>
      </c>
      <c r="AA37" s="31"/>
      <c r="AB37" s="40" t="str">
        <f t="shared" si="7"/>
        <v/>
      </c>
      <c r="AC37" s="31"/>
      <c r="AD37" s="40" t="str">
        <f t="shared" si="9"/>
        <v/>
      </c>
      <c r="AE37" s="19" t="s">
        <v>124</v>
      </c>
    </row>
    <row r="38" spans="1:31" ht="20" customHeight="1" x14ac:dyDescent="0.2">
      <c r="A38" s="128"/>
      <c r="B38" s="129"/>
      <c r="C38" s="75"/>
      <c r="D38" s="75"/>
      <c r="E38" s="76" t="s">
        <v>125</v>
      </c>
      <c r="F38" s="76" t="s">
        <v>126</v>
      </c>
      <c r="G38" s="75">
        <v>2017</v>
      </c>
      <c r="H38" s="81"/>
      <c r="I38" s="84" t="s">
        <v>112</v>
      </c>
      <c r="J38" s="64">
        <v>4</v>
      </c>
      <c r="K38" s="65">
        <v>124</v>
      </c>
      <c r="L38" s="112">
        <f t="shared" si="8"/>
        <v>3.225806451612903</v>
      </c>
      <c r="M38" s="31"/>
      <c r="N38" s="40" t="str">
        <f t="shared" si="0"/>
        <v/>
      </c>
      <c r="O38" s="35"/>
      <c r="P38" s="40" t="str">
        <f t="shared" si="1"/>
        <v/>
      </c>
      <c r="Q38" s="31"/>
      <c r="R38" s="40" t="str">
        <f t="shared" si="2"/>
        <v/>
      </c>
      <c r="S38" s="31"/>
      <c r="T38" s="40" t="str">
        <f t="shared" si="3"/>
        <v/>
      </c>
      <c r="U38" s="31"/>
      <c r="V38" s="40" t="str">
        <f t="shared" si="4"/>
        <v/>
      </c>
      <c r="W38" s="31"/>
      <c r="X38" s="40" t="str">
        <f t="shared" si="10"/>
        <v/>
      </c>
      <c r="Y38" s="31"/>
      <c r="Z38" s="40" t="str">
        <f t="shared" si="6"/>
        <v/>
      </c>
      <c r="AA38" s="31"/>
      <c r="AB38" s="40" t="str">
        <f t="shared" si="7"/>
        <v/>
      </c>
      <c r="AC38" s="31">
        <v>4</v>
      </c>
      <c r="AD38" s="40">
        <f t="shared" si="9"/>
        <v>3.225806451612903</v>
      </c>
    </row>
    <row r="39" spans="1:31" ht="20" customHeight="1" x14ac:dyDescent="0.2">
      <c r="A39" s="128"/>
      <c r="B39" s="133"/>
      <c r="C39" s="75"/>
      <c r="D39" s="75"/>
      <c r="E39" s="76" t="s">
        <v>127</v>
      </c>
      <c r="F39" s="76" t="s">
        <v>128</v>
      </c>
      <c r="G39" s="75">
        <v>2010</v>
      </c>
      <c r="H39" s="81">
        <v>61</v>
      </c>
      <c r="I39" s="84"/>
      <c r="J39" s="64"/>
      <c r="K39" s="65">
        <v>142</v>
      </c>
      <c r="L39" s="112" t="str">
        <f t="shared" si="8"/>
        <v/>
      </c>
      <c r="M39" s="31"/>
      <c r="N39" s="40" t="str">
        <f t="shared" si="0"/>
        <v/>
      </c>
      <c r="O39" s="35"/>
      <c r="P39" s="40" t="str">
        <f t="shared" si="1"/>
        <v/>
      </c>
      <c r="Q39" s="31"/>
      <c r="R39" s="40" t="str">
        <f t="shared" si="2"/>
        <v/>
      </c>
      <c r="S39" s="31"/>
      <c r="T39" s="40" t="str">
        <f t="shared" si="3"/>
        <v/>
      </c>
      <c r="U39" s="31"/>
      <c r="V39" s="40" t="str">
        <f t="shared" si="4"/>
        <v/>
      </c>
      <c r="W39" s="31"/>
      <c r="X39" s="40" t="str">
        <f t="shared" si="10"/>
        <v/>
      </c>
      <c r="Y39" s="31"/>
      <c r="Z39" s="40" t="str">
        <f t="shared" si="6"/>
        <v/>
      </c>
      <c r="AA39" s="31">
        <v>19</v>
      </c>
      <c r="AB39" s="40">
        <f t="shared" si="7"/>
        <v>13.380281690140844</v>
      </c>
      <c r="AC39" s="31"/>
      <c r="AD39" s="40" t="str">
        <f t="shared" si="9"/>
        <v/>
      </c>
      <c r="AE39" s="19" t="s">
        <v>182</v>
      </c>
    </row>
    <row r="40" spans="1:31" ht="20" customHeight="1" x14ac:dyDescent="0.2">
      <c r="A40" s="130"/>
      <c r="B40" s="131"/>
      <c r="C40" s="75"/>
      <c r="D40" s="75"/>
      <c r="E40" s="76" t="s">
        <v>165</v>
      </c>
      <c r="F40" s="76" t="s">
        <v>129</v>
      </c>
      <c r="G40" s="75">
        <v>2008</v>
      </c>
      <c r="H40" s="81">
        <v>78</v>
      </c>
      <c r="I40" s="84"/>
      <c r="J40" s="64"/>
      <c r="K40" s="65">
        <v>143</v>
      </c>
      <c r="L40" s="112" t="str">
        <f t="shared" si="8"/>
        <v/>
      </c>
      <c r="M40" s="31"/>
      <c r="N40" s="40" t="str">
        <f t="shared" si="0"/>
        <v/>
      </c>
      <c r="O40" s="35"/>
      <c r="P40" s="40" t="str">
        <f t="shared" si="1"/>
        <v/>
      </c>
      <c r="Q40" s="31"/>
      <c r="R40" s="40" t="str">
        <f t="shared" si="2"/>
        <v/>
      </c>
      <c r="S40" s="31"/>
      <c r="T40" s="40" t="str">
        <f t="shared" si="3"/>
        <v/>
      </c>
      <c r="U40" s="31"/>
      <c r="V40" s="40" t="str">
        <f t="shared" si="4"/>
        <v/>
      </c>
      <c r="W40" s="31"/>
      <c r="X40" s="40" t="str">
        <f t="shared" si="10"/>
        <v/>
      </c>
      <c r="Y40" s="31"/>
      <c r="Z40" s="40" t="str">
        <f t="shared" si="6"/>
        <v/>
      </c>
      <c r="AA40" s="31"/>
      <c r="AB40" s="40" t="str">
        <f t="shared" si="7"/>
        <v/>
      </c>
      <c r="AC40" s="31"/>
      <c r="AD40" s="40" t="str">
        <f t="shared" si="9"/>
        <v/>
      </c>
      <c r="AE40" s="22" t="s">
        <v>184</v>
      </c>
    </row>
    <row r="41" spans="1:31" ht="20" customHeight="1" x14ac:dyDescent="0.2">
      <c r="A41" s="130"/>
      <c r="B41" s="131"/>
      <c r="C41" s="75"/>
      <c r="D41" s="75"/>
      <c r="E41" s="76" t="s">
        <v>130</v>
      </c>
      <c r="F41" s="76" t="s">
        <v>131</v>
      </c>
      <c r="G41" s="75">
        <v>2017</v>
      </c>
      <c r="H41" s="81"/>
      <c r="I41" s="84"/>
      <c r="J41" s="64">
        <v>32</v>
      </c>
      <c r="K41" s="65">
        <v>150</v>
      </c>
      <c r="L41" s="112">
        <f t="shared" si="8"/>
        <v>21.333333333333336</v>
      </c>
      <c r="M41" s="31"/>
      <c r="N41" s="40" t="str">
        <f t="shared" si="0"/>
        <v/>
      </c>
      <c r="O41" s="35"/>
      <c r="P41" s="40" t="str">
        <f t="shared" si="1"/>
        <v/>
      </c>
      <c r="Q41" s="31"/>
      <c r="R41" s="40" t="str">
        <f t="shared" si="2"/>
        <v/>
      </c>
      <c r="S41" s="32"/>
      <c r="T41" s="32" t="str">
        <f t="shared" si="3"/>
        <v/>
      </c>
      <c r="U41" s="31"/>
      <c r="V41" s="40" t="str">
        <f t="shared" si="4"/>
        <v/>
      </c>
      <c r="W41" s="31"/>
      <c r="X41" s="40" t="str">
        <f t="shared" si="10"/>
        <v/>
      </c>
      <c r="Y41" s="31"/>
      <c r="Z41" s="40" t="str">
        <f t="shared" si="6"/>
        <v/>
      </c>
      <c r="AA41" s="31"/>
      <c r="AB41" s="40" t="str">
        <f t="shared" si="7"/>
        <v/>
      </c>
      <c r="AC41" s="31"/>
      <c r="AD41" s="40" t="str">
        <f t="shared" si="9"/>
        <v/>
      </c>
      <c r="AE41" s="22" t="s">
        <v>73</v>
      </c>
    </row>
    <row r="42" spans="1:31" ht="20" customHeight="1" x14ac:dyDescent="0.2">
      <c r="A42" s="128"/>
      <c r="B42" s="132"/>
      <c r="C42" s="75"/>
      <c r="D42" s="75"/>
      <c r="E42" s="76" t="s">
        <v>185</v>
      </c>
      <c r="F42" s="76" t="s">
        <v>186</v>
      </c>
      <c r="G42" s="75">
        <v>2006</v>
      </c>
      <c r="H42" s="81">
        <v>65</v>
      </c>
      <c r="I42" s="84"/>
      <c r="J42" s="64">
        <v>6</v>
      </c>
      <c r="K42" s="65">
        <v>9</v>
      </c>
      <c r="L42" s="112">
        <f t="shared" si="8"/>
        <v>66.666666666666657</v>
      </c>
      <c r="M42" s="31"/>
      <c r="N42" s="40" t="str">
        <f t="shared" si="0"/>
        <v/>
      </c>
      <c r="O42" s="35">
        <v>13</v>
      </c>
      <c r="P42" s="40">
        <f t="shared" si="1"/>
        <v>144.44444444444443</v>
      </c>
      <c r="Q42" s="31"/>
      <c r="R42" s="40" t="str">
        <f t="shared" si="2"/>
        <v/>
      </c>
      <c r="S42" s="31">
        <v>4</v>
      </c>
      <c r="T42" s="40">
        <f t="shared" si="3"/>
        <v>44.444444444444443</v>
      </c>
      <c r="U42" s="31"/>
      <c r="V42" s="40" t="str">
        <f t="shared" si="4"/>
        <v/>
      </c>
      <c r="W42" s="31"/>
      <c r="X42" s="40" t="str">
        <f t="shared" si="10"/>
        <v/>
      </c>
      <c r="Y42" s="31">
        <v>1</v>
      </c>
      <c r="Z42" s="40">
        <f t="shared" si="6"/>
        <v>11.111111111111111</v>
      </c>
      <c r="AA42" s="31">
        <v>1</v>
      </c>
      <c r="AB42" s="40">
        <f t="shared" si="7"/>
        <v>11.111111111111111</v>
      </c>
      <c r="AC42" s="31">
        <v>2</v>
      </c>
      <c r="AD42" s="40">
        <f t="shared" si="9"/>
        <v>22.222222222222221</v>
      </c>
      <c r="AE42" s="19" t="s">
        <v>220</v>
      </c>
    </row>
    <row r="43" spans="1:31" ht="20" customHeight="1" x14ac:dyDescent="0.2">
      <c r="A43" s="128"/>
      <c r="B43" s="132"/>
      <c r="C43" s="75"/>
      <c r="D43" s="75"/>
      <c r="E43" s="76" t="s">
        <v>132</v>
      </c>
      <c r="F43" s="76" t="s">
        <v>133</v>
      </c>
      <c r="G43" s="75">
        <v>2009</v>
      </c>
      <c r="H43" s="81">
        <v>31</v>
      </c>
      <c r="I43" s="84"/>
      <c r="J43" s="64">
        <v>196</v>
      </c>
      <c r="K43" s="65">
        <v>225</v>
      </c>
      <c r="L43" s="112">
        <f t="shared" si="8"/>
        <v>87.1111111111111</v>
      </c>
      <c r="M43" s="31">
        <v>66</v>
      </c>
      <c r="N43" s="40">
        <f t="shared" si="0"/>
        <v>29.333333333333332</v>
      </c>
      <c r="O43" s="35">
        <v>152</v>
      </c>
      <c r="P43" s="40">
        <f t="shared" si="1"/>
        <v>67.555555555555557</v>
      </c>
      <c r="Q43" s="31">
        <v>117</v>
      </c>
      <c r="R43" s="40">
        <f t="shared" si="2"/>
        <v>52</v>
      </c>
      <c r="S43" s="31"/>
      <c r="T43" s="40" t="str">
        <f t="shared" si="3"/>
        <v/>
      </c>
      <c r="U43" s="31">
        <v>66</v>
      </c>
      <c r="V43" s="40">
        <f t="shared" si="4"/>
        <v>29.333333333333332</v>
      </c>
      <c r="W43" s="31"/>
      <c r="X43" s="40" t="str">
        <f t="shared" si="10"/>
        <v/>
      </c>
      <c r="Y43" s="31"/>
      <c r="Z43" s="40" t="str">
        <f t="shared" si="6"/>
        <v/>
      </c>
      <c r="AA43" s="31">
        <v>65</v>
      </c>
      <c r="AB43" s="40">
        <f t="shared" si="7"/>
        <v>28.888888888888886</v>
      </c>
      <c r="AC43" s="31">
        <v>65</v>
      </c>
      <c r="AD43" s="40">
        <f t="shared" si="9"/>
        <v>28.888888888888886</v>
      </c>
      <c r="AE43" s="19" t="s">
        <v>222</v>
      </c>
    </row>
    <row r="44" spans="1:31" ht="20" customHeight="1" x14ac:dyDescent="0.2">
      <c r="A44" s="128"/>
      <c r="B44" s="132"/>
      <c r="C44" s="75"/>
      <c r="D44" s="75"/>
      <c r="E44" s="76" t="s">
        <v>135</v>
      </c>
      <c r="F44" s="76" t="s">
        <v>133</v>
      </c>
      <c r="G44" s="75">
        <v>2009</v>
      </c>
      <c r="H44" s="81">
        <v>6</v>
      </c>
      <c r="I44" s="84"/>
      <c r="J44" s="64">
        <v>58</v>
      </c>
      <c r="K44" s="65">
        <v>78</v>
      </c>
      <c r="L44" s="112">
        <f t="shared" si="8"/>
        <v>74.358974358974365</v>
      </c>
      <c r="M44" s="31">
        <v>17</v>
      </c>
      <c r="N44" s="40">
        <f t="shared" si="0"/>
        <v>21.794871794871796</v>
      </c>
      <c r="O44" s="35">
        <v>50</v>
      </c>
      <c r="P44" s="40">
        <f t="shared" si="1"/>
        <v>64.102564102564102</v>
      </c>
      <c r="Q44" s="31">
        <v>33</v>
      </c>
      <c r="R44" s="40">
        <f t="shared" si="2"/>
        <v>42.307692307692307</v>
      </c>
      <c r="S44" s="31"/>
      <c r="T44" s="40" t="str">
        <f t="shared" si="3"/>
        <v/>
      </c>
      <c r="U44" s="31">
        <v>25</v>
      </c>
      <c r="V44" s="40">
        <f t="shared" si="4"/>
        <v>32.051282051282051</v>
      </c>
      <c r="W44" s="31"/>
      <c r="X44" s="40" t="str">
        <f t="shared" si="10"/>
        <v/>
      </c>
      <c r="Y44" s="31"/>
      <c r="Z44" s="40" t="str">
        <f t="shared" si="6"/>
        <v/>
      </c>
      <c r="AA44" s="31">
        <v>34</v>
      </c>
      <c r="AB44" s="40">
        <f t="shared" si="7"/>
        <v>43.589743589743591</v>
      </c>
      <c r="AC44" s="31">
        <v>20</v>
      </c>
      <c r="AD44" s="40">
        <f t="shared" si="9"/>
        <v>25.641025641025639</v>
      </c>
      <c r="AE44" s="19" t="s">
        <v>219</v>
      </c>
    </row>
    <row r="45" spans="1:31" ht="20" customHeight="1" x14ac:dyDescent="0.2">
      <c r="A45" s="128"/>
      <c r="B45" s="133"/>
      <c r="C45" s="75"/>
      <c r="D45" s="75"/>
      <c r="E45" s="76" t="s">
        <v>137</v>
      </c>
      <c r="F45" s="76" t="s">
        <v>138</v>
      </c>
      <c r="G45" s="75">
        <v>1997</v>
      </c>
      <c r="H45" s="81">
        <v>94</v>
      </c>
      <c r="I45" s="84"/>
      <c r="J45" s="64">
        <v>262</v>
      </c>
      <c r="K45" s="65">
        <v>562</v>
      </c>
      <c r="L45" s="112">
        <f t="shared" si="8"/>
        <v>46.619217081850536</v>
      </c>
      <c r="M45" s="31"/>
      <c r="N45" s="40" t="str">
        <f t="shared" si="0"/>
        <v/>
      </c>
      <c r="O45" s="35"/>
      <c r="P45" s="40" t="str">
        <f t="shared" si="1"/>
        <v/>
      </c>
      <c r="Q45" s="31"/>
      <c r="R45" s="40" t="str">
        <f t="shared" si="2"/>
        <v/>
      </c>
      <c r="S45" s="31"/>
      <c r="T45" s="40" t="str">
        <f t="shared" si="3"/>
        <v/>
      </c>
      <c r="U45" s="31"/>
      <c r="V45" s="40" t="str">
        <f t="shared" si="4"/>
        <v/>
      </c>
      <c r="W45" s="31"/>
      <c r="X45" s="40" t="str">
        <f t="shared" si="10"/>
        <v/>
      </c>
      <c r="Y45" s="31"/>
      <c r="Z45" s="40" t="str">
        <f t="shared" si="6"/>
        <v/>
      </c>
      <c r="AA45" s="31"/>
      <c r="AB45" s="40" t="str">
        <f t="shared" si="7"/>
        <v/>
      </c>
      <c r="AC45" s="32"/>
      <c r="AD45" s="32" t="str">
        <f t="shared" si="9"/>
        <v/>
      </c>
    </row>
    <row r="46" spans="1:31" ht="20" customHeight="1" x14ac:dyDescent="0.2">
      <c r="A46" s="130"/>
      <c r="B46" s="131"/>
      <c r="C46" s="75"/>
      <c r="D46" s="75"/>
      <c r="E46" s="76" t="s">
        <v>277</v>
      </c>
      <c r="F46" s="76" t="s">
        <v>278</v>
      </c>
      <c r="G46" s="75">
        <v>1991</v>
      </c>
      <c r="H46" s="81"/>
      <c r="I46" s="84"/>
      <c r="J46" s="64"/>
      <c r="K46" s="65">
        <v>3</v>
      </c>
      <c r="L46" s="112"/>
      <c r="M46" s="31"/>
      <c r="N46" s="40"/>
      <c r="O46" s="35"/>
      <c r="P46" s="40"/>
      <c r="Q46" s="31"/>
      <c r="R46" s="40"/>
      <c r="S46" s="31"/>
      <c r="T46" s="40"/>
      <c r="U46" s="31"/>
      <c r="V46" s="40"/>
      <c r="W46" s="31"/>
      <c r="X46" s="40"/>
      <c r="Y46" s="31"/>
      <c r="Z46" s="40"/>
      <c r="AA46" s="31"/>
      <c r="AB46" s="40"/>
      <c r="AC46" s="31"/>
      <c r="AD46" s="40"/>
    </row>
    <row r="47" spans="1:31" ht="20" customHeight="1" x14ac:dyDescent="0.2">
      <c r="A47" s="128"/>
      <c r="B47" s="132"/>
      <c r="C47" s="75"/>
      <c r="D47" s="75"/>
      <c r="E47" s="76" t="s">
        <v>139</v>
      </c>
      <c r="F47" s="76" t="s">
        <v>140</v>
      </c>
      <c r="G47" s="75">
        <v>2009</v>
      </c>
      <c r="H47" s="81">
        <v>38</v>
      </c>
      <c r="I47" s="84"/>
      <c r="J47" s="64">
        <v>39</v>
      </c>
      <c r="K47" s="65">
        <v>100</v>
      </c>
      <c r="L47" s="112">
        <f t="shared" si="8"/>
        <v>39</v>
      </c>
      <c r="M47" s="31"/>
      <c r="N47" s="40" t="str">
        <f t="shared" si="0"/>
        <v/>
      </c>
      <c r="O47" s="35">
        <v>19</v>
      </c>
      <c r="P47" s="40">
        <f t="shared" si="1"/>
        <v>19</v>
      </c>
      <c r="Q47" s="31">
        <v>11</v>
      </c>
      <c r="R47" s="40">
        <f t="shared" si="2"/>
        <v>11</v>
      </c>
      <c r="S47" s="31">
        <v>7</v>
      </c>
      <c r="T47" s="40">
        <f t="shared" si="3"/>
        <v>7.0000000000000009</v>
      </c>
      <c r="U47" s="31">
        <v>7</v>
      </c>
      <c r="V47" s="40">
        <f t="shared" si="4"/>
        <v>7.0000000000000009</v>
      </c>
      <c r="W47" s="31"/>
      <c r="X47" s="40" t="str">
        <f t="shared" si="10"/>
        <v/>
      </c>
      <c r="Y47" s="31">
        <v>9</v>
      </c>
      <c r="Z47" s="40">
        <f t="shared" si="6"/>
        <v>9</v>
      </c>
      <c r="AA47" s="31"/>
      <c r="AB47" s="40" t="str">
        <f t="shared" si="7"/>
        <v/>
      </c>
      <c r="AC47" s="31">
        <v>2</v>
      </c>
      <c r="AD47" s="40">
        <f t="shared" si="9"/>
        <v>2</v>
      </c>
      <c r="AE47" s="19" t="s">
        <v>212</v>
      </c>
    </row>
    <row r="48" spans="1:31" ht="20" customHeight="1" x14ac:dyDescent="0.2">
      <c r="A48" s="128"/>
      <c r="B48" s="132"/>
      <c r="C48" s="75"/>
      <c r="D48" s="75"/>
      <c r="E48" s="76" t="s">
        <v>141</v>
      </c>
      <c r="F48" s="76" t="s">
        <v>142</v>
      </c>
      <c r="G48" s="75">
        <v>2006</v>
      </c>
      <c r="H48" s="81">
        <v>56</v>
      </c>
      <c r="I48" s="84"/>
      <c r="J48" s="64">
        <v>35</v>
      </c>
      <c r="K48" s="65">
        <v>500</v>
      </c>
      <c r="L48" s="112">
        <f t="shared" si="8"/>
        <v>7.0000000000000009</v>
      </c>
      <c r="M48" s="31"/>
      <c r="N48" s="40" t="str">
        <f t="shared" si="0"/>
        <v/>
      </c>
      <c r="O48" s="35">
        <v>9</v>
      </c>
      <c r="P48" s="40">
        <f t="shared" si="1"/>
        <v>1.7999999999999998</v>
      </c>
      <c r="Q48" s="31"/>
      <c r="R48" s="40" t="str">
        <f t="shared" si="2"/>
        <v/>
      </c>
      <c r="S48" s="31">
        <v>2</v>
      </c>
      <c r="T48" s="40">
        <f t="shared" si="3"/>
        <v>0.4</v>
      </c>
      <c r="U48" s="31">
        <v>1</v>
      </c>
      <c r="V48" s="40">
        <f t="shared" si="4"/>
        <v>0.2</v>
      </c>
      <c r="W48" s="31"/>
      <c r="X48" s="40" t="str">
        <f t="shared" si="10"/>
        <v/>
      </c>
      <c r="Y48" s="31"/>
      <c r="Z48" s="40" t="str">
        <f t="shared" si="6"/>
        <v/>
      </c>
      <c r="AA48" s="31">
        <v>1</v>
      </c>
      <c r="AB48" s="40">
        <f t="shared" si="7"/>
        <v>0.2</v>
      </c>
      <c r="AC48" s="31">
        <v>6</v>
      </c>
      <c r="AD48" s="40">
        <f t="shared" si="9"/>
        <v>1.2</v>
      </c>
      <c r="AE48" s="19" t="s">
        <v>280</v>
      </c>
    </row>
    <row r="49" spans="1:31" ht="20" customHeight="1" x14ac:dyDescent="0.2">
      <c r="A49" s="130"/>
      <c r="B49" s="129"/>
      <c r="C49" s="75"/>
      <c r="D49" s="75"/>
      <c r="E49" s="76" t="s">
        <v>143</v>
      </c>
      <c r="F49" s="76" t="s">
        <v>144</v>
      </c>
      <c r="G49" s="75">
        <v>2016</v>
      </c>
      <c r="H49" s="81">
        <v>2</v>
      </c>
      <c r="I49" s="84"/>
      <c r="J49" s="64">
        <v>3</v>
      </c>
      <c r="K49" s="65">
        <v>177</v>
      </c>
      <c r="L49" s="112">
        <f t="shared" si="8"/>
        <v>1.6949152542372881</v>
      </c>
      <c r="M49" s="31"/>
      <c r="N49" s="40" t="str">
        <f t="shared" si="0"/>
        <v/>
      </c>
      <c r="O49" s="35"/>
      <c r="P49" s="40" t="str">
        <f t="shared" si="1"/>
        <v/>
      </c>
      <c r="Q49" s="31"/>
      <c r="R49" s="40" t="str">
        <f t="shared" si="2"/>
        <v/>
      </c>
      <c r="S49" s="31"/>
      <c r="T49" s="40" t="str">
        <f t="shared" si="3"/>
        <v/>
      </c>
      <c r="U49" s="31"/>
      <c r="V49" s="40" t="str">
        <f t="shared" si="4"/>
        <v/>
      </c>
      <c r="W49" s="31"/>
      <c r="X49" s="40" t="str">
        <f t="shared" si="10"/>
        <v/>
      </c>
      <c r="Y49" s="31"/>
      <c r="Z49" s="40" t="str">
        <f t="shared" si="6"/>
        <v/>
      </c>
      <c r="AA49" s="31"/>
      <c r="AB49" s="40" t="str">
        <f t="shared" si="7"/>
        <v/>
      </c>
      <c r="AC49" s="31">
        <v>3</v>
      </c>
      <c r="AD49" s="40">
        <f t="shared" si="9"/>
        <v>1.6949152542372881</v>
      </c>
    </row>
    <row r="50" spans="1:31" ht="20" customHeight="1" x14ac:dyDescent="0.2">
      <c r="A50" s="128"/>
      <c r="B50" s="133"/>
      <c r="C50" s="75"/>
      <c r="D50" s="75"/>
      <c r="E50" s="76" t="s">
        <v>145</v>
      </c>
      <c r="F50" s="76" t="s">
        <v>146</v>
      </c>
      <c r="G50" s="75">
        <v>2009</v>
      </c>
      <c r="H50" s="81"/>
      <c r="I50" s="84" t="s">
        <v>191</v>
      </c>
      <c r="J50" s="64">
        <v>21</v>
      </c>
      <c r="K50" s="65">
        <v>293</v>
      </c>
      <c r="L50" s="112">
        <f t="shared" si="8"/>
        <v>7.1672354948805461</v>
      </c>
      <c r="M50" s="31"/>
      <c r="N50" s="40" t="str">
        <f t="shared" si="0"/>
        <v/>
      </c>
      <c r="O50" s="35"/>
      <c r="P50" s="40" t="str">
        <f t="shared" si="1"/>
        <v/>
      </c>
      <c r="Q50" s="31"/>
      <c r="R50" s="40" t="str">
        <f t="shared" si="2"/>
        <v/>
      </c>
      <c r="S50" s="31"/>
      <c r="T50" s="40" t="str">
        <f t="shared" si="3"/>
        <v/>
      </c>
      <c r="U50" s="31"/>
      <c r="V50" s="40" t="str">
        <f t="shared" si="4"/>
        <v/>
      </c>
      <c r="W50" s="31"/>
      <c r="X50" s="40" t="str">
        <f t="shared" si="10"/>
        <v/>
      </c>
      <c r="Y50" s="31">
        <v>1</v>
      </c>
      <c r="Z50" s="40">
        <f t="shared" si="6"/>
        <v>0.34129692832764508</v>
      </c>
      <c r="AA50" s="31">
        <v>5</v>
      </c>
      <c r="AB50" s="40">
        <f t="shared" si="7"/>
        <v>1.7064846416382253</v>
      </c>
      <c r="AC50" s="31">
        <v>6</v>
      </c>
      <c r="AD50" s="40">
        <f t="shared" si="9"/>
        <v>2.0477815699658701</v>
      </c>
    </row>
    <row r="51" spans="1:31" ht="20" customHeight="1" x14ac:dyDescent="0.2">
      <c r="A51" s="128"/>
      <c r="B51" s="129"/>
      <c r="C51" s="75"/>
      <c r="D51" s="75"/>
      <c r="E51" s="76" t="s">
        <v>147</v>
      </c>
      <c r="F51" s="76" t="s">
        <v>148</v>
      </c>
      <c r="G51" s="75">
        <v>2007</v>
      </c>
      <c r="H51" s="81">
        <v>34</v>
      </c>
      <c r="I51" s="84" t="s">
        <v>112</v>
      </c>
      <c r="J51" s="64">
        <v>7</v>
      </c>
      <c r="K51" s="65">
        <v>109</v>
      </c>
      <c r="L51" s="112">
        <f t="shared" si="8"/>
        <v>6.4220183486238538</v>
      </c>
      <c r="M51" s="31"/>
      <c r="N51" s="40" t="str">
        <f t="shared" si="0"/>
        <v/>
      </c>
      <c r="O51" s="35">
        <v>8</v>
      </c>
      <c r="P51" s="40">
        <f t="shared" si="1"/>
        <v>7.3394495412844041</v>
      </c>
      <c r="Q51" s="31"/>
      <c r="R51" s="40" t="str">
        <f t="shared" si="2"/>
        <v/>
      </c>
      <c r="S51" s="31"/>
      <c r="T51" s="40" t="str">
        <f t="shared" si="3"/>
        <v/>
      </c>
      <c r="U51" s="31"/>
      <c r="V51" s="40" t="str">
        <f t="shared" si="4"/>
        <v/>
      </c>
      <c r="W51" s="31">
        <v>1</v>
      </c>
      <c r="X51" s="40">
        <f t="shared" si="10"/>
        <v>0.91743119266055051</v>
      </c>
      <c r="Y51" s="31"/>
      <c r="Z51" s="40" t="str">
        <f t="shared" si="6"/>
        <v/>
      </c>
      <c r="AA51" s="31"/>
      <c r="AB51" s="40" t="str">
        <f t="shared" si="7"/>
        <v/>
      </c>
      <c r="AC51" s="31">
        <v>3</v>
      </c>
      <c r="AD51" s="40">
        <f t="shared" si="9"/>
        <v>2.7522935779816518</v>
      </c>
      <c r="AE51" s="19" t="s">
        <v>194</v>
      </c>
    </row>
    <row r="52" spans="1:31" ht="20" customHeight="1" x14ac:dyDescent="0.2">
      <c r="A52" s="128"/>
      <c r="B52" s="129"/>
      <c r="C52" s="75"/>
      <c r="D52" s="75"/>
      <c r="E52" s="76" t="s">
        <v>149</v>
      </c>
      <c r="F52" s="76" t="s">
        <v>150</v>
      </c>
      <c r="G52" s="75">
        <v>2010</v>
      </c>
      <c r="H52" s="81">
        <v>50</v>
      </c>
      <c r="I52" s="84"/>
      <c r="J52" s="64">
        <v>2</v>
      </c>
      <c r="K52" s="65">
        <v>56</v>
      </c>
      <c r="L52" s="112">
        <f t="shared" si="8"/>
        <v>3.5714285714285712</v>
      </c>
      <c r="M52" s="31"/>
      <c r="N52" s="40" t="str">
        <f t="shared" si="0"/>
        <v/>
      </c>
      <c r="O52" s="35"/>
      <c r="P52" s="40" t="str">
        <f t="shared" si="1"/>
        <v/>
      </c>
      <c r="Q52" s="31"/>
      <c r="R52" s="40" t="str">
        <f t="shared" si="2"/>
        <v/>
      </c>
      <c r="S52" s="31"/>
      <c r="T52" s="40" t="str">
        <f t="shared" si="3"/>
        <v/>
      </c>
      <c r="U52" s="31"/>
      <c r="V52" s="40" t="str">
        <f t="shared" si="4"/>
        <v/>
      </c>
      <c r="W52" s="31"/>
      <c r="X52" s="40" t="str">
        <f t="shared" si="10"/>
        <v/>
      </c>
      <c r="Y52" s="31"/>
      <c r="Z52" s="40" t="str">
        <f t="shared" si="6"/>
        <v/>
      </c>
      <c r="AA52" s="31"/>
      <c r="AB52" s="40" t="str">
        <f t="shared" si="7"/>
        <v/>
      </c>
      <c r="AC52" s="31">
        <v>2</v>
      </c>
      <c r="AD52" s="40">
        <f t="shared" si="9"/>
        <v>3.5714285714285712</v>
      </c>
    </row>
    <row r="53" spans="1:31" ht="20" customHeight="1" x14ac:dyDescent="0.2">
      <c r="A53" s="130"/>
      <c r="B53" s="131"/>
      <c r="C53" s="75"/>
      <c r="D53" s="75"/>
      <c r="E53" s="76" t="s">
        <v>151</v>
      </c>
      <c r="F53" s="76" t="s">
        <v>152</v>
      </c>
      <c r="G53" s="75">
        <v>2011</v>
      </c>
      <c r="H53" s="81">
        <v>33</v>
      </c>
      <c r="I53" s="84" t="s">
        <v>195</v>
      </c>
      <c r="J53" s="64">
        <v>39</v>
      </c>
      <c r="K53" s="65">
        <v>130</v>
      </c>
      <c r="L53" s="112">
        <f t="shared" si="8"/>
        <v>30</v>
      </c>
      <c r="M53" s="31"/>
      <c r="N53" s="40" t="str">
        <f t="shared" si="0"/>
        <v/>
      </c>
      <c r="O53" s="35"/>
      <c r="P53" s="40" t="str">
        <f t="shared" si="1"/>
        <v/>
      </c>
      <c r="Q53" s="31"/>
      <c r="R53" s="40" t="str">
        <f t="shared" si="2"/>
        <v/>
      </c>
      <c r="S53" s="31"/>
      <c r="T53" s="40" t="str">
        <f t="shared" si="3"/>
        <v/>
      </c>
      <c r="U53" s="31"/>
      <c r="V53" s="40" t="str">
        <f t="shared" si="4"/>
        <v/>
      </c>
      <c r="W53" s="31"/>
      <c r="X53" s="40" t="str">
        <f t="shared" si="10"/>
        <v/>
      </c>
      <c r="Y53" s="31"/>
      <c r="Z53" s="40" t="str">
        <f t="shared" si="6"/>
        <v/>
      </c>
      <c r="AA53" s="31"/>
      <c r="AB53" s="40" t="str">
        <f t="shared" si="7"/>
        <v/>
      </c>
      <c r="AC53" s="32"/>
      <c r="AD53" s="32" t="str">
        <f t="shared" si="9"/>
        <v/>
      </c>
      <c r="AE53" s="22" t="s">
        <v>196</v>
      </c>
    </row>
    <row r="54" spans="1:31" ht="20" customHeight="1" x14ac:dyDescent="0.2">
      <c r="A54" s="128"/>
      <c r="B54" s="133"/>
      <c r="C54" s="75"/>
      <c r="D54" s="75"/>
      <c r="E54" s="76" t="s">
        <v>153</v>
      </c>
      <c r="F54" s="76" t="s">
        <v>154</v>
      </c>
      <c r="G54" s="75">
        <v>2014</v>
      </c>
      <c r="H54" s="81">
        <v>9</v>
      </c>
      <c r="I54" s="84" t="s">
        <v>155</v>
      </c>
      <c r="J54" s="64">
        <v>58</v>
      </c>
      <c r="K54" s="65">
        <v>1109</v>
      </c>
      <c r="L54" s="112">
        <f t="shared" si="8"/>
        <v>5.2299368800721373</v>
      </c>
      <c r="M54" s="31"/>
      <c r="N54" s="40" t="str">
        <f t="shared" si="0"/>
        <v/>
      </c>
      <c r="O54" s="35"/>
      <c r="P54" s="40" t="str">
        <f t="shared" si="1"/>
        <v/>
      </c>
      <c r="Q54" s="31"/>
      <c r="R54" s="40" t="str">
        <f t="shared" si="2"/>
        <v/>
      </c>
      <c r="S54" s="31"/>
      <c r="T54" s="40" t="str">
        <f t="shared" si="3"/>
        <v/>
      </c>
      <c r="U54" s="31"/>
      <c r="V54" s="40" t="str">
        <f t="shared" si="4"/>
        <v/>
      </c>
      <c r="W54" s="31"/>
      <c r="X54" s="40" t="str">
        <f t="shared" si="10"/>
        <v/>
      </c>
      <c r="Y54" s="31"/>
      <c r="Z54" s="40" t="str">
        <f t="shared" si="6"/>
        <v/>
      </c>
      <c r="AA54" s="31"/>
      <c r="AB54" s="40" t="str">
        <f t="shared" si="7"/>
        <v/>
      </c>
      <c r="AC54" s="31">
        <v>21</v>
      </c>
      <c r="AD54" s="40">
        <f t="shared" si="9"/>
        <v>1.8935978358881875</v>
      </c>
      <c r="AE54" s="19" t="s">
        <v>156</v>
      </c>
    </row>
    <row r="55" spans="1:31" ht="20" customHeight="1" x14ac:dyDescent="0.2">
      <c r="A55" s="130"/>
      <c r="B55" s="131"/>
      <c r="C55" s="75"/>
      <c r="D55" s="75"/>
      <c r="E55" s="76" t="s">
        <v>157</v>
      </c>
      <c r="F55" s="76" t="s">
        <v>158</v>
      </c>
      <c r="G55" s="75">
        <v>2014</v>
      </c>
      <c r="H55" s="81">
        <v>4</v>
      </c>
      <c r="I55" s="84"/>
      <c r="J55" s="64">
        <v>98</v>
      </c>
      <c r="K55" s="65">
        <v>1109</v>
      </c>
      <c r="L55" s="112">
        <f t="shared" si="8"/>
        <v>8.8367899008115423</v>
      </c>
      <c r="M55" s="31"/>
      <c r="N55" s="40" t="str">
        <f t="shared" si="0"/>
        <v/>
      </c>
      <c r="O55" s="35"/>
      <c r="P55" s="40" t="str">
        <f t="shared" si="1"/>
        <v/>
      </c>
      <c r="Q55" s="31"/>
      <c r="R55" s="40" t="str">
        <f t="shared" si="2"/>
        <v/>
      </c>
      <c r="S55" s="31"/>
      <c r="T55" s="40" t="str">
        <f t="shared" si="3"/>
        <v/>
      </c>
      <c r="U55" s="31"/>
      <c r="V55" s="40" t="str">
        <f t="shared" si="4"/>
        <v/>
      </c>
      <c r="W55" s="31"/>
      <c r="X55" s="40" t="str">
        <f t="shared" si="10"/>
        <v/>
      </c>
      <c r="Y55" s="31"/>
      <c r="Z55" s="40" t="str">
        <f t="shared" si="6"/>
        <v/>
      </c>
      <c r="AA55" s="31"/>
      <c r="AB55" s="40" t="str">
        <f t="shared" si="7"/>
        <v/>
      </c>
      <c r="AC55" s="31">
        <v>99</v>
      </c>
      <c r="AD55" s="40">
        <f t="shared" si="9"/>
        <v>8.9269612263300271</v>
      </c>
      <c r="AE55" s="19" t="s">
        <v>159</v>
      </c>
    </row>
    <row r="56" spans="1:31" ht="20" customHeight="1" x14ac:dyDescent="0.2">
      <c r="A56" s="130"/>
      <c r="B56" s="129"/>
      <c r="C56" s="75"/>
      <c r="D56" s="75"/>
      <c r="E56" s="76" t="s">
        <v>160</v>
      </c>
      <c r="F56" s="76" t="s">
        <v>161</v>
      </c>
      <c r="G56" s="75">
        <v>2005</v>
      </c>
      <c r="H56" s="81">
        <v>36</v>
      </c>
      <c r="I56" s="84"/>
      <c r="J56" s="64">
        <v>11</v>
      </c>
      <c r="K56" s="65">
        <v>11</v>
      </c>
      <c r="L56" s="112">
        <f t="shared" si="8"/>
        <v>100</v>
      </c>
      <c r="M56" s="31"/>
      <c r="N56" s="40" t="str">
        <f t="shared" si="0"/>
        <v/>
      </c>
      <c r="O56" s="35"/>
      <c r="P56" s="40" t="str">
        <f t="shared" si="1"/>
        <v/>
      </c>
      <c r="Q56" s="31"/>
      <c r="R56" s="40" t="str">
        <f t="shared" si="2"/>
        <v/>
      </c>
      <c r="S56" s="31"/>
      <c r="T56" s="40" t="str">
        <f t="shared" si="3"/>
        <v/>
      </c>
      <c r="U56" s="31"/>
      <c r="V56" s="40" t="str">
        <f t="shared" si="4"/>
        <v/>
      </c>
      <c r="W56" s="31"/>
      <c r="X56" s="40" t="str">
        <f t="shared" si="10"/>
        <v/>
      </c>
      <c r="Y56" s="31"/>
      <c r="Z56" s="40" t="str">
        <f t="shared" si="6"/>
        <v/>
      </c>
      <c r="AA56" s="31"/>
      <c r="AB56" s="40" t="str">
        <f t="shared" si="7"/>
        <v/>
      </c>
      <c r="AC56" s="31">
        <v>11</v>
      </c>
      <c r="AD56" s="40">
        <f t="shared" si="9"/>
        <v>100</v>
      </c>
      <c r="AE56" s="22" t="s">
        <v>73</v>
      </c>
    </row>
    <row r="57" spans="1:31" ht="20" customHeight="1" thickBot="1" x14ac:dyDescent="0.25">
      <c r="A57" s="134"/>
      <c r="B57" s="135"/>
      <c r="C57" s="79"/>
      <c r="D57" s="79"/>
      <c r="E57" s="80" t="s">
        <v>162</v>
      </c>
      <c r="F57" s="80" t="s">
        <v>163</v>
      </c>
      <c r="G57" s="79">
        <v>2014</v>
      </c>
      <c r="H57" s="83"/>
      <c r="I57" s="86"/>
      <c r="J57" s="68"/>
      <c r="K57" s="69">
        <v>3</v>
      </c>
      <c r="L57" s="113" t="str">
        <f t="shared" si="8"/>
        <v/>
      </c>
      <c r="M57" s="33"/>
      <c r="N57" s="41" t="str">
        <f t="shared" si="0"/>
        <v/>
      </c>
      <c r="O57" s="36"/>
      <c r="P57" s="41" t="str">
        <f t="shared" si="1"/>
        <v/>
      </c>
      <c r="Q57" s="33"/>
      <c r="R57" s="41" t="str">
        <f t="shared" si="2"/>
        <v/>
      </c>
      <c r="S57" s="33"/>
      <c r="T57" s="41" t="str">
        <f t="shared" si="3"/>
        <v/>
      </c>
      <c r="U57" s="33"/>
      <c r="V57" s="41" t="str">
        <f t="shared" si="4"/>
        <v/>
      </c>
      <c r="W57" s="33"/>
      <c r="X57" s="41" t="str">
        <f t="shared" si="10"/>
        <v/>
      </c>
      <c r="Y57" s="33"/>
      <c r="Z57" s="41" t="str">
        <f t="shared" si="6"/>
        <v/>
      </c>
      <c r="AA57" s="33"/>
      <c r="AB57" s="41" t="str">
        <f t="shared" si="7"/>
        <v/>
      </c>
      <c r="AC57" s="33"/>
      <c r="AD57" s="34" t="str">
        <f t="shared" si="9"/>
        <v/>
      </c>
      <c r="AE57" s="22" t="s">
        <v>73</v>
      </c>
    </row>
    <row r="58" spans="1:31" x14ac:dyDescent="0.2">
      <c r="E58" s="149" t="s">
        <v>203</v>
      </c>
      <c r="F58" s="149"/>
      <c r="G58" s="149"/>
      <c r="H58" s="149"/>
      <c r="I58" s="149"/>
      <c r="J58" s="148"/>
      <c r="K58" s="60">
        <f>SUM(K14:K57) - (K27 + K29)</f>
        <v>8522</v>
      </c>
      <c r="L58" s="123" t="s">
        <v>198</v>
      </c>
      <c r="M58" s="47">
        <f>IF((SUM(M14:M57)&lt;&gt;0),SUMIF($K14:$K57, "&gt;0", M14:M57), "")</f>
        <v>85</v>
      </c>
      <c r="N58" s="59">
        <f>IF(ISERROR((M58/$K58)*100), "", IF(((M58/$K58)*100) &lt;&gt; 0, (M58/$K58)*100, ""))</f>
        <v>0.99741844637409061</v>
      </c>
      <c r="O58" s="47">
        <f>IF((SUM(O14:O57)&lt;&gt;0),SUMIF($K14:$K57, "&gt;0", O14:O57), "")</f>
        <v>335</v>
      </c>
      <c r="P58" s="59">
        <f>IF(ISERROR((O58/$K58)*100), "", IF(((O58/$K58)*100) &lt;&gt; 0, (O58/$K58)*100, ""))</f>
        <v>3.9310021121802396</v>
      </c>
      <c r="Q58" s="46">
        <f>IF((SUM(Q14:Q57)&lt;&gt;0),SUMIF($K14:$K57, "&gt;0", Q14:Q57), "")</f>
        <v>165</v>
      </c>
      <c r="R58" s="59">
        <f>IF(ISERROR((Q58/$K58)*100), "", IF(((Q58/$K58)*100) &lt;&gt; 0, (Q58/$K58)*100, ""))</f>
        <v>1.936165219432058</v>
      </c>
      <c r="S58" s="46">
        <f>IF((SUM(S14:S57)&lt;&gt;0),SUMIF($K14:$K57, "&gt;0", S14:S57), "")</f>
        <v>14</v>
      </c>
      <c r="T58" s="59">
        <f>IF(ISERROR((S58/$K58)*100), "", IF(((S58/$K58)*100) &lt;&gt; 0, (S58/$K58)*100, ""))</f>
        <v>0.16428068528514433</v>
      </c>
      <c r="U58" s="46">
        <f>IF((SUM(U14:U57)&lt;&gt;0),SUMIF($K14:$K57, "&gt;0", U14:U57), "")</f>
        <v>99</v>
      </c>
      <c r="V58" s="59">
        <f>IF(ISERROR((U58/$K58)*100), "", IF(((U58/$K58)*100) &lt;&gt; 0, (U58/$K58)*100, ""))</f>
        <v>1.1616991316592349</v>
      </c>
      <c r="W58" s="46">
        <f>IF((SUM(W14:W57)&lt;&gt;0),SUMIF($K14:$K57, "&gt;0", W14:W57), "")</f>
        <v>1</v>
      </c>
      <c r="X58" s="59">
        <f>IF(ISERROR((W58/$K58)*100), "", IF(((W58/$K58)*100) &lt;&gt; 0, (W58/$K58)*100, ""))</f>
        <v>1.1734334663224596E-2</v>
      </c>
      <c r="Y58" s="47">
        <f>IF((SUM(Y14:Y57)&lt;&gt;0),SUMIF($K14:$K57, "&gt;0", Y14:Y57), "")</f>
        <v>24</v>
      </c>
      <c r="Z58" s="59">
        <f>IF(ISERROR((Y58/$K58)*100), "", IF(((Y58/$K58)*100) &lt;&gt; 0, (Y58/$K58)*100, ""))</f>
        <v>0.28162403191739027</v>
      </c>
      <c r="AA58" s="46">
        <f>IF((SUM(AA14:AA57)&lt;&gt;0),SUMIF($K14:$K57, "&gt;0", AA14:AA57), "")</f>
        <v>141</v>
      </c>
      <c r="AB58" s="59">
        <f>IF(ISERROR((AA58/$K58)*100), "", IF(((AA58/$K58)*100) &lt;&gt; 0, (AA58/$K58)*100, ""))</f>
        <v>1.6545411875146681</v>
      </c>
      <c r="AC58" s="46">
        <f>IF((SUM(AC14:AC57)&lt;&gt;0),SUMIF($K14:$K57, "&gt;0", AC14:AC57), "")</f>
        <v>384</v>
      </c>
      <c r="AD58" s="59">
        <f>IF(ISERROR((AC58/$K58)*100), "", IF(((AC58/$K58)*100) &lt;&gt; 0, (AC58/$K58)*100, ""))</f>
        <v>4.5059845106782443</v>
      </c>
    </row>
    <row r="59" spans="1:31" ht="16" customHeight="1" x14ac:dyDescent="0.2">
      <c r="E59" s="149" t="s">
        <v>204</v>
      </c>
      <c r="F59" s="149"/>
      <c r="G59" s="149"/>
      <c r="H59" s="149"/>
      <c r="I59" s="149"/>
      <c r="J59" s="148"/>
      <c r="K59" s="88" t="s">
        <v>199</v>
      </c>
      <c r="L59" s="115" t="s">
        <v>198</v>
      </c>
      <c r="M59" s="48">
        <f>IF(SUMIF(M14:M57, "&gt;0", $K14:$K57) &gt; 0, SUMIF(M14:M57, "&gt;0", $K14:$K57), "")</f>
        <v>452</v>
      </c>
      <c r="N59" s="49">
        <f>M58/M59*100</f>
        <v>18.805309734513273</v>
      </c>
      <c r="O59" s="48">
        <f>IF(SUMIF(O14:O57, "&gt;0", $K14:$K57) &gt; 0, SUMIF(O14:O57, "&gt;0", $K14:$K57), "")</f>
        <v>1731</v>
      </c>
      <c r="P59" s="49">
        <f>O58/O59*100</f>
        <v>19.352975158867704</v>
      </c>
      <c r="Q59" s="44">
        <f>IF(SUMIF(Q14:Q57, "&gt;0", $K14:$K57) &gt; 0, SUMIF(Q14:Q57, "&gt;0", $K14:$K57), "")</f>
        <v>551</v>
      </c>
      <c r="R59" s="45">
        <f>Q58/Q59*100</f>
        <v>29.945553539019965</v>
      </c>
      <c r="S59" s="44">
        <f>IF(SUMIF(S14:S57, "&gt;0", $K14:$K57) &gt; 0, SUMIF(S14:S57, "&gt;0", $K14:$K57), "")</f>
        <v>1099</v>
      </c>
      <c r="T59" s="45">
        <f>S58/S59*100</f>
        <v>1.2738853503184715</v>
      </c>
      <c r="U59" s="44">
        <f>IF(SUMIF(U14:U57, "&gt;0", $K14:$K57) &gt; 0, SUMIF(U14:U57, "&gt;0", $K14:$K57), "")</f>
        <v>903</v>
      </c>
      <c r="V59" s="45">
        <f>U58/U59*100</f>
        <v>10.963455149501661</v>
      </c>
      <c r="W59" s="44">
        <f>IF(SUMIF(W14:W57, "&gt;0", $K14:$K57) &gt; 0, SUMIF(W14:W57, "&gt;0", $K14:$K57), "")</f>
        <v>109</v>
      </c>
      <c r="X59" s="45">
        <f>W58/W59*100</f>
        <v>0.91743119266055051</v>
      </c>
      <c r="Y59" s="48">
        <f>IF(SUMIF(Y14:Y57, "&gt;0", $K14:$K57) &gt; 0, SUMIF(Y14:Y57, "&gt;0", $K14:$K57), "")</f>
        <v>415</v>
      </c>
      <c r="Z59" s="49">
        <f>Y58/Y59*100</f>
        <v>5.7831325301204819</v>
      </c>
      <c r="AA59" s="44">
        <f>IF(SUMIF(AA14:AA57, "&gt;0", $K14:$K57) &gt; 0, SUMIF(AA14:AA57, "&gt;0", $K14:$K57), "")</f>
        <v>1885</v>
      </c>
      <c r="AB59" s="45">
        <f>AA58/AA59*100</f>
        <v>7.480106100795755</v>
      </c>
      <c r="AC59" s="44">
        <f>IF(SUMIF(AC14:AC57, "&gt;0", $K14:$K57) &gt; 0, SUMIF(AC14:AC57, "&gt;0", $K14:$K57), "")</f>
        <v>6690</v>
      </c>
      <c r="AD59" s="45">
        <f>AC58/AC59*100</f>
        <v>5.739910313901345</v>
      </c>
    </row>
    <row r="60" spans="1:31" ht="16" customHeight="1" thickBot="1" x14ac:dyDescent="0.25">
      <c r="F60" s="52"/>
      <c r="G60" s="52"/>
      <c r="H60" s="62"/>
      <c r="I60" s="62"/>
      <c r="J60" s="62"/>
      <c r="K60" s="227" t="s">
        <v>202</v>
      </c>
      <c r="L60" s="246"/>
      <c r="M60" s="165" t="s">
        <v>199</v>
      </c>
      <c r="N60" s="162" t="s">
        <v>198</v>
      </c>
      <c r="O60" s="206" t="s">
        <v>199</v>
      </c>
      <c r="P60" s="162" t="s">
        <v>198</v>
      </c>
      <c r="Q60" s="165" t="s">
        <v>199</v>
      </c>
      <c r="R60" s="162" t="s">
        <v>198</v>
      </c>
      <c r="S60" s="165" t="s">
        <v>199</v>
      </c>
      <c r="T60" s="162" t="s">
        <v>198</v>
      </c>
      <c r="U60" s="165" t="s">
        <v>199</v>
      </c>
      <c r="V60" s="162" t="s">
        <v>198</v>
      </c>
      <c r="W60" s="165" t="s">
        <v>199</v>
      </c>
      <c r="X60" s="162" t="s">
        <v>198</v>
      </c>
      <c r="Y60" s="165" t="s">
        <v>199</v>
      </c>
      <c r="Z60" s="162" t="s">
        <v>198</v>
      </c>
      <c r="AA60" s="165" t="s">
        <v>199</v>
      </c>
      <c r="AB60" s="162" t="s">
        <v>198</v>
      </c>
      <c r="AC60" s="165" t="s">
        <v>199</v>
      </c>
      <c r="AD60" s="168" t="s">
        <v>198</v>
      </c>
    </row>
    <row r="61" spans="1:31" ht="16" customHeight="1" x14ac:dyDescent="0.2">
      <c r="F61" s="232" t="s">
        <v>213</v>
      </c>
      <c r="G61" s="233"/>
      <c r="K61" s="228"/>
      <c r="L61" s="230"/>
      <c r="M61" s="166"/>
      <c r="N61" s="163"/>
      <c r="O61" s="207"/>
      <c r="P61" s="163"/>
      <c r="Q61" s="166"/>
      <c r="R61" s="163"/>
      <c r="S61" s="166"/>
      <c r="T61" s="163"/>
      <c r="U61" s="166"/>
      <c r="V61" s="163"/>
      <c r="W61" s="166"/>
      <c r="X61" s="163"/>
      <c r="Y61" s="166"/>
      <c r="Z61" s="163"/>
      <c r="AA61" s="166"/>
      <c r="AB61" s="163"/>
      <c r="AC61" s="166"/>
      <c r="AD61" s="169"/>
    </row>
    <row r="62" spans="1:31" x14ac:dyDescent="0.2">
      <c r="F62" s="234"/>
      <c r="G62" s="235"/>
      <c r="K62" s="228"/>
      <c r="L62" s="230"/>
      <c r="M62" s="166"/>
      <c r="N62" s="163"/>
      <c r="O62" s="207"/>
      <c r="P62" s="163"/>
      <c r="Q62" s="166"/>
      <c r="R62" s="163"/>
      <c r="S62" s="166"/>
      <c r="T62" s="163"/>
      <c r="U62" s="166"/>
      <c r="V62" s="163"/>
      <c r="W62" s="166"/>
      <c r="X62" s="163"/>
      <c r="Y62" s="166"/>
      <c r="Z62" s="163"/>
      <c r="AA62" s="166"/>
      <c r="AB62" s="163"/>
      <c r="AC62" s="166"/>
      <c r="AD62" s="169"/>
    </row>
    <row r="63" spans="1:31" x14ac:dyDescent="0.2">
      <c r="F63" s="234"/>
      <c r="G63" s="235"/>
      <c r="K63" s="228"/>
      <c r="L63" s="230"/>
      <c r="M63" s="256"/>
      <c r="N63" s="260"/>
      <c r="O63" s="261"/>
      <c r="P63" s="260"/>
      <c r="Q63" s="256"/>
      <c r="R63" s="260"/>
      <c r="S63" s="256"/>
      <c r="T63" s="260"/>
      <c r="U63" s="256"/>
      <c r="V63" s="260"/>
      <c r="W63" s="256"/>
      <c r="X63" s="260"/>
      <c r="Y63" s="256"/>
      <c r="Z63" s="260"/>
      <c r="AA63" s="256"/>
      <c r="AB63" s="260"/>
      <c r="AC63" s="256"/>
      <c r="AD63" s="257"/>
    </row>
    <row r="64" spans="1:31" ht="16" customHeight="1" x14ac:dyDescent="0.2">
      <c r="F64" s="234"/>
      <c r="G64" s="235"/>
      <c r="K64" s="228"/>
      <c r="L64" s="230"/>
      <c r="M64" s="191" t="s">
        <v>49</v>
      </c>
      <c r="N64" s="192"/>
      <c r="O64" s="209" t="s">
        <v>173</v>
      </c>
      <c r="P64" s="192"/>
      <c r="Q64" s="191" t="s">
        <v>200</v>
      </c>
      <c r="R64" s="192"/>
      <c r="S64" s="191" t="s">
        <v>197</v>
      </c>
      <c r="T64" s="192"/>
      <c r="U64" s="191" t="s">
        <v>55</v>
      </c>
      <c r="V64" s="192"/>
      <c r="W64" s="191" t="s">
        <v>48</v>
      </c>
      <c r="X64" s="192"/>
      <c r="Y64" s="191" t="s">
        <v>46</v>
      </c>
      <c r="Z64" s="192"/>
      <c r="AA64" s="191" t="s">
        <v>50</v>
      </c>
      <c r="AB64" s="192"/>
      <c r="AC64" s="191" t="s">
        <v>44</v>
      </c>
      <c r="AD64" s="192"/>
    </row>
    <row r="65" spans="1:52" x14ac:dyDescent="0.2">
      <c r="F65" s="234"/>
      <c r="G65" s="235"/>
      <c r="K65" s="228"/>
      <c r="L65" s="230"/>
      <c r="M65" s="191"/>
      <c r="N65" s="192"/>
      <c r="O65" s="209"/>
      <c r="P65" s="192"/>
      <c r="Q65" s="191"/>
      <c r="R65" s="192"/>
      <c r="S65" s="191"/>
      <c r="T65" s="192"/>
      <c r="U65" s="191"/>
      <c r="V65" s="192"/>
      <c r="W65" s="191"/>
      <c r="X65" s="192"/>
      <c r="Y65" s="191"/>
      <c r="Z65" s="192"/>
      <c r="AA65" s="191"/>
      <c r="AB65" s="192"/>
      <c r="AC65" s="191"/>
      <c r="AD65" s="192"/>
    </row>
    <row r="66" spans="1:52" ht="17" thickBot="1" x14ac:dyDescent="0.25">
      <c r="F66" s="236"/>
      <c r="G66" s="237"/>
      <c r="K66" s="228"/>
      <c r="L66" s="230"/>
      <c r="M66" s="204"/>
      <c r="N66" s="205"/>
      <c r="O66" s="211"/>
      <c r="P66" s="205"/>
      <c r="Q66" s="204"/>
      <c r="R66" s="205"/>
      <c r="S66" s="204"/>
      <c r="T66" s="205"/>
      <c r="U66" s="204"/>
      <c r="V66" s="205"/>
      <c r="W66" s="204"/>
      <c r="X66" s="205"/>
      <c r="Y66" s="204"/>
      <c r="Z66" s="205"/>
      <c r="AA66" s="204"/>
      <c r="AB66" s="205"/>
      <c r="AC66" s="204"/>
      <c r="AD66" s="205"/>
    </row>
    <row r="67" spans="1:52" ht="17" thickBot="1" x14ac:dyDescent="0.25">
      <c r="G67" s="19"/>
      <c r="K67" s="229"/>
      <c r="L67" s="231"/>
      <c r="M67" s="262" t="s">
        <v>239</v>
      </c>
      <c r="N67" s="263"/>
      <c r="O67" s="263"/>
      <c r="P67" s="263"/>
      <c r="Q67" s="263"/>
      <c r="R67" s="263"/>
      <c r="S67" s="263"/>
      <c r="T67" s="263"/>
      <c r="U67" s="263"/>
      <c r="V67" s="263"/>
      <c r="W67" s="263"/>
      <c r="X67" s="263"/>
      <c r="Y67" s="263"/>
      <c r="Z67" s="263"/>
      <c r="AA67" s="263"/>
      <c r="AB67" s="263"/>
      <c r="AC67" s="263"/>
      <c r="AD67" s="264"/>
    </row>
    <row r="69" spans="1:52" ht="17" thickBot="1" x14ac:dyDescent="0.25"/>
    <row r="70" spans="1:52" ht="16" customHeight="1" x14ac:dyDescent="0.2">
      <c r="E70" s="247" t="s">
        <v>242</v>
      </c>
    </row>
    <row r="71" spans="1:52" ht="16" customHeight="1" thickBot="1" x14ac:dyDescent="0.25">
      <c r="E71" s="248"/>
      <c r="F71" s="20"/>
      <c r="AE71" s="20"/>
      <c r="AF71" s="20"/>
      <c r="AG71" s="20"/>
      <c r="AH71" s="20"/>
      <c r="AI71" s="20"/>
      <c r="AJ71" s="20"/>
      <c r="AK71" s="20"/>
      <c r="AL71" s="20"/>
      <c r="AM71" s="20"/>
      <c r="AN71" s="20"/>
      <c r="AO71" s="20"/>
      <c r="AP71" s="20"/>
      <c r="AQ71" s="20"/>
      <c r="AR71" s="20"/>
      <c r="AS71" s="20"/>
      <c r="AT71" s="20"/>
      <c r="AU71" s="20"/>
      <c r="AV71" s="20"/>
      <c r="AW71" s="20"/>
      <c r="AX71" s="20"/>
      <c r="AY71" s="20"/>
      <c r="AZ71" s="20"/>
    </row>
    <row r="72" spans="1:52" ht="20" customHeight="1" x14ac:dyDescent="0.2">
      <c r="E72" s="249" t="s">
        <v>244</v>
      </c>
      <c r="F72" s="20"/>
      <c r="M72" s="251" t="s">
        <v>241</v>
      </c>
      <c r="N72" s="252"/>
      <c r="O72" s="252"/>
      <c r="P72" s="252"/>
      <c r="Q72" s="252"/>
      <c r="R72" s="252"/>
      <c r="S72" s="252"/>
      <c r="T72" s="252"/>
      <c r="U72" s="252"/>
      <c r="V72" s="252"/>
      <c r="W72" s="252"/>
      <c r="X72" s="252"/>
      <c r="Y72" s="252"/>
      <c r="Z72" s="252"/>
      <c r="AA72" s="252"/>
      <c r="AB72" s="252"/>
      <c r="AC72" s="252"/>
      <c r="AD72" s="252"/>
      <c r="AE72" s="252"/>
      <c r="AF72" s="252"/>
      <c r="AG72" s="252"/>
      <c r="AH72" s="253"/>
    </row>
    <row r="73" spans="1:52" ht="20" customHeight="1" thickBot="1" x14ac:dyDescent="0.25">
      <c r="E73" s="249"/>
      <c r="F73" s="20"/>
      <c r="M73" s="186" t="s">
        <v>240</v>
      </c>
      <c r="N73" s="187"/>
      <c r="O73" s="187"/>
      <c r="P73" s="187"/>
      <c r="Q73" s="187"/>
      <c r="R73" s="187"/>
      <c r="S73" s="187"/>
      <c r="T73" s="187"/>
      <c r="U73" s="187"/>
      <c r="V73" s="187"/>
      <c r="W73" s="187"/>
      <c r="X73" s="187"/>
      <c r="Y73" s="187"/>
      <c r="Z73" s="187"/>
      <c r="AA73" s="187"/>
      <c r="AB73" s="187"/>
      <c r="AC73" s="187"/>
      <c r="AD73" s="187"/>
      <c r="AE73" s="187"/>
      <c r="AF73" s="187"/>
      <c r="AG73" s="187"/>
      <c r="AH73" s="188"/>
    </row>
    <row r="74" spans="1:52" ht="20" customHeight="1" x14ac:dyDescent="0.2">
      <c r="B74" s="55"/>
      <c r="E74" s="249"/>
      <c r="F74" s="20"/>
      <c r="M74" s="189" t="s">
        <v>51</v>
      </c>
      <c r="N74" s="190"/>
      <c r="O74" s="189" t="s">
        <v>201</v>
      </c>
      <c r="P74" s="190"/>
      <c r="Q74" s="189" t="s">
        <v>52</v>
      </c>
      <c r="R74" s="190"/>
      <c r="S74" s="189" t="s">
        <v>56</v>
      </c>
      <c r="T74" s="190"/>
      <c r="U74" s="195" t="s">
        <v>45</v>
      </c>
      <c r="V74" s="196"/>
      <c r="W74" s="189" t="s">
        <v>57</v>
      </c>
      <c r="X74" s="190"/>
      <c r="Y74" s="189" t="s">
        <v>60</v>
      </c>
      <c r="Z74" s="190"/>
      <c r="AA74" s="189" t="s">
        <v>216</v>
      </c>
      <c r="AB74" s="190"/>
      <c r="AC74" s="189" t="s">
        <v>59</v>
      </c>
      <c r="AD74" s="190"/>
      <c r="AE74" s="189" t="s">
        <v>61</v>
      </c>
      <c r="AF74" s="190"/>
      <c r="AG74" s="189" t="s">
        <v>53</v>
      </c>
      <c r="AH74" s="190"/>
    </row>
    <row r="75" spans="1:52" ht="20" customHeight="1" thickBot="1" x14ac:dyDescent="0.25">
      <c r="A75" s="27"/>
      <c r="B75" s="29"/>
      <c r="E75" s="250"/>
      <c r="M75" s="191"/>
      <c r="N75" s="192"/>
      <c r="O75" s="191"/>
      <c r="P75" s="192"/>
      <c r="Q75" s="191"/>
      <c r="R75" s="192"/>
      <c r="S75" s="191"/>
      <c r="T75" s="192"/>
      <c r="U75" s="197"/>
      <c r="V75" s="198"/>
      <c r="W75" s="191"/>
      <c r="X75" s="192"/>
      <c r="Y75" s="191"/>
      <c r="Z75" s="192"/>
      <c r="AA75" s="191"/>
      <c r="AB75" s="192"/>
      <c r="AC75" s="191"/>
      <c r="AD75" s="192"/>
      <c r="AE75" s="191"/>
      <c r="AF75" s="192"/>
      <c r="AG75" s="191"/>
      <c r="AH75" s="192"/>
    </row>
    <row r="76" spans="1:52" ht="20" customHeight="1" thickBot="1" x14ac:dyDescent="0.25">
      <c r="A76" s="28"/>
      <c r="B76" s="54"/>
      <c r="H76" s="19"/>
      <c r="I76" s="19"/>
      <c r="J76" s="19"/>
      <c r="K76" s="19"/>
      <c r="L76" s="111"/>
      <c r="M76" s="193"/>
      <c r="N76" s="194"/>
      <c r="O76" s="193"/>
      <c r="P76" s="194"/>
      <c r="Q76" s="193"/>
      <c r="R76" s="194"/>
      <c r="S76" s="193"/>
      <c r="T76" s="194"/>
      <c r="U76" s="199"/>
      <c r="V76" s="200"/>
      <c r="W76" s="193"/>
      <c r="X76" s="194"/>
      <c r="Y76" s="193"/>
      <c r="Z76" s="194"/>
      <c r="AA76" s="193"/>
      <c r="AB76" s="194"/>
      <c r="AC76" s="193"/>
      <c r="AD76" s="194"/>
      <c r="AE76" s="193"/>
      <c r="AF76" s="194"/>
      <c r="AG76" s="193"/>
      <c r="AH76" s="194"/>
    </row>
    <row r="77" spans="1:52" ht="20" customHeight="1" x14ac:dyDescent="0.2">
      <c r="A77" s="241" t="s">
        <v>190</v>
      </c>
      <c r="B77" s="224" t="s">
        <v>215</v>
      </c>
      <c r="C77" s="153" t="s">
        <v>63</v>
      </c>
      <c r="D77" s="153" t="s">
        <v>226</v>
      </c>
      <c r="E77" s="150" t="s">
        <v>64</v>
      </c>
      <c r="F77" s="150" t="s">
        <v>65</v>
      </c>
      <c r="G77" s="153" t="s">
        <v>66</v>
      </c>
      <c r="H77" s="180" t="s">
        <v>42</v>
      </c>
      <c r="I77" s="159" t="s">
        <v>43</v>
      </c>
      <c r="J77" s="156" t="s">
        <v>223</v>
      </c>
      <c r="K77" s="174" t="s">
        <v>224</v>
      </c>
      <c r="L77" s="177" t="s">
        <v>225</v>
      </c>
      <c r="M77" s="165" t="s">
        <v>199</v>
      </c>
      <c r="N77" s="162" t="s">
        <v>198</v>
      </c>
      <c r="O77" s="165" t="s">
        <v>199</v>
      </c>
      <c r="P77" s="162" t="s">
        <v>198</v>
      </c>
      <c r="Q77" s="165" t="s">
        <v>199</v>
      </c>
      <c r="R77" s="162" t="s">
        <v>198</v>
      </c>
      <c r="S77" s="165" t="s">
        <v>199</v>
      </c>
      <c r="T77" s="162" t="s">
        <v>198</v>
      </c>
      <c r="U77" s="165" t="s">
        <v>199</v>
      </c>
      <c r="V77" s="162" t="s">
        <v>198</v>
      </c>
      <c r="W77" s="165" t="s">
        <v>199</v>
      </c>
      <c r="X77" s="162" t="s">
        <v>198</v>
      </c>
      <c r="Y77" s="165" t="s">
        <v>199</v>
      </c>
      <c r="Z77" s="162" t="s">
        <v>198</v>
      </c>
      <c r="AA77" s="165" t="s">
        <v>199</v>
      </c>
      <c r="AB77" s="162" t="s">
        <v>198</v>
      </c>
      <c r="AC77" s="165" t="s">
        <v>199</v>
      </c>
      <c r="AD77" s="162" t="s">
        <v>198</v>
      </c>
      <c r="AE77" s="165" t="s">
        <v>199</v>
      </c>
      <c r="AF77" s="162" t="s">
        <v>198</v>
      </c>
      <c r="AG77" s="165" t="s">
        <v>199</v>
      </c>
      <c r="AH77" s="162" t="s">
        <v>198</v>
      </c>
    </row>
    <row r="78" spans="1:52" ht="20" customHeight="1" x14ac:dyDescent="0.2">
      <c r="A78" s="242"/>
      <c r="B78" s="225"/>
      <c r="C78" s="154"/>
      <c r="D78" s="154"/>
      <c r="E78" s="151"/>
      <c r="F78" s="151"/>
      <c r="G78" s="154"/>
      <c r="H78" s="181"/>
      <c r="I78" s="160"/>
      <c r="J78" s="157"/>
      <c r="K78" s="175"/>
      <c r="L78" s="178"/>
      <c r="M78" s="166"/>
      <c r="N78" s="163"/>
      <c r="O78" s="166"/>
      <c r="P78" s="163"/>
      <c r="Q78" s="166"/>
      <c r="R78" s="163"/>
      <c r="S78" s="166"/>
      <c r="T78" s="163"/>
      <c r="U78" s="166"/>
      <c r="V78" s="163"/>
      <c r="W78" s="166"/>
      <c r="X78" s="163"/>
      <c r="Y78" s="166"/>
      <c r="Z78" s="163"/>
      <c r="AA78" s="166"/>
      <c r="AB78" s="163"/>
      <c r="AC78" s="166"/>
      <c r="AD78" s="163"/>
      <c r="AE78" s="166"/>
      <c r="AF78" s="163"/>
      <c r="AG78" s="166"/>
      <c r="AH78" s="163"/>
    </row>
    <row r="79" spans="1:52" ht="20" customHeight="1" x14ac:dyDescent="0.2">
      <c r="A79" s="242"/>
      <c r="B79" s="225"/>
      <c r="C79" s="154"/>
      <c r="D79" s="154"/>
      <c r="E79" s="151"/>
      <c r="F79" s="151"/>
      <c r="G79" s="154"/>
      <c r="H79" s="181"/>
      <c r="I79" s="160"/>
      <c r="J79" s="157"/>
      <c r="K79" s="175"/>
      <c r="L79" s="178"/>
      <c r="M79" s="166"/>
      <c r="N79" s="163"/>
      <c r="O79" s="166"/>
      <c r="P79" s="163"/>
      <c r="Q79" s="166"/>
      <c r="R79" s="163"/>
      <c r="S79" s="166"/>
      <c r="T79" s="163"/>
      <c r="U79" s="166"/>
      <c r="V79" s="163"/>
      <c r="W79" s="166"/>
      <c r="X79" s="163"/>
      <c r="Y79" s="166"/>
      <c r="Z79" s="163"/>
      <c r="AA79" s="166"/>
      <c r="AB79" s="163"/>
      <c r="AC79" s="166"/>
      <c r="AD79" s="163"/>
      <c r="AE79" s="166"/>
      <c r="AF79" s="163"/>
      <c r="AG79" s="166"/>
      <c r="AH79" s="163"/>
    </row>
    <row r="80" spans="1:52" ht="20" customHeight="1" x14ac:dyDescent="0.2">
      <c r="A80" s="242"/>
      <c r="B80" s="225"/>
      <c r="C80" s="154"/>
      <c r="D80" s="154"/>
      <c r="E80" s="151"/>
      <c r="F80" s="151"/>
      <c r="G80" s="154"/>
      <c r="H80" s="181"/>
      <c r="I80" s="160"/>
      <c r="J80" s="157"/>
      <c r="K80" s="175"/>
      <c r="L80" s="178"/>
      <c r="M80" s="166"/>
      <c r="N80" s="163"/>
      <c r="O80" s="166"/>
      <c r="P80" s="163"/>
      <c r="Q80" s="166"/>
      <c r="R80" s="163"/>
      <c r="S80" s="166"/>
      <c r="T80" s="163"/>
      <c r="U80" s="166"/>
      <c r="V80" s="163"/>
      <c r="W80" s="166"/>
      <c r="X80" s="163"/>
      <c r="Y80" s="166"/>
      <c r="Z80" s="163"/>
      <c r="AA80" s="166"/>
      <c r="AB80" s="163"/>
      <c r="AC80" s="166"/>
      <c r="AD80" s="163"/>
      <c r="AE80" s="166"/>
      <c r="AF80" s="163"/>
      <c r="AG80" s="166"/>
      <c r="AH80" s="163"/>
      <c r="AI80" s="89"/>
      <c r="AJ80" s="70"/>
      <c r="AK80" s="70"/>
      <c r="AL80" s="70"/>
      <c r="AM80" s="70"/>
      <c r="AN80" s="70"/>
      <c r="AO80" s="70"/>
      <c r="AP80" s="70"/>
      <c r="AQ80" s="70"/>
      <c r="AR80" s="70"/>
      <c r="AS80" s="70"/>
      <c r="AT80" s="70"/>
    </row>
    <row r="81" spans="1:46" ht="20" customHeight="1" thickBot="1" x14ac:dyDescent="0.25">
      <c r="A81" s="243"/>
      <c r="B81" s="226"/>
      <c r="C81" s="155"/>
      <c r="D81" s="155"/>
      <c r="E81" s="152"/>
      <c r="F81" s="152"/>
      <c r="G81" s="155"/>
      <c r="H81" s="182"/>
      <c r="I81" s="161"/>
      <c r="J81" s="158"/>
      <c r="K81" s="176"/>
      <c r="L81" s="179"/>
      <c r="M81" s="255"/>
      <c r="N81" s="254"/>
      <c r="O81" s="255"/>
      <c r="P81" s="254"/>
      <c r="Q81" s="255"/>
      <c r="R81" s="254"/>
      <c r="S81" s="255"/>
      <c r="T81" s="254"/>
      <c r="U81" s="255"/>
      <c r="V81" s="254"/>
      <c r="W81" s="255"/>
      <c r="X81" s="254"/>
      <c r="Y81" s="255"/>
      <c r="Z81" s="254"/>
      <c r="AA81" s="255"/>
      <c r="AB81" s="254"/>
      <c r="AC81" s="255"/>
      <c r="AD81" s="254"/>
      <c r="AE81" s="255"/>
      <c r="AF81" s="254"/>
      <c r="AG81" s="255"/>
      <c r="AH81" s="254"/>
      <c r="AI81" s="74" t="s">
        <v>67</v>
      </c>
      <c r="AJ81" s="70"/>
      <c r="AK81" s="70"/>
      <c r="AL81" s="70"/>
      <c r="AM81" s="70"/>
      <c r="AN81" s="70"/>
      <c r="AO81" s="70"/>
      <c r="AP81" s="70"/>
      <c r="AQ81" s="70"/>
      <c r="AR81" s="70"/>
      <c r="AS81" s="70"/>
      <c r="AT81" s="70"/>
    </row>
    <row r="82" spans="1:46" ht="20" customHeight="1" x14ac:dyDescent="0.2">
      <c r="A82" s="126"/>
      <c r="B82" s="127"/>
      <c r="C82" s="116" t="s">
        <v>207</v>
      </c>
      <c r="D82" s="116" t="s">
        <v>247</v>
      </c>
      <c r="E82" s="117" t="s">
        <v>245</v>
      </c>
      <c r="F82" s="117" t="s">
        <v>246</v>
      </c>
      <c r="G82" s="116">
        <v>2013</v>
      </c>
      <c r="H82" s="118"/>
      <c r="I82" s="84"/>
      <c r="J82" s="64">
        <v>10</v>
      </c>
      <c r="K82" s="65">
        <v>490</v>
      </c>
      <c r="L82" s="112">
        <f>IF(AND(NOT(ISERROR(J82/K82*100)), J82&lt;&gt;""), J82/K82*100, "")</f>
        <v>2.0408163265306123</v>
      </c>
      <c r="M82" s="120"/>
      <c r="N82" s="121" t="str">
        <f t="shared" ref="N82:AH125" si="11">IF((ISERROR((M82/$K82)*100)), "", IF(AND(NOT(ISERROR((M82/$K82)*100)),((M82/$K82)*100) &lt;&gt; 0), (M82/$K82)*100, ""))</f>
        <v/>
      </c>
      <c r="O82" s="120">
        <v>1</v>
      </c>
      <c r="P82" s="121">
        <f t="shared" si="11"/>
        <v>0.20408163265306123</v>
      </c>
      <c r="Q82" s="120">
        <v>1</v>
      </c>
      <c r="R82" s="121">
        <f t="shared" si="11"/>
        <v>0.20408163265306123</v>
      </c>
      <c r="S82" s="120"/>
      <c r="T82" s="121" t="str">
        <f t="shared" si="11"/>
        <v/>
      </c>
      <c r="U82" s="120"/>
      <c r="V82" s="121" t="str">
        <f t="shared" si="11"/>
        <v/>
      </c>
      <c r="W82" s="120"/>
      <c r="X82" s="121" t="str">
        <f t="shared" si="11"/>
        <v/>
      </c>
      <c r="Y82" s="120">
        <v>2</v>
      </c>
      <c r="Z82" s="121">
        <f t="shared" si="11"/>
        <v>0.40816326530612246</v>
      </c>
      <c r="AA82" s="120"/>
      <c r="AB82" s="121" t="str">
        <f t="shared" si="11"/>
        <v/>
      </c>
      <c r="AC82" s="120">
        <v>1</v>
      </c>
      <c r="AD82" s="121">
        <f t="shared" si="11"/>
        <v>0.20408163265306123</v>
      </c>
      <c r="AE82" s="120"/>
      <c r="AF82" s="121" t="str">
        <f t="shared" si="11"/>
        <v/>
      </c>
      <c r="AG82" s="120"/>
      <c r="AH82" s="121" t="str">
        <f t="shared" si="11"/>
        <v/>
      </c>
      <c r="AI82" s="70" t="s">
        <v>249</v>
      </c>
      <c r="AJ82" s="70"/>
      <c r="AK82" s="70"/>
      <c r="AL82" s="70"/>
      <c r="AM82" s="70"/>
      <c r="AN82" s="70"/>
      <c r="AO82" s="70"/>
      <c r="AP82" s="70"/>
      <c r="AQ82" s="70"/>
      <c r="AR82" s="70"/>
      <c r="AS82" s="70"/>
      <c r="AT82" s="70"/>
    </row>
    <row r="83" spans="1:46" ht="20" customHeight="1" x14ac:dyDescent="0.2">
      <c r="A83" s="128"/>
      <c r="B83" s="129"/>
      <c r="C83" s="75" t="s">
        <v>207</v>
      </c>
      <c r="D83" s="75"/>
      <c r="E83" s="76" t="s">
        <v>68</v>
      </c>
      <c r="F83" s="76" t="s">
        <v>69</v>
      </c>
      <c r="G83" s="75">
        <v>2015</v>
      </c>
      <c r="H83" s="81">
        <v>3</v>
      </c>
      <c r="I83" s="84" t="s">
        <v>70</v>
      </c>
      <c r="J83" s="64">
        <v>14</v>
      </c>
      <c r="K83" s="65">
        <v>100</v>
      </c>
      <c r="L83" s="112">
        <f>IF(AND(NOT(ISERROR(J83/K83*100)), J83&lt;&gt;""), J83/K83*100, "")</f>
        <v>14.000000000000002</v>
      </c>
      <c r="M83" s="31"/>
      <c r="N83" s="40" t="str">
        <f t="shared" si="11"/>
        <v/>
      </c>
      <c r="O83" s="31"/>
      <c r="P83" s="40" t="str">
        <f t="shared" ref="P83:P100" si="12">IF((ISERROR((O83/$K83)*100)), "", IF(AND(NOT(ISERROR((O83/$K83)*100)),((O83/$K83)*100) &lt;&gt; 0), (O83/$K83)*100, ""))</f>
        <v/>
      </c>
      <c r="Q83" s="31"/>
      <c r="R83" s="40" t="str">
        <f t="shared" ref="R83:R125" si="13">IF((ISERROR((Q83/$K83)*100)), "", IF(AND(NOT(ISERROR((Q83/$K83)*100)),((Q83/$K83)*100) &lt;&gt; 0), (Q83/$K83)*100, ""))</f>
        <v/>
      </c>
      <c r="S83" s="31"/>
      <c r="T83" s="40" t="str">
        <f t="shared" ref="T83:T125" si="14">IF((ISERROR((S83/$K83)*100)), "", IF(AND(NOT(ISERROR((S83/$K83)*100)),((S83/$K83)*100) &lt;&gt; 0), (S83/$K83)*100, ""))</f>
        <v/>
      </c>
      <c r="U83" s="31">
        <v>1</v>
      </c>
      <c r="V83" s="40">
        <f>IF((ISERROR((U83/$K83)*100)), "", IF(AND(NOT(ISERROR((U83/$K83)*100)),((U83/$K83)*100) &lt;&gt; 0), (U83/$K83)*100, ""))</f>
        <v>1</v>
      </c>
      <c r="W83" s="31"/>
      <c r="X83" s="40" t="str">
        <f t="shared" ref="X83:X125" si="15">IF((ISERROR((W83/$K83)*100)), "", IF(AND(NOT(ISERROR((W83/$K83)*100)),((W83/$K83)*100) &lt;&gt; 0), (W83/$K83)*100, ""))</f>
        <v/>
      </c>
      <c r="Y83" s="31"/>
      <c r="Z83" s="40" t="str">
        <f t="shared" ref="Z83:Z125" si="16">IF((ISERROR((Y83/$K83)*100)), "", IF(AND(NOT(ISERROR((Y83/$K83)*100)),((Y83/$K83)*100) &lt;&gt; 0), (Y83/$K83)*100, ""))</f>
        <v/>
      </c>
      <c r="AA83" s="31"/>
      <c r="AB83" s="40" t="str">
        <f t="shared" ref="AB83:AB125" si="17">IF((ISERROR((AA83/$K83)*100)), "", IF(AND(NOT(ISERROR((AA83/$K83)*100)),((AA83/$K83)*100) &lt;&gt; 0), (AA83/$K83)*100, ""))</f>
        <v/>
      </c>
      <c r="AC83" s="31"/>
      <c r="AD83" s="40" t="str">
        <f t="shared" ref="AD83:AD125" si="18">IF((ISERROR((AC83/$K83)*100)), "", IF(AND(NOT(ISERROR((AC83/$K83)*100)),((AC83/$K83)*100) &lt;&gt; 0), (AC83/$K83)*100, ""))</f>
        <v/>
      </c>
      <c r="AE83" s="31"/>
      <c r="AF83" s="40" t="str">
        <f t="shared" ref="AF83:AF125" si="19">IF((ISERROR((AE83/$K83)*100)), "", IF(AND(NOT(ISERROR((AE83/$K83)*100)),((AE83/$K83)*100) &lt;&gt; 0), (AE83/$K83)*100, ""))</f>
        <v/>
      </c>
      <c r="AG83" s="31"/>
      <c r="AH83" s="40" t="str">
        <f t="shared" ref="AH83:AH125" si="20">IF((ISERROR((AG83/$K83)*100)), "", IF(AND(NOT(ISERROR((AG83/$K83)*100)),((AG83/$K83)*100) &lt;&gt; 0), (AG83/$K83)*100, ""))</f>
        <v/>
      </c>
      <c r="AI83" s="19" t="s">
        <v>205</v>
      </c>
    </row>
    <row r="84" spans="1:46" ht="20" customHeight="1" x14ac:dyDescent="0.2">
      <c r="A84" s="128"/>
      <c r="B84" s="129"/>
      <c r="C84" s="75" t="s">
        <v>207</v>
      </c>
      <c r="D84" s="75"/>
      <c r="E84" s="76" t="s">
        <v>71</v>
      </c>
      <c r="F84" s="76" t="s">
        <v>72</v>
      </c>
      <c r="G84" s="75">
        <v>2014</v>
      </c>
      <c r="H84" s="81">
        <v>9</v>
      </c>
      <c r="I84" s="84"/>
      <c r="J84" s="64">
        <v>8</v>
      </c>
      <c r="K84" s="65">
        <v>82</v>
      </c>
      <c r="L84" s="112">
        <f t="shared" ref="L84:L125" si="21">IF(AND(NOT(ISERROR(J84/K84*100)), J84&lt;&gt;""), J84/K84*100, "")</f>
        <v>9.7560975609756095</v>
      </c>
      <c r="M84" s="31"/>
      <c r="N84" s="40" t="str">
        <f t="shared" si="11"/>
        <v/>
      </c>
      <c r="O84" s="31"/>
      <c r="P84" s="40" t="str">
        <f t="shared" si="12"/>
        <v/>
      </c>
      <c r="Q84" s="31"/>
      <c r="R84" s="40" t="str">
        <f t="shared" si="13"/>
        <v/>
      </c>
      <c r="S84" s="31"/>
      <c r="T84" s="40" t="str">
        <f t="shared" si="14"/>
        <v/>
      </c>
      <c r="U84" s="31"/>
      <c r="V84" s="40" t="str">
        <f t="shared" ref="V84:V125" si="22">IF((ISERROR((U84/$K84)*100)), "", IF(AND(NOT(ISERROR((U84/$K84)*100)),((U84/$K84)*100) &lt;&gt; 0), (U84/$K84)*100, ""))</f>
        <v/>
      </c>
      <c r="W84" s="31"/>
      <c r="X84" s="40" t="str">
        <f t="shared" si="15"/>
        <v/>
      </c>
      <c r="Y84" s="31"/>
      <c r="Z84" s="40" t="str">
        <f t="shared" si="16"/>
        <v/>
      </c>
      <c r="AA84" s="31"/>
      <c r="AB84" s="40" t="str">
        <f t="shared" si="17"/>
        <v/>
      </c>
      <c r="AC84" s="31"/>
      <c r="AD84" s="40" t="str">
        <f t="shared" si="18"/>
        <v/>
      </c>
      <c r="AE84" s="31"/>
      <c r="AF84" s="40" t="str">
        <f t="shared" si="19"/>
        <v/>
      </c>
      <c r="AG84" s="31"/>
      <c r="AH84" s="40" t="str">
        <f t="shared" si="20"/>
        <v/>
      </c>
      <c r="AI84" s="22" t="s">
        <v>206</v>
      </c>
    </row>
    <row r="85" spans="1:46" ht="20" customHeight="1" x14ac:dyDescent="0.2">
      <c r="A85" s="130"/>
      <c r="B85" s="131"/>
      <c r="C85" s="75"/>
      <c r="D85" s="75"/>
      <c r="E85" s="76" t="s">
        <v>74</v>
      </c>
      <c r="F85" s="76" t="s">
        <v>75</v>
      </c>
      <c r="G85" s="75">
        <v>2013</v>
      </c>
      <c r="H85" s="81">
        <v>15</v>
      </c>
      <c r="I85" s="84"/>
      <c r="J85" s="64"/>
      <c r="K85" s="65"/>
      <c r="L85" s="112" t="str">
        <f t="shared" si="21"/>
        <v/>
      </c>
      <c r="M85" s="31"/>
      <c r="N85" s="40" t="str">
        <f t="shared" si="11"/>
        <v/>
      </c>
      <c r="O85" s="31"/>
      <c r="P85" s="40" t="str">
        <f t="shared" si="12"/>
        <v/>
      </c>
      <c r="Q85" s="31"/>
      <c r="R85" s="40" t="str">
        <f t="shared" si="13"/>
        <v/>
      </c>
      <c r="S85" s="31"/>
      <c r="T85" s="40" t="str">
        <f t="shared" si="14"/>
        <v/>
      </c>
      <c r="U85" s="31"/>
      <c r="V85" s="40" t="str">
        <f t="shared" si="22"/>
        <v/>
      </c>
      <c r="W85" s="31"/>
      <c r="X85" s="40" t="str">
        <f t="shared" si="15"/>
        <v/>
      </c>
      <c r="Y85" s="31"/>
      <c r="Z85" s="40" t="str">
        <f t="shared" si="16"/>
        <v/>
      </c>
      <c r="AA85" s="31"/>
      <c r="AB85" s="40" t="str">
        <f t="shared" si="17"/>
        <v/>
      </c>
      <c r="AC85" s="31"/>
      <c r="AD85" s="40" t="str">
        <f t="shared" si="18"/>
        <v/>
      </c>
      <c r="AE85" s="31"/>
      <c r="AF85" s="40" t="str">
        <f t="shared" si="19"/>
        <v/>
      </c>
      <c r="AG85" s="31"/>
      <c r="AH85" s="40" t="str">
        <f t="shared" si="20"/>
        <v/>
      </c>
      <c r="AI85" s="22" t="s">
        <v>73</v>
      </c>
    </row>
    <row r="86" spans="1:46" ht="20" customHeight="1" x14ac:dyDescent="0.2">
      <c r="A86" s="130"/>
      <c r="B86" s="131"/>
      <c r="C86" s="75" t="s">
        <v>207</v>
      </c>
      <c r="D86" s="75"/>
      <c r="E86" s="76" t="s">
        <v>76</v>
      </c>
      <c r="F86" s="76" t="s">
        <v>77</v>
      </c>
      <c r="G86" s="75">
        <v>1986</v>
      </c>
      <c r="H86" s="81">
        <v>146</v>
      </c>
      <c r="I86" s="84" t="s">
        <v>78</v>
      </c>
      <c r="J86" s="64">
        <v>13</v>
      </c>
      <c r="K86" s="65">
        <v>13</v>
      </c>
      <c r="L86" s="112">
        <f t="shared" si="21"/>
        <v>100</v>
      </c>
      <c r="M86" s="31">
        <v>12</v>
      </c>
      <c r="N86" s="40">
        <f t="shared" si="11"/>
        <v>92.307692307692307</v>
      </c>
      <c r="O86" s="31"/>
      <c r="P86" s="40" t="str">
        <f t="shared" si="12"/>
        <v/>
      </c>
      <c r="Q86" s="31"/>
      <c r="R86" s="40" t="str">
        <f t="shared" si="13"/>
        <v/>
      </c>
      <c r="S86" s="31"/>
      <c r="T86" s="40" t="str">
        <f t="shared" si="14"/>
        <v/>
      </c>
      <c r="U86" s="31"/>
      <c r="V86" s="40" t="str">
        <f t="shared" si="22"/>
        <v/>
      </c>
      <c r="W86" s="31"/>
      <c r="X86" s="40" t="str">
        <f t="shared" si="15"/>
        <v/>
      </c>
      <c r="Y86" s="31"/>
      <c r="Z86" s="40" t="str">
        <f t="shared" si="16"/>
        <v/>
      </c>
      <c r="AA86" s="31"/>
      <c r="AB86" s="40" t="str">
        <f t="shared" si="17"/>
        <v/>
      </c>
      <c r="AC86" s="31"/>
      <c r="AD86" s="40" t="str">
        <f t="shared" si="18"/>
        <v/>
      </c>
      <c r="AE86" s="31"/>
      <c r="AF86" s="40" t="str">
        <f t="shared" si="19"/>
        <v/>
      </c>
      <c r="AG86" s="31"/>
      <c r="AH86" s="40" t="str">
        <f t="shared" si="20"/>
        <v/>
      </c>
      <c r="AI86" s="22" t="s">
        <v>208</v>
      </c>
    </row>
    <row r="87" spans="1:46" ht="20" customHeight="1" x14ac:dyDescent="0.2">
      <c r="A87" s="130"/>
      <c r="B87" s="131"/>
      <c r="C87" s="75"/>
      <c r="D87" s="75"/>
      <c r="E87" s="76" t="s">
        <v>80</v>
      </c>
      <c r="F87" s="76" t="s">
        <v>81</v>
      </c>
      <c r="G87" s="75">
        <v>2008</v>
      </c>
      <c r="H87" s="81">
        <v>33</v>
      </c>
      <c r="I87" s="84"/>
      <c r="J87" s="64">
        <v>12</v>
      </c>
      <c r="K87" s="65">
        <v>101</v>
      </c>
      <c r="L87" s="112">
        <f t="shared" si="21"/>
        <v>11.881188118811881</v>
      </c>
      <c r="M87" s="31"/>
      <c r="N87" s="40" t="str">
        <f t="shared" si="11"/>
        <v/>
      </c>
      <c r="O87" s="31"/>
      <c r="P87" s="40" t="str">
        <f t="shared" si="12"/>
        <v/>
      </c>
      <c r="Q87" s="31"/>
      <c r="R87" s="40" t="str">
        <f t="shared" si="13"/>
        <v/>
      </c>
      <c r="S87" s="31"/>
      <c r="T87" s="40" t="str">
        <f t="shared" si="14"/>
        <v/>
      </c>
      <c r="U87" s="31">
        <v>6</v>
      </c>
      <c r="V87" s="40">
        <f t="shared" si="22"/>
        <v>5.9405940594059405</v>
      </c>
      <c r="W87" s="31"/>
      <c r="X87" s="40" t="str">
        <f t="shared" si="15"/>
        <v/>
      </c>
      <c r="Y87" s="31"/>
      <c r="Z87" s="40" t="str">
        <f t="shared" si="16"/>
        <v/>
      </c>
      <c r="AA87" s="31"/>
      <c r="AB87" s="40" t="str">
        <f t="shared" si="17"/>
        <v/>
      </c>
      <c r="AC87" s="31"/>
      <c r="AD87" s="40" t="str">
        <f t="shared" si="18"/>
        <v/>
      </c>
      <c r="AE87" s="31"/>
      <c r="AF87" s="40" t="str">
        <f t="shared" si="19"/>
        <v/>
      </c>
      <c r="AG87" s="31"/>
      <c r="AH87" s="40" t="str">
        <f t="shared" si="20"/>
        <v/>
      </c>
      <c r="AI87" s="19" t="s">
        <v>82</v>
      </c>
    </row>
    <row r="88" spans="1:46" ht="20" customHeight="1" x14ac:dyDescent="0.2">
      <c r="A88" s="136"/>
      <c r="B88" s="137"/>
      <c r="C88" s="138"/>
      <c r="D88" s="138" t="s">
        <v>252</v>
      </c>
      <c r="E88" s="139" t="s">
        <v>256</v>
      </c>
      <c r="F88" s="139" t="s">
        <v>257</v>
      </c>
      <c r="G88" s="138">
        <v>1996</v>
      </c>
      <c r="H88" s="140"/>
      <c r="I88" s="141"/>
      <c r="J88" s="142">
        <v>56</v>
      </c>
      <c r="K88" s="143">
        <v>72</v>
      </c>
      <c r="L88" s="144">
        <v>77.8</v>
      </c>
      <c r="M88" s="31"/>
      <c r="N88" s="40"/>
      <c r="O88" s="31"/>
      <c r="P88" s="40"/>
      <c r="Q88" s="31"/>
      <c r="R88" s="40"/>
      <c r="S88" s="31"/>
      <c r="T88" s="40"/>
      <c r="U88" s="31"/>
      <c r="V88" s="40"/>
      <c r="W88" s="31"/>
      <c r="X88" s="40"/>
      <c r="Y88" s="31"/>
      <c r="Z88" s="40"/>
      <c r="AA88" s="31"/>
      <c r="AB88" s="40"/>
      <c r="AC88" s="31"/>
      <c r="AD88" s="40"/>
      <c r="AE88" s="31"/>
      <c r="AF88" s="40"/>
      <c r="AG88" s="32"/>
      <c r="AH88" s="32"/>
      <c r="AI88" s="19" t="s">
        <v>258</v>
      </c>
    </row>
    <row r="89" spans="1:46" ht="20" customHeight="1" x14ac:dyDescent="0.2">
      <c r="A89" s="128"/>
      <c r="B89" s="129"/>
      <c r="C89" s="75"/>
      <c r="D89" s="75"/>
      <c r="E89" s="76" t="s">
        <v>83</v>
      </c>
      <c r="F89" s="76" t="s">
        <v>84</v>
      </c>
      <c r="G89" s="75">
        <v>2011</v>
      </c>
      <c r="H89" s="81"/>
      <c r="I89" s="84"/>
      <c r="J89" s="64">
        <v>1</v>
      </c>
      <c r="K89" s="65">
        <v>1</v>
      </c>
      <c r="L89" s="112">
        <f t="shared" si="21"/>
        <v>100</v>
      </c>
      <c r="M89" s="31"/>
      <c r="N89" s="40" t="str">
        <f t="shared" si="11"/>
        <v/>
      </c>
      <c r="O89" s="31"/>
      <c r="P89" s="40" t="str">
        <f t="shared" si="12"/>
        <v/>
      </c>
      <c r="Q89" s="31"/>
      <c r="R89" s="40" t="str">
        <f t="shared" si="13"/>
        <v/>
      </c>
      <c r="S89" s="31"/>
      <c r="T89" s="40" t="str">
        <f t="shared" si="14"/>
        <v/>
      </c>
      <c r="U89" s="31"/>
      <c r="V89" s="40" t="str">
        <f t="shared" si="22"/>
        <v/>
      </c>
      <c r="W89" s="31"/>
      <c r="X89" s="40" t="str">
        <f t="shared" si="15"/>
        <v/>
      </c>
      <c r="Y89" s="31"/>
      <c r="Z89" s="40" t="str">
        <f t="shared" si="16"/>
        <v/>
      </c>
      <c r="AA89" s="31"/>
      <c r="AB89" s="40" t="str">
        <f t="shared" si="17"/>
        <v/>
      </c>
      <c r="AC89" s="31"/>
      <c r="AD89" s="40" t="str">
        <f t="shared" si="18"/>
        <v/>
      </c>
      <c r="AE89" s="31"/>
      <c r="AF89" s="40" t="str">
        <f t="shared" si="19"/>
        <v/>
      </c>
      <c r="AG89" s="31"/>
      <c r="AH89" s="40" t="str">
        <f t="shared" si="20"/>
        <v/>
      </c>
      <c r="AI89" s="19" t="s">
        <v>259</v>
      </c>
    </row>
    <row r="90" spans="1:46" ht="20" customHeight="1" x14ac:dyDescent="0.2">
      <c r="A90" s="130"/>
      <c r="B90" s="131"/>
      <c r="C90" s="75"/>
      <c r="D90" s="75"/>
      <c r="E90" s="76" t="s">
        <v>85</v>
      </c>
      <c r="F90" s="76" t="s">
        <v>86</v>
      </c>
      <c r="G90" s="75">
        <v>2010</v>
      </c>
      <c r="H90" s="81">
        <v>17</v>
      </c>
      <c r="I90" s="84"/>
      <c r="J90" s="64"/>
      <c r="K90" s="65">
        <v>83</v>
      </c>
      <c r="L90" s="112" t="str">
        <f t="shared" si="21"/>
        <v/>
      </c>
      <c r="M90" s="31"/>
      <c r="N90" s="40" t="str">
        <f t="shared" si="11"/>
        <v/>
      </c>
      <c r="O90" s="31"/>
      <c r="P90" s="40" t="str">
        <f t="shared" si="12"/>
        <v/>
      </c>
      <c r="Q90" s="31"/>
      <c r="R90" s="40" t="str">
        <f t="shared" si="13"/>
        <v/>
      </c>
      <c r="S90" s="31"/>
      <c r="T90" s="40" t="str">
        <f t="shared" si="14"/>
        <v/>
      </c>
      <c r="U90" s="31"/>
      <c r="V90" s="40" t="str">
        <f t="shared" si="22"/>
        <v/>
      </c>
      <c r="W90" s="31"/>
      <c r="X90" s="40" t="str">
        <f t="shared" si="15"/>
        <v/>
      </c>
      <c r="Y90" s="31"/>
      <c r="Z90" s="40" t="str">
        <f t="shared" si="16"/>
        <v/>
      </c>
      <c r="AA90" s="31"/>
      <c r="AB90" s="40" t="str">
        <f t="shared" si="17"/>
        <v/>
      </c>
      <c r="AC90" s="31"/>
      <c r="AD90" s="40" t="str">
        <f t="shared" si="18"/>
        <v/>
      </c>
      <c r="AE90" s="31"/>
      <c r="AF90" s="40" t="str">
        <f t="shared" si="19"/>
        <v/>
      </c>
      <c r="AG90" s="31"/>
      <c r="AH90" s="40" t="str">
        <f t="shared" si="20"/>
        <v/>
      </c>
      <c r="AI90" s="19" t="s">
        <v>260</v>
      </c>
    </row>
    <row r="91" spans="1:46" ht="20" customHeight="1" x14ac:dyDescent="0.2">
      <c r="A91" s="130"/>
      <c r="B91" s="131"/>
      <c r="C91" s="75"/>
      <c r="D91" s="75"/>
      <c r="E91" s="76" t="s">
        <v>87</v>
      </c>
      <c r="F91" s="76" t="s">
        <v>88</v>
      </c>
      <c r="G91" s="75">
        <v>2013</v>
      </c>
      <c r="H91" s="81">
        <v>13</v>
      </c>
      <c r="I91" s="84"/>
      <c r="J91" s="64">
        <v>16</v>
      </c>
      <c r="K91" s="65">
        <v>201</v>
      </c>
      <c r="L91" s="112">
        <f t="shared" si="21"/>
        <v>7.9601990049751246</v>
      </c>
      <c r="M91" s="31"/>
      <c r="N91" s="40" t="str">
        <f t="shared" si="11"/>
        <v/>
      </c>
      <c r="O91" s="31"/>
      <c r="P91" s="40" t="str">
        <f t="shared" si="12"/>
        <v/>
      </c>
      <c r="Q91" s="31"/>
      <c r="R91" s="40" t="str">
        <f t="shared" si="13"/>
        <v/>
      </c>
      <c r="S91" s="31"/>
      <c r="T91" s="40" t="str">
        <f t="shared" si="14"/>
        <v/>
      </c>
      <c r="U91" s="31"/>
      <c r="V91" s="40" t="str">
        <f t="shared" si="22"/>
        <v/>
      </c>
      <c r="W91" s="31"/>
      <c r="X91" s="40" t="str">
        <f t="shared" si="15"/>
        <v/>
      </c>
      <c r="Y91" s="31"/>
      <c r="Z91" s="40" t="str">
        <f t="shared" si="16"/>
        <v/>
      </c>
      <c r="AA91" s="31"/>
      <c r="AB91" s="40" t="str">
        <f t="shared" si="17"/>
        <v/>
      </c>
      <c r="AC91" s="31"/>
      <c r="AD91" s="40" t="str">
        <f t="shared" si="18"/>
        <v/>
      </c>
      <c r="AE91" s="31"/>
      <c r="AF91" s="40" t="str">
        <f t="shared" si="19"/>
        <v/>
      </c>
      <c r="AG91" s="31"/>
      <c r="AH91" s="40" t="str">
        <f t="shared" si="20"/>
        <v/>
      </c>
      <c r="AI91" s="22" t="s">
        <v>73</v>
      </c>
    </row>
    <row r="92" spans="1:46" ht="20" customHeight="1" x14ac:dyDescent="0.2">
      <c r="A92" s="128"/>
      <c r="B92" s="129"/>
      <c r="C92" s="75"/>
      <c r="D92" s="75"/>
      <c r="E92" s="76" t="s">
        <v>89</v>
      </c>
      <c r="F92" s="76" t="s">
        <v>90</v>
      </c>
      <c r="G92" s="75">
        <v>2013</v>
      </c>
      <c r="H92" s="81">
        <v>12</v>
      </c>
      <c r="I92" s="84" t="s">
        <v>91</v>
      </c>
      <c r="J92" s="64"/>
      <c r="K92" s="65">
        <v>304</v>
      </c>
      <c r="L92" s="112" t="str">
        <f t="shared" si="21"/>
        <v/>
      </c>
      <c r="M92" s="31"/>
      <c r="N92" s="40" t="str">
        <f t="shared" si="11"/>
        <v/>
      </c>
      <c r="O92" s="31"/>
      <c r="P92" s="40" t="str">
        <f t="shared" si="12"/>
        <v/>
      </c>
      <c r="Q92" s="31"/>
      <c r="R92" s="40" t="str">
        <f t="shared" si="13"/>
        <v/>
      </c>
      <c r="S92" s="31"/>
      <c r="T92" s="40" t="str">
        <f t="shared" si="14"/>
        <v/>
      </c>
      <c r="U92" s="31"/>
      <c r="V92" s="40" t="str">
        <f t="shared" si="22"/>
        <v/>
      </c>
      <c r="W92" s="31"/>
      <c r="X92" s="40" t="str">
        <f t="shared" si="15"/>
        <v/>
      </c>
      <c r="Y92" s="31"/>
      <c r="Z92" s="40" t="str">
        <f t="shared" si="16"/>
        <v/>
      </c>
      <c r="AA92" s="31"/>
      <c r="AB92" s="40" t="str">
        <f t="shared" si="17"/>
        <v/>
      </c>
      <c r="AC92" s="31"/>
      <c r="AD92" s="40" t="str">
        <f t="shared" si="18"/>
        <v/>
      </c>
      <c r="AE92" s="31"/>
      <c r="AF92" s="40" t="str">
        <f t="shared" si="19"/>
        <v/>
      </c>
      <c r="AG92" s="31"/>
      <c r="AH92" s="40" t="str">
        <f t="shared" si="20"/>
        <v/>
      </c>
    </row>
    <row r="93" spans="1:46" ht="20" customHeight="1" x14ac:dyDescent="0.2">
      <c r="A93" s="128"/>
      <c r="B93" s="132"/>
      <c r="C93" s="75"/>
      <c r="D93" s="75"/>
      <c r="E93" s="76" t="s">
        <v>92</v>
      </c>
      <c r="F93" s="76" t="s">
        <v>93</v>
      </c>
      <c r="G93" s="75">
        <v>2010</v>
      </c>
      <c r="H93" s="81">
        <v>28</v>
      </c>
      <c r="I93" s="84"/>
      <c r="J93" s="64"/>
      <c r="K93" s="65">
        <v>597</v>
      </c>
      <c r="L93" s="112" t="str">
        <f t="shared" si="21"/>
        <v/>
      </c>
      <c r="M93" s="31"/>
      <c r="N93" s="40" t="str">
        <f t="shared" si="11"/>
        <v/>
      </c>
      <c r="O93" s="32"/>
      <c r="P93" s="32" t="str">
        <f t="shared" si="12"/>
        <v/>
      </c>
      <c r="Q93" s="31"/>
      <c r="R93" s="40" t="str">
        <f t="shared" si="13"/>
        <v/>
      </c>
      <c r="S93" s="31"/>
      <c r="T93" s="40" t="str">
        <f t="shared" si="14"/>
        <v/>
      </c>
      <c r="U93" s="31">
        <v>12</v>
      </c>
      <c r="V93" s="40">
        <f t="shared" si="22"/>
        <v>2.0100502512562812</v>
      </c>
      <c r="W93" s="31"/>
      <c r="X93" s="40" t="str">
        <f t="shared" si="15"/>
        <v/>
      </c>
      <c r="Y93" s="31"/>
      <c r="Z93" s="40" t="str">
        <f t="shared" si="16"/>
        <v/>
      </c>
      <c r="AA93" s="31"/>
      <c r="AB93" s="40" t="str">
        <f t="shared" si="17"/>
        <v/>
      </c>
      <c r="AC93" s="31"/>
      <c r="AD93" s="40" t="str">
        <f t="shared" si="18"/>
        <v/>
      </c>
      <c r="AE93" s="31"/>
      <c r="AF93" s="40" t="str">
        <f t="shared" si="19"/>
        <v/>
      </c>
      <c r="AG93" s="31"/>
      <c r="AH93" s="40" t="str">
        <f t="shared" si="20"/>
        <v/>
      </c>
      <c r="AI93" s="19" t="s">
        <v>264</v>
      </c>
    </row>
    <row r="94" spans="1:46" ht="20" customHeight="1" x14ac:dyDescent="0.2">
      <c r="A94" s="128"/>
      <c r="B94" s="132"/>
      <c r="C94" s="75"/>
      <c r="D94" s="75"/>
      <c r="E94" s="76" t="s">
        <v>94</v>
      </c>
      <c r="F94" s="76" t="s">
        <v>95</v>
      </c>
      <c r="G94" s="75">
        <v>2012</v>
      </c>
      <c r="H94" s="81">
        <v>22</v>
      </c>
      <c r="I94" s="84" t="s">
        <v>96</v>
      </c>
      <c r="J94" s="64"/>
      <c r="K94" s="65">
        <v>19</v>
      </c>
      <c r="L94" s="112" t="str">
        <f t="shared" si="21"/>
        <v/>
      </c>
      <c r="M94" s="31"/>
      <c r="N94" s="40" t="str">
        <f t="shared" si="11"/>
        <v/>
      </c>
      <c r="O94" s="31"/>
      <c r="P94" s="40" t="str">
        <f t="shared" si="12"/>
        <v/>
      </c>
      <c r="Q94" s="31"/>
      <c r="R94" s="40" t="str">
        <f t="shared" si="13"/>
        <v/>
      </c>
      <c r="S94" s="31"/>
      <c r="T94" s="40" t="str">
        <f t="shared" si="14"/>
        <v/>
      </c>
      <c r="U94" s="31"/>
      <c r="V94" s="40" t="str">
        <f t="shared" si="22"/>
        <v/>
      </c>
      <c r="W94" s="31"/>
      <c r="X94" s="40" t="str">
        <f t="shared" si="15"/>
        <v/>
      </c>
      <c r="Y94" s="32"/>
      <c r="Z94" s="32" t="str">
        <f t="shared" si="16"/>
        <v/>
      </c>
      <c r="AA94" s="32"/>
      <c r="AB94" s="32" t="str">
        <f t="shared" si="17"/>
        <v/>
      </c>
      <c r="AC94" s="31"/>
      <c r="AD94" s="40" t="str">
        <f t="shared" si="18"/>
        <v/>
      </c>
      <c r="AE94" s="31"/>
      <c r="AF94" s="40" t="str">
        <f t="shared" si="19"/>
        <v/>
      </c>
      <c r="AG94" s="31"/>
      <c r="AH94" s="40" t="str">
        <f t="shared" si="20"/>
        <v/>
      </c>
      <c r="AI94" s="19" t="s">
        <v>265</v>
      </c>
    </row>
    <row r="95" spans="1:46" ht="20" customHeight="1" x14ac:dyDescent="0.2">
      <c r="A95" s="128"/>
      <c r="B95" s="132"/>
      <c r="C95" s="75"/>
      <c r="D95" s="75" t="s">
        <v>227</v>
      </c>
      <c r="E95" s="77" t="s">
        <v>209</v>
      </c>
      <c r="F95" s="77" t="s">
        <v>95</v>
      </c>
      <c r="G95" s="78">
        <v>2013</v>
      </c>
      <c r="H95" s="82">
        <v>12</v>
      </c>
      <c r="I95" s="85"/>
      <c r="J95" s="66"/>
      <c r="K95" s="67">
        <v>19</v>
      </c>
      <c r="L95" s="112" t="str">
        <f t="shared" si="21"/>
        <v/>
      </c>
      <c r="M95" s="31"/>
      <c r="N95" s="40" t="str">
        <f t="shared" si="11"/>
        <v/>
      </c>
      <c r="O95" s="31"/>
      <c r="P95" s="40" t="str">
        <f t="shared" si="12"/>
        <v/>
      </c>
      <c r="Q95" s="31"/>
      <c r="R95" s="40" t="str">
        <f t="shared" si="13"/>
        <v/>
      </c>
      <c r="S95" s="31"/>
      <c r="T95" s="40" t="str">
        <f t="shared" si="14"/>
        <v/>
      </c>
      <c r="U95" s="31"/>
      <c r="V95" s="40" t="str">
        <f t="shared" si="22"/>
        <v/>
      </c>
      <c r="W95" s="31"/>
      <c r="X95" s="40" t="str">
        <f t="shared" si="15"/>
        <v/>
      </c>
      <c r="Y95" s="32"/>
      <c r="Z95" s="32" t="str">
        <f t="shared" si="16"/>
        <v/>
      </c>
      <c r="AA95" s="32"/>
      <c r="AB95" s="32" t="str">
        <f t="shared" si="17"/>
        <v/>
      </c>
      <c r="AC95" s="31"/>
      <c r="AD95" s="40" t="str">
        <f t="shared" si="18"/>
        <v/>
      </c>
      <c r="AE95" s="31"/>
      <c r="AF95" s="40" t="str">
        <f t="shared" si="19"/>
        <v/>
      </c>
      <c r="AG95" s="31"/>
      <c r="AH95" s="40" t="str">
        <f t="shared" si="20"/>
        <v/>
      </c>
      <c r="AI95" s="19" t="s">
        <v>174</v>
      </c>
    </row>
    <row r="96" spans="1:46" ht="20" customHeight="1" x14ac:dyDescent="0.2">
      <c r="A96" s="128"/>
      <c r="B96" s="132"/>
      <c r="C96" s="75"/>
      <c r="D96" s="75"/>
      <c r="E96" s="76" t="s">
        <v>98</v>
      </c>
      <c r="F96" s="76" t="s">
        <v>99</v>
      </c>
      <c r="G96" s="75">
        <v>2007</v>
      </c>
      <c r="H96" s="81">
        <v>41</v>
      </c>
      <c r="I96" s="84"/>
      <c r="J96" s="64"/>
      <c r="K96" s="65">
        <v>71</v>
      </c>
      <c r="L96" s="112" t="str">
        <f t="shared" si="21"/>
        <v/>
      </c>
      <c r="M96" s="31"/>
      <c r="N96" s="40" t="str">
        <f t="shared" si="11"/>
        <v/>
      </c>
      <c r="O96" s="31"/>
      <c r="P96" s="40" t="str">
        <f t="shared" si="12"/>
        <v/>
      </c>
      <c r="Q96" s="31"/>
      <c r="R96" s="40" t="str">
        <f t="shared" si="13"/>
        <v/>
      </c>
      <c r="S96" s="31"/>
      <c r="T96" s="40" t="str">
        <f t="shared" si="14"/>
        <v/>
      </c>
      <c r="U96" s="31"/>
      <c r="V96" s="40" t="str">
        <f t="shared" si="22"/>
        <v/>
      </c>
      <c r="W96" s="31"/>
      <c r="X96" s="40" t="str">
        <f t="shared" si="15"/>
        <v/>
      </c>
      <c r="Y96" s="31"/>
      <c r="Z96" s="40" t="str">
        <f t="shared" si="16"/>
        <v/>
      </c>
      <c r="AA96" s="31"/>
      <c r="AB96" s="40" t="str">
        <f t="shared" si="17"/>
        <v/>
      </c>
      <c r="AC96" s="31"/>
      <c r="AD96" s="40" t="str">
        <f t="shared" si="18"/>
        <v/>
      </c>
      <c r="AE96" s="31"/>
      <c r="AF96" s="40" t="str">
        <f t="shared" si="19"/>
        <v/>
      </c>
      <c r="AG96" s="31"/>
      <c r="AH96" s="40" t="str">
        <f t="shared" si="20"/>
        <v/>
      </c>
      <c r="AI96" s="19" t="s">
        <v>100</v>
      </c>
    </row>
    <row r="97" spans="1:35" ht="20" customHeight="1" x14ac:dyDescent="0.2">
      <c r="A97" s="128"/>
      <c r="B97" s="133"/>
      <c r="C97" s="75"/>
      <c r="D97" s="75"/>
      <c r="E97" s="77" t="s">
        <v>101</v>
      </c>
      <c r="F97" s="77" t="s">
        <v>102</v>
      </c>
      <c r="G97" s="78">
        <v>2007</v>
      </c>
      <c r="H97" s="82">
        <v>140</v>
      </c>
      <c r="I97" s="84"/>
      <c r="J97" s="64"/>
      <c r="K97" s="67">
        <v>71</v>
      </c>
      <c r="L97" s="112" t="str">
        <f t="shared" si="21"/>
        <v/>
      </c>
      <c r="M97" s="31"/>
      <c r="N97" s="40" t="str">
        <f t="shared" si="11"/>
        <v/>
      </c>
      <c r="O97" s="31"/>
      <c r="P97" s="40" t="str">
        <f t="shared" si="12"/>
        <v/>
      </c>
      <c r="Q97" s="31"/>
      <c r="R97" s="40" t="str">
        <f t="shared" si="13"/>
        <v/>
      </c>
      <c r="S97" s="31"/>
      <c r="T97" s="40" t="str">
        <f t="shared" si="14"/>
        <v/>
      </c>
      <c r="U97" s="31"/>
      <c r="V97" s="40" t="str">
        <f t="shared" si="22"/>
        <v/>
      </c>
      <c r="W97" s="31"/>
      <c r="X97" s="40" t="str">
        <f t="shared" si="15"/>
        <v/>
      </c>
      <c r="Y97" s="31"/>
      <c r="Z97" s="40" t="str">
        <f t="shared" si="16"/>
        <v/>
      </c>
      <c r="AA97" s="31"/>
      <c r="AB97" s="40" t="str">
        <f t="shared" si="17"/>
        <v/>
      </c>
      <c r="AC97" s="31"/>
      <c r="AD97" s="40" t="str">
        <f t="shared" si="18"/>
        <v/>
      </c>
      <c r="AE97" s="31"/>
      <c r="AF97" s="40" t="str">
        <f t="shared" si="19"/>
        <v/>
      </c>
      <c r="AG97" s="31"/>
      <c r="AH97" s="40" t="str">
        <f t="shared" si="20"/>
        <v/>
      </c>
      <c r="AI97" s="19" t="s">
        <v>103</v>
      </c>
    </row>
    <row r="98" spans="1:35" ht="20" customHeight="1" x14ac:dyDescent="0.2">
      <c r="A98" s="130"/>
      <c r="B98" s="131"/>
      <c r="C98" s="75"/>
      <c r="D98" s="75"/>
      <c r="E98" s="76" t="s">
        <v>104</v>
      </c>
      <c r="F98" s="76" t="s">
        <v>105</v>
      </c>
      <c r="G98" s="75">
        <v>2015</v>
      </c>
      <c r="H98" s="81">
        <v>8</v>
      </c>
      <c r="I98" s="84" t="s">
        <v>106</v>
      </c>
      <c r="J98" s="64"/>
      <c r="K98" s="65">
        <v>255</v>
      </c>
      <c r="L98" s="112" t="str">
        <f t="shared" si="21"/>
        <v/>
      </c>
      <c r="M98" s="31"/>
      <c r="N98" s="40" t="str">
        <f t="shared" si="11"/>
        <v/>
      </c>
      <c r="O98" s="31"/>
      <c r="P98" s="40" t="str">
        <f t="shared" si="12"/>
        <v/>
      </c>
      <c r="Q98" s="31"/>
      <c r="R98" s="40" t="str">
        <f t="shared" si="13"/>
        <v/>
      </c>
      <c r="S98" s="31"/>
      <c r="T98" s="40" t="str">
        <f t="shared" si="14"/>
        <v/>
      </c>
      <c r="U98" s="31"/>
      <c r="V98" s="40" t="str">
        <f t="shared" si="22"/>
        <v/>
      </c>
      <c r="W98" s="31"/>
      <c r="X98" s="40" t="str">
        <f t="shared" si="15"/>
        <v/>
      </c>
      <c r="Y98" s="31"/>
      <c r="Z98" s="40" t="str">
        <f t="shared" si="16"/>
        <v/>
      </c>
      <c r="AA98" s="31"/>
      <c r="AB98" s="40" t="str">
        <f t="shared" si="17"/>
        <v/>
      </c>
      <c r="AC98" s="31"/>
      <c r="AD98" s="40" t="str">
        <f t="shared" si="18"/>
        <v/>
      </c>
      <c r="AE98" s="31"/>
      <c r="AF98" s="40" t="str">
        <f t="shared" si="19"/>
        <v/>
      </c>
      <c r="AG98" s="31"/>
      <c r="AH98" s="40" t="str">
        <f t="shared" si="20"/>
        <v/>
      </c>
      <c r="AI98" s="19" t="s">
        <v>107</v>
      </c>
    </row>
    <row r="99" spans="1:35" ht="20" customHeight="1" x14ac:dyDescent="0.2">
      <c r="A99" s="128"/>
      <c r="B99" s="132"/>
      <c r="C99" s="75"/>
      <c r="D99" s="75"/>
      <c r="E99" s="76" t="s">
        <v>108</v>
      </c>
      <c r="F99" s="76" t="s">
        <v>109</v>
      </c>
      <c r="G99" s="75">
        <v>1993</v>
      </c>
      <c r="H99" s="81">
        <v>56</v>
      </c>
      <c r="I99" s="84"/>
      <c r="J99" s="64">
        <v>43</v>
      </c>
      <c r="K99" s="65">
        <v>148</v>
      </c>
      <c r="L99" s="112">
        <f t="shared" si="21"/>
        <v>29.054054054054053</v>
      </c>
      <c r="M99" s="31">
        <v>6</v>
      </c>
      <c r="N99" s="40">
        <f t="shared" si="11"/>
        <v>4.0540540540540544</v>
      </c>
      <c r="O99" s="31"/>
      <c r="P99" s="40" t="str">
        <f t="shared" si="12"/>
        <v/>
      </c>
      <c r="Q99" s="31">
        <v>4</v>
      </c>
      <c r="R99" s="40">
        <f t="shared" si="13"/>
        <v>2.7027027027027026</v>
      </c>
      <c r="S99" s="31">
        <v>1</v>
      </c>
      <c r="T99" s="40">
        <f t="shared" si="14"/>
        <v>0.67567567567567566</v>
      </c>
      <c r="U99" s="31"/>
      <c r="V99" s="40" t="str">
        <f t="shared" si="22"/>
        <v/>
      </c>
      <c r="W99" s="31">
        <v>2</v>
      </c>
      <c r="X99" s="40">
        <f t="shared" si="15"/>
        <v>1.3513513513513513</v>
      </c>
      <c r="Y99" s="31"/>
      <c r="Z99" s="40" t="str">
        <f t="shared" si="16"/>
        <v/>
      </c>
      <c r="AA99" s="31"/>
      <c r="AB99" s="40" t="str">
        <f t="shared" si="17"/>
        <v/>
      </c>
      <c r="AC99" s="31"/>
      <c r="AD99" s="40" t="str">
        <f t="shared" si="18"/>
        <v/>
      </c>
      <c r="AE99" s="31"/>
      <c r="AF99" s="40" t="str">
        <f t="shared" si="19"/>
        <v/>
      </c>
      <c r="AG99" s="31">
        <v>5</v>
      </c>
      <c r="AH99" s="40">
        <f t="shared" si="20"/>
        <v>3.3783783783783785</v>
      </c>
      <c r="AI99" s="19" t="s">
        <v>217</v>
      </c>
    </row>
    <row r="100" spans="1:35" ht="20" customHeight="1" x14ac:dyDescent="0.2">
      <c r="A100" s="128"/>
      <c r="B100" s="129"/>
      <c r="C100" s="75"/>
      <c r="D100" s="75"/>
      <c r="E100" s="76" t="s">
        <v>110</v>
      </c>
      <c r="F100" s="76" t="s">
        <v>111</v>
      </c>
      <c r="G100" s="75">
        <v>2009</v>
      </c>
      <c r="H100" s="81"/>
      <c r="I100" s="84" t="s">
        <v>112</v>
      </c>
      <c r="J100" s="64">
        <v>33</v>
      </c>
      <c r="K100" s="65">
        <v>170</v>
      </c>
      <c r="L100" s="112">
        <f t="shared" si="21"/>
        <v>19.411764705882355</v>
      </c>
      <c r="M100" s="31"/>
      <c r="N100" s="40" t="str">
        <f t="shared" si="11"/>
        <v/>
      </c>
      <c r="O100" s="31"/>
      <c r="P100" s="40" t="str">
        <f t="shared" si="12"/>
        <v/>
      </c>
      <c r="Q100" s="31"/>
      <c r="R100" s="40" t="str">
        <f t="shared" si="13"/>
        <v/>
      </c>
      <c r="S100" s="31"/>
      <c r="T100" s="40" t="str">
        <f t="shared" si="14"/>
        <v/>
      </c>
      <c r="U100" s="31"/>
      <c r="V100" s="40" t="str">
        <f t="shared" si="22"/>
        <v/>
      </c>
      <c r="W100" s="31"/>
      <c r="X100" s="40" t="str">
        <f t="shared" si="15"/>
        <v/>
      </c>
      <c r="Y100" s="31"/>
      <c r="Z100" s="40" t="str">
        <f t="shared" si="16"/>
        <v/>
      </c>
      <c r="AA100" s="31"/>
      <c r="AB100" s="40" t="str">
        <f t="shared" si="17"/>
        <v/>
      </c>
      <c r="AC100" s="31"/>
      <c r="AD100" s="40" t="str">
        <f t="shared" si="18"/>
        <v/>
      </c>
      <c r="AE100" s="31"/>
      <c r="AF100" s="40" t="str">
        <f t="shared" si="19"/>
        <v/>
      </c>
      <c r="AG100" s="31"/>
      <c r="AH100" s="40" t="str">
        <f t="shared" si="20"/>
        <v/>
      </c>
      <c r="AI100" s="19" t="s">
        <v>270</v>
      </c>
    </row>
    <row r="101" spans="1:35" ht="20" customHeight="1" x14ac:dyDescent="0.2">
      <c r="A101" s="128"/>
      <c r="B101" s="76"/>
      <c r="C101" s="75"/>
      <c r="D101" s="75"/>
      <c r="E101" s="76" t="s">
        <v>210</v>
      </c>
      <c r="F101" s="76" t="s">
        <v>211</v>
      </c>
      <c r="G101" s="75">
        <v>2013</v>
      </c>
      <c r="H101" s="81">
        <v>8</v>
      </c>
      <c r="I101" s="84"/>
      <c r="J101" s="64">
        <v>14</v>
      </c>
      <c r="K101" s="65">
        <v>98</v>
      </c>
      <c r="L101" s="112">
        <f t="shared" si="21"/>
        <v>14.285714285714285</v>
      </c>
      <c r="M101" s="31"/>
      <c r="N101" s="40" t="str">
        <f t="shared" si="11"/>
        <v/>
      </c>
      <c r="O101" s="31"/>
      <c r="P101" s="40"/>
      <c r="Q101" s="31"/>
      <c r="R101" s="40" t="str">
        <f t="shared" si="13"/>
        <v/>
      </c>
      <c r="S101" s="31"/>
      <c r="T101" s="40" t="str">
        <f t="shared" si="14"/>
        <v/>
      </c>
      <c r="U101" s="31"/>
      <c r="V101" s="40" t="str">
        <f t="shared" si="22"/>
        <v/>
      </c>
      <c r="W101" s="31"/>
      <c r="X101" s="40" t="str">
        <f t="shared" si="15"/>
        <v/>
      </c>
      <c r="Y101" s="31"/>
      <c r="Z101" s="40" t="str">
        <f t="shared" si="16"/>
        <v/>
      </c>
      <c r="AA101" s="31"/>
      <c r="AB101" s="40" t="str">
        <f t="shared" si="17"/>
        <v/>
      </c>
      <c r="AC101" s="31"/>
      <c r="AD101" s="40" t="str">
        <f t="shared" si="18"/>
        <v/>
      </c>
      <c r="AE101" s="31"/>
      <c r="AF101" s="40" t="str">
        <f t="shared" si="19"/>
        <v/>
      </c>
      <c r="AG101" s="31"/>
      <c r="AH101" s="40" t="str">
        <f t="shared" si="20"/>
        <v/>
      </c>
    </row>
    <row r="102" spans="1:35" ht="20" customHeight="1" x14ac:dyDescent="0.2">
      <c r="A102" s="128"/>
      <c r="B102" s="131"/>
      <c r="C102" s="75"/>
      <c r="D102" s="75"/>
      <c r="E102" s="76" t="s">
        <v>113</v>
      </c>
      <c r="F102" s="76" t="s">
        <v>114</v>
      </c>
      <c r="G102" s="75">
        <v>2008</v>
      </c>
      <c r="H102" s="81">
        <v>21</v>
      </c>
      <c r="I102" s="84" t="s">
        <v>115</v>
      </c>
      <c r="J102" s="64">
        <v>3</v>
      </c>
      <c r="K102" s="65">
        <v>111</v>
      </c>
      <c r="L102" s="112">
        <f t="shared" si="21"/>
        <v>2.7027027027027026</v>
      </c>
      <c r="M102" s="31"/>
      <c r="N102" s="40" t="str">
        <f t="shared" si="11"/>
        <v/>
      </c>
      <c r="O102" s="31"/>
      <c r="P102" s="40" t="str">
        <f t="shared" ref="P102:P125" si="23">IF((ISERROR((O102/$K102)*100)), "", IF(AND(NOT(ISERROR((O102/$K102)*100)),((O102/$K102)*100) &lt;&gt; 0), (O102/$K102)*100, ""))</f>
        <v/>
      </c>
      <c r="Q102" s="31"/>
      <c r="R102" s="40" t="str">
        <f t="shared" si="13"/>
        <v/>
      </c>
      <c r="S102" s="31"/>
      <c r="T102" s="40" t="str">
        <f t="shared" si="14"/>
        <v/>
      </c>
      <c r="U102" s="31"/>
      <c r="V102" s="40" t="str">
        <f t="shared" si="22"/>
        <v/>
      </c>
      <c r="W102" s="31"/>
      <c r="X102" s="40" t="str">
        <f t="shared" si="15"/>
        <v/>
      </c>
      <c r="Y102" s="31"/>
      <c r="Z102" s="40" t="str">
        <f t="shared" si="16"/>
        <v/>
      </c>
      <c r="AA102" s="31"/>
      <c r="AB102" s="40" t="str">
        <f t="shared" si="17"/>
        <v/>
      </c>
      <c r="AC102" s="31"/>
      <c r="AD102" s="40" t="str">
        <f t="shared" si="18"/>
        <v/>
      </c>
      <c r="AE102" s="31"/>
      <c r="AF102" s="40" t="str">
        <f t="shared" si="19"/>
        <v/>
      </c>
      <c r="AG102" s="31"/>
      <c r="AH102" s="40" t="str">
        <f t="shared" si="20"/>
        <v/>
      </c>
    </row>
    <row r="103" spans="1:35" ht="20" customHeight="1" x14ac:dyDescent="0.2">
      <c r="A103" s="128"/>
      <c r="B103" s="133"/>
      <c r="C103" s="75"/>
      <c r="D103" s="75"/>
      <c r="E103" s="76" t="s">
        <v>116</v>
      </c>
      <c r="F103" s="76" t="s">
        <v>117</v>
      </c>
      <c r="G103" s="75">
        <v>2005</v>
      </c>
      <c r="H103" s="81">
        <v>23</v>
      </c>
      <c r="I103" s="84"/>
      <c r="J103" s="64">
        <v>21</v>
      </c>
      <c r="K103" s="65">
        <v>174</v>
      </c>
      <c r="L103" s="112">
        <f t="shared" si="21"/>
        <v>12.068965517241379</v>
      </c>
      <c r="M103" s="32"/>
      <c r="N103" s="32" t="str">
        <f t="shared" si="11"/>
        <v/>
      </c>
      <c r="O103" s="32"/>
      <c r="P103" s="42" t="str">
        <f t="shared" si="23"/>
        <v/>
      </c>
      <c r="Q103" s="31"/>
      <c r="R103" s="40" t="str">
        <f t="shared" si="13"/>
        <v/>
      </c>
      <c r="S103" s="31"/>
      <c r="T103" s="40" t="str">
        <f t="shared" si="14"/>
        <v/>
      </c>
      <c r="U103" s="31"/>
      <c r="V103" s="40" t="str">
        <f t="shared" si="22"/>
        <v/>
      </c>
      <c r="W103" s="31"/>
      <c r="X103" s="40" t="str">
        <f t="shared" si="15"/>
        <v/>
      </c>
      <c r="Y103" s="31"/>
      <c r="Z103" s="40" t="str">
        <f t="shared" si="16"/>
        <v/>
      </c>
      <c r="AA103" s="31"/>
      <c r="AB103" s="40" t="str">
        <f t="shared" si="17"/>
        <v/>
      </c>
      <c r="AC103" s="31"/>
      <c r="AD103" s="40" t="str">
        <f t="shared" si="18"/>
        <v/>
      </c>
      <c r="AE103" s="31"/>
      <c r="AF103" s="40" t="str">
        <f t="shared" si="19"/>
        <v/>
      </c>
      <c r="AG103" s="31"/>
      <c r="AH103" s="40" t="str">
        <f t="shared" si="20"/>
        <v/>
      </c>
      <c r="AI103" s="19" t="s">
        <v>118</v>
      </c>
    </row>
    <row r="104" spans="1:35" ht="20" customHeight="1" x14ac:dyDescent="0.2">
      <c r="A104" s="128"/>
      <c r="B104" s="129"/>
      <c r="C104" s="75"/>
      <c r="D104" s="75"/>
      <c r="E104" s="76" t="s">
        <v>119</v>
      </c>
      <c r="F104" s="76" t="s">
        <v>120</v>
      </c>
      <c r="G104" s="75">
        <v>2015</v>
      </c>
      <c r="H104" s="81">
        <v>7</v>
      </c>
      <c r="I104" s="84" t="s">
        <v>115</v>
      </c>
      <c r="J104" s="64">
        <v>26</v>
      </c>
      <c r="K104" s="65">
        <v>388</v>
      </c>
      <c r="L104" s="112">
        <f t="shared" si="21"/>
        <v>6.7010309278350517</v>
      </c>
      <c r="M104" s="31"/>
      <c r="N104" s="40" t="str">
        <f t="shared" si="11"/>
        <v/>
      </c>
      <c r="O104" s="31"/>
      <c r="P104" s="40" t="str">
        <f t="shared" si="23"/>
        <v/>
      </c>
      <c r="Q104" s="31"/>
      <c r="R104" s="40" t="str">
        <f t="shared" si="13"/>
        <v/>
      </c>
      <c r="S104" s="31"/>
      <c r="T104" s="40" t="str">
        <f t="shared" si="14"/>
        <v/>
      </c>
      <c r="U104" s="31">
        <v>16</v>
      </c>
      <c r="V104" s="40">
        <f t="shared" si="22"/>
        <v>4.1237113402061851</v>
      </c>
      <c r="W104" s="31"/>
      <c r="X104" s="40" t="str">
        <f t="shared" si="15"/>
        <v/>
      </c>
      <c r="Y104" s="31"/>
      <c r="Z104" s="40" t="str">
        <f t="shared" si="16"/>
        <v/>
      </c>
      <c r="AA104" s="31"/>
      <c r="AB104" s="40" t="str">
        <f t="shared" si="17"/>
        <v/>
      </c>
      <c r="AC104" s="31"/>
      <c r="AD104" s="40" t="str">
        <f t="shared" si="18"/>
        <v/>
      </c>
      <c r="AE104" s="31"/>
      <c r="AF104" s="40" t="str">
        <f t="shared" si="19"/>
        <v/>
      </c>
      <c r="AG104" s="31"/>
      <c r="AH104" s="40" t="str">
        <f t="shared" si="20"/>
        <v/>
      </c>
    </row>
    <row r="105" spans="1:35" ht="20" customHeight="1" x14ac:dyDescent="0.2">
      <c r="A105" s="128"/>
      <c r="B105" s="132"/>
      <c r="C105" s="75"/>
      <c r="D105" s="75" t="s">
        <v>227</v>
      </c>
      <c r="E105" s="76" t="s">
        <v>121</v>
      </c>
      <c r="F105" s="76" t="s">
        <v>122</v>
      </c>
      <c r="G105" s="75">
        <v>2011</v>
      </c>
      <c r="H105" s="81">
        <v>12</v>
      </c>
      <c r="I105" s="84" t="s">
        <v>123</v>
      </c>
      <c r="J105" s="64"/>
      <c r="K105" s="65">
        <v>11</v>
      </c>
      <c r="L105" s="112" t="str">
        <f t="shared" si="21"/>
        <v/>
      </c>
      <c r="M105" s="31"/>
      <c r="N105" s="40" t="str">
        <f t="shared" si="11"/>
        <v/>
      </c>
      <c r="O105" s="31"/>
      <c r="P105" s="40" t="str">
        <f t="shared" si="23"/>
        <v/>
      </c>
      <c r="Q105" s="31"/>
      <c r="R105" s="40" t="str">
        <f t="shared" si="13"/>
        <v/>
      </c>
      <c r="S105" s="31"/>
      <c r="T105" s="40" t="str">
        <f t="shared" si="14"/>
        <v/>
      </c>
      <c r="U105" s="31"/>
      <c r="V105" s="40" t="str">
        <f t="shared" si="22"/>
        <v/>
      </c>
      <c r="W105" s="31"/>
      <c r="X105" s="40" t="str">
        <f t="shared" si="15"/>
        <v/>
      </c>
      <c r="Y105" s="31"/>
      <c r="Z105" s="40" t="str">
        <f t="shared" si="16"/>
        <v/>
      </c>
      <c r="AA105" s="31"/>
      <c r="AB105" s="40" t="str">
        <f t="shared" si="17"/>
        <v/>
      </c>
      <c r="AC105" s="31"/>
      <c r="AD105" s="40" t="str">
        <f t="shared" si="18"/>
        <v/>
      </c>
      <c r="AE105" s="31"/>
      <c r="AF105" s="40" t="str">
        <f t="shared" si="19"/>
        <v/>
      </c>
      <c r="AG105" s="31"/>
      <c r="AH105" s="40" t="str">
        <f t="shared" si="20"/>
        <v/>
      </c>
      <c r="AI105" s="19" t="s">
        <v>124</v>
      </c>
    </row>
    <row r="106" spans="1:35" ht="20" customHeight="1" x14ac:dyDescent="0.2">
      <c r="A106" s="128"/>
      <c r="B106" s="129"/>
      <c r="C106" s="75"/>
      <c r="D106" s="75"/>
      <c r="E106" s="76" t="s">
        <v>125</v>
      </c>
      <c r="F106" s="76" t="s">
        <v>126</v>
      </c>
      <c r="G106" s="75">
        <v>2017</v>
      </c>
      <c r="H106" s="81"/>
      <c r="I106" s="84" t="s">
        <v>112</v>
      </c>
      <c r="J106" s="64">
        <v>4</v>
      </c>
      <c r="K106" s="65">
        <v>124</v>
      </c>
      <c r="L106" s="112">
        <f t="shared" si="21"/>
        <v>3.225806451612903</v>
      </c>
      <c r="M106" s="31"/>
      <c r="N106" s="40" t="str">
        <f t="shared" si="11"/>
        <v/>
      </c>
      <c r="O106" s="31"/>
      <c r="P106" s="40" t="str">
        <f t="shared" si="23"/>
        <v/>
      </c>
      <c r="Q106" s="31"/>
      <c r="R106" s="40" t="str">
        <f t="shared" si="13"/>
        <v/>
      </c>
      <c r="S106" s="31"/>
      <c r="T106" s="40" t="str">
        <f t="shared" si="14"/>
        <v/>
      </c>
      <c r="U106" s="31"/>
      <c r="V106" s="40" t="str">
        <f t="shared" si="22"/>
        <v/>
      </c>
      <c r="W106" s="31"/>
      <c r="X106" s="40" t="str">
        <f t="shared" si="15"/>
        <v/>
      </c>
      <c r="Y106" s="31"/>
      <c r="Z106" s="40" t="str">
        <f t="shared" si="16"/>
        <v/>
      </c>
      <c r="AA106" s="31"/>
      <c r="AB106" s="40" t="str">
        <f t="shared" si="17"/>
        <v/>
      </c>
      <c r="AC106" s="31"/>
      <c r="AD106" s="40" t="str">
        <f t="shared" si="18"/>
        <v/>
      </c>
      <c r="AE106" s="31"/>
      <c r="AF106" s="40" t="str">
        <f t="shared" si="19"/>
        <v/>
      </c>
      <c r="AG106" s="31"/>
      <c r="AH106" s="40" t="str">
        <f t="shared" si="20"/>
        <v/>
      </c>
    </row>
    <row r="107" spans="1:35" ht="20" customHeight="1" x14ac:dyDescent="0.2">
      <c r="A107" s="128"/>
      <c r="B107" s="133"/>
      <c r="C107" s="75"/>
      <c r="D107" s="75"/>
      <c r="E107" s="76" t="s">
        <v>127</v>
      </c>
      <c r="F107" s="76" t="s">
        <v>128</v>
      </c>
      <c r="G107" s="75">
        <v>2010</v>
      </c>
      <c r="H107" s="81">
        <v>61</v>
      </c>
      <c r="I107" s="84"/>
      <c r="J107" s="64"/>
      <c r="K107" s="65">
        <v>142</v>
      </c>
      <c r="L107" s="112" t="str">
        <f t="shared" si="21"/>
        <v/>
      </c>
      <c r="M107" s="31">
        <v>19</v>
      </c>
      <c r="N107" s="40">
        <f t="shared" si="11"/>
        <v>13.380281690140844</v>
      </c>
      <c r="O107" s="31"/>
      <c r="P107" s="40" t="str">
        <f t="shared" si="23"/>
        <v/>
      </c>
      <c r="Q107" s="31">
        <v>16</v>
      </c>
      <c r="R107" s="40">
        <f t="shared" si="13"/>
        <v>11.267605633802818</v>
      </c>
      <c r="S107" s="31"/>
      <c r="T107" s="40" t="str">
        <f t="shared" si="14"/>
        <v/>
      </c>
      <c r="U107" s="31"/>
      <c r="V107" s="40" t="str">
        <f t="shared" si="22"/>
        <v/>
      </c>
      <c r="W107" s="31"/>
      <c r="X107" s="40" t="str">
        <f t="shared" si="15"/>
        <v/>
      </c>
      <c r="Y107" s="31"/>
      <c r="Z107" s="40" t="str">
        <f t="shared" si="16"/>
        <v/>
      </c>
      <c r="AA107" s="31"/>
      <c r="AB107" s="40" t="str">
        <f t="shared" si="17"/>
        <v/>
      </c>
      <c r="AC107" s="31"/>
      <c r="AD107" s="40" t="str">
        <f t="shared" si="18"/>
        <v/>
      </c>
      <c r="AE107" s="31"/>
      <c r="AF107" s="40" t="str">
        <f t="shared" si="19"/>
        <v/>
      </c>
      <c r="AG107" s="31"/>
      <c r="AH107" s="40" t="str">
        <f t="shared" si="20"/>
        <v/>
      </c>
      <c r="AI107" s="19" t="s">
        <v>182</v>
      </c>
    </row>
    <row r="108" spans="1:35" ht="20" customHeight="1" x14ac:dyDescent="0.2">
      <c r="A108" s="130"/>
      <c r="B108" s="131"/>
      <c r="C108" s="75"/>
      <c r="D108" s="75"/>
      <c r="E108" s="76" t="s">
        <v>165</v>
      </c>
      <c r="F108" s="76" t="s">
        <v>129</v>
      </c>
      <c r="G108" s="75">
        <v>2008</v>
      </c>
      <c r="H108" s="81">
        <v>78</v>
      </c>
      <c r="I108" s="84"/>
      <c r="J108" s="64"/>
      <c r="K108" s="65">
        <v>143</v>
      </c>
      <c r="L108" s="112" t="str">
        <f t="shared" si="21"/>
        <v/>
      </c>
      <c r="M108" s="31"/>
      <c r="N108" s="40" t="str">
        <f t="shared" si="11"/>
        <v/>
      </c>
      <c r="O108" s="31"/>
      <c r="P108" s="40" t="str">
        <f t="shared" si="23"/>
        <v/>
      </c>
      <c r="Q108" s="31"/>
      <c r="R108" s="40" t="str">
        <f t="shared" si="13"/>
        <v/>
      </c>
      <c r="S108" s="31"/>
      <c r="T108" s="40" t="str">
        <f t="shared" si="14"/>
        <v/>
      </c>
      <c r="U108" s="31"/>
      <c r="V108" s="40" t="str">
        <f t="shared" si="22"/>
        <v/>
      </c>
      <c r="W108" s="31"/>
      <c r="X108" s="40" t="str">
        <f t="shared" si="15"/>
        <v/>
      </c>
      <c r="Y108" s="31"/>
      <c r="Z108" s="40" t="str">
        <f t="shared" si="16"/>
        <v/>
      </c>
      <c r="AA108" s="31"/>
      <c r="AB108" s="40" t="str">
        <f t="shared" si="17"/>
        <v/>
      </c>
      <c r="AC108" s="31"/>
      <c r="AD108" s="40" t="str">
        <f t="shared" si="18"/>
        <v/>
      </c>
      <c r="AE108" s="31"/>
      <c r="AF108" s="40" t="str">
        <f t="shared" si="19"/>
        <v/>
      </c>
      <c r="AG108" s="31"/>
      <c r="AH108" s="40" t="str">
        <f t="shared" si="20"/>
        <v/>
      </c>
      <c r="AI108" s="22" t="s">
        <v>184</v>
      </c>
    </row>
    <row r="109" spans="1:35" ht="20" customHeight="1" x14ac:dyDescent="0.2">
      <c r="A109" s="130"/>
      <c r="B109" s="131"/>
      <c r="C109" s="75"/>
      <c r="D109" s="75"/>
      <c r="E109" s="76" t="s">
        <v>130</v>
      </c>
      <c r="F109" s="76" t="s">
        <v>131</v>
      </c>
      <c r="G109" s="75">
        <v>2017</v>
      </c>
      <c r="H109" s="81"/>
      <c r="I109" s="84"/>
      <c r="J109" s="64">
        <v>32</v>
      </c>
      <c r="K109" s="65">
        <v>150</v>
      </c>
      <c r="L109" s="112">
        <f t="shared" si="21"/>
        <v>21.333333333333336</v>
      </c>
      <c r="M109" s="31"/>
      <c r="N109" s="40" t="str">
        <f t="shared" si="11"/>
        <v/>
      </c>
      <c r="O109" s="31"/>
      <c r="P109" s="40" t="str">
        <f t="shared" si="23"/>
        <v/>
      </c>
      <c r="Q109" s="31"/>
      <c r="R109" s="40" t="str">
        <f t="shared" si="13"/>
        <v/>
      </c>
      <c r="S109" s="31"/>
      <c r="T109" s="40" t="str">
        <f t="shared" si="14"/>
        <v/>
      </c>
      <c r="U109" s="31"/>
      <c r="V109" s="40" t="str">
        <f t="shared" si="22"/>
        <v/>
      </c>
      <c r="W109" s="31"/>
      <c r="X109" s="40" t="str">
        <f t="shared" si="15"/>
        <v/>
      </c>
      <c r="Y109" s="31"/>
      <c r="Z109" s="40" t="str">
        <f t="shared" si="16"/>
        <v/>
      </c>
      <c r="AA109" s="31"/>
      <c r="AB109" s="40" t="str">
        <f t="shared" si="17"/>
        <v/>
      </c>
      <c r="AC109" s="31"/>
      <c r="AD109" s="40" t="str">
        <f t="shared" si="18"/>
        <v/>
      </c>
      <c r="AE109" s="31"/>
      <c r="AF109" s="40" t="str">
        <f t="shared" si="19"/>
        <v/>
      </c>
      <c r="AG109" s="31"/>
      <c r="AH109" s="40" t="str">
        <f t="shared" si="20"/>
        <v/>
      </c>
      <c r="AI109" s="22" t="s">
        <v>73</v>
      </c>
    </row>
    <row r="110" spans="1:35" ht="20" customHeight="1" x14ac:dyDescent="0.2">
      <c r="A110" s="128"/>
      <c r="B110" s="132"/>
      <c r="C110" s="75"/>
      <c r="D110" s="75"/>
      <c r="E110" s="76" t="s">
        <v>185</v>
      </c>
      <c r="F110" s="76" t="s">
        <v>186</v>
      </c>
      <c r="G110" s="75">
        <v>2006</v>
      </c>
      <c r="H110" s="81">
        <v>65</v>
      </c>
      <c r="I110" s="84"/>
      <c r="J110" s="64">
        <v>6</v>
      </c>
      <c r="K110" s="65">
        <v>9</v>
      </c>
      <c r="L110" s="112">
        <f t="shared" si="21"/>
        <v>66.666666666666657</v>
      </c>
      <c r="M110" s="31"/>
      <c r="N110" s="40" t="str">
        <f t="shared" si="11"/>
        <v/>
      </c>
      <c r="O110" s="31"/>
      <c r="P110" s="40" t="str">
        <f t="shared" si="23"/>
        <v/>
      </c>
      <c r="Q110" s="31"/>
      <c r="R110" s="40" t="str">
        <f t="shared" si="13"/>
        <v/>
      </c>
      <c r="S110" s="31"/>
      <c r="T110" s="40" t="str">
        <f t="shared" si="14"/>
        <v/>
      </c>
      <c r="U110" s="31"/>
      <c r="V110" s="40" t="str">
        <f t="shared" si="22"/>
        <v/>
      </c>
      <c r="W110" s="31">
        <v>1</v>
      </c>
      <c r="X110" s="40">
        <f t="shared" si="15"/>
        <v>11.111111111111111</v>
      </c>
      <c r="Y110" s="31">
        <v>1</v>
      </c>
      <c r="Z110" s="40">
        <f t="shared" si="16"/>
        <v>11.111111111111111</v>
      </c>
      <c r="AA110" s="31"/>
      <c r="AB110" s="40" t="str">
        <f t="shared" si="17"/>
        <v/>
      </c>
      <c r="AC110" s="31"/>
      <c r="AD110" s="40" t="str">
        <f t="shared" si="18"/>
        <v/>
      </c>
      <c r="AE110" s="31"/>
      <c r="AF110" s="40" t="str">
        <f t="shared" si="19"/>
        <v/>
      </c>
      <c r="AG110" s="31"/>
      <c r="AH110" s="40" t="str">
        <f t="shared" si="20"/>
        <v/>
      </c>
      <c r="AI110" s="19" t="s">
        <v>220</v>
      </c>
    </row>
    <row r="111" spans="1:35" ht="20" customHeight="1" x14ac:dyDescent="0.2">
      <c r="A111" s="128"/>
      <c r="B111" s="132"/>
      <c r="C111" s="75"/>
      <c r="D111" s="75"/>
      <c r="E111" s="76" t="s">
        <v>132</v>
      </c>
      <c r="F111" s="76" t="s">
        <v>133</v>
      </c>
      <c r="G111" s="75">
        <v>2009</v>
      </c>
      <c r="H111" s="81">
        <v>31</v>
      </c>
      <c r="I111" s="84"/>
      <c r="J111" s="64">
        <v>196</v>
      </c>
      <c r="K111" s="65">
        <v>225</v>
      </c>
      <c r="L111" s="112">
        <f t="shared" si="21"/>
        <v>87.1111111111111</v>
      </c>
      <c r="M111" s="31"/>
      <c r="N111" s="40" t="str">
        <f t="shared" si="11"/>
        <v/>
      </c>
      <c r="O111" s="31">
        <v>59</v>
      </c>
      <c r="P111" s="40">
        <f t="shared" si="23"/>
        <v>26.222222222222225</v>
      </c>
      <c r="Q111" s="31">
        <v>103</v>
      </c>
      <c r="R111" s="40">
        <f t="shared" si="13"/>
        <v>45.777777777777779</v>
      </c>
      <c r="S111" s="31">
        <v>20</v>
      </c>
      <c r="T111" s="40">
        <f t="shared" si="14"/>
        <v>8.8888888888888893</v>
      </c>
      <c r="U111" s="31"/>
      <c r="V111" s="40" t="str">
        <f t="shared" si="22"/>
        <v/>
      </c>
      <c r="W111" s="31">
        <v>85</v>
      </c>
      <c r="X111" s="40">
        <f t="shared" si="15"/>
        <v>37.777777777777779</v>
      </c>
      <c r="Y111" s="31"/>
      <c r="Z111" s="40" t="str">
        <f t="shared" si="16"/>
        <v/>
      </c>
      <c r="AA111" s="31"/>
      <c r="AB111" s="40" t="str">
        <f t="shared" si="17"/>
        <v/>
      </c>
      <c r="AC111" s="31"/>
      <c r="AD111" s="40" t="str">
        <f t="shared" si="18"/>
        <v/>
      </c>
      <c r="AE111" s="31"/>
      <c r="AF111" s="40" t="str">
        <f t="shared" si="19"/>
        <v/>
      </c>
      <c r="AG111" s="31">
        <v>154</v>
      </c>
      <c r="AH111" s="40">
        <f t="shared" si="20"/>
        <v>68.444444444444443</v>
      </c>
      <c r="AI111" s="19" t="s">
        <v>222</v>
      </c>
    </row>
    <row r="112" spans="1:35" ht="20" customHeight="1" x14ac:dyDescent="0.2">
      <c r="A112" s="128"/>
      <c r="B112" s="132"/>
      <c r="C112" s="75"/>
      <c r="D112" s="75"/>
      <c r="E112" s="76" t="s">
        <v>135</v>
      </c>
      <c r="F112" s="76" t="s">
        <v>133</v>
      </c>
      <c r="G112" s="75">
        <v>2009</v>
      </c>
      <c r="H112" s="81">
        <v>6</v>
      </c>
      <c r="I112" s="84"/>
      <c r="J112" s="64">
        <v>58</v>
      </c>
      <c r="K112" s="65">
        <v>78</v>
      </c>
      <c r="L112" s="112">
        <f t="shared" si="21"/>
        <v>74.358974358974365</v>
      </c>
      <c r="M112" s="31"/>
      <c r="N112" s="40" t="str">
        <f t="shared" si="11"/>
        <v/>
      </c>
      <c r="O112" s="31">
        <v>10</v>
      </c>
      <c r="P112" s="40">
        <f t="shared" si="23"/>
        <v>12.820512820512819</v>
      </c>
      <c r="Q112" s="31">
        <v>32</v>
      </c>
      <c r="R112" s="40">
        <f t="shared" si="13"/>
        <v>41.025641025641022</v>
      </c>
      <c r="S112" s="31">
        <v>7</v>
      </c>
      <c r="T112" s="40">
        <f t="shared" si="14"/>
        <v>8.9743589743589745</v>
      </c>
      <c r="U112" s="31"/>
      <c r="V112" s="40" t="str">
        <f t="shared" si="22"/>
        <v/>
      </c>
      <c r="W112" s="31">
        <v>24</v>
      </c>
      <c r="X112" s="40">
        <f t="shared" si="15"/>
        <v>30.76923076923077</v>
      </c>
      <c r="Y112" s="31"/>
      <c r="Z112" s="40" t="str">
        <f t="shared" si="16"/>
        <v/>
      </c>
      <c r="AA112" s="31"/>
      <c r="AB112" s="40" t="str">
        <f t="shared" si="17"/>
        <v/>
      </c>
      <c r="AC112" s="31"/>
      <c r="AD112" s="40" t="str">
        <f t="shared" si="18"/>
        <v/>
      </c>
      <c r="AE112" s="31"/>
      <c r="AF112" s="40" t="str">
        <f t="shared" si="19"/>
        <v/>
      </c>
      <c r="AG112" s="31">
        <v>33</v>
      </c>
      <c r="AH112" s="40">
        <f t="shared" si="20"/>
        <v>42.307692307692307</v>
      </c>
      <c r="AI112" s="19" t="s">
        <v>219</v>
      </c>
    </row>
    <row r="113" spans="1:35" ht="20" customHeight="1" x14ac:dyDescent="0.2">
      <c r="A113" s="128"/>
      <c r="B113" s="133"/>
      <c r="C113" s="75"/>
      <c r="D113" s="75"/>
      <c r="E113" s="76" t="s">
        <v>137</v>
      </c>
      <c r="F113" s="76" t="s">
        <v>138</v>
      </c>
      <c r="G113" s="75">
        <v>1997</v>
      </c>
      <c r="H113" s="81">
        <v>94</v>
      </c>
      <c r="I113" s="84"/>
      <c r="J113" s="64">
        <v>262</v>
      </c>
      <c r="K113" s="65">
        <v>562</v>
      </c>
      <c r="L113" s="112">
        <f t="shared" si="21"/>
        <v>46.619217081850536</v>
      </c>
      <c r="M113" s="31"/>
      <c r="N113" s="40" t="str">
        <f t="shared" si="11"/>
        <v/>
      </c>
      <c r="O113" s="32"/>
      <c r="P113" s="42" t="str">
        <f t="shared" si="23"/>
        <v/>
      </c>
      <c r="Q113" s="31"/>
      <c r="R113" s="40" t="str">
        <f t="shared" si="13"/>
        <v/>
      </c>
      <c r="S113" s="31"/>
      <c r="T113" s="40" t="str">
        <f t="shared" si="14"/>
        <v/>
      </c>
      <c r="U113" s="31"/>
      <c r="V113" s="40" t="str">
        <f t="shared" si="22"/>
        <v/>
      </c>
      <c r="W113" s="31"/>
      <c r="X113" s="40" t="str">
        <f t="shared" si="15"/>
        <v/>
      </c>
      <c r="Y113" s="31"/>
      <c r="Z113" s="40" t="str">
        <f t="shared" si="16"/>
        <v/>
      </c>
      <c r="AA113" s="31"/>
      <c r="AB113" s="40" t="str">
        <f t="shared" si="17"/>
        <v/>
      </c>
      <c r="AC113" s="31"/>
      <c r="AD113" s="40" t="str">
        <f t="shared" si="18"/>
        <v/>
      </c>
      <c r="AE113" s="31"/>
      <c r="AF113" s="40" t="str">
        <f t="shared" si="19"/>
        <v/>
      </c>
      <c r="AG113" s="32"/>
      <c r="AH113" s="32" t="str">
        <f t="shared" si="20"/>
        <v/>
      </c>
    </row>
    <row r="114" spans="1:35" ht="20" customHeight="1" x14ac:dyDescent="0.2">
      <c r="A114" s="130"/>
      <c r="B114" s="131"/>
      <c r="C114" s="75"/>
      <c r="D114" s="75"/>
      <c r="E114" s="350" t="s">
        <v>277</v>
      </c>
      <c r="F114" s="139" t="s">
        <v>278</v>
      </c>
      <c r="G114" s="138">
        <v>1991</v>
      </c>
      <c r="H114" s="140"/>
      <c r="I114" s="141"/>
      <c r="J114" s="142"/>
      <c r="K114" s="143">
        <v>3</v>
      </c>
      <c r="L114" s="144"/>
      <c r="M114" s="31"/>
      <c r="N114" s="40"/>
      <c r="O114" s="31"/>
      <c r="P114" s="40"/>
      <c r="Q114" s="31"/>
      <c r="R114" s="40"/>
      <c r="S114" s="31"/>
      <c r="T114" s="40"/>
      <c r="U114" s="31"/>
      <c r="V114" s="40"/>
      <c r="W114" s="31"/>
      <c r="X114" s="40"/>
      <c r="Y114" s="31"/>
      <c r="Z114" s="40"/>
      <c r="AA114" s="31"/>
      <c r="AB114" s="40"/>
      <c r="AC114" s="31"/>
      <c r="AD114" s="40"/>
      <c r="AE114" s="31"/>
      <c r="AF114" s="40"/>
      <c r="AG114" s="31"/>
      <c r="AH114" s="40"/>
    </row>
    <row r="115" spans="1:35" ht="20" customHeight="1" x14ac:dyDescent="0.2">
      <c r="A115" s="128"/>
      <c r="B115" s="132"/>
      <c r="C115" s="75"/>
      <c r="D115" s="75"/>
      <c r="E115" s="76" t="s">
        <v>139</v>
      </c>
      <c r="F115" s="76" t="s">
        <v>140</v>
      </c>
      <c r="G115" s="75">
        <v>2009</v>
      </c>
      <c r="H115" s="81">
        <v>38</v>
      </c>
      <c r="I115" s="84"/>
      <c r="J115" s="64">
        <v>39</v>
      </c>
      <c r="K115" s="65">
        <v>100</v>
      </c>
      <c r="L115" s="112">
        <f t="shared" si="21"/>
        <v>39</v>
      </c>
      <c r="M115" s="31"/>
      <c r="N115" s="40" t="str">
        <f t="shared" si="11"/>
        <v/>
      </c>
      <c r="O115" s="31">
        <v>3</v>
      </c>
      <c r="P115" s="40">
        <f t="shared" si="23"/>
        <v>3</v>
      </c>
      <c r="Q115" s="31"/>
      <c r="R115" s="40" t="str">
        <f t="shared" si="13"/>
        <v/>
      </c>
      <c r="S115" s="31">
        <v>13</v>
      </c>
      <c r="T115" s="40">
        <f t="shared" si="14"/>
        <v>13</v>
      </c>
      <c r="U115" s="31"/>
      <c r="V115" s="40" t="str">
        <f t="shared" si="22"/>
        <v/>
      </c>
      <c r="W115" s="31">
        <v>4</v>
      </c>
      <c r="X115" s="40">
        <f t="shared" si="15"/>
        <v>4</v>
      </c>
      <c r="Y115" s="31"/>
      <c r="Z115" s="40" t="str">
        <f t="shared" si="16"/>
        <v/>
      </c>
      <c r="AA115" s="31"/>
      <c r="AB115" s="40" t="str">
        <f t="shared" si="17"/>
        <v/>
      </c>
      <c r="AC115" s="31"/>
      <c r="AD115" s="40" t="str">
        <f t="shared" si="18"/>
        <v/>
      </c>
      <c r="AE115" s="31"/>
      <c r="AF115" s="40" t="str">
        <f t="shared" si="19"/>
        <v/>
      </c>
      <c r="AG115" s="31"/>
      <c r="AH115" s="40" t="str">
        <f t="shared" si="20"/>
        <v/>
      </c>
      <c r="AI115" s="19" t="s">
        <v>212</v>
      </c>
    </row>
    <row r="116" spans="1:35" ht="20" customHeight="1" x14ac:dyDescent="0.2">
      <c r="A116" s="128"/>
      <c r="B116" s="132"/>
      <c r="C116" s="75"/>
      <c r="D116" s="75"/>
      <c r="E116" s="76" t="s">
        <v>141</v>
      </c>
      <c r="F116" s="76" t="s">
        <v>142</v>
      </c>
      <c r="G116" s="75">
        <v>2006</v>
      </c>
      <c r="H116" s="81">
        <v>56</v>
      </c>
      <c r="I116" s="84"/>
      <c r="J116" s="64">
        <v>35</v>
      </c>
      <c r="K116" s="65">
        <v>500</v>
      </c>
      <c r="L116" s="112">
        <f t="shared" si="21"/>
        <v>7.0000000000000009</v>
      </c>
      <c r="M116" s="31"/>
      <c r="N116" s="40" t="str">
        <f t="shared" si="11"/>
        <v/>
      </c>
      <c r="O116" s="31">
        <v>2</v>
      </c>
      <c r="P116" s="40">
        <f t="shared" si="23"/>
        <v>0.4</v>
      </c>
      <c r="Q116" s="31">
        <v>1</v>
      </c>
      <c r="R116" s="40">
        <f t="shared" si="13"/>
        <v>0.2</v>
      </c>
      <c r="S116" s="31"/>
      <c r="T116" s="40" t="str">
        <f t="shared" si="14"/>
        <v/>
      </c>
      <c r="U116" s="31"/>
      <c r="V116" s="40" t="str">
        <f t="shared" si="22"/>
        <v/>
      </c>
      <c r="W116" s="31"/>
      <c r="X116" s="40" t="str">
        <f t="shared" si="15"/>
        <v/>
      </c>
      <c r="Y116" s="31">
        <v>2</v>
      </c>
      <c r="Z116" s="40">
        <f t="shared" si="16"/>
        <v>0.4</v>
      </c>
      <c r="AA116" s="31"/>
      <c r="AB116" s="40" t="str">
        <f t="shared" si="17"/>
        <v/>
      </c>
      <c r="AC116" s="31">
        <v>10</v>
      </c>
      <c r="AD116" s="40">
        <f t="shared" si="18"/>
        <v>2</v>
      </c>
      <c r="AE116" s="31"/>
      <c r="AF116" s="40" t="str">
        <f t="shared" si="19"/>
        <v/>
      </c>
      <c r="AG116" s="31"/>
      <c r="AH116" s="40" t="str">
        <f t="shared" si="20"/>
        <v/>
      </c>
      <c r="AI116" s="19" t="s">
        <v>280</v>
      </c>
    </row>
    <row r="117" spans="1:35" ht="20" customHeight="1" x14ac:dyDescent="0.2">
      <c r="A117" s="130"/>
      <c r="B117" s="129"/>
      <c r="C117" s="75"/>
      <c r="D117" s="75"/>
      <c r="E117" s="76" t="s">
        <v>143</v>
      </c>
      <c r="F117" s="76" t="s">
        <v>144</v>
      </c>
      <c r="G117" s="75">
        <v>2016</v>
      </c>
      <c r="H117" s="81">
        <v>2</v>
      </c>
      <c r="I117" s="84"/>
      <c r="J117" s="64">
        <v>3</v>
      </c>
      <c r="K117" s="65">
        <v>177</v>
      </c>
      <c r="L117" s="112">
        <f t="shared" si="21"/>
        <v>1.6949152542372881</v>
      </c>
      <c r="M117" s="31"/>
      <c r="N117" s="40" t="str">
        <f t="shared" si="11"/>
        <v/>
      </c>
      <c r="O117" s="31"/>
      <c r="P117" s="40" t="str">
        <f t="shared" si="23"/>
        <v/>
      </c>
      <c r="Q117" s="31"/>
      <c r="R117" s="40" t="str">
        <f t="shared" si="13"/>
        <v/>
      </c>
      <c r="S117" s="31"/>
      <c r="T117" s="40" t="str">
        <f t="shared" si="14"/>
        <v/>
      </c>
      <c r="U117" s="31"/>
      <c r="V117" s="40" t="str">
        <f t="shared" si="22"/>
        <v/>
      </c>
      <c r="W117" s="31"/>
      <c r="X117" s="40" t="str">
        <f t="shared" si="15"/>
        <v/>
      </c>
      <c r="Y117" s="31"/>
      <c r="Z117" s="40" t="str">
        <f t="shared" si="16"/>
        <v/>
      </c>
      <c r="AA117" s="31"/>
      <c r="AB117" s="40" t="str">
        <f t="shared" si="17"/>
        <v/>
      </c>
      <c r="AC117" s="31"/>
      <c r="AD117" s="40" t="str">
        <f t="shared" si="18"/>
        <v/>
      </c>
      <c r="AE117" s="31"/>
      <c r="AF117" s="40" t="str">
        <f t="shared" si="19"/>
        <v/>
      </c>
      <c r="AG117" s="31"/>
      <c r="AH117" s="40" t="str">
        <f t="shared" si="20"/>
        <v/>
      </c>
    </row>
    <row r="118" spans="1:35" ht="20" customHeight="1" x14ac:dyDescent="0.2">
      <c r="A118" s="128"/>
      <c r="B118" s="133"/>
      <c r="C118" s="75"/>
      <c r="D118" s="75"/>
      <c r="E118" s="76" t="s">
        <v>145</v>
      </c>
      <c r="F118" s="76" t="s">
        <v>146</v>
      </c>
      <c r="G118" s="75">
        <v>2009</v>
      </c>
      <c r="H118" s="81"/>
      <c r="I118" s="84" t="s">
        <v>191</v>
      </c>
      <c r="J118" s="64">
        <v>21</v>
      </c>
      <c r="K118" s="65">
        <v>293</v>
      </c>
      <c r="L118" s="112">
        <f t="shared" si="21"/>
        <v>7.1672354948805461</v>
      </c>
      <c r="M118" s="31">
        <v>2</v>
      </c>
      <c r="N118" s="40">
        <f t="shared" si="11"/>
        <v>0.68259385665529015</v>
      </c>
      <c r="O118" s="31"/>
      <c r="P118" s="40" t="str">
        <f t="shared" si="23"/>
        <v/>
      </c>
      <c r="Q118" s="31">
        <v>2</v>
      </c>
      <c r="R118" s="40">
        <f t="shared" si="13"/>
        <v>0.68259385665529015</v>
      </c>
      <c r="S118" s="31">
        <v>1</v>
      </c>
      <c r="T118" s="40">
        <f t="shared" si="14"/>
        <v>0.34129692832764508</v>
      </c>
      <c r="U118" s="31"/>
      <c r="V118" s="40" t="str">
        <f t="shared" si="22"/>
        <v/>
      </c>
      <c r="W118" s="31">
        <v>2</v>
      </c>
      <c r="X118" s="40">
        <f t="shared" si="15"/>
        <v>0.68259385665529015</v>
      </c>
      <c r="Y118" s="31">
        <v>2</v>
      </c>
      <c r="Z118" s="40">
        <f t="shared" si="16"/>
        <v>0.68259385665529015</v>
      </c>
      <c r="AA118" s="31">
        <v>1</v>
      </c>
      <c r="AB118" s="40">
        <f t="shared" si="17"/>
        <v>0.34129692832764508</v>
      </c>
      <c r="AC118" s="31">
        <v>1</v>
      </c>
      <c r="AD118" s="40">
        <f t="shared" si="18"/>
        <v>0.34129692832764508</v>
      </c>
      <c r="AE118" s="31">
        <v>1</v>
      </c>
      <c r="AF118" s="40">
        <f t="shared" si="19"/>
        <v>0.34129692832764508</v>
      </c>
      <c r="AG118" s="31"/>
      <c r="AH118" s="40" t="str">
        <f t="shared" si="20"/>
        <v/>
      </c>
    </row>
    <row r="119" spans="1:35" ht="20" customHeight="1" x14ac:dyDescent="0.2">
      <c r="A119" s="128"/>
      <c r="B119" s="129"/>
      <c r="C119" s="75"/>
      <c r="D119" s="75"/>
      <c r="E119" s="76" t="s">
        <v>147</v>
      </c>
      <c r="F119" s="76" t="s">
        <v>148</v>
      </c>
      <c r="G119" s="75">
        <v>2007</v>
      </c>
      <c r="H119" s="81">
        <v>34</v>
      </c>
      <c r="I119" s="84" t="s">
        <v>112</v>
      </c>
      <c r="J119" s="64">
        <v>7</v>
      </c>
      <c r="K119" s="65">
        <v>109</v>
      </c>
      <c r="L119" s="112">
        <f t="shared" si="21"/>
        <v>6.4220183486238538</v>
      </c>
      <c r="M119" s="31"/>
      <c r="N119" s="40" t="str">
        <f t="shared" si="11"/>
        <v/>
      </c>
      <c r="O119" s="31">
        <v>4</v>
      </c>
      <c r="P119" s="40">
        <f t="shared" si="23"/>
        <v>3.669724770642202</v>
      </c>
      <c r="Q119" s="31"/>
      <c r="R119" s="40" t="str">
        <f t="shared" si="13"/>
        <v/>
      </c>
      <c r="S119" s="31"/>
      <c r="T119" s="40" t="str">
        <f t="shared" si="14"/>
        <v/>
      </c>
      <c r="U119" s="31">
        <v>4</v>
      </c>
      <c r="V119" s="40">
        <f t="shared" si="22"/>
        <v>3.669724770642202</v>
      </c>
      <c r="W119" s="31"/>
      <c r="X119" s="40" t="str">
        <f t="shared" si="15"/>
        <v/>
      </c>
      <c r="Y119" s="31"/>
      <c r="Z119" s="40" t="str">
        <f t="shared" si="16"/>
        <v/>
      </c>
      <c r="AA119" s="31"/>
      <c r="AB119" s="40" t="str">
        <f t="shared" si="17"/>
        <v/>
      </c>
      <c r="AC119" s="31"/>
      <c r="AD119" s="40" t="str">
        <f t="shared" si="18"/>
        <v/>
      </c>
      <c r="AE119" s="31"/>
      <c r="AF119" s="40" t="str">
        <f t="shared" si="19"/>
        <v/>
      </c>
      <c r="AG119" s="31"/>
      <c r="AH119" s="40" t="str">
        <f t="shared" si="20"/>
        <v/>
      </c>
      <c r="AI119" s="19" t="s">
        <v>194</v>
      </c>
    </row>
    <row r="120" spans="1:35" ht="20" customHeight="1" x14ac:dyDescent="0.2">
      <c r="A120" s="128"/>
      <c r="B120" s="129"/>
      <c r="C120" s="75"/>
      <c r="D120" s="75"/>
      <c r="E120" s="76" t="s">
        <v>149</v>
      </c>
      <c r="F120" s="76" t="s">
        <v>150</v>
      </c>
      <c r="G120" s="75">
        <v>2010</v>
      </c>
      <c r="H120" s="81">
        <v>50</v>
      </c>
      <c r="I120" s="84"/>
      <c r="J120" s="64">
        <v>2</v>
      </c>
      <c r="K120" s="65">
        <v>56</v>
      </c>
      <c r="L120" s="112">
        <f t="shared" si="21"/>
        <v>3.5714285714285712</v>
      </c>
      <c r="M120" s="31"/>
      <c r="N120" s="40" t="str">
        <f t="shared" si="11"/>
        <v/>
      </c>
      <c r="O120" s="31"/>
      <c r="P120" s="40" t="str">
        <f t="shared" si="23"/>
        <v/>
      </c>
      <c r="Q120" s="31"/>
      <c r="R120" s="40" t="str">
        <f t="shared" si="13"/>
        <v/>
      </c>
      <c r="S120" s="31"/>
      <c r="T120" s="40" t="str">
        <f t="shared" si="14"/>
        <v/>
      </c>
      <c r="U120" s="31"/>
      <c r="V120" s="40" t="str">
        <f t="shared" si="22"/>
        <v/>
      </c>
      <c r="W120" s="31"/>
      <c r="X120" s="40" t="str">
        <f t="shared" si="15"/>
        <v/>
      </c>
      <c r="Y120" s="31"/>
      <c r="Z120" s="40" t="str">
        <f t="shared" si="16"/>
        <v/>
      </c>
      <c r="AA120" s="31"/>
      <c r="AB120" s="40" t="str">
        <f t="shared" si="17"/>
        <v/>
      </c>
      <c r="AC120" s="31"/>
      <c r="AD120" s="40" t="str">
        <f t="shared" si="18"/>
        <v/>
      </c>
      <c r="AE120" s="31"/>
      <c r="AF120" s="40" t="str">
        <f t="shared" si="19"/>
        <v/>
      </c>
      <c r="AG120" s="31"/>
      <c r="AH120" s="40" t="str">
        <f t="shared" si="20"/>
        <v/>
      </c>
    </row>
    <row r="121" spans="1:35" ht="20" customHeight="1" x14ac:dyDescent="0.2">
      <c r="A121" s="130"/>
      <c r="B121" s="131"/>
      <c r="C121" s="75"/>
      <c r="D121" s="75"/>
      <c r="E121" s="76" t="s">
        <v>151</v>
      </c>
      <c r="F121" s="76" t="s">
        <v>152</v>
      </c>
      <c r="G121" s="75">
        <v>2011</v>
      </c>
      <c r="H121" s="81">
        <v>33</v>
      </c>
      <c r="I121" s="84" t="s">
        <v>195</v>
      </c>
      <c r="J121" s="64">
        <v>39</v>
      </c>
      <c r="K121" s="65">
        <v>130</v>
      </c>
      <c r="L121" s="112">
        <f t="shared" si="21"/>
        <v>30</v>
      </c>
      <c r="M121" s="31"/>
      <c r="N121" s="40" t="str">
        <f t="shared" si="11"/>
        <v/>
      </c>
      <c r="O121" s="31"/>
      <c r="P121" s="40" t="str">
        <f t="shared" si="23"/>
        <v/>
      </c>
      <c r="Q121" s="31"/>
      <c r="R121" s="40" t="str">
        <f t="shared" si="13"/>
        <v/>
      </c>
      <c r="S121" s="31"/>
      <c r="T121" s="40" t="str">
        <f t="shared" si="14"/>
        <v/>
      </c>
      <c r="U121" s="32"/>
      <c r="V121" s="32" t="str">
        <f t="shared" si="22"/>
        <v/>
      </c>
      <c r="W121" s="31"/>
      <c r="X121" s="40" t="str">
        <f t="shared" si="15"/>
        <v/>
      </c>
      <c r="Y121" s="31"/>
      <c r="Z121" s="40" t="str">
        <f t="shared" si="16"/>
        <v/>
      </c>
      <c r="AA121" s="31"/>
      <c r="AB121" s="40" t="str">
        <f t="shared" si="17"/>
        <v/>
      </c>
      <c r="AC121" s="31"/>
      <c r="AD121" s="40" t="str">
        <f t="shared" si="18"/>
        <v/>
      </c>
      <c r="AE121" s="31"/>
      <c r="AF121" s="40" t="str">
        <f t="shared" si="19"/>
        <v/>
      </c>
      <c r="AG121" s="31"/>
      <c r="AH121" s="40" t="str">
        <f t="shared" si="20"/>
        <v/>
      </c>
      <c r="AI121" s="22" t="s">
        <v>196</v>
      </c>
    </row>
    <row r="122" spans="1:35" ht="20" customHeight="1" x14ac:dyDescent="0.2">
      <c r="A122" s="128"/>
      <c r="B122" s="133"/>
      <c r="C122" s="75"/>
      <c r="D122" s="75"/>
      <c r="E122" s="76" t="s">
        <v>153</v>
      </c>
      <c r="F122" s="76" t="s">
        <v>154</v>
      </c>
      <c r="G122" s="75">
        <v>2014</v>
      </c>
      <c r="H122" s="81">
        <v>9</v>
      </c>
      <c r="I122" s="84" t="s">
        <v>155</v>
      </c>
      <c r="J122" s="64">
        <v>58</v>
      </c>
      <c r="K122" s="65">
        <v>1109</v>
      </c>
      <c r="L122" s="112">
        <f t="shared" si="21"/>
        <v>5.2299368800721373</v>
      </c>
      <c r="M122" s="31"/>
      <c r="N122" s="40" t="str">
        <f t="shared" si="11"/>
        <v/>
      </c>
      <c r="O122" s="31"/>
      <c r="P122" s="40" t="str">
        <f t="shared" si="23"/>
        <v/>
      </c>
      <c r="Q122" s="31"/>
      <c r="R122" s="40" t="str">
        <f t="shared" si="13"/>
        <v/>
      </c>
      <c r="S122" s="31"/>
      <c r="T122" s="40" t="str">
        <f t="shared" si="14"/>
        <v/>
      </c>
      <c r="U122" s="31">
        <v>38</v>
      </c>
      <c r="V122" s="40">
        <f t="shared" si="22"/>
        <v>3.4265103697024344</v>
      </c>
      <c r="W122" s="31"/>
      <c r="X122" s="40" t="str">
        <f t="shared" si="15"/>
        <v/>
      </c>
      <c r="Y122" s="31"/>
      <c r="Z122" s="40" t="str">
        <f t="shared" si="16"/>
        <v/>
      </c>
      <c r="AA122" s="31"/>
      <c r="AB122" s="40" t="str">
        <f t="shared" si="17"/>
        <v/>
      </c>
      <c r="AC122" s="31"/>
      <c r="AD122" s="40" t="str">
        <f t="shared" si="18"/>
        <v/>
      </c>
      <c r="AE122" s="31"/>
      <c r="AF122" s="40" t="str">
        <f t="shared" si="19"/>
        <v/>
      </c>
      <c r="AG122" s="31"/>
      <c r="AH122" s="40" t="str">
        <f t="shared" si="20"/>
        <v/>
      </c>
      <c r="AI122" s="19" t="s">
        <v>156</v>
      </c>
    </row>
    <row r="123" spans="1:35" ht="20" customHeight="1" x14ac:dyDescent="0.2">
      <c r="A123" s="130"/>
      <c r="B123" s="131"/>
      <c r="C123" s="75"/>
      <c r="D123" s="75"/>
      <c r="E123" s="76" t="s">
        <v>157</v>
      </c>
      <c r="F123" s="76" t="s">
        <v>158</v>
      </c>
      <c r="G123" s="75">
        <v>2014</v>
      </c>
      <c r="H123" s="81">
        <v>4</v>
      </c>
      <c r="I123" s="84"/>
      <c r="J123" s="64">
        <v>98</v>
      </c>
      <c r="K123" s="65">
        <v>1109</v>
      </c>
      <c r="L123" s="112">
        <f t="shared" si="21"/>
        <v>8.8367899008115423</v>
      </c>
      <c r="M123" s="31"/>
      <c r="N123" s="40" t="str">
        <f t="shared" si="11"/>
        <v/>
      </c>
      <c r="O123" s="31"/>
      <c r="P123" s="40" t="str">
        <f t="shared" si="23"/>
        <v/>
      </c>
      <c r="Q123" s="31"/>
      <c r="R123" s="40" t="str">
        <f t="shared" si="13"/>
        <v/>
      </c>
      <c r="S123" s="31"/>
      <c r="T123" s="40" t="str">
        <f t="shared" si="14"/>
        <v/>
      </c>
      <c r="U123" s="31"/>
      <c r="V123" s="40" t="str">
        <f t="shared" si="22"/>
        <v/>
      </c>
      <c r="W123" s="31"/>
      <c r="X123" s="40" t="str">
        <f t="shared" si="15"/>
        <v/>
      </c>
      <c r="Y123" s="31"/>
      <c r="Z123" s="40" t="str">
        <f t="shared" si="16"/>
        <v/>
      </c>
      <c r="AA123" s="31"/>
      <c r="AB123" s="40" t="str">
        <f t="shared" si="17"/>
        <v/>
      </c>
      <c r="AC123" s="31"/>
      <c r="AD123" s="40" t="str">
        <f t="shared" si="18"/>
        <v/>
      </c>
      <c r="AE123" s="31"/>
      <c r="AF123" s="40" t="str">
        <f t="shared" si="19"/>
        <v/>
      </c>
      <c r="AG123" s="31"/>
      <c r="AH123" s="40" t="str">
        <f t="shared" si="20"/>
        <v/>
      </c>
      <c r="AI123" s="19" t="s">
        <v>159</v>
      </c>
    </row>
    <row r="124" spans="1:35" ht="20" customHeight="1" x14ac:dyDescent="0.2">
      <c r="A124" s="130"/>
      <c r="B124" s="129"/>
      <c r="C124" s="75"/>
      <c r="D124" s="75"/>
      <c r="E124" s="76" t="s">
        <v>160</v>
      </c>
      <c r="F124" s="76" t="s">
        <v>161</v>
      </c>
      <c r="G124" s="75">
        <v>2005</v>
      </c>
      <c r="H124" s="81">
        <v>36</v>
      </c>
      <c r="I124" s="84"/>
      <c r="J124" s="64">
        <v>11</v>
      </c>
      <c r="K124" s="65">
        <v>11</v>
      </c>
      <c r="L124" s="112">
        <f t="shared" si="21"/>
        <v>100</v>
      </c>
      <c r="M124" s="31"/>
      <c r="N124" s="40" t="str">
        <f t="shared" si="11"/>
        <v/>
      </c>
      <c r="O124" s="31"/>
      <c r="P124" s="40" t="str">
        <f t="shared" si="23"/>
        <v/>
      </c>
      <c r="Q124" s="31"/>
      <c r="R124" s="40" t="str">
        <f t="shared" si="13"/>
        <v/>
      </c>
      <c r="S124" s="31"/>
      <c r="T124" s="40" t="str">
        <f t="shared" si="14"/>
        <v/>
      </c>
      <c r="U124" s="31">
        <v>4</v>
      </c>
      <c r="V124" s="40">
        <f t="shared" si="22"/>
        <v>36.363636363636367</v>
      </c>
      <c r="W124" s="31"/>
      <c r="X124" s="40" t="str">
        <f t="shared" si="15"/>
        <v/>
      </c>
      <c r="Y124" s="31"/>
      <c r="Z124" s="40" t="str">
        <f t="shared" si="16"/>
        <v/>
      </c>
      <c r="AA124" s="31"/>
      <c r="AB124" s="40" t="str">
        <f t="shared" si="17"/>
        <v/>
      </c>
      <c r="AC124" s="31"/>
      <c r="AD124" s="40" t="str">
        <f t="shared" si="18"/>
        <v/>
      </c>
      <c r="AE124" s="31"/>
      <c r="AF124" s="40" t="str">
        <f t="shared" si="19"/>
        <v/>
      </c>
      <c r="AG124" s="31"/>
      <c r="AH124" s="40" t="str">
        <f t="shared" si="20"/>
        <v/>
      </c>
      <c r="AI124" s="22" t="s">
        <v>73</v>
      </c>
    </row>
    <row r="125" spans="1:35" ht="20" customHeight="1" thickBot="1" x14ac:dyDescent="0.25">
      <c r="A125" s="134"/>
      <c r="B125" s="135"/>
      <c r="C125" s="79"/>
      <c r="D125" s="79"/>
      <c r="E125" s="80" t="s">
        <v>162</v>
      </c>
      <c r="F125" s="80" t="s">
        <v>163</v>
      </c>
      <c r="G125" s="79">
        <v>2014</v>
      </c>
      <c r="H125" s="83"/>
      <c r="I125" s="86"/>
      <c r="J125" s="68"/>
      <c r="K125" s="69">
        <v>3</v>
      </c>
      <c r="L125" s="113" t="str">
        <f t="shared" si="21"/>
        <v/>
      </c>
      <c r="M125" s="33"/>
      <c r="N125" s="41" t="str">
        <f t="shared" si="11"/>
        <v/>
      </c>
      <c r="O125" s="33"/>
      <c r="P125" s="41" t="str">
        <f t="shared" si="23"/>
        <v/>
      </c>
      <c r="Q125" s="33"/>
      <c r="R125" s="41" t="str">
        <f t="shared" si="13"/>
        <v/>
      </c>
      <c r="S125" s="33"/>
      <c r="T125" s="41" t="str">
        <f t="shared" si="14"/>
        <v/>
      </c>
      <c r="U125" s="33"/>
      <c r="V125" s="34" t="str">
        <f t="shared" si="22"/>
        <v/>
      </c>
      <c r="W125" s="33"/>
      <c r="X125" s="41" t="str">
        <f t="shared" si="15"/>
        <v/>
      </c>
      <c r="Y125" s="33"/>
      <c r="Z125" s="41" t="str">
        <f t="shared" si="16"/>
        <v/>
      </c>
      <c r="AA125" s="33"/>
      <c r="AB125" s="41" t="str">
        <f t="shared" si="17"/>
        <v/>
      </c>
      <c r="AC125" s="33"/>
      <c r="AD125" s="41" t="str">
        <f t="shared" si="18"/>
        <v/>
      </c>
      <c r="AE125" s="33"/>
      <c r="AF125" s="41" t="str">
        <f t="shared" si="19"/>
        <v/>
      </c>
      <c r="AG125" s="33"/>
      <c r="AH125" s="41" t="str">
        <f t="shared" si="20"/>
        <v/>
      </c>
      <c r="AI125" s="22" t="s">
        <v>73</v>
      </c>
    </row>
    <row r="126" spans="1:35" ht="17" customHeight="1" x14ac:dyDescent="0.2">
      <c r="E126" s="147" t="s">
        <v>203</v>
      </c>
      <c r="F126" s="147"/>
      <c r="G126" s="147"/>
      <c r="H126" s="147"/>
      <c r="I126" s="147"/>
      <c r="J126" s="148"/>
      <c r="K126" s="60">
        <f>SUM(K82:K125) - (K95 + K97)</f>
        <v>8522</v>
      </c>
      <c r="L126" s="123" t="s">
        <v>198</v>
      </c>
      <c r="M126" s="47">
        <f>IF((SUM(M82:M125)&lt;&gt;0),SUMIF($K82:$K125, "&gt;0", M82:M125), "")</f>
        <v>39</v>
      </c>
      <c r="N126" s="59">
        <f>IF(ISERROR((M126/$K126)*100), "", IF(((M126/$K126)*100) &lt;&gt; 0, (M126/$K126)*100, ""))</f>
        <v>0.45763905186575921</v>
      </c>
      <c r="O126" s="47">
        <f>IF((SUM(O82:O125)&lt;&gt;0),SUMIF($K82:$K125, "&gt;0", O82:O125), "")</f>
        <v>79</v>
      </c>
      <c r="P126" s="59">
        <f>IF(ISERROR((O126/$K126)*100), "", IF(((O126/$K126)*100) &lt;&gt; 0, (O126/$K126)*100, ""))</f>
        <v>0.92701243839474301</v>
      </c>
      <c r="Q126" s="46">
        <f>IF((SUM(Q82:Q125)&lt;&gt;0),SUMIF($K82:$K125, "&gt;0", Q82:Q125), "")</f>
        <v>159</v>
      </c>
      <c r="R126" s="59">
        <f>IF(ISERROR((Q126/$K126)*100), "", IF(((Q126/$K126)*100) &lt;&gt; 0, (Q126/$K126)*100, ""))</f>
        <v>1.8657592114527106</v>
      </c>
      <c r="S126" s="46">
        <f>IF((SUM(S82:S125)&lt;&gt;0),SUMIF($K82:$K125, "&gt;0", S82:S125), "")</f>
        <v>42</v>
      </c>
      <c r="T126" s="59">
        <f>IF(ISERROR((S126/$K126)*100), "", IF(((S126/$K126)*100) &lt;&gt; 0, (S126/$K126)*100, ""))</f>
        <v>0.49284205585543295</v>
      </c>
      <c r="U126" s="46">
        <f>IF((SUM(U82:U125)&lt;&gt;0),SUMIF($K82:$K125, "&gt;0", U82:U125), "")</f>
        <v>81</v>
      </c>
      <c r="V126" s="59">
        <f>IF(ISERROR((U126/$K126)*100), "", IF(((U126/$K126)*100) &lt;&gt; 0, (U126/$K126)*100, ""))</f>
        <v>0.95048110772119232</v>
      </c>
      <c r="W126" s="46">
        <f>IF((SUM(W82:W125)&lt;&gt;0),SUMIF($K82:$K125, "&gt;0", W82:W125), "")</f>
        <v>118</v>
      </c>
      <c r="X126" s="59">
        <f>IF(ISERROR((W126/$K126)*100), "", IF(((W126/$K126)*100) &lt;&gt; 0, (W126/$K126)*100, ""))</f>
        <v>1.3846514902605023</v>
      </c>
      <c r="Y126" s="47">
        <f>IF((SUM(Y82:Y125)&lt;&gt;0),SUMIF($K82:$K125, "&gt;0", Y82:Y125), "")</f>
        <v>7</v>
      </c>
      <c r="Z126" s="59">
        <f>IF(ISERROR((Y126/$K126)*100), "", IF(((Y126/$K126)*100) &lt;&gt; 0, (Y126/$K126)*100, ""))</f>
        <v>8.2140342642572167E-2</v>
      </c>
      <c r="AA126" s="46">
        <f>IF((SUM(AA82:AA125)&lt;&gt;0),SUMIF($K82:$K125, "&gt;0", AA82:AA125), "")</f>
        <v>1</v>
      </c>
      <c r="AB126" s="59">
        <f>IF(ISERROR((AA126/$K126)*100), "", IF(((AA126/$K126)*100) &lt;&gt; 0, (AA126/$K126)*100, ""))</f>
        <v>1.1734334663224596E-2</v>
      </c>
      <c r="AC126" s="46">
        <f>IF((SUM(AC82:AC125)&lt;&gt;0),SUMIF($K82:$K125, "&gt;0", AC82:AC125), "")</f>
        <v>12</v>
      </c>
      <c r="AD126" s="59">
        <f>IF(ISERROR((AC126/$K126)*100), "", IF(((AC126/$K126)*100) &lt;&gt; 0, (AC126/$K126)*100, ""))</f>
        <v>0.14081201595869514</v>
      </c>
      <c r="AE126" s="46">
        <f>IF((SUM(AE82:AE125)&lt;&gt;0),SUMIF($K82:$K125, "&gt;0", AE82:AE125), "")</f>
        <v>1</v>
      </c>
      <c r="AF126" s="59">
        <f>IF(ISERROR((AE126/$K126)*100), "", IF(((AE126/$K126)*100) &lt;&gt; 0, (AE126/$K126)*100, ""))</f>
        <v>1.1734334663224596E-2</v>
      </c>
      <c r="AG126" s="47">
        <f>IF((SUM(AG82:AG125)&lt;&gt;0),SUMIF($K82:$K125, "&gt;0", AG82:AG125), "")</f>
        <v>192</v>
      </c>
      <c r="AH126" s="59">
        <f>IF(ISERROR((AG126/$K126)*100), "", IF(((AG126/$K126)*100) &lt;&gt; 0, (AG126/$K126)*100, ""))</f>
        <v>2.2529922553391222</v>
      </c>
    </row>
    <row r="127" spans="1:35" ht="17" customHeight="1" x14ac:dyDescent="0.2">
      <c r="E127" s="149" t="s">
        <v>204</v>
      </c>
      <c r="F127" s="149"/>
      <c r="G127" s="149"/>
      <c r="H127" s="149"/>
      <c r="I127" s="149"/>
      <c r="J127" s="148"/>
      <c r="K127" s="88" t="s">
        <v>199</v>
      </c>
      <c r="L127" s="115" t="s">
        <v>198</v>
      </c>
      <c r="M127" s="48">
        <f>IF(SUMIF(M82:M125, "&gt;0", $K82:$K125) &gt; 0, SUMIF(M82:M125, "&gt;0", $K82:$K125), "")</f>
        <v>596</v>
      </c>
      <c r="N127" s="49">
        <f>M126/M127*100</f>
        <v>6.5436241610738257</v>
      </c>
      <c r="O127" s="48">
        <f>IF(SUMIF(O82:O125, "&gt;0", $K82:$K125) &gt; 0, SUMIF(O82:O125, "&gt;0", $K82:$K125), "")</f>
        <v>1502</v>
      </c>
      <c r="P127" s="49">
        <f>O126/O127*100</f>
        <v>5.2596537949400801</v>
      </c>
      <c r="Q127" s="44">
        <f>IF(SUMIF(Q82:Q125, "&gt;0", $K82:$K125) &gt; 0, SUMIF(Q82:Q125, "&gt;0", $K82:$K125), "")</f>
        <v>1876</v>
      </c>
      <c r="R127" s="45">
        <f>Q126/Q127*100</f>
        <v>8.4754797441364609</v>
      </c>
      <c r="S127" s="44">
        <f>IF(SUMIF(S82:S125, "&gt;0", $K82:$K125) &gt; 0, SUMIF(S82:S125, "&gt;0", $K82:$K125), "")</f>
        <v>844</v>
      </c>
      <c r="T127" s="45">
        <f>S126/S127*100</f>
        <v>4.9763033175355451</v>
      </c>
      <c r="U127" s="44">
        <f>IF(SUMIF(U82:U125, "&gt;0", $K82:$K125) &gt; 0, SUMIF(U82:U125, "&gt;0", $K82:$K125), "")</f>
        <v>2415</v>
      </c>
      <c r="V127" s="45">
        <f>U126/U127*100</f>
        <v>3.354037267080745</v>
      </c>
      <c r="W127" s="44">
        <f>IF(SUMIF(W82:W125, "&gt;0", $K82:$K125) &gt; 0, SUMIF(W82:W125, "&gt;0", $K82:$K125), "")</f>
        <v>853</v>
      </c>
      <c r="X127" s="45">
        <f>W126/W127*100</f>
        <v>13.833528722157093</v>
      </c>
      <c r="Y127" s="48">
        <f>IF(SUMIF(Y82:Y125, "&gt;0", $K82:$K125) &gt; 0, SUMIF(Y82:Y125, "&gt;0", $K82:$K125), "")</f>
        <v>1292</v>
      </c>
      <c r="Z127" s="49">
        <f>Y126/Y127*100</f>
        <v>0.54179566563467496</v>
      </c>
      <c r="AA127" s="44">
        <f>IF(SUMIF(AA82:AA125, "&gt;0", $K82:$K125) &gt; 0, SUMIF(AA82:AA125, "&gt;0", $K82:$K125), "")</f>
        <v>293</v>
      </c>
      <c r="AB127" s="45">
        <f>AA126/AA127*100</f>
        <v>0.34129692832764508</v>
      </c>
      <c r="AC127" s="44">
        <f>IF(SUMIF(AC82:AC125, "&gt;0", $K82:$K125) &gt; 0, SUMIF(AC82:AC125, "&gt;0", $K82:$K125), "")</f>
        <v>1283</v>
      </c>
      <c r="AD127" s="45">
        <f>AC126/AC127*100</f>
        <v>0.93530787217459088</v>
      </c>
      <c r="AE127" s="44">
        <f>IF(SUMIF(AE82:AE125, "&gt;0", $K82:$K125) &gt; 0, SUMIF(AE82:AE125, "&gt;0", $K82:$K125), "")</f>
        <v>293</v>
      </c>
      <c r="AF127" s="45">
        <f>AE126/AE127*100</f>
        <v>0.34129692832764508</v>
      </c>
      <c r="AG127" s="48">
        <f>IF(SUMIF(AG82:AG125, "&gt;0", $K82:$K125) &gt; 0, SUMIF(AG82:AG125, "&gt;0", $K82:$K125), "")</f>
        <v>451</v>
      </c>
      <c r="AH127" s="49">
        <f>AG126/AG127*100</f>
        <v>42.572062084257205</v>
      </c>
    </row>
    <row r="128" spans="1:35" ht="17" customHeight="1" thickBot="1" x14ac:dyDescent="0.25">
      <c r="F128" s="52"/>
      <c r="G128" s="52"/>
      <c r="H128" s="62"/>
      <c r="I128" s="62"/>
      <c r="J128" s="53"/>
      <c r="K128" s="227" t="s">
        <v>202</v>
      </c>
      <c r="L128" s="246"/>
      <c r="M128" s="165" t="s">
        <v>199</v>
      </c>
      <c r="N128" s="162" t="s">
        <v>198</v>
      </c>
      <c r="O128" s="165" t="s">
        <v>199</v>
      </c>
      <c r="P128" s="162" t="s">
        <v>198</v>
      </c>
      <c r="Q128" s="165" t="s">
        <v>199</v>
      </c>
      <c r="R128" s="162" t="s">
        <v>198</v>
      </c>
      <c r="S128" s="165" t="s">
        <v>199</v>
      </c>
      <c r="T128" s="162" t="s">
        <v>198</v>
      </c>
      <c r="U128" s="165" t="s">
        <v>199</v>
      </c>
      <c r="V128" s="162" t="s">
        <v>198</v>
      </c>
      <c r="W128" s="165" t="s">
        <v>199</v>
      </c>
      <c r="X128" s="162" t="s">
        <v>198</v>
      </c>
      <c r="Y128" s="165" t="s">
        <v>199</v>
      </c>
      <c r="Z128" s="162" t="s">
        <v>198</v>
      </c>
      <c r="AA128" s="165" t="s">
        <v>199</v>
      </c>
      <c r="AB128" s="162" t="s">
        <v>198</v>
      </c>
      <c r="AC128" s="165" t="s">
        <v>199</v>
      </c>
      <c r="AD128" s="162" t="s">
        <v>198</v>
      </c>
      <c r="AE128" s="165" t="s">
        <v>199</v>
      </c>
      <c r="AF128" s="162" t="s">
        <v>198</v>
      </c>
      <c r="AG128" s="165" t="s">
        <v>199</v>
      </c>
      <c r="AH128" s="162" t="s">
        <v>198</v>
      </c>
    </row>
    <row r="129" spans="6:34" ht="17" customHeight="1" x14ac:dyDescent="0.2">
      <c r="F129" s="232" t="s">
        <v>213</v>
      </c>
      <c r="G129" s="233"/>
      <c r="K129" s="228"/>
      <c r="L129" s="230"/>
      <c r="M129" s="166"/>
      <c r="N129" s="163"/>
      <c r="O129" s="166"/>
      <c r="P129" s="163"/>
      <c r="Q129" s="166"/>
      <c r="R129" s="163"/>
      <c r="S129" s="166"/>
      <c r="T129" s="163"/>
      <c r="U129" s="166"/>
      <c r="V129" s="163"/>
      <c r="W129" s="166"/>
      <c r="X129" s="163"/>
      <c r="Y129" s="166"/>
      <c r="Z129" s="163"/>
      <c r="AA129" s="166"/>
      <c r="AB129" s="163"/>
      <c r="AC129" s="166"/>
      <c r="AD129" s="163"/>
      <c r="AE129" s="166"/>
      <c r="AF129" s="163"/>
      <c r="AG129" s="166"/>
      <c r="AH129" s="163"/>
    </row>
    <row r="130" spans="6:34" ht="17" customHeight="1" x14ac:dyDescent="0.2">
      <c r="F130" s="234"/>
      <c r="G130" s="235"/>
      <c r="K130" s="228"/>
      <c r="L130" s="230"/>
      <c r="M130" s="166"/>
      <c r="N130" s="163"/>
      <c r="O130" s="166"/>
      <c r="P130" s="163"/>
      <c r="Q130" s="166"/>
      <c r="R130" s="163"/>
      <c r="S130" s="166"/>
      <c r="T130" s="163"/>
      <c r="U130" s="166"/>
      <c r="V130" s="163"/>
      <c r="W130" s="166"/>
      <c r="X130" s="163"/>
      <c r="Y130" s="166"/>
      <c r="Z130" s="163"/>
      <c r="AA130" s="166"/>
      <c r="AB130" s="163"/>
      <c r="AC130" s="166"/>
      <c r="AD130" s="163"/>
      <c r="AE130" s="166"/>
      <c r="AF130" s="163"/>
      <c r="AG130" s="166"/>
      <c r="AH130" s="163"/>
    </row>
    <row r="131" spans="6:34" ht="17" customHeight="1" x14ac:dyDescent="0.2">
      <c r="F131" s="234"/>
      <c r="G131" s="235"/>
      <c r="K131" s="228"/>
      <c r="L131" s="230"/>
      <c r="M131" s="256"/>
      <c r="N131" s="260"/>
      <c r="O131" s="256"/>
      <c r="P131" s="260"/>
      <c r="Q131" s="256"/>
      <c r="R131" s="260"/>
      <c r="S131" s="256"/>
      <c r="T131" s="260"/>
      <c r="U131" s="256"/>
      <c r="V131" s="260"/>
      <c r="W131" s="256"/>
      <c r="X131" s="260"/>
      <c r="Y131" s="256"/>
      <c r="Z131" s="260"/>
      <c r="AA131" s="256"/>
      <c r="AB131" s="260"/>
      <c r="AC131" s="256"/>
      <c r="AD131" s="260"/>
      <c r="AE131" s="256"/>
      <c r="AF131" s="260"/>
      <c r="AG131" s="256"/>
      <c r="AH131" s="260"/>
    </row>
    <row r="132" spans="6:34" ht="17" customHeight="1" x14ac:dyDescent="0.2">
      <c r="F132" s="234"/>
      <c r="G132" s="235"/>
      <c r="K132" s="228"/>
      <c r="L132" s="230"/>
      <c r="M132" s="191" t="s">
        <v>51</v>
      </c>
      <c r="N132" s="192"/>
      <c r="O132" s="191" t="s">
        <v>201</v>
      </c>
      <c r="P132" s="192"/>
      <c r="Q132" s="191" t="s">
        <v>52</v>
      </c>
      <c r="R132" s="192"/>
      <c r="S132" s="191" t="s">
        <v>56</v>
      </c>
      <c r="T132" s="192"/>
      <c r="U132" s="191" t="s">
        <v>45</v>
      </c>
      <c r="V132" s="192"/>
      <c r="W132" s="191" t="s">
        <v>57</v>
      </c>
      <c r="X132" s="192"/>
      <c r="Y132" s="191" t="s">
        <v>60</v>
      </c>
      <c r="Z132" s="192"/>
      <c r="AA132" s="191" t="s">
        <v>58</v>
      </c>
      <c r="AB132" s="192"/>
      <c r="AC132" s="191" t="s">
        <v>59</v>
      </c>
      <c r="AD132" s="192"/>
      <c r="AE132" s="191" t="s">
        <v>61</v>
      </c>
      <c r="AF132" s="192"/>
      <c r="AG132" s="191" t="s">
        <v>53</v>
      </c>
      <c r="AH132" s="192"/>
    </row>
    <row r="133" spans="6:34" ht="17" customHeight="1" x14ac:dyDescent="0.2">
      <c r="F133" s="234"/>
      <c r="G133" s="235"/>
      <c r="K133" s="228"/>
      <c r="L133" s="230"/>
      <c r="M133" s="191"/>
      <c r="N133" s="192"/>
      <c r="O133" s="191"/>
      <c r="P133" s="192"/>
      <c r="Q133" s="191"/>
      <c r="R133" s="192"/>
      <c r="S133" s="191"/>
      <c r="T133" s="192"/>
      <c r="U133" s="191"/>
      <c r="V133" s="192"/>
      <c r="W133" s="191"/>
      <c r="X133" s="192"/>
      <c r="Y133" s="191"/>
      <c r="Z133" s="192"/>
      <c r="AA133" s="191"/>
      <c r="AB133" s="192"/>
      <c r="AC133" s="191"/>
      <c r="AD133" s="192"/>
      <c r="AE133" s="191"/>
      <c r="AF133" s="192"/>
      <c r="AG133" s="191"/>
      <c r="AH133" s="192"/>
    </row>
    <row r="134" spans="6:34" ht="17" customHeight="1" thickBot="1" x14ac:dyDescent="0.25">
      <c r="F134" s="236"/>
      <c r="G134" s="237"/>
      <c r="K134" s="228"/>
      <c r="L134" s="230"/>
      <c r="M134" s="204"/>
      <c r="N134" s="205"/>
      <c r="O134" s="204"/>
      <c r="P134" s="205"/>
      <c r="Q134" s="204"/>
      <c r="R134" s="205"/>
      <c r="S134" s="204"/>
      <c r="T134" s="205"/>
      <c r="U134" s="204"/>
      <c r="V134" s="205"/>
      <c r="W134" s="204"/>
      <c r="X134" s="205"/>
      <c r="Y134" s="204"/>
      <c r="Z134" s="205"/>
      <c r="AA134" s="204"/>
      <c r="AB134" s="205"/>
      <c r="AC134" s="204"/>
      <c r="AD134" s="205"/>
      <c r="AE134" s="204"/>
      <c r="AF134" s="205"/>
      <c r="AG134" s="204"/>
      <c r="AH134" s="205"/>
    </row>
    <row r="135" spans="6:34" ht="17" customHeight="1" thickBot="1" x14ac:dyDescent="0.25">
      <c r="G135" s="19"/>
      <c r="K135" s="229"/>
      <c r="L135" s="231"/>
      <c r="M135" s="262" t="s">
        <v>241</v>
      </c>
      <c r="N135" s="263"/>
      <c r="O135" s="263"/>
      <c r="P135" s="263"/>
      <c r="Q135" s="263"/>
      <c r="R135" s="263"/>
      <c r="S135" s="263"/>
      <c r="T135" s="263"/>
      <c r="U135" s="263"/>
      <c r="V135" s="263"/>
      <c r="W135" s="263"/>
      <c r="X135" s="263"/>
      <c r="Y135" s="263"/>
      <c r="Z135" s="263"/>
      <c r="AA135" s="263"/>
      <c r="AB135" s="263"/>
      <c r="AC135" s="263"/>
      <c r="AD135" s="263"/>
      <c r="AE135" s="263"/>
      <c r="AF135" s="263"/>
      <c r="AG135" s="263"/>
      <c r="AH135" s="264"/>
    </row>
  </sheetData>
  <mergeCells count="164">
    <mergeCell ref="AE132:AF134"/>
    <mergeCell ref="M135:AH135"/>
    <mergeCell ref="M72:AH72"/>
    <mergeCell ref="M73:AH73"/>
    <mergeCell ref="S132:T134"/>
    <mergeCell ref="W132:X134"/>
    <mergeCell ref="AA132:AB134"/>
    <mergeCell ref="AC132:AD134"/>
    <mergeCell ref="Y132:Z134"/>
    <mergeCell ref="M132:N134"/>
    <mergeCell ref="Q132:R134"/>
    <mergeCell ref="AG132:AH134"/>
    <mergeCell ref="U132:V134"/>
    <mergeCell ref="O132:P134"/>
    <mergeCell ref="AE128:AE131"/>
    <mergeCell ref="AF128:AF131"/>
    <mergeCell ref="AA128:AA131"/>
    <mergeCell ref="AB128:AB131"/>
    <mergeCell ref="AC128:AC131"/>
    <mergeCell ref="AD128:AD131"/>
    <mergeCell ref="Y128:Y131"/>
    <mergeCell ref="Z128:Z131"/>
    <mergeCell ref="S128:S131"/>
    <mergeCell ref="T128:T131"/>
    <mergeCell ref="Q128:Q131"/>
    <mergeCell ref="R128:R131"/>
    <mergeCell ref="AG128:AG131"/>
    <mergeCell ref="AH128:AH131"/>
    <mergeCell ref="V128:V131"/>
    <mergeCell ref="M128:M131"/>
    <mergeCell ref="N128:N131"/>
    <mergeCell ref="O128:O131"/>
    <mergeCell ref="P128:P131"/>
    <mergeCell ref="K128:K135"/>
    <mergeCell ref="L128:L135"/>
    <mergeCell ref="U128:U131"/>
    <mergeCell ref="F129:G134"/>
    <mergeCell ref="AG77:AG81"/>
    <mergeCell ref="AH77:AH81"/>
    <mergeCell ref="U77:U81"/>
    <mergeCell ref="V77:V81"/>
    <mergeCell ref="O77:O81"/>
    <mergeCell ref="P77:P81"/>
    <mergeCell ref="Y77:Y81"/>
    <mergeCell ref="Z77:Z81"/>
    <mergeCell ref="AE77:AE81"/>
    <mergeCell ref="AF77:AF81"/>
    <mergeCell ref="W77:W81"/>
    <mergeCell ref="X77:X81"/>
    <mergeCell ref="AA77:AA81"/>
    <mergeCell ref="AB77:AB81"/>
    <mergeCell ref="AC77:AC81"/>
    <mergeCell ref="AD77:AD81"/>
    <mergeCell ref="E126:J126"/>
    <mergeCell ref="E127:J127"/>
    <mergeCell ref="W128:W131"/>
    <mergeCell ref="X128:X131"/>
    <mergeCell ref="A77:A81"/>
    <mergeCell ref="B77:B81"/>
    <mergeCell ref="H77:H81"/>
    <mergeCell ref="K77:K81"/>
    <mergeCell ref="L77:L81"/>
    <mergeCell ref="S74:T76"/>
    <mergeCell ref="W74:X76"/>
    <mergeCell ref="AA74:AB76"/>
    <mergeCell ref="AC74:AD76"/>
    <mergeCell ref="Y74:Z76"/>
    <mergeCell ref="S77:S81"/>
    <mergeCell ref="T77:T81"/>
    <mergeCell ref="M77:M81"/>
    <mergeCell ref="N77:N81"/>
    <mergeCell ref="Q77:Q81"/>
    <mergeCell ref="R77:R81"/>
    <mergeCell ref="I77:I81"/>
    <mergeCell ref="J77:J81"/>
    <mergeCell ref="AE74:AF76"/>
    <mergeCell ref="M74:N76"/>
    <mergeCell ref="Q74:R76"/>
    <mergeCell ref="AG74:AH76"/>
    <mergeCell ref="U74:V76"/>
    <mergeCell ref="O74:P76"/>
    <mergeCell ref="Q64:R66"/>
    <mergeCell ref="O64:P66"/>
    <mergeCell ref="M67:AD67"/>
    <mergeCell ref="U64:V66"/>
    <mergeCell ref="M64:N66"/>
    <mergeCell ref="AA64:AB66"/>
    <mergeCell ref="S64:T66"/>
    <mergeCell ref="AC64:AD66"/>
    <mergeCell ref="M60:M63"/>
    <mergeCell ref="N60:N63"/>
    <mergeCell ref="AA60:AA63"/>
    <mergeCell ref="AB60:AB63"/>
    <mergeCell ref="Y60:Y63"/>
    <mergeCell ref="Z60:Z63"/>
    <mergeCell ref="W60:W63"/>
    <mergeCell ref="X60:X63"/>
    <mergeCell ref="K60:K67"/>
    <mergeCell ref="L60:L67"/>
    <mergeCell ref="Y64:Z66"/>
    <mergeCell ref="W64:X66"/>
    <mergeCell ref="Q60:Q63"/>
    <mergeCell ref="R60:R63"/>
    <mergeCell ref="O60:O63"/>
    <mergeCell ref="P60:P63"/>
    <mergeCell ref="U60:U63"/>
    <mergeCell ref="V60:V63"/>
    <mergeCell ref="S60:S63"/>
    <mergeCell ref="T60:T63"/>
    <mergeCell ref="AC60:AC63"/>
    <mergeCell ref="AD60:AD63"/>
    <mergeCell ref="AD9:AD13"/>
    <mergeCell ref="Y9:Y13"/>
    <mergeCell ref="Z9:Z13"/>
    <mergeCell ref="Q9:Q13"/>
    <mergeCell ref="R9:R13"/>
    <mergeCell ref="O9:O13"/>
    <mergeCell ref="P9:P13"/>
    <mergeCell ref="S9:S13"/>
    <mergeCell ref="T9:T13"/>
    <mergeCell ref="U9:U13"/>
    <mergeCell ref="M4:AD4"/>
    <mergeCell ref="M5:AD5"/>
    <mergeCell ref="AC6:AD8"/>
    <mergeCell ref="Y6:Z8"/>
    <mergeCell ref="W6:X8"/>
    <mergeCell ref="M6:N8"/>
    <mergeCell ref="AA6:AB8"/>
    <mergeCell ref="A9:A13"/>
    <mergeCell ref="B9:B13"/>
    <mergeCell ref="H9:H13"/>
    <mergeCell ref="K9:K13"/>
    <mergeCell ref="L9:L13"/>
    <mergeCell ref="Q6:R8"/>
    <mergeCell ref="O6:P8"/>
    <mergeCell ref="S6:T8"/>
    <mergeCell ref="U6:V8"/>
    <mergeCell ref="V9:V13"/>
    <mergeCell ref="AA9:AA13"/>
    <mergeCell ref="AB9:AB13"/>
    <mergeCell ref="W9:W13"/>
    <mergeCell ref="X9:X13"/>
    <mergeCell ref="M9:M13"/>
    <mergeCell ref="N9:N13"/>
    <mergeCell ref="AC9:AC13"/>
    <mergeCell ref="E2:E3"/>
    <mergeCell ref="E4:E7"/>
    <mergeCell ref="C77:C81"/>
    <mergeCell ref="D77:D81"/>
    <mergeCell ref="E77:E81"/>
    <mergeCell ref="F77:F81"/>
    <mergeCell ref="G77:G81"/>
    <mergeCell ref="E70:E71"/>
    <mergeCell ref="E72:E75"/>
    <mergeCell ref="E58:J58"/>
    <mergeCell ref="E59:J59"/>
    <mergeCell ref="E9:E13"/>
    <mergeCell ref="C9:C13"/>
    <mergeCell ref="F9:F13"/>
    <mergeCell ref="G9:G13"/>
    <mergeCell ref="D9:D13"/>
    <mergeCell ref="I9:I13"/>
    <mergeCell ref="J9:J13"/>
    <mergeCell ref="F61:G66"/>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73"/>
  <sheetViews>
    <sheetView showRuler="0" topLeftCell="C1" workbookViewId="0">
      <selection activeCell="C1" sqref="C1"/>
    </sheetView>
  </sheetViews>
  <sheetFormatPr baseColWidth="10" defaultRowHeight="16" x14ac:dyDescent="0.2"/>
  <cols>
    <col min="1" max="2" width="5.6640625" style="19" customWidth="1"/>
    <col min="3" max="4" width="12.5" style="20" customWidth="1"/>
    <col min="5" max="5" width="75.83203125" style="19" customWidth="1"/>
    <col min="6" max="6" width="22.6640625" style="19" customWidth="1"/>
    <col min="7" max="7" width="7.5" style="20" customWidth="1"/>
    <col min="8" max="11" width="6.6640625" style="20" customWidth="1"/>
    <col min="12" max="12" width="6.6640625" style="39" customWidth="1"/>
    <col min="13" max="52" width="7.6640625" style="20" customWidth="1"/>
    <col min="53" max="53" width="113.83203125" style="19" customWidth="1"/>
    <col min="54" max="16384" width="10.83203125" style="19"/>
  </cols>
  <sheetData>
    <row r="1" spans="1:53" ht="19" customHeight="1" thickBot="1" x14ac:dyDescent="0.25"/>
    <row r="2" spans="1:53" ht="29" customHeight="1" x14ac:dyDescent="0.2">
      <c r="D2" s="19"/>
      <c r="E2" s="58" t="s">
        <v>237</v>
      </c>
    </row>
    <row r="3" spans="1:53" ht="17" customHeight="1" thickBot="1" x14ac:dyDescent="0.25">
      <c r="D3" s="19"/>
      <c r="E3" s="293" t="s">
        <v>238</v>
      </c>
    </row>
    <row r="4" spans="1:53" ht="25" customHeight="1" x14ac:dyDescent="0.2">
      <c r="D4" s="19"/>
      <c r="E4" s="294"/>
      <c r="M4" s="298" t="s">
        <v>235</v>
      </c>
      <c r="N4" s="299"/>
      <c r="O4" s="299"/>
      <c r="P4" s="299"/>
      <c r="Q4" s="299"/>
      <c r="R4" s="299"/>
      <c r="S4" s="299"/>
      <c r="T4" s="299"/>
      <c r="U4" s="299"/>
      <c r="V4" s="299"/>
      <c r="W4" s="299"/>
      <c r="X4" s="299"/>
      <c r="Y4" s="299"/>
      <c r="Z4" s="299"/>
      <c r="AA4" s="299"/>
      <c r="AB4" s="299"/>
      <c r="AC4" s="299"/>
      <c r="AD4" s="299"/>
      <c r="AE4" s="299"/>
      <c r="AF4" s="299"/>
      <c r="AG4" s="299"/>
      <c r="AH4" s="299"/>
      <c r="AI4" s="299"/>
      <c r="AJ4" s="299"/>
      <c r="AK4" s="299"/>
      <c r="AL4" s="299"/>
      <c r="AM4" s="299"/>
      <c r="AN4" s="299"/>
      <c r="AO4" s="299"/>
      <c r="AP4" s="299"/>
      <c r="AQ4" s="299"/>
      <c r="AR4" s="299"/>
      <c r="AS4" s="299"/>
      <c r="AT4" s="299"/>
      <c r="AU4" s="299"/>
      <c r="AV4" s="299"/>
      <c r="AW4" s="299"/>
      <c r="AX4" s="299"/>
      <c r="AY4" s="299"/>
      <c r="AZ4" s="300"/>
    </row>
    <row r="5" spans="1:53" ht="25" customHeight="1" thickBot="1" x14ac:dyDescent="0.25">
      <c r="D5" s="19"/>
      <c r="E5" s="294"/>
      <c r="M5" s="301" t="s">
        <v>228</v>
      </c>
      <c r="N5" s="302"/>
      <c r="O5" s="302"/>
      <c r="P5" s="302"/>
      <c r="Q5" s="302"/>
      <c r="R5" s="302"/>
      <c r="S5" s="302"/>
      <c r="T5" s="302"/>
      <c r="U5" s="302"/>
      <c r="V5" s="302"/>
      <c r="W5" s="302"/>
      <c r="X5" s="302"/>
      <c r="Y5" s="302"/>
      <c r="Z5" s="302"/>
      <c r="AA5" s="302"/>
      <c r="AB5" s="302"/>
      <c r="AC5" s="302"/>
      <c r="AD5" s="302"/>
      <c r="AE5" s="302"/>
      <c r="AF5" s="302"/>
      <c r="AG5" s="302"/>
      <c r="AH5" s="302"/>
      <c r="AI5" s="302"/>
      <c r="AJ5" s="302"/>
      <c r="AK5" s="302"/>
      <c r="AL5" s="302"/>
      <c r="AM5" s="302"/>
      <c r="AN5" s="302"/>
      <c r="AO5" s="302"/>
      <c r="AP5" s="302"/>
      <c r="AQ5" s="302"/>
      <c r="AR5" s="302"/>
      <c r="AS5" s="302"/>
      <c r="AT5" s="302"/>
      <c r="AU5" s="302"/>
      <c r="AV5" s="302"/>
      <c r="AW5" s="302"/>
      <c r="AX5" s="302"/>
      <c r="AY5" s="302"/>
      <c r="AZ5" s="303"/>
    </row>
    <row r="6" spans="1:53" ht="19" customHeight="1" thickBot="1" x14ac:dyDescent="0.25">
      <c r="B6" s="55"/>
      <c r="D6" s="19"/>
      <c r="E6" s="295"/>
      <c r="M6" s="265" t="s">
        <v>44</v>
      </c>
      <c r="N6" s="266"/>
      <c r="O6" s="265" t="s">
        <v>45</v>
      </c>
      <c r="P6" s="266"/>
      <c r="Q6" s="265" t="s">
        <v>46</v>
      </c>
      <c r="R6" s="266"/>
      <c r="S6" s="275" t="s">
        <v>47</v>
      </c>
      <c r="T6" s="288"/>
      <c r="U6" s="265" t="s">
        <v>48</v>
      </c>
      <c r="V6" s="266"/>
      <c r="W6" s="265" t="s">
        <v>49</v>
      </c>
      <c r="X6" s="266"/>
      <c r="Y6" s="265" t="s">
        <v>50</v>
      </c>
      <c r="Z6" s="266"/>
      <c r="AA6" s="265" t="s">
        <v>51</v>
      </c>
      <c r="AB6" s="266"/>
      <c r="AC6" s="265" t="s">
        <v>52</v>
      </c>
      <c r="AD6" s="266"/>
      <c r="AE6" s="265" t="s">
        <v>53</v>
      </c>
      <c r="AF6" s="266"/>
      <c r="AG6" s="275" t="s">
        <v>54</v>
      </c>
      <c r="AH6" s="288"/>
      <c r="AI6" s="275" t="s">
        <v>55</v>
      </c>
      <c r="AJ6" s="288"/>
      <c r="AK6" s="275" t="s">
        <v>229</v>
      </c>
      <c r="AL6" s="288"/>
      <c r="AM6" s="275" t="s">
        <v>230</v>
      </c>
      <c r="AN6" s="288"/>
      <c r="AO6" s="275" t="s">
        <v>216</v>
      </c>
      <c r="AP6" s="266"/>
      <c r="AQ6" s="265" t="s">
        <v>59</v>
      </c>
      <c r="AR6" s="266"/>
      <c r="AS6" s="265" t="s">
        <v>60</v>
      </c>
      <c r="AT6" s="266"/>
      <c r="AU6" s="265" t="s">
        <v>61</v>
      </c>
      <c r="AV6" s="266"/>
      <c r="AW6" s="275" t="s">
        <v>62</v>
      </c>
      <c r="AX6" s="288"/>
      <c r="AY6" s="265" t="s">
        <v>173</v>
      </c>
      <c r="AZ6" s="266"/>
    </row>
    <row r="7" spans="1:53" ht="19" customHeight="1" x14ac:dyDescent="0.2">
      <c r="A7" s="27"/>
      <c r="B7" s="29"/>
      <c r="E7" s="20"/>
      <c r="M7" s="267"/>
      <c r="N7" s="268"/>
      <c r="O7" s="267"/>
      <c r="P7" s="268"/>
      <c r="Q7" s="267"/>
      <c r="R7" s="268"/>
      <c r="S7" s="289"/>
      <c r="T7" s="290"/>
      <c r="U7" s="267"/>
      <c r="V7" s="268"/>
      <c r="W7" s="267"/>
      <c r="X7" s="268"/>
      <c r="Y7" s="267"/>
      <c r="Z7" s="268"/>
      <c r="AA7" s="267"/>
      <c r="AB7" s="268"/>
      <c r="AC7" s="267"/>
      <c r="AD7" s="268"/>
      <c r="AE7" s="267"/>
      <c r="AF7" s="268"/>
      <c r="AG7" s="289"/>
      <c r="AH7" s="290"/>
      <c r="AI7" s="289"/>
      <c r="AJ7" s="290"/>
      <c r="AK7" s="289"/>
      <c r="AL7" s="290"/>
      <c r="AM7" s="289"/>
      <c r="AN7" s="290"/>
      <c r="AO7" s="267"/>
      <c r="AP7" s="268"/>
      <c r="AQ7" s="267"/>
      <c r="AR7" s="268"/>
      <c r="AS7" s="267"/>
      <c r="AT7" s="268"/>
      <c r="AU7" s="267"/>
      <c r="AV7" s="268"/>
      <c r="AW7" s="289"/>
      <c r="AX7" s="290"/>
      <c r="AY7" s="267"/>
      <c r="AZ7" s="268"/>
    </row>
    <row r="8" spans="1:53" ht="19" customHeight="1" thickBot="1" x14ac:dyDescent="0.25">
      <c r="A8" s="28"/>
      <c r="B8" s="54"/>
      <c r="M8" s="269"/>
      <c r="N8" s="270"/>
      <c r="O8" s="269"/>
      <c r="P8" s="270"/>
      <c r="Q8" s="269"/>
      <c r="R8" s="270"/>
      <c r="S8" s="291"/>
      <c r="T8" s="292"/>
      <c r="U8" s="269"/>
      <c r="V8" s="270"/>
      <c r="W8" s="269"/>
      <c r="X8" s="270"/>
      <c r="Y8" s="269"/>
      <c r="Z8" s="270"/>
      <c r="AA8" s="269"/>
      <c r="AB8" s="270"/>
      <c r="AC8" s="269"/>
      <c r="AD8" s="270"/>
      <c r="AE8" s="269"/>
      <c r="AF8" s="270"/>
      <c r="AG8" s="291"/>
      <c r="AH8" s="292"/>
      <c r="AI8" s="291"/>
      <c r="AJ8" s="292"/>
      <c r="AK8" s="291"/>
      <c r="AL8" s="292"/>
      <c r="AM8" s="291"/>
      <c r="AN8" s="292"/>
      <c r="AO8" s="269"/>
      <c r="AP8" s="270"/>
      <c r="AQ8" s="269"/>
      <c r="AR8" s="270"/>
      <c r="AS8" s="269"/>
      <c r="AT8" s="270"/>
      <c r="AU8" s="269"/>
      <c r="AV8" s="270"/>
      <c r="AW8" s="291"/>
      <c r="AX8" s="292"/>
      <c r="AY8" s="269"/>
      <c r="AZ8" s="270"/>
    </row>
    <row r="9" spans="1:53" ht="20" customHeight="1" x14ac:dyDescent="0.2">
      <c r="A9" s="241" t="s">
        <v>190</v>
      </c>
      <c r="B9" s="224" t="s">
        <v>215</v>
      </c>
      <c r="C9" s="153" t="s">
        <v>63</v>
      </c>
      <c r="D9" s="153" t="s">
        <v>226</v>
      </c>
      <c r="E9" s="150" t="s">
        <v>64</v>
      </c>
      <c r="F9" s="150" t="s">
        <v>65</v>
      </c>
      <c r="G9" s="153" t="s">
        <v>66</v>
      </c>
      <c r="H9" s="180" t="s">
        <v>42</v>
      </c>
      <c r="I9" s="159" t="s">
        <v>274</v>
      </c>
      <c r="J9" s="156" t="s">
        <v>223</v>
      </c>
      <c r="K9" s="174" t="s">
        <v>224</v>
      </c>
      <c r="L9" s="309" t="s">
        <v>225</v>
      </c>
      <c r="M9" s="296" t="s">
        <v>231</v>
      </c>
      <c r="N9" s="271" t="s">
        <v>232</v>
      </c>
      <c r="O9" s="296" t="s">
        <v>231</v>
      </c>
      <c r="P9" s="271" t="s">
        <v>232</v>
      </c>
      <c r="Q9" s="296" t="s">
        <v>231</v>
      </c>
      <c r="R9" s="271" t="s">
        <v>232</v>
      </c>
      <c r="S9" s="305" t="s">
        <v>231</v>
      </c>
      <c r="T9" s="304" t="s">
        <v>232</v>
      </c>
      <c r="U9" s="296" t="s">
        <v>231</v>
      </c>
      <c r="V9" s="271" t="s">
        <v>232</v>
      </c>
      <c r="W9" s="296" t="s">
        <v>231</v>
      </c>
      <c r="X9" s="271" t="s">
        <v>232</v>
      </c>
      <c r="Y9" s="296" t="s">
        <v>231</v>
      </c>
      <c r="Z9" s="271" t="s">
        <v>232</v>
      </c>
      <c r="AA9" s="296" t="s">
        <v>231</v>
      </c>
      <c r="AB9" s="271" t="s">
        <v>232</v>
      </c>
      <c r="AC9" s="296" t="s">
        <v>231</v>
      </c>
      <c r="AD9" s="271" t="s">
        <v>232</v>
      </c>
      <c r="AE9" s="296" t="s">
        <v>231</v>
      </c>
      <c r="AF9" s="271" t="s">
        <v>232</v>
      </c>
      <c r="AG9" s="296" t="s">
        <v>231</v>
      </c>
      <c r="AH9" s="271" t="s">
        <v>232</v>
      </c>
      <c r="AI9" s="296" t="s">
        <v>231</v>
      </c>
      <c r="AJ9" s="271" t="s">
        <v>232</v>
      </c>
      <c r="AK9" s="296" t="s">
        <v>231</v>
      </c>
      <c r="AL9" s="271" t="s">
        <v>232</v>
      </c>
      <c r="AM9" s="296" t="s">
        <v>231</v>
      </c>
      <c r="AN9" s="271" t="s">
        <v>232</v>
      </c>
      <c r="AO9" s="296" t="s">
        <v>231</v>
      </c>
      <c r="AP9" s="271" t="s">
        <v>232</v>
      </c>
      <c r="AQ9" s="296" t="s">
        <v>231</v>
      </c>
      <c r="AR9" s="271" t="s">
        <v>232</v>
      </c>
      <c r="AS9" s="296" t="s">
        <v>231</v>
      </c>
      <c r="AT9" s="271" t="s">
        <v>232</v>
      </c>
      <c r="AU9" s="296" t="s">
        <v>231</v>
      </c>
      <c r="AV9" s="271" t="s">
        <v>232</v>
      </c>
      <c r="AW9" s="296" t="s">
        <v>231</v>
      </c>
      <c r="AX9" s="271" t="s">
        <v>232</v>
      </c>
      <c r="AY9" s="296" t="s">
        <v>231</v>
      </c>
      <c r="AZ9" s="271" t="s">
        <v>232</v>
      </c>
    </row>
    <row r="10" spans="1:53" ht="20" customHeight="1" x14ac:dyDescent="0.2">
      <c r="A10" s="242"/>
      <c r="B10" s="225"/>
      <c r="C10" s="154"/>
      <c r="D10" s="154"/>
      <c r="E10" s="151"/>
      <c r="F10" s="151"/>
      <c r="G10" s="154"/>
      <c r="H10" s="181"/>
      <c r="I10" s="160"/>
      <c r="J10" s="157"/>
      <c r="K10" s="175"/>
      <c r="L10" s="310"/>
      <c r="M10" s="296"/>
      <c r="N10" s="272"/>
      <c r="O10" s="296"/>
      <c r="P10" s="272"/>
      <c r="Q10" s="296"/>
      <c r="R10" s="272"/>
      <c r="S10" s="296"/>
      <c r="T10" s="280"/>
      <c r="U10" s="296"/>
      <c r="V10" s="272"/>
      <c r="W10" s="296"/>
      <c r="X10" s="272"/>
      <c r="Y10" s="296"/>
      <c r="Z10" s="272"/>
      <c r="AA10" s="296"/>
      <c r="AB10" s="272"/>
      <c r="AC10" s="296"/>
      <c r="AD10" s="272"/>
      <c r="AE10" s="296"/>
      <c r="AF10" s="272"/>
      <c r="AG10" s="296"/>
      <c r="AH10" s="272"/>
      <c r="AI10" s="296"/>
      <c r="AJ10" s="272"/>
      <c r="AK10" s="296"/>
      <c r="AL10" s="272"/>
      <c r="AM10" s="296"/>
      <c r="AN10" s="272"/>
      <c r="AO10" s="296"/>
      <c r="AP10" s="272"/>
      <c r="AQ10" s="296"/>
      <c r="AR10" s="272"/>
      <c r="AS10" s="296"/>
      <c r="AT10" s="272"/>
      <c r="AU10" s="296"/>
      <c r="AV10" s="272"/>
      <c r="AW10" s="296"/>
      <c r="AX10" s="272"/>
      <c r="AY10" s="296"/>
      <c r="AZ10" s="272"/>
    </row>
    <row r="11" spans="1:53" ht="20" customHeight="1" x14ac:dyDescent="0.2">
      <c r="A11" s="242"/>
      <c r="B11" s="225"/>
      <c r="C11" s="154"/>
      <c r="D11" s="154"/>
      <c r="E11" s="151"/>
      <c r="F11" s="151"/>
      <c r="G11" s="154"/>
      <c r="H11" s="181"/>
      <c r="I11" s="160"/>
      <c r="J11" s="157"/>
      <c r="K11" s="175"/>
      <c r="L11" s="310"/>
      <c r="M11" s="296"/>
      <c r="N11" s="272"/>
      <c r="O11" s="296"/>
      <c r="P11" s="272"/>
      <c r="Q11" s="296"/>
      <c r="R11" s="272"/>
      <c r="S11" s="296"/>
      <c r="T11" s="280"/>
      <c r="U11" s="296"/>
      <c r="V11" s="272"/>
      <c r="W11" s="296"/>
      <c r="X11" s="272"/>
      <c r="Y11" s="296"/>
      <c r="Z11" s="272"/>
      <c r="AA11" s="296"/>
      <c r="AB11" s="272"/>
      <c r="AC11" s="296"/>
      <c r="AD11" s="272"/>
      <c r="AE11" s="296"/>
      <c r="AF11" s="272"/>
      <c r="AG11" s="296"/>
      <c r="AH11" s="272"/>
      <c r="AI11" s="296"/>
      <c r="AJ11" s="272"/>
      <c r="AK11" s="296"/>
      <c r="AL11" s="272"/>
      <c r="AM11" s="296"/>
      <c r="AN11" s="272"/>
      <c r="AO11" s="296"/>
      <c r="AP11" s="272"/>
      <c r="AQ11" s="296"/>
      <c r="AR11" s="272"/>
      <c r="AS11" s="296"/>
      <c r="AT11" s="272"/>
      <c r="AU11" s="296"/>
      <c r="AV11" s="272"/>
      <c r="AW11" s="296"/>
      <c r="AX11" s="272"/>
      <c r="AY11" s="296"/>
      <c r="AZ11" s="272"/>
    </row>
    <row r="12" spans="1:53" ht="20" customHeight="1" x14ac:dyDescent="0.2">
      <c r="A12" s="242"/>
      <c r="B12" s="225"/>
      <c r="C12" s="154"/>
      <c r="D12" s="154"/>
      <c r="E12" s="151"/>
      <c r="F12" s="151"/>
      <c r="G12" s="154"/>
      <c r="H12" s="181"/>
      <c r="I12" s="160"/>
      <c r="J12" s="157"/>
      <c r="K12" s="175"/>
      <c r="L12" s="310"/>
      <c r="M12" s="296"/>
      <c r="N12" s="272"/>
      <c r="O12" s="296"/>
      <c r="P12" s="272"/>
      <c r="Q12" s="296"/>
      <c r="R12" s="272"/>
      <c r="S12" s="296"/>
      <c r="T12" s="280"/>
      <c r="U12" s="296"/>
      <c r="V12" s="272"/>
      <c r="W12" s="296"/>
      <c r="X12" s="272"/>
      <c r="Y12" s="296"/>
      <c r="Z12" s="272"/>
      <c r="AA12" s="296"/>
      <c r="AB12" s="272"/>
      <c r="AC12" s="296"/>
      <c r="AD12" s="272"/>
      <c r="AE12" s="296"/>
      <c r="AF12" s="272"/>
      <c r="AG12" s="296"/>
      <c r="AH12" s="272"/>
      <c r="AI12" s="296"/>
      <c r="AJ12" s="272"/>
      <c r="AK12" s="296"/>
      <c r="AL12" s="272"/>
      <c r="AM12" s="296"/>
      <c r="AN12" s="272"/>
      <c r="AO12" s="296"/>
      <c r="AP12" s="272"/>
      <c r="AQ12" s="296"/>
      <c r="AR12" s="272"/>
      <c r="AS12" s="296"/>
      <c r="AT12" s="272"/>
      <c r="AU12" s="296"/>
      <c r="AV12" s="272"/>
      <c r="AW12" s="296"/>
      <c r="AX12" s="272"/>
      <c r="AY12" s="296"/>
      <c r="AZ12" s="272"/>
    </row>
    <row r="13" spans="1:53" s="21" customFormat="1" ht="20" customHeight="1" thickBot="1" x14ac:dyDescent="0.25">
      <c r="A13" s="243"/>
      <c r="B13" s="226"/>
      <c r="C13" s="155" t="s">
        <v>63</v>
      </c>
      <c r="D13" s="155" t="s">
        <v>226</v>
      </c>
      <c r="E13" s="152" t="s">
        <v>64</v>
      </c>
      <c r="F13" s="152" t="s">
        <v>65</v>
      </c>
      <c r="G13" s="155" t="s">
        <v>66</v>
      </c>
      <c r="H13" s="182"/>
      <c r="I13" s="161"/>
      <c r="J13" s="158"/>
      <c r="K13" s="176"/>
      <c r="L13" s="311"/>
      <c r="M13" s="297"/>
      <c r="N13" s="273"/>
      <c r="O13" s="297"/>
      <c r="P13" s="273"/>
      <c r="Q13" s="297"/>
      <c r="R13" s="273"/>
      <c r="S13" s="297"/>
      <c r="T13" s="281"/>
      <c r="U13" s="297"/>
      <c r="V13" s="273"/>
      <c r="W13" s="297"/>
      <c r="X13" s="273"/>
      <c r="Y13" s="297"/>
      <c r="Z13" s="273"/>
      <c r="AA13" s="297"/>
      <c r="AB13" s="273"/>
      <c r="AC13" s="297"/>
      <c r="AD13" s="273"/>
      <c r="AE13" s="297"/>
      <c r="AF13" s="273"/>
      <c r="AG13" s="297"/>
      <c r="AH13" s="273"/>
      <c r="AI13" s="297"/>
      <c r="AJ13" s="273"/>
      <c r="AK13" s="297"/>
      <c r="AL13" s="273"/>
      <c r="AM13" s="297"/>
      <c r="AN13" s="273"/>
      <c r="AO13" s="297"/>
      <c r="AP13" s="273"/>
      <c r="AQ13" s="297"/>
      <c r="AR13" s="273"/>
      <c r="AS13" s="297"/>
      <c r="AT13" s="273"/>
      <c r="AU13" s="297"/>
      <c r="AV13" s="273"/>
      <c r="AW13" s="297"/>
      <c r="AX13" s="273"/>
      <c r="AY13" s="297"/>
      <c r="AZ13" s="273"/>
      <c r="BA13" s="91" t="s">
        <v>67</v>
      </c>
    </row>
    <row r="14" spans="1:53" s="21" customFormat="1" ht="20" customHeight="1" x14ac:dyDescent="0.2">
      <c r="A14" s="126"/>
      <c r="B14" s="127"/>
      <c r="C14" s="116" t="s">
        <v>207</v>
      </c>
      <c r="D14" s="116" t="s">
        <v>247</v>
      </c>
      <c r="E14" s="117" t="s">
        <v>245</v>
      </c>
      <c r="F14" s="117" t="s">
        <v>246</v>
      </c>
      <c r="G14" s="116">
        <v>2013</v>
      </c>
      <c r="H14" s="118"/>
      <c r="I14" s="84"/>
      <c r="J14" s="64">
        <v>10</v>
      </c>
      <c r="K14" s="65">
        <v>490</v>
      </c>
      <c r="L14" s="112">
        <f>IF(AND(NOT(ISERROR(J14/K14*100)), J14&lt;&gt;""), J14/K14*100, "")</f>
        <v>2.0408163265306123</v>
      </c>
      <c r="M14" s="92"/>
      <c r="N14" s="96" t="s">
        <v>250</v>
      </c>
      <c r="O14" s="94"/>
      <c r="P14" s="95"/>
      <c r="Q14" s="94"/>
      <c r="R14" s="95"/>
      <c r="S14" s="93"/>
      <c r="T14" s="96" t="s">
        <v>250</v>
      </c>
      <c r="U14" s="94"/>
      <c r="V14" s="95"/>
      <c r="W14" s="94"/>
      <c r="X14" s="95"/>
      <c r="Y14" s="92"/>
      <c r="Z14" s="96" t="s">
        <v>250</v>
      </c>
      <c r="AA14" s="94"/>
      <c r="AB14" s="95"/>
      <c r="AC14" s="92"/>
      <c r="AD14" s="96" t="s">
        <v>250</v>
      </c>
      <c r="AE14" s="94"/>
      <c r="AF14" s="95"/>
      <c r="AG14" s="92"/>
      <c r="AH14" s="96" t="s">
        <v>250</v>
      </c>
      <c r="AI14" s="94"/>
      <c r="AJ14" s="95"/>
      <c r="AK14" s="94"/>
      <c r="AL14" s="95"/>
      <c r="AM14" s="94"/>
      <c r="AN14" s="95"/>
      <c r="AO14" s="94"/>
      <c r="AP14" s="95"/>
      <c r="AQ14" s="92"/>
      <c r="AR14" s="96" t="s">
        <v>250</v>
      </c>
      <c r="AS14" s="92"/>
      <c r="AT14" s="96" t="s">
        <v>250</v>
      </c>
      <c r="AU14" s="94"/>
      <c r="AV14" s="95"/>
      <c r="AW14" s="94"/>
      <c r="AX14" s="95"/>
      <c r="AY14" s="93"/>
      <c r="AZ14" s="95" t="s">
        <v>250</v>
      </c>
      <c r="BA14" s="90"/>
    </row>
    <row r="15" spans="1:53" ht="20" customHeight="1" x14ac:dyDescent="0.2">
      <c r="A15" s="128"/>
      <c r="B15" s="129"/>
      <c r="C15" s="75" t="s">
        <v>207</v>
      </c>
      <c r="D15" s="75"/>
      <c r="E15" s="76" t="s">
        <v>68</v>
      </c>
      <c r="F15" s="76" t="s">
        <v>69</v>
      </c>
      <c r="G15" s="75">
        <v>2015</v>
      </c>
      <c r="H15" s="81">
        <v>3</v>
      </c>
      <c r="I15" s="84" t="s">
        <v>70</v>
      </c>
      <c r="J15" s="64">
        <v>14</v>
      </c>
      <c r="K15" s="65">
        <v>100</v>
      </c>
      <c r="L15" s="124">
        <f>IF(AND(NOT(ISERROR(J15/K15*100)), J15&lt;&gt;""), J15/K15*100, "")</f>
        <v>14.000000000000002</v>
      </c>
      <c r="M15" s="92"/>
      <c r="N15" s="96" t="s">
        <v>250</v>
      </c>
      <c r="O15" s="93"/>
      <c r="P15" s="95" t="s">
        <v>248</v>
      </c>
      <c r="Q15" s="94"/>
      <c r="R15" s="95"/>
      <c r="S15" s="94"/>
      <c r="T15" s="95"/>
      <c r="U15" s="94"/>
      <c r="V15" s="95"/>
      <c r="W15" s="94"/>
      <c r="X15" s="95"/>
      <c r="Y15" s="94"/>
      <c r="Z15" s="95"/>
      <c r="AA15" s="94"/>
      <c r="AB15" s="95"/>
      <c r="AC15" s="94"/>
      <c r="AD15" s="95"/>
      <c r="AE15" s="94"/>
      <c r="AF15" s="95"/>
      <c r="AG15" s="94"/>
      <c r="AH15" s="95"/>
      <c r="AI15" s="94"/>
      <c r="AJ15" s="95"/>
      <c r="AK15" s="94"/>
      <c r="AL15" s="95"/>
      <c r="AM15" s="94"/>
      <c r="AN15" s="95"/>
      <c r="AO15" s="94"/>
      <c r="AP15" s="95"/>
      <c r="AQ15" s="94"/>
      <c r="AR15" s="95"/>
      <c r="AS15" s="94"/>
      <c r="AT15" s="95"/>
      <c r="AU15" s="94"/>
      <c r="AV15" s="95"/>
      <c r="AW15" s="94"/>
      <c r="AX15" s="95"/>
      <c r="AY15" s="94"/>
      <c r="AZ15" s="95"/>
      <c r="BA15" s="19" t="s">
        <v>169</v>
      </c>
    </row>
    <row r="16" spans="1:53" ht="20" customHeight="1" x14ac:dyDescent="0.2">
      <c r="A16" s="128"/>
      <c r="B16" s="129"/>
      <c r="C16" s="75" t="s">
        <v>207</v>
      </c>
      <c r="D16" s="75"/>
      <c r="E16" s="76" t="s">
        <v>71</v>
      </c>
      <c r="F16" s="76" t="s">
        <v>72</v>
      </c>
      <c r="G16" s="75">
        <v>2014</v>
      </c>
      <c r="H16" s="81">
        <v>9</v>
      </c>
      <c r="I16" s="84"/>
      <c r="J16" s="64">
        <v>8</v>
      </c>
      <c r="K16" s="65">
        <v>82</v>
      </c>
      <c r="L16" s="124">
        <f t="shared" ref="L16:L57" si="0">IF(AND(NOT(ISERROR(J16/K16*100)), J16&lt;&gt;""), J16/K16*100, "")</f>
        <v>9.7560975609756095</v>
      </c>
      <c r="M16" s="92"/>
      <c r="N16" s="93"/>
      <c r="O16" s="94"/>
      <c r="P16" s="95"/>
      <c r="Q16" s="94"/>
      <c r="R16" s="95"/>
      <c r="S16" s="94"/>
      <c r="T16" s="95"/>
      <c r="U16" s="94"/>
      <c r="V16" s="95"/>
      <c r="W16" s="94"/>
      <c r="X16" s="95"/>
      <c r="Y16" s="94"/>
      <c r="Z16" s="95"/>
      <c r="AA16" s="94"/>
      <c r="AB16" s="95"/>
      <c r="AC16" s="94"/>
      <c r="AD16" s="95"/>
      <c r="AE16" s="94"/>
      <c r="AF16" s="95"/>
      <c r="AG16" s="94"/>
      <c r="AH16" s="95"/>
      <c r="AI16" s="94"/>
      <c r="AJ16" s="95"/>
      <c r="AK16" s="94"/>
      <c r="AL16" s="95"/>
      <c r="AM16" s="94"/>
      <c r="AN16" s="95"/>
      <c r="AO16" s="94"/>
      <c r="AP16" s="95"/>
      <c r="AQ16" s="94"/>
      <c r="AR16" s="95"/>
      <c r="AS16" s="94"/>
      <c r="AT16" s="95"/>
      <c r="AU16" s="94"/>
      <c r="AV16" s="95"/>
      <c r="AW16" s="94"/>
      <c r="AX16" s="95"/>
      <c r="AY16" s="94"/>
      <c r="AZ16" s="95"/>
      <c r="BA16" s="22" t="s">
        <v>73</v>
      </c>
    </row>
    <row r="17" spans="1:53" ht="20" customHeight="1" x14ac:dyDescent="0.2">
      <c r="A17" s="130"/>
      <c r="B17" s="131"/>
      <c r="C17" s="75"/>
      <c r="D17" s="75"/>
      <c r="E17" s="76" t="s">
        <v>74</v>
      </c>
      <c r="F17" s="76" t="s">
        <v>75</v>
      </c>
      <c r="G17" s="75">
        <v>2013</v>
      </c>
      <c r="H17" s="81">
        <v>15</v>
      </c>
      <c r="I17" s="84"/>
      <c r="J17" s="64"/>
      <c r="K17" s="65"/>
      <c r="L17" s="124" t="str">
        <f t="shared" si="0"/>
        <v/>
      </c>
      <c r="M17" s="92"/>
      <c r="N17" s="93"/>
      <c r="O17" s="94"/>
      <c r="P17" s="95"/>
      <c r="Q17" s="94"/>
      <c r="R17" s="95"/>
      <c r="S17" s="94"/>
      <c r="T17" s="95"/>
      <c r="U17" s="94"/>
      <c r="V17" s="95"/>
      <c r="W17" s="94"/>
      <c r="X17" s="95"/>
      <c r="Y17" s="94"/>
      <c r="Z17" s="95"/>
      <c r="AA17" s="94"/>
      <c r="AB17" s="95"/>
      <c r="AC17" s="94"/>
      <c r="AD17" s="95"/>
      <c r="AE17" s="94"/>
      <c r="AF17" s="95"/>
      <c r="AG17" s="94"/>
      <c r="AH17" s="95"/>
      <c r="AI17" s="94"/>
      <c r="AJ17" s="95"/>
      <c r="AK17" s="94"/>
      <c r="AL17" s="95"/>
      <c r="AM17" s="94"/>
      <c r="AN17" s="95"/>
      <c r="AO17" s="94"/>
      <c r="AP17" s="95"/>
      <c r="AQ17" s="94"/>
      <c r="AR17" s="95"/>
      <c r="AS17" s="94"/>
      <c r="AT17" s="95"/>
      <c r="AU17" s="94"/>
      <c r="AV17" s="95"/>
      <c r="AW17" s="94"/>
      <c r="AX17" s="95"/>
      <c r="AY17" s="94"/>
      <c r="AZ17" s="95"/>
      <c r="BA17" s="22" t="s">
        <v>73</v>
      </c>
    </row>
    <row r="18" spans="1:53" ht="20" customHeight="1" x14ac:dyDescent="0.2">
      <c r="A18" s="130"/>
      <c r="B18" s="131"/>
      <c r="C18" s="75" t="s">
        <v>207</v>
      </c>
      <c r="D18" s="75"/>
      <c r="E18" s="76" t="s">
        <v>76</v>
      </c>
      <c r="F18" s="76" t="s">
        <v>77</v>
      </c>
      <c r="G18" s="75">
        <v>1986</v>
      </c>
      <c r="H18" s="81">
        <v>146</v>
      </c>
      <c r="I18" s="84" t="s">
        <v>78</v>
      </c>
      <c r="J18" s="64">
        <v>13</v>
      </c>
      <c r="K18" s="65">
        <v>13</v>
      </c>
      <c r="L18" s="124">
        <f t="shared" si="0"/>
        <v>100</v>
      </c>
      <c r="M18" s="94"/>
      <c r="N18" s="96"/>
      <c r="O18" s="94"/>
      <c r="P18" s="95"/>
      <c r="Q18" s="92"/>
      <c r="R18" s="97"/>
      <c r="S18" s="94"/>
      <c r="T18" s="95"/>
      <c r="U18" s="94"/>
      <c r="V18" s="95"/>
      <c r="W18" s="94"/>
      <c r="X18" s="95"/>
      <c r="Y18" s="94"/>
      <c r="Z18" s="95"/>
      <c r="AA18" s="92"/>
      <c r="AB18" s="97"/>
      <c r="AC18" s="94"/>
      <c r="AD18" s="95"/>
      <c r="AE18" s="94"/>
      <c r="AF18" s="95"/>
      <c r="AG18" s="94"/>
      <c r="AH18" s="95"/>
      <c r="AI18" s="94"/>
      <c r="AJ18" s="95"/>
      <c r="AK18" s="94"/>
      <c r="AL18" s="95"/>
      <c r="AM18" s="94"/>
      <c r="AN18" s="95"/>
      <c r="AO18" s="94"/>
      <c r="AP18" s="95"/>
      <c r="AQ18" s="94"/>
      <c r="AR18" s="95"/>
      <c r="AS18" s="94"/>
      <c r="AT18" s="95"/>
      <c r="AU18" s="94"/>
      <c r="AV18" s="95"/>
      <c r="AW18" s="94"/>
      <c r="AX18" s="95"/>
      <c r="AY18" s="94"/>
      <c r="AZ18" s="95"/>
      <c r="BA18" s="22" t="s">
        <v>170</v>
      </c>
    </row>
    <row r="19" spans="1:53" ht="20" customHeight="1" x14ac:dyDescent="0.2">
      <c r="A19" s="130"/>
      <c r="B19" s="131"/>
      <c r="C19" s="75"/>
      <c r="D19" s="75"/>
      <c r="E19" s="76" t="s">
        <v>80</v>
      </c>
      <c r="F19" s="76" t="s">
        <v>81</v>
      </c>
      <c r="G19" s="75">
        <v>2008</v>
      </c>
      <c r="H19" s="81">
        <v>33</v>
      </c>
      <c r="I19" s="84"/>
      <c r="J19" s="64">
        <v>12</v>
      </c>
      <c r="K19" s="65">
        <v>101</v>
      </c>
      <c r="L19" s="124">
        <f t="shared" si="0"/>
        <v>11.881188118811881</v>
      </c>
      <c r="M19" s="92"/>
      <c r="N19" s="93"/>
      <c r="O19" s="94"/>
      <c r="P19" s="95"/>
      <c r="Q19" s="94"/>
      <c r="R19" s="95"/>
      <c r="S19" s="94"/>
      <c r="T19" s="95"/>
      <c r="U19" s="94"/>
      <c r="V19" s="95"/>
      <c r="W19" s="94"/>
      <c r="X19" s="95"/>
      <c r="Y19" s="94"/>
      <c r="Z19" s="95"/>
      <c r="AA19" s="94"/>
      <c r="AB19" s="95"/>
      <c r="AC19" s="94"/>
      <c r="AD19" s="95"/>
      <c r="AE19" s="94"/>
      <c r="AF19" s="95"/>
      <c r="AG19" s="94"/>
      <c r="AH19" s="95"/>
      <c r="AI19" s="94"/>
      <c r="AJ19" s="95"/>
      <c r="AK19" s="94"/>
      <c r="AL19" s="95"/>
      <c r="AM19" s="94"/>
      <c r="AN19" s="95"/>
      <c r="AO19" s="94"/>
      <c r="AP19" s="95"/>
      <c r="AQ19" s="94"/>
      <c r="AR19" s="95"/>
      <c r="AS19" s="94"/>
      <c r="AT19" s="95"/>
      <c r="AU19" s="94"/>
      <c r="AV19" s="95"/>
      <c r="AW19" s="94"/>
      <c r="AX19" s="95"/>
      <c r="AY19" s="94"/>
      <c r="AZ19" s="95"/>
      <c r="BA19" s="19" t="s">
        <v>82</v>
      </c>
    </row>
    <row r="20" spans="1:53" ht="20" customHeight="1" x14ac:dyDescent="0.2">
      <c r="A20" s="136"/>
      <c r="B20" s="137"/>
      <c r="C20" s="138"/>
      <c r="D20" s="138" t="s">
        <v>252</v>
      </c>
      <c r="E20" s="139" t="s">
        <v>256</v>
      </c>
      <c r="F20" s="139" t="s">
        <v>257</v>
      </c>
      <c r="G20" s="138">
        <v>1996</v>
      </c>
      <c r="H20" s="140"/>
      <c r="I20" s="141"/>
      <c r="J20" s="142">
        <v>56</v>
      </c>
      <c r="K20" s="143">
        <v>72</v>
      </c>
      <c r="L20" s="144">
        <v>77.8</v>
      </c>
      <c r="M20" s="94"/>
      <c r="N20" s="94"/>
      <c r="O20" s="94"/>
      <c r="P20" s="95"/>
      <c r="Q20" s="94"/>
      <c r="R20" s="95"/>
      <c r="S20" s="94"/>
      <c r="T20" s="95"/>
      <c r="U20" s="94"/>
      <c r="V20" s="95"/>
      <c r="W20" s="94"/>
      <c r="X20" s="95"/>
      <c r="Y20" s="94"/>
      <c r="Z20" s="95"/>
      <c r="AA20" s="94"/>
      <c r="AB20" s="95"/>
      <c r="AC20" s="94"/>
      <c r="AD20" s="95"/>
      <c r="AE20" s="93"/>
      <c r="AF20" s="93"/>
      <c r="AG20" s="94"/>
      <c r="AH20" s="95"/>
      <c r="AI20" s="94"/>
      <c r="AJ20" s="95"/>
      <c r="AK20" s="94"/>
      <c r="AL20" s="95"/>
      <c r="AM20" s="94"/>
      <c r="AN20" s="95"/>
      <c r="AO20" s="94"/>
      <c r="AP20" s="95"/>
      <c r="AQ20" s="94"/>
      <c r="AR20" s="95"/>
      <c r="AS20" s="94"/>
      <c r="AT20" s="95"/>
      <c r="AU20" s="94"/>
      <c r="AV20" s="95"/>
      <c r="AW20" s="94"/>
      <c r="AX20" s="95"/>
      <c r="AY20" s="93"/>
      <c r="AZ20" s="93"/>
      <c r="BA20" s="19" t="s">
        <v>258</v>
      </c>
    </row>
    <row r="21" spans="1:53" ht="20" customHeight="1" x14ac:dyDescent="0.2">
      <c r="A21" s="128"/>
      <c r="B21" s="129"/>
      <c r="C21" s="75"/>
      <c r="D21" s="75"/>
      <c r="E21" s="76" t="s">
        <v>83</v>
      </c>
      <c r="F21" s="76" t="s">
        <v>84</v>
      </c>
      <c r="G21" s="75">
        <v>2011</v>
      </c>
      <c r="H21" s="81"/>
      <c r="I21" s="84"/>
      <c r="J21" s="64">
        <v>1</v>
      </c>
      <c r="K21" s="65">
        <v>1</v>
      </c>
      <c r="L21" s="124">
        <f t="shared" si="0"/>
        <v>100</v>
      </c>
      <c r="M21" s="94"/>
      <c r="N21" s="96"/>
      <c r="O21" s="94"/>
      <c r="P21" s="95"/>
      <c r="Q21" s="94"/>
      <c r="R21" s="95"/>
      <c r="S21" s="94"/>
      <c r="T21" s="95"/>
      <c r="U21" s="94"/>
      <c r="V21" s="95"/>
      <c r="W21" s="92"/>
      <c r="X21" s="92"/>
      <c r="Y21" s="94"/>
      <c r="Z21" s="95"/>
      <c r="AA21" s="94"/>
      <c r="AB21" s="95"/>
      <c r="AC21" s="94"/>
      <c r="AD21" s="95"/>
      <c r="AE21" s="94"/>
      <c r="AF21" s="95"/>
      <c r="AG21" s="94"/>
      <c r="AH21" s="95"/>
      <c r="AI21" s="94"/>
      <c r="AJ21" s="95"/>
      <c r="AK21" s="94"/>
      <c r="AL21" s="95"/>
      <c r="AM21" s="94"/>
      <c r="AN21" s="95"/>
      <c r="AO21" s="94"/>
      <c r="AP21" s="95"/>
      <c r="AQ21" s="94"/>
      <c r="AR21" s="95"/>
      <c r="AS21" s="94"/>
      <c r="AT21" s="95"/>
      <c r="AU21" s="94"/>
      <c r="AV21" s="95"/>
      <c r="AW21" s="94"/>
      <c r="AX21" s="95"/>
      <c r="AY21" s="94"/>
      <c r="AZ21" s="95"/>
      <c r="BA21" s="19" t="s">
        <v>171</v>
      </c>
    </row>
    <row r="22" spans="1:53" ht="20" customHeight="1" x14ac:dyDescent="0.2">
      <c r="A22" s="130"/>
      <c r="B22" s="131"/>
      <c r="C22" s="75"/>
      <c r="D22" s="75"/>
      <c r="E22" s="76" t="s">
        <v>85</v>
      </c>
      <c r="F22" s="76" t="s">
        <v>86</v>
      </c>
      <c r="G22" s="75">
        <v>2010</v>
      </c>
      <c r="H22" s="81">
        <v>17</v>
      </c>
      <c r="I22" s="84"/>
      <c r="J22" s="64"/>
      <c r="K22" s="65">
        <v>83</v>
      </c>
      <c r="L22" s="124" t="str">
        <f t="shared" si="0"/>
        <v/>
      </c>
      <c r="M22" s="94"/>
      <c r="N22" s="96"/>
      <c r="O22" s="94"/>
      <c r="P22" s="95"/>
      <c r="Q22" s="94"/>
      <c r="R22" s="95"/>
      <c r="S22" s="94"/>
      <c r="T22" s="95"/>
      <c r="U22" s="94"/>
      <c r="V22" s="95"/>
      <c r="W22" s="94"/>
      <c r="X22" s="95"/>
      <c r="Y22" s="94"/>
      <c r="Z22" s="95"/>
      <c r="AA22" s="94"/>
      <c r="AB22" s="95"/>
      <c r="AC22" s="94"/>
      <c r="AD22" s="95"/>
      <c r="AE22" s="94"/>
      <c r="AF22" s="95"/>
      <c r="AG22" s="94"/>
      <c r="AH22" s="95"/>
      <c r="AI22" s="94"/>
      <c r="AJ22" s="95"/>
      <c r="AK22" s="94"/>
      <c r="AL22" s="95"/>
      <c r="AM22" s="94"/>
      <c r="AN22" s="95"/>
      <c r="AO22" s="94"/>
      <c r="AP22" s="95"/>
      <c r="AQ22" s="94"/>
      <c r="AR22" s="95"/>
      <c r="AS22" s="94"/>
      <c r="AT22" s="95"/>
      <c r="AU22" s="94"/>
      <c r="AV22" s="95"/>
      <c r="AW22" s="94"/>
      <c r="AX22" s="95"/>
      <c r="AY22" s="94"/>
      <c r="AZ22" s="95"/>
      <c r="BA22" s="19" t="s">
        <v>260</v>
      </c>
    </row>
    <row r="23" spans="1:53" ht="20" customHeight="1" x14ac:dyDescent="0.2">
      <c r="A23" s="130"/>
      <c r="B23" s="131"/>
      <c r="C23" s="75"/>
      <c r="D23" s="75"/>
      <c r="E23" s="76" t="s">
        <v>87</v>
      </c>
      <c r="F23" s="76" t="s">
        <v>88</v>
      </c>
      <c r="G23" s="75">
        <v>2013</v>
      </c>
      <c r="H23" s="81">
        <v>13</v>
      </c>
      <c r="I23" s="84"/>
      <c r="J23" s="64">
        <v>16</v>
      </c>
      <c r="K23" s="65">
        <v>201</v>
      </c>
      <c r="L23" s="124">
        <f t="shared" si="0"/>
        <v>7.9601990049751246</v>
      </c>
      <c r="M23" s="92"/>
      <c r="N23" s="93"/>
      <c r="O23" s="92"/>
      <c r="P23" s="97"/>
      <c r="Q23" s="94"/>
      <c r="R23" s="95"/>
      <c r="S23" s="94"/>
      <c r="T23" s="95"/>
      <c r="U23" s="94"/>
      <c r="V23" s="95"/>
      <c r="W23" s="94"/>
      <c r="X23" s="95"/>
      <c r="Y23" s="94"/>
      <c r="Z23" s="95"/>
      <c r="AA23" s="94"/>
      <c r="AB23" s="95"/>
      <c r="AC23" s="94"/>
      <c r="AD23" s="95"/>
      <c r="AE23" s="94"/>
      <c r="AF23" s="95"/>
      <c r="AG23" s="94"/>
      <c r="AH23" s="95"/>
      <c r="AI23" s="94"/>
      <c r="AJ23" s="95"/>
      <c r="AK23" s="94"/>
      <c r="AL23" s="95"/>
      <c r="AM23" s="94"/>
      <c r="AN23" s="95"/>
      <c r="AO23" s="94"/>
      <c r="AP23" s="95"/>
      <c r="AQ23" s="94"/>
      <c r="AR23" s="95"/>
      <c r="AS23" s="94"/>
      <c r="AT23" s="95"/>
      <c r="AU23" s="94"/>
      <c r="AV23" s="95"/>
      <c r="AW23" s="94"/>
      <c r="AX23" s="95"/>
      <c r="AY23" s="94"/>
      <c r="AZ23" s="95"/>
      <c r="BA23" s="22" t="s">
        <v>73</v>
      </c>
    </row>
    <row r="24" spans="1:53" ht="20" customHeight="1" x14ac:dyDescent="0.2">
      <c r="A24" s="128"/>
      <c r="B24" s="129"/>
      <c r="C24" s="75"/>
      <c r="D24" s="75"/>
      <c r="E24" s="76" t="s">
        <v>89</v>
      </c>
      <c r="F24" s="76" t="s">
        <v>90</v>
      </c>
      <c r="G24" s="75">
        <v>2013</v>
      </c>
      <c r="H24" s="81">
        <v>12</v>
      </c>
      <c r="I24" s="84" t="s">
        <v>91</v>
      </c>
      <c r="J24" s="64"/>
      <c r="K24" s="65">
        <v>304</v>
      </c>
      <c r="L24" s="124" t="str">
        <f t="shared" si="0"/>
        <v/>
      </c>
      <c r="M24" s="94" t="s">
        <v>262</v>
      </c>
      <c r="N24" s="92"/>
      <c r="O24" s="94"/>
      <c r="P24" s="95"/>
      <c r="Q24" s="94"/>
      <c r="R24" s="95"/>
      <c r="S24" s="94"/>
      <c r="T24" s="95"/>
      <c r="U24" s="94"/>
      <c r="V24" s="95"/>
      <c r="W24" s="94"/>
      <c r="X24" s="95"/>
      <c r="Y24" s="94"/>
      <c r="Z24" s="95"/>
      <c r="AA24" s="94"/>
      <c r="AB24" s="95"/>
      <c r="AC24" s="94"/>
      <c r="AD24" s="95"/>
      <c r="AE24" s="94"/>
      <c r="AF24" s="95"/>
      <c r="AG24" s="94"/>
      <c r="AH24" s="95"/>
      <c r="AI24" s="94"/>
      <c r="AJ24" s="95"/>
      <c r="AK24" s="94"/>
      <c r="AL24" s="95"/>
      <c r="AM24" s="94"/>
      <c r="AN24" s="95"/>
      <c r="AO24" s="94"/>
      <c r="AP24" s="95"/>
      <c r="AQ24" s="94"/>
      <c r="AR24" s="95"/>
      <c r="AS24" s="94"/>
      <c r="AT24" s="95"/>
      <c r="AU24" s="94"/>
      <c r="AV24" s="95"/>
      <c r="AW24" s="94"/>
      <c r="AX24" s="95"/>
      <c r="AY24" s="94"/>
      <c r="AZ24" s="95"/>
    </row>
    <row r="25" spans="1:53" ht="20" customHeight="1" x14ac:dyDescent="0.2">
      <c r="A25" s="128"/>
      <c r="B25" s="132"/>
      <c r="C25" s="75"/>
      <c r="D25" s="75"/>
      <c r="E25" s="76" t="s">
        <v>92</v>
      </c>
      <c r="F25" s="76" t="s">
        <v>93</v>
      </c>
      <c r="G25" s="75">
        <v>2010</v>
      </c>
      <c r="H25" s="81">
        <v>28</v>
      </c>
      <c r="I25" s="84"/>
      <c r="J25" s="64"/>
      <c r="K25" s="65">
        <v>597</v>
      </c>
      <c r="L25" s="124" t="str">
        <f t="shared" si="0"/>
        <v/>
      </c>
      <c r="M25" s="92"/>
      <c r="N25" s="96" t="s">
        <v>261</v>
      </c>
      <c r="O25" s="94"/>
      <c r="P25" s="95"/>
      <c r="Q25" s="94"/>
      <c r="R25" s="95"/>
      <c r="S25" s="97"/>
      <c r="T25" s="95" t="s">
        <v>261</v>
      </c>
      <c r="U25" s="97"/>
      <c r="V25" s="95" t="s">
        <v>261</v>
      </c>
      <c r="W25" s="94"/>
      <c r="X25" s="95"/>
      <c r="Y25" s="94"/>
      <c r="Z25" s="95"/>
      <c r="AA25" s="94"/>
      <c r="AB25" s="95"/>
      <c r="AC25" s="94"/>
      <c r="AD25" s="95"/>
      <c r="AE25" s="94"/>
      <c r="AF25" s="95"/>
      <c r="AG25" s="94"/>
      <c r="AH25" s="95"/>
      <c r="AI25" s="94"/>
      <c r="AJ25" s="95"/>
      <c r="AK25" s="94"/>
      <c r="AL25" s="95"/>
      <c r="AM25" s="94"/>
      <c r="AN25" s="95"/>
      <c r="AO25" s="94"/>
      <c r="AP25" s="95"/>
      <c r="AQ25" s="94"/>
      <c r="AR25" s="95"/>
      <c r="AS25" s="94"/>
      <c r="AT25" s="95"/>
      <c r="AU25" s="94"/>
      <c r="AV25" s="95"/>
      <c r="AW25" s="94"/>
      <c r="AX25" s="95"/>
      <c r="AY25" s="94"/>
      <c r="AZ25" s="95"/>
      <c r="BA25" s="19" t="s">
        <v>263</v>
      </c>
    </row>
    <row r="26" spans="1:53" ht="20" customHeight="1" x14ac:dyDescent="0.2">
      <c r="A26" s="128"/>
      <c r="B26" s="132"/>
      <c r="C26" s="75"/>
      <c r="D26" s="75"/>
      <c r="E26" s="76" t="s">
        <v>94</v>
      </c>
      <c r="F26" s="76" t="s">
        <v>95</v>
      </c>
      <c r="G26" s="75">
        <v>2012</v>
      </c>
      <c r="H26" s="81">
        <v>22</v>
      </c>
      <c r="I26" s="84" t="s">
        <v>96</v>
      </c>
      <c r="J26" s="64"/>
      <c r="K26" s="65">
        <v>19</v>
      </c>
      <c r="L26" s="124" t="str">
        <f t="shared" si="0"/>
        <v/>
      </c>
      <c r="M26" s="94" t="s">
        <v>267</v>
      </c>
      <c r="N26" s="97"/>
      <c r="O26" s="94"/>
      <c r="P26" s="95"/>
      <c r="Q26" s="94" t="s">
        <v>267</v>
      </c>
      <c r="R26" s="97"/>
      <c r="S26" s="94"/>
      <c r="T26" s="95"/>
      <c r="U26" s="94"/>
      <c r="V26" s="95"/>
      <c r="W26" s="94"/>
      <c r="X26" s="95"/>
      <c r="Y26" s="94"/>
      <c r="Z26" s="95"/>
      <c r="AA26" s="94"/>
      <c r="AB26" s="95"/>
      <c r="AC26" s="94"/>
      <c r="AD26" s="95"/>
      <c r="AE26" s="94"/>
      <c r="AF26" s="95"/>
      <c r="AG26" s="94" t="s">
        <v>267</v>
      </c>
      <c r="AH26" s="97"/>
      <c r="AI26" s="94"/>
      <c r="AJ26" s="95"/>
      <c r="AK26" s="94"/>
      <c r="AL26" s="95"/>
      <c r="AM26" s="94"/>
      <c r="AN26" s="95"/>
      <c r="AO26" s="94" t="s">
        <v>267</v>
      </c>
      <c r="AP26" s="97"/>
      <c r="AQ26" s="94"/>
      <c r="AR26" s="95"/>
      <c r="AS26" s="94"/>
      <c r="AT26" s="95"/>
      <c r="AU26" s="94" t="s">
        <v>267</v>
      </c>
      <c r="AV26" s="97"/>
      <c r="AW26" s="94" t="s">
        <v>267</v>
      </c>
      <c r="AX26" s="97"/>
      <c r="AY26" s="94" t="s">
        <v>267</v>
      </c>
      <c r="AZ26" s="97"/>
      <c r="BA26" s="19" t="s">
        <v>265</v>
      </c>
    </row>
    <row r="27" spans="1:53" ht="20" customHeight="1" x14ac:dyDescent="0.2">
      <c r="A27" s="128"/>
      <c r="B27" s="132"/>
      <c r="C27" s="75"/>
      <c r="D27" s="75" t="s">
        <v>227</v>
      </c>
      <c r="E27" s="77" t="s">
        <v>97</v>
      </c>
      <c r="F27" s="77" t="s">
        <v>95</v>
      </c>
      <c r="G27" s="78">
        <v>2013</v>
      </c>
      <c r="H27" s="82">
        <v>12</v>
      </c>
      <c r="I27" s="85"/>
      <c r="J27" s="66"/>
      <c r="K27" s="67">
        <v>19</v>
      </c>
      <c r="L27" s="124" t="str">
        <f t="shared" si="0"/>
        <v/>
      </c>
      <c r="M27" s="94" t="s">
        <v>267</v>
      </c>
      <c r="N27" s="97"/>
      <c r="O27" s="94"/>
      <c r="P27" s="95"/>
      <c r="Q27" s="94" t="s">
        <v>267</v>
      </c>
      <c r="R27" s="97"/>
      <c r="S27" s="94"/>
      <c r="T27" s="95"/>
      <c r="U27" s="94"/>
      <c r="V27" s="95"/>
      <c r="W27" s="94"/>
      <c r="X27" s="95"/>
      <c r="Y27" s="94"/>
      <c r="Z27" s="95"/>
      <c r="AA27" s="94"/>
      <c r="AB27" s="95"/>
      <c r="AC27" s="94"/>
      <c r="AD27" s="95"/>
      <c r="AE27" s="94"/>
      <c r="AF27" s="95"/>
      <c r="AG27" s="94" t="s">
        <v>267</v>
      </c>
      <c r="AH27" s="97"/>
      <c r="AI27" s="94"/>
      <c r="AJ27" s="95"/>
      <c r="AK27" s="94"/>
      <c r="AL27" s="95"/>
      <c r="AM27" s="94"/>
      <c r="AN27" s="95"/>
      <c r="AO27" s="94" t="s">
        <v>267</v>
      </c>
      <c r="AP27" s="97"/>
      <c r="AQ27" s="94"/>
      <c r="AR27" s="95"/>
      <c r="AS27" s="94"/>
      <c r="AT27" s="95"/>
      <c r="AU27" s="94" t="s">
        <v>267</v>
      </c>
      <c r="AV27" s="97"/>
      <c r="AW27" s="94" t="s">
        <v>267</v>
      </c>
      <c r="AX27" s="97"/>
      <c r="AY27" s="94" t="s">
        <v>267</v>
      </c>
      <c r="AZ27" s="97"/>
      <c r="BA27" s="19" t="s">
        <v>175</v>
      </c>
    </row>
    <row r="28" spans="1:53" ht="20" customHeight="1" x14ac:dyDescent="0.2">
      <c r="A28" s="128"/>
      <c r="B28" s="132"/>
      <c r="C28" s="75"/>
      <c r="D28" s="75"/>
      <c r="E28" s="76" t="s">
        <v>98</v>
      </c>
      <c r="F28" s="76" t="s">
        <v>99</v>
      </c>
      <c r="G28" s="75">
        <v>2007</v>
      </c>
      <c r="H28" s="81">
        <v>41</v>
      </c>
      <c r="I28" s="84"/>
      <c r="J28" s="64"/>
      <c r="K28" s="65">
        <v>71</v>
      </c>
      <c r="L28" s="124" t="str">
        <f t="shared" si="0"/>
        <v/>
      </c>
      <c r="M28" s="94"/>
      <c r="N28" s="96"/>
      <c r="O28" s="94"/>
      <c r="P28" s="95"/>
      <c r="Q28" s="94"/>
      <c r="R28" s="95"/>
      <c r="S28" s="94"/>
      <c r="T28" s="95"/>
      <c r="U28" s="94"/>
      <c r="V28" s="95"/>
      <c r="W28" s="94"/>
      <c r="X28" s="95"/>
      <c r="Y28" s="94"/>
      <c r="Z28" s="95"/>
      <c r="AA28" s="94"/>
      <c r="AB28" s="95"/>
      <c r="AC28" s="94"/>
      <c r="AD28" s="95"/>
      <c r="AE28" s="94"/>
      <c r="AF28" s="95"/>
      <c r="AG28" s="94"/>
      <c r="AH28" s="95"/>
      <c r="AI28" s="94"/>
      <c r="AJ28" s="95"/>
      <c r="AK28" s="94"/>
      <c r="AL28" s="95"/>
      <c r="AM28" s="94"/>
      <c r="AN28" s="95"/>
      <c r="AO28" s="94"/>
      <c r="AP28" s="95"/>
      <c r="AQ28" s="94"/>
      <c r="AR28" s="95"/>
      <c r="AS28" s="94"/>
      <c r="AT28" s="95"/>
      <c r="AU28" s="94"/>
      <c r="AV28" s="95"/>
      <c r="AW28" s="94"/>
      <c r="AX28" s="95"/>
      <c r="AY28" s="94"/>
      <c r="AZ28" s="95"/>
      <c r="BA28" s="19" t="s">
        <v>176</v>
      </c>
    </row>
    <row r="29" spans="1:53" ht="20" customHeight="1" x14ac:dyDescent="0.2">
      <c r="A29" s="128"/>
      <c r="B29" s="133"/>
      <c r="C29" s="75"/>
      <c r="D29" s="75"/>
      <c r="E29" s="77" t="s">
        <v>101</v>
      </c>
      <c r="F29" s="77" t="s">
        <v>102</v>
      </c>
      <c r="G29" s="78">
        <v>2007</v>
      </c>
      <c r="H29" s="82">
        <v>140</v>
      </c>
      <c r="I29" s="84"/>
      <c r="J29" s="64"/>
      <c r="K29" s="67">
        <v>71</v>
      </c>
      <c r="L29" s="124" t="str">
        <f t="shared" si="0"/>
        <v/>
      </c>
      <c r="M29" s="94"/>
      <c r="N29" s="96"/>
      <c r="O29" s="94"/>
      <c r="P29" s="95"/>
      <c r="Q29" s="94"/>
      <c r="R29" s="95"/>
      <c r="S29" s="94"/>
      <c r="T29" s="95"/>
      <c r="U29" s="94"/>
      <c r="V29" s="95"/>
      <c r="W29" s="94"/>
      <c r="X29" s="95"/>
      <c r="Y29" s="94"/>
      <c r="Z29" s="95"/>
      <c r="AA29" s="94"/>
      <c r="AB29" s="95"/>
      <c r="AC29" s="94"/>
      <c r="AD29" s="95"/>
      <c r="AE29" s="94"/>
      <c r="AF29" s="95"/>
      <c r="AG29" s="94"/>
      <c r="AH29" s="95"/>
      <c r="AI29" s="94"/>
      <c r="AJ29" s="95"/>
      <c r="AK29" s="94"/>
      <c r="AL29" s="95"/>
      <c r="AM29" s="94"/>
      <c r="AN29" s="95"/>
      <c r="AO29" s="94"/>
      <c r="AP29" s="95"/>
      <c r="AQ29" s="94"/>
      <c r="AR29" s="95"/>
      <c r="AS29" s="94"/>
      <c r="AT29" s="95"/>
      <c r="AU29" s="94"/>
      <c r="AV29" s="95"/>
      <c r="AW29" s="94"/>
      <c r="AX29" s="95"/>
      <c r="AY29" s="94"/>
      <c r="AZ29" s="95"/>
      <c r="BA29" s="19" t="s">
        <v>103</v>
      </c>
    </row>
    <row r="30" spans="1:53" ht="20" customHeight="1" x14ac:dyDescent="0.2">
      <c r="A30" s="130"/>
      <c r="B30" s="131"/>
      <c r="C30" s="75"/>
      <c r="D30" s="75"/>
      <c r="E30" s="76" t="s">
        <v>104</v>
      </c>
      <c r="F30" s="76" t="s">
        <v>105</v>
      </c>
      <c r="G30" s="75">
        <v>2015</v>
      </c>
      <c r="H30" s="81">
        <v>8</v>
      </c>
      <c r="I30" s="84" t="s">
        <v>106</v>
      </c>
      <c r="J30" s="64"/>
      <c r="K30" s="65">
        <v>255</v>
      </c>
      <c r="L30" s="124" t="str">
        <f t="shared" si="0"/>
        <v/>
      </c>
      <c r="M30" s="92"/>
      <c r="N30" s="93"/>
      <c r="O30" s="94"/>
      <c r="P30" s="95"/>
      <c r="Q30" s="94"/>
      <c r="R30" s="95"/>
      <c r="S30" s="94"/>
      <c r="T30" s="95"/>
      <c r="U30" s="94"/>
      <c r="V30" s="95"/>
      <c r="W30" s="94"/>
      <c r="X30" s="95"/>
      <c r="Y30" s="94"/>
      <c r="Z30" s="95"/>
      <c r="AA30" s="94"/>
      <c r="AB30" s="95"/>
      <c r="AC30" s="94"/>
      <c r="AD30" s="95"/>
      <c r="AE30" s="94"/>
      <c r="AF30" s="95"/>
      <c r="AG30" s="94"/>
      <c r="AH30" s="95"/>
      <c r="AI30" s="94"/>
      <c r="AJ30" s="95"/>
      <c r="AK30" s="94"/>
      <c r="AL30" s="95"/>
      <c r="AM30" s="94"/>
      <c r="AN30" s="95"/>
      <c r="AO30" s="94"/>
      <c r="AP30" s="95"/>
      <c r="AQ30" s="94"/>
      <c r="AR30" s="95"/>
      <c r="AS30" s="94"/>
      <c r="AT30" s="95"/>
      <c r="AU30" s="94"/>
      <c r="AV30" s="95"/>
      <c r="AW30" s="94"/>
      <c r="AX30" s="95"/>
      <c r="AY30" s="94"/>
      <c r="AZ30" s="95"/>
      <c r="BA30" s="19" t="s">
        <v>107</v>
      </c>
    </row>
    <row r="31" spans="1:53" ht="20" customHeight="1" x14ac:dyDescent="0.2">
      <c r="A31" s="128"/>
      <c r="B31" s="132"/>
      <c r="C31" s="75"/>
      <c r="D31" s="75"/>
      <c r="E31" s="76" t="s">
        <v>108</v>
      </c>
      <c r="F31" s="76" t="s">
        <v>109</v>
      </c>
      <c r="G31" s="75">
        <v>1993</v>
      </c>
      <c r="H31" s="81">
        <v>56</v>
      </c>
      <c r="I31" s="84"/>
      <c r="J31" s="64">
        <v>43</v>
      </c>
      <c r="K31" s="65">
        <v>148</v>
      </c>
      <c r="L31" s="124">
        <f t="shared" si="0"/>
        <v>29.054054054054053</v>
      </c>
      <c r="M31" s="94" t="s">
        <v>269</v>
      </c>
      <c r="N31" s="96" t="s">
        <v>250</v>
      </c>
      <c r="O31" s="94"/>
      <c r="P31" s="95"/>
      <c r="Q31" s="94"/>
      <c r="R31" s="95"/>
      <c r="S31" s="94"/>
      <c r="T31" s="95"/>
      <c r="U31" s="94"/>
      <c r="V31" s="95"/>
      <c r="W31" s="94"/>
      <c r="X31" s="95"/>
      <c r="Y31" s="94" t="s">
        <v>269</v>
      </c>
      <c r="Z31" s="96" t="s">
        <v>250</v>
      </c>
      <c r="AA31" s="94" t="s">
        <v>269</v>
      </c>
      <c r="AB31" s="96" t="s">
        <v>250</v>
      </c>
      <c r="AC31" s="94"/>
      <c r="AD31" s="95"/>
      <c r="AE31" s="94" t="s">
        <v>269</v>
      </c>
      <c r="AF31" s="96" t="s">
        <v>250</v>
      </c>
      <c r="AG31" s="94"/>
      <c r="AH31" s="95"/>
      <c r="AI31" s="94"/>
      <c r="AJ31" s="95"/>
      <c r="AK31" s="94"/>
      <c r="AL31" s="95"/>
      <c r="AM31" s="94"/>
      <c r="AN31" s="95"/>
      <c r="AO31" s="94"/>
      <c r="AP31" s="95"/>
      <c r="AQ31" s="94"/>
      <c r="AR31" s="95"/>
      <c r="AS31" s="94"/>
      <c r="AT31" s="95"/>
      <c r="AU31" s="94"/>
      <c r="AV31" s="95"/>
      <c r="AW31" s="94" t="s">
        <v>269</v>
      </c>
      <c r="AX31" s="96" t="s">
        <v>250</v>
      </c>
      <c r="AY31" s="94"/>
      <c r="AZ31" s="95"/>
      <c r="BA31" s="19" t="s">
        <v>218</v>
      </c>
    </row>
    <row r="32" spans="1:53" ht="20" customHeight="1" x14ac:dyDescent="0.2">
      <c r="A32" s="128"/>
      <c r="B32" s="129"/>
      <c r="C32" s="75"/>
      <c r="D32" s="75"/>
      <c r="E32" s="76" t="s">
        <v>110</v>
      </c>
      <c r="F32" s="76" t="s">
        <v>111</v>
      </c>
      <c r="G32" s="75">
        <v>2009</v>
      </c>
      <c r="H32" s="81"/>
      <c r="I32" s="84" t="s">
        <v>112</v>
      </c>
      <c r="J32" s="64">
        <v>33</v>
      </c>
      <c r="K32" s="65">
        <v>170</v>
      </c>
      <c r="L32" s="124">
        <f t="shared" si="0"/>
        <v>19.411764705882355</v>
      </c>
      <c r="M32" s="94" t="s">
        <v>262</v>
      </c>
      <c r="N32" s="93"/>
      <c r="O32" s="94"/>
      <c r="P32" s="95"/>
      <c r="Q32" s="94"/>
      <c r="R32" s="95"/>
      <c r="S32" s="94" t="s">
        <v>262</v>
      </c>
      <c r="T32" s="93"/>
      <c r="U32" s="94" t="s">
        <v>262</v>
      </c>
      <c r="V32" s="93"/>
      <c r="W32" s="94"/>
      <c r="X32" s="95"/>
      <c r="Y32" s="94"/>
      <c r="Z32" s="95"/>
      <c r="AA32" s="94"/>
      <c r="AB32" s="95"/>
      <c r="AC32" s="94"/>
      <c r="AD32" s="95"/>
      <c r="AE32" s="94"/>
      <c r="AF32" s="95"/>
      <c r="AG32" s="94"/>
      <c r="AH32" s="95"/>
      <c r="AI32" s="94"/>
      <c r="AJ32" s="95"/>
      <c r="AK32" s="94"/>
      <c r="AL32" s="95"/>
      <c r="AM32" s="94"/>
      <c r="AN32" s="95"/>
      <c r="AO32" s="94"/>
      <c r="AP32" s="95"/>
      <c r="AQ32" s="94"/>
      <c r="AR32" s="95"/>
      <c r="AS32" s="94"/>
      <c r="AT32" s="95"/>
      <c r="AU32" s="94"/>
      <c r="AV32" s="95"/>
      <c r="AW32" s="94"/>
      <c r="AX32" s="95"/>
      <c r="AY32" s="94"/>
      <c r="AZ32" s="95"/>
      <c r="BA32" s="19" t="s">
        <v>270</v>
      </c>
    </row>
    <row r="33" spans="1:53" ht="20" customHeight="1" x14ac:dyDescent="0.2">
      <c r="A33" s="128"/>
      <c r="B33" s="76"/>
      <c r="C33" s="75"/>
      <c r="D33" s="75"/>
      <c r="E33" s="76" t="s">
        <v>210</v>
      </c>
      <c r="F33" s="76" t="s">
        <v>211</v>
      </c>
      <c r="G33" s="75">
        <v>2013</v>
      </c>
      <c r="H33" s="81">
        <v>8</v>
      </c>
      <c r="I33" s="84"/>
      <c r="J33" s="64">
        <v>14</v>
      </c>
      <c r="K33" s="65">
        <v>98</v>
      </c>
      <c r="L33" s="124">
        <f t="shared" si="0"/>
        <v>14.285714285714285</v>
      </c>
      <c r="M33" s="94" t="s">
        <v>271</v>
      </c>
      <c r="N33" s="93"/>
      <c r="O33" s="94"/>
      <c r="P33" s="95"/>
      <c r="Q33" s="94"/>
      <c r="R33" s="95"/>
      <c r="S33" s="94"/>
      <c r="T33" s="95"/>
      <c r="U33" s="94"/>
      <c r="V33" s="95"/>
      <c r="W33" s="94"/>
      <c r="X33" s="95"/>
      <c r="Y33" s="94"/>
      <c r="Z33" s="95"/>
      <c r="AA33" s="94"/>
      <c r="AB33" s="95"/>
      <c r="AC33" s="94"/>
      <c r="AD33" s="95"/>
      <c r="AE33" s="94"/>
      <c r="AF33" s="95"/>
      <c r="AG33" s="94"/>
      <c r="AH33" s="95"/>
      <c r="AI33" s="94"/>
      <c r="AJ33" s="95"/>
      <c r="AK33" s="94"/>
      <c r="AL33" s="95"/>
      <c r="AM33" s="94"/>
      <c r="AN33" s="95"/>
      <c r="AO33" s="94"/>
      <c r="AP33" s="95"/>
      <c r="AQ33" s="94"/>
      <c r="AR33" s="95"/>
      <c r="AS33" s="94"/>
      <c r="AT33" s="95"/>
      <c r="AU33" s="94"/>
      <c r="AV33" s="95"/>
      <c r="AW33" s="94"/>
      <c r="AX33" s="95"/>
      <c r="AY33" s="94"/>
      <c r="AZ33" s="95"/>
    </row>
    <row r="34" spans="1:53" ht="20" customHeight="1" x14ac:dyDescent="0.2">
      <c r="A34" s="128"/>
      <c r="B34" s="131"/>
      <c r="C34" s="75"/>
      <c r="D34" s="75"/>
      <c r="E34" s="76" t="s">
        <v>113</v>
      </c>
      <c r="F34" s="76" t="s">
        <v>114</v>
      </c>
      <c r="G34" s="75">
        <v>2008</v>
      </c>
      <c r="H34" s="81">
        <v>21</v>
      </c>
      <c r="I34" s="84" t="s">
        <v>115</v>
      </c>
      <c r="J34" s="64">
        <v>3</v>
      </c>
      <c r="K34" s="65">
        <v>111</v>
      </c>
      <c r="L34" s="124">
        <f t="shared" si="0"/>
        <v>2.7027027027027026</v>
      </c>
      <c r="M34" s="93"/>
      <c r="N34" s="96" t="s">
        <v>250</v>
      </c>
      <c r="O34" s="94"/>
      <c r="P34" s="95"/>
      <c r="Q34" s="94"/>
      <c r="R34" s="95"/>
      <c r="S34" s="94"/>
      <c r="T34" s="95"/>
      <c r="U34" s="94"/>
      <c r="V34" s="95"/>
      <c r="W34" s="94"/>
      <c r="X34" s="95"/>
      <c r="Y34" s="94"/>
      <c r="Z34" s="95"/>
      <c r="AA34" s="94"/>
      <c r="AB34" s="95"/>
      <c r="AC34" s="94"/>
      <c r="AD34" s="95"/>
      <c r="AE34" s="94"/>
      <c r="AF34" s="95"/>
      <c r="AG34" s="94"/>
      <c r="AH34" s="95"/>
      <c r="AI34" s="94"/>
      <c r="AJ34" s="95"/>
      <c r="AK34" s="94"/>
      <c r="AL34" s="95"/>
      <c r="AM34" s="94"/>
      <c r="AN34" s="95"/>
      <c r="AO34" s="94"/>
      <c r="AP34" s="95"/>
      <c r="AQ34" s="94"/>
      <c r="AR34" s="95"/>
      <c r="AS34" s="94"/>
      <c r="AT34" s="95"/>
      <c r="AU34" s="94"/>
      <c r="AV34" s="95"/>
      <c r="AW34" s="94"/>
      <c r="AX34" s="95"/>
      <c r="AY34" s="94"/>
      <c r="AZ34" s="95"/>
      <c r="BA34" s="19" t="s">
        <v>177</v>
      </c>
    </row>
    <row r="35" spans="1:53" ht="20" customHeight="1" x14ac:dyDescent="0.2">
      <c r="A35" s="128"/>
      <c r="B35" s="133"/>
      <c r="C35" s="75"/>
      <c r="D35" s="75"/>
      <c r="E35" s="76" t="s">
        <v>116</v>
      </c>
      <c r="F35" s="76" t="s">
        <v>117</v>
      </c>
      <c r="G35" s="75">
        <v>2005</v>
      </c>
      <c r="H35" s="81">
        <v>23</v>
      </c>
      <c r="I35" s="84"/>
      <c r="J35" s="64">
        <v>21</v>
      </c>
      <c r="K35" s="65">
        <v>174</v>
      </c>
      <c r="L35" s="124">
        <f t="shared" si="0"/>
        <v>12.068965517241379</v>
      </c>
      <c r="M35" s="94" t="s">
        <v>269</v>
      </c>
      <c r="N35" s="93"/>
      <c r="O35" s="94"/>
      <c r="P35" s="95"/>
      <c r="Q35" s="94" t="s">
        <v>178</v>
      </c>
      <c r="R35" s="95"/>
      <c r="S35" s="94" t="s">
        <v>178</v>
      </c>
      <c r="T35" s="95"/>
      <c r="U35" s="94"/>
      <c r="V35" s="95"/>
      <c r="W35" s="94"/>
      <c r="X35" s="95"/>
      <c r="Y35" s="94" t="s">
        <v>178</v>
      </c>
      <c r="Z35" s="95"/>
      <c r="AA35" s="94" t="s">
        <v>178</v>
      </c>
      <c r="AB35" s="95"/>
      <c r="AC35" s="94"/>
      <c r="AD35" s="95"/>
      <c r="AE35" s="94"/>
      <c r="AF35" s="95"/>
      <c r="AG35" s="94"/>
      <c r="AH35" s="95"/>
      <c r="AI35" s="94" t="s">
        <v>178</v>
      </c>
      <c r="AJ35" s="95"/>
      <c r="AK35" s="94"/>
      <c r="AL35" s="95"/>
      <c r="AM35" s="94"/>
      <c r="AN35" s="95"/>
      <c r="AO35" s="94"/>
      <c r="AP35" s="95"/>
      <c r="AQ35" s="94"/>
      <c r="AR35" s="95"/>
      <c r="AS35" s="94"/>
      <c r="AT35" s="95"/>
      <c r="AU35" s="94"/>
      <c r="AV35" s="95"/>
      <c r="AW35" s="94"/>
      <c r="AX35" s="95"/>
      <c r="AY35" s="94"/>
      <c r="AZ35" s="95"/>
      <c r="BA35" s="19" t="s">
        <v>179</v>
      </c>
    </row>
    <row r="36" spans="1:53" ht="20" customHeight="1" x14ac:dyDescent="0.2">
      <c r="A36" s="128"/>
      <c r="B36" s="129"/>
      <c r="C36" s="75"/>
      <c r="D36" s="75"/>
      <c r="E36" s="76" t="s">
        <v>119</v>
      </c>
      <c r="F36" s="76" t="s">
        <v>120</v>
      </c>
      <c r="G36" s="75">
        <v>2015</v>
      </c>
      <c r="H36" s="81">
        <v>7</v>
      </c>
      <c r="I36" s="84" t="s">
        <v>115</v>
      </c>
      <c r="J36" s="64">
        <v>26</v>
      </c>
      <c r="K36" s="65">
        <v>388</v>
      </c>
      <c r="L36" s="124">
        <f t="shared" si="0"/>
        <v>6.7010309278350517</v>
      </c>
      <c r="M36" s="94" t="s">
        <v>262</v>
      </c>
      <c r="N36" s="93"/>
      <c r="O36" s="94" t="s">
        <v>262</v>
      </c>
      <c r="P36" s="93"/>
      <c r="Q36" s="94"/>
      <c r="R36" s="95"/>
      <c r="S36" s="94"/>
      <c r="T36" s="95"/>
      <c r="U36" s="94"/>
      <c r="V36" s="95"/>
      <c r="W36" s="94"/>
      <c r="X36" s="95"/>
      <c r="Y36" s="94"/>
      <c r="Z36" s="95"/>
      <c r="AA36" s="94"/>
      <c r="AB36" s="95"/>
      <c r="AC36" s="94"/>
      <c r="AD36" s="95"/>
      <c r="AE36" s="94"/>
      <c r="AF36" s="95"/>
      <c r="AG36" s="94"/>
      <c r="AH36" s="95"/>
      <c r="AI36" s="94"/>
      <c r="AJ36" s="95"/>
      <c r="AK36" s="94"/>
      <c r="AL36" s="95"/>
      <c r="AM36" s="94"/>
      <c r="AN36" s="95"/>
      <c r="AO36" s="94"/>
      <c r="AP36" s="95"/>
      <c r="AQ36" s="94"/>
      <c r="AR36" s="95"/>
      <c r="AS36" s="94"/>
      <c r="AT36" s="95"/>
      <c r="AU36" s="94"/>
      <c r="AV36" s="95"/>
      <c r="AW36" s="94"/>
      <c r="AX36" s="95"/>
      <c r="AY36" s="94"/>
      <c r="AZ36" s="95"/>
    </row>
    <row r="37" spans="1:53" ht="20" customHeight="1" x14ac:dyDescent="0.2">
      <c r="A37" s="128"/>
      <c r="B37" s="132"/>
      <c r="C37" s="75"/>
      <c r="D37" s="75" t="s">
        <v>227</v>
      </c>
      <c r="E37" s="76" t="s">
        <v>121</v>
      </c>
      <c r="F37" s="76" t="s">
        <v>122</v>
      </c>
      <c r="G37" s="75">
        <v>2011</v>
      </c>
      <c r="H37" s="81">
        <v>12</v>
      </c>
      <c r="I37" s="84" t="s">
        <v>123</v>
      </c>
      <c r="J37" s="64"/>
      <c r="K37" s="65">
        <v>11</v>
      </c>
      <c r="L37" s="124" t="str">
        <f t="shared" si="0"/>
        <v/>
      </c>
      <c r="M37" s="94"/>
      <c r="N37" s="96"/>
      <c r="O37" s="94"/>
      <c r="P37" s="95"/>
      <c r="Q37" s="94"/>
      <c r="R37" s="95"/>
      <c r="S37" s="94"/>
      <c r="T37" s="95"/>
      <c r="U37" s="94"/>
      <c r="V37" s="95"/>
      <c r="W37" s="94"/>
      <c r="X37" s="95"/>
      <c r="Y37" s="94"/>
      <c r="Z37" s="95"/>
      <c r="AA37" s="94"/>
      <c r="AB37" s="95"/>
      <c r="AC37" s="94"/>
      <c r="AD37" s="95"/>
      <c r="AE37" s="94"/>
      <c r="AF37" s="95"/>
      <c r="AG37" s="94"/>
      <c r="AH37" s="95"/>
      <c r="AI37" s="94"/>
      <c r="AJ37" s="95"/>
      <c r="AK37" s="94"/>
      <c r="AL37" s="95"/>
      <c r="AM37" s="94"/>
      <c r="AN37" s="95"/>
      <c r="AO37" s="94"/>
      <c r="AP37" s="95"/>
      <c r="AQ37" s="94"/>
      <c r="AR37" s="95"/>
      <c r="AS37" s="94"/>
      <c r="AT37" s="95"/>
      <c r="AU37" s="94"/>
      <c r="AV37" s="95"/>
      <c r="AW37" s="94"/>
      <c r="AX37" s="95"/>
      <c r="AY37" s="94"/>
      <c r="AZ37" s="95"/>
      <c r="BA37" s="19" t="s">
        <v>180</v>
      </c>
    </row>
    <row r="38" spans="1:53" ht="20" customHeight="1" x14ac:dyDescent="0.2">
      <c r="A38" s="128"/>
      <c r="B38" s="129"/>
      <c r="C38" s="75"/>
      <c r="D38" s="75"/>
      <c r="E38" s="76" t="s">
        <v>125</v>
      </c>
      <c r="F38" s="76" t="s">
        <v>126</v>
      </c>
      <c r="G38" s="75">
        <v>2017</v>
      </c>
      <c r="H38" s="81"/>
      <c r="I38" s="84" t="s">
        <v>112</v>
      </c>
      <c r="J38" s="64">
        <v>4</v>
      </c>
      <c r="K38" s="65">
        <v>124</v>
      </c>
      <c r="L38" s="124">
        <f t="shared" si="0"/>
        <v>3.225806451612903</v>
      </c>
      <c r="M38" s="92"/>
      <c r="N38" s="93"/>
      <c r="O38" s="94"/>
      <c r="P38" s="95"/>
      <c r="Q38" s="94"/>
      <c r="R38" s="95"/>
      <c r="S38" s="94"/>
      <c r="T38" s="95"/>
      <c r="U38" s="94"/>
      <c r="V38" s="95"/>
      <c r="W38" s="94"/>
      <c r="X38" s="95"/>
      <c r="Y38" s="94"/>
      <c r="Z38" s="95"/>
      <c r="AA38" s="94"/>
      <c r="AB38" s="95"/>
      <c r="AC38" s="94"/>
      <c r="AD38" s="95"/>
      <c r="AE38" s="94"/>
      <c r="AF38" s="95"/>
      <c r="AG38" s="94"/>
      <c r="AH38" s="95"/>
      <c r="AI38" s="94"/>
      <c r="AJ38" s="95"/>
      <c r="AK38" s="94"/>
      <c r="AL38" s="95"/>
      <c r="AM38" s="94"/>
      <c r="AN38" s="95"/>
      <c r="AO38" s="94"/>
      <c r="AP38" s="95"/>
      <c r="AQ38" s="94"/>
      <c r="AR38" s="95"/>
      <c r="AS38" s="94"/>
      <c r="AT38" s="95"/>
      <c r="AU38" s="94"/>
      <c r="AV38" s="95"/>
      <c r="AW38" s="94"/>
      <c r="AX38" s="95"/>
      <c r="AY38" s="94"/>
      <c r="AZ38" s="95"/>
      <c r="BA38" s="22" t="s">
        <v>181</v>
      </c>
    </row>
    <row r="39" spans="1:53" ht="20" customHeight="1" x14ac:dyDescent="0.2">
      <c r="A39" s="128"/>
      <c r="B39" s="133"/>
      <c r="C39" s="75"/>
      <c r="D39" s="75"/>
      <c r="E39" s="76" t="s">
        <v>127</v>
      </c>
      <c r="F39" s="76" t="s">
        <v>128</v>
      </c>
      <c r="G39" s="75">
        <v>2010</v>
      </c>
      <c r="H39" s="81">
        <v>61</v>
      </c>
      <c r="I39" s="84"/>
      <c r="J39" s="64"/>
      <c r="K39" s="65">
        <v>142</v>
      </c>
      <c r="L39" s="124" t="str">
        <f t="shared" si="0"/>
        <v/>
      </c>
      <c r="M39" s="94"/>
      <c r="N39" s="96"/>
      <c r="O39" s="94"/>
      <c r="P39" s="95"/>
      <c r="Q39" s="92"/>
      <c r="R39" s="97"/>
      <c r="S39" s="94"/>
      <c r="T39" s="95"/>
      <c r="U39" s="94"/>
      <c r="V39" s="95"/>
      <c r="W39" s="94"/>
      <c r="X39" s="95"/>
      <c r="Y39" s="94"/>
      <c r="Z39" s="95"/>
      <c r="AA39" s="94"/>
      <c r="AB39" s="95"/>
      <c r="AC39" s="94"/>
      <c r="AD39" s="95"/>
      <c r="AE39" s="94"/>
      <c r="AF39" s="95"/>
      <c r="AG39" s="94"/>
      <c r="AH39" s="95"/>
      <c r="AI39" s="94"/>
      <c r="AJ39" s="95"/>
      <c r="AK39" s="94"/>
      <c r="AL39" s="95"/>
      <c r="AM39" s="94"/>
      <c r="AN39" s="95"/>
      <c r="AO39" s="94"/>
      <c r="AP39" s="95"/>
      <c r="AQ39" s="94"/>
      <c r="AR39" s="95"/>
      <c r="AS39" s="94"/>
      <c r="AT39" s="95"/>
      <c r="AU39" s="94"/>
      <c r="AV39" s="95"/>
      <c r="AW39" s="94"/>
      <c r="AX39" s="95"/>
      <c r="AY39" s="94"/>
      <c r="AZ39" s="95"/>
      <c r="BA39" s="19" t="s">
        <v>183</v>
      </c>
    </row>
    <row r="40" spans="1:53" ht="20" customHeight="1" x14ac:dyDescent="0.2">
      <c r="A40" s="130"/>
      <c r="B40" s="131"/>
      <c r="C40" s="75"/>
      <c r="D40" s="75"/>
      <c r="E40" s="76" t="s">
        <v>165</v>
      </c>
      <c r="F40" s="76" t="s">
        <v>129</v>
      </c>
      <c r="G40" s="75">
        <v>2008</v>
      </c>
      <c r="H40" s="81">
        <v>78</v>
      </c>
      <c r="I40" s="84"/>
      <c r="J40" s="64"/>
      <c r="K40" s="65">
        <v>143</v>
      </c>
      <c r="L40" s="124" t="str">
        <f t="shared" si="0"/>
        <v/>
      </c>
      <c r="M40" s="94"/>
      <c r="N40" s="96"/>
      <c r="O40" s="94"/>
      <c r="P40" s="95"/>
      <c r="Q40" s="94"/>
      <c r="R40" s="95"/>
      <c r="S40" s="94"/>
      <c r="T40" s="95"/>
      <c r="U40" s="94"/>
      <c r="V40" s="95"/>
      <c r="W40" s="94"/>
      <c r="X40" s="95"/>
      <c r="Y40" s="94"/>
      <c r="Z40" s="95"/>
      <c r="AA40" s="94"/>
      <c r="AB40" s="95"/>
      <c r="AC40" s="94"/>
      <c r="AD40" s="95"/>
      <c r="AE40" s="94"/>
      <c r="AF40" s="95"/>
      <c r="AG40" s="94"/>
      <c r="AH40" s="95"/>
      <c r="AI40" s="94"/>
      <c r="AJ40" s="95"/>
      <c r="AK40" s="94"/>
      <c r="AL40" s="95"/>
      <c r="AM40" s="94"/>
      <c r="AN40" s="95"/>
      <c r="AO40" s="94"/>
      <c r="AP40" s="95"/>
      <c r="AQ40" s="94"/>
      <c r="AR40" s="95"/>
      <c r="AS40" s="94"/>
      <c r="AT40" s="95"/>
      <c r="AU40" s="94"/>
      <c r="AV40" s="95"/>
      <c r="AW40" s="94"/>
      <c r="AX40" s="95"/>
      <c r="AY40" s="94"/>
      <c r="AZ40" s="95"/>
      <c r="BA40" s="22" t="s">
        <v>184</v>
      </c>
    </row>
    <row r="41" spans="1:53" ht="20" customHeight="1" x14ac:dyDescent="0.2">
      <c r="A41" s="130"/>
      <c r="B41" s="131"/>
      <c r="C41" s="75"/>
      <c r="D41" s="75"/>
      <c r="E41" s="76" t="s">
        <v>130</v>
      </c>
      <c r="F41" s="76" t="s">
        <v>131</v>
      </c>
      <c r="G41" s="75">
        <v>2017</v>
      </c>
      <c r="H41" s="81"/>
      <c r="I41" s="84"/>
      <c r="J41" s="64">
        <v>32</v>
      </c>
      <c r="K41" s="65">
        <v>150</v>
      </c>
      <c r="L41" s="124">
        <f t="shared" si="0"/>
        <v>21.333333333333336</v>
      </c>
      <c r="M41" s="94"/>
      <c r="N41" s="96"/>
      <c r="O41" s="94"/>
      <c r="P41" s="95"/>
      <c r="Q41" s="94"/>
      <c r="R41" s="95"/>
      <c r="S41" s="94"/>
      <c r="T41" s="95"/>
      <c r="U41" s="94"/>
      <c r="V41" s="95"/>
      <c r="W41" s="94"/>
      <c r="X41" s="95"/>
      <c r="Y41" s="94"/>
      <c r="Z41" s="95"/>
      <c r="AA41" s="94"/>
      <c r="AB41" s="95"/>
      <c r="AC41" s="94"/>
      <c r="AD41" s="95"/>
      <c r="AE41" s="94"/>
      <c r="AF41" s="95"/>
      <c r="AG41" s="94"/>
      <c r="AH41" s="95"/>
      <c r="AI41" s="94"/>
      <c r="AJ41" s="95"/>
      <c r="AK41" s="94"/>
      <c r="AL41" s="95"/>
      <c r="AM41" s="94"/>
      <c r="AN41" s="95"/>
      <c r="AO41" s="94"/>
      <c r="AP41" s="95"/>
      <c r="AQ41" s="94"/>
      <c r="AR41" s="95"/>
      <c r="AS41" s="94"/>
      <c r="AT41" s="95"/>
      <c r="AU41" s="94"/>
      <c r="AV41" s="95"/>
      <c r="AW41" s="94"/>
      <c r="AX41" s="95"/>
      <c r="AY41" s="94"/>
      <c r="AZ41" s="95"/>
      <c r="BA41" s="22" t="s">
        <v>73</v>
      </c>
    </row>
    <row r="42" spans="1:53" ht="20" customHeight="1" x14ac:dyDescent="0.2">
      <c r="A42" s="128"/>
      <c r="B42" s="132"/>
      <c r="C42" s="75"/>
      <c r="D42" s="75"/>
      <c r="E42" s="76" t="s">
        <v>185</v>
      </c>
      <c r="F42" s="76" t="s">
        <v>186</v>
      </c>
      <c r="G42" s="75">
        <v>2006</v>
      </c>
      <c r="H42" s="81">
        <v>65</v>
      </c>
      <c r="I42" s="84"/>
      <c r="J42" s="64">
        <v>6</v>
      </c>
      <c r="K42" s="65">
        <v>9</v>
      </c>
      <c r="L42" s="124">
        <f t="shared" si="0"/>
        <v>66.666666666666657</v>
      </c>
      <c r="M42" s="94"/>
      <c r="N42" s="96"/>
      <c r="O42" s="94"/>
      <c r="P42" s="95"/>
      <c r="Q42" s="94"/>
      <c r="R42" s="95"/>
      <c r="S42" s="94"/>
      <c r="T42" s="95"/>
      <c r="U42" s="94"/>
      <c r="V42" s="95"/>
      <c r="W42" s="94"/>
      <c r="X42" s="95"/>
      <c r="Y42" s="94"/>
      <c r="Z42" s="95"/>
      <c r="AA42" s="94"/>
      <c r="AB42" s="95"/>
      <c r="AC42" s="94"/>
      <c r="AD42" s="95"/>
      <c r="AE42" s="94"/>
      <c r="AF42" s="95"/>
      <c r="AG42" s="94"/>
      <c r="AH42" s="95"/>
      <c r="AI42" s="94"/>
      <c r="AJ42" s="95"/>
      <c r="AK42" s="94"/>
      <c r="AL42" s="95"/>
      <c r="AM42" s="94"/>
      <c r="AN42" s="95"/>
      <c r="AO42" s="94"/>
      <c r="AP42" s="95"/>
      <c r="AQ42" s="94"/>
      <c r="AR42" s="95"/>
      <c r="AS42" s="94"/>
      <c r="AT42" s="95"/>
      <c r="AU42" s="94"/>
      <c r="AV42" s="95"/>
      <c r="AW42" s="94"/>
      <c r="AX42" s="95"/>
      <c r="AY42" s="94"/>
      <c r="AZ42" s="95"/>
      <c r="BA42" s="19" t="s">
        <v>187</v>
      </c>
    </row>
    <row r="43" spans="1:53" ht="20" customHeight="1" x14ac:dyDescent="0.2">
      <c r="A43" s="128"/>
      <c r="B43" s="132"/>
      <c r="C43" s="75"/>
      <c r="D43" s="75"/>
      <c r="E43" s="76" t="s">
        <v>132</v>
      </c>
      <c r="F43" s="76" t="s">
        <v>133</v>
      </c>
      <c r="G43" s="75">
        <v>2009</v>
      </c>
      <c r="H43" s="81">
        <v>31</v>
      </c>
      <c r="I43" s="84"/>
      <c r="J43" s="64">
        <v>196</v>
      </c>
      <c r="K43" s="65">
        <v>225</v>
      </c>
      <c r="L43" s="124">
        <f t="shared" si="0"/>
        <v>87.1111111111111</v>
      </c>
      <c r="M43" s="92"/>
      <c r="N43" s="92"/>
      <c r="O43" s="94"/>
      <c r="P43" s="95"/>
      <c r="Q43" s="94"/>
      <c r="R43" s="95"/>
      <c r="S43" s="92"/>
      <c r="T43" s="92"/>
      <c r="U43" s="94"/>
      <c r="V43" s="95"/>
      <c r="W43" s="92"/>
      <c r="X43" s="92"/>
      <c r="Y43" s="92"/>
      <c r="Z43" s="92"/>
      <c r="AA43" s="94"/>
      <c r="AB43" s="95"/>
      <c r="AC43" s="92"/>
      <c r="AD43" s="92"/>
      <c r="AE43" s="92"/>
      <c r="AF43" s="92"/>
      <c r="AG43" s="94"/>
      <c r="AH43" s="95"/>
      <c r="AI43" s="92"/>
      <c r="AJ43" s="92"/>
      <c r="AK43" s="92"/>
      <c r="AL43" s="92"/>
      <c r="AM43" s="92"/>
      <c r="AN43" s="92"/>
      <c r="AO43" s="94"/>
      <c r="AP43" s="95"/>
      <c r="AQ43" s="94"/>
      <c r="AR43" s="95"/>
      <c r="AS43" s="94"/>
      <c r="AT43" s="95"/>
      <c r="AU43" s="94"/>
      <c r="AV43" s="95"/>
      <c r="AW43" s="92"/>
      <c r="AX43" s="92"/>
      <c r="AY43" s="92"/>
      <c r="AZ43" s="92"/>
      <c r="BA43" s="19" t="s">
        <v>134</v>
      </c>
    </row>
    <row r="44" spans="1:53" ht="20" customHeight="1" x14ac:dyDescent="0.2">
      <c r="A44" s="128"/>
      <c r="B44" s="132"/>
      <c r="C44" s="75"/>
      <c r="D44" s="75"/>
      <c r="E44" s="76" t="s">
        <v>135</v>
      </c>
      <c r="F44" s="76" t="s">
        <v>133</v>
      </c>
      <c r="G44" s="75">
        <v>2009</v>
      </c>
      <c r="H44" s="81">
        <v>6</v>
      </c>
      <c r="I44" s="84"/>
      <c r="J44" s="64">
        <v>58</v>
      </c>
      <c r="K44" s="65">
        <v>78</v>
      </c>
      <c r="L44" s="124">
        <f t="shared" si="0"/>
        <v>74.358974358974365</v>
      </c>
      <c r="M44" s="92"/>
      <c r="N44" s="92"/>
      <c r="O44" s="94"/>
      <c r="P44" s="95"/>
      <c r="Q44" s="94"/>
      <c r="R44" s="95"/>
      <c r="S44" s="92"/>
      <c r="T44" s="92"/>
      <c r="U44" s="94"/>
      <c r="V44" s="95"/>
      <c r="W44" s="92"/>
      <c r="X44" s="92"/>
      <c r="Y44" s="92"/>
      <c r="Z44" s="92"/>
      <c r="AA44" s="94"/>
      <c r="AB44" s="95"/>
      <c r="AC44" s="92"/>
      <c r="AD44" s="92"/>
      <c r="AE44" s="92"/>
      <c r="AF44" s="92"/>
      <c r="AG44" s="94"/>
      <c r="AH44" s="95"/>
      <c r="AI44" s="92"/>
      <c r="AJ44" s="92"/>
      <c r="AK44" s="92"/>
      <c r="AL44" s="92"/>
      <c r="AM44" s="92"/>
      <c r="AN44" s="92"/>
      <c r="AO44" s="94"/>
      <c r="AP44" s="95"/>
      <c r="AQ44" s="94"/>
      <c r="AR44" s="95"/>
      <c r="AS44" s="94"/>
      <c r="AT44" s="95"/>
      <c r="AU44" s="94"/>
      <c r="AV44" s="95"/>
      <c r="AW44" s="92"/>
      <c r="AX44" s="92"/>
      <c r="AY44" s="92"/>
      <c r="AZ44" s="92"/>
      <c r="BA44" s="19" t="s">
        <v>136</v>
      </c>
    </row>
    <row r="45" spans="1:53" ht="20" customHeight="1" x14ac:dyDescent="0.2">
      <c r="A45" s="128"/>
      <c r="B45" s="133"/>
      <c r="C45" s="75"/>
      <c r="D45" s="75"/>
      <c r="E45" s="76" t="s">
        <v>137</v>
      </c>
      <c r="F45" s="76" t="s">
        <v>138</v>
      </c>
      <c r="G45" s="75">
        <v>1997</v>
      </c>
      <c r="H45" s="81">
        <v>94</v>
      </c>
      <c r="I45" s="84"/>
      <c r="J45" s="64">
        <v>262</v>
      </c>
      <c r="K45" s="65">
        <v>562</v>
      </c>
      <c r="L45" s="124">
        <f t="shared" si="0"/>
        <v>46.619217081850536</v>
      </c>
      <c r="M45" s="94" t="s">
        <v>276</v>
      </c>
      <c r="N45" s="96" t="s">
        <v>271</v>
      </c>
      <c r="O45" s="94"/>
      <c r="P45" s="95"/>
      <c r="Q45" s="94"/>
      <c r="R45" s="95"/>
      <c r="S45" s="94" t="s">
        <v>276</v>
      </c>
      <c r="T45" s="96" t="s">
        <v>271</v>
      </c>
      <c r="U45" s="94"/>
      <c r="V45" s="95"/>
      <c r="W45" s="94"/>
      <c r="X45" s="95"/>
      <c r="Y45" s="94"/>
      <c r="Z45" s="95"/>
      <c r="AA45" s="94"/>
      <c r="AB45" s="95"/>
      <c r="AC45" s="94"/>
      <c r="AD45" s="95"/>
      <c r="AE45" s="94" t="s">
        <v>276</v>
      </c>
      <c r="AF45" s="96" t="s">
        <v>271</v>
      </c>
      <c r="AG45" s="94"/>
      <c r="AH45" s="95"/>
      <c r="AI45" s="94"/>
      <c r="AJ45" s="95"/>
      <c r="AK45" s="94"/>
      <c r="AL45" s="95"/>
      <c r="AM45" s="94"/>
      <c r="AN45" s="95"/>
      <c r="AO45" s="94"/>
      <c r="AP45" s="95"/>
      <c r="AQ45" s="94"/>
      <c r="AR45" s="95"/>
      <c r="AS45" s="94"/>
      <c r="AT45" s="95"/>
      <c r="AU45" s="94"/>
      <c r="AV45" s="95"/>
      <c r="AW45" s="94"/>
      <c r="AX45" s="95"/>
      <c r="AY45" s="94"/>
      <c r="AZ45" s="95"/>
    </row>
    <row r="46" spans="1:53" ht="20" customHeight="1" x14ac:dyDescent="0.2">
      <c r="A46" s="130"/>
      <c r="B46" s="131"/>
      <c r="C46" s="75"/>
      <c r="D46" s="75"/>
      <c r="E46" s="350" t="s">
        <v>277</v>
      </c>
      <c r="F46" s="139" t="s">
        <v>278</v>
      </c>
      <c r="G46" s="138">
        <v>1991</v>
      </c>
      <c r="H46" s="140"/>
      <c r="I46" s="141"/>
      <c r="J46" s="142"/>
      <c r="K46" s="143">
        <v>3</v>
      </c>
      <c r="L46" s="144"/>
      <c r="M46" s="94"/>
      <c r="N46" s="96"/>
      <c r="O46" s="94"/>
      <c r="P46" s="95"/>
      <c r="Q46" s="94"/>
      <c r="R46" s="95"/>
      <c r="S46" s="94"/>
      <c r="T46" s="96"/>
      <c r="U46" s="94"/>
      <c r="V46" s="95"/>
      <c r="W46" s="94"/>
      <c r="X46" s="95"/>
      <c r="Y46" s="94"/>
      <c r="Z46" s="95"/>
      <c r="AA46" s="94"/>
      <c r="AB46" s="95"/>
      <c r="AC46" s="94"/>
      <c r="AD46" s="95"/>
      <c r="AE46" s="94"/>
      <c r="AF46" s="96"/>
      <c r="AG46" s="94"/>
      <c r="AH46" s="95"/>
      <c r="AI46" s="94"/>
      <c r="AJ46" s="95"/>
      <c r="AK46" s="94"/>
      <c r="AL46" s="95"/>
      <c r="AM46" s="94"/>
      <c r="AN46" s="95"/>
      <c r="AO46" s="94"/>
      <c r="AP46" s="95"/>
      <c r="AQ46" s="94"/>
      <c r="AR46" s="95"/>
      <c r="AS46" s="94"/>
      <c r="AT46" s="95"/>
      <c r="AU46" s="94"/>
      <c r="AV46" s="95"/>
      <c r="AW46" s="94"/>
      <c r="AX46" s="95"/>
      <c r="AY46" s="94"/>
      <c r="AZ46" s="95"/>
    </row>
    <row r="47" spans="1:53" ht="20" customHeight="1" x14ac:dyDescent="0.2">
      <c r="A47" s="128"/>
      <c r="B47" s="132"/>
      <c r="C47" s="75"/>
      <c r="D47" s="75"/>
      <c r="E47" s="76" t="s">
        <v>139</v>
      </c>
      <c r="F47" s="76" t="s">
        <v>140</v>
      </c>
      <c r="G47" s="75">
        <v>2009</v>
      </c>
      <c r="H47" s="81">
        <v>38</v>
      </c>
      <c r="I47" s="84"/>
      <c r="J47" s="64">
        <v>39</v>
      </c>
      <c r="K47" s="65">
        <v>100</v>
      </c>
      <c r="L47" s="124">
        <f t="shared" si="0"/>
        <v>39</v>
      </c>
      <c r="M47" s="94" t="s">
        <v>262</v>
      </c>
      <c r="N47" s="96" t="s">
        <v>250</v>
      </c>
      <c r="O47" s="94"/>
      <c r="P47" s="95"/>
      <c r="Q47" s="94"/>
      <c r="R47" s="95"/>
      <c r="S47" s="94" t="s">
        <v>262</v>
      </c>
      <c r="T47" s="96" t="s">
        <v>250</v>
      </c>
      <c r="U47" s="94"/>
      <c r="V47" s="95"/>
      <c r="W47" s="94"/>
      <c r="X47" s="95"/>
      <c r="Y47" s="94"/>
      <c r="Z47" s="95"/>
      <c r="AA47" s="94"/>
      <c r="AB47" s="95"/>
      <c r="AC47" s="94"/>
      <c r="AD47" s="95"/>
      <c r="AE47" s="94"/>
      <c r="AF47" s="95"/>
      <c r="AG47" s="94" t="s">
        <v>262</v>
      </c>
      <c r="AH47" s="96" t="s">
        <v>250</v>
      </c>
      <c r="AI47" s="94" t="s">
        <v>262</v>
      </c>
      <c r="AJ47" s="96" t="s">
        <v>250</v>
      </c>
      <c r="AK47" s="94" t="s">
        <v>262</v>
      </c>
      <c r="AL47" s="96" t="s">
        <v>250</v>
      </c>
      <c r="AM47" s="94" t="s">
        <v>262</v>
      </c>
      <c r="AN47" s="96" t="s">
        <v>250</v>
      </c>
      <c r="AO47" s="94"/>
      <c r="AP47" s="95"/>
      <c r="AQ47" s="94"/>
      <c r="AR47" s="95"/>
      <c r="AS47" s="94"/>
      <c r="AT47" s="95"/>
      <c r="AU47" s="94"/>
      <c r="AV47" s="95"/>
      <c r="AW47" s="94" t="s">
        <v>262</v>
      </c>
      <c r="AX47" s="96" t="s">
        <v>250</v>
      </c>
      <c r="AY47" s="94" t="s">
        <v>262</v>
      </c>
      <c r="AZ47" s="96" t="s">
        <v>250</v>
      </c>
      <c r="BA47" s="19" t="s">
        <v>189</v>
      </c>
    </row>
    <row r="48" spans="1:53" ht="20" customHeight="1" x14ac:dyDescent="0.2">
      <c r="A48" s="128"/>
      <c r="B48" s="132"/>
      <c r="C48" s="75"/>
      <c r="D48" s="75"/>
      <c r="E48" s="76" t="s">
        <v>141</v>
      </c>
      <c r="F48" s="76" t="s">
        <v>142</v>
      </c>
      <c r="G48" s="75">
        <v>2006</v>
      </c>
      <c r="H48" s="81">
        <v>56</v>
      </c>
      <c r="I48" s="84"/>
      <c r="J48" s="64">
        <v>35</v>
      </c>
      <c r="K48" s="65">
        <v>500</v>
      </c>
      <c r="L48" s="124">
        <f t="shared" si="0"/>
        <v>7.0000000000000009</v>
      </c>
      <c r="M48" s="94"/>
      <c r="N48" s="96"/>
      <c r="O48" s="94"/>
      <c r="P48" s="95"/>
      <c r="Q48" s="94"/>
      <c r="R48" s="95"/>
      <c r="S48" s="94"/>
      <c r="T48" s="95"/>
      <c r="U48" s="94"/>
      <c r="V48" s="95"/>
      <c r="W48" s="94"/>
      <c r="X48" s="95"/>
      <c r="Y48" s="94"/>
      <c r="Z48" s="95"/>
      <c r="AA48" s="94"/>
      <c r="AB48" s="95"/>
      <c r="AC48" s="94"/>
      <c r="AD48" s="95"/>
      <c r="AE48" s="94"/>
      <c r="AF48" s="95"/>
      <c r="AG48" s="94"/>
      <c r="AH48" s="95"/>
      <c r="AI48" s="94"/>
      <c r="AJ48" s="95"/>
      <c r="AK48" s="94"/>
      <c r="AL48" s="95"/>
      <c r="AM48" s="94"/>
      <c r="AN48" s="95"/>
      <c r="AO48" s="94"/>
      <c r="AP48" s="95"/>
      <c r="AQ48" s="94"/>
      <c r="AR48" s="95"/>
      <c r="AS48" s="94"/>
      <c r="AT48" s="95"/>
      <c r="AU48" s="94"/>
      <c r="AV48" s="95"/>
      <c r="AW48" s="94"/>
      <c r="AX48" s="95"/>
      <c r="AY48" s="94"/>
      <c r="AZ48" s="95"/>
      <c r="BA48" s="19" t="s">
        <v>281</v>
      </c>
    </row>
    <row r="49" spans="1:53" ht="20" customHeight="1" x14ac:dyDescent="0.2">
      <c r="A49" s="130"/>
      <c r="B49" s="129"/>
      <c r="C49" s="75"/>
      <c r="D49" s="75"/>
      <c r="E49" s="76" t="s">
        <v>143</v>
      </c>
      <c r="F49" s="76" t="s">
        <v>144</v>
      </c>
      <c r="G49" s="75">
        <v>2016</v>
      </c>
      <c r="H49" s="81">
        <v>2</v>
      </c>
      <c r="I49" s="84"/>
      <c r="J49" s="64">
        <v>3</v>
      </c>
      <c r="K49" s="65">
        <v>177</v>
      </c>
      <c r="L49" s="124">
        <f t="shared" si="0"/>
        <v>1.6949152542372881</v>
      </c>
      <c r="M49" s="92"/>
      <c r="N49" s="93"/>
      <c r="O49" s="94"/>
      <c r="P49" s="95"/>
      <c r="Q49" s="94"/>
      <c r="R49" s="95"/>
      <c r="S49" s="94"/>
      <c r="T49" s="95"/>
      <c r="U49" s="94"/>
      <c r="V49" s="95"/>
      <c r="W49" s="94"/>
      <c r="X49" s="95"/>
      <c r="Y49" s="94"/>
      <c r="Z49" s="95"/>
      <c r="AA49" s="94"/>
      <c r="AB49" s="95"/>
      <c r="AC49" s="94"/>
      <c r="AD49" s="95"/>
      <c r="AE49" s="94"/>
      <c r="AF49" s="95"/>
      <c r="AG49" s="94"/>
      <c r="AH49" s="95"/>
      <c r="AI49" s="94"/>
      <c r="AJ49" s="95"/>
      <c r="AK49" s="94"/>
      <c r="AL49" s="95"/>
      <c r="AM49" s="94"/>
      <c r="AN49" s="95"/>
      <c r="AO49" s="94"/>
      <c r="AP49" s="95"/>
      <c r="AQ49" s="94"/>
      <c r="AR49" s="95"/>
      <c r="AS49" s="94"/>
      <c r="AT49" s="95"/>
      <c r="AU49" s="94"/>
      <c r="AV49" s="95"/>
      <c r="AW49" s="94"/>
      <c r="AX49" s="95"/>
      <c r="AY49" s="94"/>
      <c r="AZ49" s="95"/>
    </row>
    <row r="50" spans="1:53" ht="20" customHeight="1" x14ac:dyDescent="0.2">
      <c r="A50" s="128"/>
      <c r="B50" s="133"/>
      <c r="C50" s="75"/>
      <c r="D50" s="75"/>
      <c r="E50" s="76" t="s">
        <v>145</v>
      </c>
      <c r="F50" s="76" t="s">
        <v>146</v>
      </c>
      <c r="G50" s="75">
        <v>2009</v>
      </c>
      <c r="H50" s="81"/>
      <c r="I50" s="84" t="s">
        <v>191</v>
      </c>
      <c r="J50" s="64">
        <v>21</v>
      </c>
      <c r="K50" s="65">
        <v>293</v>
      </c>
      <c r="L50" s="124">
        <f t="shared" si="0"/>
        <v>7.1672354948805461</v>
      </c>
      <c r="M50" s="94"/>
      <c r="N50" s="96"/>
      <c r="O50" s="94"/>
      <c r="P50" s="95"/>
      <c r="Q50" s="94"/>
      <c r="R50" s="95"/>
      <c r="S50" s="94"/>
      <c r="T50" s="95"/>
      <c r="U50" s="94"/>
      <c r="V50" s="95"/>
      <c r="W50" s="94"/>
      <c r="X50" s="95"/>
      <c r="Y50" s="94"/>
      <c r="Z50" s="95"/>
      <c r="AA50" s="94"/>
      <c r="AB50" s="95"/>
      <c r="AC50" s="94"/>
      <c r="AD50" s="95"/>
      <c r="AE50" s="94"/>
      <c r="AF50" s="95"/>
      <c r="AG50" s="94"/>
      <c r="AH50" s="95"/>
      <c r="AI50" s="94"/>
      <c r="AJ50" s="95"/>
      <c r="AK50" s="94"/>
      <c r="AL50" s="95"/>
      <c r="AM50" s="94"/>
      <c r="AN50" s="95"/>
      <c r="AO50" s="94"/>
      <c r="AP50" s="95"/>
      <c r="AQ50" s="94"/>
      <c r="AR50" s="95"/>
      <c r="AS50" s="94"/>
      <c r="AT50" s="95"/>
      <c r="AU50" s="94"/>
      <c r="AV50" s="95"/>
      <c r="AW50" s="94"/>
      <c r="AX50" s="95"/>
      <c r="AY50" s="94"/>
      <c r="AZ50" s="95"/>
      <c r="BA50" s="19" t="s">
        <v>192</v>
      </c>
    </row>
    <row r="51" spans="1:53" ht="20" customHeight="1" x14ac:dyDescent="0.2">
      <c r="A51" s="128"/>
      <c r="B51" s="129"/>
      <c r="C51" s="75"/>
      <c r="D51" s="75"/>
      <c r="E51" s="76" t="s">
        <v>147</v>
      </c>
      <c r="F51" s="76" t="s">
        <v>148</v>
      </c>
      <c r="G51" s="75">
        <v>2007</v>
      </c>
      <c r="H51" s="81">
        <v>34</v>
      </c>
      <c r="I51" s="84" t="s">
        <v>112</v>
      </c>
      <c r="J51" s="64">
        <v>7</v>
      </c>
      <c r="K51" s="65">
        <v>109</v>
      </c>
      <c r="L51" s="124">
        <f t="shared" si="0"/>
        <v>6.4220183486238538</v>
      </c>
      <c r="M51" s="94" t="s">
        <v>172</v>
      </c>
      <c r="N51" s="96"/>
      <c r="O51" s="94"/>
      <c r="P51" s="95"/>
      <c r="Q51" s="94"/>
      <c r="R51" s="95"/>
      <c r="S51" s="94"/>
      <c r="T51" s="95"/>
      <c r="U51" s="94"/>
      <c r="V51" s="95"/>
      <c r="W51" s="94"/>
      <c r="X51" s="95"/>
      <c r="Y51" s="94"/>
      <c r="Z51" s="95"/>
      <c r="AA51" s="94"/>
      <c r="AB51" s="95"/>
      <c r="AC51" s="94"/>
      <c r="AD51" s="95"/>
      <c r="AE51" s="94"/>
      <c r="AF51" s="95"/>
      <c r="AG51" s="94"/>
      <c r="AH51" s="95"/>
      <c r="AI51" s="94"/>
      <c r="AJ51" s="95"/>
      <c r="AK51" s="94"/>
      <c r="AL51" s="95"/>
      <c r="AM51" s="94"/>
      <c r="AN51" s="95"/>
      <c r="AO51" s="94"/>
      <c r="AP51" s="95"/>
      <c r="AQ51" s="94"/>
      <c r="AR51" s="95"/>
      <c r="AS51" s="94"/>
      <c r="AT51" s="95"/>
      <c r="AU51" s="94"/>
      <c r="AV51" s="95"/>
      <c r="AW51" s="94"/>
      <c r="AX51" s="95"/>
      <c r="AY51" s="94"/>
      <c r="AZ51" s="95"/>
      <c r="BA51" s="22" t="s">
        <v>193</v>
      </c>
    </row>
    <row r="52" spans="1:53" ht="20" customHeight="1" x14ac:dyDescent="0.2">
      <c r="A52" s="128"/>
      <c r="B52" s="129"/>
      <c r="C52" s="75"/>
      <c r="D52" s="75"/>
      <c r="E52" s="76" t="s">
        <v>149</v>
      </c>
      <c r="F52" s="76" t="s">
        <v>150</v>
      </c>
      <c r="G52" s="75">
        <v>2010</v>
      </c>
      <c r="H52" s="81">
        <v>50</v>
      </c>
      <c r="I52" s="84"/>
      <c r="J52" s="64">
        <v>2</v>
      </c>
      <c r="K52" s="65">
        <v>56</v>
      </c>
      <c r="L52" s="124">
        <f t="shared" si="0"/>
        <v>3.5714285714285712</v>
      </c>
      <c r="M52" s="94"/>
      <c r="N52" s="96"/>
      <c r="O52" s="94"/>
      <c r="P52" s="95"/>
      <c r="Q52" s="94"/>
      <c r="R52" s="95"/>
      <c r="S52" s="94"/>
      <c r="T52" s="95"/>
      <c r="U52" s="94"/>
      <c r="V52" s="95"/>
      <c r="W52" s="94"/>
      <c r="X52" s="95"/>
      <c r="Y52" s="94"/>
      <c r="Z52" s="95"/>
      <c r="AA52" s="94"/>
      <c r="AB52" s="95"/>
      <c r="AC52" s="94"/>
      <c r="AD52" s="95"/>
      <c r="AE52" s="94"/>
      <c r="AF52" s="95"/>
      <c r="AG52" s="94"/>
      <c r="AH52" s="95"/>
      <c r="AI52" s="94"/>
      <c r="AJ52" s="95"/>
      <c r="AK52" s="94"/>
      <c r="AL52" s="95"/>
      <c r="AM52" s="94"/>
      <c r="AN52" s="95"/>
      <c r="AO52" s="94"/>
      <c r="AP52" s="95"/>
      <c r="AQ52" s="94"/>
      <c r="AR52" s="95"/>
      <c r="AS52" s="94"/>
      <c r="AT52" s="95"/>
      <c r="AU52" s="94"/>
      <c r="AV52" s="95"/>
      <c r="AW52" s="94"/>
      <c r="AX52" s="95"/>
      <c r="AY52" s="94"/>
      <c r="AZ52" s="95"/>
    </row>
    <row r="53" spans="1:53" ht="20" customHeight="1" x14ac:dyDescent="0.2">
      <c r="A53" s="130"/>
      <c r="B53" s="131"/>
      <c r="C53" s="75"/>
      <c r="D53" s="75"/>
      <c r="E53" s="76" t="s">
        <v>151</v>
      </c>
      <c r="F53" s="76" t="s">
        <v>152</v>
      </c>
      <c r="G53" s="75">
        <v>2011</v>
      </c>
      <c r="H53" s="81">
        <v>33</v>
      </c>
      <c r="I53" s="84" t="s">
        <v>195</v>
      </c>
      <c r="J53" s="64">
        <v>39</v>
      </c>
      <c r="K53" s="65">
        <v>130</v>
      </c>
      <c r="L53" s="124">
        <f t="shared" si="0"/>
        <v>30</v>
      </c>
      <c r="M53" s="92"/>
      <c r="N53" s="93"/>
      <c r="O53" s="94"/>
      <c r="P53" s="95"/>
      <c r="Q53" s="94"/>
      <c r="R53" s="95"/>
      <c r="S53" s="94"/>
      <c r="T53" s="95"/>
      <c r="U53" s="94"/>
      <c r="V53" s="95"/>
      <c r="W53" s="94"/>
      <c r="X53" s="95"/>
      <c r="Y53" s="94"/>
      <c r="Z53" s="95"/>
      <c r="AA53" s="94"/>
      <c r="AB53" s="95"/>
      <c r="AC53" s="94"/>
      <c r="AD53" s="95"/>
      <c r="AE53" s="94"/>
      <c r="AF53" s="95"/>
      <c r="AG53" s="94"/>
      <c r="AH53" s="95"/>
      <c r="AI53" s="94"/>
      <c r="AJ53" s="95"/>
      <c r="AK53" s="94"/>
      <c r="AL53" s="95"/>
      <c r="AM53" s="94"/>
      <c r="AN53" s="95"/>
      <c r="AO53" s="94"/>
      <c r="AP53" s="95"/>
      <c r="AQ53" s="94"/>
      <c r="AR53" s="95"/>
      <c r="AS53" s="94"/>
      <c r="AT53" s="95"/>
      <c r="AU53" s="94"/>
      <c r="AV53" s="95"/>
      <c r="AW53" s="94"/>
      <c r="AX53" s="95"/>
      <c r="AY53" s="94"/>
      <c r="AZ53" s="95"/>
      <c r="BA53" s="22" t="s">
        <v>73</v>
      </c>
    </row>
    <row r="54" spans="1:53" ht="20" customHeight="1" x14ac:dyDescent="0.2">
      <c r="A54" s="128"/>
      <c r="B54" s="133"/>
      <c r="C54" s="75"/>
      <c r="D54" s="75"/>
      <c r="E54" s="76" t="s">
        <v>153</v>
      </c>
      <c r="F54" s="76" t="s">
        <v>154</v>
      </c>
      <c r="G54" s="75">
        <v>2014</v>
      </c>
      <c r="H54" s="81">
        <v>9</v>
      </c>
      <c r="I54" s="84" t="s">
        <v>155</v>
      </c>
      <c r="J54" s="64">
        <v>58</v>
      </c>
      <c r="K54" s="65">
        <v>1109</v>
      </c>
      <c r="L54" s="124">
        <f t="shared" si="0"/>
        <v>5.2299368800721373</v>
      </c>
      <c r="M54" s="94" t="s">
        <v>172</v>
      </c>
      <c r="N54" s="96"/>
      <c r="O54" s="94" t="s">
        <v>172</v>
      </c>
      <c r="P54" s="95"/>
      <c r="Q54" s="94"/>
      <c r="R54" s="95"/>
      <c r="S54" s="94"/>
      <c r="T54" s="95"/>
      <c r="U54" s="94"/>
      <c r="V54" s="95"/>
      <c r="W54" s="94"/>
      <c r="X54" s="95"/>
      <c r="Y54" s="94"/>
      <c r="Z54" s="95"/>
      <c r="AA54" s="94"/>
      <c r="AB54" s="95"/>
      <c r="AC54" s="94"/>
      <c r="AD54" s="95"/>
      <c r="AE54" s="94"/>
      <c r="AF54" s="95"/>
      <c r="AG54" s="94"/>
      <c r="AH54" s="95"/>
      <c r="AI54" s="94"/>
      <c r="AJ54" s="95"/>
      <c r="AK54" s="94"/>
      <c r="AL54" s="95"/>
      <c r="AM54" s="94"/>
      <c r="AN54" s="95"/>
      <c r="AO54" s="94"/>
      <c r="AP54" s="95"/>
      <c r="AQ54" s="94"/>
      <c r="AR54" s="95"/>
      <c r="AS54" s="94"/>
      <c r="AT54" s="95"/>
      <c r="AU54" s="94"/>
      <c r="AV54" s="95"/>
      <c r="AW54" s="94"/>
      <c r="AX54" s="95"/>
      <c r="AY54" s="94"/>
      <c r="AZ54" s="95"/>
      <c r="BA54" s="19" t="s">
        <v>156</v>
      </c>
    </row>
    <row r="55" spans="1:53" ht="20" customHeight="1" x14ac:dyDescent="0.2">
      <c r="A55" s="130"/>
      <c r="B55" s="131"/>
      <c r="C55" s="75"/>
      <c r="D55" s="75"/>
      <c r="E55" s="76" t="s">
        <v>157</v>
      </c>
      <c r="F55" s="76" t="s">
        <v>158</v>
      </c>
      <c r="G55" s="75">
        <v>2014</v>
      </c>
      <c r="H55" s="81">
        <v>4</v>
      </c>
      <c r="I55" s="84"/>
      <c r="J55" s="64">
        <v>98</v>
      </c>
      <c r="K55" s="65">
        <v>1109</v>
      </c>
      <c r="L55" s="124">
        <f t="shared" si="0"/>
        <v>8.8367899008115423</v>
      </c>
      <c r="M55" s="92"/>
      <c r="N55" s="93"/>
      <c r="O55" s="94"/>
      <c r="P55" s="95"/>
      <c r="Q55" s="94"/>
      <c r="R55" s="95"/>
      <c r="S55" s="94"/>
      <c r="T55" s="95"/>
      <c r="U55" s="94"/>
      <c r="V55" s="95"/>
      <c r="W55" s="94"/>
      <c r="X55" s="95"/>
      <c r="Y55" s="94"/>
      <c r="Z55" s="95"/>
      <c r="AA55" s="94"/>
      <c r="AB55" s="95"/>
      <c r="AC55" s="94"/>
      <c r="AD55" s="95"/>
      <c r="AE55" s="94"/>
      <c r="AF55" s="95"/>
      <c r="AG55" s="94"/>
      <c r="AH55" s="95"/>
      <c r="AI55" s="94"/>
      <c r="AJ55" s="95"/>
      <c r="AK55" s="94"/>
      <c r="AL55" s="95"/>
      <c r="AM55" s="94"/>
      <c r="AN55" s="95"/>
      <c r="AO55" s="94"/>
      <c r="AP55" s="95"/>
      <c r="AQ55" s="94"/>
      <c r="AR55" s="95"/>
      <c r="AS55" s="94"/>
      <c r="AT55" s="95"/>
      <c r="AU55" s="94"/>
      <c r="AV55" s="95"/>
      <c r="AW55" s="94"/>
      <c r="AX55" s="95"/>
      <c r="AY55" s="94"/>
      <c r="AZ55" s="95"/>
      <c r="BA55" s="19" t="s">
        <v>159</v>
      </c>
    </row>
    <row r="56" spans="1:53" ht="20" customHeight="1" x14ac:dyDescent="0.2">
      <c r="A56" s="130"/>
      <c r="B56" s="129"/>
      <c r="C56" s="75"/>
      <c r="D56" s="75"/>
      <c r="E56" s="76" t="s">
        <v>160</v>
      </c>
      <c r="F56" s="76" t="s">
        <v>161</v>
      </c>
      <c r="G56" s="75">
        <v>2005</v>
      </c>
      <c r="H56" s="81">
        <v>36</v>
      </c>
      <c r="I56" s="84"/>
      <c r="J56" s="64">
        <v>11</v>
      </c>
      <c r="K56" s="65">
        <v>11</v>
      </c>
      <c r="L56" s="124">
        <f t="shared" si="0"/>
        <v>100</v>
      </c>
      <c r="M56" s="92"/>
      <c r="N56" s="93"/>
      <c r="O56" s="92"/>
      <c r="P56" s="97"/>
      <c r="Q56" s="94"/>
      <c r="R56" s="95"/>
      <c r="S56" s="94"/>
      <c r="T56" s="95"/>
      <c r="U56" s="94"/>
      <c r="V56" s="95"/>
      <c r="W56" s="94"/>
      <c r="X56" s="95"/>
      <c r="Y56" s="94"/>
      <c r="Z56" s="95"/>
      <c r="AA56" s="94"/>
      <c r="AB56" s="95"/>
      <c r="AC56" s="94"/>
      <c r="AD56" s="95"/>
      <c r="AE56" s="94"/>
      <c r="AF56" s="95"/>
      <c r="AG56" s="94"/>
      <c r="AH56" s="95"/>
      <c r="AI56" s="94"/>
      <c r="AJ56" s="95"/>
      <c r="AK56" s="94"/>
      <c r="AL56" s="95"/>
      <c r="AM56" s="94"/>
      <c r="AN56" s="95"/>
      <c r="AO56" s="94"/>
      <c r="AP56" s="95"/>
      <c r="AQ56" s="94"/>
      <c r="AR56" s="95"/>
      <c r="AS56" s="94"/>
      <c r="AT56" s="95"/>
      <c r="AU56" s="94"/>
      <c r="AV56" s="95"/>
      <c r="AW56" s="94"/>
      <c r="AX56" s="95"/>
      <c r="AY56" s="94"/>
      <c r="AZ56" s="95"/>
      <c r="BA56" s="22" t="s">
        <v>73</v>
      </c>
    </row>
    <row r="57" spans="1:53" ht="20" customHeight="1" thickBot="1" x14ac:dyDescent="0.25">
      <c r="A57" s="134"/>
      <c r="B57" s="135"/>
      <c r="C57" s="79"/>
      <c r="D57" s="79"/>
      <c r="E57" s="80" t="s">
        <v>162</v>
      </c>
      <c r="F57" s="80" t="s">
        <v>163</v>
      </c>
      <c r="G57" s="79">
        <v>2014</v>
      </c>
      <c r="H57" s="83"/>
      <c r="I57" s="86"/>
      <c r="J57" s="68"/>
      <c r="K57" s="69">
        <v>3</v>
      </c>
      <c r="L57" s="125" t="str">
        <f t="shared" si="0"/>
        <v/>
      </c>
      <c r="M57" s="98"/>
      <c r="N57" s="99"/>
      <c r="O57" s="98"/>
      <c r="P57" s="100"/>
      <c r="Q57" s="98"/>
      <c r="R57" s="100"/>
      <c r="S57" s="98"/>
      <c r="T57" s="100"/>
      <c r="U57" s="98"/>
      <c r="V57" s="100"/>
      <c r="W57" s="98"/>
      <c r="X57" s="100"/>
      <c r="Y57" s="98"/>
      <c r="Z57" s="100"/>
      <c r="AA57" s="98"/>
      <c r="AB57" s="100"/>
      <c r="AC57" s="98"/>
      <c r="AD57" s="100"/>
      <c r="AE57" s="98"/>
      <c r="AF57" s="100"/>
      <c r="AG57" s="98"/>
      <c r="AH57" s="100"/>
      <c r="AI57" s="98"/>
      <c r="AJ57" s="100"/>
      <c r="AK57" s="98"/>
      <c r="AL57" s="100"/>
      <c r="AM57" s="98"/>
      <c r="AN57" s="100"/>
      <c r="AO57" s="98"/>
      <c r="AP57" s="100"/>
      <c r="AQ57" s="98"/>
      <c r="AR57" s="100"/>
      <c r="AS57" s="98"/>
      <c r="AT57" s="100"/>
      <c r="AU57" s="98"/>
      <c r="AV57" s="100"/>
      <c r="AW57" s="98"/>
      <c r="AX57" s="100"/>
      <c r="AY57" s="98"/>
      <c r="AZ57" s="100"/>
      <c r="BA57" s="22" t="s">
        <v>73</v>
      </c>
    </row>
    <row r="58" spans="1:53" ht="19" customHeight="1" x14ac:dyDescent="0.2">
      <c r="H58" s="19"/>
      <c r="I58" s="19"/>
      <c r="J58" s="19"/>
      <c r="K58" s="19"/>
      <c r="L58" s="111"/>
      <c r="M58" s="276" t="s">
        <v>231</v>
      </c>
      <c r="N58" s="274" t="s">
        <v>232</v>
      </c>
      <c r="O58" s="276" t="s">
        <v>231</v>
      </c>
      <c r="P58" s="274" t="s">
        <v>232</v>
      </c>
      <c r="Q58" s="276" t="s">
        <v>231</v>
      </c>
      <c r="R58" s="274" t="s">
        <v>232</v>
      </c>
      <c r="S58" s="306" t="s">
        <v>231</v>
      </c>
      <c r="T58" s="279" t="s">
        <v>232</v>
      </c>
      <c r="U58" s="276" t="s">
        <v>231</v>
      </c>
      <c r="V58" s="274" t="s">
        <v>232</v>
      </c>
      <c r="W58" s="276" t="s">
        <v>231</v>
      </c>
      <c r="X58" s="274" t="s">
        <v>232</v>
      </c>
      <c r="Y58" s="276" t="s">
        <v>231</v>
      </c>
      <c r="Z58" s="274" t="s">
        <v>232</v>
      </c>
      <c r="AA58" s="276" t="s">
        <v>231</v>
      </c>
      <c r="AB58" s="274" t="s">
        <v>232</v>
      </c>
      <c r="AC58" s="276" t="s">
        <v>231</v>
      </c>
      <c r="AD58" s="274" t="s">
        <v>232</v>
      </c>
      <c r="AE58" s="276" t="s">
        <v>231</v>
      </c>
      <c r="AF58" s="274" t="s">
        <v>232</v>
      </c>
      <c r="AG58" s="276" t="s">
        <v>231</v>
      </c>
      <c r="AH58" s="274" t="s">
        <v>232</v>
      </c>
      <c r="AI58" s="276" t="s">
        <v>231</v>
      </c>
      <c r="AJ58" s="274" t="s">
        <v>232</v>
      </c>
      <c r="AK58" s="276" t="s">
        <v>231</v>
      </c>
      <c r="AL58" s="274" t="s">
        <v>232</v>
      </c>
      <c r="AM58" s="276" t="s">
        <v>231</v>
      </c>
      <c r="AN58" s="274" t="s">
        <v>232</v>
      </c>
      <c r="AO58" s="276" t="s">
        <v>231</v>
      </c>
      <c r="AP58" s="274" t="s">
        <v>232</v>
      </c>
      <c r="AQ58" s="276" t="s">
        <v>231</v>
      </c>
      <c r="AR58" s="274" t="s">
        <v>232</v>
      </c>
      <c r="AS58" s="276" t="s">
        <v>231</v>
      </c>
      <c r="AT58" s="274" t="s">
        <v>232</v>
      </c>
      <c r="AU58" s="276" t="s">
        <v>231</v>
      </c>
      <c r="AV58" s="274" t="s">
        <v>232</v>
      </c>
      <c r="AW58" s="276" t="s">
        <v>231</v>
      </c>
      <c r="AX58" s="274" t="s">
        <v>232</v>
      </c>
      <c r="AY58" s="276" t="s">
        <v>231</v>
      </c>
      <c r="AZ58" s="274" t="s">
        <v>232</v>
      </c>
    </row>
    <row r="59" spans="1:53" ht="19" customHeight="1" x14ac:dyDescent="0.2">
      <c r="H59" s="19"/>
      <c r="I59" s="19"/>
      <c r="J59" s="19"/>
      <c r="K59" s="19"/>
      <c r="L59" s="111"/>
      <c r="M59" s="277"/>
      <c r="N59" s="272"/>
      <c r="O59" s="277"/>
      <c r="P59" s="272"/>
      <c r="Q59" s="277"/>
      <c r="R59" s="272"/>
      <c r="S59" s="307"/>
      <c r="T59" s="280"/>
      <c r="U59" s="277"/>
      <c r="V59" s="272"/>
      <c r="W59" s="277"/>
      <c r="X59" s="272"/>
      <c r="Y59" s="277"/>
      <c r="Z59" s="272"/>
      <c r="AA59" s="277"/>
      <c r="AB59" s="272"/>
      <c r="AC59" s="277"/>
      <c r="AD59" s="272"/>
      <c r="AE59" s="277"/>
      <c r="AF59" s="272"/>
      <c r="AG59" s="277"/>
      <c r="AH59" s="272"/>
      <c r="AI59" s="277"/>
      <c r="AJ59" s="272"/>
      <c r="AK59" s="277"/>
      <c r="AL59" s="272"/>
      <c r="AM59" s="277"/>
      <c r="AN59" s="272"/>
      <c r="AO59" s="277"/>
      <c r="AP59" s="272"/>
      <c r="AQ59" s="277"/>
      <c r="AR59" s="272"/>
      <c r="AS59" s="277"/>
      <c r="AT59" s="272"/>
      <c r="AU59" s="277"/>
      <c r="AV59" s="272"/>
      <c r="AW59" s="277"/>
      <c r="AX59" s="272"/>
      <c r="AY59" s="277"/>
      <c r="AZ59" s="272"/>
    </row>
    <row r="60" spans="1:53" ht="19" customHeight="1" x14ac:dyDescent="0.2">
      <c r="H60" s="19"/>
      <c r="I60" s="19"/>
      <c r="J60" s="19"/>
      <c r="K60" s="19"/>
      <c r="L60" s="111"/>
      <c r="M60" s="277"/>
      <c r="N60" s="272"/>
      <c r="O60" s="277"/>
      <c r="P60" s="272"/>
      <c r="Q60" s="277"/>
      <c r="R60" s="272"/>
      <c r="S60" s="307"/>
      <c r="T60" s="280"/>
      <c r="U60" s="277"/>
      <c r="V60" s="272"/>
      <c r="W60" s="277"/>
      <c r="X60" s="272"/>
      <c r="Y60" s="277"/>
      <c r="Z60" s="272"/>
      <c r="AA60" s="277"/>
      <c r="AB60" s="272"/>
      <c r="AC60" s="277"/>
      <c r="AD60" s="272"/>
      <c r="AE60" s="277"/>
      <c r="AF60" s="272"/>
      <c r="AG60" s="277"/>
      <c r="AH60" s="272"/>
      <c r="AI60" s="277"/>
      <c r="AJ60" s="272"/>
      <c r="AK60" s="277"/>
      <c r="AL60" s="272"/>
      <c r="AM60" s="277"/>
      <c r="AN60" s="272"/>
      <c r="AO60" s="277"/>
      <c r="AP60" s="272"/>
      <c r="AQ60" s="277"/>
      <c r="AR60" s="272"/>
      <c r="AS60" s="277"/>
      <c r="AT60" s="272"/>
      <c r="AU60" s="277"/>
      <c r="AV60" s="272"/>
      <c r="AW60" s="277"/>
      <c r="AX60" s="272"/>
      <c r="AY60" s="277"/>
      <c r="AZ60" s="272"/>
    </row>
    <row r="61" spans="1:53" ht="19" customHeight="1" x14ac:dyDescent="0.2">
      <c r="H61" s="19"/>
      <c r="I61" s="19"/>
      <c r="J61" s="19"/>
      <c r="K61" s="19"/>
      <c r="L61" s="111"/>
      <c r="M61" s="277"/>
      <c r="N61" s="272"/>
      <c r="O61" s="277"/>
      <c r="P61" s="272"/>
      <c r="Q61" s="277"/>
      <c r="R61" s="272"/>
      <c r="S61" s="307"/>
      <c r="T61" s="280"/>
      <c r="U61" s="277"/>
      <c r="V61" s="272"/>
      <c r="W61" s="277"/>
      <c r="X61" s="272"/>
      <c r="Y61" s="277"/>
      <c r="Z61" s="272"/>
      <c r="AA61" s="277"/>
      <c r="AB61" s="272"/>
      <c r="AC61" s="277"/>
      <c r="AD61" s="272"/>
      <c r="AE61" s="277"/>
      <c r="AF61" s="272"/>
      <c r="AG61" s="277"/>
      <c r="AH61" s="272"/>
      <c r="AI61" s="277"/>
      <c r="AJ61" s="272"/>
      <c r="AK61" s="277"/>
      <c r="AL61" s="272"/>
      <c r="AM61" s="277"/>
      <c r="AN61" s="272"/>
      <c r="AO61" s="277"/>
      <c r="AP61" s="272"/>
      <c r="AQ61" s="277"/>
      <c r="AR61" s="272"/>
      <c r="AS61" s="277"/>
      <c r="AT61" s="272"/>
      <c r="AU61" s="277"/>
      <c r="AV61" s="272"/>
      <c r="AW61" s="277"/>
      <c r="AX61" s="272"/>
      <c r="AY61" s="277"/>
      <c r="AZ61" s="272"/>
    </row>
    <row r="62" spans="1:53" ht="19" customHeight="1" thickBot="1" x14ac:dyDescent="0.25">
      <c r="H62" s="19"/>
      <c r="I62" s="19"/>
      <c r="J62" s="19"/>
      <c r="K62" s="19"/>
      <c r="L62" s="111"/>
      <c r="M62" s="278"/>
      <c r="N62" s="273"/>
      <c r="O62" s="278"/>
      <c r="P62" s="273"/>
      <c r="Q62" s="278"/>
      <c r="R62" s="273"/>
      <c r="S62" s="308"/>
      <c r="T62" s="281"/>
      <c r="U62" s="278"/>
      <c r="V62" s="273"/>
      <c r="W62" s="278"/>
      <c r="X62" s="273"/>
      <c r="Y62" s="278"/>
      <c r="Z62" s="273"/>
      <c r="AA62" s="278"/>
      <c r="AB62" s="273"/>
      <c r="AC62" s="278"/>
      <c r="AD62" s="273"/>
      <c r="AE62" s="278"/>
      <c r="AF62" s="273"/>
      <c r="AG62" s="278"/>
      <c r="AH62" s="273"/>
      <c r="AI62" s="278"/>
      <c r="AJ62" s="273"/>
      <c r="AK62" s="278"/>
      <c r="AL62" s="273"/>
      <c r="AM62" s="278"/>
      <c r="AN62" s="273"/>
      <c r="AO62" s="278"/>
      <c r="AP62" s="273"/>
      <c r="AQ62" s="278"/>
      <c r="AR62" s="273"/>
      <c r="AS62" s="278"/>
      <c r="AT62" s="273"/>
      <c r="AU62" s="278"/>
      <c r="AV62" s="273"/>
      <c r="AW62" s="278"/>
      <c r="AX62" s="273"/>
      <c r="AY62" s="278"/>
      <c r="AZ62" s="273"/>
    </row>
    <row r="63" spans="1:53" ht="19" customHeight="1" x14ac:dyDescent="0.2">
      <c r="H63" s="19"/>
      <c r="I63" s="19"/>
      <c r="J63" s="19"/>
      <c r="K63" s="19"/>
      <c r="L63" s="111"/>
      <c r="M63" s="265" t="s">
        <v>44</v>
      </c>
      <c r="N63" s="266"/>
      <c r="O63" s="265" t="s">
        <v>45</v>
      </c>
      <c r="P63" s="266"/>
      <c r="Q63" s="265" t="s">
        <v>46</v>
      </c>
      <c r="R63" s="266"/>
      <c r="S63" s="275" t="s">
        <v>47</v>
      </c>
      <c r="T63" s="266"/>
      <c r="U63" s="265" t="s">
        <v>48</v>
      </c>
      <c r="V63" s="266"/>
      <c r="W63" s="265" t="s">
        <v>49</v>
      </c>
      <c r="X63" s="266"/>
      <c r="Y63" s="265" t="s">
        <v>50</v>
      </c>
      <c r="Z63" s="266"/>
      <c r="AA63" s="265" t="s">
        <v>51</v>
      </c>
      <c r="AB63" s="266"/>
      <c r="AC63" s="265" t="s">
        <v>52</v>
      </c>
      <c r="AD63" s="266"/>
      <c r="AE63" s="265" t="s">
        <v>53</v>
      </c>
      <c r="AF63" s="266"/>
      <c r="AG63" s="275" t="s">
        <v>54</v>
      </c>
      <c r="AH63" s="266"/>
      <c r="AI63" s="275" t="s">
        <v>55</v>
      </c>
      <c r="AJ63" s="266"/>
      <c r="AK63" s="275" t="s">
        <v>229</v>
      </c>
      <c r="AL63" s="266"/>
      <c r="AM63" s="275" t="s">
        <v>230</v>
      </c>
      <c r="AN63" s="266"/>
      <c r="AO63" s="265" t="s">
        <v>58</v>
      </c>
      <c r="AP63" s="266"/>
      <c r="AQ63" s="265" t="s">
        <v>59</v>
      </c>
      <c r="AR63" s="266"/>
      <c r="AS63" s="265" t="s">
        <v>60</v>
      </c>
      <c r="AT63" s="266"/>
      <c r="AU63" s="265" t="s">
        <v>61</v>
      </c>
      <c r="AV63" s="266"/>
      <c r="AW63" s="275" t="s">
        <v>62</v>
      </c>
      <c r="AX63" s="266"/>
      <c r="AY63" s="265" t="s">
        <v>173</v>
      </c>
      <c r="AZ63" s="266"/>
    </row>
    <row r="64" spans="1:53" ht="19" customHeight="1" x14ac:dyDescent="0.2">
      <c r="H64" s="19"/>
      <c r="I64" s="19"/>
      <c r="J64" s="19"/>
      <c r="K64" s="19"/>
      <c r="L64" s="111"/>
      <c r="M64" s="267"/>
      <c r="N64" s="268"/>
      <c r="O64" s="267"/>
      <c r="P64" s="268"/>
      <c r="Q64" s="267"/>
      <c r="R64" s="268"/>
      <c r="S64" s="267"/>
      <c r="T64" s="268"/>
      <c r="U64" s="267"/>
      <c r="V64" s="268"/>
      <c r="W64" s="267"/>
      <c r="X64" s="268"/>
      <c r="Y64" s="267"/>
      <c r="Z64" s="268"/>
      <c r="AA64" s="267"/>
      <c r="AB64" s="268"/>
      <c r="AC64" s="267"/>
      <c r="AD64" s="268"/>
      <c r="AE64" s="267"/>
      <c r="AF64" s="268"/>
      <c r="AG64" s="267"/>
      <c r="AH64" s="268"/>
      <c r="AI64" s="267"/>
      <c r="AJ64" s="268"/>
      <c r="AK64" s="267"/>
      <c r="AL64" s="268"/>
      <c r="AM64" s="267"/>
      <c r="AN64" s="268"/>
      <c r="AO64" s="267"/>
      <c r="AP64" s="268"/>
      <c r="AQ64" s="267"/>
      <c r="AR64" s="268"/>
      <c r="AS64" s="267"/>
      <c r="AT64" s="268"/>
      <c r="AU64" s="267"/>
      <c r="AV64" s="268"/>
      <c r="AW64" s="267"/>
      <c r="AX64" s="268"/>
      <c r="AY64" s="267"/>
      <c r="AZ64" s="268"/>
    </row>
    <row r="65" spans="8:52" ht="19" customHeight="1" thickBot="1" x14ac:dyDescent="0.25">
      <c r="H65" s="19"/>
      <c r="I65" s="19"/>
      <c r="J65" s="19"/>
      <c r="K65" s="19"/>
      <c r="L65" s="111"/>
      <c r="M65" s="269"/>
      <c r="N65" s="270"/>
      <c r="O65" s="269"/>
      <c r="P65" s="270"/>
      <c r="Q65" s="269"/>
      <c r="R65" s="270"/>
      <c r="S65" s="269"/>
      <c r="T65" s="270"/>
      <c r="U65" s="269"/>
      <c r="V65" s="270"/>
      <c r="W65" s="269"/>
      <c r="X65" s="270"/>
      <c r="Y65" s="269"/>
      <c r="Z65" s="270"/>
      <c r="AA65" s="269"/>
      <c r="AB65" s="270"/>
      <c r="AC65" s="269"/>
      <c r="AD65" s="270"/>
      <c r="AE65" s="269"/>
      <c r="AF65" s="270"/>
      <c r="AG65" s="269"/>
      <c r="AH65" s="270"/>
      <c r="AI65" s="269"/>
      <c r="AJ65" s="270"/>
      <c r="AK65" s="269"/>
      <c r="AL65" s="270"/>
      <c r="AM65" s="269"/>
      <c r="AN65" s="270"/>
      <c r="AO65" s="269"/>
      <c r="AP65" s="270"/>
      <c r="AQ65" s="269"/>
      <c r="AR65" s="270"/>
      <c r="AS65" s="269"/>
      <c r="AT65" s="270"/>
      <c r="AU65" s="269"/>
      <c r="AV65" s="270"/>
      <c r="AW65" s="269"/>
      <c r="AX65" s="270"/>
      <c r="AY65" s="269"/>
      <c r="AZ65" s="270"/>
    </row>
    <row r="66" spans="8:52" ht="25" customHeight="1" x14ac:dyDescent="0.2">
      <c r="H66" s="19"/>
      <c r="I66" s="19"/>
      <c r="J66" s="19"/>
      <c r="K66" s="19"/>
      <c r="L66" s="111"/>
      <c r="M66" s="285" t="s">
        <v>228</v>
      </c>
      <c r="N66" s="286"/>
      <c r="O66" s="286"/>
      <c r="P66" s="286"/>
      <c r="Q66" s="286"/>
      <c r="R66" s="286"/>
      <c r="S66" s="286"/>
      <c r="T66" s="286"/>
      <c r="U66" s="286"/>
      <c r="V66" s="286"/>
      <c r="W66" s="286"/>
      <c r="X66" s="286"/>
      <c r="Y66" s="286"/>
      <c r="Z66" s="286"/>
      <c r="AA66" s="286"/>
      <c r="AB66" s="286"/>
      <c r="AC66" s="286"/>
      <c r="AD66" s="286"/>
      <c r="AE66" s="286"/>
      <c r="AF66" s="286"/>
      <c r="AG66" s="286"/>
      <c r="AH66" s="286"/>
      <c r="AI66" s="286"/>
      <c r="AJ66" s="286"/>
      <c r="AK66" s="286"/>
      <c r="AL66" s="286"/>
      <c r="AM66" s="286"/>
      <c r="AN66" s="286"/>
      <c r="AO66" s="286"/>
      <c r="AP66" s="286"/>
      <c r="AQ66" s="286"/>
      <c r="AR66" s="286"/>
      <c r="AS66" s="286"/>
      <c r="AT66" s="286"/>
      <c r="AU66" s="286"/>
      <c r="AV66" s="286"/>
      <c r="AW66" s="286"/>
      <c r="AX66" s="286"/>
      <c r="AY66" s="286"/>
      <c r="AZ66" s="287"/>
    </row>
    <row r="67" spans="8:52" ht="25" customHeight="1" thickBot="1" x14ac:dyDescent="0.25">
      <c r="M67" s="282" t="s">
        <v>235</v>
      </c>
      <c r="N67" s="283"/>
      <c r="O67" s="283"/>
      <c r="P67" s="283"/>
      <c r="Q67" s="283"/>
      <c r="R67" s="283"/>
      <c r="S67" s="283"/>
      <c r="T67" s="283"/>
      <c r="U67" s="283"/>
      <c r="V67" s="283"/>
      <c r="W67" s="283"/>
      <c r="X67" s="283"/>
      <c r="Y67" s="283"/>
      <c r="Z67" s="283"/>
      <c r="AA67" s="283"/>
      <c r="AB67" s="283"/>
      <c r="AC67" s="283"/>
      <c r="AD67" s="283"/>
      <c r="AE67" s="283"/>
      <c r="AF67" s="283"/>
      <c r="AG67" s="283"/>
      <c r="AH67" s="283"/>
      <c r="AI67" s="283"/>
      <c r="AJ67" s="283"/>
      <c r="AK67" s="283"/>
      <c r="AL67" s="283"/>
      <c r="AM67" s="283"/>
      <c r="AN67" s="283"/>
      <c r="AO67" s="283"/>
      <c r="AP67" s="283"/>
      <c r="AQ67" s="283"/>
      <c r="AR67" s="283"/>
      <c r="AS67" s="283"/>
      <c r="AT67" s="283"/>
      <c r="AU67" s="283"/>
      <c r="AV67" s="283"/>
      <c r="AW67" s="283"/>
      <c r="AX67" s="283"/>
      <c r="AY67" s="283"/>
      <c r="AZ67" s="284"/>
    </row>
    <row r="68" spans="8:52" x14ac:dyDescent="0.2">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19"/>
      <c r="AZ68" s="19"/>
    </row>
    <row r="69" spans="8:52" x14ac:dyDescent="0.2">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19"/>
      <c r="AZ69" s="19"/>
    </row>
    <row r="70" spans="8:52" x14ac:dyDescent="0.2">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19"/>
    </row>
    <row r="71" spans="8:52" x14ac:dyDescent="0.2">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19"/>
      <c r="AZ71" s="19"/>
    </row>
    <row r="72" spans="8:52" x14ac:dyDescent="0.2">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19"/>
      <c r="AZ72" s="19"/>
    </row>
    <row r="73" spans="8:52" x14ac:dyDescent="0.2">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19"/>
      <c r="AZ73" s="19"/>
    </row>
  </sheetData>
  <mergeCells count="137">
    <mergeCell ref="AQ58:AQ62"/>
    <mergeCell ref="A9:A13"/>
    <mergeCell ref="M58:M62"/>
    <mergeCell ref="O58:O62"/>
    <mergeCell ref="AC58:AC62"/>
    <mergeCell ref="AE9:AE13"/>
    <mergeCell ref="AI9:AI13"/>
    <mergeCell ref="AK9:AK13"/>
    <mergeCell ref="AM9:AM13"/>
    <mergeCell ref="AO9:AO13"/>
    <mergeCell ref="H9:H13"/>
    <mergeCell ref="K9:K13"/>
    <mergeCell ref="B9:B13"/>
    <mergeCell ref="L9:L13"/>
    <mergeCell ref="F9:F13"/>
    <mergeCell ref="G9:G13"/>
    <mergeCell ref="I9:I13"/>
    <mergeCell ref="J9:J13"/>
    <mergeCell ref="W9:W13"/>
    <mergeCell ref="Y9:Y13"/>
    <mergeCell ref="AA9:AA13"/>
    <mergeCell ref="AC9:AC13"/>
    <mergeCell ref="AS9:AS13"/>
    <mergeCell ref="AU9:AU13"/>
    <mergeCell ref="AW9:AW13"/>
    <mergeCell ref="AG9:AG13"/>
    <mergeCell ref="M4:AZ4"/>
    <mergeCell ref="M5:AZ5"/>
    <mergeCell ref="N9:N13"/>
    <mergeCell ref="M9:M13"/>
    <mergeCell ref="O9:O13"/>
    <mergeCell ref="AY9:AY13"/>
    <mergeCell ref="P9:P13"/>
    <mergeCell ref="R9:R13"/>
    <mergeCell ref="T9:T13"/>
    <mergeCell ref="V9:V13"/>
    <mergeCell ref="X9:X13"/>
    <mergeCell ref="AX9:AX13"/>
    <mergeCell ref="AV9:AV13"/>
    <mergeCell ref="AT9:AT13"/>
    <mergeCell ref="AR9:AR13"/>
    <mergeCell ref="AP9:AP13"/>
    <mergeCell ref="S9:S13"/>
    <mergeCell ref="U9:U13"/>
    <mergeCell ref="E3:E6"/>
    <mergeCell ref="C9:C13"/>
    <mergeCell ref="D9:D13"/>
    <mergeCell ref="E9:E13"/>
    <mergeCell ref="Q9:Q13"/>
    <mergeCell ref="AK6:AL8"/>
    <mergeCell ref="AM6:AN8"/>
    <mergeCell ref="AD9:AD13"/>
    <mergeCell ref="AB9:AB13"/>
    <mergeCell ref="Z9:Z13"/>
    <mergeCell ref="M6:N8"/>
    <mergeCell ref="O6:P8"/>
    <mergeCell ref="Q6:R8"/>
    <mergeCell ref="S6:T8"/>
    <mergeCell ref="U6:V8"/>
    <mergeCell ref="W6:X8"/>
    <mergeCell ref="Y6:Z8"/>
    <mergeCell ref="AA6:AB8"/>
    <mergeCell ref="AC6:AD8"/>
    <mergeCell ref="AN9:AN13"/>
    <mergeCell ref="AL9:AL13"/>
    <mergeCell ref="AJ9:AJ13"/>
    <mergeCell ref="AH9:AH13"/>
    <mergeCell ref="AF9:AF13"/>
    <mergeCell ref="AY6:AZ8"/>
    <mergeCell ref="M67:AZ67"/>
    <mergeCell ref="M66:AZ66"/>
    <mergeCell ref="AX58:AX62"/>
    <mergeCell ref="AV58:AV62"/>
    <mergeCell ref="AT58:AT62"/>
    <mergeCell ref="AR58:AR62"/>
    <mergeCell ref="AP58:AP62"/>
    <mergeCell ref="AN58:AN62"/>
    <mergeCell ref="AL58:AL62"/>
    <mergeCell ref="AJ58:AJ62"/>
    <mergeCell ref="AH58:AH62"/>
    <mergeCell ref="AF58:AF62"/>
    <mergeCell ref="AD58:AD62"/>
    <mergeCell ref="AB58:AB62"/>
    <mergeCell ref="Z58:Z62"/>
    <mergeCell ref="AO6:AP8"/>
    <mergeCell ref="AQ6:AR8"/>
    <mergeCell ref="AS6:AT8"/>
    <mergeCell ref="AU6:AV8"/>
    <mergeCell ref="AW6:AX8"/>
    <mergeCell ref="AE6:AF8"/>
    <mergeCell ref="AG6:AH8"/>
    <mergeCell ref="AI6:AJ8"/>
    <mergeCell ref="U63:V65"/>
    <mergeCell ref="W63:X65"/>
    <mergeCell ref="Y63:Z65"/>
    <mergeCell ref="AA63:AB65"/>
    <mergeCell ref="AC63:AD65"/>
    <mergeCell ref="N58:N62"/>
    <mergeCell ref="M63:N65"/>
    <mergeCell ref="O63:P65"/>
    <mergeCell ref="Q63:R65"/>
    <mergeCell ref="S63:T65"/>
    <mergeCell ref="X58:X62"/>
    <mergeCell ref="V58:V62"/>
    <mergeCell ref="T58:T62"/>
    <mergeCell ref="R58:R62"/>
    <mergeCell ref="P58:P62"/>
    <mergeCell ref="Q58:Q62"/>
    <mergeCell ref="S58:S62"/>
    <mergeCell ref="U58:U62"/>
    <mergeCell ref="W58:W62"/>
    <mergeCell ref="Y58:Y62"/>
    <mergeCell ref="AA58:AA62"/>
    <mergeCell ref="AY63:AZ65"/>
    <mergeCell ref="AZ9:AZ13"/>
    <mergeCell ref="AZ58:AZ62"/>
    <mergeCell ref="AO63:AP65"/>
    <mergeCell ref="AQ63:AR65"/>
    <mergeCell ref="AS63:AT65"/>
    <mergeCell ref="AU63:AV65"/>
    <mergeCell ref="AW63:AX65"/>
    <mergeCell ref="AE63:AF65"/>
    <mergeCell ref="AG63:AH65"/>
    <mergeCell ref="AI63:AJ65"/>
    <mergeCell ref="AK63:AL65"/>
    <mergeCell ref="AM63:AN65"/>
    <mergeCell ref="AS58:AS62"/>
    <mergeCell ref="AU58:AU62"/>
    <mergeCell ref="AQ9:AQ13"/>
    <mergeCell ref="AW58:AW62"/>
    <mergeCell ref="AY58:AY62"/>
    <mergeCell ref="AE58:AE62"/>
    <mergeCell ref="AG58:AG62"/>
    <mergeCell ref="AI58:AI62"/>
    <mergeCell ref="AK58:AK62"/>
    <mergeCell ref="AM58:AM62"/>
    <mergeCell ref="AO58:AO6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63"/>
  <sheetViews>
    <sheetView showRuler="0" workbookViewId="0"/>
  </sheetViews>
  <sheetFormatPr baseColWidth="10" defaultRowHeight="16" x14ac:dyDescent="0.2"/>
  <cols>
    <col min="1" max="2" width="5.6640625" style="19" customWidth="1"/>
    <col min="3" max="4" width="12.5" style="20" customWidth="1"/>
    <col min="5" max="5" width="80" style="19" customWidth="1"/>
    <col min="6" max="6" width="22.6640625" style="19" customWidth="1"/>
    <col min="7" max="7" width="7.5" style="20" customWidth="1"/>
    <col min="8" max="11" width="6.6640625" style="20" customWidth="1"/>
    <col min="12" max="12" width="6.6640625" style="39" customWidth="1"/>
    <col min="13" max="32" width="6.6640625" style="20" customWidth="1"/>
    <col min="33" max="33" width="113.83203125" style="19" customWidth="1"/>
    <col min="34" max="16384" width="10.83203125" style="19"/>
  </cols>
  <sheetData>
    <row r="1" spans="1:33" ht="17" thickBot="1" x14ac:dyDescent="0.25"/>
    <row r="2" spans="1:33" ht="25" customHeight="1" x14ac:dyDescent="0.2">
      <c r="E2" s="58" t="s">
        <v>233</v>
      </c>
    </row>
    <row r="3" spans="1:33" ht="16" customHeight="1" x14ac:dyDescent="0.2">
      <c r="E3" s="293" t="s">
        <v>234</v>
      </c>
    </row>
    <row r="4" spans="1:33" ht="16" customHeight="1" x14ac:dyDescent="0.2">
      <c r="E4" s="294"/>
    </row>
    <row r="5" spans="1:33" ht="20" customHeight="1" thickBot="1" x14ac:dyDescent="0.25">
      <c r="B5" s="55"/>
      <c r="E5" s="294"/>
    </row>
    <row r="6" spans="1:33" ht="20" customHeight="1" thickBot="1" x14ac:dyDescent="0.3">
      <c r="A6" s="27"/>
      <c r="B6" s="29"/>
      <c r="E6" s="295"/>
      <c r="M6" s="341" t="s">
        <v>235</v>
      </c>
      <c r="N6" s="342"/>
      <c r="O6" s="342"/>
      <c r="P6" s="342"/>
      <c r="Q6" s="342"/>
      <c r="R6" s="342"/>
      <c r="S6" s="342"/>
      <c r="T6" s="342"/>
      <c r="U6" s="342"/>
      <c r="V6" s="342"/>
      <c r="W6" s="342"/>
      <c r="X6" s="342"/>
      <c r="Y6" s="342"/>
      <c r="Z6" s="342"/>
      <c r="AA6" s="342"/>
      <c r="AB6" s="342"/>
      <c r="AC6" s="342"/>
      <c r="AD6" s="342"/>
      <c r="AE6" s="342"/>
      <c r="AF6" s="343"/>
    </row>
    <row r="7" spans="1:33" ht="20" customHeight="1" thickBot="1" x14ac:dyDescent="0.25">
      <c r="A7" s="28"/>
      <c r="B7" s="54"/>
      <c r="M7" s="344" t="s">
        <v>240</v>
      </c>
      <c r="N7" s="345"/>
      <c r="O7" s="345"/>
      <c r="P7" s="345"/>
      <c r="Q7" s="345"/>
      <c r="R7" s="345"/>
      <c r="S7" s="345"/>
      <c r="T7" s="345"/>
      <c r="U7" s="345"/>
      <c r="V7" s="345"/>
      <c r="W7" s="345"/>
      <c r="X7" s="345"/>
      <c r="Y7" s="345"/>
      <c r="Z7" s="345"/>
      <c r="AA7" s="345"/>
      <c r="AB7" s="345"/>
      <c r="AC7" s="345"/>
      <c r="AD7" s="345"/>
      <c r="AE7" s="345"/>
      <c r="AF7" s="346"/>
    </row>
    <row r="8" spans="1:33" ht="20" customHeight="1" x14ac:dyDescent="0.2">
      <c r="A8" s="241" t="s">
        <v>190</v>
      </c>
      <c r="B8" s="224" t="s">
        <v>215</v>
      </c>
      <c r="C8" s="153" t="s">
        <v>63</v>
      </c>
      <c r="D8" s="153" t="s">
        <v>226</v>
      </c>
      <c r="E8" s="150" t="s">
        <v>64</v>
      </c>
      <c r="F8" s="150" t="s">
        <v>65</v>
      </c>
      <c r="G8" s="153" t="s">
        <v>66</v>
      </c>
      <c r="H8" s="180" t="s">
        <v>42</v>
      </c>
      <c r="I8" s="159" t="s">
        <v>275</v>
      </c>
      <c r="J8" s="156" t="s">
        <v>223</v>
      </c>
      <c r="K8" s="174" t="s">
        <v>224</v>
      </c>
      <c r="L8" s="309" t="s">
        <v>225</v>
      </c>
      <c r="M8" s="347" t="s">
        <v>44</v>
      </c>
      <c r="N8" s="324" t="s">
        <v>45</v>
      </c>
      <c r="O8" s="324" t="s">
        <v>46</v>
      </c>
      <c r="P8" s="323" t="s">
        <v>47</v>
      </c>
      <c r="Q8" s="324" t="s">
        <v>48</v>
      </c>
      <c r="R8" s="324" t="s">
        <v>49</v>
      </c>
      <c r="S8" s="323" t="s">
        <v>50</v>
      </c>
      <c r="T8" s="320" t="s">
        <v>51</v>
      </c>
      <c r="U8" s="320" t="s">
        <v>52</v>
      </c>
      <c r="V8" s="323" t="s">
        <v>53</v>
      </c>
      <c r="W8" s="320" t="s">
        <v>54</v>
      </c>
      <c r="X8" s="323" t="s">
        <v>55</v>
      </c>
      <c r="Y8" s="320" t="s">
        <v>56</v>
      </c>
      <c r="Z8" s="320" t="s">
        <v>57</v>
      </c>
      <c r="AA8" s="320" t="s">
        <v>216</v>
      </c>
      <c r="AB8" s="320" t="s">
        <v>59</v>
      </c>
      <c r="AC8" s="320" t="s">
        <v>60</v>
      </c>
      <c r="AD8" s="320" t="s">
        <v>61</v>
      </c>
      <c r="AE8" s="323" t="s">
        <v>62</v>
      </c>
      <c r="AF8" s="336" t="s">
        <v>173</v>
      </c>
    </row>
    <row r="9" spans="1:33" ht="20" customHeight="1" x14ac:dyDescent="0.2">
      <c r="A9" s="242"/>
      <c r="B9" s="225"/>
      <c r="C9" s="154"/>
      <c r="D9" s="154"/>
      <c r="E9" s="151"/>
      <c r="F9" s="151"/>
      <c r="G9" s="154"/>
      <c r="H9" s="181"/>
      <c r="I9" s="160"/>
      <c r="J9" s="157"/>
      <c r="K9" s="175"/>
      <c r="L9" s="310"/>
      <c r="M9" s="347"/>
      <c r="N9" s="324"/>
      <c r="O9" s="324"/>
      <c r="P9" s="324"/>
      <c r="Q9" s="324"/>
      <c r="R9" s="324"/>
      <c r="S9" s="323"/>
      <c r="T9" s="321"/>
      <c r="U9" s="321"/>
      <c r="V9" s="323"/>
      <c r="W9" s="321"/>
      <c r="X9" s="324"/>
      <c r="Y9" s="321"/>
      <c r="Z9" s="321"/>
      <c r="AA9" s="321"/>
      <c r="AB9" s="321"/>
      <c r="AC9" s="321"/>
      <c r="AD9" s="321"/>
      <c r="AE9" s="324"/>
      <c r="AF9" s="337"/>
    </row>
    <row r="10" spans="1:33" ht="20" customHeight="1" x14ac:dyDescent="0.2">
      <c r="A10" s="242"/>
      <c r="B10" s="225"/>
      <c r="C10" s="154"/>
      <c r="D10" s="154"/>
      <c r="E10" s="151"/>
      <c r="F10" s="151"/>
      <c r="G10" s="154"/>
      <c r="H10" s="181"/>
      <c r="I10" s="160"/>
      <c r="J10" s="157"/>
      <c r="K10" s="175"/>
      <c r="L10" s="310"/>
      <c r="M10" s="347"/>
      <c r="N10" s="324"/>
      <c r="O10" s="324"/>
      <c r="P10" s="324"/>
      <c r="Q10" s="324"/>
      <c r="R10" s="324"/>
      <c r="S10" s="323"/>
      <c r="T10" s="321"/>
      <c r="U10" s="321"/>
      <c r="V10" s="323"/>
      <c r="W10" s="321"/>
      <c r="X10" s="324"/>
      <c r="Y10" s="321"/>
      <c r="Z10" s="321"/>
      <c r="AA10" s="321"/>
      <c r="AB10" s="321"/>
      <c r="AC10" s="321"/>
      <c r="AD10" s="321"/>
      <c r="AE10" s="324"/>
      <c r="AF10" s="337"/>
    </row>
    <row r="11" spans="1:33" ht="20" customHeight="1" x14ac:dyDescent="0.2">
      <c r="A11" s="242"/>
      <c r="B11" s="225"/>
      <c r="C11" s="154"/>
      <c r="D11" s="154"/>
      <c r="E11" s="151"/>
      <c r="F11" s="151"/>
      <c r="G11" s="154"/>
      <c r="H11" s="181"/>
      <c r="I11" s="160"/>
      <c r="J11" s="157"/>
      <c r="K11" s="175"/>
      <c r="L11" s="310"/>
      <c r="M11" s="347"/>
      <c r="N11" s="324"/>
      <c r="O11" s="324"/>
      <c r="P11" s="324"/>
      <c r="Q11" s="324"/>
      <c r="R11" s="324"/>
      <c r="S11" s="323"/>
      <c r="T11" s="321"/>
      <c r="U11" s="321"/>
      <c r="V11" s="323"/>
      <c r="W11" s="321"/>
      <c r="X11" s="324"/>
      <c r="Y11" s="321"/>
      <c r="Z11" s="321"/>
      <c r="AA11" s="321"/>
      <c r="AB11" s="321"/>
      <c r="AC11" s="321"/>
      <c r="AD11" s="321"/>
      <c r="AE11" s="324"/>
      <c r="AF11" s="337"/>
    </row>
    <row r="12" spans="1:33" s="21" customFormat="1" ht="20" customHeight="1" thickBot="1" x14ac:dyDescent="0.25">
      <c r="A12" s="243"/>
      <c r="B12" s="226"/>
      <c r="C12" s="155"/>
      <c r="D12" s="155"/>
      <c r="E12" s="152"/>
      <c r="F12" s="152"/>
      <c r="G12" s="155"/>
      <c r="H12" s="182"/>
      <c r="I12" s="161"/>
      <c r="J12" s="158"/>
      <c r="K12" s="176"/>
      <c r="L12" s="311"/>
      <c r="M12" s="348"/>
      <c r="N12" s="325"/>
      <c r="O12" s="325"/>
      <c r="P12" s="325"/>
      <c r="Q12" s="325"/>
      <c r="R12" s="325"/>
      <c r="S12" s="326"/>
      <c r="T12" s="322"/>
      <c r="U12" s="322"/>
      <c r="V12" s="326"/>
      <c r="W12" s="322"/>
      <c r="X12" s="325"/>
      <c r="Y12" s="322"/>
      <c r="Z12" s="322"/>
      <c r="AA12" s="322"/>
      <c r="AB12" s="322"/>
      <c r="AC12" s="322"/>
      <c r="AD12" s="322"/>
      <c r="AE12" s="325"/>
      <c r="AF12" s="338"/>
      <c r="AG12" s="74" t="s">
        <v>67</v>
      </c>
    </row>
    <row r="13" spans="1:33" s="21" customFormat="1" ht="20" customHeight="1" x14ac:dyDescent="0.2">
      <c r="A13" s="126"/>
      <c r="B13" s="127"/>
      <c r="C13" s="116" t="s">
        <v>207</v>
      </c>
      <c r="D13" s="116" t="s">
        <v>247</v>
      </c>
      <c r="E13" s="117" t="s">
        <v>245</v>
      </c>
      <c r="F13" s="117" t="s">
        <v>246</v>
      </c>
      <c r="G13" s="116">
        <v>2013</v>
      </c>
      <c r="H13" s="118"/>
      <c r="I13" s="84"/>
      <c r="J13" s="64">
        <v>10</v>
      </c>
      <c r="K13" s="65">
        <v>490</v>
      </c>
      <c r="L13" s="112">
        <f>IF(AND(NOT(ISERROR(J13/K13*100)), J13&lt;&gt;""), J13/K13*100, "")</f>
        <v>2.0408163265306123</v>
      </c>
      <c r="M13" s="145">
        <v>1</v>
      </c>
      <c r="N13" s="103"/>
      <c r="O13" s="103"/>
      <c r="P13" s="103">
        <v>1</v>
      </c>
      <c r="Q13" s="103"/>
      <c r="R13" s="103"/>
      <c r="S13" s="103">
        <v>1</v>
      </c>
      <c r="T13" s="103"/>
      <c r="U13" s="103">
        <v>1</v>
      </c>
      <c r="V13" s="103"/>
      <c r="W13" s="103">
        <v>1</v>
      </c>
      <c r="X13" s="103"/>
      <c r="Y13" s="103"/>
      <c r="Z13" s="103"/>
      <c r="AA13" s="103"/>
      <c r="AB13" s="103">
        <v>1</v>
      </c>
      <c r="AC13" s="103">
        <v>2</v>
      </c>
      <c r="AD13" s="103"/>
      <c r="AE13" s="103"/>
      <c r="AF13" s="146">
        <v>17</v>
      </c>
      <c r="AG13" s="70" t="s">
        <v>249</v>
      </c>
    </row>
    <row r="14" spans="1:33" ht="20" customHeight="1" x14ac:dyDescent="0.2">
      <c r="A14" s="128"/>
      <c r="B14" s="129"/>
      <c r="C14" s="75"/>
      <c r="D14" s="75"/>
      <c r="E14" s="76" t="s">
        <v>68</v>
      </c>
      <c r="F14" s="76" t="s">
        <v>69</v>
      </c>
      <c r="G14" s="75">
        <v>2015</v>
      </c>
      <c r="H14" s="81">
        <v>3</v>
      </c>
      <c r="I14" s="84" t="s">
        <v>70</v>
      </c>
      <c r="J14" s="64">
        <v>14</v>
      </c>
      <c r="K14" s="65">
        <v>100</v>
      </c>
      <c r="L14" s="124">
        <f>IF(AND(NOT(ISERROR(J14/K14*100)), J14&lt;&gt;""), J14/K14*100, "")</f>
        <v>14.000000000000002</v>
      </c>
      <c r="M14" s="101">
        <v>13</v>
      </c>
      <c r="N14" s="102">
        <v>1</v>
      </c>
      <c r="O14" s="102"/>
      <c r="P14" s="102"/>
      <c r="Q14" s="102"/>
      <c r="R14" s="102"/>
      <c r="S14" s="102"/>
      <c r="T14" s="102"/>
      <c r="U14" s="102"/>
      <c r="V14" s="102"/>
      <c r="W14" s="102"/>
      <c r="X14" s="102"/>
      <c r="Y14" s="102"/>
      <c r="Z14" s="102"/>
      <c r="AA14" s="102"/>
      <c r="AB14" s="102"/>
      <c r="AC14" s="102"/>
      <c r="AD14" s="102"/>
      <c r="AE14" s="102"/>
      <c r="AF14" s="104"/>
    </row>
    <row r="15" spans="1:33" ht="20" customHeight="1" x14ac:dyDescent="0.2">
      <c r="A15" s="128"/>
      <c r="B15" s="129"/>
      <c r="C15" s="75"/>
      <c r="D15" s="75"/>
      <c r="E15" s="76" t="s">
        <v>71</v>
      </c>
      <c r="F15" s="76" t="s">
        <v>72</v>
      </c>
      <c r="G15" s="75">
        <v>2014</v>
      </c>
      <c r="H15" s="81">
        <v>9</v>
      </c>
      <c r="I15" s="84"/>
      <c r="J15" s="64">
        <v>8</v>
      </c>
      <c r="K15" s="65">
        <v>82</v>
      </c>
      <c r="L15" s="124">
        <f t="shared" ref="L15:L56" si="0">IF(AND(NOT(ISERROR(J15/K15*100)), J15&lt;&gt;""), J15/K15*100, "")</f>
        <v>9.7560975609756095</v>
      </c>
      <c r="M15" s="101">
        <v>8</v>
      </c>
      <c r="N15" s="102"/>
      <c r="O15" s="102"/>
      <c r="P15" s="102"/>
      <c r="Q15" s="102"/>
      <c r="R15" s="102"/>
      <c r="S15" s="102"/>
      <c r="T15" s="102"/>
      <c r="U15" s="102"/>
      <c r="V15" s="102"/>
      <c r="W15" s="102"/>
      <c r="X15" s="102"/>
      <c r="Y15" s="102"/>
      <c r="Z15" s="102"/>
      <c r="AA15" s="102"/>
      <c r="AB15" s="102"/>
      <c r="AC15" s="102"/>
      <c r="AD15" s="102"/>
      <c r="AE15" s="102"/>
      <c r="AF15" s="104"/>
      <c r="AG15" s="22" t="s">
        <v>73</v>
      </c>
    </row>
    <row r="16" spans="1:33" ht="20" customHeight="1" x14ac:dyDescent="0.2">
      <c r="A16" s="130"/>
      <c r="B16" s="131"/>
      <c r="C16" s="75"/>
      <c r="D16" s="75"/>
      <c r="E16" s="76" t="s">
        <v>74</v>
      </c>
      <c r="F16" s="76" t="s">
        <v>75</v>
      </c>
      <c r="G16" s="75">
        <v>2013</v>
      </c>
      <c r="H16" s="81">
        <v>15</v>
      </c>
      <c r="I16" s="84"/>
      <c r="J16" s="64"/>
      <c r="K16" s="65"/>
      <c r="L16" s="124" t="str">
        <f t="shared" si="0"/>
        <v/>
      </c>
      <c r="M16" s="101"/>
      <c r="N16" s="102"/>
      <c r="O16" s="102"/>
      <c r="P16" s="102"/>
      <c r="Q16" s="102"/>
      <c r="R16" s="102"/>
      <c r="S16" s="102"/>
      <c r="T16" s="102"/>
      <c r="U16" s="102"/>
      <c r="V16" s="102"/>
      <c r="W16" s="102"/>
      <c r="X16" s="102"/>
      <c r="Y16" s="102"/>
      <c r="Z16" s="102"/>
      <c r="AA16" s="102"/>
      <c r="AB16" s="102"/>
      <c r="AC16" s="102"/>
      <c r="AD16" s="102"/>
      <c r="AE16" s="102"/>
      <c r="AF16" s="104"/>
      <c r="AG16" s="22" t="s">
        <v>73</v>
      </c>
    </row>
    <row r="17" spans="1:33" ht="20" customHeight="1" x14ac:dyDescent="0.2">
      <c r="A17" s="130"/>
      <c r="B17" s="131"/>
      <c r="C17" s="75"/>
      <c r="D17" s="75"/>
      <c r="E17" s="76" t="s">
        <v>76</v>
      </c>
      <c r="F17" s="76" t="s">
        <v>77</v>
      </c>
      <c r="G17" s="75">
        <v>1986</v>
      </c>
      <c r="H17" s="81">
        <v>146</v>
      </c>
      <c r="I17" s="84" t="s">
        <v>78</v>
      </c>
      <c r="J17" s="64">
        <v>13</v>
      </c>
      <c r="K17" s="65">
        <v>13</v>
      </c>
      <c r="L17" s="124">
        <f t="shared" si="0"/>
        <v>100</v>
      </c>
      <c r="M17" s="101"/>
      <c r="N17" s="102"/>
      <c r="O17" s="102">
        <v>13</v>
      </c>
      <c r="P17" s="102"/>
      <c r="Q17" s="102"/>
      <c r="R17" s="102"/>
      <c r="S17" s="102"/>
      <c r="T17" s="102">
        <v>12</v>
      </c>
      <c r="U17" s="102"/>
      <c r="V17" s="102"/>
      <c r="W17" s="102"/>
      <c r="X17" s="102"/>
      <c r="Y17" s="102"/>
      <c r="Z17" s="102"/>
      <c r="AA17" s="102"/>
      <c r="AB17" s="102"/>
      <c r="AC17" s="102"/>
      <c r="AD17" s="102"/>
      <c r="AE17" s="102"/>
      <c r="AF17" s="104"/>
      <c r="AG17" s="22" t="s">
        <v>79</v>
      </c>
    </row>
    <row r="18" spans="1:33" ht="20" customHeight="1" x14ac:dyDescent="0.2">
      <c r="A18" s="130"/>
      <c r="B18" s="131"/>
      <c r="C18" s="75"/>
      <c r="D18" s="75"/>
      <c r="E18" s="76" t="s">
        <v>80</v>
      </c>
      <c r="F18" s="76" t="s">
        <v>81</v>
      </c>
      <c r="G18" s="75">
        <v>2008</v>
      </c>
      <c r="H18" s="81">
        <v>33</v>
      </c>
      <c r="I18" s="84"/>
      <c r="J18" s="64">
        <v>12</v>
      </c>
      <c r="K18" s="65">
        <v>101</v>
      </c>
      <c r="L18" s="124">
        <f t="shared" si="0"/>
        <v>11.881188118811881</v>
      </c>
      <c r="M18" s="101">
        <v>6</v>
      </c>
      <c r="N18" s="102">
        <v>6</v>
      </c>
      <c r="O18" s="102"/>
      <c r="P18" s="102"/>
      <c r="Q18" s="102"/>
      <c r="R18" s="102"/>
      <c r="S18" s="102"/>
      <c r="T18" s="102"/>
      <c r="U18" s="102"/>
      <c r="V18" s="102"/>
      <c r="W18" s="102"/>
      <c r="X18" s="102"/>
      <c r="Y18" s="102"/>
      <c r="Z18" s="102"/>
      <c r="AA18" s="102"/>
      <c r="AB18" s="102"/>
      <c r="AC18" s="102"/>
      <c r="AD18" s="102"/>
      <c r="AE18" s="102"/>
      <c r="AF18" s="104"/>
      <c r="AG18" s="19" t="s">
        <v>82</v>
      </c>
    </row>
    <row r="19" spans="1:33" ht="20" customHeight="1" x14ac:dyDescent="0.2">
      <c r="A19" s="136"/>
      <c r="B19" s="137"/>
      <c r="C19" s="138"/>
      <c r="D19" s="138" t="s">
        <v>252</v>
      </c>
      <c r="E19" s="139" t="s">
        <v>256</v>
      </c>
      <c r="F19" s="139" t="s">
        <v>257</v>
      </c>
      <c r="G19" s="138">
        <v>1996</v>
      </c>
      <c r="H19" s="140"/>
      <c r="I19" s="141"/>
      <c r="J19" s="142">
        <v>56</v>
      </c>
      <c r="K19" s="143">
        <v>72</v>
      </c>
      <c r="L19" s="144">
        <v>77.8</v>
      </c>
      <c r="M19" s="101"/>
      <c r="N19" s="102"/>
      <c r="O19" s="102"/>
      <c r="P19" s="102"/>
      <c r="Q19" s="102"/>
      <c r="R19" s="102"/>
      <c r="S19" s="102"/>
      <c r="T19" s="102"/>
      <c r="U19" s="102"/>
      <c r="V19" s="23"/>
      <c r="W19" s="102"/>
      <c r="X19" s="102"/>
      <c r="Y19" s="102"/>
      <c r="Z19" s="102"/>
      <c r="AA19" s="102"/>
      <c r="AB19" s="102"/>
      <c r="AC19" s="102"/>
      <c r="AD19" s="102"/>
      <c r="AE19" s="102"/>
      <c r="AF19" s="104">
        <v>56</v>
      </c>
      <c r="AG19" s="19" t="s">
        <v>258</v>
      </c>
    </row>
    <row r="20" spans="1:33" ht="20" customHeight="1" x14ac:dyDescent="0.2">
      <c r="A20" s="128"/>
      <c r="B20" s="129"/>
      <c r="C20" s="75"/>
      <c r="D20" s="75"/>
      <c r="E20" s="76" t="s">
        <v>83</v>
      </c>
      <c r="F20" s="76" t="s">
        <v>84</v>
      </c>
      <c r="G20" s="75">
        <v>2011</v>
      </c>
      <c r="H20" s="81"/>
      <c r="I20" s="84"/>
      <c r="J20" s="64">
        <v>1</v>
      </c>
      <c r="K20" s="65">
        <v>1</v>
      </c>
      <c r="L20" s="124">
        <f t="shared" si="0"/>
        <v>100</v>
      </c>
      <c r="M20" s="101"/>
      <c r="N20" s="102"/>
      <c r="O20" s="102"/>
      <c r="P20" s="102"/>
      <c r="Q20" s="102"/>
      <c r="R20" s="102">
        <v>1</v>
      </c>
      <c r="S20" s="102"/>
      <c r="T20" s="102"/>
      <c r="U20" s="102"/>
      <c r="V20" s="102"/>
      <c r="W20" s="102"/>
      <c r="X20" s="102"/>
      <c r="Y20" s="102"/>
      <c r="Z20" s="102"/>
      <c r="AA20" s="102"/>
      <c r="AB20" s="102"/>
      <c r="AC20" s="102"/>
      <c r="AD20" s="102"/>
      <c r="AE20" s="102"/>
      <c r="AF20" s="104"/>
      <c r="AG20" s="19" t="s">
        <v>259</v>
      </c>
    </row>
    <row r="21" spans="1:33" ht="20" customHeight="1" x14ac:dyDescent="0.2">
      <c r="A21" s="130"/>
      <c r="B21" s="131"/>
      <c r="C21" s="75"/>
      <c r="D21" s="75"/>
      <c r="E21" s="76" t="s">
        <v>85</v>
      </c>
      <c r="F21" s="76" t="s">
        <v>86</v>
      </c>
      <c r="G21" s="75">
        <v>2010</v>
      </c>
      <c r="H21" s="81">
        <v>17</v>
      </c>
      <c r="I21" s="84"/>
      <c r="J21" s="64"/>
      <c r="K21" s="65">
        <v>83</v>
      </c>
      <c r="L21" s="124" t="str">
        <f t="shared" si="0"/>
        <v/>
      </c>
      <c r="M21" s="101"/>
      <c r="N21" s="102"/>
      <c r="O21" s="102"/>
      <c r="P21" s="102"/>
      <c r="Q21" s="102"/>
      <c r="R21" s="102"/>
      <c r="S21" s="102"/>
      <c r="T21" s="102"/>
      <c r="U21" s="102"/>
      <c r="V21" s="102"/>
      <c r="W21" s="102"/>
      <c r="X21" s="102"/>
      <c r="Y21" s="102"/>
      <c r="Z21" s="102"/>
      <c r="AA21" s="102"/>
      <c r="AB21" s="102"/>
      <c r="AC21" s="102"/>
      <c r="AD21" s="102"/>
      <c r="AE21" s="102"/>
      <c r="AF21" s="104"/>
      <c r="AG21" s="19" t="s">
        <v>260</v>
      </c>
    </row>
    <row r="22" spans="1:33" ht="20" customHeight="1" x14ac:dyDescent="0.2">
      <c r="A22" s="130"/>
      <c r="B22" s="131"/>
      <c r="C22" s="75"/>
      <c r="D22" s="75"/>
      <c r="E22" s="76" t="s">
        <v>87</v>
      </c>
      <c r="F22" s="76" t="s">
        <v>88</v>
      </c>
      <c r="G22" s="75">
        <v>2013</v>
      </c>
      <c r="H22" s="81">
        <v>13</v>
      </c>
      <c r="I22" s="84"/>
      <c r="J22" s="64">
        <v>16</v>
      </c>
      <c r="K22" s="65">
        <v>201</v>
      </c>
      <c r="L22" s="124">
        <f t="shared" si="0"/>
        <v>7.9601990049751246</v>
      </c>
      <c r="M22" s="101">
        <v>16</v>
      </c>
      <c r="N22" s="102"/>
      <c r="O22" s="102"/>
      <c r="P22" s="102"/>
      <c r="Q22" s="102"/>
      <c r="R22" s="102"/>
      <c r="S22" s="102"/>
      <c r="T22" s="102"/>
      <c r="U22" s="102"/>
      <c r="V22" s="102"/>
      <c r="W22" s="102"/>
      <c r="X22" s="102"/>
      <c r="Y22" s="102"/>
      <c r="Z22" s="102"/>
      <c r="AA22" s="102"/>
      <c r="AB22" s="102"/>
      <c r="AC22" s="102"/>
      <c r="AD22" s="102"/>
      <c r="AE22" s="102"/>
      <c r="AF22" s="104"/>
      <c r="AG22" s="22" t="s">
        <v>73</v>
      </c>
    </row>
    <row r="23" spans="1:33" ht="20" customHeight="1" x14ac:dyDescent="0.2">
      <c r="A23" s="128"/>
      <c r="B23" s="129"/>
      <c r="C23" s="75"/>
      <c r="D23" s="75"/>
      <c r="E23" s="76" t="s">
        <v>89</v>
      </c>
      <c r="F23" s="76" t="s">
        <v>90</v>
      </c>
      <c r="G23" s="75">
        <v>2013</v>
      </c>
      <c r="H23" s="81">
        <v>12</v>
      </c>
      <c r="I23" s="84" t="s">
        <v>91</v>
      </c>
      <c r="J23" s="64"/>
      <c r="K23" s="65">
        <v>304</v>
      </c>
      <c r="L23" s="124" t="str">
        <f t="shared" si="0"/>
        <v/>
      </c>
      <c r="M23" s="101">
        <v>14</v>
      </c>
      <c r="N23" s="102"/>
      <c r="O23" s="102"/>
      <c r="P23" s="102"/>
      <c r="Q23" s="102"/>
      <c r="R23" s="102"/>
      <c r="S23" s="102"/>
      <c r="T23" s="102"/>
      <c r="U23" s="102"/>
      <c r="V23" s="102"/>
      <c r="W23" s="102"/>
      <c r="X23" s="102"/>
      <c r="Y23" s="102"/>
      <c r="Z23" s="102"/>
      <c r="AA23" s="102"/>
      <c r="AB23" s="102"/>
      <c r="AC23" s="102"/>
      <c r="AD23" s="102"/>
      <c r="AE23" s="102"/>
      <c r="AF23" s="104"/>
    </row>
    <row r="24" spans="1:33" ht="20" customHeight="1" x14ac:dyDescent="0.2">
      <c r="A24" s="128"/>
      <c r="B24" s="132"/>
      <c r="C24" s="75"/>
      <c r="D24" s="75"/>
      <c r="E24" s="76" t="s">
        <v>92</v>
      </c>
      <c r="F24" s="76" t="s">
        <v>93</v>
      </c>
      <c r="G24" s="75">
        <v>2010</v>
      </c>
      <c r="H24" s="81">
        <v>28</v>
      </c>
      <c r="I24" s="84"/>
      <c r="J24" s="64"/>
      <c r="K24" s="65">
        <v>597</v>
      </c>
      <c r="L24" s="124" t="str">
        <f t="shared" si="0"/>
        <v/>
      </c>
      <c r="M24" s="101">
        <v>14</v>
      </c>
      <c r="N24" s="102">
        <v>12</v>
      </c>
      <c r="O24" s="102"/>
      <c r="P24" s="23"/>
      <c r="Q24" s="23"/>
      <c r="R24" s="102"/>
      <c r="S24" s="102"/>
      <c r="T24" s="102"/>
      <c r="U24" s="102"/>
      <c r="V24" s="102"/>
      <c r="W24" s="102"/>
      <c r="X24" s="102"/>
      <c r="Y24" s="102"/>
      <c r="Z24" s="102"/>
      <c r="AA24" s="102"/>
      <c r="AB24" s="102"/>
      <c r="AC24" s="102"/>
      <c r="AD24" s="102"/>
      <c r="AE24" s="102"/>
      <c r="AF24" s="104"/>
      <c r="AG24" s="19" t="s">
        <v>264</v>
      </c>
    </row>
    <row r="25" spans="1:33" ht="20" customHeight="1" x14ac:dyDescent="0.2">
      <c r="A25" s="128"/>
      <c r="B25" s="132"/>
      <c r="C25" s="75"/>
      <c r="D25" s="75"/>
      <c r="E25" s="76" t="s">
        <v>94</v>
      </c>
      <c r="F25" s="76" t="s">
        <v>95</v>
      </c>
      <c r="G25" s="75">
        <v>2012</v>
      </c>
      <c r="H25" s="81">
        <v>22</v>
      </c>
      <c r="I25" s="84" t="s">
        <v>96</v>
      </c>
      <c r="J25" s="64"/>
      <c r="K25" s="65">
        <v>19</v>
      </c>
      <c r="L25" s="124" t="str">
        <f t="shared" si="0"/>
        <v/>
      </c>
      <c r="M25" s="23"/>
      <c r="N25" s="102"/>
      <c r="O25" s="23"/>
      <c r="P25" s="102"/>
      <c r="Q25" s="102"/>
      <c r="R25" s="102"/>
      <c r="S25" s="102"/>
      <c r="T25" s="102"/>
      <c r="U25" s="102"/>
      <c r="V25" s="102"/>
      <c r="W25" s="23"/>
      <c r="X25" s="102"/>
      <c r="Y25" s="102"/>
      <c r="Z25" s="102"/>
      <c r="AA25" s="23"/>
      <c r="AB25" s="102"/>
      <c r="AC25" s="23"/>
      <c r="AD25" s="102"/>
      <c r="AE25" s="57"/>
      <c r="AF25" s="57"/>
      <c r="AG25" s="19" t="s">
        <v>265</v>
      </c>
    </row>
    <row r="26" spans="1:33" ht="20" customHeight="1" x14ac:dyDescent="0.2">
      <c r="A26" s="128"/>
      <c r="B26" s="132"/>
      <c r="C26" s="75"/>
      <c r="D26" s="75"/>
      <c r="E26" s="77" t="s">
        <v>97</v>
      </c>
      <c r="F26" s="77" t="s">
        <v>95</v>
      </c>
      <c r="G26" s="78">
        <v>2013</v>
      </c>
      <c r="H26" s="82">
        <v>12</v>
      </c>
      <c r="I26" s="85"/>
      <c r="J26" s="66"/>
      <c r="K26" s="67">
        <v>19</v>
      </c>
      <c r="L26" s="124" t="str">
        <f t="shared" si="0"/>
        <v/>
      </c>
      <c r="M26" s="23"/>
      <c r="N26" s="102"/>
      <c r="O26" s="23"/>
      <c r="P26" s="102"/>
      <c r="Q26" s="102"/>
      <c r="R26" s="102"/>
      <c r="S26" s="102"/>
      <c r="T26" s="102"/>
      <c r="U26" s="102"/>
      <c r="V26" s="102"/>
      <c r="W26" s="23"/>
      <c r="X26" s="102"/>
      <c r="Y26" s="102"/>
      <c r="Z26" s="102"/>
      <c r="AA26" s="23"/>
      <c r="AB26" s="102"/>
      <c r="AC26" s="23"/>
      <c r="AD26" s="102"/>
      <c r="AE26" s="57"/>
      <c r="AF26" s="57"/>
      <c r="AG26" s="19" t="s">
        <v>174</v>
      </c>
    </row>
    <row r="27" spans="1:33" ht="20" customHeight="1" x14ac:dyDescent="0.2">
      <c r="A27" s="128"/>
      <c r="B27" s="132"/>
      <c r="C27" s="75"/>
      <c r="D27" s="75"/>
      <c r="E27" s="76" t="s">
        <v>98</v>
      </c>
      <c r="F27" s="76" t="s">
        <v>99</v>
      </c>
      <c r="G27" s="75">
        <v>2007</v>
      </c>
      <c r="H27" s="81">
        <v>41</v>
      </c>
      <c r="I27" s="84"/>
      <c r="J27" s="64"/>
      <c r="K27" s="65">
        <v>71</v>
      </c>
      <c r="L27" s="124" t="str">
        <f t="shared" si="0"/>
        <v/>
      </c>
      <c r="M27" s="101"/>
      <c r="N27" s="102"/>
      <c r="O27" s="102"/>
      <c r="P27" s="102"/>
      <c r="Q27" s="102"/>
      <c r="R27" s="102"/>
      <c r="S27" s="102"/>
      <c r="T27" s="102"/>
      <c r="U27" s="102"/>
      <c r="V27" s="102"/>
      <c r="W27" s="102"/>
      <c r="X27" s="102"/>
      <c r="Y27" s="102"/>
      <c r="Z27" s="102"/>
      <c r="AA27" s="102"/>
      <c r="AB27" s="102"/>
      <c r="AC27" s="102"/>
      <c r="AD27" s="102"/>
      <c r="AE27" s="102"/>
      <c r="AF27" s="104"/>
      <c r="AG27" s="19" t="s">
        <v>100</v>
      </c>
    </row>
    <row r="28" spans="1:33" ht="20" customHeight="1" x14ac:dyDescent="0.2">
      <c r="A28" s="128"/>
      <c r="B28" s="133"/>
      <c r="C28" s="75"/>
      <c r="D28" s="75"/>
      <c r="E28" s="77" t="s">
        <v>101</v>
      </c>
      <c r="F28" s="77" t="s">
        <v>102</v>
      </c>
      <c r="G28" s="78">
        <v>2007</v>
      </c>
      <c r="H28" s="82">
        <v>140</v>
      </c>
      <c r="I28" s="84"/>
      <c r="J28" s="64"/>
      <c r="K28" s="67">
        <v>71</v>
      </c>
      <c r="L28" s="124" t="str">
        <f t="shared" si="0"/>
        <v/>
      </c>
      <c r="M28" s="101"/>
      <c r="N28" s="102"/>
      <c r="O28" s="102"/>
      <c r="P28" s="102"/>
      <c r="Q28" s="102"/>
      <c r="R28" s="102"/>
      <c r="S28" s="102"/>
      <c r="T28" s="102"/>
      <c r="U28" s="102"/>
      <c r="V28" s="102"/>
      <c r="W28" s="102"/>
      <c r="X28" s="102"/>
      <c r="Y28" s="102"/>
      <c r="Z28" s="102"/>
      <c r="AA28" s="102"/>
      <c r="AB28" s="102"/>
      <c r="AC28" s="102"/>
      <c r="AD28" s="102"/>
      <c r="AE28" s="102"/>
      <c r="AF28" s="104"/>
      <c r="AG28" s="19" t="s">
        <v>103</v>
      </c>
    </row>
    <row r="29" spans="1:33" ht="20" customHeight="1" x14ac:dyDescent="0.2">
      <c r="A29" s="130"/>
      <c r="B29" s="131"/>
      <c r="C29" s="75"/>
      <c r="D29" s="75"/>
      <c r="E29" s="76" t="s">
        <v>104</v>
      </c>
      <c r="F29" s="76" t="s">
        <v>105</v>
      </c>
      <c r="G29" s="75">
        <v>2015</v>
      </c>
      <c r="H29" s="81">
        <v>8</v>
      </c>
      <c r="I29" s="84" t="s">
        <v>106</v>
      </c>
      <c r="J29" s="64"/>
      <c r="K29" s="65">
        <v>255</v>
      </c>
      <c r="L29" s="124" t="str">
        <f t="shared" si="0"/>
        <v/>
      </c>
      <c r="M29" s="32"/>
      <c r="N29" s="102"/>
      <c r="O29" s="102"/>
      <c r="P29" s="102"/>
      <c r="Q29" s="102"/>
      <c r="R29" s="102"/>
      <c r="S29" s="102"/>
      <c r="T29" s="102"/>
      <c r="U29" s="102"/>
      <c r="V29" s="102"/>
      <c r="W29" s="102"/>
      <c r="X29" s="102"/>
      <c r="Y29" s="102"/>
      <c r="Z29" s="102"/>
      <c r="AA29" s="102"/>
      <c r="AB29" s="102"/>
      <c r="AC29" s="102"/>
      <c r="AD29" s="102"/>
      <c r="AE29" s="102"/>
      <c r="AF29" s="104"/>
      <c r="AG29" s="19" t="s">
        <v>107</v>
      </c>
    </row>
    <row r="30" spans="1:33" ht="20" customHeight="1" x14ac:dyDescent="0.2">
      <c r="A30" s="128"/>
      <c r="B30" s="132"/>
      <c r="C30" s="75"/>
      <c r="D30" s="75"/>
      <c r="E30" s="76" t="s">
        <v>108</v>
      </c>
      <c r="F30" s="76" t="s">
        <v>109</v>
      </c>
      <c r="G30" s="75">
        <v>1993</v>
      </c>
      <c r="H30" s="81">
        <v>56</v>
      </c>
      <c r="I30" s="84"/>
      <c r="J30" s="64">
        <v>43</v>
      </c>
      <c r="K30" s="65">
        <v>148</v>
      </c>
      <c r="L30" s="124">
        <f t="shared" si="0"/>
        <v>29.054054054054053</v>
      </c>
      <c r="M30" s="101">
        <v>8</v>
      </c>
      <c r="N30" s="102"/>
      <c r="O30" s="102"/>
      <c r="P30" s="102"/>
      <c r="Q30" s="102"/>
      <c r="R30" s="102">
        <v>1</v>
      </c>
      <c r="S30" s="102">
        <v>15</v>
      </c>
      <c r="T30" s="102">
        <v>6</v>
      </c>
      <c r="U30" s="102">
        <v>4</v>
      </c>
      <c r="V30" s="102">
        <v>5</v>
      </c>
      <c r="W30" s="102"/>
      <c r="X30" s="102"/>
      <c r="Y30" s="102">
        <v>1</v>
      </c>
      <c r="Z30" s="102">
        <v>2</v>
      </c>
      <c r="AA30" s="102"/>
      <c r="AB30" s="102"/>
      <c r="AC30" s="102"/>
      <c r="AD30" s="102"/>
      <c r="AE30" s="102">
        <v>4</v>
      </c>
      <c r="AF30" s="104">
        <v>11</v>
      </c>
      <c r="AG30" s="19" t="s">
        <v>217</v>
      </c>
    </row>
    <row r="31" spans="1:33" ht="20" customHeight="1" x14ac:dyDescent="0.2">
      <c r="A31" s="128"/>
      <c r="B31" s="129"/>
      <c r="C31" s="75"/>
      <c r="D31" s="75"/>
      <c r="E31" s="76" t="s">
        <v>110</v>
      </c>
      <c r="F31" s="76" t="s">
        <v>111</v>
      </c>
      <c r="G31" s="75">
        <v>2009</v>
      </c>
      <c r="H31" s="81"/>
      <c r="I31" s="84" t="s">
        <v>112</v>
      </c>
      <c r="J31" s="64">
        <v>33</v>
      </c>
      <c r="K31" s="65">
        <v>170</v>
      </c>
      <c r="L31" s="124">
        <f t="shared" si="0"/>
        <v>19.411764705882355</v>
      </c>
      <c r="M31" s="101">
        <v>33</v>
      </c>
      <c r="N31" s="102"/>
      <c r="O31" s="102"/>
      <c r="P31" s="102"/>
      <c r="Q31" s="102"/>
      <c r="R31" s="102"/>
      <c r="S31" s="102"/>
      <c r="T31" s="102"/>
      <c r="U31" s="102"/>
      <c r="V31" s="102"/>
      <c r="W31" s="102"/>
      <c r="X31" s="102"/>
      <c r="Y31" s="102"/>
      <c r="Z31" s="102"/>
      <c r="AA31" s="102"/>
      <c r="AB31" s="102"/>
      <c r="AC31" s="102"/>
      <c r="AD31" s="102"/>
      <c r="AE31" s="102"/>
      <c r="AF31" s="104"/>
      <c r="AG31" s="19" t="s">
        <v>270</v>
      </c>
    </row>
    <row r="32" spans="1:33" ht="20" customHeight="1" x14ac:dyDescent="0.2">
      <c r="A32" s="128"/>
      <c r="B32" s="76"/>
      <c r="C32" s="75"/>
      <c r="D32" s="75"/>
      <c r="E32" s="76" t="s">
        <v>210</v>
      </c>
      <c r="F32" s="76" t="s">
        <v>211</v>
      </c>
      <c r="G32" s="75">
        <v>2013</v>
      </c>
      <c r="H32" s="81">
        <v>8</v>
      </c>
      <c r="I32" s="84"/>
      <c r="J32" s="64">
        <v>14</v>
      </c>
      <c r="K32" s="65">
        <v>98</v>
      </c>
      <c r="L32" s="124">
        <f t="shared" si="0"/>
        <v>14.285714285714285</v>
      </c>
      <c r="M32" s="101">
        <v>14</v>
      </c>
      <c r="N32" s="102"/>
      <c r="O32" s="102"/>
      <c r="P32" s="102"/>
      <c r="Q32" s="102"/>
      <c r="R32" s="102"/>
      <c r="S32" s="102"/>
      <c r="T32" s="102"/>
      <c r="U32" s="102"/>
      <c r="V32" s="102"/>
      <c r="W32" s="102"/>
      <c r="X32" s="102"/>
      <c r="Y32" s="102"/>
      <c r="Z32" s="102"/>
      <c r="AA32" s="102"/>
      <c r="AB32" s="102"/>
      <c r="AC32" s="102"/>
      <c r="AD32" s="102"/>
      <c r="AE32" s="102"/>
      <c r="AF32" s="104"/>
    </row>
    <row r="33" spans="1:33" ht="20" customHeight="1" x14ac:dyDescent="0.2">
      <c r="A33" s="128"/>
      <c r="B33" s="131"/>
      <c r="C33" s="75"/>
      <c r="D33" s="75"/>
      <c r="E33" s="76" t="s">
        <v>113</v>
      </c>
      <c r="F33" s="76" t="s">
        <v>114</v>
      </c>
      <c r="G33" s="75">
        <v>2008</v>
      </c>
      <c r="H33" s="81">
        <v>21</v>
      </c>
      <c r="I33" s="84" t="s">
        <v>115</v>
      </c>
      <c r="J33" s="64">
        <v>3</v>
      </c>
      <c r="K33" s="65">
        <v>111</v>
      </c>
      <c r="L33" s="124">
        <f t="shared" si="0"/>
        <v>2.7027027027027026</v>
      </c>
      <c r="M33" s="101">
        <v>3</v>
      </c>
      <c r="N33" s="102"/>
      <c r="O33" s="102"/>
      <c r="P33" s="102"/>
      <c r="Q33" s="102"/>
      <c r="R33" s="102"/>
      <c r="S33" s="102"/>
      <c r="T33" s="102"/>
      <c r="U33" s="102"/>
      <c r="V33" s="102"/>
      <c r="W33" s="102"/>
      <c r="X33" s="102"/>
      <c r="Y33" s="102"/>
      <c r="Z33" s="102"/>
      <c r="AA33" s="102"/>
      <c r="AB33" s="102"/>
      <c r="AC33" s="102"/>
      <c r="AD33" s="102"/>
      <c r="AE33" s="102"/>
      <c r="AF33" s="104"/>
    </row>
    <row r="34" spans="1:33" ht="20" customHeight="1" x14ac:dyDescent="0.2">
      <c r="A34" s="128"/>
      <c r="B34" s="133"/>
      <c r="C34" s="75"/>
      <c r="D34" s="75"/>
      <c r="E34" s="76" t="s">
        <v>116</v>
      </c>
      <c r="F34" s="76" t="s">
        <v>117</v>
      </c>
      <c r="G34" s="75">
        <v>2005</v>
      </c>
      <c r="H34" s="81">
        <v>23</v>
      </c>
      <c r="I34" s="84"/>
      <c r="J34" s="64">
        <v>21</v>
      </c>
      <c r="K34" s="65">
        <v>174</v>
      </c>
      <c r="L34" s="124">
        <f t="shared" si="0"/>
        <v>12.068965517241379</v>
      </c>
      <c r="M34" s="32"/>
      <c r="N34" s="102"/>
      <c r="O34" s="23"/>
      <c r="P34" s="23"/>
      <c r="Q34" s="102"/>
      <c r="R34" s="102"/>
      <c r="S34" s="23"/>
      <c r="T34" s="23"/>
      <c r="U34" s="102"/>
      <c r="V34" s="102"/>
      <c r="W34" s="102"/>
      <c r="X34" s="23"/>
      <c r="Y34" s="102"/>
      <c r="Z34" s="102"/>
      <c r="AA34" s="102"/>
      <c r="AB34" s="102"/>
      <c r="AC34" s="102"/>
      <c r="AD34" s="102"/>
      <c r="AE34" s="102"/>
      <c r="AF34" s="104"/>
      <c r="AG34" s="19" t="s">
        <v>118</v>
      </c>
    </row>
    <row r="35" spans="1:33" ht="20" customHeight="1" x14ac:dyDescent="0.2">
      <c r="A35" s="128"/>
      <c r="B35" s="129"/>
      <c r="C35" s="75"/>
      <c r="D35" s="75"/>
      <c r="E35" s="76" t="s">
        <v>119</v>
      </c>
      <c r="F35" s="76" t="s">
        <v>120</v>
      </c>
      <c r="G35" s="75">
        <v>2015</v>
      </c>
      <c r="H35" s="81">
        <v>7</v>
      </c>
      <c r="I35" s="84" t="s">
        <v>115</v>
      </c>
      <c r="J35" s="64">
        <v>26</v>
      </c>
      <c r="K35" s="65">
        <v>388</v>
      </c>
      <c r="L35" s="124">
        <f t="shared" si="0"/>
        <v>6.7010309278350517</v>
      </c>
      <c r="M35" s="101">
        <v>10</v>
      </c>
      <c r="N35" s="102">
        <v>16</v>
      </c>
      <c r="O35" s="102"/>
      <c r="P35" s="102"/>
      <c r="Q35" s="102"/>
      <c r="R35" s="102"/>
      <c r="S35" s="102"/>
      <c r="T35" s="102"/>
      <c r="U35" s="102"/>
      <c r="V35" s="102"/>
      <c r="W35" s="102"/>
      <c r="X35" s="102"/>
      <c r="Y35" s="102"/>
      <c r="Z35" s="102"/>
      <c r="AA35" s="102"/>
      <c r="AB35" s="102"/>
      <c r="AC35" s="102"/>
      <c r="AD35" s="102"/>
      <c r="AE35" s="102"/>
      <c r="AF35" s="104"/>
    </row>
    <row r="36" spans="1:33" ht="20" customHeight="1" x14ac:dyDescent="0.2">
      <c r="A36" s="128"/>
      <c r="B36" s="132"/>
      <c r="C36" s="75"/>
      <c r="D36" s="75"/>
      <c r="E36" s="76" t="s">
        <v>121</v>
      </c>
      <c r="F36" s="76" t="s">
        <v>122</v>
      </c>
      <c r="G36" s="75">
        <v>2011</v>
      </c>
      <c r="H36" s="81">
        <v>12</v>
      </c>
      <c r="I36" s="84" t="s">
        <v>123</v>
      </c>
      <c r="J36" s="64"/>
      <c r="K36" s="65">
        <v>11</v>
      </c>
      <c r="L36" s="124" t="str">
        <f t="shared" si="0"/>
        <v/>
      </c>
      <c r="M36" s="101"/>
      <c r="N36" s="102"/>
      <c r="O36" s="102"/>
      <c r="P36" s="102"/>
      <c r="Q36" s="102"/>
      <c r="R36" s="102"/>
      <c r="S36" s="102"/>
      <c r="T36" s="102"/>
      <c r="U36" s="102"/>
      <c r="V36" s="102"/>
      <c r="W36" s="102"/>
      <c r="X36" s="102"/>
      <c r="Y36" s="102"/>
      <c r="Z36" s="102"/>
      <c r="AA36" s="102"/>
      <c r="AB36" s="102"/>
      <c r="AC36" s="102"/>
      <c r="AD36" s="102"/>
      <c r="AE36" s="102"/>
      <c r="AF36" s="104"/>
      <c r="AG36" s="19" t="s">
        <v>124</v>
      </c>
    </row>
    <row r="37" spans="1:33" ht="20" customHeight="1" x14ac:dyDescent="0.2">
      <c r="A37" s="128"/>
      <c r="B37" s="129"/>
      <c r="C37" s="75"/>
      <c r="D37" s="75"/>
      <c r="E37" s="76" t="s">
        <v>125</v>
      </c>
      <c r="F37" s="76" t="s">
        <v>126</v>
      </c>
      <c r="G37" s="75">
        <v>2017</v>
      </c>
      <c r="H37" s="81"/>
      <c r="I37" s="84" t="s">
        <v>112</v>
      </c>
      <c r="J37" s="64">
        <v>4</v>
      </c>
      <c r="K37" s="65">
        <v>124</v>
      </c>
      <c r="L37" s="124">
        <f t="shared" si="0"/>
        <v>3.225806451612903</v>
      </c>
      <c r="M37" s="101">
        <v>4</v>
      </c>
      <c r="N37" s="102"/>
      <c r="O37" s="102"/>
      <c r="P37" s="102"/>
      <c r="Q37" s="102"/>
      <c r="R37" s="102"/>
      <c r="S37" s="102"/>
      <c r="T37" s="102"/>
      <c r="U37" s="102"/>
      <c r="V37" s="102"/>
      <c r="W37" s="102"/>
      <c r="X37" s="102"/>
      <c r="Y37" s="102"/>
      <c r="Z37" s="102"/>
      <c r="AA37" s="102"/>
      <c r="AB37" s="102"/>
      <c r="AC37" s="102"/>
      <c r="AD37" s="102"/>
      <c r="AE37" s="102"/>
      <c r="AF37" s="104"/>
    </row>
    <row r="38" spans="1:33" ht="20" customHeight="1" x14ac:dyDescent="0.2">
      <c r="A38" s="128"/>
      <c r="B38" s="133"/>
      <c r="C38" s="75"/>
      <c r="D38" s="75"/>
      <c r="E38" s="76" t="s">
        <v>127</v>
      </c>
      <c r="F38" s="76" t="s">
        <v>128</v>
      </c>
      <c r="G38" s="75">
        <v>2010</v>
      </c>
      <c r="H38" s="81">
        <v>61</v>
      </c>
      <c r="I38" s="84"/>
      <c r="J38" s="64"/>
      <c r="K38" s="65">
        <v>142</v>
      </c>
      <c r="L38" s="124" t="str">
        <f t="shared" si="0"/>
        <v/>
      </c>
      <c r="M38" s="101"/>
      <c r="N38" s="102"/>
      <c r="O38" s="102"/>
      <c r="P38" s="102"/>
      <c r="Q38" s="102"/>
      <c r="R38" s="102"/>
      <c r="S38" s="102">
        <v>19</v>
      </c>
      <c r="T38" s="102">
        <v>19</v>
      </c>
      <c r="U38" s="102">
        <v>16</v>
      </c>
      <c r="V38" s="102"/>
      <c r="W38" s="102"/>
      <c r="X38" s="102"/>
      <c r="Y38" s="102"/>
      <c r="Z38" s="102"/>
      <c r="AA38" s="102"/>
      <c r="AB38" s="102"/>
      <c r="AC38" s="102"/>
      <c r="AD38" s="102"/>
      <c r="AE38" s="102"/>
      <c r="AF38" s="104"/>
      <c r="AG38" s="19" t="s">
        <v>182</v>
      </c>
    </row>
    <row r="39" spans="1:33" ht="20" customHeight="1" x14ac:dyDescent="0.2">
      <c r="A39" s="130"/>
      <c r="B39" s="131"/>
      <c r="C39" s="75"/>
      <c r="D39" s="75"/>
      <c r="E39" s="76" t="s">
        <v>165</v>
      </c>
      <c r="F39" s="76" t="s">
        <v>129</v>
      </c>
      <c r="G39" s="75">
        <v>2008</v>
      </c>
      <c r="H39" s="81">
        <v>78</v>
      </c>
      <c r="I39" s="84"/>
      <c r="J39" s="64"/>
      <c r="K39" s="65">
        <v>143</v>
      </c>
      <c r="L39" s="124" t="str">
        <f t="shared" si="0"/>
        <v/>
      </c>
      <c r="M39" s="101"/>
      <c r="N39" s="102"/>
      <c r="O39" s="102"/>
      <c r="P39" s="102"/>
      <c r="Q39" s="102"/>
      <c r="R39" s="102"/>
      <c r="S39" s="102"/>
      <c r="T39" s="102"/>
      <c r="U39" s="102"/>
      <c r="V39" s="102"/>
      <c r="W39" s="102"/>
      <c r="X39" s="102"/>
      <c r="Y39" s="102"/>
      <c r="Z39" s="102"/>
      <c r="AA39" s="102"/>
      <c r="AB39" s="102"/>
      <c r="AC39" s="102"/>
      <c r="AD39" s="102"/>
      <c r="AE39" s="102"/>
      <c r="AF39" s="104"/>
      <c r="AG39" s="22" t="s">
        <v>184</v>
      </c>
    </row>
    <row r="40" spans="1:33" ht="20" customHeight="1" x14ac:dyDescent="0.2">
      <c r="A40" s="130"/>
      <c r="B40" s="131"/>
      <c r="C40" s="75"/>
      <c r="D40" s="75"/>
      <c r="E40" s="76" t="s">
        <v>130</v>
      </c>
      <c r="F40" s="76" t="s">
        <v>131</v>
      </c>
      <c r="G40" s="75">
        <v>2017</v>
      </c>
      <c r="H40" s="81"/>
      <c r="I40" s="84"/>
      <c r="J40" s="64">
        <v>32</v>
      </c>
      <c r="K40" s="65">
        <v>150</v>
      </c>
      <c r="L40" s="124">
        <f t="shared" si="0"/>
        <v>21.333333333333336</v>
      </c>
      <c r="M40" s="101"/>
      <c r="N40" s="102"/>
      <c r="O40" s="102"/>
      <c r="P40" s="102"/>
      <c r="Q40" s="102"/>
      <c r="R40" s="102"/>
      <c r="S40" s="102"/>
      <c r="T40" s="102"/>
      <c r="U40" s="102"/>
      <c r="V40" s="102"/>
      <c r="W40" s="23"/>
      <c r="X40" s="102"/>
      <c r="Y40" s="102"/>
      <c r="Z40" s="102"/>
      <c r="AA40" s="102"/>
      <c r="AB40" s="102"/>
      <c r="AC40" s="102"/>
      <c r="AD40" s="102"/>
      <c r="AE40" s="102"/>
      <c r="AF40" s="104"/>
      <c r="AG40" s="22" t="s">
        <v>73</v>
      </c>
    </row>
    <row r="41" spans="1:33" ht="20" customHeight="1" x14ac:dyDescent="0.2">
      <c r="A41" s="128"/>
      <c r="B41" s="132"/>
      <c r="C41" s="75"/>
      <c r="D41" s="75"/>
      <c r="E41" s="76" t="s">
        <v>185</v>
      </c>
      <c r="F41" s="76" t="s">
        <v>186</v>
      </c>
      <c r="G41" s="75">
        <v>2006</v>
      </c>
      <c r="H41" s="81">
        <v>65</v>
      </c>
      <c r="I41" s="84"/>
      <c r="J41" s="64">
        <v>6</v>
      </c>
      <c r="K41" s="65">
        <v>9</v>
      </c>
      <c r="L41" s="124">
        <f t="shared" si="0"/>
        <v>66.666666666666657</v>
      </c>
      <c r="M41" s="101">
        <v>2</v>
      </c>
      <c r="N41" s="102"/>
      <c r="O41" s="102">
        <v>1</v>
      </c>
      <c r="P41" s="102"/>
      <c r="Q41" s="102"/>
      <c r="R41" s="102"/>
      <c r="S41" s="102">
        <v>1</v>
      </c>
      <c r="T41" s="102"/>
      <c r="U41" s="102"/>
      <c r="V41" s="102"/>
      <c r="W41" s="102">
        <v>4</v>
      </c>
      <c r="X41" s="102"/>
      <c r="Y41" s="102"/>
      <c r="Z41" s="102">
        <v>1</v>
      </c>
      <c r="AA41" s="102"/>
      <c r="AB41" s="102"/>
      <c r="AC41" s="102">
        <v>1</v>
      </c>
      <c r="AD41" s="102"/>
      <c r="AE41" s="102"/>
      <c r="AF41" s="104">
        <v>13</v>
      </c>
      <c r="AG41" s="19" t="s">
        <v>220</v>
      </c>
    </row>
    <row r="42" spans="1:33" ht="20" customHeight="1" x14ac:dyDescent="0.2">
      <c r="A42" s="128"/>
      <c r="B42" s="132"/>
      <c r="C42" s="75"/>
      <c r="D42" s="75"/>
      <c r="E42" s="76" t="s">
        <v>132</v>
      </c>
      <c r="F42" s="76" t="s">
        <v>133</v>
      </c>
      <c r="G42" s="75">
        <v>2009</v>
      </c>
      <c r="H42" s="81">
        <v>31</v>
      </c>
      <c r="I42" s="84"/>
      <c r="J42" s="64">
        <v>196</v>
      </c>
      <c r="K42" s="65">
        <v>225</v>
      </c>
      <c r="L42" s="124">
        <f t="shared" si="0"/>
        <v>87.1111111111111</v>
      </c>
      <c r="M42" s="101">
        <v>65</v>
      </c>
      <c r="N42" s="102"/>
      <c r="O42" s="102"/>
      <c r="P42" s="102">
        <v>59</v>
      </c>
      <c r="Q42" s="102"/>
      <c r="R42" s="102">
        <v>66</v>
      </c>
      <c r="S42" s="102">
        <v>65</v>
      </c>
      <c r="T42" s="102"/>
      <c r="U42" s="102">
        <v>103</v>
      </c>
      <c r="V42" s="102">
        <v>154</v>
      </c>
      <c r="W42" s="102"/>
      <c r="X42" s="102">
        <v>66</v>
      </c>
      <c r="Y42" s="102">
        <v>20</v>
      </c>
      <c r="Z42" s="102">
        <v>85</v>
      </c>
      <c r="AA42" s="102"/>
      <c r="AB42" s="102"/>
      <c r="AC42" s="102"/>
      <c r="AD42" s="102"/>
      <c r="AE42" s="102">
        <v>117</v>
      </c>
      <c r="AF42" s="104">
        <v>152</v>
      </c>
      <c r="AG42" s="19" t="s">
        <v>222</v>
      </c>
    </row>
    <row r="43" spans="1:33" ht="20" customHeight="1" x14ac:dyDescent="0.2">
      <c r="A43" s="128"/>
      <c r="B43" s="132"/>
      <c r="C43" s="75"/>
      <c r="D43" s="75"/>
      <c r="E43" s="76" t="s">
        <v>135</v>
      </c>
      <c r="F43" s="76" t="s">
        <v>133</v>
      </c>
      <c r="G43" s="75">
        <v>2009</v>
      </c>
      <c r="H43" s="81">
        <v>6</v>
      </c>
      <c r="I43" s="84"/>
      <c r="J43" s="64">
        <v>58</v>
      </c>
      <c r="K43" s="65">
        <v>78</v>
      </c>
      <c r="L43" s="124">
        <f t="shared" si="0"/>
        <v>74.358974358974365</v>
      </c>
      <c r="M43" s="101">
        <v>20</v>
      </c>
      <c r="N43" s="102"/>
      <c r="O43" s="102"/>
      <c r="P43" s="102">
        <v>10</v>
      </c>
      <c r="Q43" s="102"/>
      <c r="R43" s="102">
        <v>17</v>
      </c>
      <c r="S43" s="102">
        <v>34</v>
      </c>
      <c r="T43" s="102"/>
      <c r="U43" s="102">
        <v>32</v>
      </c>
      <c r="V43" s="102">
        <v>33</v>
      </c>
      <c r="W43" s="102"/>
      <c r="X43" s="102">
        <v>25</v>
      </c>
      <c r="Y43" s="102">
        <v>7</v>
      </c>
      <c r="Z43" s="102">
        <v>24</v>
      </c>
      <c r="AA43" s="102"/>
      <c r="AB43" s="102"/>
      <c r="AC43" s="102"/>
      <c r="AD43" s="102"/>
      <c r="AE43" s="102">
        <v>33</v>
      </c>
      <c r="AF43" s="104">
        <v>50</v>
      </c>
      <c r="AG43" s="19" t="s">
        <v>219</v>
      </c>
    </row>
    <row r="44" spans="1:33" ht="20" customHeight="1" x14ac:dyDescent="0.2">
      <c r="A44" s="128"/>
      <c r="B44" s="133"/>
      <c r="C44" s="75"/>
      <c r="D44" s="75"/>
      <c r="E44" s="76" t="s">
        <v>137</v>
      </c>
      <c r="F44" s="76" t="s">
        <v>138</v>
      </c>
      <c r="G44" s="75">
        <v>1997</v>
      </c>
      <c r="H44" s="81">
        <v>94</v>
      </c>
      <c r="I44" s="84"/>
      <c r="J44" s="64">
        <v>262</v>
      </c>
      <c r="K44" s="65">
        <v>562</v>
      </c>
      <c r="L44" s="124">
        <f t="shared" si="0"/>
        <v>46.619217081850536</v>
      </c>
      <c r="M44" s="32"/>
      <c r="N44" s="102"/>
      <c r="O44" s="102"/>
      <c r="P44" s="23"/>
      <c r="Q44" s="102"/>
      <c r="R44" s="102"/>
      <c r="S44" s="102"/>
      <c r="T44" s="102"/>
      <c r="U44" s="102"/>
      <c r="V44" s="23"/>
      <c r="W44" s="102"/>
      <c r="X44" s="102"/>
      <c r="Y44" s="102"/>
      <c r="Z44" s="102"/>
      <c r="AA44" s="102"/>
      <c r="AB44" s="102"/>
      <c r="AC44" s="102"/>
      <c r="AD44" s="102"/>
      <c r="AE44" s="102"/>
      <c r="AF44" s="104"/>
    </row>
    <row r="45" spans="1:33" ht="20" customHeight="1" x14ac:dyDescent="0.2">
      <c r="A45" s="130"/>
      <c r="B45" s="131"/>
      <c r="C45" s="75"/>
      <c r="D45" s="75"/>
      <c r="E45" s="350" t="s">
        <v>277</v>
      </c>
      <c r="F45" s="139" t="s">
        <v>278</v>
      </c>
      <c r="G45" s="138">
        <v>1991</v>
      </c>
      <c r="H45" s="140"/>
      <c r="I45" s="141"/>
      <c r="J45" s="142"/>
      <c r="K45" s="143">
        <v>3</v>
      </c>
      <c r="L45" s="144"/>
      <c r="M45" s="101"/>
      <c r="N45" s="102"/>
      <c r="O45" s="102"/>
      <c r="P45" s="102"/>
      <c r="Q45" s="102"/>
      <c r="R45" s="102"/>
      <c r="S45" s="102"/>
      <c r="T45" s="102"/>
      <c r="U45" s="102"/>
      <c r="V45" s="102"/>
      <c r="W45" s="102"/>
      <c r="X45" s="102"/>
      <c r="Y45" s="102"/>
      <c r="Z45" s="102"/>
      <c r="AA45" s="102"/>
      <c r="AB45" s="102"/>
      <c r="AC45" s="102"/>
      <c r="AD45" s="102"/>
      <c r="AE45" s="102"/>
      <c r="AF45" s="104"/>
    </row>
    <row r="46" spans="1:33" ht="20" customHeight="1" x14ac:dyDescent="0.2">
      <c r="A46" s="128"/>
      <c r="B46" s="132"/>
      <c r="C46" s="75"/>
      <c r="D46" s="75"/>
      <c r="E46" s="76" t="s">
        <v>139</v>
      </c>
      <c r="F46" s="76" t="s">
        <v>140</v>
      </c>
      <c r="G46" s="75">
        <v>2009</v>
      </c>
      <c r="H46" s="81">
        <v>38</v>
      </c>
      <c r="I46" s="84"/>
      <c r="J46" s="64">
        <v>39</v>
      </c>
      <c r="K46" s="65">
        <v>100</v>
      </c>
      <c r="L46" s="124">
        <f t="shared" si="0"/>
        <v>39</v>
      </c>
      <c r="M46" s="101">
        <v>2</v>
      </c>
      <c r="N46" s="102"/>
      <c r="O46" s="102">
        <v>9</v>
      </c>
      <c r="P46" s="102">
        <v>3</v>
      </c>
      <c r="Q46" s="102"/>
      <c r="R46" s="102"/>
      <c r="S46" s="102"/>
      <c r="T46" s="102"/>
      <c r="U46" s="102"/>
      <c r="V46" s="102"/>
      <c r="W46" s="102">
        <v>7</v>
      </c>
      <c r="X46" s="102">
        <v>7</v>
      </c>
      <c r="Y46" s="102">
        <v>13</v>
      </c>
      <c r="Z46" s="102">
        <v>4</v>
      </c>
      <c r="AA46" s="102"/>
      <c r="AB46" s="102"/>
      <c r="AC46" s="102"/>
      <c r="AD46" s="102"/>
      <c r="AE46" s="102">
        <v>11</v>
      </c>
      <c r="AF46" s="104">
        <v>19</v>
      </c>
      <c r="AG46" s="19" t="s">
        <v>188</v>
      </c>
    </row>
    <row r="47" spans="1:33" ht="20" customHeight="1" x14ac:dyDescent="0.2">
      <c r="A47" s="128"/>
      <c r="B47" s="132"/>
      <c r="C47" s="75"/>
      <c r="D47" s="75"/>
      <c r="E47" s="76" t="s">
        <v>141</v>
      </c>
      <c r="F47" s="76" t="s">
        <v>142</v>
      </c>
      <c r="G47" s="75">
        <v>2006</v>
      </c>
      <c r="H47" s="81">
        <v>56</v>
      </c>
      <c r="I47" s="84"/>
      <c r="J47" s="64">
        <v>35</v>
      </c>
      <c r="K47" s="65">
        <v>500</v>
      </c>
      <c r="L47" s="124">
        <f t="shared" si="0"/>
        <v>7.0000000000000009</v>
      </c>
      <c r="M47" s="101">
        <v>6</v>
      </c>
      <c r="N47" s="102"/>
      <c r="O47" s="102"/>
      <c r="P47" s="102">
        <v>2</v>
      </c>
      <c r="Q47" s="102"/>
      <c r="R47" s="102"/>
      <c r="S47" s="102">
        <v>1</v>
      </c>
      <c r="T47" s="102"/>
      <c r="U47" s="102">
        <v>1</v>
      </c>
      <c r="V47" s="102"/>
      <c r="W47" s="102">
        <v>2</v>
      </c>
      <c r="X47" s="102">
        <v>1</v>
      </c>
      <c r="Y47" s="102"/>
      <c r="Z47" s="102"/>
      <c r="AA47" s="102"/>
      <c r="AB47" s="102">
        <v>10</v>
      </c>
      <c r="AC47" s="102">
        <v>2</v>
      </c>
      <c r="AD47" s="102"/>
      <c r="AE47" s="102"/>
      <c r="AF47" s="104">
        <v>9</v>
      </c>
      <c r="AG47" s="19" t="s">
        <v>280</v>
      </c>
    </row>
    <row r="48" spans="1:33" ht="20" customHeight="1" x14ac:dyDescent="0.2">
      <c r="A48" s="130"/>
      <c r="B48" s="129"/>
      <c r="C48" s="75"/>
      <c r="D48" s="75"/>
      <c r="E48" s="76" t="s">
        <v>143</v>
      </c>
      <c r="F48" s="76" t="s">
        <v>144</v>
      </c>
      <c r="G48" s="75">
        <v>2016</v>
      </c>
      <c r="H48" s="81">
        <v>2</v>
      </c>
      <c r="I48" s="84"/>
      <c r="J48" s="64">
        <v>3</v>
      </c>
      <c r="K48" s="65">
        <v>177</v>
      </c>
      <c r="L48" s="124">
        <f t="shared" si="0"/>
        <v>1.6949152542372881</v>
      </c>
      <c r="M48" s="101">
        <v>3</v>
      </c>
      <c r="N48" s="102"/>
      <c r="O48" s="102"/>
      <c r="P48" s="102"/>
      <c r="Q48" s="102"/>
      <c r="R48" s="102"/>
      <c r="S48" s="102"/>
      <c r="T48" s="102"/>
      <c r="U48" s="102"/>
      <c r="V48" s="102"/>
      <c r="W48" s="102"/>
      <c r="X48" s="102"/>
      <c r="Y48" s="102"/>
      <c r="Z48" s="102"/>
      <c r="AA48" s="102"/>
      <c r="AB48" s="102"/>
      <c r="AC48" s="102"/>
      <c r="AD48" s="102"/>
      <c r="AE48" s="102"/>
      <c r="AF48" s="104"/>
    </row>
    <row r="49" spans="1:33" ht="20" customHeight="1" x14ac:dyDescent="0.2">
      <c r="A49" s="128"/>
      <c r="B49" s="133"/>
      <c r="C49" s="75"/>
      <c r="D49" s="75"/>
      <c r="E49" s="76" t="s">
        <v>145</v>
      </c>
      <c r="F49" s="76" t="s">
        <v>146</v>
      </c>
      <c r="G49" s="75">
        <v>2009</v>
      </c>
      <c r="H49" s="81"/>
      <c r="I49" s="84" t="s">
        <v>191</v>
      </c>
      <c r="J49" s="64">
        <v>21</v>
      </c>
      <c r="K49" s="65">
        <v>293</v>
      </c>
      <c r="L49" s="124">
        <f t="shared" si="0"/>
        <v>7.1672354948805461</v>
      </c>
      <c r="M49" s="101">
        <v>6</v>
      </c>
      <c r="N49" s="102"/>
      <c r="O49" s="102">
        <v>1</v>
      </c>
      <c r="P49" s="102"/>
      <c r="Q49" s="102"/>
      <c r="R49" s="102"/>
      <c r="S49" s="102">
        <v>5</v>
      </c>
      <c r="T49" s="102">
        <v>2</v>
      </c>
      <c r="U49" s="102">
        <v>2</v>
      </c>
      <c r="V49" s="102"/>
      <c r="W49" s="102"/>
      <c r="X49" s="102"/>
      <c r="Y49" s="102">
        <v>1</v>
      </c>
      <c r="Z49" s="102">
        <v>2</v>
      </c>
      <c r="AA49" s="102">
        <v>1</v>
      </c>
      <c r="AB49" s="102">
        <v>1</v>
      </c>
      <c r="AC49" s="102">
        <v>2</v>
      </c>
      <c r="AD49" s="102">
        <v>1</v>
      </c>
      <c r="AE49" s="102"/>
      <c r="AF49" s="104"/>
    </row>
    <row r="50" spans="1:33" ht="20" customHeight="1" x14ac:dyDescent="0.2">
      <c r="A50" s="128"/>
      <c r="B50" s="129"/>
      <c r="C50" s="75"/>
      <c r="D50" s="75"/>
      <c r="E50" s="76" t="s">
        <v>147</v>
      </c>
      <c r="F50" s="76" t="s">
        <v>148</v>
      </c>
      <c r="G50" s="75">
        <v>2007</v>
      </c>
      <c r="H50" s="81">
        <v>34</v>
      </c>
      <c r="I50" s="84" t="s">
        <v>112</v>
      </c>
      <c r="J50" s="64">
        <v>7</v>
      </c>
      <c r="K50" s="65">
        <v>109</v>
      </c>
      <c r="L50" s="124">
        <f t="shared" si="0"/>
        <v>6.4220183486238538</v>
      </c>
      <c r="M50" s="101">
        <v>3</v>
      </c>
      <c r="N50" s="102">
        <v>4</v>
      </c>
      <c r="O50" s="102"/>
      <c r="P50" s="102">
        <v>4</v>
      </c>
      <c r="Q50" s="102">
        <v>1</v>
      </c>
      <c r="R50" s="102"/>
      <c r="S50" s="102"/>
      <c r="T50" s="102"/>
      <c r="U50" s="102"/>
      <c r="V50" s="102"/>
      <c r="W50" s="102"/>
      <c r="X50" s="102"/>
      <c r="Y50" s="102"/>
      <c r="Z50" s="102"/>
      <c r="AA50" s="102"/>
      <c r="AB50" s="102"/>
      <c r="AC50" s="102"/>
      <c r="AD50" s="102"/>
      <c r="AE50" s="102"/>
      <c r="AF50" s="104">
        <v>8</v>
      </c>
      <c r="AG50" s="19" t="s">
        <v>194</v>
      </c>
    </row>
    <row r="51" spans="1:33" ht="20" customHeight="1" x14ac:dyDescent="0.2">
      <c r="A51" s="128"/>
      <c r="B51" s="129"/>
      <c r="C51" s="75"/>
      <c r="D51" s="75"/>
      <c r="E51" s="76" t="s">
        <v>149</v>
      </c>
      <c r="F51" s="76" t="s">
        <v>150</v>
      </c>
      <c r="G51" s="75">
        <v>2010</v>
      </c>
      <c r="H51" s="81">
        <v>50</v>
      </c>
      <c r="I51" s="84"/>
      <c r="J51" s="64">
        <v>2</v>
      </c>
      <c r="K51" s="65">
        <v>56</v>
      </c>
      <c r="L51" s="124">
        <f t="shared" si="0"/>
        <v>3.5714285714285712</v>
      </c>
      <c r="M51" s="101">
        <v>2</v>
      </c>
      <c r="N51" s="102"/>
      <c r="O51" s="102"/>
      <c r="P51" s="102"/>
      <c r="Q51" s="102"/>
      <c r="R51" s="102"/>
      <c r="S51" s="102"/>
      <c r="T51" s="102"/>
      <c r="U51" s="102"/>
      <c r="V51" s="102"/>
      <c r="W51" s="102"/>
      <c r="X51" s="102"/>
      <c r="Y51" s="102"/>
      <c r="Z51" s="102"/>
      <c r="AA51" s="102"/>
      <c r="AB51" s="102"/>
      <c r="AC51" s="102"/>
      <c r="AD51" s="102"/>
      <c r="AE51" s="102"/>
      <c r="AF51" s="104"/>
    </row>
    <row r="52" spans="1:33" ht="20" customHeight="1" x14ac:dyDescent="0.2">
      <c r="A52" s="130"/>
      <c r="B52" s="131"/>
      <c r="C52" s="75"/>
      <c r="D52" s="75"/>
      <c r="E52" s="76" t="s">
        <v>151</v>
      </c>
      <c r="F52" s="76" t="s">
        <v>152</v>
      </c>
      <c r="G52" s="75">
        <v>2011</v>
      </c>
      <c r="H52" s="81">
        <v>33</v>
      </c>
      <c r="I52" s="84" t="s">
        <v>195</v>
      </c>
      <c r="J52" s="64">
        <v>39</v>
      </c>
      <c r="K52" s="65">
        <v>130</v>
      </c>
      <c r="L52" s="124">
        <f t="shared" si="0"/>
        <v>30</v>
      </c>
      <c r="M52" s="32"/>
      <c r="N52" s="32"/>
      <c r="O52" s="102"/>
      <c r="P52" s="102"/>
      <c r="Q52" s="102"/>
      <c r="R52" s="102"/>
      <c r="S52" s="102"/>
      <c r="T52" s="102"/>
      <c r="U52" s="102"/>
      <c r="V52" s="102"/>
      <c r="W52" s="102"/>
      <c r="X52" s="102"/>
      <c r="Y52" s="102"/>
      <c r="Z52" s="102"/>
      <c r="AA52" s="102"/>
      <c r="AB52" s="102"/>
      <c r="AC52" s="102"/>
      <c r="AD52" s="102"/>
      <c r="AE52" s="102"/>
      <c r="AF52" s="104"/>
      <c r="AG52" s="22" t="s">
        <v>196</v>
      </c>
    </row>
    <row r="53" spans="1:33" ht="20" customHeight="1" x14ac:dyDescent="0.2">
      <c r="A53" s="128"/>
      <c r="B53" s="133"/>
      <c r="C53" s="75"/>
      <c r="D53" s="75"/>
      <c r="E53" s="76" t="s">
        <v>153</v>
      </c>
      <c r="F53" s="76" t="s">
        <v>154</v>
      </c>
      <c r="G53" s="75">
        <v>2014</v>
      </c>
      <c r="H53" s="81">
        <v>9</v>
      </c>
      <c r="I53" s="84" t="s">
        <v>155</v>
      </c>
      <c r="J53" s="64">
        <v>58</v>
      </c>
      <c r="K53" s="65">
        <v>1109</v>
      </c>
      <c r="L53" s="124">
        <f t="shared" si="0"/>
        <v>5.2299368800721373</v>
      </c>
      <c r="M53" s="101">
        <v>21</v>
      </c>
      <c r="N53" s="102">
        <v>38</v>
      </c>
      <c r="O53" s="102"/>
      <c r="P53" s="102"/>
      <c r="Q53" s="102"/>
      <c r="R53" s="102"/>
      <c r="S53" s="102"/>
      <c r="T53" s="102"/>
      <c r="U53" s="102"/>
      <c r="V53" s="102"/>
      <c r="W53" s="102"/>
      <c r="X53" s="102"/>
      <c r="Y53" s="102"/>
      <c r="Z53" s="102"/>
      <c r="AA53" s="102"/>
      <c r="AB53" s="102"/>
      <c r="AC53" s="102"/>
      <c r="AD53" s="102"/>
      <c r="AE53" s="102"/>
      <c r="AF53" s="104"/>
      <c r="AG53" s="19" t="s">
        <v>156</v>
      </c>
    </row>
    <row r="54" spans="1:33" ht="20" customHeight="1" x14ac:dyDescent="0.2">
      <c r="A54" s="130"/>
      <c r="B54" s="131"/>
      <c r="C54" s="75"/>
      <c r="D54" s="75"/>
      <c r="E54" s="76" t="s">
        <v>157</v>
      </c>
      <c r="F54" s="76" t="s">
        <v>158</v>
      </c>
      <c r="G54" s="75">
        <v>2014</v>
      </c>
      <c r="H54" s="81">
        <v>4</v>
      </c>
      <c r="I54" s="84"/>
      <c r="J54" s="64">
        <v>98</v>
      </c>
      <c r="K54" s="65">
        <v>1109</v>
      </c>
      <c r="L54" s="124">
        <f t="shared" si="0"/>
        <v>8.8367899008115423</v>
      </c>
      <c r="M54" s="101">
        <v>99</v>
      </c>
      <c r="N54" s="102"/>
      <c r="O54" s="102"/>
      <c r="P54" s="102"/>
      <c r="Q54" s="102"/>
      <c r="R54" s="102"/>
      <c r="S54" s="102"/>
      <c r="T54" s="102"/>
      <c r="U54" s="102"/>
      <c r="V54" s="102"/>
      <c r="W54" s="102"/>
      <c r="X54" s="102"/>
      <c r="Y54" s="102"/>
      <c r="Z54" s="102"/>
      <c r="AA54" s="102"/>
      <c r="AB54" s="102"/>
      <c r="AC54" s="102"/>
      <c r="AD54" s="102"/>
      <c r="AE54" s="102"/>
      <c r="AF54" s="104"/>
      <c r="AG54" s="19" t="s">
        <v>159</v>
      </c>
    </row>
    <row r="55" spans="1:33" ht="20" customHeight="1" x14ac:dyDescent="0.2">
      <c r="A55" s="130"/>
      <c r="B55" s="129"/>
      <c r="C55" s="75"/>
      <c r="D55" s="75"/>
      <c r="E55" s="76" t="s">
        <v>160</v>
      </c>
      <c r="F55" s="76" t="s">
        <v>161</v>
      </c>
      <c r="G55" s="75">
        <v>2005</v>
      </c>
      <c r="H55" s="81">
        <v>36</v>
      </c>
      <c r="I55" s="84"/>
      <c r="J55" s="64">
        <v>11</v>
      </c>
      <c r="K55" s="65">
        <v>11</v>
      </c>
      <c r="L55" s="124">
        <f t="shared" si="0"/>
        <v>100</v>
      </c>
      <c r="M55" s="101">
        <v>11</v>
      </c>
      <c r="N55" s="102">
        <v>4</v>
      </c>
      <c r="O55" s="102"/>
      <c r="P55" s="102"/>
      <c r="Q55" s="102"/>
      <c r="R55" s="102"/>
      <c r="S55" s="102"/>
      <c r="T55" s="102"/>
      <c r="U55" s="102"/>
      <c r="V55" s="102"/>
      <c r="W55" s="102"/>
      <c r="X55" s="102"/>
      <c r="Y55" s="102"/>
      <c r="Z55" s="102"/>
      <c r="AA55" s="102"/>
      <c r="AB55" s="102"/>
      <c r="AC55" s="102"/>
      <c r="AD55" s="102"/>
      <c r="AE55" s="102"/>
      <c r="AF55" s="104"/>
      <c r="AG55" s="22" t="s">
        <v>73</v>
      </c>
    </row>
    <row r="56" spans="1:33" ht="20" customHeight="1" thickBot="1" x14ac:dyDescent="0.25">
      <c r="A56" s="134"/>
      <c r="B56" s="135"/>
      <c r="C56" s="79"/>
      <c r="D56" s="79"/>
      <c r="E56" s="80" t="s">
        <v>162</v>
      </c>
      <c r="F56" s="80" t="s">
        <v>163</v>
      </c>
      <c r="G56" s="79">
        <v>2014</v>
      </c>
      <c r="H56" s="83"/>
      <c r="I56" s="86"/>
      <c r="J56" s="68"/>
      <c r="K56" s="69">
        <v>3</v>
      </c>
      <c r="L56" s="125" t="str">
        <f t="shared" si="0"/>
        <v/>
      </c>
      <c r="M56" s="109"/>
      <c r="N56" s="105"/>
      <c r="O56" s="105"/>
      <c r="P56" s="105"/>
      <c r="Q56" s="105"/>
      <c r="R56" s="105"/>
      <c r="S56" s="105"/>
      <c r="T56" s="105"/>
      <c r="U56" s="105"/>
      <c r="V56" s="105"/>
      <c r="W56" s="105"/>
      <c r="X56" s="105"/>
      <c r="Y56" s="105"/>
      <c r="Z56" s="105"/>
      <c r="AA56" s="105"/>
      <c r="AB56" s="105"/>
      <c r="AC56" s="105"/>
      <c r="AD56" s="105"/>
      <c r="AE56" s="105"/>
      <c r="AF56" s="107"/>
      <c r="AG56" s="22" t="s">
        <v>73</v>
      </c>
    </row>
    <row r="57" spans="1:33" ht="19" x14ac:dyDescent="0.25">
      <c r="G57" s="19"/>
      <c r="H57" s="19"/>
      <c r="I57" s="19"/>
      <c r="J57" s="19"/>
      <c r="K57" s="334" t="s">
        <v>164</v>
      </c>
      <c r="L57" s="335"/>
      <c r="M57" s="110">
        <f>IF(SUM(M13:M56) &lt;&gt; 0, SUM(M13:M56), "")</f>
        <v>384</v>
      </c>
      <c r="N57" s="106">
        <f t="shared" ref="N57:AF57" si="1">IF(SUM(N13:N56) &lt;&gt; 0, SUM(N13:N56), "")</f>
        <v>81</v>
      </c>
      <c r="O57" s="106">
        <f t="shared" si="1"/>
        <v>24</v>
      </c>
      <c r="P57" s="106">
        <f t="shared" si="1"/>
        <v>79</v>
      </c>
      <c r="Q57" s="106">
        <f t="shared" si="1"/>
        <v>1</v>
      </c>
      <c r="R57" s="106">
        <f t="shared" si="1"/>
        <v>85</v>
      </c>
      <c r="S57" s="106">
        <f t="shared" si="1"/>
        <v>141</v>
      </c>
      <c r="T57" s="106">
        <f t="shared" si="1"/>
        <v>39</v>
      </c>
      <c r="U57" s="106">
        <f t="shared" si="1"/>
        <v>159</v>
      </c>
      <c r="V57" s="106">
        <f t="shared" si="1"/>
        <v>192</v>
      </c>
      <c r="W57" s="106">
        <f t="shared" si="1"/>
        <v>14</v>
      </c>
      <c r="X57" s="106">
        <f t="shared" si="1"/>
        <v>99</v>
      </c>
      <c r="Y57" s="106">
        <f t="shared" si="1"/>
        <v>42</v>
      </c>
      <c r="Z57" s="106">
        <f t="shared" si="1"/>
        <v>118</v>
      </c>
      <c r="AA57" s="106">
        <f t="shared" si="1"/>
        <v>1</v>
      </c>
      <c r="AB57" s="106">
        <f t="shared" si="1"/>
        <v>12</v>
      </c>
      <c r="AC57" s="106">
        <f t="shared" si="1"/>
        <v>7</v>
      </c>
      <c r="AD57" s="106">
        <f t="shared" si="1"/>
        <v>1</v>
      </c>
      <c r="AE57" s="106">
        <f t="shared" si="1"/>
        <v>165</v>
      </c>
      <c r="AF57" s="108">
        <f t="shared" si="1"/>
        <v>335</v>
      </c>
    </row>
    <row r="58" spans="1:33" ht="20" customHeight="1" x14ac:dyDescent="0.2">
      <c r="K58" s="327"/>
      <c r="L58" s="328"/>
      <c r="M58" s="333" t="s">
        <v>44</v>
      </c>
      <c r="N58" s="316" t="s">
        <v>45</v>
      </c>
      <c r="O58" s="316" t="s">
        <v>46</v>
      </c>
      <c r="P58" s="315" t="s">
        <v>47</v>
      </c>
      <c r="Q58" s="316" t="s">
        <v>48</v>
      </c>
      <c r="R58" s="316" t="s">
        <v>49</v>
      </c>
      <c r="S58" s="315" t="s">
        <v>50</v>
      </c>
      <c r="T58" s="312" t="s">
        <v>51</v>
      </c>
      <c r="U58" s="312" t="s">
        <v>52</v>
      </c>
      <c r="V58" s="315" t="s">
        <v>53</v>
      </c>
      <c r="W58" s="312" t="s">
        <v>54</v>
      </c>
      <c r="X58" s="315" t="s">
        <v>55</v>
      </c>
      <c r="Y58" s="312" t="s">
        <v>56</v>
      </c>
      <c r="Z58" s="312" t="s">
        <v>57</v>
      </c>
      <c r="AA58" s="312" t="s">
        <v>58</v>
      </c>
      <c r="AB58" s="312" t="s">
        <v>59</v>
      </c>
      <c r="AC58" s="312" t="s">
        <v>60</v>
      </c>
      <c r="AD58" s="312" t="s">
        <v>61</v>
      </c>
      <c r="AE58" s="315" t="s">
        <v>62</v>
      </c>
      <c r="AF58" s="339" t="s">
        <v>173</v>
      </c>
    </row>
    <row r="59" spans="1:33" ht="20" customHeight="1" x14ac:dyDescent="0.2">
      <c r="K59" s="329"/>
      <c r="L59" s="330"/>
      <c r="M59" s="333"/>
      <c r="N59" s="316"/>
      <c r="O59" s="316"/>
      <c r="P59" s="316"/>
      <c r="Q59" s="316"/>
      <c r="R59" s="316"/>
      <c r="S59" s="315"/>
      <c r="T59" s="313"/>
      <c r="U59" s="313"/>
      <c r="V59" s="315"/>
      <c r="W59" s="313"/>
      <c r="X59" s="316"/>
      <c r="Y59" s="313"/>
      <c r="Z59" s="313"/>
      <c r="AA59" s="313"/>
      <c r="AB59" s="313"/>
      <c r="AC59" s="313"/>
      <c r="AD59" s="313"/>
      <c r="AE59" s="316"/>
      <c r="AF59" s="340"/>
    </row>
    <row r="60" spans="1:33" ht="20" customHeight="1" x14ac:dyDescent="0.2">
      <c r="K60" s="329"/>
      <c r="L60" s="330"/>
      <c r="M60" s="333"/>
      <c r="N60" s="316"/>
      <c r="O60" s="316"/>
      <c r="P60" s="316"/>
      <c r="Q60" s="316"/>
      <c r="R60" s="316"/>
      <c r="S60" s="315"/>
      <c r="T60" s="313"/>
      <c r="U60" s="313"/>
      <c r="V60" s="315"/>
      <c r="W60" s="313"/>
      <c r="X60" s="316"/>
      <c r="Y60" s="313"/>
      <c r="Z60" s="313"/>
      <c r="AA60" s="313"/>
      <c r="AB60" s="313"/>
      <c r="AC60" s="313"/>
      <c r="AD60" s="313"/>
      <c r="AE60" s="316"/>
      <c r="AF60" s="340"/>
    </row>
    <row r="61" spans="1:33" ht="20" customHeight="1" x14ac:dyDescent="0.2">
      <c r="K61" s="329"/>
      <c r="L61" s="330"/>
      <c r="M61" s="333"/>
      <c r="N61" s="316"/>
      <c r="O61" s="316"/>
      <c r="P61" s="316"/>
      <c r="Q61" s="316"/>
      <c r="R61" s="316"/>
      <c r="S61" s="315"/>
      <c r="T61" s="313"/>
      <c r="U61" s="313"/>
      <c r="V61" s="315"/>
      <c r="W61" s="313"/>
      <c r="X61" s="316"/>
      <c r="Y61" s="313"/>
      <c r="Z61" s="313"/>
      <c r="AA61" s="313"/>
      <c r="AB61" s="313"/>
      <c r="AC61" s="313"/>
      <c r="AD61" s="313"/>
      <c r="AE61" s="316"/>
      <c r="AF61" s="340"/>
    </row>
    <row r="62" spans="1:33" ht="20" customHeight="1" x14ac:dyDescent="0.2">
      <c r="K62" s="329"/>
      <c r="L62" s="330"/>
      <c r="M62" s="333"/>
      <c r="N62" s="316"/>
      <c r="O62" s="316"/>
      <c r="P62" s="316"/>
      <c r="Q62" s="316"/>
      <c r="R62" s="316"/>
      <c r="S62" s="315"/>
      <c r="T62" s="314"/>
      <c r="U62" s="314"/>
      <c r="V62" s="315"/>
      <c r="W62" s="314"/>
      <c r="X62" s="316"/>
      <c r="Y62" s="314"/>
      <c r="Z62" s="314"/>
      <c r="AA62" s="314"/>
      <c r="AB62" s="314"/>
      <c r="AC62" s="314"/>
      <c r="AD62" s="314"/>
      <c r="AE62" s="316"/>
      <c r="AF62" s="340"/>
    </row>
    <row r="63" spans="1:33" ht="20" customHeight="1" thickBot="1" x14ac:dyDescent="0.3">
      <c r="K63" s="331"/>
      <c r="L63" s="332"/>
      <c r="M63" s="317" t="s">
        <v>235</v>
      </c>
      <c r="N63" s="318"/>
      <c r="O63" s="318"/>
      <c r="P63" s="318"/>
      <c r="Q63" s="318"/>
      <c r="R63" s="318"/>
      <c r="S63" s="318"/>
      <c r="T63" s="318"/>
      <c r="U63" s="318"/>
      <c r="V63" s="318"/>
      <c r="W63" s="318"/>
      <c r="X63" s="318"/>
      <c r="Y63" s="318"/>
      <c r="Z63" s="318"/>
      <c r="AA63" s="318"/>
      <c r="AB63" s="318"/>
      <c r="AC63" s="318"/>
      <c r="AD63" s="318"/>
      <c r="AE63" s="318"/>
      <c r="AF63" s="319"/>
    </row>
  </sheetData>
  <mergeCells count="58">
    <mergeCell ref="A8:A12"/>
    <mergeCell ref="AF8:AF12"/>
    <mergeCell ref="AF58:AF62"/>
    <mergeCell ref="V8:V12"/>
    <mergeCell ref="M6:AF6"/>
    <mergeCell ref="M7:AF7"/>
    <mergeCell ref="H8:H12"/>
    <mergeCell ref="K8:K12"/>
    <mergeCell ref="L8:L12"/>
    <mergeCell ref="M8:M12"/>
    <mergeCell ref="N8:N12"/>
    <mergeCell ref="O8:O12"/>
    <mergeCell ref="P8:P12"/>
    <mergeCell ref="Q8:Q12"/>
    <mergeCell ref="AC8:AC12"/>
    <mergeCell ref="AD8:AD12"/>
    <mergeCell ref="AE8:AE12"/>
    <mergeCell ref="Z8:Z12"/>
    <mergeCell ref="AA8:AA12"/>
    <mergeCell ref="AB8:AB12"/>
    <mergeCell ref="K57:L57"/>
    <mergeCell ref="K58:L63"/>
    <mergeCell ref="M58:M62"/>
    <mergeCell ref="N58:N62"/>
    <mergeCell ref="O58:O62"/>
    <mergeCell ref="P58:P62"/>
    <mergeCell ref="Q58:Q62"/>
    <mergeCell ref="W8:W12"/>
    <mergeCell ref="X8:X12"/>
    <mergeCell ref="Y8:Y12"/>
    <mergeCell ref="T8:T12"/>
    <mergeCell ref="U8:U12"/>
    <mergeCell ref="S8:S12"/>
    <mergeCell ref="R8:R12"/>
    <mergeCell ref="E3:E6"/>
    <mergeCell ref="AD58:AD62"/>
    <mergeCell ref="AE58:AE62"/>
    <mergeCell ref="M63:AF63"/>
    <mergeCell ref="X58:X62"/>
    <mergeCell ref="Y58:Y62"/>
    <mergeCell ref="Z58:Z62"/>
    <mergeCell ref="AA58:AA62"/>
    <mergeCell ref="AB58:AB62"/>
    <mergeCell ref="AC58:AC62"/>
    <mergeCell ref="R58:R62"/>
    <mergeCell ref="S58:S62"/>
    <mergeCell ref="T58:T62"/>
    <mergeCell ref="U58:U62"/>
    <mergeCell ref="V58:V62"/>
    <mergeCell ref="W58:W62"/>
    <mergeCell ref="B8:B12"/>
    <mergeCell ref="I8:I12"/>
    <mergeCell ref="J8:J12"/>
    <mergeCell ref="C8:C12"/>
    <mergeCell ref="E8:E12"/>
    <mergeCell ref="F8:F12"/>
    <mergeCell ref="G8:G12"/>
    <mergeCell ref="D8:D1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68"/>
  <sheetViews>
    <sheetView showRuler="0" workbookViewId="0">
      <selection activeCell="D27" sqref="D27"/>
    </sheetView>
  </sheetViews>
  <sheetFormatPr baseColWidth="10" defaultRowHeight="24" customHeight="1" x14ac:dyDescent="0.2"/>
  <cols>
    <col min="1" max="1" width="16.33203125" style="18" customWidth="1"/>
    <col min="2" max="2" width="14.6640625" customWidth="1"/>
    <col min="3" max="3" width="37.6640625" customWidth="1"/>
    <col min="4" max="4" width="66" customWidth="1"/>
    <col min="5" max="6" width="9.1640625" style="18" customWidth="1"/>
    <col min="7" max="7" width="10" customWidth="1"/>
    <col min="8" max="8" width="10" style="9" customWidth="1"/>
    <col min="9" max="10" width="9.1640625" style="18" customWidth="1"/>
    <col min="11" max="12" width="8" style="18" customWidth="1"/>
    <col min="15" max="15" width="10.83203125" style="6"/>
  </cols>
  <sheetData>
    <row r="1" spans="1:15" ht="24" customHeight="1" x14ac:dyDescent="0.3">
      <c r="A1" s="1" t="s">
        <v>0</v>
      </c>
      <c r="B1" s="2"/>
      <c r="C1" s="2"/>
      <c r="D1" s="2"/>
      <c r="E1" s="3"/>
      <c r="F1" s="3"/>
      <c r="G1" s="2"/>
      <c r="H1" s="4"/>
      <c r="I1" s="3"/>
      <c r="J1" s="3"/>
      <c r="K1" s="3"/>
      <c r="L1" s="5"/>
    </row>
    <row r="2" spans="1:15" ht="24" customHeight="1" x14ac:dyDescent="0.2">
      <c r="A2" s="7"/>
      <c r="B2" s="8"/>
      <c r="C2" s="8"/>
      <c r="D2" s="8"/>
      <c r="E2" s="7"/>
      <c r="F2" s="7"/>
      <c r="G2" s="8"/>
      <c r="I2" s="349" t="s">
        <v>1</v>
      </c>
      <c r="J2" s="349"/>
      <c r="K2" s="349" t="s">
        <v>2</v>
      </c>
      <c r="L2" s="349"/>
    </row>
    <row r="3" spans="1:15" ht="24" customHeight="1" x14ac:dyDescent="0.2">
      <c r="A3" s="10" t="s">
        <v>3</v>
      </c>
      <c r="B3" s="11" t="s">
        <v>4</v>
      </c>
      <c r="C3" s="11" t="s">
        <v>5</v>
      </c>
      <c r="D3" s="11" t="s">
        <v>6</v>
      </c>
      <c r="E3" s="10" t="s">
        <v>7</v>
      </c>
      <c r="F3" s="10" t="s">
        <v>8</v>
      </c>
      <c r="G3" s="11" t="s">
        <v>9</v>
      </c>
      <c r="H3" s="12" t="s">
        <v>10</v>
      </c>
      <c r="I3" s="10" t="s">
        <v>11</v>
      </c>
      <c r="J3" s="10" t="s">
        <v>12</v>
      </c>
      <c r="K3" s="10" t="s">
        <v>13</v>
      </c>
      <c r="L3" s="10" t="s">
        <v>14</v>
      </c>
    </row>
    <row r="4" spans="1:15" ht="24" customHeight="1" x14ac:dyDescent="0.2">
      <c r="A4" s="13">
        <v>42849</v>
      </c>
      <c r="B4" s="14" t="s">
        <v>15</v>
      </c>
      <c r="C4" s="14" t="s">
        <v>16</v>
      </c>
      <c r="D4" s="14" t="s">
        <v>251</v>
      </c>
      <c r="E4" s="15">
        <v>2010</v>
      </c>
      <c r="F4" s="15">
        <v>2017</v>
      </c>
      <c r="G4" s="14" t="s">
        <v>17</v>
      </c>
      <c r="H4" s="9">
        <v>13800</v>
      </c>
      <c r="I4" s="15">
        <v>1</v>
      </c>
      <c r="J4" s="16">
        <v>300</v>
      </c>
      <c r="K4" s="24"/>
      <c r="L4" s="25"/>
    </row>
    <row r="5" spans="1:15" ht="24" customHeight="1" x14ac:dyDescent="0.2">
      <c r="A5" s="13">
        <v>42850</v>
      </c>
      <c r="B5" s="14"/>
      <c r="C5" s="14"/>
      <c r="D5" s="14" t="s">
        <v>18</v>
      </c>
      <c r="E5" s="15">
        <v>2010</v>
      </c>
      <c r="F5" s="15">
        <v>2017</v>
      </c>
      <c r="G5" s="14" t="s">
        <v>17</v>
      </c>
      <c r="H5" s="9">
        <v>17600</v>
      </c>
      <c r="I5" s="15">
        <v>1</v>
      </c>
      <c r="J5" s="17">
        <v>100</v>
      </c>
      <c r="K5" s="24"/>
      <c r="L5" s="25"/>
      <c r="O5" s="6">
        <v>1</v>
      </c>
    </row>
    <row r="6" spans="1:15" ht="24" customHeight="1" x14ac:dyDescent="0.2">
      <c r="A6" s="13">
        <v>42852</v>
      </c>
      <c r="B6" s="14"/>
      <c r="C6" s="14"/>
      <c r="D6" s="14" t="s">
        <v>19</v>
      </c>
      <c r="E6" s="15">
        <v>2010</v>
      </c>
      <c r="F6" s="15">
        <v>2017</v>
      </c>
      <c r="G6" s="14" t="s">
        <v>17</v>
      </c>
      <c r="H6" s="9">
        <v>59</v>
      </c>
      <c r="I6" s="15">
        <v>1</v>
      </c>
      <c r="J6" s="17">
        <v>59</v>
      </c>
      <c r="K6" s="26"/>
      <c r="L6" s="25"/>
    </row>
    <row r="7" spans="1:15" ht="24" customHeight="1" x14ac:dyDescent="0.2">
      <c r="A7" s="13">
        <v>42867</v>
      </c>
      <c r="B7" s="14"/>
      <c r="C7" s="14"/>
      <c r="D7" s="14" t="s">
        <v>20</v>
      </c>
      <c r="E7" s="15">
        <v>2010</v>
      </c>
      <c r="F7" s="15">
        <v>2017</v>
      </c>
      <c r="G7" s="14" t="s">
        <v>17</v>
      </c>
      <c r="H7" s="9">
        <v>3560</v>
      </c>
      <c r="I7" s="15">
        <v>1</v>
      </c>
      <c r="J7" s="17">
        <v>300</v>
      </c>
      <c r="K7" s="24"/>
      <c r="L7" s="25"/>
    </row>
    <row r="8" spans="1:15" ht="24" customHeight="1" x14ac:dyDescent="0.2">
      <c r="A8" s="13">
        <v>42872</v>
      </c>
      <c r="B8" s="14"/>
      <c r="C8" s="14"/>
      <c r="D8" s="14" t="s">
        <v>21</v>
      </c>
      <c r="E8" s="15">
        <v>2007</v>
      </c>
      <c r="F8" s="15">
        <v>2017</v>
      </c>
      <c r="G8" s="14" t="s">
        <v>17</v>
      </c>
      <c r="H8" s="9">
        <v>6320</v>
      </c>
      <c r="I8" s="15">
        <v>1</v>
      </c>
      <c r="J8" s="17">
        <v>500</v>
      </c>
      <c r="K8" s="24"/>
      <c r="L8" s="25"/>
    </row>
    <row r="9" spans="1:15" ht="24" customHeight="1" x14ac:dyDescent="0.2">
      <c r="A9" s="13">
        <v>42850</v>
      </c>
      <c r="B9" s="14"/>
      <c r="C9" s="14"/>
      <c r="D9" s="14" t="s">
        <v>22</v>
      </c>
      <c r="E9" s="15">
        <v>2010</v>
      </c>
      <c r="F9" s="15">
        <v>2017</v>
      </c>
      <c r="G9" s="14" t="s">
        <v>17</v>
      </c>
      <c r="H9" s="9">
        <v>2420</v>
      </c>
      <c r="I9" s="15">
        <v>1</v>
      </c>
      <c r="J9" s="17">
        <v>100</v>
      </c>
      <c r="K9" s="24"/>
      <c r="L9" s="25"/>
    </row>
    <row r="10" spans="1:15" ht="24" customHeight="1" x14ac:dyDescent="0.2">
      <c r="A10" s="13">
        <v>42850</v>
      </c>
      <c r="B10" s="14"/>
      <c r="C10" s="14"/>
      <c r="D10" s="14" t="s">
        <v>23</v>
      </c>
      <c r="E10" s="15">
        <v>2010</v>
      </c>
      <c r="F10" s="15">
        <v>2017</v>
      </c>
      <c r="G10" s="14" t="s">
        <v>17</v>
      </c>
      <c r="H10" s="9">
        <v>3330</v>
      </c>
      <c r="I10" s="15">
        <v>1</v>
      </c>
      <c r="J10" s="17">
        <v>150</v>
      </c>
      <c r="K10" s="24"/>
      <c r="L10" s="25"/>
    </row>
    <row r="11" spans="1:15" ht="24" customHeight="1" x14ac:dyDescent="0.2">
      <c r="A11" s="13">
        <v>42850</v>
      </c>
      <c r="B11" s="14"/>
      <c r="C11" s="14"/>
      <c r="D11" s="14" t="s">
        <v>24</v>
      </c>
      <c r="E11" s="15">
        <v>2010</v>
      </c>
      <c r="F11" s="15">
        <v>2017</v>
      </c>
      <c r="G11" s="14" t="s">
        <v>17</v>
      </c>
      <c r="H11" s="9">
        <v>82</v>
      </c>
      <c r="I11" s="15">
        <v>1</v>
      </c>
      <c r="J11" s="17">
        <v>82</v>
      </c>
      <c r="K11" s="26"/>
      <c r="L11" s="25"/>
    </row>
    <row r="12" spans="1:15" ht="24" customHeight="1" x14ac:dyDescent="0.2">
      <c r="A12" s="13">
        <v>42850</v>
      </c>
      <c r="B12" s="14"/>
      <c r="C12" s="14"/>
      <c r="D12" s="14" t="s">
        <v>25</v>
      </c>
      <c r="E12" s="15">
        <v>2010</v>
      </c>
      <c r="F12" s="15">
        <v>2017</v>
      </c>
      <c r="G12" s="14" t="s">
        <v>17</v>
      </c>
      <c r="H12" s="9">
        <v>1010</v>
      </c>
      <c r="I12" s="15">
        <v>1</v>
      </c>
      <c r="J12" s="17">
        <v>70</v>
      </c>
      <c r="K12" s="24"/>
      <c r="L12" s="25"/>
    </row>
    <row r="13" spans="1:15" ht="24" customHeight="1" x14ac:dyDescent="0.2">
      <c r="A13" s="13">
        <v>42866</v>
      </c>
      <c r="B13" s="14"/>
      <c r="C13" s="14"/>
      <c r="D13" s="14" t="s">
        <v>26</v>
      </c>
      <c r="E13" s="15">
        <v>2010</v>
      </c>
      <c r="F13" s="15">
        <v>2017</v>
      </c>
      <c r="G13" s="14" t="s">
        <v>17</v>
      </c>
      <c r="H13" s="9">
        <v>17000</v>
      </c>
      <c r="I13" s="15">
        <v>1</v>
      </c>
      <c r="J13" s="17">
        <v>300</v>
      </c>
      <c r="K13" s="24"/>
      <c r="L13" s="25"/>
    </row>
    <row r="14" spans="1:15" ht="24" customHeight="1" x14ac:dyDescent="0.2">
      <c r="A14" s="13">
        <v>42866</v>
      </c>
      <c r="B14" s="14"/>
      <c r="C14" s="14"/>
      <c r="D14" s="14" t="s">
        <v>27</v>
      </c>
      <c r="E14" s="15">
        <v>2010</v>
      </c>
      <c r="F14" s="15">
        <v>2017</v>
      </c>
      <c r="G14" s="14" t="s">
        <v>17</v>
      </c>
      <c r="H14" s="9">
        <v>18100</v>
      </c>
      <c r="I14" s="15">
        <v>1</v>
      </c>
      <c r="J14" s="17">
        <v>100</v>
      </c>
      <c r="K14" s="24"/>
      <c r="L14" s="25"/>
    </row>
    <row r="15" spans="1:15" ht="24" customHeight="1" x14ac:dyDescent="0.2">
      <c r="A15" s="13">
        <v>42866</v>
      </c>
      <c r="B15" s="14"/>
      <c r="C15" s="14"/>
      <c r="D15" s="14" t="s">
        <v>28</v>
      </c>
      <c r="E15" s="15">
        <v>2010</v>
      </c>
      <c r="F15" s="15">
        <v>2017</v>
      </c>
      <c r="G15" s="14" t="s">
        <v>17</v>
      </c>
      <c r="H15" s="9">
        <v>12300</v>
      </c>
      <c r="I15" s="15">
        <v>1</v>
      </c>
      <c r="J15" s="17">
        <v>200</v>
      </c>
      <c r="K15" s="24"/>
      <c r="L15" s="25"/>
    </row>
    <row r="16" spans="1:15" ht="24" customHeight="1" x14ac:dyDescent="0.2">
      <c r="A16" s="13">
        <v>42867</v>
      </c>
      <c r="B16" s="14"/>
      <c r="D16" s="14" t="s">
        <v>29</v>
      </c>
      <c r="E16" s="15">
        <v>2010</v>
      </c>
      <c r="F16" s="15">
        <v>2017</v>
      </c>
      <c r="G16" s="14" t="s">
        <v>17</v>
      </c>
      <c r="H16" s="9">
        <v>630</v>
      </c>
      <c r="I16" s="15">
        <v>1</v>
      </c>
      <c r="J16" s="17">
        <v>20</v>
      </c>
      <c r="K16" s="24"/>
      <c r="L16" s="25"/>
    </row>
    <row r="17" spans="1:12" ht="24" customHeight="1" x14ac:dyDescent="0.2">
      <c r="A17" s="13">
        <v>42872</v>
      </c>
      <c r="B17" s="14"/>
      <c r="C17" s="14"/>
      <c r="D17" s="14" t="s">
        <v>30</v>
      </c>
      <c r="E17" s="15">
        <v>2010</v>
      </c>
      <c r="F17" s="15">
        <v>2017</v>
      </c>
      <c r="G17" s="14" t="s">
        <v>17</v>
      </c>
      <c r="H17" s="9">
        <v>2730</v>
      </c>
      <c r="I17" s="15">
        <v>1</v>
      </c>
      <c r="J17" s="17">
        <v>200</v>
      </c>
      <c r="K17" s="24"/>
      <c r="L17" s="25"/>
    </row>
    <row r="18" spans="1:12" ht="24" customHeight="1" x14ac:dyDescent="0.2">
      <c r="A18" s="13">
        <v>42870</v>
      </c>
      <c r="B18" s="14"/>
      <c r="C18" s="14"/>
      <c r="D18" s="14" t="s">
        <v>31</v>
      </c>
      <c r="E18" s="15">
        <v>2007</v>
      </c>
      <c r="F18" s="15">
        <v>2017</v>
      </c>
      <c r="G18" s="14" t="s">
        <v>17</v>
      </c>
      <c r="H18" s="9">
        <v>17700</v>
      </c>
      <c r="I18" s="15">
        <v>1</v>
      </c>
      <c r="J18" s="17">
        <v>200</v>
      </c>
      <c r="K18" s="24"/>
      <c r="L18" s="25"/>
    </row>
    <row r="19" spans="1:12" ht="24" customHeight="1" x14ac:dyDescent="0.2">
      <c r="A19" s="13">
        <v>42870</v>
      </c>
      <c r="B19" s="14"/>
      <c r="C19" s="14"/>
      <c r="D19" s="14" t="s">
        <v>32</v>
      </c>
      <c r="E19" s="15">
        <v>2007</v>
      </c>
      <c r="F19" s="15">
        <v>2017</v>
      </c>
      <c r="G19" s="14" t="s">
        <v>17</v>
      </c>
      <c r="H19" s="9">
        <v>4100</v>
      </c>
      <c r="I19" s="15">
        <v>1</v>
      </c>
      <c r="J19" s="17">
        <v>400</v>
      </c>
      <c r="K19" s="24"/>
      <c r="L19" s="25"/>
    </row>
    <row r="20" spans="1:12" ht="24" customHeight="1" x14ac:dyDescent="0.2">
      <c r="A20" s="13">
        <v>42871</v>
      </c>
      <c r="B20" s="14"/>
      <c r="C20" s="14"/>
      <c r="D20" s="14" t="s">
        <v>33</v>
      </c>
      <c r="E20" s="15">
        <v>2007</v>
      </c>
      <c r="F20" s="15">
        <v>2017</v>
      </c>
      <c r="G20" s="14" t="s">
        <v>17</v>
      </c>
      <c r="H20" s="9">
        <v>4050</v>
      </c>
      <c r="I20" s="15">
        <v>1</v>
      </c>
      <c r="J20" s="17">
        <v>200</v>
      </c>
      <c r="K20" s="24"/>
      <c r="L20" s="25"/>
    </row>
    <row r="21" spans="1:12" ht="24" customHeight="1" x14ac:dyDescent="0.2">
      <c r="A21" s="13">
        <v>42877</v>
      </c>
      <c r="B21" s="14"/>
      <c r="C21" s="14"/>
      <c r="D21" s="14" t="s">
        <v>166</v>
      </c>
      <c r="E21" s="15">
        <v>2007</v>
      </c>
      <c r="F21" s="15">
        <v>2017</v>
      </c>
      <c r="G21" s="14" t="s">
        <v>17</v>
      </c>
      <c r="H21" s="9">
        <v>5200</v>
      </c>
      <c r="I21" s="15">
        <v>1</v>
      </c>
      <c r="J21" s="17">
        <v>300</v>
      </c>
      <c r="K21" s="24"/>
      <c r="L21" s="25"/>
    </row>
    <row r="22" spans="1:12" ht="24" customHeight="1" x14ac:dyDescent="0.2">
      <c r="A22" s="13">
        <v>42877</v>
      </c>
      <c r="B22" s="14"/>
      <c r="C22" s="14"/>
      <c r="D22" s="14" t="s">
        <v>167</v>
      </c>
      <c r="E22" s="15"/>
      <c r="F22" s="15"/>
      <c r="G22" s="14" t="s">
        <v>17</v>
      </c>
      <c r="H22" s="9">
        <v>9</v>
      </c>
      <c r="I22" s="15">
        <v>1</v>
      </c>
      <c r="J22" s="17">
        <v>9</v>
      </c>
      <c r="K22" s="26"/>
      <c r="L22" s="25"/>
    </row>
    <row r="23" spans="1:12" ht="24" customHeight="1" x14ac:dyDescent="0.2">
      <c r="A23" s="13">
        <v>42850</v>
      </c>
      <c r="B23" s="14" t="s">
        <v>34</v>
      </c>
      <c r="C23" s="14" t="s">
        <v>35</v>
      </c>
      <c r="D23" s="14" t="s">
        <v>251</v>
      </c>
      <c r="E23" s="15">
        <v>2007</v>
      </c>
      <c r="F23" s="15">
        <v>2017</v>
      </c>
      <c r="G23" s="14"/>
      <c r="H23" s="9">
        <v>323</v>
      </c>
      <c r="I23" s="15">
        <v>1</v>
      </c>
      <c r="J23" s="17">
        <v>323</v>
      </c>
      <c r="K23" s="26"/>
      <c r="L23" s="25"/>
    </row>
    <row r="24" spans="1:12" ht="24" customHeight="1" x14ac:dyDescent="0.2">
      <c r="A24" s="13">
        <v>42851</v>
      </c>
      <c r="B24" s="14"/>
      <c r="C24" s="14"/>
      <c r="D24" s="14" t="s">
        <v>36</v>
      </c>
      <c r="E24" s="15">
        <v>2007</v>
      </c>
      <c r="F24" s="15">
        <v>2017</v>
      </c>
      <c r="G24" s="14"/>
      <c r="H24" s="9">
        <v>385</v>
      </c>
      <c r="I24" s="15">
        <v>1</v>
      </c>
      <c r="J24" s="17">
        <v>385</v>
      </c>
      <c r="K24" s="26"/>
      <c r="L24" s="25"/>
    </row>
    <row r="25" spans="1:12" ht="24" customHeight="1" x14ac:dyDescent="0.2">
      <c r="A25" s="13">
        <v>42852</v>
      </c>
      <c r="B25" s="14"/>
      <c r="C25" s="14"/>
      <c r="D25" s="14" t="s">
        <v>37</v>
      </c>
      <c r="E25" s="15">
        <v>2007</v>
      </c>
      <c r="F25" s="15">
        <v>2017</v>
      </c>
      <c r="G25" s="14"/>
      <c r="H25" s="9">
        <v>129</v>
      </c>
      <c r="I25" s="15">
        <v>1</v>
      </c>
      <c r="J25" s="17">
        <v>129</v>
      </c>
      <c r="K25" s="26"/>
      <c r="L25" s="25"/>
    </row>
    <row r="26" spans="1:12" ht="24" customHeight="1" x14ac:dyDescent="0.2">
      <c r="A26" s="13">
        <v>42851</v>
      </c>
      <c r="B26" s="14"/>
      <c r="C26" s="14"/>
      <c r="D26" s="14" t="s">
        <v>38</v>
      </c>
      <c r="E26" s="15">
        <v>2007</v>
      </c>
      <c r="F26" s="15">
        <v>2017</v>
      </c>
      <c r="G26" s="14"/>
      <c r="H26" s="9">
        <v>175</v>
      </c>
      <c r="I26" s="15">
        <v>1</v>
      </c>
      <c r="J26" s="17">
        <v>175</v>
      </c>
      <c r="K26" s="26"/>
      <c r="L26" s="25"/>
    </row>
    <row r="27" spans="1:12" ht="24" customHeight="1" x14ac:dyDescent="0.2">
      <c r="A27" s="13">
        <v>42851</v>
      </c>
      <c r="B27" s="14"/>
      <c r="C27" s="14"/>
      <c r="D27" s="14" t="s">
        <v>20</v>
      </c>
      <c r="E27" s="15">
        <v>2007</v>
      </c>
      <c r="F27" s="15">
        <v>2017</v>
      </c>
      <c r="G27" s="14"/>
      <c r="H27" s="9">
        <v>380</v>
      </c>
      <c r="I27" s="15">
        <v>1</v>
      </c>
      <c r="J27" s="17">
        <v>380</v>
      </c>
      <c r="K27" s="26"/>
      <c r="L27" s="25"/>
    </row>
    <row r="28" spans="1:12" ht="24" customHeight="1" x14ac:dyDescent="0.2">
      <c r="A28" s="13"/>
      <c r="B28" s="14"/>
      <c r="C28" s="14"/>
      <c r="D28" s="14" t="s">
        <v>27</v>
      </c>
      <c r="E28" s="15"/>
      <c r="F28" s="15"/>
      <c r="G28" s="14"/>
      <c r="I28" s="15"/>
      <c r="J28" s="17"/>
      <c r="K28" s="24"/>
      <c r="L28" s="25"/>
    </row>
    <row r="29" spans="1:12" ht="24" customHeight="1" x14ac:dyDescent="0.2">
      <c r="A29" s="13"/>
      <c r="B29" s="14"/>
      <c r="C29" s="14"/>
      <c r="D29" s="14" t="s">
        <v>39</v>
      </c>
      <c r="E29" s="15">
        <v>2007</v>
      </c>
      <c r="F29" s="15">
        <v>2017</v>
      </c>
      <c r="G29" s="14"/>
      <c r="I29" s="15"/>
      <c r="J29" s="17"/>
      <c r="K29" s="24"/>
      <c r="L29" s="25"/>
    </row>
    <row r="30" spans="1:12" ht="24" customHeight="1" x14ac:dyDescent="0.2">
      <c r="A30" s="13"/>
      <c r="B30" s="14"/>
      <c r="C30" s="14"/>
      <c r="D30" s="14" t="s">
        <v>40</v>
      </c>
      <c r="E30" s="15">
        <v>2007</v>
      </c>
      <c r="F30" s="15">
        <v>2017</v>
      </c>
      <c r="G30" s="14"/>
      <c r="I30" s="15"/>
      <c r="J30" s="17"/>
      <c r="K30" s="24"/>
      <c r="L30" s="25"/>
    </row>
    <row r="31" spans="1:12" ht="24" customHeight="1" x14ac:dyDescent="0.2">
      <c r="A31" s="13"/>
      <c r="B31" s="14"/>
      <c r="C31" s="14"/>
      <c r="D31" s="14" t="s">
        <v>41</v>
      </c>
      <c r="E31" s="15">
        <v>2007</v>
      </c>
      <c r="F31" s="15">
        <v>2017</v>
      </c>
      <c r="G31" s="14"/>
      <c r="I31" s="15"/>
      <c r="J31" s="17"/>
      <c r="K31" s="24"/>
      <c r="L31" s="25"/>
    </row>
    <row r="32" spans="1:12" ht="24" customHeight="1" x14ac:dyDescent="0.2">
      <c r="A32" s="13">
        <v>42878</v>
      </c>
      <c r="B32" s="14"/>
      <c r="C32" s="14"/>
      <c r="D32" s="14" t="s">
        <v>168</v>
      </c>
      <c r="E32" s="15">
        <v>2007</v>
      </c>
      <c r="F32" s="15">
        <v>2017</v>
      </c>
      <c r="G32" s="14"/>
      <c r="H32" s="9">
        <v>1814</v>
      </c>
      <c r="I32" s="15">
        <v>1</v>
      </c>
      <c r="J32" s="15">
        <v>200</v>
      </c>
      <c r="K32" s="24"/>
      <c r="L32" s="25"/>
    </row>
    <row r="33" spans="1:15" ht="24" customHeight="1" x14ac:dyDescent="0.2">
      <c r="A33" s="15"/>
      <c r="B33" s="14"/>
      <c r="C33" s="14"/>
      <c r="D33" s="14"/>
      <c r="E33" s="15"/>
      <c r="F33" s="15"/>
      <c r="G33" s="14"/>
      <c r="I33" s="15"/>
      <c r="J33" s="15"/>
      <c r="K33" s="15"/>
    </row>
    <row r="34" spans="1:15" ht="24" customHeight="1" x14ac:dyDescent="0.2">
      <c r="A34" s="15"/>
      <c r="B34" s="14"/>
      <c r="C34" s="14"/>
      <c r="D34" s="14"/>
      <c r="E34" s="15"/>
      <c r="F34" s="15"/>
      <c r="G34" s="14"/>
      <c r="I34" s="15"/>
      <c r="J34" s="15"/>
      <c r="K34" s="15"/>
    </row>
    <row r="35" spans="1:15" ht="24" customHeight="1" x14ac:dyDescent="0.2">
      <c r="A35" s="15"/>
      <c r="B35" s="14"/>
      <c r="C35" s="14"/>
      <c r="D35" s="14"/>
      <c r="E35" s="15"/>
      <c r="F35" s="15"/>
      <c r="G35" s="14"/>
      <c r="I35" s="15"/>
      <c r="J35" s="15"/>
      <c r="K35" s="15"/>
      <c r="L35"/>
      <c r="O35"/>
    </row>
    <row r="36" spans="1:15" ht="24" customHeight="1" x14ac:dyDescent="0.2">
      <c r="A36" s="15"/>
      <c r="B36" s="14"/>
      <c r="C36" s="14"/>
      <c r="D36" s="14"/>
      <c r="E36" s="15"/>
      <c r="F36" s="15"/>
      <c r="G36" s="14"/>
      <c r="I36" s="15"/>
      <c r="J36" s="15"/>
      <c r="K36" s="15"/>
      <c r="L36"/>
      <c r="O36"/>
    </row>
    <row r="37" spans="1:15" ht="24" customHeight="1" x14ac:dyDescent="0.2">
      <c r="A37" s="15"/>
      <c r="B37" s="14"/>
      <c r="C37" s="14"/>
      <c r="D37" s="14"/>
      <c r="E37" s="15"/>
      <c r="F37" s="15"/>
      <c r="G37" s="14"/>
      <c r="I37" s="15"/>
      <c r="J37" s="15"/>
      <c r="K37" s="15"/>
      <c r="L37"/>
      <c r="O37"/>
    </row>
    <row r="38" spans="1:15" ht="24" customHeight="1" x14ac:dyDescent="0.2">
      <c r="A38" s="15"/>
      <c r="B38" s="14"/>
      <c r="C38" s="14"/>
      <c r="D38" s="14"/>
      <c r="E38" s="15"/>
      <c r="F38" s="15"/>
      <c r="G38" s="14"/>
      <c r="I38" s="15"/>
      <c r="J38" s="15"/>
      <c r="K38" s="15"/>
      <c r="L38"/>
      <c r="O38"/>
    </row>
    <row r="39" spans="1:15" ht="24" customHeight="1" x14ac:dyDescent="0.2">
      <c r="A39" s="15"/>
      <c r="B39" s="14"/>
      <c r="C39" s="14"/>
      <c r="D39" s="14"/>
      <c r="E39" s="15"/>
      <c r="F39" s="15"/>
      <c r="G39" s="14"/>
      <c r="I39" s="15"/>
      <c r="J39" s="15"/>
      <c r="K39" s="15"/>
      <c r="L39"/>
      <c r="O39"/>
    </row>
    <row r="40" spans="1:15" ht="24" customHeight="1" x14ac:dyDescent="0.2">
      <c r="A40" s="15"/>
      <c r="B40" s="14"/>
      <c r="C40" s="14"/>
      <c r="D40" s="14"/>
      <c r="E40" s="15"/>
      <c r="F40" s="15"/>
      <c r="G40" s="14"/>
      <c r="I40" s="15"/>
      <c r="J40" s="15"/>
      <c r="K40" s="15"/>
      <c r="L40"/>
      <c r="O40"/>
    </row>
    <row r="41" spans="1:15" ht="24" customHeight="1" x14ac:dyDescent="0.2">
      <c r="A41" s="15"/>
      <c r="B41" s="14"/>
      <c r="C41" s="14"/>
      <c r="D41" s="14"/>
      <c r="E41" s="15"/>
      <c r="F41" s="15"/>
      <c r="G41" s="14"/>
      <c r="I41" s="15"/>
      <c r="J41" s="15"/>
      <c r="K41" s="15"/>
      <c r="L41"/>
      <c r="O41"/>
    </row>
    <row r="42" spans="1:15" ht="24" customHeight="1" x14ac:dyDescent="0.2">
      <c r="A42" s="15"/>
      <c r="B42" s="14"/>
      <c r="C42" s="14"/>
      <c r="D42" s="14"/>
      <c r="E42" s="15"/>
      <c r="F42" s="15"/>
      <c r="G42" s="14"/>
      <c r="I42" s="15"/>
      <c r="J42" s="15"/>
      <c r="K42" s="15"/>
      <c r="L42"/>
      <c r="O42"/>
    </row>
    <row r="43" spans="1:15" ht="24" customHeight="1" x14ac:dyDescent="0.2">
      <c r="A43" s="15"/>
      <c r="B43" s="14"/>
      <c r="C43" s="14"/>
      <c r="D43" s="14"/>
      <c r="E43" s="15"/>
      <c r="F43" s="15"/>
      <c r="G43" s="14"/>
      <c r="I43" s="15"/>
      <c r="J43" s="15"/>
      <c r="K43" s="15"/>
      <c r="L43"/>
      <c r="O43"/>
    </row>
    <row r="44" spans="1:15" ht="24" customHeight="1" x14ac:dyDescent="0.2">
      <c r="A44" s="15"/>
      <c r="B44" s="14"/>
      <c r="C44" s="14"/>
      <c r="D44" s="14"/>
      <c r="E44" s="15"/>
      <c r="F44" s="15"/>
      <c r="G44" s="14"/>
      <c r="I44" s="15"/>
      <c r="J44" s="15"/>
      <c r="K44" s="15"/>
      <c r="L44"/>
      <c r="O44"/>
    </row>
    <row r="45" spans="1:15" ht="24" customHeight="1" x14ac:dyDescent="0.2">
      <c r="A45" s="15"/>
      <c r="B45" s="14"/>
      <c r="C45" s="14"/>
      <c r="D45" s="14"/>
      <c r="E45" s="15"/>
      <c r="F45" s="15"/>
      <c r="G45" s="14"/>
      <c r="I45" s="15"/>
      <c r="J45" s="15"/>
      <c r="K45" s="15"/>
      <c r="L45"/>
      <c r="O45"/>
    </row>
    <row r="46" spans="1:15" ht="24" customHeight="1" x14ac:dyDescent="0.2">
      <c r="A46" s="15"/>
      <c r="B46" s="14"/>
      <c r="C46" s="14"/>
      <c r="D46" s="14"/>
      <c r="E46" s="15"/>
      <c r="F46" s="15"/>
      <c r="G46" s="14"/>
      <c r="I46" s="15"/>
      <c r="J46" s="15"/>
      <c r="K46" s="15"/>
      <c r="L46"/>
      <c r="O46"/>
    </row>
    <row r="47" spans="1:15" ht="24" customHeight="1" x14ac:dyDescent="0.2">
      <c r="A47" s="15"/>
      <c r="B47" s="14"/>
      <c r="C47" s="14"/>
      <c r="D47" s="14"/>
      <c r="E47" s="15"/>
      <c r="F47" s="15"/>
      <c r="G47" s="14"/>
      <c r="I47" s="15"/>
      <c r="J47" s="15"/>
      <c r="K47" s="15"/>
      <c r="L47"/>
      <c r="O47"/>
    </row>
    <row r="48" spans="1:15" ht="24" customHeight="1" x14ac:dyDescent="0.2">
      <c r="L48"/>
      <c r="O48"/>
    </row>
    <row r="49" spans="1:15" ht="24" customHeight="1" x14ac:dyDescent="0.2">
      <c r="L49"/>
      <c r="O49"/>
    </row>
    <row r="50" spans="1:15" ht="24" customHeight="1" x14ac:dyDescent="0.2">
      <c r="L50"/>
      <c r="O50"/>
    </row>
    <row r="51" spans="1:15" ht="24" customHeight="1" x14ac:dyDescent="0.2">
      <c r="A51"/>
      <c r="E51"/>
      <c r="F51"/>
      <c r="H51"/>
      <c r="I51"/>
      <c r="J51"/>
      <c r="K51"/>
      <c r="L51"/>
      <c r="O51"/>
    </row>
    <row r="52" spans="1:15" ht="24" customHeight="1" x14ac:dyDescent="0.2">
      <c r="A52"/>
      <c r="E52"/>
      <c r="F52"/>
      <c r="H52"/>
      <c r="I52"/>
      <c r="J52"/>
      <c r="K52"/>
      <c r="L52"/>
      <c r="O52"/>
    </row>
    <row r="53" spans="1:15" ht="24" customHeight="1" x14ac:dyDescent="0.2">
      <c r="A53"/>
      <c r="E53"/>
      <c r="F53"/>
      <c r="H53"/>
      <c r="I53"/>
      <c r="J53"/>
      <c r="K53"/>
      <c r="L53"/>
      <c r="O53"/>
    </row>
    <row r="54" spans="1:15" ht="24" customHeight="1" x14ac:dyDescent="0.2">
      <c r="A54"/>
      <c r="E54"/>
      <c r="F54"/>
      <c r="H54"/>
      <c r="I54"/>
      <c r="J54"/>
      <c r="K54"/>
      <c r="L54"/>
      <c r="O54"/>
    </row>
    <row r="55" spans="1:15" ht="24" customHeight="1" x14ac:dyDescent="0.2">
      <c r="A55"/>
      <c r="E55"/>
      <c r="F55"/>
      <c r="H55"/>
      <c r="I55"/>
      <c r="J55"/>
      <c r="K55"/>
      <c r="L55"/>
      <c r="O55"/>
    </row>
    <row r="56" spans="1:15" ht="24" customHeight="1" x14ac:dyDescent="0.2">
      <c r="A56"/>
      <c r="E56"/>
      <c r="F56"/>
      <c r="H56"/>
      <c r="I56"/>
      <c r="J56"/>
      <c r="K56"/>
      <c r="L56"/>
      <c r="O56"/>
    </row>
    <row r="57" spans="1:15" ht="24" customHeight="1" x14ac:dyDescent="0.2">
      <c r="A57"/>
      <c r="E57"/>
      <c r="F57"/>
      <c r="H57"/>
      <c r="I57"/>
      <c r="J57"/>
      <c r="K57"/>
      <c r="L57"/>
      <c r="O57"/>
    </row>
    <row r="58" spans="1:15" ht="24" customHeight="1" x14ac:dyDescent="0.2">
      <c r="A58"/>
      <c r="E58"/>
      <c r="F58"/>
      <c r="H58"/>
      <c r="I58"/>
      <c r="J58"/>
      <c r="K58"/>
      <c r="L58"/>
      <c r="O58"/>
    </row>
    <row r="59" spans="1:15" ht="24" customHeight="1" x14ac:dyDescent="0.2">
      <c r="A59"/>
      <c r="E59"/>
      <c r="F59"/>
      <c r="H59"/>
      <c r="I59"/>
      <c r="J59"/>
      <c r="K59"/>
      <c r="L59"/>
      <c r="O59"/>
    </row>
    <row r="60" spans="1:15" ht="24" customHeight="1" x14ac:dyDescent="0.2">
      <c r="A60"/>
      <c r="E60"/>
      <c r="F60"/>
      <c r="H60"/>
      <c r="I60"/>
      <c r="J60"/>
      <c r="K60"/>
      <c r="L60"/>
      <c r="O60"/>
    </row>
    <row r="61" spans="1:15" ht="24" customHeight="1" x14ac:dyDescent="0.2">
      <c r="A61"/>
      <c r="E61"/>
      <c r="F61"/>
      <c r="H61"/>
      <c r="I61"/>
      <c r="J61"/>
      <c r="K61"/>
      <c r="L61"/>
      <c r="O61"/>
    </row>
    <row r="62" spans="1:15" ht="24" customHeight="1" x14ac:dyDescent="0.2">
      <c r="A62"/>
      <c r="E62"/>
      <c r="F62"/>
      <c r="H62"/>
      <c r="I62"/>
      <c r="J62"/>
      <c r="K62"/>
      <c r="L62"/>
      <c r="O62"/>
    </row>
    <row r="63" spans="1:15" ht="24" customHeight="1" x14ac:dyDescent="0.2">
      <c r="A63"/>
      <c r="E63"/>
      <c r="F63"/>
      <c r="H63"/>
      <c r="I63"/>
      <c r="J63"/>
      <c r="K63"/>
      <c r="L63"/>
      <c r="O63"/>
    </row>
    <row r="64" spans="1:15" ht="24" customHeight="1" x14ac:dyDescent="0.2">
      <c r="A64"/>
      <c r="E64"/>
      <c r="F64"/>
      <c r="H64"/>
      <c r="I64"/>
      <c r="J64"/>
      <c r="K64"/>
      <c r="L64"/>
      <c r="O64"/>
    </row>
    <row r="65" spans="1:15" ht="24" customHeight="1" x14ac:dyDescent="0.2">
      <c r="A65"/>
      <c r="E65"/>
      <c r="F65"/>
      <c r="H65"/>
      <c r="I65"/>
      <c r="J65"/>
      <c r="K65"/>
      <c r="L65"/>
      <c r="O65"/>
    </row>
    <row r="66" spans="1:15" ht="24" customHeight="1" x14ac:dyDescent="0.2">
      <c r="A66"/>
      <c r="E66"/>
      <c r="F66"/>
      <c r="H66"/>
      <c r="I66"/>
      <c r="J66"/>
      <c r="K66"/>
      <c r="L66"/>
      <c r="O66"/>
    </row>
    <row r="67" spans="1:15" ht="24" customHeight="1" x14ac:dyDescent="0.2">
      <c r="A67"/>
      <c r="E67"/>
      <c r="F67"/>
      <c r="H67"/>
      <c r="I67"/>
      <c r="J67"/>
      <c r="K67"/>
      <c r="L67"/>
      <c r="O67"/>
    </row>
    <row r="68" spans="1:15" ht="24" customHeight="1" x14ac:dyDescent="0.2">
      <c r="A68"/>
      <c r="E68"/>
      <c r="F68"/>
      <c r="H68"/>
      <c r="I68"/>
      <c r="J68"/>
      <c r="K68"/>
      <c r="L68"/>
      <c r="O68"/>
    </row>
  </sheetData>
  <mergeCells count="2">
    <mergeCell ref="I2:J2"/>
    <mergeCell ref="K2:L2"/>
  </mergeCells>
  <conditionalFormatting sqref="A4:XFD4">
    <cfRule type="expression" dxfId="1" priority="2">
      <formula>"IF(A1="""")"</formula>
    </cfRule>
  </conditionalFormatting>
  <conditionalFormatting sqref="A5:XFD5">
    <cfRule type="expression" dxfId="0" priority="1">
      <formula>"IF(A5 = """")"</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Template</vt:lpstr>
      <vt:lpstr>Prodrome (%)</vt:lpstr>
      <vt:lpstr>Prodrome (%) High-Low</vt:lpstr>
      <vt:lpstr>Prodrome (%) Split (5%)</vt:lpstr>
      <vt:lpstr>(CS) Prodrome Time to Seizure</vt:lpstr>
      <vt:lpstr>Clinical Studies (Prodromes)</vt:lpstr>
      <vt:lpstr>Search</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2017-05-20T12:23:55Z</dcterms:created>
  <dcterms:modified xsi:type="dcterms:W3CDTF">2017-07-06T17:51:48Z</dcterms:modified>
</cp:coreProperties>
</file>